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3\"/>
    </mc:Choice>
  </mc:AlternateContent>
  <xr:revisionPtr revIDLastSave="0" documentId="13_ncr:1_{7850D3EE-6B1A-4455-8BAD-7B6E4021CB68}" xr6:coauthVersionLast="47" xr6:coauthVersionMax="47" xr10:uidLastSave="{00000000-0000-0000-0000-000000000000}"/>
  <bookViews>
    <workbookView xWindow="57480" yWindow="-120" windowWidth="29040" windowHeight="15840" activeTab="1" xr2:uid="{508BF4A0-C9FC-49F5-A5A9-A2907877ABE5}"/>
  </bookViews>
  <sheets>
    <sheet name="Paramètre" sheetId="2" r:id="rId1"/>
    <sheet name="Conso" sheetId="1" r:id="rId2"/>
    <sheet name="START" sheetId="3" r:id="rId3"/>
    <sheet name="Juillet 2023" sheetId="32" r:id="rId4"/>
    <sheet name="Juin 2023" sheetId="33" r:id="rId5"/>
    <sheet name="END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_xlnm.Print_Area" localSheetId="1">Conso!$C$1:$S$398,Conso!$V$401:$AO$497</definedName>
    <definedName name="_xlnm.Print_Area" localSheetId="3">'Juillet 2023'!$C$1:$S$352,'Juillet 2023'!$V$401:$AO$497</definedName>
    <definedName name="_xlnm.Print_Area" localSheetId="4">'Juin 2023'!$C$1:$S$352,'Juin 2023'!$V$401:$AO$497</definedName>
    <definedName name="_xlnm.Print_Area">#REF!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4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" i="1" l="1"/>
  <c r="AL493" i="33"/>
  <c r="AO493" i="33" s="1"/>
  <c r="AF493" i="33"/>
  <c r="AN493" i="33" s="1"/>
  <c r="Z493" i="33" a="1"/>
  <c r="Z493" i="33" s="1"/>
  <c r="AI493" i="33" s="1"/>
  <c r="AL492" i="33"/>
  <c r="AF492" i="33"/>
  <c r="AN492" i="33" s="1"/>
  <c r="Z492" i="33" a="1"/>
  <c r="Z492" i="33" s="1"/>
  <c r="AL491" i="33"/>
  <c r="AO491" i="33" s="1"/>
  <c r="AF491" i="33"/>
  <c r="AN491" i="33" s="1"/>
  <c r="Z491" i="33" a="1"/>
  <c r="Z491" i="33" s="1"/>
  <c r="AI491" i="33" s="1"/>
  <c r="AL490" i="33"/>
  <c r="AF490" i="33"/>
  <c r="AN490" i="33" s="1"/>
  <c r="Z490" i="33" a="1"/>
  <c r="Z490" i="33" s="1"/>
  <c r="AO481" i="33"/>
  <c r="AN481" i="33"/>
  <c r="AL468" i="33"/>
  <c r="AF468" i="33"/>
  <c r="AN468" i="33" s="1"/>
  <c r="Z468" i="33" a="1"/>
  <c r="Z468" i="33" s="1"/>
  <c r="AO466" i="33"/>
  <c r="AN466" i="33"/>
  <c r="AH466" i="33"/>
  <c r="AF461" i="33"/>
  <c r="AO460" i="33"/>
  <c r="AL460" i="33"/>
  <c r="AF460" i="33"/>
  <c r="AN460" i="33" s="1"/>
  <c r="Z460" i="33"/>
  <c r="Z460" i="33" a="1"/>
  <c r="AL459" i="33"/>
  <c r="AF459" i="33"/>
  <c r="AN459" i="33" s="1"/>
  <c r="AO459" i="33" s="1"/>
  <c r="Z459" i="33" a="1"/>
  <c r="Z459" i="33" s="1"/>
  <c r="AL458" i="33"/>
  <c r="AF458" i="33"/>
  <c r="AN458" i="33" s="1"/>
  <c r="AO458" i="33" s="1"/>
  <c r="Z458" i="33" a="1"/>
  <c r="Z458" i="33" s="1"/>
  <c r="AL457" i="33"/>
  <c r="AO457" i="33" s="1"/>
  <c r="AF457" i="33"/>
  <c r="AN457" i="33" s="1"/>
  <c r="Z457" i="33" a="1"/>
  <c r="Z457" i="33" s="1"/>
  <c r="AO456" i="33"/>
  <c r="AL456" i="33"/>
  <c r="AF456" i="33"/>
  <c r="AN456" i="33" s="1"/>
  <c r="Z456" i="33" a="1"/>
  <c r="Z456" i="33" s="1"/>
  <c r="AL455" i="33"/>
  <c r="AO455" i="33" s="1"/>
  <c r="AF455" i="33"/>
  <c r="AN455" i="33" s="1"/>
  <c r="Z455" i="33" a="1"/>
  <c r="Z455" i="33" s="1"/>
  <c r="AI455" i="33" s="1"/>
  <c r="AO454" i="33"/>
  <c r="AL454" i="33"/>
  <c r="AF454" i="33"/>
  <c r="AN454" i="33" s="1"/>
  <c r="Z454" i="33" a="1"/>
  <c r="Z454" i="33" s="1"/>
  <c r="AL453" i="33"/>
  <c r="AF453" i="33"/>
  <c r="AN453" i="33" s="1"/>
  <c r="Z453" i="33" a="1"/>
  <c r="Z453" i="33" s="1"/>
  <c r="AO452" i="33"/>
  <c r="AL452" i="33"/>
  <c r="AF452" i="33"/>
  <c r="AN452" i="33" s="1"/>
  <c r="Z452" i="33" a="1"/>
  <c r="Z452" i="33" s="1"/>
  <c r="AL447" i="33"/>
  <c r="AN419" i="33"/>
  <c r="AL419" i="33"/>
  <c r="AO419" i="33" s="1"/>
  <c r="AI419" i="33"/>
  <c r="AH419" i="33"/>
  <c r="AF419" i="33"/>
  <c r="Z419" i="33"/>
  <c r="Z419" i="33" a="1"/>
  <c r="Q393" i="33"/>
  <c r="L393" i="33"/>
  <c r="S393" i="33" s="1"/>
  <c r="F393" i="33"/>
  <c r="F393" i="33" a="1"/>
  <c r="Q392" i="33"/>
  <c r="L392" i="33"/>
  <c r="S392" i="33" s="1"/>
  <c r="F392" i="33" a="1"/>
  <c r="F392" i="33" s="1"/>
  <c r="Q391" i="33"/>
  <c r="L391" i="33"/>
  <c r="F391" i="33" a="1"/>
  <c r="F391" i="33" s="1"/>
  <c r="Q390" i="33"/>
  <c r="L390" i="33"/>
  <c r="S390" i="33" s="1"/>
  <c r="F390" i="33"/>
  <c r="F390" i="33" a="1"/>
  <c r="Q389" i="33"/>
  <c r="L389" i="33"/>
  <c r="S389" i="33" s="1"/>
  <c r="F389" i="33"/>
  <c r="F389" i="33" a="1"/>
  <c r="Q388" i="33"/>
  <c r="L388" i="33"/>
  <c r="S388" i="33" s="1"/>
  <c r="F388" i="33"/>
  <c r="F388" i="33" a="1"/>
  <c r="S387" i="33"/>
  <c r="Q387" i="33"/>
  <c r="L387" i="33"/>
  <c r="F387" i="33" a="1"/>
  <c r="F387" i="33" s="1"/>
  <c r="Q386" i="33"/>
  <c r="L386" i="33"/>
  <c r="S386" i="33" s="1"/>
  <c r="F386" i="33"/>
  <c r="F386" i="33" a="1"/>
  <c r="Q385" i="33"/>
  <c r="L385" i="33"/>
  <c r="S385" i="33" s="1"/>
  <c r="F385" i="33" a="1"/>
  <c r="F385" i="33" s="1"/>
  <c r="Q384" i="33"/>
  <c r="L384" i="33"/>
  <c r="S384" i="33" s="1"/>
  <c r="F384" i="33" a="1"/>
  <c r="F384" i="33" s="1"/>
  <c r="Q383" i="33"/>
  <c r="S383" i="33" s="1"/>
  <c r="L383" i="33"/>
  <c r="F383" i="33" a="1"/>
  <c r="F383" i="33" s="1"/>
  <c r="S382" i="33"/>
  <c r="Q382" i="33"/>
  <c r="L382" i="33"/>
  <c r="F382" i="33" a="1"/>
  <c r="F382" i="33" s="1"/>
  <c r="S381" i="33"/>
  <c r="Q381" i="33"/>
  <c r="L381" i="33"/>
  <c r="F381" i="33"/>
  <c r="F381" i="33" a="1"/>
  <c r="Q380" i="33"/>
  <c r="L380" i="33"/>
  <c r="S380" i="33" s="1"/>
  <c r="F380" i="33" a="1"/>
  <c r="F380" i="33" s="1"/>
  <c r="S379" i="33"/>
  <c r="Q379" i="33"/>
  <c r="L379" i="33"/>
  <c r="F379" i="33"/>
  <c r="F379" i="33" a="1"/>
  <c r="S378" i="33"/>
  <c r="Q378" i="33"/>
  <c r="L378" i="33"/>
  <c r="F378" i="33"/>
  <c r="F378" i="33" a="1"/>
  <c r="Q377" i="33"/>
  <c r="L377" i="33"/>
  <c r="S377" i="33" s="1"/>
  <c r="F377" i="33"/>
  <c r="F377" i="33" a="1"/>
  <c r="S375" i="33"/>
  <c r="Q375" i="33"/>
  <c r="L375" i="33"/>
  <c r="F375" i="33"/>
  <c r="F375" i="33" a="1"/>
  <c r="Q374" i="33"/>
  <c r="L374" i="33"/>
  <c r="S374" i="33" s="1"/>
  <c r="F374" i="33" a="1"/>
  <c r="F374" i="33" s="1"/>
  <c r="Q373" i="33"/>
  <c r="S373" i="33" s="1"/>
  <c r="L373" i="33"/>
  <c r="F373" i="33" a="1"/>
  <c r="F373" i="33" s="1"/>
  <c r="Q372" i="33"/>
  <c r="S372" i="33" s="1"/>
  <c r="L372" i="33"/>
  <c r="F372" i="33"/>
  <c r="F372" i="33" a="1"/>
  <c r="Q371" i="33"/>
  <c r="L371" i="33"/>
  <c r="S371" i="33" s="1"/>
  <c r="F371" i="33"/>
  <c r="F371" i="33" a="1"/>
  <c r="Q370" i="33"/>
  <c r="L370" i="33"/>
  <c r="S370" i="33" s="1"/>
  <c r="F370" i="33" a="1"/>
  <c r="F370" i="33" s="1"/>
  <c r="Q369" i="33"/>
  <c r="L369" i="33"/>
  <c r="F369" i="33" a="1"/>
  <c r="F369" i="33" s="1"/>
  <c r="Q368" i="33"/>
  <c r="L368" i="33"/>
  <c r="S368" i="33" s="1"/>
  <c r="F368" i="33"/>
  <c r="F368" i="33" a="1"/>
  <c r="Q367" i="33"/>
  <c r="L367" i="33"/>
  <c r="S367" i="33" s="1"/>
  <c r="F367" i="33"/>
  <c r="F367" i="33" a="1"/>
  <c r="Q366" i="33"/>
  <c r="L366" i="33"/>
  <c r="S366" i="33" s="1"/>
  <c r="F366" i="33"/>
  <c r="F366" i="33" a="1"/>
  <c r="S365" i="33"/>
  <c r="Q365" i="33"/>
  <c r="Q376" i="33" s="1"/>
  <c r="L365" i="33"/>
  <c r="F365" i="33" a="1"/>
  <c r="F365" i="33" s="1"/>
  <c r="Q364" i="33"/>
  <c r="L364" i="33"/>
  <c r="S364" i="33" s="1"/>
  <c r="F364" i="33"/>
  <c r="F364" i="33" a="1"/>
  <c r="Q361" i="33"/>
  <c r="L361" i="33"/>
  <c r="Q359" i="33"/>
  <c r="P359" i="33"/>
  <c r="O359" i="33"/>
  <c r="O361" i="33" s="1"/>
  <c r="R361" i="33" s="1"/>
  <c r="L359" i="33"/>
  <c r="S359" i="33" s="1"/>
  <c r="J359" i="33"/>
  <c r="F359" i="33"/>
  <c r="F359" i="33" a="1"/>
  <c r="D359" i="33"/>
  <c r="D361" i="33" s="1"/>
  <c r="E361" i="33" s="1"/>
  <c r="D359" i="33" a="1"/>
  <c r="N351" i="33"/>
  <c r="Q347" i="33"/>
  <c r="L347" i="33"/>
  <c r="S347" i="33" s="1"/>
  <c r="F347" i="33" a="1"/>
  <c r="F347" i="33" s="1"/>
  <c r="Q346" i="33"/>
  <c r="L346" i="33"/>
  <c r="S346" i="33" s="1"/>
  <c r="F346" i="33"/>
  <c r="F346" i="33" a="1"/>
  <c r="Q345" i="33"/>
  <c r="L345" i="33"/>
  <c r="S345" i="33" s="1"/>
  <c r="F345" i="33"/>
  <c r="F345" i="33" a="1"/>
  <c r="S344" i="33"/>
  <c r="Q344" i="33"/>
  <c r="L344" i="33"/>
  <c r="F344" i="33" a="1"/>
  <c r="F344" i="33" s="1"/>
  <c r="Q343" i="33"/>
  <c r="S343" i="33" s="1"/>
  <c r="L343" i="33"/>
  <c r="F343" i="33" a="1"/>
  <c r="F343" i="33" s="1"/>
  <c r="Q342" i="33"/>
  <c r="S342" i="33" s="1"/>
  <c r="L342" i="33"/>
  <c r="F342" i="33" a="1"/>
  <c r="F342" i="33" s="1"/>
  <c r="Q341" i="33"/>
  <c r="L341" i="33"/>
  <c r="S341" i="33" s="1"/>
  <c r="F341" i="33" a="1"/>
  <c r="F341" i="33" s="1"/>
  <c r="Q340" i="33"/>
  <c r="L340" i="33"/>
  <c r="F340" i="33" a="1"/>
  <c r="F340" i="33" s="1"/>
  <c r="Q339" i="33"/>
  <c r="L339" i="33"/>
  <c r="S339" i="33" s="1"/>
  <c r="F339" i="33" a="1"/>
  <c r="F339" i="33" s="1"/>
  <c r="Q338" i="33"/>
  <c r="L338" i="33"/>
  <c r="F338" i="33" a="1"/>
  <c r="F338" i="33" s="1"/>
  <c r="Q337" i="33"/>
  <c r="L337" i="33"/>
  <c r="F337" i="33" a="1"/>
  <c r="F337" i="33" s="1"/>
  <c r="Q336" i="33"/>
  <c r="L336" i="33"/>
  <c r="Q335" i="33"/>
  <c r="L335" i="33"/>
  <c r="F335" i="33" a="1"/>
  <c r="F335" i="33" s="1"/>
  <c r="Q334" i="33"/>
  <c r="L334" i="33"/>
  <c r="F334" i="33" a="1"/>
  <c r="F334" i="33" s="1"/>
  <c r="Q333" i="33"/>
  <c r="L333" i="33"/>
  <c r="N333" i="33" s="1"/>
  <c r="F333" i="33" a="1"/>
  <c r="F333" i="33" s="1"/>
  <c r="Q332" i="33"/>
  <c r="L332" i="33"/>
  <c r="F332" i="33" a="1"/>
  <c r="F332" i="33" s="1"/>
  <c r="Q331" i="33"/>
  <c r="L331" i="33"/>
  <c r="F331" i="33"/>
  <c r="F331" i="33" a="1"/>
  <c r="Q330" i="33"/>
  <c r="L330" i="33"/>
  <c r="F330" i="33" a="1"/>
  <c r="F330" i="33" s="1"/>
  <c r="Q328" i="33"/>
  <c r="L328" i="33"/>
  <c r="N328" i="33" s="1"/>
  <c r="F328" i="33" a="1"/>
  <c r="F328" i="33" s="1"/>
  <c r="Q327" i="33"/>
  <c r="L327" i="33"/>
  <c r="F327" i="33" a="1"/>
  <c r="F327" i="33" s="1"/>
  <c r="Q326" i="33"/>
  <c r="L326" i="33"/>
  <c r="F326" i="33"/>
  <c r="F326" i="33" a="1"/>
  <c r="Q325" i="33"/>
  <c r="L325" i="33"/>
  <c r="F325" i="33" a="1"/>
  <c r="F325" i="33" s="1"/>
  <c r="Q324" i="33"/>
  <c r="L324" i="33"/>
  <c r="F324" i="33" a="1"/>
  <c r="F324" i="33" s="1"/>
  <c r="Q323" i="33"/>
  <c r="N323" i="33"/>
  <c r="L323" i="33"/>
  <c r="F323" i="33" a="1"/>
  <c r="F323" i="33" s="1"/>
  <c r="Q322" i="33"/>
  <c r="L322" i="33"/>
  <c r="F322" i="33" a="1"/>
  <c r="F322" i="33" s="1"/>
  <c r="Q321" i="33"/>
  <c r="L321" i="33"/>
  <c r="F321" i="33" a="1"/>
  <c r="F321" i="33" s="1"/>
  <c r="Q320" i="33"/>
  <c r="L320" i="33"/>
  <c r="N320" i="33" s="1"/>
  <c r="F320" i="33" a="1"/>
  <c r="F320" i="33" s="1"/>
  <c r="Q319" i="33"/>
  <c r="L319" i="33"/>
  <c r="F319" i="33" a="1"/>
  <c r="F319" i="33" s="1"/>
  <c r="Q318" i="33"/>
  <c r="L318" i="33"/>
  <c r="F318" i="33" a="1"/>
  <c r="F318" i="33" s="1"/>
  <c r="Q317" i="33"/>
  <c r="L317" i="33"/>
  <c r="F317" i="33" a="1"/>
  <c r="F317" i="33" s="1"/>
  <c r="Q311" i="33"/>
  <c r="P311" i="33"/>
  <c r="O311" i="33"/>
  <c r="L311" i="33"/>
  <c r="J311" i="33"/>
  <c r="K311" i="33" s="1"/>
  <c r="F311" i="33" a="1"/>
  <c r="F311" i="33" s="1"/>
  <c r="M311" i="33" s="1"/>
  <c r="D311" i="33"/>
  <c r="E311" i="33" s="1"/>
  <c r="D311" i="33" a="1"/>
  <c r="R307" i="33"/>
  <c r="Q307" i="33"/>
  <c r="P307" i="33"/>
  <c r="O307" i="33"/>
  <c r="L307" i="33"/>
  <c r="S307" i="33" s="1"/>
  <c r="J307" i="33"/>
  <c r="F307" i="33"/>
  <c r="F307" i="33" a="1"/>
  <c r="D307" i="33"/>
  <c r="E307" i="33" s="1"/>
  <c r="D307" i="33" a="1"/>
  <c r="Q306" i="33"/>
  <c r="S306" i="33" s="1"/>
  <c r="O306" i="33"/>
  <c r="L306" i="33"/>
  <c r="K306" i="33"/>
  <c r="J306" i="33"/>
  <c r="F306" i="33" a="1"/>
  <c r="F306" i="33" s="1"/>
  <c r="D306" i="33" a="1"/>
  <c r="D306" i="33" s="1"/>
  <c r="S302" i="33"/>
  <c r="Q302" i="33"/>
  <c r="O302" i="33"/>
  <c r="L302" i="33"/>
  <c r="J302" i="33"/>
  <c r="K302" i="33" s="1"/>
  <c r="F302" i="33" a="1"/>
  <c r="F302" i="33" s="1"/>
  <c r="D302" i="33"/>
  <c r="E302" i="33" s="1"/>
  <c r="D302" i="33" a="1"/>
  <c r="Q301" i="33"/>
  <c r="O301" i="33"/>
  <c r="L301" i="33"/>
  <c r="J301" i="33"/>
  <c r="K301" i="33" s="1"/>
  <c r="F301" i="33" a="1"/>
  <c r="F301" i="33" s="1"/>
  <c r="D301" i="33"/>
  <c r="E301" i="33" s="1"/>
  <c r="D301" i="33" a="1"/>
  <c r="S300" i="33"/>
  <c r="R300" i="33"/>
  <c r="Q300" i="33"/>
  <c r="O300" i="33"/>
  <c r="P300" i="33" s="1"/>
  <c r="L300" i="33"/>
  <c r="K300" i="33"/>
  <c r="J300" i="33"/>
  <c r="F300" i="33"/>
  <c r="F300" i="33" a="1"/>
  <c r="D300" i="33"/>
  <c r="M300" i="33" s="1"/>
  <c r="D300" i="33" a="1"/>
  <c r="Q299" i="33"/>
  <c r="P299" i="33" s="1"/>
  <c r="O299" i="33"/>
  <c r="L299" i="33"/>
  <c r="S299" i="33" s="1"/>
  <c r="J299" i="33"/>
  <c r="R299" i="33" s="1"/>
  <c r="F299" i="33" a="1"/>
  <c r="F299" i="33" s="1"/>
  <c r="D299" i="33"/>
  <c r="D299" i="33" a="1"/>
  <c r="Q298" i="33"/>
  <c r="S298" i="33" s="1"/>
  <c r="O298" i="33"/>
  <c r="R298" i="33" s="1"/>
  <c r="L298" i="33"/>
  <c r="K298" i="33"/>
  <c r="J298" i="33"/>
  <c r="F298" i="33"/>
  <c r="F298" i="33" a="1"/>
  <c r="D298" i="33" a="1"/>
  <c r="D298" i="33" s="1"/>
  <c r="E298" i="33" s="1"/>
  <c r="Q297" i="33"/>
  <c r="P297" i="33"/>
  <c r="O297" i="33"/>
  <c r="L297" i="33"/>
  <c r="S297" i="33" s="1"/>
  <c r="J297" i="33"/>
  <c r="F297" i="33" a="1"/>
  <c r="F297" i="33" s="1"/>
  <c r="N297" i="33" s="1"/>
  <c r="D297" i="33"/>
  <c r="D297" i="33" a="1"/>
  <c r="Q296" i="33"/>
  <c r="S296" i="33" s="1"/>
  <c r="O296" i="33"/>
  <c r="R296" i="33" s="1"/>
  <c r="N296" i="33"/>
  <c r="L296" i="33"/>
  <c r="K296" i="33"/>
  <c r="J296" i="33"/>
  <c r="F296" i="33"/>
  <c r="F296" i="33" a="1"/>
  <c r="D296" i="33" a="1"/>
  <c r="D296" i="33" s="1"/>
  <c r="M296" i="33" s="1"/>
  <c r="Q295" i="33"/>
  <c r="P295" i="33" s="1"/>
  <c r="O295" i="33"/>
  <c r="M295" i="33"/>
  <c r="L295" i="33"/>
  <c r="S295" i="33" s="1"/>
  <c r="J295" i="33"/>
  <c r="K295" i="33" s="1"/>
  <c r="F295" i="33" a="1"/>
  <c r="F295" i="33" s="1"/>
  <c r="E295" i="33"/>
  <c r="D295" i="33"/>
  <c r="D295" i="33" a="1"/>
  <c r="Q294" i="33"/>
  <c r="O294" i="33"/>
  <c r="L294" i="33"/>
  <c r="S294" i="33" s="1"/>
  <c r="K294" i="33"/>
  <c r="J294" i="33"/>
  <c r="F294" i="33"/>
  <c r="F294" i="33" a="1"/>
  <c r="D294" i="33" a="1"/>
  <c r="D294" i="33" s="1"/>
  <c r="N287" i="33"/>
  <c r="Q283" i="33"/>
  <c r="L283" i="33"/>
  <c r="S283" i="33" s="1"/>
  <c r="F283" i="33"/>
  <c r="F283" i="33" a="1"/>
  <c r="Q282" i="33"/>
  <c r="L282" i="33"/>
  <c r="F282" i="33" a="1"/>
  <c r="F282" i="33" s="1"/>
  <c r="S281" i="33"/>
  <c r="Q281" i="33"/>
  <c r="N281" i="33"/>
  <c r="L281" i="33"/>
  <c r="F281" i="33"/>
  <c r="F281" i="33" a="1"/>
  <c r="Q280" i="33"/>
  <c r="L280" i="33"/>
  <c r="S280" i="33" s="1"/>
  <c r="F280" i="33"/>
  <c r="F280" i="33" a="1"/>
  <c r="Q279" i="33"/>
  <c r="L279" i="33"/>
  <c r="F279" i="33"/>
  <c r="F279" i="33" a="1"/>
  <c r="S278" i="33"/>
  <c r="Q278" i="33"/>
  <c r="L278" i="33"/>
  <c r="N278" i="33" s="1"/>
  <c r="F278" i="33"/>
  <c r="F278" i="33" a="1"/>
  <c r="Q277" i="33"/>
  <c r="L277" i="33"/>
  <c r="S277" i="33" s="1"/>
  <c r="F277" i="33" a="1"/>
  <c r="F277" i="33" s="1"/>
  <c r="Q276" i="33"/>
  <c r="L276" i="33"/>
  <c r="S276" i="33" s="1"/>
  <c r="F276" i="33"/>
  <c r="N276" i="33" s="1"/>
  <c r="F276" i="33" a="1"/>
  <c r="S275" i="33"/>
  <c r="Q275" i="33"/>
  <c r="L275" i="33"/>
  <c r="N275" i="33" s="1"/>
  <c r="F275" i="33"/>
  <c r="F275" i="33" a="1"/>
  <c r="Q274" i="33"/>
  <c r="L274" i="33"/>
  <c r="F274" i="33" a="1"/>
  <c r="F274" i="33" s="1"/>
  <c r="Q273" i="33"/>
  <c r="L273" i="33"/>
  <c r="S273" i="33" s="1"/>
  <c r="F273" i="33"/>
  <c r="F273" i="33" a="1"/>
  <c r="S272" i="33"/>
  <c r="Q272" i="33"/>
  <c r="L272" i="33"/>
  <c r="N272" i="33" s="1"/>
  <c r="Q271" i="33"/>
  <c r="L271" i="33"/>
  <c r="F271" i="33" a="1"/>
  <c r="F271" i="33" s="1"/>
  <c r="Q270" i="33"/>
  <c r="S270" i="33" s="1"/>
  <c r="L270" i="33"/>
  <c r="F270" i="33" a="1"/>
  <c r="F270" i="33" s="1"/>
  <c r="S269" i="33"/>
  <c r="Q269" i="33"/>
  <c r="L269" i="33"/>
  <c r="F269" i="33" a="1"/>
  <c r="F269" i="33" s="1"/>
  <c r="N269" i="33" s="1"/>
  <c r="Q268" i="33"/>
  <c r="L268" i="33"/>
  <c r="F268" i="33" a="1"/>
  <c r="F268" i="33" s="1"/>
  <c r="Q267" i="33"/>
  <c r="S267" i="33" s="1"/>
  <c r="L267" i="33"/>
  <c r="F267" i="33" a="1"/>
  <c r="F267" i="33" s="1"/>
  <c r="S266" i="33"/>
  <c r="Q266" i="33"/>
  <c r="Q284" i="33" s="1"/>
  <c r="P284" i="33" s="1"/>
  <c r="N266" i="33"/>
  <c r="L266" i="33"/>
  <c r="F266" i="33" a="1"/>
  <c r="F266" i="33" s="1"/>
  <c r="Q264" i="33"/>
  <c r="L264" i="33"/>
  <c r="S264" i="33" s="1"/>
  <c r="F264" i="33"/>
  <c r="F264" i="33" a="1"/>
  <c r="Q263" i="33"/>
  <c r="L263" i="33"/>
  <c r="F263" i="33" a="1"/>
  <c r="F263" i="33" s="1"/>
  <c r="Q262" i="33"/>
  <c r="L262" i="33"/>
  <c r="S262" i="33" s="1"/>
  <c r="F262" i="33" a="1"/>
  <c r="F262" i="33" s="1"/>
  <c r="Q261" i="33"/>
  <c r="L261" i="33"/>
  <c r="S261" i="33" s="1"/>
  <c r="F261" i="33" a="1"/>
  <c r="F261" i="33" s="1"/>
  <c r="Q260" i="33"/>
  <c r="L260" i="33"/>
  <c r="F260" i="33" a="1"/>
  <c r="F260" i="33" s="1"/>
  <c r="N260" i="33" s="1"/>
  <c r="Q259" i="33"/>
  <c r="L259" i="33"/>
  <c r="S259" i="33" s="1"/>
  <c r="F259" i="33" a="1"/>
  <c r="F259" i="33" s="1"/>
  <c r="Q258" i="33"/>
  <c r="L258" i="33"/>
  <c r="F258" i="33" a="1"/>
  <c r="F258" i="33" s="1"/>
  <c r="S257" i="33"/>
  <c r="Q257" i="33"/>
  <c r="L257" i="33"/>
  <c r="N257" i="33" s="1"/>
  <c r="F257" i="33" a="1"/>
  <c r="F257" i="33" s="1"/>
  <c r="Q256" i="33"/>
  <c r="L256" i="33"/>
  <c r="S256" i="33" s="1"/>
  <c r="F256" i="33" a="1"/>
  <c r="F256" i="33" s="1"/>
  <c r="Q255" i="33"/>
  <c r="L255" i="33"/>
  <c r="F255" i="33" a="1"/>
  <c r="F255" i="33" s="1"/>
  <c r="S254" i="33"/>
  <c r="Q254" i="33"/>
  <c r="L254" i="33"/>
  <c r="F254" i="33" a="1"/>
  <c r="F254" i="33" s="1"/>
  <c r="Q253" i="33"/>
  <c r="Q265" i="33" s="1"/>
  <c r="L253" i="33"/>
  <c r="S253" i="33" s="1"/>
  <c r="F253" i="33" a="1"/>
  <c r="F253" i="33" s="1"/>
  <c r="F265" i="33" s="1"/>
  <c r="F247" i="33"/>
  <c r="Q246" i="33"/>
  <c r="P246" i="33"/>
  <c r="O246" i="33"/>
  <c r="R246" i="33" s="1"/>
  <c r="N246" i="33"/>
  <c r="M246" i="33"/>
  <c r="L246" i="33"/>
  <c r="N247" i="33" s="1"/>
  <c r="K246" i="33"/>
  <c r="J246" i="33"/>
  <c r="R243" i="33"/>
  <c r="Q243" i="33"/>
  <c r="S244" i="33" s="1"/>
  <c r="P243" i="33"/>
  <c r="P249" i="33" s="1"/>
  <c r="Q250" i="33" s="1"/>
  <c r="O243" i="33"/>
  <c r="L243" i="33"/>
  <c r="L249" i="33" s="1"/>
  <c r="K243" i="33"/>
  <c r="K249" i="33" s="1"/>
  <c r="J243" i="33"/>
  <c r="F243" i="33" a="1"/>
  <c r="F243" i="33" s="1"/>
  <c r="E243" i="33" a="1"/>
  <c r="E243" i="33" s="1"/>
  <c r="E249" i="33" s="1"/>
  <c r="D243" i="33" a="1"/>
  <c r="D243" i="33" s="1"/>
  <c r="L241" i="33"/>
  <c r="R240" i="33"/>
  <c r="Q240" i="33"/>
  <c r="Q249" i="33" s="1"/>
  <c r="P240" i="33"/>
  <c r="O240" i="33"/>
  <c r="L240" i="33"/>
  <c r="K240" i="33"/>
  <c r="M240" i="33" s="1"/>
  <c r="J240" i="33"/>
  <c r="F240" i="33"/>
  <c r="N240" i="33" s="1"/>
  <c r="F240" i="33" a="1"/>
  <c r="E240" i="33"/>
  <c r="E240" i="33" a="1"/>
  <c r="D240" i="33"/>
  <c r="D240" i="33" a="1"/>
  <c r="N231" i="33"/>
  <c r="Q227" i="33"/>
  <c r="S227" i="33" s="1"/>
  <c r="L227" i="33"/>
  <c r="F227" i="33"/>
  <c r="N227" i="33" s="1"/>
  <c r="F227" i="33" a="1"/>
  <c r="Q226" i="33"/>
  <c r="L226" i="33"/>
  <c r="F226" i="33"/>
  <c r="F226" i="33" a="1"/>
  <c r="S225" i="33"/>
  <c r="Q225" i="33"/>
  <c r="L225" i="33"/>
  <c r="F225" i="33" a="1"/>
  <c r="F225" i="33" s="1"/>
  <c r="N225" i="33" s="1"/>
  <c r="S224" i="33"/>
  <c r="Q224" i="33"/>
  <c r="L224" i="33"/>
  <c r="F224" i="33" a="1"/>
  <c r="F224" i="33" s="1"/>
  <c r="N224" i="33" s="1"/>
  <c r="Q223" i="33"/>
  <c r="S223" i="33" s="1"/>
  <c r="N223" i="33"/>
  <c r="L223" i="33"/>
  <c r="F223" i="33"/>
  <c r="F223" i="33" a="1"/>
  <c r="Q222" i="33"/>
  <c r="L222" i="33"/>
  <c r="S222" i="33" s="1"/>
  <c r="F222" i="33"/>
  <c r="F222" i="33" a="1"/>
  <c r="Q221" i="33"/>
  <c r="L221" i="33"/>
  <c r="S221" i="33" s="1"/>
  <c r="F221" i="33" a="1"/>
  <c r="F221" i="33" s="1"/>
  <c r="S220" i="33"/>
  <c r="Q220" i="33"/>
  <c r="N220" i="33"/>
  <c r="L220" i="33"/>
  <c r="F220" i="33"/>
  <c r="F220" i="33" a="1"/>
  <c r="Q219" i="33"/>
  <c r="L219" i="33"/>
  <c r="S219" i="33" s="1"/>
  <c r="F219" i="33"/>
  <c r="N219" i="33" s="1"/>
  <c r="F219" i="33" a="1"/>
  <c r="Q218" i="33"/>
  <c r="L218" i="33"/>
  <c r="F218" i="33"/>
  <c r="F218" i="33" a="1"/>
  <c r="S217" i="33"/>
  <c r="Q217" i="33"/>
  <c r="L217" i="33"/>
  <c r="F217" i="33" a="1"/>
  <c r="F217" i="33" s="1"/>
  <c r="N217" i="33" s="1"/>
  <c r="S216" i="33"/>
  <c r="Q216" i="33"/>
  <c r="N216" i="33"/>
  <c r="L216" i="33"/>
  <c r="Q215" i="33"/>
  <c r="L215" i="33"/>
  <c r="F215" i="33"/>
  <c r="F215" i="33" a="1"/>
  <c r="S214" i="33"/>
  <c r="Q214" i="33"/>
  <c r="L214" i="33"/>
  <c r="F214" i="33" a="1"/>
  <c r="F214" i="33" s="1"/>
  <c r="Q213" i="33"/>
  <c r="L213" i="33"/>
  <c r="S213" i="33" s="1"/>
  <c r="F213" i="33" a="1"/>
  <c r="F213" i="33" s="1"/>
  <c r="Q212" i="33"/>
  <c r="Q228" i="33" s="1"/>
  <c r="N212" i="33"/>
  <c r="L212" i="33"/>
  <c r="F212" i="33"/>
  <c r="F212" i="33" a="1"/>
  <c r="Q211" i="33"/>
  <c r="L211" i="33"/>
  <c r="S211" i="33" s="1"/>
  <c r="F211" i="33" a="1"/>
  <c r="F211" i="33" s="1"/>
  <c r="Q210" i="33"/>
  <c r="L210" i="33"/>
  <c r="F210" i="33" a="1"/>
  <c r="F210" i="33" s="1"/>
  <c r="Q208" i="33"/>
  <c r="L208" i="33"/>
  <c r="S208" i="33" s="1"/>
  <c r="F208" i="33" a="1"/>
  <c r="F208" i="33" s="1"/>
  <c r="Q207" i="33"/>
  <c r="L207" i="33"/>
  <c r="N207" i="33" s="1"/>
  <c r="F207" i="33"/>
  <c r="F207" i="33" a="1"/>
  <c r="Q206" i="33"/>
  <c r="L206" i="33"/>
  <c r="S206" i="33" s="1"/>
  <c r="F206" i="33" a="1"/>
  <c r="F206" i="33" s="1"/>
  <c r="V205" i="33"/>
  <c r="S205" i="33"/>
  <c r="Q205" i="33"/>
  <c r="L205" i="33"/>
  <c r="F205" i="33"/>
  <c r="N205" i="33" s="1"/>
  <c r="F205" i="33" a="1"/>
  <c r="S204" i="33"/>
  <c r="Q204" i="33"/>
  <c r="L204" i="33"/>
  <c r="F204" i="33"/>
  <c r="N204" i="33" s="1"/>
  <c r="F204" i="33" a="1"/>
  <c r="S203" i="33"/>
  <c r="Q203" i="33"/>
  <c r="L203" i="33"/>
  <c r="F203" i="33"/>
  <c r="N203" i="33" s="1"/>
  <c r="F203" i="33" a="1"/>
  <c r="S202" i="33"/>
  <c r="Q202" i="33"/>
  <c r="N202" i="33"/>
  <c r="L202" i="33"/>
  <c r="F202" i="33"/>
  <c r="F202" i="33" a="1"/>
  <c r="Q201" i="33"/>
  <c r="L201" i="33"/>
  <c r="S201" i="33" s="1"/>
  <c r="F201" i="33"/>
  <c r="F201" i="33" a="1"/>
  <c r="Q200" i="33"/>
  <c r="L200" i="33"/>
  <c r="S200" i="33" s="1"/>
  <c r="F200" i="33"/>
  <c r="N200" i="33" s="1"/>
  <c r="F200" i="33" a="1"/>
  <c r="Y199" i="33"/>
  <c r="Q199" i="33"/>
  <c r="S199" i="33" s="1"/>
  <c r="L199" i="33"/>
  <c r="F199" i="33" a="1"/>
  <c r="F199" i="33" s="1"/>
  <c r="N199" i="33" s="1"/>
  <c r="Q198" i="33"/>
  <c r="L198" i="33"/>
  <c r="S198" i="33" s="1"/>
  <c r="F198" i="33" a="1"/>
  <c r="F198" i="33" s="1"/>
  <c r="Q197" i="33"/>
  <c r="L197" i="33"/>
  <c r="F197" i="33" a="1"/>
  <c r="F197" i="33" s="1"/>
  <c r="F209" i="33" s="1"/>
  <c r="Q191" i="33"/>
  <c r="L191" i="33"/>
  <c r="P190" i="33"/>
  <c r="K190" i="33"/>
  <c r="F190" i="33" a="1"/>
  <c r="F190" i="33" s="1"/>
  <c r="F191" i="33" s="1"/>
  <c r="E190" i="33"/>
  <c r="E190" i="33" a="1"/>
  <c r="R187" i="33"/>
  <c r="Q187" i="33"/>
  <c r="Q188" i="33" s="1"/>
  <c r="P187" i="33"/>
  <c r="L187" i="33"/>
  <c r="L188" i="33" s="1"/>
  <c r="K187" i="33"/>
  <c r="F187" i="33" a="1"/>
  <c r="F187" i="33" s="1"/>
  <c r="E187" i="33" a="1"/>
  <c r="E187" i="33" s="1"/>
  <c r="M187" i="33" s="1"/>
  <c r="Q183" i="33"/>
  <c r="L183" i="33"/>
  <c r="N183" i="33" s="1"/>
  <c r="F183" i="33"/>
  <c r="F183" i="33" a="1"/>
  <c r="P181" i="33"/>
  <c r="M181" i="33"/>
  <c r="K181" i="33"/>
  <c r="R180" i="33"/>
  <c r="Q180" i="33"/>
  <c r="P180" i="33"/>
  <c r="O180" i="33"/>
  <c r="L180" i="33"/>
  <c r="L181" i="33" s="1"/>
  <c r="K180" i="33"/>
  <c r="J180" i="33"/>
  <c r="F180" i="33" a="1"/>
  <c r="F180" i="33" s="1"/>
  <c r="E180" i="33" a="1"/>
  <c r="E180" i="33" s="1"/>
  <c r="M180" i="33" s="1"/>
  <c r="D180" i="33" a="1"/>
  <c r="D180" i="33" s="1"/>
  <c r="P179" i="33"/>
  <c r="E179" i="33"/>
  <c r="R178" i="33"/>
  <c r="Q178" i="33"/>
  <c r="Q177" i="33"/>
  <c r="P177" i="33"/>
  <c r="O177" i="33"/>
  <c r="R177" i="33" s="1"/>
  <c r="L177" i="33"/>
  <c r="L178" i="33" s="1"/>
  <c r="N178" i="33" s="1"/>
  <c r="K177" i="33"/>
  <c r="M177" i="33" s="1"/>
  <c r="J177" i="33"/>
  <c r="F177" i="33"/>
  <c r="F178" i="33" s="1"/>
  <c r="F177" i="33" a="1"/>
  <c r="E177" i="33"/>
  <c r="E177" i="33" a="1"/>
  <c r="D177" i="33"/>
  <c r="D177" i="33" a="1"/>
  <c r="V175" i="33"/>
  <c r="W175" i="33" s="1"/>
  <c r="L175" i="33"/>
  <c r="V174" i="33"/>
  <c r="R174" i="33"/>
  <c r="Q174" i="33"/>
  <c r="Q175" i="33" s="1"/>
  <c r="P174" i="33"/>
  <c r="P176" i="33" s="1"/>
  <c r="O174" i="33"/>
  <c r="L174" i="33"/>
  <c r="K174" i="33"/>
  <c r="M174" i="33" s="1"/>
  <c r="J174" i="33"/>
  <c r="F174" i="33" a="1"/>
  <c r="F174" i="33" s="1"/>
  <c r="E174" i="33" a="1"/>
  <c r="E174" i="33" s="1"/>
  <c r="E176" i="33" s="1"/>
  <c r="D174" i="33" a="1"/>
  <c r="D174" i="33" s="1"/>
  <c r="D184" i="33" s="1"/>
  <c r="K173" i="33"/>
  <c r="Q172" i="33"/>
  <c r="L172" i="33"/>
  <c r="Q171" i="33"/>
  <c r="Q184" i="33" s="1"/>
  <c r="P171" i="33"/>
  <c r="O171" i="33"/>
  <c r="O184" i="33" s="1"/>
  <c r="L171" i="33"/>
  <c r="S171" i="33" s="1"/>
  <c r="K171" i="33"/>
  <c r="K184" i="33" s="1"/>
  <c r="J171" i="33"/>
  <c r="J184" i="33" s="1"/>
  <c r="K185" i="33" s="1"/>
  <c r="F171" i="33" a="1"/>
  <c r="F171" i="33" s="1"/>
  <c r="E171" i="33"/>
  <c r="E173" i="33" s="1"/>
  <c r="E171" i="33" a="1"/>
  <c r="D171" i="33"/>
  <c r="D171" i="33" a="1"/>
  <c r="Q161" i="33"/>
  <c r="S161" i="33" s="1"/>
  <c r="L161" i="33"/>
  <c r="F161" i="33" a="1"/>
  <c r="F161" i="33" s="1"/>
  <c r="N161" i="33" s="1"/>
  <c r="Q160" i="33"/>
  <c r="L160" i="33"/>
  <c r="S160" i="33" s="1"/>
  <c r="F160" i="33" a="1"/>
  <c r="F160" i="33" s="1"/>
  <c r="Q159" i="33"/>
  <c r="L159" i="33"/>
  <c r="F159" i="33" a="1"/>
  <c r="F159" i="33" s="1"/>
  <c r="S158" i="33"/>
  <c r="Q158" i="33"/>
  <c r="L158" i="33"/>
  <c r="F158" i="33" a="1"/>
  <c r="F158" i="33" s="1"/>
  <c r="Q157" i="33"/>
  <c r="L157" i="33"/>
  <c r="F157" i="33" a="1"/>
  <c r="F157" i="33" s="1"/>
  <c r="Q156" i="33"/>
  <c r="S156" i="33" s="1"/>
  <c r="L156" i="33"/>
  <c r="F156" i="33" a="1"/>
  <c r="F156" i="33" s="1"/>
  <c r="F162" i="33" s="1"/>
  <c r="Q155" i="33"/>
  <c r="S155" i="33" s="1"/>
  <c r="F155" i="33"/>
  <c r="N155" i="33" s="1"/>
  <c r="F155" i="33" a="1"/>
  <c r="S151" i="33"/>
  <c r="Q151" i="33"/>
  <c r="N151" i="33"/>
  <c r="L151" i="33"/>
  <c r="F151" i="33"/>
  <c r="F151" i="33" a="1"/>
  <c r="S150" i="33"/>
  <c r="Q150" i="33"/>
  <c r="L150" i="33"/>
  <c r="F150" i="33"/>
  <c r="N150" i="33" s="1"/>
  <c r="F150" i="33" a="1"/>
  <c r="S149" i="33"/>
  <c r="Q149" i="33"/>
  <c r="L149" i="33"/>
  <c r="N149" i="33" s="1"/>
  <c r="F149" i="33"/>
  <c r="F149" i="33" a="1"/>
  <c r="S148" i="33"/>
  <c r="Q148" i="33"/>
  <c r="N148" i="33"/>
  <c r="L148" i="33"/>
  <c r="F148" i="33"/>
  <c r="F148" i="33" a="1"/>
  <c r="Q147" i="33"/>
  <c r="N147" i="33"/>
  <c r="L147" i="33"/>
  <c r="S147" i="33" s="1"/>
  <c r="F147" i="33"/>
  <c r="F147" i="33" a="1"/>
  <c r="Q146" i="33"/>
  <c r="L146" i="33"/>
  <c r="S146" i="33" s="1"/>
  <c r="F146" i="33"/>
  <c r="N146" i="33" s="1"/>
  <c r="F146" i="33" a="1"/>
  <c r="S145" i="33"/>
  <c r="Q145" i="33"/>
  <c r="L145" i="33"/>
  <c r="F145" i="33" a="1"/>
  <c r="F145" i="33" s="1"/>
  <c r="N145" i="33" s="1"/>
  <c r="S144" i="33"/>
  <c r="Q144" i="33"/>
  <c r="L144" i="33"/>
  <c r="F144" i="33" a="1"/>
  <c r="F144" i="33" s="1"/>
  <c r="N144" i="33" s="1"/>
  <c r="S143" i="33"/>
  <c r="Q143" i="33"/>
  <c r="N143" i="33"/>
  <c r="L143" i="33"/>
  <c r="F143" i="33"/>
  <c r="F143" i="33" a="1"/>
  <c r="S142" i="33"/>
  <c r="Q142" i="33"/>
  <c r="L142" i="33"/>
  <c r="N142" i="33" s="1"/>
  <c r="F142" i="33"/>
  <c r="F142" i="33" a="1"/>
  <c r="Q141" i="33"/>
  <c r="L141" i="33"/>
  <c r="S141" i="33" s="1"/>
  <c r="F141" i="33"/>
  <c r="F141" i="33" a="1"/>
  <c r="S140" i="33"/>
  <c r="Q140" i="33"/>
  <c r="L140" i="33"/>
  <c r="N140" i="33" s="1"/>
  <c r="F140" i="33"/>
  <c r="F140" i="33" a="1"/>
  <c r="Q139" i="33"/>
  <c r="N139" i="33"/>
  <c r="L139" i="33"/>
  <c r="S139" i="33" s="1"/>
  <c r="F139" i="33"/>
  <c r="F139" i="33" a="1"/>
  <c r="Q138" i="33"/>
  <c r="L138" i="33"/>
  <c r="S138" i="33" s="1"/>
  <c r="F138" i="33"/>
  <c r="F138" i="33" a="1"/>
  <c r="Q137" i="33"/>
  <c r="S137" i="33" s="1"/>
  <c r="L137" i="33"/>
  <c r="F137" i="33" a="1"/>
  <c r="F137" i="33" s="1"/>
  <c r="N137" i="33" s="1"/>
  <c r="Q136" i="33"/>
  <c r="S136" i="33" s="1"/>
  <c r="L136" i="33"/>
  <c r="N136" i="33" s="1"/>
  <c r="F136" i="33" a="1"/>
  <c r="F136" i="33" s="1"/>
  <c r="Q135" i="33"/>
  <c r="Q152" i="33" s="1"/>
  <c r="N135" i="33"/>
  <c r="L135" i="33"/>
  <c r="L152" i="33" s="1"/>
  <c r="F135" i="33" a="1"/>
  <c r="F135" i="33" s="1"/>
  <c r="F152" i="33" s="1"/>
  <c r="Q133" i="33"/>
  <c r="L133" i="33"/>
  <c r="S133" i="33" s="1"/>
  <c r="F133" i="33"/>
  <c r="F133" i="33" a="1"/>
  <c r="Q132" i="33"/>
  <c r="S132" i="33" s="1"/>
  <c r="L132" i="33"/>
  <c r="F132" i="33" a="1"/>
  <c r="F132" i="33" s="1"/>
  <c r="Q131" i="33"/>
  <c r="L131" i="33"/>
  <c r="S131" i="33" s="1"/>
  <c r="F131" i="33" a="1"/>
  <c r="F131" i="33" s="1"/>
  <c r="Q130" i="33"/>
  <c r="L130" i="33"/>
  <c r="S130" i="33" s="1"/>
  <c r="F130" i="33" a="1"/>
  <c r="F130" i="33" s="1"/>
  <c r="N130" i="33" s="1"/>
  <c r="Q129" i="33"/>
  <c r="L129" i="33"/>
  <c r="S129" i="33" s="1"/>
  <c r="F129" i="33" a="1"/>
  <c r="F129" i="33" s="1"/>
  <c r="Q128" i="33"/>
  <c r="L128" i="33"/>
  <c r="S128" i="33" s="1"/>
  <c r="F128" i="33" a="1"/>
  <c r="F128" i="33" s="1"/>
  <c r="S127" i="33"/>
  <c r="Q127" i="33"/>
  <c r="L127" i="33"/>
  <c r="F127" i="33" a="1"/>
  <c r="F127" i="33" s="1"/>
  <c r="Q126" i="33"/>
  <c r="L126" i="33"/>
  <c r="S126" i="33" s="1"/>
  <c r="F126" i="33" a="1"/>
  <c r="F126" i="33" s="1"/>
  <c r="Q125" i="33"/>
  <c r="L125" i="33"/>
  <c r="S125" i="33" s="1"/>
  <c r="F125" i="33"/>
  <c r="F125" i="33" a="1"/>
  <c r="Q124" i="33"/>
  <c r="S124" i="33" s="1"/>
  <c r="L124" i="33"/>
  <c r="F124" i="33" a="1"/>
  <c r="F124" i="33" s="1"/>
  <c r="Q123" i="33"/>
  <c r="L123" i="33"/>
  <c r="S123" i="33" s="1"/>
  <c r="F123" i="33" a="1"/>
  <c r="F123" i="33" s="1"/>
  <c r="Q122" i="33"/>
  <c r="Q134" i="33" s="1"/>
  <c r="N122" i="33"/>
  <c r="L122" i="33"/>
  <c r="L134" i="33" s="1"/>
  <c r="F122" i="33" a="1"/>
  <c r="F122" i="33" s="1"/>
  <c r="Q120" i="33"/>
  <c r="L120" i="33"/>
  <c r="F120" i="33" a="1"/>
  <c r="F120" i="33" s="1"/>
  <c r="Q119" i="33"/>
  <c r="L119" i="33"/>
  <c r="S119" i="33" s="1"/>
  <c r="F119" i="33"/>
  <c r="F119" i="33" a="1"/>
  <c r="Q118" i="33"/>
  <c r="S118" i="33" s="1"/>
  <c r="P118" i="33"/>
  <c r="L118" i="33"/>
  <c r="K118" i="33"/>
  <c r="F118" i="33" a="1"/>
  <c r="F118" i="33" s="1"/>
  <c r="Q117" i="33"/>
  <c r="L117" i="33"/>
  <c r="S117" i="33" s="1"/>
  <c r="F117" i="33"/>
  <c r="F117" i="33" a="1"/>
  <c r="S116" i="33"/>
  <c r="Q116" i="33"/>
  <c r="L116" i="33"/>
  <c r="F116" i="33" a="1"/>
  <c r="F116" i="33" s="1"/>
  <c r="Q115" i="33"/>
  <c r="L115" i="33"/>
  <c r="S115" i="33" s="1"/>
  <c r="F115" i="33" a="1"/>
  <c r="F115" i="33" s="1"/>
  <c r="Q114" i="33"/>
  <c r="S114" i="33" s="1"/>
  <c r="L114" i="33"/>
  <c r="F114" i="33" a="1"/>
  <c r="F114" i="33" s="1"/>
  <c r="Q113" i="33"/>
  <c r="L113" i="33"/>
  <c r="S113" i="33" s="1"/>
  <c r="K113" i="33"/>
  <c r="F113" i="33"/>
  <c r="F113" i="33" a="1"/>
  <c r="Q112" i="33"/>
  <c r="L112" i="33"/>
  <c r="S112" i="33" s="1"/>
  <c r="K112" i="33"/>
  <c r="F112" i="33"/>
  <c r="F112" i="33" a="1"/>
  <c r="S111" i="33"/>
  <c r="Q111" i="33"/>
  <c r="L111" i="33"/>
  <c r="N111" i="33" s="1"/>
  <c r="F111" i="33" a="1"/>
  <c r="F111" i="33" s="1"/>
  <c r="Q104" i="33"/>
  <c r="Q103" i="33"/>
  <c r="L103" i="33"/>
  <c r="K103" i="33"/>
  <c r="R103" i="33" s="1"/>
  <c r="F103" i="33"/>
  <c r="F103" i="33" a="1"/>
  <c r="D103" i="33" a="1"/>
  <c r="D103" i="33" s="1"/>
  <c r="E103" i="33" s="1"/>
  <c r="Q102" i="33"/>
  <c r="L102" i="33"/>
  <c r="S102" i="33" s="1"/>
  <c r="F102" i="33"/>
  <c r="F102" i="33" a="1"/>
  <c r="E102" i="33"/>
  <c r="D102" i="33"/>
  <c r="D102" i="33" a="1"/>
  <c r="Q101" i="33"/>
  <c r="L101" i="33"/>
  <c r="S101" i="33" s="1"/>
  <c r="F101" i="33"/>
  <c r="F104" i="33" s="1"/>
  <c r="F101" i="33" a="1"/>
  <c r="D101" i="33" a="1"/>
  <c r="D101" i="33" s="1"/>
  <c r="E101" i="33" s="1"/>
  <c r="R99" i="33"/>
  <c r="Q99" i="33"/>
  <c r="P99" i="33" s="1"/>
  <c r="O99" i="33"/>
  <c r="L99" i="33"/>
  <c r="S99" i="33" s="1"/>
  <c r="J99" i="33"/>
  <c r="M99" i="33" s="1"/>
  <c r="F99" i="33" a="1"/>
  <c r="F99" i="33" s="1"/>
  <c r="N99" i="33" s="1"/>
  <c r="D99" i="33"/>
  <c r="E99" i="33" s="1"/>
  <c r="D99" i="33" a="1"/>
  <c r="E97" i="33"/>
  <c r="L96" i="33"/>
  <c r="J96" i="33"/>
  <c r="P116" i="33" s="1"/>
  <c r="S95" i="33"/>
  <c r="R95" i="33"/>
  <c r="Q95" i="33"/>
  <c r="O95" i="33"/>
  <c r="P95" i="33" s="1"/>
  <c r="L95" i="33"/>
  <c r="J95" i="33"/>
  <c r="F95" i="33"/>
  <c r="N95" i="33" s="1"/>
  <c r="F95" i="33" a="1"/>
  <c r="D95" i="33" a="1"/>
  <c r="D95" i="33" s="1"/>
  <c r="R94" i="33"/>
  <c r="R96" i="33" s="1"/>
  <c r="R97" i="33" s="1"/>
  <c r="Q94" i="33"/>
  <c r="O94" i="33"/>
  <c r="O96" i="33" s="1"/>
  <c r="L94" i="33"/>
  <c r="J94" i="33"/>
  <c r="M94" i="33" s="1"/>
  <c r="F94" i="33" a="1"/>
  <c r="F94" i="33" s="1"/>
  <c r="D94" i="33"/>
  <c r="D94" i="33" a="1"/>
  <c r="Q93" i="33"/>
  <c r="L93" i="33"/>
  <c r="F93" i="33"/>
  <c r="F93" i="33" a="1"/>
  <c r="Q82" i="33"/>
  <c r="N82" i="33"/>
  <c r="L82" i="33"/>
  <c r="F82" i="33"/>
  <c r="F82" i="33" a="1"/>
  <c r="Q81" i="33"/>
  <c r="L81" i="33"/>
  <c r="S81" i="33" s="1"/>
  <c r="F81" i="33"/>
  <c r="F81" i="33" a="1"/>
  <c r="Q80" i="33"/>
  <c r="L80" i="33"/>
  <c r="S80" i="33" s="1"/>
  <c r="F80" i="33"/>
  <c r="N80" i="33" s="1"/>
  <c r="F80" i="33" a="1"/>
  <c r="S79" i="33"/>
  <c r="Q79" i="33"/>
  <c r="N79" i="33"/>
  <c r="L79" i="33"/>
  <c r="F79" i="33"/>
  <c r="F79" i="33" a="1"/>
  <c r="Q78" i="33"/>
  <c r="S78" i="33" s="1"/>
  <c r="L78" i="33"/>
  <c r="F78" i="33" a="1"/>
  <c r="F78" i="33" s="1"/>
  <c r="S77" i="33"/>
  <c r="Q77" i="33"/>
  <c r="N77" i="33"/>
  <c r="L77" i="33"/>
  <c r="F77" i="33"/>
  <c r="F77" i="33" a="1"/>
  <c r="Q76" i="33"/>
  <c r="L76" i="33"/>
  <c r="S76" i="33" s="1"/>
  <c r="F76" i="33"/>
  <c r="F76" i="33" a="1"/>
  <c r="Q75" i="33"/>
  <c r="Q83" i="33" s="1"/>
  <c r="L75" i="33"/>
  <c r="L83" i="33" s="1"/>
  <c r="F75" i="33" a="1"/>
  <c r="F75" i="33" s="1"/>
  <c r="S71" i="33"/>
  <c r="Q71" i="33"/>
  <c r="L71" i="33"/>
  <c r="F71" i="33" a="1"/>
  <c r="F71" i="33" s="1"/>
  <c r="Q70" i="33"/>
  <c r="L70" i="33"/>
  <c r="S70" i="33" s="1"/>
  <c r="F70" i="33" a="1"/>
  <c r="F70" i="33" s="1"/>
  <c r="N70" i="33" s="1"/>
  <c r="Q69" i="33"/>
  <c r="S69" i="33" s="1"/>
  <c r="F69" i="33" a="1"/>
  <c r="F69" i="33" s="1"/>
  <c r="N69" i="33" s="1"/>
  <c r="S68" i="33"/>
  <c r="Q68" i="33"/>
  <c r="N68" i="33"/>
  <c r="L68" i="33"/>
  <c r="F68" i="33"/>
  <c r="F68" i="33" a="1"/>
  <c r="Q67" i="33"/>
  <c r="S67" i="33" s="1"/>
  <c r="N67" i="33"/>
  <c r="L67" i="33"/>
  <c r="F67" i="33"/>
  <c r="F67" i="33" a="1"/>
  <c r="Q66" i="33"/>
  <c r="L66" i="33"/>
  <c r="S66" i="33" s="1"/>
  <c r="F66" i="33"/>
  <c r="F66" i="33" a="1"/>
  <c r="S65" i="33"/>
  <c r="Q65" i="33"/>
  <c r="L65" i="33"/>
  <c r="F65" i="33" a="1"/>
  <c r="F65" i="33" s="1"/>
  <c r="N65" i="33" s="1"/>
  <c r="S64" i="33"/>
  <c r="Q64" i="33"/>
  <c r="L64" i="33"/>
  <c r="F64" i="33"/>
  <c r="N64" i="33" s="1"/>
  <c r="F64" i="33" a="1"/>
  <c r="S63" i="33"/>
  <c r="Q63" i="33"/>
  <c r="N63" i="33"/>
  <c r="L63" i="33"/>
  <c r="F63" i="33"/>
  <c r="F63" i="33" a="1"/>
  <c r="Q62" i="33"/>
  <c r="L62" i="33"/>
  <c r="S62" i="33" s="1"/>
  <c r="F62" i="33"/>
  <c r="F62" i="33" a="1"/>
  <c r="Q61" i="33"/>
  <c r="L61" i="33"/>
  <c r="S61" i="33" s="1"/>
  <c r="F61" i="33"/>
  <c r="N61" i="33" s="1"/>
  <c r="F61" i="33" a="1"/>
  <c r="S60" i="33"/>
  <c r="Q60" i="33"/>
  <c r="L60" i="33"/>
  <c r="F60" i="33" a="1"/>
  <c r="F60" i="33" s="1"/>
  <c r="N60" i="33" s="1"/>
  <c r="Q59" i="33"/>
  <c r="S59" i="33" s="1"/>
  <c r="N59" i="33"/>
  <c r="L59" i="33"/>
  <c r="F59" i="33"/>
  <c r="F59" i="33" a="1"/>
  <c r="Q58" i="33"/>
  <c r="L58" i="33"/>
  <c r="S58" i="33" s="1"/>
  <c r="F58" i="33"/>
  <c r="F58" i="33" a="1"/>
  <c r="S57" i="33"/>
  <c r="Q57" i="33"/>
  <c r="L57" i="33"/>
  <c r="N57" i="33" s="1"/>
  <c r="F57" i="33" a="1"/>
  <c r="F57" i="33" s="1"/>
  <c r="S56" i="33"/>
  <c r="Q56" i="33"/>
  <c r="L56" i="33"/>
  <c r="F56" i="33"/>
  <c r="N56" i="33" s="1"/>
  <c r="F56" i="33" a="1"/>
  <c r="Q55" i="33"/>
  <c r="Q72" i="33" s="1"/>
  <c r="N55" i="33"/>
  <c r="L55" i="33"/>
  <c r="F55" i="33"/>
  <c r="F55" i="33" a="1"/>
  <c r="Q53" i="33"/>
  <c r="L53" i="33"/>
  <c r="S53" i="33" s="1"/>
  <c r="F53" i="33"/>
  <c r="F53" i="33" a="1"/>
  <c r="S52" i="33"/>
  <c r="Q52" i="33"/>
  <c r="L52" i="33"/>
  <c r="F52" i="33" a="1"/>
  <c r="F52" i="33" s="1"/>
  <c r="Q51" i="33"/>
  <c r="S51" i="33" s="1"/>
  <c r="L51" i="33"/>
  <c r="F51" i="33" a="1"/>
  <c r="F51" i="33" s="1"/>
  <c r="N51" i="33" s="1"/>
  <c r="Q50" i="33"/>
  <c r="S50" i="33" s="1"/>
  <c r="N50" i="33"/>
  <c r="L50" i="33"/>
  <c r="F50" i="33"/>
  <c r="F50" i="33" a="1"/>
  <c r="Q49" i="33"/>
  <c r="L49" i="33"/>
  <c r="F49" i="33" a="1"/>
  <c r="F49" i="33" s="1"/>
  <c r="Q48" i="33"/>
  <c r="L48" i="33"/>
  <c r="S48" i="33" s="1"/>
  <c r="F48" i="33" a="1"/>
  <c r="F48" i="33" s="1"/>
  <c r="Q47" i="33"/>
  <c r="S47" i="33" s="1"/>
  <c r="L47" i="33"/>
  <c r="F47" i="33" a="1"/>
  <c r="F47" i="33" s="1"/>
  <c r="N47" i="33" s="1"/>
  <c r="Q46" i="33"/>
  <c r="L46" i="33"/>
  <c r="F46" i="33" a="1"/>
  <c r="F46" i="33" s="1"/>
  <c r="Q45" i="33"/>
  <c r="L45" i="33"/>
  <c r="F45" i="33" a="1"/>
  <c r="F45" i="33" s="1"/>
  <c r="Q44" i="33"/>
  <c r="S44" i="33" s="1"/>
  <c r="L44" i="33"/>
  <c r="F44" i="33" a="1"/>
  <c r="F44" i="33" s="1"/>
  <c r="Q43" i="33"/>
  <c r="L43" i="33"/>
  <c r="S43" i="33" s="1"/>
  <c r="F43" i="33" a="1"/>
  <c r="F43" i="33" s="1"/>
  <c r="Q42" i="33"/>
  <c r="N42" i="33"/>
  <c r="L42" i="33"/>
  <c r="F42" i="33" a="1"/>
  <c r="F42" i="33" s="1"/>
  <c r="Q40" i="33"/>
  <c r="P40" i="33"/>
  <c r="L40" i="33"/>
  <c r="S40" i="33" s="1"/>
  <c r="F40" i="33" a="1"/>
  <c r="F40" i="33" s="1"/>
  <c r="Q39" i="33"/>
  <c r="P39" i="33"/>
  <c r="L39" i="33"/>
  <c r="S39" i="33" s="1"/>
  <c r="F39" i="33" a="1"/>
  <c r="F39" i="33" s="1"/>
  <c r="Q38" i="33"/>
  <c r="S38" i="33" s="1"/>
  <c r="L38" i="33"/>
  <c r="K38" i="33"/>
  <c r="F38" i="33" a="1"/>
  <c r="F38" i="33" s="1"/>
  <c r="S37" i="33"/>
  <c r="Q37" i="33"/>
  <c r="L37" i="33"/>
  <c r="F37" i="33" a="1"/>
  <c r="F37" i="33" s="1"/>
  <c r="Q36" i="33"/>
  <c r="S36" i="33" s="1"/>
  <c r="L36" i="33"/>
  <c r="F36" i="33" a="1"/>
  <c r="F36" i="33" s="1"/>
  <c r="Q35" i="33"/>
  <c r="L35" i="33"/>
  <c r="F35" i="33"/>
  <c r="F35" i="33" a="1"/>
  <c r="S34" i="33"/>
  <c r="Q34" i="33"/>
  <c r="L34" i="33"/>
  <c r="K34" i="33"/>
  <c r="F34" i="33" a="1"/>
  <c r="F34" i="33" s="1"/>
  <c r="Q33" i="33"/>
  <c r="L33" i="33"/>
  <c r="S33" i="33" s="1"/>
  <c r="F33" i="33" a="1"/>
  <c r="F33" i="33" s="1"/>
  <c r="S32" i="33"/>
  <c r="Q32" i="33"/>
  <c r="L32" i="33"/>
  <c r="F32" i="33" a="1"/>
  <c r="F32" i="33" s="1"/>
  <c r="Q31" i="33"/>
  <c r="L31" i="33"/>
  <c r="N31" i="33" s="1"/>
  <c r="F31" i="33"/>
  <c r="F31" i="33" a="1"/>
  <c r="Q24" i="33"/>
  <c r="S23" i="33"/>
  <c r="Q23" i="33"/>
  <c r="L23" i="33"/>
  <c r="N23" i="33" s="1"/>
  <c r="F23" i="33" a="1"/>
  <c r="F23" i="33" s="1"/>
  <c r="D23" i="33"/>
  <c r="E23" i="33" s="1"/>
  <c r="D23" i="33" a="1"/>
  <c r="Q22" i="33"/>
  <c r="L22" i="33"/>
  <c r="S22" i="33" s="1"/>
  <c r="F22" i="33" a="1"/>
  <c r="F22" i="33" s="1"/>
  <c r="N22" i="33" s="1"/>
  <c r="E22" i="33"/>
  <c r="D22" i="33"/>
  <c r="D22" i="33" a="1"/>
  <c r="Q21" i="33"/>
  <c r="S21" i="33" s="1"/>
  <c r="L21" i="33"/>
  <c r="F21" i="33" a="1"/>
  <c r="F21" i="33" s="1"/>
  <c r="E21" i="33"/>
  <c r="D21" i="33"/>
  <c r="D21" i="33" a="1"/>
  <c r="S19" i="33"/>
  <c r="R19" i="33"/>
  <c r="Q19" i="33"/>
  <c r="L19" i="33"/>
  <c r="F19" i="33" a="1"/>
  <c r="F19" i="33" s="1"/>
  <c r="D19" i="33"/>
  <c r="E19" i="33" s="1"/>
  <c r="D19" i="33" a="1"/>
  <c r="S17" i="33"/>
  <c r="Q17" i="33"/>
  <c r="O17" i="33"/>
  <c r="R17" i="33" s="1"/>
  <c r="L17" i="33"/>
  <c r="J17" i="33"/>
  <c r="K17" i="33" s="1"/>
  <c r="F17" i="33"/>
  <c r="N17" i="33" s="1"/>
  <c r="F17" i="33" a="1"/>
  <c r="D17" i="33" a="1"/>
  <c r="D17" i="33" s="1"/>
  <c r="E17" i="33" s="1"/>
  <c r="Q15" i="33"/>
  <c r="S15" i="33" s="1"/>
  <c r="P15" i="33"/>
  <c r="O15" i="33"/>
  <c r="N15" i="33"/>
  <c r="L15" i="33"/>
  <c r="J15" i="33"/>
  <c r="F15" i="33" a="1"/>
  <c r="F15" i="33" s="1"/>
  <c r="D15" i="33"/>
  <c r="E15" i="33" s="1"/>
  <c r="D15" i="33" a="1"/>
  <c r="AF14" i="33"/>
  <c r="AF15" i="33" s="1"/>
  <c r="AE15" i="33" s="1"/>
  <c r="Q12" i="33"/>
  <c r="S12" i="33" s="1"/>
  <c r="O12" i="33"/>
  <c r="R12" i="33" s="1"/>
  <c r="L12" i="33"/>
  <c r="N12" i="33" s="1"/>
  <c r="K12" i="33"/>
  <c r="J12" i="33"/>
  <c r="M12" i="33" s="1"/>
  <c r="F12" i="33"/>
  <c r="F12" i="33" a="1"/>
  <c r="E12" i="33"/>
  <c r="Q11" i="33"/>
  <c r="O11" i="33"/>
  <c r="R11" i="33" s="1"/>
  <c r="M11" i="33"/>
  <c r="L11" i="33"/>
  <c r="S11" i="33" s="1"/>
  <c r="J11" i="33"/>
  <c r="K11" i="33" s="1"/>
  <c r="F11" i="33"/>
  <c r="F11" i="33" a="1"/>
  <c r="E11" i="33"/>
  <c r="Q10" i="33"/>
  <c r="P10" i="33"/>
  <c r="O10" i="33"/>
  <c r="L10" i="33"/>
  <c r="S10" i="33" s="1"/>
  <c r="K10" i="33"/>
  <c r="J10" i="33"/>
  <c r="R10" i="33" s="1"/>
  <c r="F10" i="33"/>
  <c r="F10" i="33" a="1"/>
  <c r="E10" i="33"/>
  <c r="S9" i="33"/>
  <c r="R9" i="33"/>
  <c r="Q9" i="33"/>
  <c r="P9" i="33"/>
  <c r="O9" i="33"/>
  <c r="L9" i="33"/>
  <c r="J9" i="33"/>
  <c r="M9" i="33" s="1"/>
  <c r="F9" i="33"/>
  <c r="N9" i="33" s="1"/>
  <c r="F9" i="33" a="1"/>
  <c r="D9" i="33"/>
  <c r="E9" i="33" s="1"/>
  <c r="D9" i="33" a="1"/>
  <c r="W8" i="33"/>
  <c r="R8" i="33"/>
  <c r="Q8" i="33"/>
  <c r="S8" i="33" s="1"/>
  <c r="P8" i="33"/>
  <c r="O8" i="33"/>
  <c r="L8" i="33"/>
  <c r="J8" i="33"/>
  <c r="M8" i="33" s="1"/>
  <c r="F8" i="33" a="1"/>
  <c r="F8" i="33" s="1"/>
  <c r="N8" i="33" s="1"/>
  <c r="D8" i="33"/>
  <c r="E8" i="33" s="1"/>
  <c r="D8" i="33" a="1"/>
  <c r="Q7" i="33"/>
  <c r="O7" i="33"/>
  <c r="P7" i="33" s="1"/>
  <c r="M7" i="33"/>
  <c r="L7" i="33"/>
  <c r="N7" i="33" s="1"/>
  <c r="J7" i="33"/>
  <c r="K7" i="33" s="1"/>
  <c r="F7" i="33" a="1"/>
  <c r="F7" i="33" s="1"/>
  <c r="D7" i="33"/>
  <c r="E7" i="33" s="1"/>
  <c r="D7" i="33" a="1"/>
  <c r="Q6" i="33"/>
  <c r="O6" i="33"/>
  <c r="O13" i="33" s="1"/>
  <c r="P22" i="33" s="1"/>
  <c r="L6" i="33"/>
  <c r="K6" i="33"/>
  <c r="J6" i="33"/>
  <c r="R6" i="33" s="1"/>
  <c r="F6" i="33" a="1"/>
  <c r="F6" i="33" s="1"/>
  <c r="D6" i="33" a="1"/>
  <c r="D6" i="33" s="1"/>
  <c r="Q5" i="33"/>
  <c r="L5" i="33"/>
  <c r="F5" i="33"/>
  <c r="F5" i="33" a="1"/>
  <c r="S1" i="33"/>
  <c r="C1" i="33"/>
  <c r="AL493" i="32"/>
  <c r="AO493" i="32" s="1"/>
  <c r="AF493" i="32"/>
  <c r="AN493" i="32" s="1"/>
  <c r="Z493" i="32" a="1"/>
  <c r="Z493" i="32" s="1"/>
  <c r="AI493" i="32" s="1"/>
  <c r="AL492" i="32"/>
  <c r="AO492" i="32" s="1"/>
  <c r="AF492" i="32"/>
  <c r="AN492" i="32" s="1"/>
  <c r="Z492" i="32" a="1"/>
  <c r="Z492" i="32" s="1"/>
  <c r="AL491" i="32"/>
  <c r="AO491" i="32" s="1"/>
  <c r="AF491" i="32"/>
  <c r="AN491" i="32" s="1"/>
  <c r="Z491" i="32" a="1"/>
  <c r="Z491" i="32" s="1"/>
  <c r="AI491" i="32" s="1"/>
  <c r="AL490" i="32"/>
  <c r="AF490" i="32"/>
  <c r="AN490" i="32" s="1"/>
  <c r="Z490" i="32" a="1"/>
  <c r="Z490" i="32" s="1"/>
  <c r="AO481" i="32"/>
  <c r="AN481" i="32"/>
  <c r="AL468" i="32"/>
  <c r="AF468" i="32"/>
  <c r="AN468" i="32" s="1"/>
  <c r="Z468" i="32" a="1"/>
  <c r="Z468" i="32" s="1"/>
  <c r="AO466" i="32"/>
  <c r="AN466" i="32"/>
  <c r="AH466" i="32"/>
  <c r="AF461" i="32"/>
  <c r="AO460" i="32"/>
  <c r="AL460" i="32"/>
  <c r="AF460" i="32"/>
  <c r="AN460" i="32" s="1"/>
  <c r="Z460" i="32" a="1"/>
  <c r="Z460" i="32" s="1"/>
  <c r="AL459" i="32"/>
  <c r="AF459" i="32"/>
  <c r="AN459" i="32" s="1"/>
  <c r="AO459" i="32" s="1"/>
  <c r="Z459" i="32" a="1"/>
  <c r="Z459" i="32" s="1"/>
  <c r="AL458" i="32"/>
  <c r="AF458" i="32"/>
  <c r="AN458" i="32" s="1"/>
  <c r="AO458" i="32" s="1"/>
  <c r="Z458" i="32" a="1"/>
  <c r="Z458" i="32" s="1"/>
  <c r="AO457" i="32"/>
  <c r="AL457" i="32"/>
  <c r="AF457" i="32"/>
  <c r="AN457" i="32" s="1"/>
  <c r="Z457" i="32" a="1"/>
  <c r="Z457" i="32" s="1"/>
  <c r="AL456" i="32"/>
  <c r="AF456" i="32"/>
  <c r="AN456" i="32" s="1"/>
  <c r="Z456" i="32" a="1"/>
  <c r="Z456" i="32" s="1"/>
  <c r="AO455" i="32"/>
  <c r="AL455" i="32"/>
  <c r="AF455" i="32"/>
  <c r="AN455" i="32" s="1"/>
  <c r="Z455" i="32" a="1"/>
  <c r="Z455" i="32" s="1"/>
  <c r="AI455" i="32" s="1"/>
  <c r="AL454" i="32"/>
  <c r="AO454" i="32" s="1"/>
  <c r="AF454" i="32"/>
  <c r="AN454" i="32" s="1"/>
  <c r="Z454" i="32" a="1"/>
  <c r="Z454" i="32" s="1"/>
  <c r="AL453" i="32"/>
  <c r="AF453" i="32"/>
  <c r="AN453" i="32" s="1"/>
  <c r="AO453" i="32" s="1"/>
  <c r="Z453" i="32" a="1"/>
  <c r="Z453" i="32" s="1"/>
  <c r="AL452" i="32"/>
  <c r="AF452" i="32"/>
  <c r="AN452" i="32" s="1"/>
  <c r="Z452" i="32" a="1"/>
  <c r="Z452" i="32" s="1"/>
  <c r="AL447" i="32"/>
  <c r="AL419" i="32"/>
  <c r="AF419" i="32"/>
  <c r="Z419" i="32"/>
  <c r="Z419" i="32" a="1"/>
  <c r="Q393" i="32"/>
  <c r="L393" i="32"/>
  <c r="S393" i="32" s="1"/>
  <c r="F393" i="32" a="1"/>
  <c r="F393" i="32" s="1"/>
  <c r="Q392" i="32"/>
  <c r="L392" i="32"/>
  <c r="S392" i="32" s="1"/>
  <c r="F392" i="32" a="1"/>
  <c r="F392" i="32" s="1"/>
  <c r="Q391" i="32"/>
  <c r="L391" i="32"/>
  <c r="S391" i="32" s="1"/>
  <c r="F391" i="32" a="1"/>
  <c r="F391" i="32" s="1"/>
  <c r="Q390" i="32"/>
  <c r="L390" i="32"/>
  <c r="S390" i="32" s="1"/>
  <c r="F390" i="32" a="1"/>
  <c r="F390" i="32" s="1"/>
  <c r="S389" i="32"/>
  <c r="Q389" i="32"/>
  <c r="L389" i="32"/>
  <c r="F389" i="32"/>
  <c r="F389" i="32" a="1"/>
  <c r="Q388" i="32"/>
  <c r="L388" i="32"/>
  <c r="S388" i="32" s="1"/>
  <c r="F388" i="32"/>
  <c r="F388" i="32" a="1"/>
  <c r="S387" i="32"/>
  <c r="Q387" i="32"/>
  <c r="L387" i="32"/>
  <c r="F387" i="32" a="1"/>
  <c r="F387" i="32" s="1"/>
  <c r="Q386" i="32"/>
  <c r="S386" i="32" s="1"/>
  <c r="L386" i="32"/>
  <c r="F386" i="32"/>
  <c r="F386" i="32" a="1"/>
  <c r="Q385" i="32"/>
  <c r="L385" i="32"/>
  <c r="S385" i="32" s="1"/>
  <c r="F385" i="32"/>
  <c r="F385" i="32" a="1"/>
  <c r="Q384" i="32"/>
  <c r="L384" i="32"/>
  <c r="S384" i="32" s="1"/>
  <c r="F384" i="32" a="1"/>
  <c r="F384" i="32" s="1"/>
  <c r="Q383" i="32"/>
  <c r="L383" i="32"/>
  <c r="F383" i="32" a="1"/>
  <c r="F383" i="32" s="1"/>
  <c r="S382" i="32"/>
  <c r="Q382" i="32"/>
  <c r="L382" i="32"/>
  <c r="F382" i="32" a="1"/>
  <c r="F382" i="32" s="1"/>
  <c r="Q381" i="32"/>
  <c r="L381" i="32"/>
  <c r="S381" i="32" s="1"/>
  <c r="F381" i="32"/>
  <c r="F381" i="32" a="1"/>
  <c r="Q380" i="32"/>
  <c r="L380" i="32"/>
  <c r="S380" i="32" s="1"/>
  <c r="F380" i="32"/>
  <c r="F380" i="32" a="1"/>
  <c r="S379" i="32"/>
  <c r="Q379" i="32"/>
  <c r="L379" i="32"/>
  <c r="F379" i="32" a="1"/>
  <c r="F379" i="32" s="1"/>
  <c r="Q378" i="32"/>
  <c r="S378" i="32" s="1"/>
  <c r="L378" i="32"/>
  <c r="F378" i="32"/>
  <c r="F378" i="32" a="1"/>
  <c r="Q377" i="32"/>
  <c r="L377" i="32"/>
  <c r="S377" i="32" s="1"/>
  <c r="F377" i="32" a="1"/>
  <c r="F377" i="32" s="1"/>
  <c r="Q375" i="32"/>
  <c r="L375" i="32"/>
  <c r="S375" i="32" s="1"/>
  <c r="F375" i="32"/>
  <c r="F375" i="32" a="1"/>
  <c r="Q374" i="32"/>
  <c r="L374" i="32"/>
  <c r="S374" i="32" s="1"/>
  <c r="F374" i="32"/>
  <c r="F374" i="32" a="1"/>
  <c r="Q373" i="32"/>
  <c r="S373" i="32" s="1"/>
  <c r="L373" i="32"/>
  <c r="F373" i="32" a="1"/>
  <c r="F373" i="32" s="1"/>
  <c r="Q372" i="32"/>
  <c r="L372" i="32"/>
  <c r="S372" i="32" s="1"/>
  <c r="F372" i="32"/>
  <c r="F372" i="32" a="1"/>
  <c r="Q371" i="32"/>
  <c r="L371" i="32"/>
  <c r="S371" i="32" s="1"/>
  <c r="F371" i="32" a="1"/>
  <c r="F371" i="32" s="1"/>
  <c r="Q370" i="32"/>
  <c r="L370" i="32"/>
  <c r="S370" i="32" s="1"/>
  <c r="F370" i="32"/>
  <c r="F370" i="32" a="1"/>
  <c r="Q369" i="32"/>
  <c r="L369" i="32"/>
  <c r="S369" i="32" s="1"/>
  <c r="F369" i="32" a="1"/>
  <c r="F369" i="32" s="1"/>
  <c r="Q368" i="32"/>
  <c r="L368" i="32"/>
  <c r="S368" i="32" s="1"/>
  <c r="F368" i="32" a="1"/>
  <c r="F368" i="32" s="1"/>
  <c r="S367" i="32"/>
  <c r="Q367" i="32"/>
  <c r="L367" i="32"/>
  <c r="F367" i="32"/>
  <c r="F367" i="32" a="1"/>
  <c r="Q366" i="32"/>
  <c r="L366" i="32"/>
  <c r="S366" i="32" s="1"/>
  <c r="F366" i="32"/>
  <c r="F366" i="32" a="1"/>
  <c r="S365" i="32"/>
  <c r="Q365" i="32"/>
  <c r="L365" i="32"/>
  <c r="F365" i="32" a="1"/>
  <c r="F365" i="32" s="1"/>
  <c r="Q364" i="32"/>
  <c r="L364" i="32"/>
  <c r="F364" i="32" a="1"/>
  <c r="F364" i="32" s="1"/>
  <c r="L361" i="32"/>
  <c r="F361" i="32"/>
  <c r="D361" i="32"/>
  <c r="E361" i="32" s="1"/>
  <c r="S359" i="32"/>
  <c r="Q359" i="32"/>
  <c r="Q361" i="32" s="1"/>
  <c r="P359" i="32"/>
  <c r="O359" i="32"/>
  <c r="O361" i="32" s="1"/>
  <c r="L359" i="32"/>
  <c r="J359" i="32"/>
  <c r="J361" i="32" s="1"/>
  <c r="K361" i="32" s="1"/>
  <c r="F359" i="32"/>
  <c r="F359" i="32" a="1"/>
  <c r="E359" i="32"/>
  <c r="D359" i="32"/>
  <c r="D359" i="32" a="1"/>
  <c r="N351" i="32"/>
  <c r="Q347" i="32"/>
  <c r="L347" i="32"/>
  <c r="S347" i="32" s="1"/>
  <c r="F347" i="32" a="1"/>
  <c r="F347" i="32" s="1"/>
  <c r="N347" i="32" s="1"/>
  <c r="Q346" i="32"/>
  <c r="L346" i="32"/>
  <c r="S346" i="32" s="1"/>
  <c r="F346" i="32"/>
  <c r="F346" i="32" a="1"/>
  <c r="Q345" i="32"/>
  <c r="L345" i="32"/>
  <c r="S345" i="32" s="1"/>
  <c r="F345" i="32" a="1"/>
  <c r="F345" i="32" s="1"/>
  <c r="Q344" i="32"/>
  <c r="L344" i="32"/>
  <c r="N344" i="32" s="1"/>
  <c r="F344" i="32" a="1"/>
  <c r="F344" i="32" s="1"/>
  <c r="Q343" i="32"/>
  <c r="L343" i="32"/>
  <c r="F343" i="32" a="1"/>
  <c r="F343" i="32" s="1"/>
  <c r="Q342" i="32"/>
  <c r="L342" i="32"/>
  <c r="S342" i="32" s="1"/>
  <c r="F342" i="32" a="1"/>
  <c r="F342" i="32" s="1"/>
  <c r="Q341" i="32"/>
  <c r="L341" i="32"/>
  <c r="S341" i="32" s="1"/>
  <c r="F341" i="32" a="1"/>
  <c r="F341" i="32" s="1"/>
  <c r="Q340" i="32"/>
  <c r="L340" i="32"/>
  <c r="F340" i="32" a="1"/>
  <c r="F340" i="32" s="1"/>
  <c r="Q339" i="32"/>
  <c r="L339" i="32"/>
  <c r="S339" i="32" s="1"/>
  <c r="F339" i="32" a="1"/>
  <c r="F339" i="32" s="1"/>
  <c r="Q338" i="32"/>
  <c r="L338" i="32"/>
  <c r="F338" i="32" a="1"/>
  <c r="F338" i="32" s="1"/>
  <c r="Q337" i="32"/>
  <c r="L337" i="32"/>
  <c r="F337" i="32" a="1"/>
  <c r="F337" i="32" s="1"/>
  <c r="Q336" i="32"/>
  <c r="L336" i="32"/>
  <c r="Q335" i="32"/>
  <c r="L335" i="32"/>
  <c r="F335" i="32" a="1"/>
  <c r="F335" i="32" s="1"/>
  <c r="Q334" i="32"/>
  <c r="L334" i="32"/>
  <c r="F334" i="32" a="1"/>
  <c r="F334" i="32" s="1"/>
  <c r="Q333" i="32"/>
  <c r="L333" i="32"/>
  <c r="F333" i="32" a="1"/>
  <c r="F333" i="32" s="1"/>
  <c r="Q332" i="32"/>
  <c r="L332" i="32"/>
  <c r="F332" i="32" a="1"/>
  <c r="F332" i="32" s="1"/>
  <c r="Q331" i="32"/>
  <c r="L331" i="32"/>
  <c r="F331" i="32" a="1"/>
  <c r="F331" i="32" s="1"/>
  <c r="Q330" i="32"/>
  <c r="Q348" i="32" s="1"/>
  <c r="L330" i="32"/>
  <c r="F330" i="32" a="1"/>
  <c r="F330" i="32" s="1"/>
  <c r="Q328" i="32"/>
  <c r="L328" i="32"/>
  <c r="F328" i="32" a="1"/>
  <c r="F328" i="32" s="1"/>
  <c r="Q327" i="32"/>
  <c r="L327" i="32"/>
  <c r="F327" i="32" a="1"/>
  <c r="F327" i="32" s="1"/>
  <c r="Q326" i="32"/>
  <c r="L326" i="32"/>
  <c r="F326" i="32" a="1"/>
  <c r="F326" i="32" s="1"/>
  <c r="Q325" i="32"/>
  <c r="L325" i="32"/>
  <c r="F325" i="32" a="1"/>
  <c r="F325" i="32" s="1"/>
  <c r="Q324" i="32"/>
  <c r="L324" i="32"/>
  <c r="N324" i="32" s="1"/>
  <c r="F324" i="32" a="1"/>
  <c r="F324" i="32" s="1"/>
  <c r="Q323" i="32"/>
  <c r="L323" i="32"/>
  <c r="F323" i="32" a="1"/>
  <c r="F323" i="32" s="1"/>
  <c r="Q322" i="32"/>
  <c r="L322" i="32"/>
  <c r="F322" i="32"/>
  <c r="F322" i="32" a="1"/>
  <c r="Q321" i="32"/>
  <c r="L321" i="32"/>
  <c r="F321" i="32" a="1"/>
  <c r="F321" i="32" s="1"/>
  <c r="Q320" i="32"/>
  <c r="L320" i="32"/>
  <c r="F320" i="32" a="1"/>
  <c r="F320" i="32" s="1"/>
  <c r="Q319" i="32"/>
  <c r="L319" i="32"/>
  <c r="F319" i="32" a="1"/>
  <c r="F319" i="32" s="1"/>
  <c r="Q318" i="32"/>
  <c r="L318" i="32"/>
  <c r="F318" i="32" a="1"/>
  <c r="F318" i="32" s="1"/>
  <c r="Q317" i="32"/>
  <c r="Q329" i="32" s="1"/>
  <c r="L317" i="32"/>
  <c r="F317" i="32" a="1"/>
  <c r="F317" i="32" s="1"/>
  <c r="S311" i="32"/>
  <c r="R311" i="32" s="1"/>
  <c r="Q311" i="32"/>
  <c r="P311" i="32"/>
  <c r="O311" i="32"/>
  <c r="L311" i="32"/>
  <c r="J311" i="32"/>
  <c r="K311" i="32" s="1"/>
  <c r="F311" i="32" a="1"/>
  <c r="F311" i="32" s="1"/>
  <c r="M311" i="32" s="1"/>
  <c r="D311" i="32"/>
  <c r="E311" i="32" s="1"/>
  <c r="D311" i="32" a="1"/>
  <c r="R307" i="32"/>
  <c r="Q307" i="32"/>
  <c r="P307" i="32" s="1"/>
  <c r="O307" i="32"/>
  <c r="L307" i="32"/>
  <c r="J307" i="32"/>
  <c r="F307" i="32" a="1"/>
  <c r="F307" i="32" s="1"/>
  <c r="D307" i="32"/>
  <c r="D307" i="32" a="1"/>
  <c r="Q306" i="32"/>
  <c r="S306" i="32" s="1"/>
  <c r="P306" i="32"/>
  <c r="O306" i="32"/>
  <c r="R306" i="32" s="1"/>
  <c r="L306" i="32"/>
  <c r="N306" i="32" s="1"/>
  <c r="K306" i="32"/>
  <c r="J306" i="32"/>
  <c r="F306" i="32"/>
  <c r="F306" i="32" a="1"/>
  <c r="D306" i="32" a="1"/>
  <c r="D306" i="32" s="1"/>
  <c r="Q302" i="32"/>
  <c r="O302" i="32"/>
  <c r="L302" i="32"/>
  <c r="S302" i="32" s="1"/>
  <c r="J302" i="32"/>
  <c r="K302" i="32" s="1"/>
  <c r="F302" i="32"/>
  <c r="F302" i="32" a="1"/>
  <c r="D302" i="32"/>
  <c r="E302" i="32" s="1"/>
  <c r="D302" i="32" a="1"/>
  <c r="Q301" i="32"/>
  <c r="O301" i="32"/>
  <c r="L301" i="32"/>
  <c r="N301" i="32" s="1"/>
  <c r="J301" i="32"/>
  <c r="K301" i="32" s="1"/>
  <c r="F301" i="32" a="1"/>
  <c r="F301" i="32" s="1"/>
  <c r="D301" i="32"/>
  <c r="E301" i="32" s="1"/>
  <c r="D301" i="32" a="1"/>
  <c r="Q300" i="32"/>
  <c r="S300" i="32" s="1"/>
  <c r="O300" i="32"/>
  <c r="L300" i="32"/>
  <c r="J300" i="32"/>
  <c r="K300" i="32" s="1"/>
  <c r="F300" i="32"/>
  <c r="F300" i="32" a="1"/>
  <c r="D300" i="32" a="1"/>
  <c r="D300" i="32" s="1"/>
  <c r="Q299" i="32"/>
  <c r="P299" i="32"/>
  <c r="O299" i="32"/>
  <c r="L299" i="32"/>
  <c r="S299" i="32" s="1"/>
  <c r="J299" i="32"/>
  <c r="F299" i="32"/>
  <c r="F299" i="32" a="1"/>
  <c r="D299" i="32"/>
  <c r="E299" i="32" s="1"/>
  <c r="D299" i="32" a="1"/>
  <c r="Q298" i="32"/>
  <c r="S298" i="32" s="1"/>
  <c r="O298" i="32"/>
  <c r="R298" i="32" s="1"/>
  <c r="L298" i="32"/>
  <c r="K298" i="32"/>
  <c r="J298" i="32"/>
  <c r="F298" i="32" a="1"/>
  <c r="F298" i="32" s="1"/>
  <c r="E298" i="32"/>
  <c r="D298" i="32"/>
  <c r="M298" i="32" s="1"/>
  <c r="D298" i="32" a="1"/>
  <c r="Q297" i="32"/>
  <c r="O297" i="32"/>
  <c r="R297" i="32" s="1"/>
  <c r="L297" i="32"/>
  <c r="S297" i="32" s="1"/>
  <c r="J297" i="32"/>
  <c r="F297" i="32" a="1"/>
  <c r="F297" i="32" s="1"/>
  <c r="D297" i="32" a="1"/>
  <c r="D297" i="32" s="1"/>
  <c r="E297" i="32" s="1"/>
  <c r="S296" i="32"/>
  <c r="R296" i="32"/>
  <c r="Q296" i="32"/>
  <c r="O296" i="32"/>
  <c r="L296" i="32"/>
  <c r="K296" i="32"/>
  <c r="J296" i="32"/>
  <c r="F296" i="32"/>
  <c r="N296" i="32" s="1"/>
  <c r="F296" i="32" a="1"/>
  <c r="D296" i="32" a="1"/>
  <c r="D296" i="32" s="1"/>
  <c r="R295" i="32"/>
  <c r="Q295" i="32"/>
  <c r="P295" i="32"/>
  <c r="O295" i="32"/>
  <c r="L295" i="32"/>
  <c r="N295" i="32" s="1"/>
  <c r="J295" i="32"/>
  <c r="F295" i="32" a="1"/>
  <c r="F295" i="32" s="1"/>
  <c r="D295" i="32" a="1"/>
  <c r="D295" i="32" s="1"/>
  <c r="E295" i="32" s="1"/>
  <c r="Q294" i="32"/>
  <c r="Q303" i="32" s="1"/>
  <c r="O294" i="32"/>
  <c r="M294" i="32"/>
  <c r="L294" i="32"/>
  <c r="J294" i="32"/>
  <c r="F294" i="32" a="1"/>
  <c r="F294" i="32" s="1"/>
  <c r="D294" i="32" a="1"/>
  <c r="D294" i="32" s="1"/>
  <c r="N287" i="32"/>
  <c r="Q283" i="32"/>
  <c r="L283" i="32"/>
  <c r="S283" i="32" s="1"/>
  <c r="F283" i="32"/>
  <c r="F283" i="32" a="1"/>
  <c r="Q282" i="32"/>
  <c r="L282" i="32"/>
  <c r="S282" i="32" s="1"/>
  <c r="F282" i="32" a="1"/>
  <c r="F282" i="32" s="1"/>
  <c r="S281" i="32"/>
  <c r="Q281" i="32"/>
  <c r="L281" i="32"/>
  <c r="F281" i="32" a="1"/>
  <c r="F281" i="32" s="1"/>
  <c r="Q280" i="32"/>
  <c r="L280" i="32"/>
  <c r="S280" i="32" s="1"/>
  <c r="F280" i="32" a="1"/>
  <c r="F280" i="32" s="1"/>
  <c r="Q279" i="32"/>
  <c r="L279" i="32"/>
  <c r="S279" i="32" s="1"/>
  <c r="F279" i="32" a="1"/>
  <c r="F279" i="32" s="1"/>
  <c r="Q278" i="32"/>
  <c r="L278" i="32"/>
  <c r="F278" i="32" a="1"/>
  <c r="F278" i="32" s="1"/>
  <c r="Q277" i="32"/>
  <c r="L277" i="32"/>
  <c r="F277" i="32" a="1"/>
  <c r="F277" i="32" s="1"/>
  <c r="Q276" i="32"/>
  <c r="L276" i="32"/>
  <c r="S276" i="32" s="1"/>
  <c r="F276" i="32" a="1"/>
  <c r="F276" i="32" s="1"/>
  <c r="Q275" i="32"/>
  <c r="L275" i="32"/>
  <c r="S275" i="32" s="1"/>
  <c r="F275" i="32" a="1"/>
  <c r="F275" i="32" s="1"/>
  <c r="Q274" i="32"/>
  <c r="L274" i="32"/>
  <c r="S274" i="32" s="1"/>
  <c r="F274" i="32" a="1"/>
  <c r="F274" i="32" s="1"/>
  <c r="Q273" i="32"/>
  <c r="S273" i="32" s="1"/>
  <c r="L273" i="32"/>
  <c r="F273" i="32"/>
  <c r="F273" i="32" a="1"/>
  <c r="Q272" i="32"/>
  <c r="L272" i="32"/>
  <c r="S272" i="32" s="1"/>
  <c r="Q271" i="32"/>
  <c r="L271" i="32"/>
  <c r="S271" i="32" s="1"/>
  <c r="F271" i="32" a="1"/>
  <c r="F271" i="32" s="1"/>
  <c r="Q270" i="32"/>
  <c r="S270" i="32" s="1"/>
  <c r="L270" i="32"/>
  <c r="F270" i="32"/>
  <c r="F270" i="32" a="1"/>
  <c r="Q269" i="32"/>
  <c r="L269" i="32"/>
  <c r="S269" i="32" s="1"/>
  <c r="F269" i="32" a="1"/>
  <c r="F269" i="32" s="1"/>
  <c r="S268" i="32"/>
  <c r="Q268" i="32"/>
  <c r="L268" i="32"/>
  <c r="L284" i="32" s="1"/>
  <c r="F268" i="32" a="1"/>
  <c r="F268" i="32" s="1"/>
  <c r="Q267" i="32"/>
  <c r="N267" i="32"/>
  <c r="L267" i="32"/>
  <c r="F267" i="32"/>
  <c r="F267" i="32" a="1"/>
  <c r="S266" i="32"/>
  <c r="Q266" i="32"/>
  <c r="Q284" i="32" s="1"/>
  <c r="L266" i="32"/>
  <c r="F266" i="32"/>
  <c r="F266" i="32" a="1"/>
  <c r="S264" i="32"/>
  <c r="Q264" i="32"/>
  <c r="L264" i="32"/>
  <c r="F264" i="32" a="1"/>
  <c r="F264" i="32" s="1"/>
  <c r="N264" i="32" s="1"/>
  <c r="Q263" i="32"/>
  <c r="S263" i="32" s="1"/>
  <c r="N263" i="32"/>
  <c r="L263" i="32"/>
  <c r="F263" i="32"/>
  <c r="F263" i="32" a="1"/>
  <c r="Q262" i="32"/>
  <c r="L262" i="32"/>
  <c r="F262" i="32" a="1"/>
  <c r="F262" i="32" s="1"/>
  <c r="N262" i="32" s="1"/>
  <c r="S261" i="32"/>
  <c r="Q261" i="32"/>
  <c r="L261" i="32"/>
  <c r="F261" i="32" a="1"/>
  <c r="F261" i="32" s="1"/>
  <c r="Q260" i="32"/>
  <c r="N260" i="32"/>
  <c r="L260" i="32"/>
  <c r="S260" i="32" s="1"/>
  <c r="F260" i="32" a="1"/>
  <c r="F260" i="32" s="1"/>
  <c r="Q259" i="32"/>
  <c r="S259" i="32" s="1"/>
  <c r="L259" i="32"/>
  <c r="F259" i="32" a="1"/>
  <c r="F259" i="32" s="1"/>
  <c r="N259" i="32" s="1"/>
  <c r="Q258" i="32"/>
  <c r="L258" i="32"/>
  <c r="F258" i="32" a="1"/>
  <c r="F258" i="32" s="1"/>
  <c r="N258" i="32" s="1"/>
  <c r="Q257" i="32"/>
  <c r="L257" i="32"/>
  <c r="F257" i="32" a="1"/>
  <c r="F257" i="32" s="1"/>
  <c r="Q256" i="32"/>
  <c r="L256" i="32"/>
  <c r="S256" i="32" s="1"/>
  <c r="F256" i="32" a="1"/>
  <c r="F256" i="32" s="1"/>
  <c r="N256" i="32" s="1"/>
  <c r="Q255" i="32"/>
  <c r="S255" i="32" s="1"/>
  <c r="L255" i="32"/>
  <c r="N255" i="32" s="1"/>
  <c r="F255" i="32" a="1"/>
  <c r="F255" i="32" s="1"/>
  <c r="Q254" i="32"/>
  <c r="L254" i="32"/>
  <c r="S254" i="32" s="1"/>
  <c r="F254" i="32" a="1"/>
  <c r="F254" i="32" s="1"/>
  <c r="Q253" i="32"/>
  <c r="L253" i="32"/>
  <c r="F253" i="32" a="1"/>
  <c r="F253" i="32" s="1"/>
  <c r="S247" i="32"/>
  <c r="L247" i="32"/>
  <c r="F247" i="32"/>
  <c r="Q246" i="32"/>
  <c r="Q247" i="32" s="1"/>
  <c r="P246" i="32"/>
  <c r="O246" i="32"/>
  <c r="R246" i="32" s="1"/>
  <c r="M246" i="32"/>
  <c r="L246" i="32"/>
  <c r="S246" i="32" s="1"/>
  <c r="K246" i="32"/>
  <c r="J246" i="32"/>
  <c r="Q243" i="32"/>
  <c r="P243" i="32"/>
  <c r="P249" i="32" s="1"/>
  <c r="O243" i="32"/>
  <c r="R243" i="32" s="1"/>
  <c r="L243" i="32"/>
  <c r="N243" i="32" s="1"/>
  <c r="N244" i="32" s="1"/>
  <c r="K243" i="32"/>
  <c r="K249" i="32" s="1"/>
  <c r="J243" i="32"/>
  <c r="F243" i="32" a="1"/>
  <c r="F243" i="32" s="1"/>
  <c r="E243" i="32" a="1"/>
  <c r="E243" i="32" s="1"/>
  <c r="E249" i="32" s="1"/>
  <c r="D243" i="32"/>
  <c r="D243" i="32" a="1"/>
  <c r="L241" i="32"/>
  <c r="Q240" i="32"/>
  <c r="Q241" i="32" s="1"/>
  <c r="P240" i="32"/>
  <c r="O240" i="32"/>
  <c r="R240" i="32" s="1"/>
  <c r="N240" i="32"/>
  <c r="L240" i="32"/>
  <c r="S240" i="32" s="1"/>
  <c r="K240" i="32"/>
  <c r="J240" i="32"/>
  <c r="F240" i="32"/>
  <c r="F240" i="32" a="1"/>
  <c r="E240" i="32" a="1"/>
  <c r="E240" i="32" s="1"/>
  <c r="D240" i="32"/>
  <c r="D240" i="32" a="1"/>
  <c r="N231" i="32"/>
  <c r="Q227" i="32"/>
  <c r="L227" i="32"/>
  <c r="S227" i="32" s="1"/>
  <c r="F227" i="32" a="1"/>
  <c r="F227" i="32" s="1"/>
  <c r="N227" i="32" s="1"/>
  <c r="S226" i="32"/>
  <c r="Q226" i="32"/>
  <c r="N226" i="32"/>
  <c r="L226" i="32"/>
  <c r="F226" i="32"/>
  <c r="F226" i="32" a="1"/>
  <c r="Q225" i="32"/>
  <c r="L225" i="32"/>
  <c r="S225" i="32" s="1"/>
  <c r="F225" i="32" a="1"/>
  <c r="F225" i="32" s="1"/>
  <c r="Q224" i="32"/>
  <c r="L224" i="32"/>
  <c r="S224" i="32" s="1"/>
  <c r="F224" i="32"/>
  <c r="F224" i="32" a="1"/>
  <c r="S223" i="32"/>
  <c r="Q223" i="32"/>
  <c r="L223" i="32"/>
  <c r="F223" i="32" a="1"/>
  <c r="F223" i="32" s="1"/>
  <c r="N223" i="32" s="1"/>
  <c r="Q222" i="32"/>
  <c r="L222" i="32"/>
  <c r="S222" i="32" s="1"/>
  <c r="F222" i="32"/>
  <c r="F222" i="32" a="1"/>
  <c r="Q221" i="32"/>
  <c r="N221" i="32"/>
  <c r="L221" i="32"/>
  <c r="S221" i="32" s="1"/>
  <c r="F221" i="32"/>
  <c r="F221" i="32" a="1"/>
  <c r="Q220" i="32"/>
  <c r="L220" i="32"/>
  <c r="S220" i="32" s="1"/>
  <c r="F220" i="32" a="1"/>
  <c r="F220" i="32" s="1"/>
  <c r="Q219" i="32"/>
  <c r="L219" i="32"/>
  <c r="S219" i="32" s="1"/>
  <c r="F219" i="32" a="1"/>
  <c r="F219" i="32" s="1"/>
  <c r="N219" i="32" s="1"/>
  <c r="S218" i="32"/>
  <c r="Q218" i="32"/>
  <c r="L218" i="32"/>
  <c r="F218" i="32" a="1"/>
  <c r="F218" i="32" s="1"/>
  <c r="N218" i="32" s="1"/>
  <c r="Q217" i="32"/>
  <c r="L217" i="32"/>
  <c r="S217" i="32" s="1"/>
  <c r="F217" i="32" a="1"/>
  <c r="F217" i="32" s="1"/>
  <c r="Q216" i="32"/>
  <c r="L216" i="32"/>
  <c r="S216" i="32" s="1"/>
  <c r="S215" i="32"/>
  <c r="Q215" i="32"/>
  <c r="L215" i="32"/>
  <c r="F215" i="32" a="1"/>
  <c r="F215" i="32" s="1"/>
  <c r="N215" i="32" s="1"/>
  <c r="Q214" i="32"/>
  <c r="L214" i="32"/>
  <c r="S214" i="32" s="1"/>
  <c r="F214" i="32" a="1"/>
  <c r="F214" i="32" s="1"/>
  <c r="Q213" i="32"/>
  <c r="L213" i="32"/>
  <c r="S213" i="32" s="1"/>
  <c r="F213" i="32"/>
  <c r="F213" i="32" a="1"/>
  <c r="Q212" i="32"/>
  <c r="L212" i="32"/>
  <c r="S212" i="32" s="1"/>
  <c r="F212" i="32" a="1"/>
  <c r="F212" i="32" s="1"/>
  <c r="Q211" i="32"/>
  <c r="L211" i="32"/>
  <c r="S211" i="32" s="1"/>
  <c r="F211" i="32" a="1"/>
  <c r="F211" i="32" s="1"/>
  <c r="Q210" i="32"/>
  <c r="Q228" i="32" s="1"/>
  <c r="N210" i="32"/>
  <c r="L210" i="32"/>
  <c r="L228" i="32" s="1"/>
  <c r="F210" i="32"/>
  <c r="F210" i="32" a="1"/>
  <c r="Q208" i="32"/>
  <c r="L208" i="32"/>
  <c r="S208" i="32" s="1"/>
  <c r="F208" i="32"/>
  <c r="F208" i="32" a="1"/>
  <c r="Q207" i="32"/>
  <c r="L207" i="32"/>
  <c r="S207" i="32" s="1"/>
  <c r="F207" i="32" a="1"/>
  <c r="F207" i="32" s="1"/>
  <c r="Q206" i="32"/>
  <c r="L206" i="32"/>
  <c r="S206" i="32" s="1"/>
  <c r="F206" i="32" a="1"/>
  <c r="F206" i="32" s="1"/>
  <c r="V205" i="32"/>
  <c r="Q205" i="32"/>
  <c r="S205" i="32" s="1"/>
  <c r="L205" i="32"/>
  <c r="F205" i="32" a="1"/>
  <c r="F205" i="32" s="1"/>
  <c r="N205" i="32" s="1"/>
  <c r="S204" i="32"/>
  <c r="Q204" i="32"/>
  <c r="N204" i="32"/>
  <c r="L204" i="32"/>
  <c r="F204" i="32"/>
  <c r="F204" i="32" a="1"/>
  <c r="S203" i="32"/>
  <c r="Q203" i="32"/>
  <c r="L203" i="32"/>
  <c r="F203" i="32" a="1"/>
  <c r="F203" i="32" s="1"/>
  <c r="N203" i="32" s="1"/>
  <c r="S202" i="32"/>
  <c r="Q202" i="32"/>
  <c r="L202" i="32"/>
  <c r="N202" i="32" s="1"/>
  <c r="F202" i="32"/>
  <c r="F202" i="32" a="1"/>
  <c r="S201" i="32"/>
  <c r="Q201" i="32"/>
  <c r="N201" i="32"/>
  <c r="L201" i="32"/>
  <c r="F201" i="32"/>
  <c r="F201" i="32" a="1"/>
  <c r="Q200" i="32"/>
  <c r="L200" i="32"/>
  <c r="F200" i="32"/>
  <c r="F200" i="32" a="1"/>
  <c r="Y199" i="32"/>
  <c r="Q199" i="32"/>
  <c r="L199" i="32"/>
  <c r="S199" i="32" s="1"/>
  <c r="F199" i="32" a="1"/>
  <c r="F199" i="32" s="1"/>
  <c r="Q198" i="32"/>
  <c r="L198" i="32"/>
  <c r="S198" i="32" s="1"/>
  <c r="F198" i="32" a="1"/>
  <c r="F198" i="32" s="1"/>
  <c r="S197" i="32"/>
  <c r="Q197" i="32"/>
  <c r="L197" i="32"/>
  <c r="F197" i="32" a="1"/>
  <c r="F197" i="32" s="1"/>
  <c r="Q191" i="32"/>
  <c r="P190" i="32"/>
  <c r="L190" i="32"/>
  <c r="K190" i="32"/>
  <c r="L191" i="32" s="1"/>
  <c r="J190" i="32"/>
  <c r="F190" i="32"/>
  <c r="F191" i="32" s="1"/>
  <c r="F190" i="32" a="1"/>
  <c r="E190" i="32"/>
  <c r="E190" i="32" a="1"/>
  <c r="Q188" i="32"/>
  <c r="L188" i="32"/>
  <c r="S187" i="32"/>
  <c r="R187" i="32"/>
  <c r="Q187" i="32"/>
  <c r="P187" i="32"/>
  <c r="L187" i="32"/>
  <c r="K187" i="32"/>
  <c r="F187" i="32" a="1"/>
  <c r="F187" i="32" s="1"/>
  <c r="E187" i="32" a="1"/>
  <c r="E187" i="32" s="1"/>
  <c r="M187" i="32" s="1"/>
  <c r="Q184" i="32"/>
  <c r="Q193" i="32" s="1"/>
  <c r="K184" i="32"/>
  <c r="K193" i="32" s="1"/>
  <c r="J184" i="32"/>
  <c r="K185" i="32" s="1"/>
  <c r="Q183" i="32"/>
  <c r="L183" i="32"/>
  <c r="S183" i="32" s="1"/>
  <c r="F183" i="32" a="1"/>
  <c r="F183" i="32" s="1"/>
  <c r="Q181" i="32"/>
  <c r="P181" i="32"/>
  <c r="M181" i="32"/>
  <c r="K181" i="32"/>
  <c r="Q180" i="32"/>
  <c r="P180" i="32"/>
  <c r="O180" i="32"/>
  <c r="R180" i="32" s="1"/>
  <c r="L180" i="32"/>
  <c r="S180" i="32" s="1"/>
  <c r="K180" i="32"/>
  <c r="J180" i="32"/>
  <c r="F180" i="32" a="1"/>
  <c r="F180" i="32" s="1"/>
  <c r="N180" i="32" s="1"/>
  <c r="E180" i="32" a="1"/>
  <c r="E180" i="32" s="1"/>
  <c r="M180" i="32" s="1"/>
  <c r="D180" i="32"/>
  <c r="D180" i="32" a="1"/>
  <c r="U179" i="32"/>
  <c r="R178" i="32"/>
  <c r="Q178" i="32"/>
  <c r="L178" i="32"/>
  <c r="S177" i="32"/>
  <c r="Q177" i="32"/>
  <c r="P177" i="32"/>
  <c r="P179" i="32" s="1"/>
  <c r="O177" i="32"/>
  <c r="O184" i="32" s="1"/>
  <c r="N177" i="32"/>
  <c r="L177" i="32"/>
  <c r="U181" i="32" s="1"/>
  <c r="U180" i="32" s="1"/>
  <c r="K177" i="32"/>
  <c r="J177" i="32"/>
  <c r="K179" i="32" s="1"/>
  <c r="F177" i="32"/>
  <c r="F178" i="32" s="1"/>
  <c r="F177" i="32" a="1"/>
  <c r="E177" i="32"/>
  <c r="M177" i="32" s="1"/>
  <c r="E177" i="32" a="1"/>
  <c r="D177" i="32"/>
  <c r="D177" i="32" a="1"/>
  <c r="V175" i="32"/>
  <c r="Q175" i="32"/>
  <c r="R174" i="32"/>
  <c r="Q174" i="32"/>
  <c r="P174" i="32"/>
  <c r="P176" i="32" s="1"/>
  <c r="O174" i="32"/>
  <c r="L174" i="32"/>
  <c r="L175" i="32" s="1"/>
  <c r="K174" i="32"/>
  <c r="V174" i="32" s="1"/>
  <c r="J174" i="32"/>
  <c r="F174" i="32" a="1"/>
  <c r="F174" i="32" s="1"/>
  <c r="E174" i="32"/>
  <c r="E176" i="32" s="1"/>
  <c r="E174" i="32" a="1"/>
  <c r="D174" i="32"/>
  <c r="D174" i="32" a="1"/>
  <c r="K173" i="32"/>
  <c r="Q172" i="32"/>
  <c r="R171" i="32"/>
  <c r="Q171" i="32"/>
  <c r="P171" i="32"/>
  <c r="P173" i="32" s="1"/>
  <c r="O171" i="32"/>
  <c r="N171" i="32"/>
  <c r="L171" i="32"/>
  <c r="L172" i="32" s="1"/>
  <c r="K171" i="32"/>
  <c r="J171" i="32"/>
  <c r="F171" i="32" a="1"/>
  <c r="F171" i="32" s="1"/>
  <c r="E171" i="32" a="1"/>
  <c r="E171" i="32" s="1"/>
  <c r="D171" i="32" a="1"/>
  <c r="D171" i="32" s="1"/>
  <c r="Q161" i="32"/>
  <c r="L161" i="32"/>
  <c r="S161" i="32" s="1"/>
  <c r="F161" i="32" a="1"/>
  <c r="F161" i="32" s="1"/>
  <c r="Q160" i="32"/>
  <c r="L160" i="32"/>
  <c r="F160" i="32"/>
  <c r="F160" i="32" a="1"/>
  <c r="Q159" i="32"/>
  <c r="L159" i="32"/>
  <c r="S159" i="32" s="1"/>
  <c r="F159" i="32" a="1"/>
  <c r="F159" i="32" s="1"/>
  <c r="Q158" i="32"/>
  <c r="L158" i="32"/>
  <c r="S158" i="32" s="1"/>
  <c r="F158" i="32" a="1"/>
  <c r="F158" i="32" s="1"/>
  <c r="Q157" i="32"/>
  <c r="L157" i="32"/>
  <c r="S157" i="32" s="1"/>
  <c r="F157" i="32" a="1"/>
  <c r="F157" i="32" s="1"/>
  <c r="Q156" i="32"/>
  <c r="L156" i="32"/>
  <c r="F156" i="32" a="1"/>
  <c r="F156" i="32" s="1"/>
  <c r="Q155" i="32"/>
  <c r="N155" i="32"/>
  <c r="F155" i="32"/>
  <c r="F155" i="32" a="1"/>
  <c r="Q151" i="32"/>
  <c r="S151" i="32" s="1"/>
  <c r="L151" i="32"/>
  <c r="F151" i="32"/>
  <c r="N151" i="32" s="1"/>
  <c r="F151" i="32" a="1"/>
  <c r="S150" i="32"/>
  <c r="Q150" i="32"/>
  <c r="N150" i="32"/>
  <c r="L150" i="32"/>
  <c r="F150" i="32"/>
  <c r="F150" i="32" a="1"/>
  <c r="S149" i="32"/>
  <c r="Q149" i="32"/>
  <c r="L149" i="32"/>
  <c r="F149" i="32" a="1"/>
  <c r="F149" i="32" s="1"/>
  <c r="N149" i="32" s="1"/>
  <c r="S148" i="32"/>
  <c r="Q148" i="32"/>
  <c r="L148" i="32"/>
  <c r="F148" i="32"/>
  <c r="N148" i="32" s="1"/>
  <c r="F148" i="32" a="1"/>
  <c r="S147" i="32"/>
  <c r="Q147" i="32"/>
  <c r="L147" i="32"/>
  <c r="F147" i="32" a="1"/>
  <c r="F147" i="32" s="1"/>
  <c r="N147" i="32" s="1"/>
  <c r="S146" i="32"/>
  <c r="Q146" i="32"/>
  <c r="L146" i="32"/>
  <c r="N146" i="32" s="1"/>
  <c r="F146" i="32"/>
  <c r="F146" i="32" a="1"/>
  <c r="S145" i="32"/>
  <c r="Q145" i="32"/>
  <c r="N145" i="32"/>
  <c r="L145" i="32"/>
  <c r="F145" i="32"/>
  <c r="F145" i="32" a="1"/>
  <c r="Q144" i="32"/>
  <c r="L144" i="32"/>
  <c r="S144" i="32" s="1"/>
  <c r="F144" i="32"/>
  <c r="F144" i="32" a="1"/>
  <c r="Q143" i="32"/>
  <c r="L143" i="32"/>
  <c r="S143" i="32" s="1"/>
  <c r="F143" i="32"/>
  <c r="N143" i="32" s="1"/>
  <c r="F143" i="32" a="1"/>
  <c r="S142" i="32"/>
  <c r="Q142" i="32"/>
  <c r="N142" i="32"/>
  <c r="L142" i="32"/>
  <c r="F142" i="32"/>
  <c r="F142" i="32" a="1"/>
  <c r="Q141" i="32"/>
  <c r="S141" i="32" s="1"/>
  <c r="L141" i="32"/>
  <c r="F141" i="32" a="1"/>
  <c r="F141" i="32" s="1"/>
  <c r="S140" i="32"/>
  <c r="Q140" i="32"/>
  <c r="L140" i="32"/>
  <c r="F140" i="32"/>
  <c r="N140" i="32" s="1"/>
  <c r="F140" i="32" a="1"/>
  <c r="S139" i="32"/>
  <c r="Q139" i="32"/>
  <c r="L139" i="32"/>
  <c r="F139" i="32"/>
  <c r="F139" i="32" a="1"/>
  <c r="Q138" i="32"/>
  <c r="L138" i="32"/>
  <c r="S138" i="32" s="1"/>
  <c r="F138" i="32"/>
  <c r="F138" i="32" a="1"/>
  <c r="S137" i="32"/>
  <c r="Q137" i="32"/>
  <c r="N137" i="32"/>
  <c r="L137" i="32"/>
  <c r="F137" i="32"/>
  <c r="F137" i="32" a="1"/>
  <c r="Q136" i="32"/>
  <c r="L136" i="32"/>
  <c r="S136" i="32" s="1"/>
  <c r="F136" i="32" a="1"/>
  <c r="F136" i="32" s="1"/>
  <c r="Q135" i="32"/>
  <c r="L135" i="32"/>
  <c r="S135" i="32" s="1"/>
  <c r="F135" i="32"/>
  <c r="F135" i="32" a="1"/>
  <c r="Q133" i="32"/>
  <c r="L133" i="32"/>
  <c r="S133" i="32" s="1"/>
  <c r="F133" i="32"/>
  <c r="F133" i="32" a="1"/>
  <c r="S132" i="32"/>
  <c r="Q132" i="32"/>
  <c r="N132" i="32"/>
  <c r="L132" i="32"/>
  <c r="F132" i="32"/>
  <c r="F132" i="32" a="1"/>
  <c r="Q131" i="32"/>
  <c r="L131" i="32"/>
  <c r="S131" i="32" s="1"/>
  <c r="F131" i="32" a="1"/>
  <c r="F131" i="32" s="1"/>
  <c r="Q130" i="32"/>
  <c r="L130" i="32"/>
  <c r="S130" i="32" s="1"/>
  <c r="F130" i="32"/>
  <c r="F130" i="32" a="1"/>
  <c r="S129" i="32"/>
  <c r="Q129" i="32"/>
  <c r="L129" i="32"/>
  <c r="F129" i="32" a="1"/>
  <c r="F129" i="32" s="1"/>
  <c r="Q128" i="32"/>
  <c r="S128" i="32" s="1"/>
  <c r="L128" i="32"/>
  <c r="N128" i="32" s="1"/>
  <c r="F128" i="32" a="1"/>
  <c r="F128" i="32" s="1"/>
  <c r="Q127" i="32"/>
  <c r="L127" i="32"/>
  <c r="S127" i="32" s="1"/>
  <c r="F127" i="32"/>
  <c r="N127" i="32" s="1"/>
  <c r="F127" i="32" a="1"/>
  <c r="Q126" i="32"/>
  <c r="L126" i="32"/>
  <c r="S126" i="32" s="1"/>
  <c r="F126" i="32" a="1"/>
  <c r="F126" i="32" s="1"/>
  <c r="Q125" i="32"/>
  <c r="L125" i="32"/>
  <c r="S125" i="32" s="1"/>
  <c r="F125" i="32" a="1"/>
  <c r="F125" i="32" s="1"/>
  <c r="S124" i="32"/>
  <c r="Q124" i="32"/>
  <c r="L124" i="32"/>
  <c r="F124" i="32" a="1"/>
  <c r="F124" i="32" s="1"/>
  <c r="N124" i="32" s="1"/>
  <c r="Q123" i="32"/>
  <c r="L123" i="32"/>
  <c r="S123" i="32" s="1"/>
  <c r="F123" i="32" a="1"/>
  <c r="F123" i="32" s="1"/>
  <c r="F134" i="32" s="1"/>
  <c r="Q122" i="32"/>
  <c r="L122" i="32"/>
  <c r="S122" i="32" s="1"/>
  <c r="F122" i="32"/>
  <c r="F122" i="32" a="1"/>
  <c r="Q120" i="32"/>
  <c r="N120" i="32"/>
  <c r="L120" i="32"/>
  <c r="S120" i="32" s="1"/>
  <c r="F120" i="32"/>
  <c r="F120" i="32" a="1"/>
  <c r="Q119" i="32"/>
  <c r="L119" i="32"/>
  <c r="S119" i="32" s="1"/>
  <c r="F119" i="32"/>
  <c r="F119" i="32" a="1"/>
  <c r="Q118" i="32"/>
  <c r="L118" i="32"/>
  <c r="S118" i="32" s="1"/>
  <c r="F118" i="32"/>
  <c r="F118" i="32" a="1"/>
  <c r="Q117" i="32"/>
  <c r="N117" i="32"/>
  <c r="L117" i="32"/>
  <c r="S117" i="32" s="1"/>
  <c r="F117" i="32"/>
  <c r="F117" i="32" a="1"/>
  <c r="Q116" i="32"/>
  <c r="L116" i="32"/>
  <c r="S116" i="32" s="1"/>
  <c r="F116" i="32" a="1"/>
  <c r="F116" i="32" s="1"/>
  <c r="Q115" i="32"/>
  <c r="S115" i="32" s="1"/>
  <c r="L115" i="32"/>
  <c r="F115" i="32"/>
  <c r="F115" i="32" a="1"/>
  <c r="S114" i="32"/>
  <c r="Q114" i="32"/>
  <c r="L114" i="32"/>
  <c r="N114" i="32" s="1"/>
  <c r="F114" i="32" a="1"/>
  <c r="F114" i="32" s="1"/>
  <c r="S113" i="32"/>
  <c r="Q113" i="32"/>
  <c r="L113" i="32"/>
  <c r="N113" i="32" s="1"/>
  <c r="F113" i="32" a="1"/>
  <c r="F113" i="32" s="1"/>
  <c r="S112" i="32"/>
  <c r="Q112" i="32"/>
  <c r="L112" i="32"/>
  <c r="F112" i="32"/>
  <c r="F112" i="32" a="1"/>
  <c r="S111" i="32"/>
  <c r="Q111" i="32"/>
  <c r="N111" i="32"/>
  <c r="L111" i="32"/>
  <c r="J111" i="32" s="1"/>
  <c r="F111" i="32" a="1"/>
  <c r="F111" i="32" s="1"/>
  <c r="L104" i="32"/>
  <c r="J112" i="32" s="1"/>
  <c r="Q103" i="32"/>
  <c r="L103" i="32"/>
  <c r="N103" i="32" s="1"/>
  <c r="F103" i="32" a="1"/>
  <c r="F103" i="32" s="1"/>
  <c r="D103" i="32"/>
  <c r="E103" i="32" s="1"/>
  <c r="D103" i="32" a="1"/>
  <c r="Q102" i="32"/>
  <c r="N102" i="32"/>
  <c r="L102" i="32"/>
  <c r="S102" i="32" s="1"/>
  <c r="F102" i="32"/>
  <c r="F102" i="32" a="1"/>
  <c r="E102" i="32"/>
  <c r="D102" i="32" a="1"/>
  <c r="D102" i="32" s="1"/>
  <c r="Q101" i="32"/>
  <c r="Q104" i="32" s="1"/>
  <c r="L101" i="32"/>
  <c r="F101" i="32"/>
  <c r="F104" i="32" s="1"/>
  <c r="F101" i="32" a="1"/>
  <c r="D101" i="32" a="1"/>
  <c r="D101" i="32" s="1"/>
  <c r="E101" i="32" s="1"/>
  <c r="Q99" i="32"/>
  <c r="O99" i="32"/>
  <c r="P99" i="32" s="1"/>
  <c r="M99" i="32"/>
  <c r="L99" i="32"/>
  <c r="S99" i="32" s="1"/>
  <c r="J99" i="32"/>
  <c r="K99" i="32" s="1"/>
  <c r="F99" i="32" a="1"/>
  <c r="F99" i="32" s="1"/>
  <c r="N99" i="32" s="1"/>
  <c r="E99" i="32"/>
  <c r="D99" i="32"/>
  <c r="D99" i="32" a="1"/>
  <c r="E97" i="32"/>
  <c r="Q96" i="32"/>
  <c r="L96" i="32"/>
  <c r="J96" i="32"/>
  <c r="P117" i="32" s="1"/>
  <c r="S95" i="32"/>
  <c r="Q95" i="32"/>
  <c r="P95" i="32"/>
  <c r="O95" i="32"/>
  <c r="N95" i="32"/>
  <c r="L95" i="32"/>
  <c r="K95" i="32"/>
  <c r="J95" i="32"/>
  <c r="R95" i="32" s="1"/>
  <c r="F95" i="32"/>
  <c r="F95" i="32" a="1"/>
  <c r="D95" i="32" a="1"/>
  <c r="D95" i="32" s="1"/>
  <c r="Q94" i="32"/>
  <c r="O94" i="32"/>
  <c r="O96" i="32" s="1"/>
  <c r="P103" i="32" s="1"/>
  <c r="L94" i="32"/>
  <c r="S94" i="32" s="1"/>
  <c r="S96" i="32" s="1"/>
  <c r="S97" i="32" s="1"/>
  <c r="J94" i="32"/>
  <c r="K94" i="32" s="1"/>
  <c r="F94" i="32" a="1"/>
  <c r="F94" i="32" s="1"/>
  <c r="F96" i="32" s="1"/>
  <c r="D111" i="32" s="1"/>
  <c r="D94" i="32"/>
  <c r="E94" i="32" s="1"/>
  <c r="D94" i="32" a="1"/>
  <c r="Q93" i="32"/>
  <c r="L93" i="32"/>
  <c r="F93" i="32"/>
  <c r="F93" i="32" a="1"/>
  <c r="S82" i="32"/>
  <c r="Q82" i="32"/>
  <c r="L82" i="32"/>
  <c r="F82" i="32" a="1"/>
  <c r="F82" i="32" s="1"/>
  <c r="N82" i="32" s="1"/>
  <c r="Q81" i="32"/>
  <c r="L81" i="32"/>
  <c r="S81" i="32" s="1"/>
  <c r="F81" i="32"/>
  <c r="N81" i="32" s="1"/>
  <c r="F81" i="32" a="1"/>
  <c r="S80" i="32"/>
  <c r="Q80" i="32"/>
  <c r="L80" i="32"/>
  <c r="F80" i="32" a="1"/>
  <c r="F80" i="32" s="1"/>
  <c r="N80" i="32" s="1"/>
  <c r="Q79" i="32"/>
  <c r="L79" i="32"/>
  <c r="S79" i="32" s="1"/>
  <c r="F79" i="32" a="1"/>
  <c r="F79" i="32" s="1"/>
  <c r="Q78" i="32"/>
  <c r="L78" i="32"/>
  <c r="F78" i="32" a="1"/>
  <c r="F78" i="32" s="1"/>
  <c r="Q77" i="32"/>
  <c r="S77" i="32" s="1"/>
  <c r="L77" i="32"/>
  <c r="F77" i="32"/>
  <c r="N77" i="32" s="1"/>
  <c r="F77" i="32" a="1"/>
  <c r="Q76" i="32"/>
  <c r="L76" i="32"/>
  <c r="F76" i="32"/>
  <c r="F76" i="32" a="1"/>
  <c r="Q75" i="32"/>
  <c r="Q83" i="32" s="1"/>
  <c r="L75" i="32"/>
  <c r="F75" i="32" a="1"/>
  <c r="F75" i="32" s="1"/>
  <c r="Q71" i="32"/>
  <c r="S71" i="32" s="1"/>
  <c r="N71" i="32"/>
  <c r="L71" i="32"/>
  <c r="F71" i="32"/>
  <c r="F71" i="32" a="1"/>
  <c r="S70" i="32"/>
  <c r="Q70" i="32"/>
  <c r="L70" i="32"/>
  <c r="N70" i="32" s="1"/>
  <c r="F70" i="32" a="1"/>
  <c r="F70" i="32" s="1"/>
  <c r="Q69" i="32"/>
  <c r="S69" i="32" s="1"/>
  <c r="F69" i="32"/>
  <c r="N69" i="32" s="1"/>
  <c r="F69" i="32" a="1"/>
  <c r="Q68" i="32"/>
  <c r="L68" i="32"/>
  <c r="S68" i="32" s="1"/>
  <c r="F68" i="32" a="1"/>
  <c r="F68" i="32" s="1"/>
  <c r="Q67" i="32"/>
  <c r="N67" i="32"/>
  <c r="L67" i="32"/>
  <c r="S67" i="32" s="1"/>
  <c r="F67" i="32"/>
  <c r="F67" i="32" a="1"/>
  <c r="Q66" i="32"/>
  <c r="L66" i="32"/>
  <c r="S66" i="32" s="1"/>
  <c r="F66" i="32"/>
  <c r="F66" i="32" a="1"/>
  <c r="Q65" i="32"/>
  <c r="L65" i="32"/>
  <c r="N65" i="32" s="1"/>
  <c r="F65" i="32"/>
  <c r="F65" i="32" a="1"/>
  <c r="Q64" i="32"/>
  <c r="S64" i="32" s="1"/>
  <c r="L64" i="32"/>
  <c r="F64" i="32"/>
  <c r="N64" i="32" s="1"/>
  <c r="F64" i="32" a="1"/>
  <c r="S63" i="32"/>
  <c r="Q63" i="32"/>
  <c r="L63" i="32"/>
  <c r="F63" i="32" a="1"/>
  <c r="F63" i="32" s="1"/>
  <c r="N63" i="32" s="1"/>
  <c r="Q62" i="32"/>
  <c r="L62" i="32"/>
  <c r="F62" i="32" a="1"/>
  <c r="F62" i="32" s="1"/>
  <c r="N62" i="32" s="1"/>
  <c r="S61" i="32"/>
  <c r="Q61" i="32"/>
  <c r="L61" i="32"/>
  <c r="F61" i="32" a="1"/>
  <c r="F61" i="32" s="1"/>
  <c r="N61" i="32" s="1"/>
  <c r="Q60" i="32"/>
  <c r="S60" i="32" s="1"/>
  <c r="L60" i="32"/>
  <c r="F60" i="32" a="1"/>
  <c r="F60" i="32" s="1"/>
  <c r="N60" i="32" s="1"/>
  <c r="Q59" i="32"/>
  <c r="S59" i="32" s="1"/>
  <c r="L59" i="32"/>
  <c r="F59" i="32" a="1"/>
  <c r="F59" i="32" s="1"/>
  <c r="N59" i="32" s="1"/>
  <c r="S58" i="32"/>
  <c r="Q58" i="32"/>
  <c r="L58" i="32"/>
  <c r="F58" i="32"/>
  <c r="N58" i="32" s="1"/>
  <c r="F58" i="32" a="1"/>
  <c r="S57" i="32"/>
  <c r="Q57" i="32"/>
  <c r="L57" i="32"/>
  <c r="F57" i="32" a="1"/>
  <c r="F57" i="32" s="1"/>
  <c r="S56" i="32"/>
  <c r="Q56" i="32"/>
  <c r="L56" i="32"/>
  <c r="N56" i="32" s="1"/>
  <c r="F56" i="32"/>
  <c r="F56" i="32" a="1"/>
  <c r="Q55" i="32"/>
  <c r="Q72" i="32" s="1"/>
  <c r="L55" i="32"/>
  <c r="F55" i="32" a="1"/>
  <c r="F55" i="32" s="1"/>
  <c r="F72" i="32" s="1"/>
  <c r="L54" i="32"/>
  <c r="S53" i="32"/>
  <c r="Q53" i="32"/>
  <c r="L53" i="32"/>
  <c r="F53" i="32"/>
  <c r="N53" i="32" s="1"/>
  <c r="F53" i="32" a="1"/>
  <c r="S52" i="32"/>
  <c r="Q52" i="32"/>
  <c r="L52" i="32"/>
  <c r="N52" i="32" s="1"/>
  <c r="F52" i="32"/>
  <c r="F52" i="32" a="1"/>
  <c r="Q51" i="32"/>
  <c r="N51" i="32"/>
  <c r="L51" i="32"/>
  <c r="S51" i="32" s="1"/>
  <c r="F51" i="32"/>
  <c r="F51" i="32" a="1"/>
  <c r="Q50" i="32"/>
  <c r="L50" i="32"/>
  <c r="S50" i="32" s="1"/>
  <c r="F50" i="32" a="1"/>
  <c r="F50" i="32" s="1"/>
  <c r="Q49" i="32"/>
  <c r="N49" i="32"/>
  <c r="L49" i="32"/>
  <c r="F49" i="32"/>
  <c r="F49" i="32" a="1"/>
  <c r="Q48" i="32"/>
  <c r="S48" i="32" s="1"/>
  <c r="L48" i="32"/>
  <c r="F48" i="32" a="1"/>
  <c r="F48" i="32" s="1"/>
  <c r="N48" i="32" s="1"/>
  <c r="S47" i="32"/>
  <c r="Q47" i="32"/>
  <c r="N47" i="32"/>
  <c r="L47" i="32"/>
  <c r="F47" i="32" a="1"/>
  <c r="F47" i="32" s="1"/>
  <c r="Q46" i="32"/>
  <c r="S46" i="32" s="1"/>
  <c r="L46" i="32"/>
  <c r="F46" i="32" a="1"/>
  <c r="F46" i="32" s="1"/>
  <c r="N46" i="32" s="1"/>
  <c r="S45" i="32"/>
  <c r="Q45" i="32"/>
  <c r="L45" i="32"/>
  <c r="N45" i="32" s="1"/>
  <c r="F45" i="32"/>
  <c r="F45" i="32" a="1"/>
  <c r="Q44" i="32"/>
  <c r="L44" i="32"/>
  <c r="F44" i="32"/>
  <c r="F44" i="32" a="1"/>
  <c r="S43" i="32"/>
  <c r="Q43" i="32"/>
  <c r="Q54" i="32" s="1"/>
  <c r="L43" i="32"/>
  <c r="F43" i="32" a="1"/>
  <c r="F43" i="32" s="1"/>
  <c r="N43" i="32" s="1"/>
  <c r="Q42" i="32"/>
  <c r="L42" i="32"/>
  <c r="S42" i="32" s="1"/>
  <c r="F42" i="32"/>
  <c r="F42" i="32" a="1"/>
  <c r="Q40" i="32"/>
  <c r="S40" i="32" s="1"/>
  <c r="P40" i="32"/>
  <c r="L40" i="32"/>
  <c r="K40" i="32"/>
  <c r="F40" i="32"/>
  <c r="F40" i="32" a="1"/>
  <c r="Q39" i="32"/>
  <c r="P39" i="32" s="1"/>
  <c r="L39" i="32"/>
  <c r="S39" i="32" s="1"/>
  <c r="K39" i="32"/>
  <c r="F39" i="32"/>
  <c r="F39" i="32" a="1"/>
  <c r="Q38" i="32"/>
  <c r="P38" i="32" s="1"/>
  <c r="L38" i="32"/>
  <c r="N38" i="32" s="1"/>
  <c r="K38" i="32"/>
  <c r="F38" i="32" a="1"/>
  <c r="F38" i="32" s="1"/>
  <c r="Q37" i="32"/>
  <c r="L37" i="32"/>
  <c r="S37" i="32" s="1"/>
  <c r="F37" i="32"/>
  <c r="F37" i="32" a="1"/>
  <c r="S36" i="32"/>
  <c r="Q36" i="32"/>
  <c r="L36" i="32"/>
  <c r="F36" i="32" a="1"/>
  <c r="F36" i="32" s="1"/>
  <c r="Q35" i="32"/>
  <c r="S35" i="32" s="1"/>
  <c r="L35" i="32"/>
  <c r="F35" i="32" a="1"/>
  <c r="F35" i="32" s="1"/>
  <c r="Q34" i="32"/>
  <c r="L34" i="32"/>
  <c r="S34" i="32" s="1"/>
  <c r="F34" i="32"/>
  <c r="N34" i="32" s="1"/>
  <c r="F34" i="32" a="1"/>
  <c r="Q33" i="32"/>
  <c r="S33" i="32" s="1"/>
  <c r="L33" i="32"/>
  <c r="F33" i="32"/>
  <c r="F33" i="32" a="1"/>
  <c r="Q32" i="32"/>
  <c r="L32" i="32"/>
  <c r="F32" i="32"/>
  <c r="F32" i="32" a="1"/>
  <c r="S31" i="32"/>
  <c r="Q31" i="32"/>
  <c r="Q41" i="32" s="1"/>
  <c r="L31" i="32"/>
  <c r="F31" i="32" a="1"/>
  <c r="F31" i="32" s="1"/>
  <c r="Q23" i="32"/>
  <c r="L23" i="32"/>
  <c r="S23" i="32" s="1"/>
  <c r="F23" i="32" a="1"/>
  <c r="F23" i="32" s="1"/>
  <c r="E23" i="32"/>
  <c r="D23" i="32"/>
  <c r="D23" i="32" a="1"/>
  <c r="Q22" i="32"/>
  <c r="S22" i="32" s="1"/>
  <c r="L22" i="32"/>
  <c r="F22" i="32" a="1"/>
  <c r="F22" i="32" s="1"/>
  <c r="N22" i="32" s="1"/>
  <c r="D22" i="32"/>
  <c r="E22" i="32" s="1"/>
  <c r="D22" i="32" a="1"/>
  <c r="S21" i="32"/>
  <c r="Q21" i="32"/>
  <c r="Q24" i="32" s="1"/>
  <c r="L21" i="32"/>
  <c r="L24" i="32" s="1"/>
  <c r="F21" i="32" a="1"/>
  <c r="F21" i="32" s="1"/>
  <c r="F24" i="32" s="1"/>
  <c r="D32" i="32" s="1"/>
  <c r="D21" i="32" a="1"/>
  <c r="D21" i="32" s="1"/>
  <c r="E21" i="32" s="1"/>
  <c r="S19" i="32"/>
  <c r="R19" i="32"/>
  <c r="Q19" i="32"/>
  <c r="L19" i="32"/>
  <c r="F19" i="32" a="1"/>
  <c r="F19" i="32" s="1"/>
  <c r="D19" i="32" a="1"/>
  <c r="D19" i="32" s="1"/>
  <c r="E19" i="32" s="1"/>
  <c r="Q17" i="32"/>
  <c r="S17" i="32" s="1"/>
  <c r="O17" i="32"/>
  <c r="P17" i="32" s="1"/>
  <c r="L17" i="32"/>
  <c r="J17" i="32"/>
  <c r="R17" i="32" s="1"/>
  <c r="F17" i="32"/>
  <c r="N17" i="32" s="1"/>
  <c r="F17" i="32" a="1"/>
  <c r="D17" i="32" a="1"/>
  <c r="D17" i="32" s="1"/>
  <c r="E17" i="32" s="1"/>
  <c r="Q15" i="32"/>
  <c r="O15" i="32"/>
  <c r="L15" i="32"/>
  <c r="S15" i="32" s="1"/>
  <c r="J15" i="32"/>
  <c r="R15" i="32" s="1"/>
  <c r="F15" i="32"/>
  <c r="F15" i="32" a="1"/>
  <c r="D15" i="32" a="1"/>
  <c r="D15" i="32" s="1"/>
  <c r="AF14" i="32"/>
  <c r="AF15" i="32" s="1"/>
  <c r="AE15" i="32" s="1"/>
  <c r="L13" i="32"/>
  <c r="Q12" i="32"/>
  <c r="O12" i="32"/>
  <c r="P12" i="32" s="1"/>
  <c r="L12" i="32"/>
  <c r="S12" i="32" s="1"/>
  <c r="J12" i="32"/>
  <c r="R12" i="32" s="1"/>
  <c r="F12" i="32"/>
  <c r="N12" i="32" s="1"/>
  <c r="F12" i="32" a="1"/>
  <c r="E12" i="32"/>
  <c r="Q11" i="32"/>
  <c r="O11" i="32"/>
  <c r="R11" i="32" s="1"/>
  <c r="M11" i="32"/>
  <c r="L11" i="32"/>
  <c r="S11" i="32" s="1"/>
  <c r="K11" i="32"/>
  <c r="J11" i="32"/>
  <c r="F11" i="32"/>
  <c r="F11" i="32" a="1"/>
  <c r="E11" i="32"/>
  <c r="S10" i="32"/>
  <c r="R10" i="32"/>
  <c r="Q10" i="32"/>
  <c r="O10" i="32"/>
  <c r="P10" i="32" s="1"/>
  <c r="L10" i="32"/>
  <c r="J10" i="32"/>
  <c r="M10" i="32" s="1"/>
  <c r="F10" i="32" a="1"/>
  <c r="F10" i="32" s="1"/>
  <c r="E10" i="32"/>
  <c r="Q9" i="32"/>
  <c r="P9" i="32"/>
  <c r="O9" i="32"/>
  <c r="R9" i="32" s="1"/>
  <c r="L9" i="32"/>
  <c r="N9" i="32" s="1"/>
  <c r="K9" i="32"/>
  <c r="J9" i="32"/>
  <c r="F9" i="32"/>
  <c r="F9" i="32" a="1"/>
  <c r="D9" i="32" a="1"/>
  <c r="D9" i="32" s="1"/>
  <c r="W8" i="32"/>
  <c r="Q8" i="32"/>
  <c r="P8" i="32"/>
  <c r="O8" i="32"/>
  <c r="L8" i="32"/>
  <c r="N8" i="32" s="1"/>
  <c r="K8" i="32"/>
  <c r="J8" i="32"/>
  <c r="R8" i="32" s="1"/>
  <c r="F8" i="32"/>
  <c r="F8" i="32" a="1"/>
  <c r="D8" i="32" a="1"/>
  <c r="D8" i="32" s="1"/>
  <c r="Q7" i="32"/>
  <c r="O7" i="32"/>
  <c r="P7" i="32" s="1"/>
  <c r="L7" i="32"/>
  <c r="S7" i="32" s="1"/>
  <c r="J7" i="32"/>
  <c r="M7" i="32" s="1"/>
  <c r="F7" i="32" a="1"/>
  <c r="F7" i="32" s="1"/>
  <c r="N7" i="32" s="1"/>
  <c r="D7" i="32" a="1"/>
  <c r="D7" i="32" s="1"/>
  <c r="S6" i="32"/>
  <c r="Q6" i="32"/>
  <c r="O6" i="32"/>
  <c r="O13" i="32" s="1"/>
  <c r="N6" i="32"/>
  <c r="L6" i="32"/>
  <c r="J6" i="32"/>
  <c r="J13" i="32" s="1"/>
  <c r="F6" i="32"/>
  <c r="F13" i="32" s="1"/>
  <c r="F6" i="32" a="1"/>
  <c r="D6" i="32" a="1"/>
  <c r="D6" i="32" s="1"/>
  <c r="Q5" i="32"/>
  <c r="L5" i="32"/>
  <c r="F5" i="32" a="1"/>
  <c r="F5" i="32" s="1"/>
  <c r="S1" i="32"/>
  <c r="C1" i="32"/>
  <c r="C89" i="32" s="1"/>
  <c r="E6" i="33" l="1"/>
  <c r="D13" i="33"/>
  <c r="M6" i="33"/>
  <c r="F13" i="33"/>
  <c r="N6" i="33"/>
  <c r="E33" i="33"/>
  <c r="P228" i="33"/>
  <c r="E39" i="33"/>
  <c r="N21" i="33"/>
  <c r="F24" i="33"/>
  <c r="D32" i="33" s="1"/>
  <c r="R184" i="33"/>
  <c r="C235" i="33"/>
  <c r="S6" i="33"/>
  <c r="L13" i="33"/>
  <c r="N19" i="33"/>
  <c r="D24" i="33"/>
  <c r="N40" i="33"/>
  <c r="S49" i="33"/>
  <c r="N49" i="33"/>
  <c r="N71" i="33"/>
  <c r="S94" i="33"/>
  <c r="S96" i="33" s="1"/>
  <c r="E111" i="33"/>
  <c r="D111" i="33"/>
  <c r="F121" i="33"/>
  <c r="N124" i="33"/>
  <c r="P184" i="33"/>
  <c r="P193" i="33" s="1"/>
  <c r="F249" i="33"/>
  <c r="F244" i="33"/>
  <c r="N267" i="33"/>
  <c r="L24" i="33"/>
  <c r="E38" i="33"/>
  <c r="S45" i="33"/>
  <c r="O104" i="33"/>
  <c r="P104" i="33" s="1"/>
  <c r="O107" i="33"/>
  <c r="P101" i="33"/>
  <c r="P102" i="33"/>
  <c r="P103" i="33"/>
  <c r="E115" i="33"/>
  <c r="Q193" i="33"/>
  <c r="Q185" i="33"/>
  <c r="D303" i="33"/>
  <c r="E294" i="33"/>
  <c r="M294" i="33"/>
  <c r="S311" i="33"/>
  <c r="R311" i="33" s="1"/>
  <c r="N311" i="33"/>
  <c r="P12" i="33"/>
  <c r="N45" i="33"/>
  <c r="N53" i="33"/>
  <c r="N78" i="33"/>
  <c r="E78" i="33"/>
  <c r="P94" i="33"/>
  <c r="Q96" i="33"/>
  <c r="P111" i="33"/>
  <c r="Q121" i="33"/>
  <c r="S152" i="33"/>
  <c r="N152" i="33"/>
  <c r="L250" i="33"/>
  <c r="S35" i="33"/>
  <c r="N35" i="33"/>
  <c r="F230" i="33"/>
  <c r="N249" i="33"/>
  <c r="N250" i="33" s="1"/>
  <c r="S249" i="33"/>
  <c r="S250" i="33" s="1"/>
  <c r="E265" i="33"/>
  <c r="N294" i="33"/>
  <c r="F303" i="33"/>
  <c r="F308" i="33" s="1"/>
  <c r="F313" i="33" s="1"/>
  <c r="S355" i="33"/>
  <c r="S290" i="33"/>
  <c r="AO484" i="33"/>
  <c r="S89" i="33"/>
  <c r="AO401" i="33"/>
  <c r="S167" i="33"/>
  <c r="S235" i="33"/>
  <c r="P6" i="33"/>
  <c r="R7" i="33"/>
  <c r="R13" i="33" s="1"/>
  <c r="R14" i="33" s="1"/>
  <c r="M17" i="33"/>
  <c r="F41" i="33"/>
  <c r="N38" i="33"/>
  <c r="F54" i="33"/>
  <c r="E95" i="33"/>
  <c r="D96" i="33"/>
  <c r="E116" i="33" s="1"/>
  <c r="N116" i="33"/>
  <c r="N156" i="33"/>
  <c r="N162" i="33" s="1"/>
  <c r="N180" i="33"/>
  <c r="F181" i="33"/>
  <c r="L209" i="33"/>
  <c r="S197" i="33"/>
  <c r="N197" i="33"/>
  <c r="N214" i="33"/>
  <c r="M243" i="33"/>
  <c r="Q13" i="33"/>
  <c r="N11" i="33"/>
  <c r="M15" i="33"/>
  <c r="K15" i="33"/>
  <c r="P38" i="33"/>
  <c r="L54" i="33"/>
  <c r="S46" i="33"/>
  <c r="F83" i="33"/>
  <c r="S82" i="33"/>
  <c r="S83" i="33" s="1"/>
  <c r="D112" i="33"/>
  <c r="E120" i="33"/>
  <c r="N187" i="33"/>
  <c r="F188" i="33"/>
  <c r="Q209" i="33"/>
  <c r="F228" i="33"/>
  <c r="S218" i="33"/>
  <c r="N218" i="33"/>
  <c r="N241" i="33"/>
  <c r="Q286" i="33"/>
  <c r="P286" i="33" s="1"/>
  <c r="F72" i="33"/>
  <c r="K120" i="33"/>
  <c r="S120" i="33"/>
  <c r="N120" i="33"/>
  <c r="L228" i="33"/>
  <c r="S317" i="33"/>
  <c r="N317" i="33"/>
  <c r="L329" i="33"/>
  <c r="P11" i="33"/>
  <c r="P17" i="33"/>
  <c r="Q41" i="33"/>
  <c r="N33" i="33"/>
  <c r="N36" i="33"/>
  <c r="Q54" i="33"/>
  <c r="L72" i="33"/>
  <c r="N58" i="33"/>
  <c r="M95" i="33"/>
  <c r="S157" i="33"/>
  <c r="S162" i="33" s="1"/>
  <c r="L162" i="33"/>
  <c r="N157" i="33"/>
  <c r="N174" i="33"/>
  <c r="F175" i="33"/>
  <c r="S226" i="33"/>
  <c r="N226" i="33"/>
  <c r="N254" i="33"/>
  <c r="Q329" i="33"/>
  <c r="O27" i="33"/>
  <c r="P21" i="33"/>
  <c r="O24" i="33"/>
  <c r="S31" i="33"/>
  <c r="P36" i="33"/>
  <c r="S42" i="33"/>
  <c r="S54" i="33" s="1"/>
  <c r="F134" i="33"/>
  <c r="E134" i="33" s="1"/>
  <c r="E359" i="33"/>
  <c r="F361" i="33"/>
  <c r="J13" i="33"/>
  <c r="S134" i="33"/>
  <c r="S215" i="33"/>
  <c r="N215" i="33"/>
  <c r="N282" i="33"/>
  <c r="S282" i="33"/>
  <c r="R302" i="33"/>
  <c r="P302" i="33"/>
  <c r="M10" i="33"/>
  <c r="N34" i="33"/>
  <c r="E34" i="33"/>
  <c r="S55" i="33"/>
  <c r="S72" i="33" s="1"/>
  <c r="S103" i="33"/>
  <c r="N103" i="33"/>
  <c r="N127" i="33"/>
  <c r="N158" i="33"/>
  <c r="Q181" i="33"/>
  <c r="F284" i="33"/>
  <c r="N270" i="33"/>
  <c r="K8" i="33"/>
  <c r="K9" i="33"/>
  <c r="N10" i="33"/>
  <c r="R15" i="33"/>
  <c r="N132" i="33"/>
  <c r="F172" i="33"/>
  <c r="F184" i="33"/>
  <c r="Q288" i="33"/>
  <c r="P265" i="33"/>
  <c r="L284" i="33"/>
  <c r="Z426" i="33"/>
  <c r="AI426" i="33" s="1"/>
  <c r="V401" i="33"/>
  <c r="AF473" i="33"/>
  <c r="Z437" i="33"/>
  <c r="AL425" i="33"/>
  <c r="AO425" i="33" s="1"/>
  <c r="Z408" i="33"/>
  <c r="Z475" i="33"/>
  <c r="AL427" i="33"/>
  <c r="AF425" i="33"/>
  <c r="AF470" i="33"/>
  <c r="AL474" i="33"/>
  <c r="AO474" i="33" s="1"/>
  <c r="AF436" i="33"/>
  <c r="Z427" i="33"/>
  <c r="AL476" i="33"/>
  <c r="AO476" i="33" s="1"/>
  <c r="V484" i="33"/>
  <c r="AL469" i="33"/>
  <c r="Z429" i="33"/>
  <c r="AF462" i="33"/>
  <c r="AL426" i="33"/>
  <c r="AO426" i="33" s="1"/>
  <c r="Z422" i="33"/>
  <c r="AL416" i="33"/>
  <c r="AL496" i="33"/>
  <c r="AO496" i="33" s="1"/>
  <c r="Z440" i="33"/>
  <c r="Z431" i="33"/>
  <c r="AI431" i="33" s="1"/>
  <c r="AF424" i="33"/>
  <c r="AF411" i="33"/>
  <c r="AF469" i="33"/>
  <c r="Z449" i="33"/>
  <c r="AI449" i="33" s="1"/>
  <c r="Z469" i="33"/>
  <c r="C89" i="33"/>
  <c r="Z433" i="33" s="1"/>
  <c r="AF494" i="33"/>
  <c r="Z494" i="33"/>
  <c r="AI494" i="33" s="1"/>
  <c r="AL428" i="33"/>
  <c r="C290" i="33"/>
  <c r="C355" i="33" s="1"/>
  <c r="C167" i="33"/>
  <c r="AF426" i="33"/>
  <c r="AF442" i="33"/>
  <c r="Z424" i="33"/>
  <c r="AI424" i="33" s="1"/>
  <c r="Z415" i="33"/>
  <c r="AF478" i="33"/>
  <c r="Z476" i="33"/>
  <c r="AL421" i="33"/>
  <c r="AL464" i="33"/>
  <c r="AL473" i="33"/>
  <c r="AO473" i="33" s="1"/>
  <c r="Z411" i="33"/>
  <c r="AF435" i="33"/>
  <c r="P23" i="33"/>
  <c r="N52" i="33"/>
  <c r="N66" i="33"/>
  <c r="N118" i="33"/>
  <c r="E118" i="33"/>
  <c r="E306" i="33"/>
  <c r="P34" i="33"/>
  <c r="E40" i="33"/>
  <c r="N44" i="33"/>
  <c r="E94" i="33"/>
  <c r="K193" i="33"/>
  <c r="S212" i="33"/>
  <c r="S7" i="33"/>
  <c r="N37" i="33"/>
  <c r="K40" i="33"/>
  <c r="N94" i="33"/>
  <c r="F96" i="33"/>
  <c r="F107" i="33" s="1"/>
  <c r="N114" i="33"/>
  <c r="E114" i="33"/>
  <c r="S159" i="33"/>
  <c r="N159" i="33"/>
  <c r="N336" i="33"/>
  <c r="S336" i="33"/>
  <c r="P173" i="33"/>
  <c r="S174" i="33"/>
  <c r="K179" i="33"/>
  <c r="S183" i="33"/>
  <c r="S207" i="33"/>
  <c r="S240" i="33"/>
  <c r="S241" i="33" s="1"/>
  <c r="N243" i="33"/>
  <c r="N244" i="33" s="1"/>
  <c r="S279" i="33"/>
  <c r="N279" i="33"/>
  <c r="N295" i="33"/>
  <c r="S322" i="33"/>
  <c r="N322" i="33"/>
  <c r="S331" i="33"/>
  <c r="J361" i="33"/>
  <c r="K361" i="33" s="1"/>
  <c r="K359" i="33"/>
  <c r="S391" i="33"/>
  <c r="S394" i="33" s="1"/>
  <c r="AO490" i="33"/>
  <c r="N113" i="33"/>
  <c r="K115" i="33"/>
  <c r="P120" i="33"/>
  <c r="S122" i="33"/>
  <c r="N125" i="33"/>
  <c r="N133" i="33"/>
  <c r="S135" i="33"/>
  <c r="N138" i="33"/>
  <c r="F241" i="33"/>
  <c r="Q247" i="33"/>
  <c r="N258" i="33"/>
  <c r="N261" i="33"/>
  <c r="N264" i="33"/>
  <c r="N273" i="33"/>
  <c r="N306" i="33"/>
  <c r="S327" i="33"/>
  <c r="N327" i="33"/>
  <c r="N48" i="33"/>
  <c r="P113" i="33"/>
  <c r="Q162" i="33"/>
  <c r="U179" i="33"/>
  <c r="S180" i="33"/>
  <c r="E184" i="33"/>
  <c r="E193" i="33" s="1"/>
  <c r="S187" i="33"/>
  <c r="N210" i="33"/>
  <c r="N221" i="33"/>
  <c r="S255" i="33"/>
  <c r="N255" i="33"/>
  <c r="M306" i="33"/>
  <c r="AN465" i="33"/>
  <c r="E31" i="33"/>
  <c r="N75" i="33"/>
  <c r="K102" i="33"/>
  <c r="R102" i="33" s="1"/>
  <c r="N115" i="33"/>
  <c r="K117" i="33"/>
  <c r="N128" i="33"/>
  <c r="N141" i="33"/>
  <c r="S246" i="33"/>
  <c r="S258" i="33"/>
  <c r="E297" i="33"/>
  <c r="N298" i="33"/>
  <c r="R306" i="33"/>
  <c r="P306" i="33"/>
  <c r="S318" i="33"/>
  <c r="N318" i="33"/>
  <c r="S323" i="33"/>
  <c r="S332" i="33"/>
  <c r="S337" i="33"/>
  <c r="N337" i="33"/>
  <c r="N32" i="33"/>
  <c r="K39" i="33"/>
  <c r="N43" i="33"/>
  <c r="N54" i="33" s="1"/>
  <c r="P115" i="33"/>
  <c r="M171" i="33"/>
  <c r="N177" i="33"/>
  <c r="N208" i="33"/>
  <c r="S210" i="33"/>
  <c r="N213" i="33"/>
  <c r="Q241" i="33"/>
  <c r="R295" i="33"/>
  <c r="M298" i="33"/>
  <c r="J303" i="33"/>
  <c r="N342" i="33"/>
  <c r="K96" i="33"/>
  <c r="N102" i="33"/>
  <c r="N117" i="33"/>
  <c r="K119" i="33"/>
  <c r="N123" i="33"/>
  <c r="N131" i="33"/>
  <c r="N171" i="33"/>
  <c r="S243" i="33"/>
  <c r="L247" i="33"/>
  <c r="N274" i="33"/>
  <c r="N277" i="33"/>
  <c r="N280" i="33"/>
  <c r="N283" i="33"/>
  <c r="O303" i="33"/>
  <c r="R294" i="33"/>
  <c r="M297" i="33"/>
  <c r="K297" i="33"/>
  <c r="E300" i="33"/>
  <c r="N301" i="33"/>
  <c r="L303" i="33"/>
  <c r="J31" i="33"/>
  <c r="N39" i="33"/>
  <c r="L41" i="33"/>
  <c r="N46" i="33"/>
  <c r="P117" i="33"/>
  <c r="N160" i="33"/>
  <c r="L184" i="33"/>
  <c r="N198" i="33"/>
  <c r="P294" i="33"/>
  <c r="E296" i="33"/>
  <c r="P298" i="33"/>
  <c r="R301" i="33"/>
  <c r="P301" i="33"/>
  <c r="S319" i="33"/>
  <c r="N319" i="33"/>
  <c r="S328" i="33"/>
  <c r="S338" i="33"/>
  <c r="N338" i="33"/>
  <c r="P361" i="33"/>
  <c r="M96" i="33"/>
  <c r="M97" i="33" s="1"/>
  <c r="K101" i="33"/>
  <c r="R101" i="33" s="1"/>
  <c r="J107" i="33"/>
  <c r="N119" i="33"/>
  <c r="L121" i="33"/>
  <c r="N126" i="33"/>
  <c r="J158" i="33"/>
  <c r="L244" i="33"/>
  <c r="S247" i="33"/>
  <c r="N253" i="33"/>
  <c r="N256" i="33"/>
  <c r="N259" i="33"/>
  <c r="N262" i="33"/>
  <c r="L265" i="33"/>
  <c r="K265" i="33" s="1"/>
  <c r="N271" i="33"/>
  <c r="N284" i="33" s="1"/>
  <c r="S274" i="33"/>
  <c r="Q303" i="33"/>
  <c r="S324" i="33"/>
  <c r="N324" i="33"/>
  <c r="N343" i="33"/>
  <c r="N347" i="33"/>
  <c r="S362" i="33"/>
  <c r="AO453" i="33"/>
  <c r="AO492" i="33"/>
  <c r="N62" i="33"/>
  <c r="N72" i="33" s="1"/>
  <c r="N76" i="33"/>
  <c r="N81" i="33"/>
  <c r="K95" i="33"/>
  <c r="N96" i="33"/>
  <c r="N97" i="33" s="1"/>
  <c r="N112" i="33"/>
  <c r="K114" i="33"/>
  <c r="P119" i="33"/>
  <c r="K158" i="33"/>
  <c r="K176" i="33"/>
  <c r="N206" i="33"/>
  <c r="N211" i="33"/>
  <c r="N222" i="33"/>
  <c r="S268" i="33"/>
  <c r="N268" i="33"/>
  <c r="S301" i="33"/>
  <c r="S333" i="33"/>
  <c r="F394" i="33"/>
  <c r="E394" i="33" s="1"/>
  <c r="K94" i="33"/>
  <c r="K99" i="33"/>
  <c r="N101" i="33"/>
  <c r="J104" i="33"/>
  <c r="P112" i="33"/>
  <c r="N129" i="33"/>
  <c r="R171" i="33"/>
  <c r="S177" i="33"/>
  <c r="N201" i="33"/>
  <c r="Q244" i="33"/>
  <c r="S271" i="33"/>
  <c r="F376" i="33"/>
  <c r="L394" i="33"/>
  <c r="K394" i="33" s="1"/>
  <c r="J111" i="33"/>
  <c r="K116" i="33"/>
  <c r="U181" i="33"/>
  <c r="E299" i="33"/>
  <c r="N300" i="33"/>
  <c r="M307" i="33"/>
  <c r="K307" i="33"/>
  <c r="S325" i="33"/>
  <c r="N325" i="33"/>
  <c r="S334" i="33"/>
  <c r="N334" i="33"/>
  <c r="N339" i="33"/>
  <c r="N344" i="33"/>
  <c r="Q394" i="33"/>
  <c r="P394" i="33" s="1"/>
  <c r="AI459" i="33"/>
  <c r="L104" i="33"/>
  <c r="K111" i="33"/>
  <c r="P114" i="33"/>
  <c r="R297" i="33"/>
  <c r="S320" i="33"/>
  <c r="F348" i="33"/>
  <c r="E348" i="33" s="1"/>
  <c r="S260" i="33"/>
  <c r="S263" i="33"/>
  <c r="N263" i="33"/>
  <c r="M299" i="33"/>
  <c r="K299" i="33"/>
  <c r="N307" i="33"/>
  <c r="S330" i="33"/>
  <c r="N330" i="33"/>
  <c r="L348" i="33"/>
  <c r="AO468" i="33"/>
  <c r="S321" i="33"/>
  <c r="N321" i="33"/>
  <c r="Q348" i="33"/>
  <c r="S335" i="33"/>
  <c r="N335" i="33"/>
  <c r="S340" i="33"/>
  <c r="N340" i="33"/>
  <c r="S369" i="33"/>
  <c r="P296" i="33"/>
  <c r="N299" i="33"/>
  <c r="N302" i="33"/>
  <c r="F329" i="33"/>
  <c r="S326" i="33"/>
  <c r="N326" i="33"/>
  <c r="Q396" i="33"/>
  <c r="P396" i="33" s="1"/>
  <c r="P376" i="33"/>
  <c r="N331" i="33"/>
  <c r="S361" i="33"/>
  <c r="AH490" i="33"/>
  <c r="AI490" i="33" s="1"/>
  <c r="AH492" i="33"/>
  <c r="AI492" i="33" s="1"/>
  <c r="L376" i="33"/>
  <c r="AH453" i="33"/>
  <c r="AI453" i="33" s="1"/>
  <c r="AH455" i="33"/>
  <c r="AH457" i="33"/>
  <c r="AI457" i="33" s="1"/>
  <c r="AH459" i="33"/>
  <c r="N345" i="33"/>
  <c r="R359" i="33"/>
  <c r="N332" i="33"/>
  <c r="N346" i="33"/>
  <c r="AH468" i="33"/>
  <c r="AI468" i="33" s="1"/>
  <c r="AH491" i="33"/>
  <c r="AH493" i="33"/>
  <c r="AH452" i="33"/>
  <c r="AH454" i="33"/>
  <c r="AI454" i="33" s="1"/>
  <c r="AH456" i="33"/>
  <c r="AI456" i="33" s="1"/>
  <c r="AH458" i="33"/>
  <c r="AI458" i="33" s="1"/>
  <c r="AH460" i="33"/>
  <c r="AI460" i="33" s="1"/>
  <c r="N341" i="33"/>
  <c r="M8" i="32"/>
  <c r="E8" i="32"/>
  <c r="N31" i="32"/>
  <c r="F27" i="32"/>
  <c r="U32" i="32"/>
  <c r="X32" i="32" s="1"/>
  <c r="Y32" i="32" s="1"/>
  <c r="J32" i="32"/>
  <c r="S24" i="32"/>
  <c r="S25" i="32" s="1"/>
  <c r="N24" i="32"/>
  <c r="N25" i="32" s="1"/>
  <c r="Q74" i="32"/>
  <c r="N35" i="32"/>
  <c r="K13" i="32"/>
  <c r="K21" i="32"/>
  <c r="R21" i="32" s="1"/>
  <c r="J27" i="32"/>
  <c r="K22" i="32"/>
  <c r="R22" i="32" s="1"/>
  <c r="K23" i="32"/>
  <c r="R23" i="32" s="1"/>
  <c r="N36" i="32"/>
  <c r="N10" i="32"/>
  <c r="E32" i="32"/>
  <c r="P36" i="32"/>
  <c r="O27" i="32"/>
  <c r="P21" i="32"/>
  <c r="P22" i="32"/>
  <c r="P23" i="32"/>
  <c r="E7" i="32"/>
  <c r="M9" i="32"/>
  <c r="E9" i="32"/>
  <c r="L27" i="32"/>
  <c r="E38" i="32"/>
  <c r="F54" i="32"/>
  <c r="E54" i="32" s="1"/>
  <c r="E31" i="32"/>
  <c r="D31" i="32"/>
  <c r="F41" i="32"/>
  <c r="E15" i="32"/>
  <c r="D24" i="32"/>
  <c r="E36" i="32" s="1"/>
  <c r="M6" i="32"/>
  <c r="D13" i="32"/>
  <c r="E6" i="32"/>
  <c r="F83" i="32"/>
  <c r="P102" i="32"/>
  <c r="S307" i="32"/>
  <c r="N307" i="32"/>
  <c r="Q350" i="32"/>
  <c r="S38" i="32"/>
  <c r="N68" i="32"/>
  <c r="N75" i="32"/>
  <c r="N78" i="32"/>
  <c r="P94" i="32"/>
  <c r="K117" i="32"/>
  <c r="K102" i="32"/>
  <c r="R102" i="32" s="1"/>
  <c r="P120" i="32"/>
  <c r="K115" i="32"/>
  <c r="P118" i="32"/>
  <c r="K113" i="32"/>
  <c r="K103" i="32"/>
  <c r="R103" i="32" s="1"/>
  <c r="K120" i="32"/>
  <c r="P111" i="32"/>
  <c r="P116" i="32"/>
  <c r="K118" i="32"/>
  <c r="K116" i="32"/>
  <c r="P112" i="32"/>
  <c r="J104" i="32"/>
  <c r="P119" i="32"/>
  <c r="K114" i="32"/>
  <c r="J158" i="32"/>
  <c r="J107" i="32"/>
  <c r="K101" i="32"/>
  <c r="R101" i="32" s="1"/>
  <c r="S355" i="32"/>
  <c r="AO484" i="32"/>
  <c r="AO401" i="32"/>
  <c r="S235" i="32"/>
  <c r="S290" i="32"/>
  <c r="S167" i="32"/>
  <c r="P6" i="32"/>
  <c r="K12" i="32"/>
  <c r="K15" i="32"/>
  <c r="K17" i="32"/>
  <c r="N19" i="32"/>
  <c r="S65" i="32"/>
  <c r="K96" i="32"/>
  <c r="F107" i="32"/>
  <c r="D112" i="32"/>
  <c r="N112" i="32"/>
  <c r="F121" i="32"/>
  <c r="P228" i="32"/>
  <c r="F249" i="32"/>
  <c r="F244" i="32"/>
  <c r="N33" i="32"/>
  <c r="N57" i="32"/>
  <c r="S78" i="32"/>
  <c r="S89" i="32"/>
  <c r="R94" i="32"/>
  <c r="R96" i="32" s="1"/>
  <c r="R97" i="32" s="1"/>
  <c r="L107" i="32"/>
  <c r="R99" i="32"/>
  <c r="N141" i="32"/>
  <c r="N144" i="32"/>
  <c r="Q308" i="32"/>
  <c r="P300" i="32"/>
  <c r="R300" i="32"/>
  <c r="Q13" i="32"/>
  <c r="R7" i="32"/>
  <c r="S8" i="32"/>
  <c r="S13" i="32" s="1"/>
  <c r="S9" i="32"/>
  <c r="R6" i="32"/>
  <c r="R13" i="32" s="1"/>
  <c r="R14" i="32" s="1"/>
  <c r="M12" i="32"/>
  <c r="N15" i="32"/>
  <c r="M17" i="32"/>
  <c r="N23" i="32"/>
  <c r="S49" i="32"/>
  <c r="D96" i="32"/>
  <c r="M96" i="32" s="1"/>
  <c r="M97" i="32" s="1"/>
  <c r="N96" i="32"/>
  <c r="N97" i="32" s="1"/>
  <c r="K112" i="32"/>
  <c r="E115" i="32"/>
  <c r="E118" i="32"/>
  <c r="D184" i="32"/>
  <c r="F265" i="32"/>
  <c r="M306" i="32"/>
  <c r="E306" i="32"/>
  <c r="F348" i="32"/>
  <c r="P114" i="32"/>
  <c r="S228" i="32"/>
  <c r="AL417" i="32"/>
  <c r="AL413" i="32"/>
  <c r="V401" i="32"/>
  <c r="AF464" i="32"/>
  <c r="AF446" i="32"/>
  <c r="Z421" i="32"/>
  <c r="Z416" i="32"/>
  <c r="Z448" i="32"/>
  <c r="AI448" i="32" s="1"/>
  <c r="AF441" i="32"/>
  <c r="Z443" i="32"/>
  <c r="AF436" i="32"/>
  <c r="AF410" i="32"/>
  <c r="AL476" i="32"/>
  <c r="AO476" i="32" s="1"/>
  <c r="V484" i="32"/>
  <c r="Z438" i="32"/>
  <c r="Z429" i="32"/>
  <c r="AL408" i="32"/>
  <c r="AL496" i="32"/>
  <c r="AO496" i="32" s="1"/>
  <c r="Z449" i="32"/>
  <c r="AI449" i="32" s="1"/>
  <c r="AF442" i="32"/>
  <c r="Z415" i="32"/>
  <c r="Z411" i="32"/>
  <c r="C235" i="32"/>
  <c r="C290" i="32"/>
  <c r="C355" i="32" s="1"/>
  <c r="C167" i="32"/>
  <c r="AL409" i="32" s="1"/>
  <c r="AF463" i="32"/>
  <c r="O24" i="32"/>
  <c r="S76" i="32"/>
  <c r="E95" i="32"/>
  <c r="Q107" i="32"/>
  <c r="N115" i="32"/>
  <c r="E184" i="32"/>
  <c r="E193" i="32" s="1"/>
  <c r="E173" i="32"/>
  <c r="F394" i="32"/>
  <c r="E394" i="32" s="1"/>
  <c r="N37" i="32"/>
  <c r="L41" i="32"/>
  <c r="N66" i="32"/>
  <c r="N76" i="32"/>
  <c r="N79" i="32"/>
  <c r="P115" i="32"/>
  <c r="Q134" i="32"/>
  <c r="P134" i="32" s="1"/>
  <c r="F184" i="32"/>
  <c r="F172" i="32"/>
  <c r="F175" i="32"/>
  <c r="N174" i="32"/>
  <c r="F241" i="32"/>
  <c r="Q265" i="32"/>
  <c r="Q286" i="32" s="1"/>
  <c r="J303" i="32"/>
  <c r="E34" i="32"/>
  <c r="N39" i="32"/>
  <c r="L72" i="32"/>
  <c r="K72" i="32" s="1"/>
  <c r="F152" i="32"/>
  <c r="E152" i="32" s="1"/>
  <c r="O104" i="32"/>
  <c r="P104" i="32" s="1"/>
  <c r="O107" i="32"/>
  <c r="P101" i="32"/>
  <c r="P96" i="32"/>
  <c r="P15" i="32"/>
  <c r="K10" i="32"/>
  <c r="N11" i="32"/>
  <c r="N13" i="32" s="1"/>
  <c r="N14" i="32" s="1"/>
  <c r="N32" i="32"/>
  <c r="N44" i="32"/>
  <c r="N55" i="32"/>
  <c r="N101" i="32"/>
  <c r="E113" i="32"/>
  <c r="E119" i="32"/>
  <c r="N131" i="32"/>
  <c r="M240" i="32"/>
  <c r="N241" i="32" s="1"/>
  <c r="Q249" i="32"/>
  <c r="P284" i="32" s="1"/>
  <c r="S244" i="32"/>
  <c r="Q244" i="32"/>
  <c r="S243" i="32"/>
  <c r="S284" i="32"/>
  <c r="E116" i="32"/>
  <c r="K119" i="32"/>
  <c r="N123" i="32"/>
  <c r="Q152" i="32"/>
  <c r="L152" i="32"/>
  <c r="F188" i="32"/>
  <c r="N187" i="32"/>
  <c r="S200" i="32"/>
  <c r="N200" i="32"/>
  <c r="S241" i="32"/>
  <c r="M299" i="32"/>
  <c r="K299" i="32"/>
  <c r="R299" i="32"/>
  <c r="P11" i="32"/>
  <c r="K34" i="32"/>
  <c r="S44" i="32"/>
  <c r="S54" i="32" s="1"/>
  <c r="N50" i="32"/>
  <c r="S55" i="32"/>
  <c r="S101" i="32"/>
  <c r="S103" i="32"/>
  <c r="E111" i="32"/>
  <c r="P113" i="32"/>
  <c r="N139" i="32"/>
  <c r="M171" i="32"/>
  <c r="R184" i="32"/>
  <c r="N294" i="32"/>
  <c r="K294" i="32"/>
  <c r="L303" i="32"/>
  <c r="S294" i="32"/>
  <c r="V17" i="32"/>
  <c r="V18" i="32" s="1"/>
  <c r="J31" i="32"/>
  <c r="S32" i="32"/>
  <c r="K111" i="32"/>
  <c r="F162" i="32"/>
  <c r="Q376" i="32"/>
  <c r="S364" i="32"/>
  <c r="M15" i="32"/>
  <c r="K7" i="32"/>
  <c r="J24" i="32"/>
  <c r="K37" i="32" s="1"/>
  <c r="K31" i="32"/>
  <c r="E40" i="32"/>
  <c r="L83" i="32"/>
  <c r="S104" i="32"/>
  <c r="S105" i="32" s="1"/>
  <c r="N136" i="32"/>
  <c r="F181" i="32"/>
  <c r="N197" i="32"/>
  <c r="F209" i="32"/>
  <c r="M296" i="32"/>
  <c r="E296" i="32"/>
  <c r="N21" i="32"/>
  <c r="P34" i="32"/>
  <c r="N42" i="32"/>
  <c r="N54" i="32" s="1"/>
  <c r="N104" i="32"/>
  <c r="N105" i="32" s="1"/>
  <c r="Q162" i="32"/>
  <c r="S155" i="32"/>
  <c r="S160" i="32"/>
  <c r="N160" i="32"/>
  <c r="L209" i="32"/>
  <c r="K6" i="32"/>
  <c r="E78" i="32"/>
  <c r="M94" i="32"/>
  <c r="Q121" i="32"/>
  <c r="N178" i="32"/>
  <c r="Q209" i="32"/>
  <c r="F303" i="32"/>
  <c r="F308" i="32" s="1"/>
  <c r="F313" i="32" s="1"/>
  <c r="M300" i="32"/>
  <c r="E300" i="32"/>
  <c r="N40" i="32"/>
  <c r="S62" i="32"/>
  <c r="N94" i="32"/>
  <c r="N129" i="32"/>
  <c r="L162" i="32"/>
  <c r="W175" i="32"/>
  <c r="F228" i="32"/>
  <c r="S321" i="32"/>
  <c r="N321" i="32"/>
  <c r="S330" i="32"/>
  <c r="N330" i="32"/>
  <c r="L348" i="32"/>
  <c r="N340" i="32"/>
  <c r="AI456" i="32"/>
  <c r="L181" i="32"/>
  <c r="L184" i="32"/>
  <c r="L186" i="32" s="1"/>
  <c r="N208" i="32"/>
  <c r="S210" i="32"/>
  <c r="N213" i="32"/>
  <c r="N216" i="32"/>
  <c r="N224" i="32"/>
  <c r="N247" i="32"/>
  <c r="N277" i="32"/>
  <c r="N280" i="32"/>
  <c r="N283" i="32"/>
  <c r="O303" i="32"/>
  <c r="N299" i="32"/>
  <c r="S326" i="32"/>
  <c r="N326" i="32"/>
  <c r="S335" i="32"/>
  <c r="N335" i="32"/>
  <c r="N119" i="32"/>
  <c r="L121" i="32"/>
  <c r="N126" i="32"/>
  <c r="L134" i="32"/>
  <c r="M184" i="32"/>
  <c r="L244" i="32"/>
  <c r="S262" i="32"/>
  <c r="N274" i="32"/>
  <c r="P294" i="32"/>
  <c r="S295" i="32"/>
  <c r="N302" i="32"/>
  <c r="F329" i="32"/>
  <c r="S340" i="32"/>
  <c r="AI452" i="32"/>
  <c r="AO456" i="32"/>
  <c r="K158" i="32"/>
  <c r="K176" i="32"/>
  <c r="R177" i="32"/>
  <c r="N198" i="32"/>
  <c r="N253" i="32"/>
  <c r="L265" i="32"/>
  <c r="S277" i="32"/>
  <c r="R302" i="32"/>
  <c r="P302" i="32"/>
  <c r="N311" i="32"/>
  <c r="S317" i="32"/>
  <c r="N317" i="32"/>
  <c r="L329" i="32"/>
  <c r="S331" i="32"/>
  <c r="N331" i="32"/>
  <c r="N336" i="32"/>
  <c r="S336" i="32"/>
  <c r="AN465" i="32"/>
  <c r="AI457" i="32"/>
  <c r="AI490" i="32"/>
  <c r="N268" i="32"/>
  <c r="N271" i="32"/>
  <c r="R294" i="32"/>
  <c r="N298" i="32"/>
  <c r="S322" i="32"/>
  <c r="N322" i="32"/>
  <c r="S327" i="32"/>
  <c r="S383" i="32"/>
  <c r="S394" i="32" s="1"/>
  <c r="AO452" i="32"/>
  <c r="M95" i="32"/>
  <c r="N156" i="32"/>
  <c r="N158" i="32"/>
  <c r="S171" i="32"/>
  <c r="M174" i="32"/>
  <c r="P184" i="32"/>
  <c r="N206" i="32"/>
  <c r="N211" i="32"/>
  <c r="N222" i="32"/>
  <c r="S253" i="32"/>
  <c r="M297" i="32"/>
  <c r="K297" i="32"/>
  <c r="N327" i="32"/>
  <c r="AO490" i="32"/>
  <c r="L249" i="32"/>
  <c r="K284" i="32" s="1"/>
  <c r="S278" i="32"/>
  <c r="N281" i="32"/>
  <c r="S318" i="32"/>
  <c r="N318" i="32"/>
  <c r="S332" i="32"/>
  <c r="S337" i="32"/>
  <c r="N337" i="32"/>
  <c r="R361" i="32"/>
  <c r="P361" i="32"/>
  <c r="N116" i="32"/>
  <c r="S156" i="32"/>
  <c r="N161" i="32"/>
  <c r="N214" i="32"/>
  <c r="N217" i="32"/>
  <c r="N225" i="32"/>
  <c r="N272" i="32"/>
  <c r="N275" i="32"/>
  <c r="N278" i="32"/>
  <c r="N297" i="32"/>
  <c r="P298" i="32"/>
  <c r="S323" i="32"/>
  <c r="N323" i="32"/>
  <c r="N332" i="32"/>
  <c r="N257" i="32"/>
  <c r="F284" i="32"/>
  <c r="E284" i="32" s="1"/>
  <c r="N328" i="32"/>
  <c r="S328" i="32"/>
  <c r="S362" i="32"/>
  <c r="N118" i="32"/>
  <c r="N183" i="32"/>
  <c r="N199" i="32"/>
  <c r="N220" i="32"/>
  <c r="N254" i="32"/>
  <c r="N266" i="32"/>
  <c r="N269" i="32"/>
  <c r="D303" i="32"/>
  <c r="P297" i="32"/>
  <c r="R301" i="32"/>
  <c r="P301" i="32"/>
  <c r="S319" i="32"/>
  <c r="N122" i="32"/>
  <c r="N130" i="32"/>
  <c r="N135" i="32"/>
  <c r="E179" i="32"/>
  <c r="N246" i="32"/>
  <c r="S257" i="32"/>
  <c r="E294" i="32"/>
  <c r="K295" i="32"/>
  <c r="N319" i="32"/>
  <c r="N333" i="32"/>
  <c r="S333" i="32"/>
  <c r="S338" i="32"/>
  <c r="N338" i="32"/>
  <c r="S343" i="32"/>
  <c r="AO468" i="32"/>
  <c r="N157" i="32"/>
  <c r="N162" i="32" s="1"/>
  <c r="N159" i="32"/>
  <c r="S174" i="32"/>
  <c r="N207" i="32"/>
  <c r="N212" i="32"/>
  <c r="M243" i="32"/>
  <c r="S301" i="32"/>
  <c r="N343" i="32"/>
  <c r="N125" i="32"/>
  <c r="N133" i="32"/>
  <c r="N138" i="32"/>
  <c r="N273" i="32"/>
  <c r="N276" i="32"/>
  <c r="N279" i="32"/>
  <c r="N282" i="32"/>
  <c r="M295" i="32"/>
  <c r="E307" i="32"/>
  <c r="S324" i="32"/>
  <c r="S258" i="32"/>
  <c r="N261" i="32"/>
  <c r="P296" i="32"/>
  <c r="N300" i="32"/>
  <c r="N320" i="32"/>
  <c r="S320" i="32"/>
  <c r="S334" i="32"/>
  <c r="N334" i="32"/>
  <c r="F376" i="32"/>
  <c r="S267" i="32"/>
  <c r="N270" i="32"/>
  <c r="M307" i="32"/>
  <c r="K307" i="32"/>
  <c r="S325" i="32"/>
  <c r="N325" i="32"/>
  <c r="L376" i="32"/>
  <c r="Q394" i="32"/>
  <c r="P394" i="32" s="1"/>
  <c r="L394" i="32"/>
  <c r="K394" i="32" s="1"/>
  <c r="AH419" i="32"/>
  <c r="AI419" i="32" s="1"/>
  <c r="N339" i="32"/>
  <c r="S344" i="32"/>
  <c r="K359" i="32"/>
  <c r="N342" i="32"/>
  <c r="S361" i="32"/>
  <c r="AN419" i="32"/>
  <c r="AO419" i="32" s="1"/>
  <c r="AH490" i="32"/>
  <c r="AH492" i="32"/>
  <c r="AI492" i="32" s="1"/>
  <c r="AH453" i="32"/>
  <c r="AI453" i="32" s="1"/>
  <c r="AH455" i="32"/>
  <c r="AH457" i="32"/>
  <c r="AH459" i="32"/>
  <c r="AI459" i="32" s="1"/>
  <c r="N345" i="32"/>
  <c r="R359" i="32"/>
  <c r="N346" i="32"/>
  <c r="AH468" i="32"/>
  <c r="AI468" i="32" s="1"/>
  <c r="AH491" i="32"/>
  <c r="AH493" i="32"/>
  <c r="AH452" i="32"/>
  <c r="AH454" i="32"/>
  <c r="AI454" i="32" s="1"/>
  <c r="AH456" i="32"/>
  <c r="AH458" i="32"/>
  <c r="AI458" i="32" s="1"/>
  <c r="AH460" i="32"/>
  <c r="AI460" i="32" s="1"/>
  <c r="N341" i="32"/>
  <c r="Y408" i="33" l="1"/>
  <c r="Q107" i="33"/>
  <c r="P121" i="33" s="1"/>
  <c r="S97" i="33"/>
  <c r="L396" i="33"/>
  <c r="S376" i="33"/>
  <c r="K376" i="33"/>
  <c r="M184" i="33"/>
  <c r="AL437" i="33"/>
  <c r="AL408" i="33"/>
  <c r="Z438" i="33"/>
  <c r="AF410" i="33"/>
  <c r="Z443" i="33"/>
  <c r="Z477" i="33"/>
  <c r="AL436" i="33"/>
  <c r="Z412" i="33"/>
  <c r="AL441" i="33"/>
  <c r="AL409" i="33"/>
  <c r="K13" i="33"/>
  <c r="J27" i="33"/>
  <c r="K23" i="33"/>
  <c r="R23" i="33" s="1"/>
  <c r="K21" i="33"/>
  <c r="R21" i="33" s="1"/>
  <c r="K22" i="33"/>
  <c r="R22" i="33" s="1"/>
  <c r="S184" i="33"/>
  <c r="S185" i="33" s="1"/>
  <c r="N184" i="33"/>
  <c r="N185" i="33" s="1"/>
  <c r="L193" i="33"/>
  <c r="L185" i="33"/>
  <c r="K104" i="33"/>
  <c r="Q308" i="33"/>
  <c r="AL412" i="33"/>
  <c r="AL442" i="33"/>
  <c r="AN442" i="33" s="1"/>
  <c r="AF414" i="33"/>
  <c r="Z463" i="33"/>
  <c r="AI463" i="33" s="1"/>
  <c r="AF495" i="33"/>
  <c r="AF441" i="33"/>
  <c r="Z416" i="33"/>
  <c r="AF446" i="33"/>
  <c r="AL413" i="33"/>
  <c r="L350" i="33"/>
  <c r="S329" i="33"/>
  <c r="N329" i="33"/>
  <c r="E185" i="33"/>
  <c r="Q27" i="33"/>
  <c r="P41" i="33" s="1"/>
  <c r="S14" i="33"/>
  <c r="F74" i="33"/>
  <c r="E74" i="33" s="1"/>
  <c r="AO416" i="33"/>
  <c r="AK416" i="33"/>
  <c r="AF447" i="33"/>
  <c r="AF420" i="33"/>
  <c r="Z470" i="33"/>
  <c r="AH470" i="33" s="1"/>
  <c r="AI470" i="33" s="1"/>
  <c r="AL420" i="33"/>
  <c r="Z448" i="33"/>
  <c r="AI448" i="33" s="1"/>
  <c r="Z421" i="33"/>
  <c r="AF464" i="33"/>
  <c r="AL417" i="33"/>
  <c r="P96" i="33"/>
  <c r="AN469" i="33"/>
  <c r="AO469" i="33" s="1"/>
  <c r="AH469" i="33"/>
  <c r="AI469" i="33" s="1"/>
  <c r="AF474" i="33"/>
  <c r="AL431" i="33"/>
  <c r="Z495" i="33"/>
  <c r="AI495" i="33" s="1"/>
  <c r="AF434" i="33"/>
  <c r="AL410" i="33"/>
  <c r="AF430" i="33"/>
  <c r="AF408" i="33"/>
  <c r="AL430" i="33"/>
  <c r="N228" i="33"/>
  <c r="K228" i="33"/>
  <c r="S228" i="33"/>
  <c r="E230" i="33"/>
  <c r="P107" i="33"/>
  <c r="R108" i="33"/>
  <c r="L286" i="33"/>
  <c r="S265" i="33"/>
  <c r="N265" i="33"/>
  <c r="AH411" i="33"/>
  <c r="AE411" i="33"/>
  <c r="Z442" i="33"/>
  <c r="AF415" i="33"/>
  <c r="AF431" i="33"/>
  <c r="AH431" i="33" s="1"/>
  <c r="Z436" i="33"/>
  <c r="Z409" i="33"/>
  <c r="Z441" i="33"/>
  <c r="AL414" i="33"/>
  <c r="AL434" i="33"/>
  <c r="AF412" i="33"/>
  <c r="Z435" i="33"/>
  <c r="N13" i="33"/>
  <c r="N104" i="33"/>
  <c r="N105" i="33" s="1"/>
  <c r="S104" i="33"/>
  <c r="S105" i="33" s="1"/>
  <c r="Y415" i="33"/>
  <c r="AI415" i="33"/>
  <c r="AH424" i="33"/>
  <c r="AL435" i="33"/>
  <c r="AL494" i="33"/>
  <c r="AO494" i="33" s="1"/>
  <c r="AL440" i="33"/>
  <c r="Z413" i="33"/>
  <c r="AL445" i="33"/>
  <c r="AF423" i="33"/>
  <c r="AF439" i="33"/>
  <c r="AF416" i="33"/>
  <c r="AL439" i="33"/>
  <c r="AO439" i="33" s="1"/>
  <c r="S209" i="33"/>
  <c r="N209" i="33"/>
  <c r="K209" i="33"/>
  <c r="L230" i="33"/>
  <c r="E24" i="33"/>
  <c r="E35" i="33"/>
  <c r="N14" i="33"/>
  <c r="F27" i="33"/>
  <c r="E54" i="33" s="1"/>
  <c r="D31" i="33"/>
  <c r="AF440" i="33"/>
  <c r="Z420" i="33"/>
  <c r="AF445" i="33"/>
  <c r="Z417" i="33"/>
  <c r="AF450" i="33"/>
  <c r="Z430" i="33"/>
  <c r="Z446" i="33"/>
  <c r="AL423" i="33"/>
  <c r="AF444" i="33"/>
  <c r="E284" i="33"/>
  <c r="F286" i="33"/>
  <c r="E286" i="33" s="1"/>
  <c r="E37" i="33"/>
  <c r="AN473" i="33"/>
  <c r="U32" i="33"/>
  <c r="S303" i="33"/>
  <c r="S304" i="33" s="1"/>
  <c r="N303" i="33"/>
  <c r="N304" i="33" s="1"/>
  <c r="L308" i="33"/>
  <c r="F164" i="33"/>
  <c r="AH442" i="33"/>
  <c r="AF433" i="33"/>
  <c r="Z447" i="33"/>
  <c r="AL424" i="33"/>
  <c r="AO424" i="33" s="1"/>
  <c r="AL462" i="33"/>
  <c r="Z425" i="33"/>
  <c r="AI425" i="33" s="1"/>
  <c r="AL472" i="33"/>
  <c r="AO472" i="33" s="1"/>
  <c r="Z439" i="33"/>
  <c r="AI439" i="33" s="1"/>
  <c r="AL450" i="33"/>
  <c r="AO450" i="33" s="1"/>
  <c r="AF428" i="33"/>
  <c r="AF471" i="33"/>
  <c r="P37" i="33"/>
  <c r="P32" i="33"/>
  <c r="P35" i="33"/>
  <c r="P33" i="33"/>
  <c r="P24" i="33"/>
  <c r="R249" i="33"/>
  <c r="X32" i="33"/>
  <c r="Y32" i="33" s="1"/>
  <c r="N24" i="33"/>
  <c r="N25" i="33" s="1"/>
  <c r="J32" i="33"/>
  <c r="S24" i="33"/>
  <c r="S25" i="33" s="1"/>
  <c r="L27" i="33"/>
  <c r="V17" i="33"/>
  <c r="V18" i="33" s="1"/>
  <c r="M13" i="33"/>
  <c r="AN494" i="33"/>
  <c r="AH494" i="33"/>
  <c r="L107" i="33"/>
  <c r="K121" i="33" s="1"/>
  <c r="N348" i="33"/>
  <c r="F396" i="33"/>
  <c r="E396" i="33" s="1"/>
  <c r="E376" i="33"/>
  <c r="U180" i="33"/>
  <c r="AF429" i="33"/>
  <c r="AF472" i="33"/>
  <c r="AL429" i="33"/>
  <c r="AF477" i="33"/>
  <c r="AL443" i="33"/>
  <c r="Z464" i="33"/>
  <c r="AI464" i="33" s="1"/>
  <c r="AF437" i="33"/>
  <c r="Z478" i="33"/>
  <c r="AH478" i="33" s="1"/>
  <c r="AI478" i="33" s="1"/>
  <c r="K72" i="33"/>
  <c r="K54" i="33"/>
  <c r="S13" i="33"/>
  <c r="M14" i="33"/>
  <c r="D27" i="33"/>
  <c r="E27" i="33" s="1"/>
  <c r="E13" i="33"/>
  <c r="L74" i="33"/>
  <c r="S41" i="33"/>
  <c r="K41" i="33"/>
  <c r="N41" i="33"/>
  <c r="S348" i="33"/>
  <c r="J112" i="33"/>
  <c r="AL444" i="33"/>
  <c r="Z474" i="33"/>
  <c r="AL433" i="33"/>
  <c r="Z479" i="33"/>
  <c r="Z434" i="33"/>
  <c r="AF479" i="33"/>
  <c r="AF448" i="33"/>
  <c r="Z473" i="33"/>
  <c r="AH473" i="33" s="1"/>
  <c r="AI473" i="33" s="1"/>
  <c r="Z444" i="33"/>
  <c r="AF496" i="33"/>
  <c r="E303" i="33"/>
  <c r="D308" i="33"/>
  <c r="F350" i="33"/>
  <c r="E350" i="33" s="1"/>
  <c r="E329" i="33"/>
  <c r="AF449" i="33"/>
  <c r="AL478" i="33"/>
  <c r="AO478" i="33" s="1"/>
  <c r="AF438" i="33"/>
  <c r="AL411" i="33"/>
  <c r="AL438" i="33"/>
  <c r="AF409" i="33"/>
  <c r="AL463" i="33"/>
  <c r="AL477" i="33"/>
  <c r="AO477" i="33" s="1"/>
  <c r="AL448" i="33"/>
  <c r="AO448" i="33" s="1"/>
  <c r="S284" i="33"/>
  <c r="K284" i="33"/>
  <c r="E113" i="33"/>
  <c r="E36" i="33"/>
  <c r="F288" i="33"/>
  <c r="F250" i="33"/>
  <c r="M249" i="33" s="1"/>
  <c r="P185" i="33"/>
  <c r="AN425" i="33"/>
  <c r="AH425" i="33"/>
  <c r="AN426" i="33"/>
  <c r="AH426" i="33"/>
  <c r="AF465" i="33"/>
  <c r="Q398" i="33"/>
  <c r="AL446" i="33"/>
  <c r="Z462" i="33"/>
  <c r="Z410" i="33"/>
  <c r="Z445" i="33"/>
  <c r="AL415" i="33"/>
  <c r="AF443" i="33"/>
  <c r="AF413" i="33"/>
  <c r="AL470" i="33"/>
  <c r="AL479" i="33"/>
  <c r="Z471" i="33"/>
  <c r="Z480" i="33" s="1"/>
  <c r="P13" i="33"/>
  <c r="Q194" i="33"/>
  <c r="E32" i="33"/>
  <c r="L154" i="33"/>
  <c r="S121" i="33"/>
  <c r="N121" i="33"/>
  <c r="AN435" i="33"/>
  <c r="AH435" i="33"/>
  <c r="AL471" i="33"/>
  <c r="AO471" i="33" s="1"/>
  <c r="Z414" i="33"/>
  <c r="AL449" i="33"/>
  <c r="AO449" i="33" s="1"/>
  <c r="AL422" i="33"/>
  <c r="Z450" i="33"/>
  <c r="AI450" i="33" s="1"/>
  <c r="AF417" i="33"/>
  <c r="AF475" i="33"/>
  <c r="AF421" i="33"/>
  <c r="AL475" i="33"/>
  <c r="AO475" i="33" s="1"/>
  <c r="N134" i="33"/>
  <c r="Q74" i="33"/>
  <c r="E228" i="33"/>
  <c r="J24" i="33"/>
  <c r="D104" i="33"/>
  <c r="E104" i="33" s="1"/>
  <c r="D107" i="33"/>
  <c r="E107" i="33" s="1"/>
  <c r="D158" i="33"/>
  <c r="E158" i="33" s="1"/>
  <c r="E119" i="33"/>
  <c r="E112" i="33"/>
  <c r="E96" i="33"/>
  <c r="E117" i="33"/>
  <c r="F352" i="33"/>
  <c r="Q154" i="33"/>
  <c r="P154" i="33" s="1"/>
  <c r="M107" i="33"/>
  <c r="M108" i="33" s="1"/>
  <c r="K107" i="33"/>
  <c r="R107" i="33"/>
  <c r="L186" i="33"/>
  <c r="R303" i="33"/>
  <c r="P303" i="33"/>
  <c r="O308" i="33"/>
  <c r="J308" i="33"/>
  <c r="K303" i="33"/>
  <c r="M303" i="33"/>
  <c r="N83" i="33"/>
  <c r="AI452" i="33"/>
  <c r="Y411" i="33"/>
  <c r="AI411" i="33"/>
  <c r="AF476" i="33"/>
  <c r="AF422" i="33"/>
  <c r="Z472" i="33"/>
  <c r="AF427" i="33"/>
  <c r="AF463" i="33"/>
  <c r="AH463" i="33" s="1"/>
  <c r="Z423" i="33"/>
  <c r="AL495" i="33"/>
  <c r="AO495" i="33" s="1"/>
  <c r="Z428" i="33"/>
  <c r="Z496" i="33"/>
  <c r="AI496" i="33" s="1"/>
  <c r="F193" i="33"/>
  <c r="F185" i="33"/>
  <c r="Q350" i="33"/>
  <c r="P31" i="33"/>
  <c r="P209" i="33"/>
  <c r="Q230" i="33"/>
  <c r="P230" i="33" s="1"/>
  <c r="E152" i="33"/>
  <c r="F154" i="33"/>
  <c r="E154" i="33" s="1"/>
  <c r="E121" i="33"/>
  <c r="AK409" i="32"/>
  <c r="F350" i="32"/>
  <c r="E350" i="32" s="1"/>
  <c r="E329" i="32"/>
  <c r="F352" i="32"/>
  <c r="Z450" i="32"/>
  <c r="AI450" i="32" s="1"/>
  <c r="S41" i="32"/>
  <c r="L74" i="32"/>
  <c r="N41" i="32"/>
  <c r="K41" i="32"/>
  <c r="AL438" i="32"/>
  <c r="AL421" i="32"/>
  <c r="AF469" i="32"/>
  <c r="AL412" i="32"/>
  <c r="AL442" i="32"/>
  <c r="AF414" i="32"/>
  <c r="Z463" i="32"/>
  <c r="AI463" i="32" s="1"/>
  <c r="Z475" i="32"/>
  <c r="AL425" i="32"/>
  <c r="AO425" i="32" s="1"/>
  <c r="AF473" i="32"/>
  <c r="Z426" i="32"/>
  <c r="AI426" i="32" s="1"/>
  <c r="F286" i="32"/>
  <c r="E286" i="32" s="1"/>
  <c r="E265" i="32"/>
  <c r="P209" i="32"/>
  <c r="Q230" i="32"/>
  <c r="S152" i="32"/>
  <c r="N152" i="32"/>
  <c r="K152" i="32"/>
  <c r="N72" i="32"/>
  <c r="AF426" i="32"/>
  <c r="Z476" i="32"/>
  <c r="AL416" i="32"/>
  <c r="AF447" i="32"/>
  <c r="AF420" i="32"/>
  <c r="Z470" i="32"/>
  <c r="AL410" i="32"/>
  <c r="AF430" i="32"/>
  <c r="AF408" i="32"/>
  <c r="AL430" i="32"/>
  <c r="L250" i="32"/>
  <c r="L85" i="32"/>
  <c r="N27" i="32"/>
  <c r="K54" i="32"/>
  <c r="L28" i="32"/>
  <c r="AL420" i="32"/>
  <c r="R303" i="32"/>
  <c r="P303" i="32"/>
  <c r="O308" i="32"/>
  <c r="N348" i="32"/>
  <c r="P376" i="32"/>
  <c r="Q396" i="32"/>
  <c r="P152" i="32"/>
  <c r="J308" i="32"/>
  <c r="K303" i="32"/>
  <c r="M303" i="32"/>
  <c r="Z413" i="32"/>
  <c r="AF435" i="32"/>
  <c r="AF494" i="32"/>
  <c r="Z422" i="32"/>
  <c r="AL469" i="32"/>
  <c r="Z427" i="32"/>
  <c r="AL474" i="32"/>
  <c r="AO474" i="32" s="1"/>
  <c r="AL414" i="32"/>
  <c r="AL434" i="32"/>
  <c r="AF412" i="32"/>
  <c r="Z435" i="32"/>
  <c r="E185" i="32"/>
  <c r="F250" i="32"/>
  <c r="AN442" i="32"/>
  <c r="AK413" i="32"/>
  <c r="S348" i="32"/>
  <c r="Q154" i="32"/>
  <c r="P154" i="32" s="1"/>
  <c r="P121" i="32"/>
  <c r="F230" i="32"/>
  <c r="P286" i="32"/>
  <c r="Z442" i="32"/>
  <c r="AH442" i="32" s="1"/>
  <c r="AF411" i="32"/>
  <c r="AL426" i="32"/>
  <c r="AO426" i="32" s="1"/>
  <c r="AF474" i="32"/>
  <c r="AL431" i="32"/>
  <c r="Z495" i="32"/>
  <c r="AI495" i="32" s="1"/>
  <c r="AF423" i="32"/>
  <c r="AF439" i="32"/>
  <c r="AF416" i="32"/>
  <c r="AL439" i="32"/>
  <c r="AO439" i="32" s="1"/>
  <c r="Q27" i="32"/>
  <c r="S27" i="32" s="1"/>
  <c r="S85" i="32" s="1"/>
  <c r="S14" i="32"/>
  <c r="E33" i="32"/>
  <c r="AE410" i="32"/>
  <c r="F396" i="32"/>
  <c r="E376" i="32"/>
  <c r="S72" i="32"/>
  <c r="Z441" i="32"/>
  <c r="AL446" i="32"/>
  <c r="AF415" i="32"/>
  <c r="AF431" i="32"/>
  <c r="Z436" i="32"/>
  <c r="AF495" i="32"/>
  <c r="Z430" i="32"/>
  <c r="Z446" i="32"/>
  <c r="AL423" i="32"/>
  <c r="AF444" i="32"/>
  <c r="F154" i="32"/>
  <c r="E154" i="32" s="1"/>
  <c r="E121" i="32"/>
  <c r="Y415" i="32"/>
  <c r="AI415" i="32"/>
  <c r="Z425" i="32"/>
  <c r="AI425" i="32" s="1"/>
  <c r="AL464" i="32"/>
  <c r="AF424" i="32"/>
  <c r="AL435" i="32"/>
  <c r="AL494" i="32"/>
  <c r="AO494" i="32" s="1"/>
  <c r="AL440" i="32"/>
  <c r="AL472" i="32"/>
  <c r="AO472" i="32" s="1"/>
  <c r="Z439" i="32"/>
  <c r="AI439" i="32" s="1"/>
  <c r="AL450" i="32"/>
  <c r="AO450" i="32" s="1"/>
  <c r="AF428" i="32"/>
  <c r="AF471" i="32"/>
  <c r="L286" i="32"/>
  <c r="S265" i="32"/>
  <c r="N265" i="32"/>
  <c r="Q164" i="32"/>
  <c r="AF443" i="32"/>
  <c r="Z469" i="32"/>
  <c r="Z431" i="32"/>
  <c r="AI431" i="32" s="1"/>
  <c r="AF440" i="32"/>
  <c r="Z420" i="32"/>
  <c r="AF445" i="32"/>
  <c r="AF477" i="32"/>
  <c r="AL443" i="32"/>
  <c r="Z464" i="32"/>
  <c r="AI464" i="32" s="1"/>
  <c r="AF437" i="32"/>
  <c r="Z478" i="32"/>
  <c r="Q313" i="32"/>
  <c r="E13" i="32"/>
  <c r="D27" i="32"/>
  <c r="E27" i="32" s="1"/>
  <c r="AH463" i="32"/>
  <c r="AH441" i="32"/>
  <c r="P350" i="32"/>
  <c r="AF425" i="32"/>
  <c r="AL473" i="32"/>
  <c r="AO473" i="32" s="1"/>
  <c r="AF433" i="32"/>
  <c r="Z447" i="32"/>
  <c r="AL424" i="32"/>
  <c r="AO424" i="32" s="1"/>
  <c r="AL462" i="32"/>
  <c r="AF479" i="32"/>
  <c r="AF448" i="32"/>
  <c r="Z473" i="32"/>
  <c r="Z444" i="32"/>
  <c r="AF496" i="32"/>
  <c r="D158" i="32"/>
  <c r="E158" i="32" s="1"/>
  <c r="E120" i="32"/>
  <c r="E114" i="32"/>
  <c r="E117" i="32"/>
  <c r="D104" i="32"/>
  <c r="E104" i="32" s="1"/>
  <c r="E112" i="32"/>
  <c r="E96" i="32"/>
  <c r="D107" i="32"/>
  <c r="E107" i="32" s="1"/>
  <c r="F164" i="32"/>
  <c r="R107" i="32"/>
  <c r="R108" i="32" s="1"/>
  <c r="K107" i="32"/>
  <c r="M13" i="32"/>
  <c r="M14" i="32" s="1"/>
  <c r="E134" i="32"/>
  <c r="Y416" i="32"/>
  <c r="AI416" i="32"/>
  <c r="L350" i="32"/>
  <c r="S329" i="32"/>
  <c r="N329" i="32"/>
  <c r="P193" i="32"/>
  <c r="Q185" i="32"/>
  <c r="S134" i="32"/>
  <c r="N134" i="32"/>
  <c r="K134" i="32"/>
  <c r="S209" i="32"/>
  <c r="N209" i="32"/>
  <c r="L230" i="32"/>
  <c r="S83" i="32"/>
  <c r="AL445" i="32"/>
  <c r="AF478" i="32"/>
  <c r="Z440" i="32"/>
  <c r="AF462" i="32"/>
  <c r="AF429" i="32"/>
  <c r="AF472" i="32"/>
  <c r="AF409" i="32"/>
  <c r="AL463" i="32"/>
  <c r="AL477" i="32"/>
  <c r="AO477" i="32" s="1"/>
  <c r="AL448" i="32"/>
  <c r="AO448" i="32" s="1"/>
  <c r="K78" i="32"/>
  <c r="P13" i="32"/>
  <c r="M27" i="32"/>
  <c r="M28" i="32" s="1"/>
  <c r="K27" i="32"/>
  <c r="K82" i="32"/>
  <c r="J82" i="32" s="1"/>
  <c r="R27" i="32"/>
  <c r="R28" i="32" s="1"/>
  <c r="K35" i="32"/>
  <c r="AK408" i="32"/>
  <c r="E303" i="32"/>
  <c r="D308" i="32"/>
  <c r="N284" i="32"/>
  <c r="S303" i="32"/>
  <c r="S304" i="32" s="1"/>
  <c r="L308" i="32"/>
  <c r="N303" i="32"/>
  <c r="N304" i="32" s="1"/>
  <c r="P107" i="32"/>
  <c r="P32" i="32"/>
  <c r="P37" i="32"/>
  <c r="P35" i="32"/>
  <c r="P24" i="32"/>
  <c r="AF470" i="32"/>
  <c r="Z494" i="32"/>
  <c r="AI494" i="32" s="1"/>
  <c r="AL444" i="32"/>
  <c r="Z474" i="32"/>
  <c r="AL433" i="32"/>
  <c r="Z479" i="32"/>
  <c r="AF413" i="32"/>
  <c r="AL470" i="32"/>
  <c r="AO470" i="32" s="1"/>
  <c r="AL479" i="32"/>
  <c r="Z471" i="32"/>
  <c r="L154" i="32"/>
  <c r="L164" i="32" s="1"/>
  <c r="S121" i="32"/>
  <c r="N121" i="32"/>
  <c r="K121" i="32"/>
  <c r="F193" i="32"/>
  <c r="Z406" i="32" s="1"/>
  <c r="F185" i="32"/>
  <c r="Z409" i="32"/>
  <c r="Z424" i="32"/>
  <c r="AI424" i="32" s="1"/>
  <c r="AF449" i="32"/>
  <c r="AL478" i="32"/>
  <c r="AO478" i="32" s="1"/>
  <c r="AF438" i="32"/>
  <c r="AL411" i="32"/>
  <c r="AL418" i="32" s="1"/>
  <c r="AF417" i="32"/>
  <c r="AF475" i="32"/>
  <c r="AF421" i="32"/>
  <c r="AL475" i="32"/>
  <c r="AO475" i="32" s="1"/>
  <c r="N228" i="32"/>
  <c r="P33" i="32"/>
  <c r="E24" i="32"/>
  <c r="E37" i="32"/>
  <c r="Q288" i="32"/>
  <c r="P265" i="32"/>
  <c r="Q250" i="32"/>
  <c r="Z417" i="32"/>
  <c r="AL428" i="32"/>
  <c r="Z462" i="32"/>
  <c r="Z410" i="32"/>
  <c r="AH410" i="32" s="1"/>
  <c r="Z445" i="32"/>
  <c r="AL415" i="32"/>
  <c r="Z423" i="32"/>
  <c r="AL495" i="32"/>
  <c r="AO495" i="32" s="1"/>
  <c r="Z428" i="32"/>
  <c r="Z496" i="32"/>
  <c r="AI496" i="32" s="1"/>
  <c r="L108" i="32"/>
  <c r="S107" i="32"/>
  <c r="S108" i="32" s="1"/>
  <c r="N107" i="32"/>
  <c r="N108" i="32" s="1"/>
  <c r="M104" i="32"/>
  <c r="K104" i="32"/>
  <c r="N83" i="32"/>
  <c r="Y411" i="32"/>
  <c r="AH446" i="32"/>
  <c r="AN446" i="32"/>
  <c r="S162" i="32"/>
  <c r="Z434" i="32"/>
  <c r="L396" i="32"/>
  <c r="S376" i="32"/>
  <c r="K376" i="32"/>
  <c r="M24" i="32"/>
  <c r="K24" i="32"/>
  <c r="K36" i="32"/>
  <c r="K32" i="32"/>
  <c r="K33" i="32"/>
  <c r="AF450" i="32"/>
  <c r="AL429" i="32"/>
  <c r="Z433" i="32"/>
  <c r="AL471" i="32"/>
  <c r="AO471" i="32" s="1"/>
  <c r="Z414" i="32"/>
  <c r="AL449" i="32"/>
  <c r="AO449" i="32" s="1"/>
  <c r="AL422" i="32"/>
  <c r="AL427" i="32"/>
  <c r="Z408" i="32"/>
  <c r="Z437" i="32"/>
  <c r="F74" i="32"/>
  <c r="E74" i="32" s="1"/>
  <c r="E41" i="32"/>
  <c r="P27" i="32"/>
  <c r="E35" i="32"/>
  <c r="S249" i="32"/>
  <c r="S250" i="32" s="1"/>
  <c r="N249" i="32"/>
  <c r="N250" i="32" s="1"/>
  <c r="L288" i="32"/>
  <c r="K265" i="32"/>
  <c r="AK417" i="32"/>
  <c r="AO417" i="32"/>
  <c r="L185" i="32"/>
  <c r="S184" i="32"/>
  <c r="S185" i="32" s="1"/>
  <c r="N184" i="32"/>
  <c r="N185" i="32" s="1"/>
  <c r="L193" i="32"/>
  <c r="P31" i="32"/>
  <c r="P185" i="32"/>
  <c r="AF434" i="32"/>
  <c r="Z477" i="32"/>
  <c r="AL437" i="32"/>
  <c r="AF476" i="32"/>
  <c r="AF422" i="32"/>
  <c r="Z472" i="32"/>
  <c r="AF427" i="32"/>
  <c r="AL436" i="32"/>
  <c r="Z412" i="32"/>
  <c r="AL441" i="32"/>
  <c r="AN441" i="32" s="1"/>
  <c r="E348" i="32"/>
  <c r="E39" i="32"/>
  <c r="E72" i="32"/>
  <c r="N74" i="33" l="1"/>
  <c r="K74" i="33"/>
  <c r="S74" i="33"/>
  <c r="AN433" i="33"/>
  <c r="AH433" i="33"/>
  <c r="AF451" i="33"/>
  <c r="AI435" i="33"/>
  <c r="S286" i="33"/>
  <c r="N286" i="33"/>
  <c r="K286" i="33"/>
  <c r="L288" i="33"/>
  <c r="AN448" i="33"/>
  <c r="AH448" i="33"/>
  <c r="AK414" i="33"/>
  <c r="P74" i="33"/>
  <c r="E72" i="33"/>
  <c r="AE416" i="33"/>
  <c r="AN416" i="33"/>
  <c r="AH416" i="33"/>
  <c r="AE412" i="33"/>
  <c r="AN412" i="33"/>
  <c r="AO412" i="33" s="1"/>
  <c r="AH412" i="33"/>
  <c r="AI412" i="33" s="1"/>
  <c r="AN478" i="33"/>
  <c r="E41" i="33"/>
  <c r="AN414" i="33"/>
  <c r="AO414" i="33" s="1"/>
  <c r="AH414" i="33"/>
  <c r="AE414" i="33"/>
  <c r="AN422" i="33"/>
  <c r="AH422" i="33"/>
  <c r="AI422" i="33" s="1"/>
  <c r="AN476" i="33"/>
  <c r="AH476" i="33"/>
  <c r="AI476" i="33" s="1"/>
  <c r="AN475" i="33"/>
  <c r="AH475" i="33"/>
  <c r="AI475" i="33" s="1"/>
  <c r="Q232" i="33"/>
  <c r="AN438" i="33"/>
  <c r="AO438" i="33" s="1"/>
  <c r="AH438" i="33"/>
  <c r="AI438" i="33" s="1"/>
  <c r="AI420" i="33"/>
  <c r="Z432" i="33"/>
  <c r="X432" i="33" s="1"/>
  <c r="AI413" i="33"/>
  <c r="Y413" i="33"/>
  <c r="AI409" i="33"/>
  <c r="Y409" i="33"/>
  <c r="AK417" i="33"/>
  <c r="AO417" i="33"/>
  <c r="AK409" i="33"/>
  <c r="AH409" i="33"/>
  <c r="AE409" i="33"/>
  <c r="AN409" i="33"/>
  <c r="AO409" i="33" s="1"/>
  <c r="AH417" i="33"/>
  <c r="AE417" i="33"/>
  <c r="AN417" i="33"/>
  <c r="AO433" i="33"/>
  <c r="AL451" i="33"/>
  <c r="AN440" i="33"/>
  <c r="AH440" i="33"/>
  <c r="AI440" i="33" s="1"/>
  <c r="AO440" i="33"/>
  <c r="AH464" i="33"/>
  <c r="Q313" i="33"/>
  <c r="AH421" i="33"/>
  <c r="AN421" i="33"/>
  <c r="AO421" i="33" s="1"/>
  <c r="N107" i="33"/>
  <c r="N108" i="33" s="1"/>
  <c r="L164" i="33"/>
  <c r="L108" i="33"/>
  <c r="S107" i="33"/>
  <c r="S108" i="33" s="1"/>
  <c r="K134" i="33"/>
  <c r="K152" i="33"/>
  <c r="AN471" i="33"/>
  <c r="AH471" i="33"/>
  <c r="AI471" i="33" s="1"/>
  <c r="AI421" i="33"/>
  <c r="Y412" i="33"/>
  <c r="N154" i="33"/>
  <c r="K154" i="33"/>
  <c r="S154" i="33"/>
  <c r="AN423" i="33"/>
  <c r="AH423" i="33"/>
  <c r="AI423" i="33" s="1"/>
  <c r="AO445" i="33"/>
  <c r="AL406" i="33"/>
  <c r="Q85" i="33"/>
  <c r="S28" i="33"/>
  <c r="P72" i="33"/>
  <c r="AO444" i="33"/>
  <c r="AH437" i="33"/>
  <c r="AI437" i="33" s="1"/>
  <c r="AN437" i="33"/>
  <c r="AH428" i="33"/>
  <c r="AI428" i="33" s="1"/>
  <c r="AN428" i="33"/>
  <c r="AO428" i="33" s="1"/>
  <c r="Z406" i="33"/>
  <c r="F85" i="33"/>
  <c r="AO435" i="33"/>
  <c r="AN415" i="33"/>
  <c r="AH415" i="33"/>
  <c r="AE415" i="33"/>
  <c r="Z418" i="33"/>
  <c r="AO442" i="33"/>
  <c r="AI434" i="33"/>
  <c r="L313" i="33"/>
  <c r="N308" i="33"/>
  <c r="N309" i="33" s="1"/>
  <c r="S308" i="33"/>
  <c r="S309" i="33" s="1"/>
  <c r="AI442" i="33"/>
  <c r="AE408" i="33"/>
  <c r="AF418" i="33"/>
  <c r="AN408" i="33"/>
  <c r="AH408" i="33"/>
  <c r="AI408" i="33" s="1"/>
  <c r="AL432" i="33"/>
  <c r="S350" i="33"/>
  <c r="N350" i="33"/>
  <c r="M104" i="33"/>
  <c r="AN450" i="33"/>
  <c r="AH450" i="33"/>
  <c r="AO422" i="33"/>
  <c r="P350" i="33"/>
  <c r="AO470" i="33"/>
  <c r="AI414" i="33"/>
  <c r="Y414" i="33"/>
  <c r="AH413" i="33"/>
  <c r="AE413" i="33"/>
  <c r="AN413" i="33"/>
  <c r="AO413" i="33" s="1"/>
  <c r="L85" i="33"/>
  <c r="L28" i="33"/>
  <c r="S27" i="33"/>
  <c r="S85" i="33" s="1"/>
  <c r="N27" i="33"/>
  <c r="AN424" i="33"/>
  <c r="AF480" i="33"/>
  <c r="AH430" i="33"/>
  <c r="AI430" i="33" s="1"/>
  <c r="AN430" i="33"/>
  <c r="AO430" i="33" s="1"/>
  <c r="F398" i="33"/>
  <c r="AI443" i="33"/>
  <c r="AN449" i="33"/>
  <c r="AH449" i="33"/>
  <c r="AN443" i="33"/>
  <c r="AO443" i="33" s="1"/>
  <c r="AH443" i="33"/>
  <c r="P27" i="33"/>
  <c r="AN477" i="33"/>
  <c r="AH477" i="33"/>
  <c r="AI477" i="33" s="1"/>
  <c r="AM411" i="33"/>
  <c r="AG411" i="33"/>
  <c r="AO410" i="33"/>
  <c r="AK410" i="33"/>
  <c r="AF432" i="33"/>
  <c r="AN420" i="33"/>
  <c r="AO420" i="33" s="1"/>
  <c r="AH420" i="33"/>
  <c r="AK413" i="33"/>
  <c r="AN470" i="33"/>
  <c r="AN410" i="33"/>
  <c r="AH410" i="33"/>
  <c r="AI410" i="33" s="1"/>
  <c r="AE410" i="33"/>
  <c r="AH436" i="33"/>
  <c r="AI436" i="33" s="1"/>
  <c r="AI417" i="33"/>
  <c r="Y417" i="33"/>
  <c r="AI441" i="33"/>
  <c r="F232" i="33"/>
  <c r="F194" i="33"/>
  <c r="E209" i="33"/>
  <c r="J313" i="33"/>
  <c r="M308" i="33"/>
  <c r="K308" i="33"/>
  <c r="AO415" i="33"/>
  <c r="AK415" i="33"/>
  <c r="E308" i="33"/>
  <c r="D313" i="33"/>
  <c r="S230" i="33"/>
  <c r="N230" i="33"/>
  <c r="K230" i="33"/>
  <c r="AN434" i="33"/>
  <c r="AO434" i="33" s="1"/>
  <c r="AH434" i="33"/>
  <c r="AN447" i="33"/>
  <c r="AO447" i="33" s="1"/>
  <c r="AH447" i="33"/>
  <c r="AI447" i="33" s="1"/>
  <c r="AH446" i="33"/>
  <c r="AI446" i="33" s="1"/>
  <c r="AN446" i="33"/>
  <c r="AO446" i="33" s="1"/>
  <c r="AN436" i="33"/>
  <c r="AO436" i="33" s="1"/>
  <c r="S396" i="33"/>
  <c r="K396" i="33"/>
  <c r="L398" i="33"/>
  <c r="S398" i="33" s="1"/>
  <c r="AK411" i="33"/>
  <c r="R308" i="33"/>
  <c r="P308" i="33"/>
  <c r="O313" i="33"/>
  <c r="AI445" i="33"/>
  <c r="AN472" i="33"/>
  <c r="AH472" i="33"/>
  <c r="AI472" i="33" s="1"/>
  <c r="AL465" i="33"/>
  <c r="AO465" i="33" s="1"/>
  <c r="AN411" i="33"/>
  <c r="AO411" i="33" s="1"/>
  <c r="Y416" i="33"/>
  <c r="AI416" i="33"/>
  <c r="L232" i="33"/>
  <c r="L194" i="33"/>
  <c r="S193" i="33"/>
  <c r="S194" i="33" s="1"/>
  <c r="N193" i="33"/>
  <c r="N194" i="33" s="1"/>
  <c r="AL418" i="33"/>
  <c r="AO408" i="33"/>
  <c r="AK408" i="33"/>
  <c r="Z451" i="33"/>
  <c r="X451" i="33" s="1"/>
  <c r="AN427" i="33"/>
  <c r="AO427" i="33" s="1"/>
  <c r="AH427" i="33"/>
  <c r="AI427" i="33" s="1"/>
  <c r="AN479" i="33"/>
  <c r="AO479" i="33" s="1"/>
  <c r="AH479" i="33"/>
  <c r="AI479" i="33" s="1"/>
  <c r="AE479" i="33"/>
  <c r="AD479" i="33"/>
  <c r="AN445" i="33"/>
  <c r="AH445" i="33"/>
  <c r="Q164" i="33"/>
  <c r="P152" i="33"/>
  <c r="P134" i="33"/>
  <c r="K36" i="33"/>
  <c r="M24" i="33"/>
  <c r="K24" i="33"/>
  <c r="K78" i="33"/>
  <c r="K37" i="33"/>
  <c r="K32" i="33"/>
  <c r="K31" i="33"/>
  <c r="K35" i="33"/>
  <c r="K33" i="33"/>
  <c r="Y410" i="33"/>
  <c r="P54" i="33"/>
  <c r="AN429" i="33"/>
  <c r="AO429" i="33" s="1"/>
  <c r="AH429" i="33"/>
  <c r="AI429" i="33" s="1"/>
  <c r="AN444" i="33"/>
  <c r="AH444" i="33"/>
  <c r="AI444" i="33" s="1"/>
  <c r="AN441" i="33"/>
  <c r="AO441" i="33" s="1"/>
  <c r="AH441" i="33"/>
  <c r="AO437" i="33"/>
  <c r="AH439" i="33"/>
  <c r="AN439" i="33"/>
  <c r="AK412" i="33"/>
  <c r="M27" i="33"/>
  <c r="M28" i="33" s="1"/>
  <c r="K27" i="33"/>
  <c r="R27" i="33"/>
  <c r="R28" i="33" s="1"/>
  <c r="K82" i="33"/>
  <c r="J82" i="33" s="1"/>
  <c r="AI462" i="33"/>
  <c r="Z465" i="33"/>
  <c r="AN496" i="33"/>
  <c r="AH496" i="33"/>
  <c r="AH462" i="33"/>
  <c r="AH465" i="33" s="1"/>
  <c r="AO423" i="33"/>
  <c r="AN474" i="33"/>
  <c r="AH474" i="33"/>
  <c r="AI474" i="33" s="1"/>
  <c r="AN495" i="33"/>
  <c r="AH495" i="33"/>
  <c r="AL480" i="33"/>
  <c r="S164" i="32"/>
  <c r="N164" i="32"/>
  <c r="AN435" i="32"/>
  <c r="AO435" i="32" s="1"/>
  <c r="AH435" i="32"/>
  <c r="AO440" i="32"/>
  <c r="AN427" i="32"/>
  <c r="AH427" i="32"/>
  <c r="AI427" i="32" s="1"/>
  <c r="S288" i="32"/>
  <c r="AO444" i="32"/>
  <c r="S350" i="32"/>
  <c r="N350" i="32"/>
  <c r="F85" i="32"/>
  <c r="Z480" i="32"/>
  <c r="X480" i="32" s="1"/>
  <c r="AH415" i="32"/>
  <c r="AE415" i="32"/>
  <c r="AN415" i="32"/>
  <c r="AH439" i="32"/>
  <c r="AN439" i="32"/>
  <c r="AO421" i="32"/>
  <c r="AO433" i="32"/>
  <c r="AL451" i="32"/>
  <c r="AN496" i="32"/>
  <c r="AH496" i="32"/>
  <c r="AN443" i="32"/>
  <c r="AH443" i="32"/>
  <c r="AI443" i="32" s="1"/>
  <c r="AO446" i="32"/>
  <c r="AN423" i="32"/>
  <c r="AH423" i="32"/>
  <c r="P230" i="32"/>
  <c r="Q232" i="32"/>
  <c r="L232" i="32"/>
  <c r="L194" i="32"/>
  <c r="M193" i="32" s="1"/>
  <c r="S193" i="32"/>
  <c r="S194" i="32" s="1"/>
  <c r="N193" i="32"/>
  <c r="N194" i="32" s="1"/>
  <c r="K228" i="32"/>
  <c r="AH429" i="32"/>
  <c r="AI429" i="32" s="1"/>
  <c r="AN429" i="32"/>
  <c r="AH462" i="32"/>
  <c r="AF465" i="32"/>
  <c r="AN469" i="32"/>
  <c r="AH469" i="32"/>
  <c r="AI469" i="32" s="1"/>
  <c r="AF480" i="32"/>
  <c r="AH422" i="32"/>
  <c r="AN422" i="32"/>
  <c r="AO422" i="32" s="1"/>
  <c r="AO445" i="32"/>
  <c r="AN424" i="32"/>
  <c r="AH424" i="32"/>
  <c r="AI441" i="32"/>
  <c r="J313" i="32"/>
  <c r="M308" i="32"/>
  <c r="K308" i="32"/>
  <c r="R249" i="32"/>
  <c r="M249" i="32"/>
  <c r="AN440" i="32"/>
  <c r="AH440" i="32"/>
  <c r="AI440" i="32" s="1"/>
  <c r="AK412" i="32"/>
  <c r="AN476" i="32"/>
  <c r="AH476" i="32"/>
  <c r="AI476" i="32" s="1"/>
  <c r="AH464" i="32"/>
  <c r="F232" i="32"/>
  <c r="F194" i="32"/>
  <c r="F288" i="32"/>
  <c r="N288" i="32" s="1"/>
  <c r="AO430" i="32"/>
  <c r="AN449" i="32"/>
  <c r="AH449" i="32"/>
  <c r="Y413" i="32"/>
  <c r="N85" i="32"/>
  <c r="N28" i="32"/>
  <c r="AN478" i="32"/>
  <c r="AH478" i="32"/>
  <c r="AI478" i="32" s="1"/>
  <c r="S230" i="32"/>
  <c r="N230" i="32"/>
  <c r="K230" i="32"/>
  <c r="AN448" i="32"/>
  <c r="AH448" i="32"/>
  <c r="E228" i="32"/>
  <c r="AH474" i="32"/>
  <c r="AI474" i="32" s="1"/>
  <c r="AN474" i="32"/>
  <c r="P396" i="32"/>
  <c r="Q398" i="32"/>
  <c r="AE408" i="32"/>
  <c r="AF418" i="32"/>
  <c r="AN408" i="32"/>
  <c r="AO408" i="32" s="1"/>
  <c r="AH408" i="32"/>
  <c r="K74" i="32"/>
  <c r="S74" i="32"/>
  <c r="N74" i="32"/>
  <c r="Y412" i="32"/>
  <c r="AO429" i="32"/>
  <c r="AN450" i="32"/>
  <c r="AH450" i="32"/>
  <c r="Y409" i="32"/>
  <c r="AN470" i="32"/>
  <c r="AH470" i="32"/>
  <c r="AI470" i="32" s="1"/>
  <c r="K209" i="32"/>
  <c r="AN479" i="32"/>
  <c r="AH479" i="32"/>
  <c r="AI479" i="32" s="1"/>
  <c r="AD479" i="32"/>
  <c r="AE479" i="32"/>
  <c r="E396" i="32"/>
  <c r="F398" i="32"/>
  <c r="AI435" i="32"/>
  <c r="AH430" i="32"/>
  <c r="AI430" i="32" s="1"/>
  <c r="AN430" i="32"/>
  <c r="AI433" i="32"/>
  <c r="Z451" i="32"/>
  <c r="X451" i="32" s="1"/>
  <c r="AH431" i="32"/>
  <c r="AN434" i="32"/>
  <c r="AO434" i="32" s="1"/>
  <c r="AH434" i="32"/>
  <c r="M107" i="32"/>
  <c r="M108" i="32" s="1"/>
  <c r="AL465" i="32"/>
  <c r="AO465" i="32" s="1"/>
  <c r="Q352" i="32"/>
  <c r="P329" i="32"/>
  <c r="P348" i="32"/>
  <c r="AH411" i="32"/>
  <c r="AI411" i="32" s="1"/>
  <c r="AE411" i="32"/>
  <c r="AN411" i="32"/>
  <c r="AO411" i="32" s="1"/>
  <c r="AE412" i="32"/>
  <c r="AN412" i="32"/>
  <c r="AO412" i="32" s="1"/>
  <c r="AH412" i="32"/>
  <c r="AI412" i="32" s="1"/>
  <c r="AK410" i="32"/>
  <c r="AE416" i="32"/>
  <c r="AN416" i="32"/>
  <c r="AH416" i="32"/>
  <c r="N286" i="32"/>
  <c r="K286" i="32"/>
  <c r="S286" i="32"/>
  <c r="AG410" i="32"/>
  <c r="AI442" i="32"/>
  <c r="R308" i="32"/>
  <c r="P308" i="32"/>
  <c r="O313" i="32"/>
  <c r="AO428" i="32"/>
  <c r="AI417" i="32"/>
  <c r="Y417" i="32"/>
  <c r="AI437" i="32"/>
  <c r="S154" i="32"/>
  <c r="N154" i="32"/>
  <c r="K154" i="32"/>
  <c r="Y408" i="32"/>
  <c r="Z418" i="32"/>
  <c r="AI408" i="32"/>
  <c r="S396" i="32"/>
  <c r="K396" i="32"/>
  <c r="L398" i="32"/>
  <c r="S398" i="32" s="1"/>
  <c r="AI447" i="32"/>
  <c r="AH437" i="32"/>
  <c r="AN437" i="32"/>
  <c r="AO437" i="32" s="1"/>
  <c r="AN410" i="32"/>
  <c r="AO410" i="32" s="1"/>
  <c r="AO414" i="32"/>
  <c r="AK414" i="32"/>
  <c r="AF432" i="32"/>
  <c r="AN420" i="32"/>
  <c r="AH420" i="32"/>
  <c r="AH473" i="32"/>
  <c r="AI473" i="32" s="1"/>
  <c r="AN473" i="32"/>
  <c r="AI434" i="32"/>
  <c r="AI423" i="32"/>
  <c r="AH421" i="32"/>
  <c r="AI421" i="32" s="1"/>
  <c r="AN421" i="32"/>
  <c r="AN433" i="32"/>
  <c r="AH433" i="32"/>
  <c r="AF451" i="32"/>
  <c r="AN444" i="32"/>
  <c r="AH444" i="32"/>
  <c r="AI444" i="32" s="1"/>
  <c r="AH436" i="32"/>
  <c r="AI436" i="32" s="1"/>
  <c r="E230" i="32"/>
  <c r="AH447" i="32"/>
  <c r="AN447" i="32"/>
  <c r="AO447" i="32" s="1"/>
  <c r="AO415" i="32"/>
  <c r="AK415" i="32"/>
  <c r="AN475" i="32"/>
  <c r="AH475" i="32"/>
  <c r="AI475" i="32" s="1"/>
  <c r="AO479" i="32"/>
  <c r="L313" i="32"/>
  <c r="N308" i="32"/>
  <c r="N309" i="32" s="1"/>
  <c r="S308" i="32"/>
  <c r="S309" i="32" s="1"/>
  <c r="AO443" i="32"/>
  <c r="AN471" i="32"/>
  <c r="AH471" i="32"/>
  <c r="AI471" i="32" s="1"/>
  <c r="AO423" i="32"/>
  <c r="AN436" i="32"/>
  <c r="AO436" i="32" s="1"/>
  <c r="E209" i="32"/>
  <c r="AO416" i="32"/>
  <c r="AK416" i="32"/>
  <c r="P74" i="32"/>
  <c r="AN425" i="32"/>
  <c r="AH425" i="32"/>
  <c r="AN477" i="32"/>
  <c r="AH477" i="32"/>
  <c r="AI477" i="32" s="1"/>
  <c r="AH428" i="32"/>
  <c r="AI428" i="32" s="1"/>
  <c r="AN428" i="32"/>
  <c r="AI446" i="32"/>
  <c r="AO469" i="32"/>
  <c r="AL480" i="32"/>
  <c r="AL432" i="32"/>
  <c r="AL467" i="32" s="1"/>
  <c r="AO420" i="32"/>
  <c r="AH417" i="32"/>
  <c r="AN417" i="32"/>
  <c r="AE417" i="32"/>
  <c r="Y414" i="32"/>
  <c r="Y410" i="32"/>
  <c r="AM410" i="32" s="1"/>
  <c r="AI410" i="32"/>
  <c r="AK411" i="32"/>
  <c r="AH413" i="32"/>
  <c r="AI413" i="32" s="1"/>
  <c r="AN413" i="32"/>
  <c r="AO413" i="32" s="1"/>
  <c r="AE413" i="32"/>
  <c r="AH409" i="32"/>
  <c r="AI409" i="32" s="1"/>
  <c r="AN409" i="32"/>
  <c r="AO409" i="32" s="1"/>
  <c r="AE409" i="32"/>
  <c r="Q194" i="32"/>
  <c r="AN445" i="32"/>
  <c r="AH445" i="32"/>
  <c r="AI445" i="32" s="1"/>
  <c r="AI422" i="32"/>
  <c r="AN426" i="32"/>
  <c r="AH426" i="32"/>
  <c r="AN414" i="32"/>
  <c r="AE414" i="32"/>
  <c r="AH414" i="32"/>
  <c r="AI414" i="32" s="1"/>
  <c r="AO427" i="32"/>
  <c r="AO441" i="32"/>
  <c r="AI462" i="32"/>
  <c r="Z465" i="32"/>
  <c r="AH438" i="32"/>
  <c r="AI438" i="32" s="1"/>
  <c r="AN438" i="32"/>
  <c r="AO438" i="32" s="1"/>
  <c r="E308" i="32"/>
  <c r="D313" i="32"/>
  <c r="AN472" i="32"/>
  <c r="AH472" i="32"/>
  <c r="AI472" i="32" s="1"/>
  <c r="Z432" i="32"/>
  <c r="X432" i="32" s="1"/>
  <c r="AI420" i="32"/>
  <c r="AN495" i="32"/>
  <c r="AH495" i="32"/>
  <c r="AL406" i="32"/>
  <c r="S28" i="32"/>
  <c r="Q85" i="32"/>
  <c r="P72" i="32"/>
  <c r="P41" i="32"/>
  <c r="P54" i="32"/>
  <c r="AN494" i="32"/>
  <c r="AH494" i="32"/>
  <c r="AO442" i="32"/>
  <c r="S288" i="33" l="1"/>
  <c r="N288" i="33"/>
  <c r="AO480" i="33"/>
  <c r="M313" i="33"/>
  <c r="K313" i="33"/>
  <c r="AF405" i="33"/>
  <c r="AN432" i="33"/>
  <c r="AO432" i="33" s="1"/>
  <c r="AH432" i="33"/>
  <c r="AI432" i="33" s="1"/>
  <c r="L314" i="33"/>
  <c r="L352" i="33"/>
  <c r="S313" i="33"/>
  <c r="N313" i="33"/>
  <c r="N314" i="33" s="1"/>
  <c r="K348" i="33"/>
  <c r="K329" i="33"/>
  <c r="AO451" i="33"/>
  <c r="N85" i="33"/>
  <c r="N28" i="33"/>
  <c r="Z467" i="33"/>
  <c r="X467" i="33" s="1"/>
  <c r="X418" i="33"/>
  <c r="AG417" i="33"/>
  <c r="AM417" i="33"/>
  <c r="AJ432" i="33"/>
  <c r="AJ418" i="33"/>
  <c r="AJ465" i="33"/>
  <c r="AJ451" i="33"/>
  <c r="S164" i="33"/>
  <c r="N164" i="33"/>
  <c r="AD451" i="33"/>
  <c r="AG416" i="33"/>
  <c r="AM416" i="33"/>
  <c r="AH451" i="33"/>
  <c r="AI451" i="33" s="1"/>
  <c r="AI433" i="33"/>
  <c r="K350" i="33"/>
  <c r="AM415" i="33"/>
  <c r="AG415" i="33"/>
  <c r="AG409" i="33"/>
  <c r="AM409" i="33"/>
  <c r="AN451" i="33"/>
  <c r="AG412" i="33"/>
  <c r="AM412" i="33"/>
  <c r="AO418" i="33"/>
  <c r="AL467" i="33"/>
  <c r="AJ467" i="33" s="1"/>
  <c r="AF406" i="33"/>
  <c r="AD432" i="33" s="1"/>
  <c r="R313" i="33"/>
  <c r="P313" i="33"/>
  <c r="AL405" i="33"/>
  <c r="AM410" i="33"/>
  <c r="AG410" i="33"/>
  <c r="AI465" i="33"/>
  <c r="X465" i="33"/>
  <c r="E313" i="33"/>
  <c r="Z405" i="33"/>
  <c r="M193" i="33"/>
  <c r="AG413" i="33"/>
  <c r="AM413" i="33"/>
  <c r="S314" i="33"/>
  <c r="Q352" i="33"/>
  <c r="P329" i="33"/>
  <c r="P348" i="33"/>
  <c r="AN480" i="33"/>
  <c r="AH480" i="33"/>
  <c r="AI480" i="33" s="1"/>
  <c r="S232" i="33"/>
  <c r="N232" i="33"/>
  <c r="AN418" i="33"/>
  <c r="AH418" i="33"/>
  <c r="AI418" i="33" s="1"/>
  <c r="AF467" i="33"/>
  <c r="Z482" i="33"/>
  <c r="AM414" i="33"/>
  <c r="AG414" i="33"/>
  <c r="AG408" i="33"/>
  <c r="AM408" i="33"/>
  <c r="X480" i="33"/>
  <c r="M313" i="32"/>
  <c r="K313" i="32"/>
  <c r="AF405" i="32"/>
  <c r="X465" i="32"/>
  <c r="S232" i="32"/>
  <c r="N232" i="32"/>
  <c r="R313" i="32"/>
  <c r="P313" i="32"/>
  <c r="AG411" i="32"/>
  <c r="AM411" i="32"/>
  <c r="AG415" i="32"/>
  <c r="AM415" i="32"/>
  <c r="AN480" i="32"/>
  <c r="AO480" i="32" s="1"/>
  <c r="AH480" i="32"/>
  <c r="AI480" i="32" s="1"/>
  <c r="Z467" i="32"/>
  <c r="X418" i="32"/>
  <c r="AG413" i="32"/>
  <c r="AM413" i="32"/>
  <c r="AH451" i="32"/>
  <c r="AI451" i="32" s="1"/>
  <c r="AG412" i="32"/>
  <c r="AM412" i="32"/>
  <c r="L314" i="32"/>
  <c r="L352" i="32"/>
  <c r="N313" i="32"/>
  <c r="N314" i="32" s="1"/>
  <c r="S313" i="32"/>
  <c r="S314" i="32" s="1"/>
  <c r="K329" i="32"/>
  <c r="K348" i="32"/>
  <c r="AM414" i="32"/>
  <c r="AG414" i="32"/>
  <c r="AN418" i="32"/>
  <c r="AO418" i="32" s="1"/>
  <c r="AH418" i="32"/>
  <c r="AI418" i="32" s="1"/>
  <c r="AF467" i="32"/>
  <c r="AH465" i="32"/>
  <c r="AI465" i="32" s="1"/>
  <c r="AF406" i="32"/>
  <c r="AG409" i="32"/>
  <c r="AM409" i="32"/>
  <c r="AN451" i="32"/>
  <c r="AO451" i="32" s="1"/>
  <c r="AG417" i="32"/>
  <c r="AM417" i="32"/>
  <c r="AG408" i="32"/>
  <c r="AM408" i="32"/>
  <c r="K350" i="32"/>
  <c r="AG416" i="32"/>
  <c r="AM416" i="32"/>
  <c r="AJ432" i="32"/>
  <c r="AJ465" i="32"/>
  <c r="AJ451" i="32"/>
  <c r="AJ467" i="32"/>
  <c r="AL482" i="32"/>
  <c r="AJ418" i="32"/>
  <c r="E313" i="32"/>
  <c r="Z405" i="32"/>
  <c r="AL405" i="32"/>
  <c r="AN432" i="32"/>
  <c r="AO432" i="32" s="1"/>
  <c r="AH432" i="32"/>
  <c r="AI432" i="32" s="1"/>
  <c r="S352" i="33" l="1"/>
  <c r="N352" i="33"/>
  <c r="AL482" i="33"/>
  <c r="AN467" i="33"/>
  <c r="AH467" i="33"/>
  <c r="AI467" i="33" s="1"/>
  <c r="AD467" i="33"/>
  <c r="AF482" i="33"/>
  <c r="AN406" i="33"/>
  <c r="AO406" i="33" s="1"/>
  <c r="AH406" i="33"/>
  <c r="AI406" i="33" s="1"/>
  <c r="AD465" i="33"/>
  <c r="AD418" i="33"/>
  <c r="AO467" i="33"/>
  <c r="Y482" i="33"/>
  <c r="Z488" i="33"/>
  <c r="AD480" i="33"/>
  <c r="N352" i="32"/>
  <c r="S352" i="32"/>
  <c r="AK482" i="32"/>
  <c r="AF482" i="32"/>
  <c r="AH406" i="32"/>
  <c r="AI406" i="32" s="1"/>
  <c r="AN406" i="32"/>
  <c r="AO406" i="32" s="1"/>
  <c r="AD451" i="32"/>
  <c r="X467" i="32"/>
  <c r="Z482" i="32"/>
  <c r="AD465" i="32"/>
  <c r="AD480" i="32"/>
  <c r="AL488" i="32"/>
  <c r="AN467" i="32"/>
  <c r="AO467" i="32" s="1"/>
  <c r="AH467" i="32"/>
  <c r="AI467" i="32" s="1"/>
  <c r="AD467" i="32"/>
  <c r="AD418" i="32"/>
  <c r="AD432" i="32"/>
  <c r="Z497" i="33" l="1"/>
  <c r="Y497" i="33" s="1"/>
  <c r="Y488" i="33"/>
  <c r="AH482" i="33"/>
  <c r="AI482" i="33" s="1"/>
  <c r="AE482" i="33"/>
  <c r="AF488" i="33"/>
  <c r="AN482" i="33"/>
  <c r="AL488" i="33"/>
  <c r="AO482" i="33"/>
  <c r="AK482" i="33"/>
  <c r="AL497" i="32"/>
  <c r="Y482" i="32"/>
  <c r="Z488" i="32"/>
  <c r="AH482" i="32"/>
  <c r="AI482" i="32" s="1"/>
  <c r="AE482" i="32"/>
  <c r="AF488" i="32"/>
  <c r="AN482" i="32"/>
  <c r="AO482" i="32" s="1"/>
  <c r="AK488" i="32"/>
  <c r="AL497" i="33" l="1"/>
  <c r="AK488" i="33"/>
  <c r="AN488" i="33"/>
  <c r="AO488" i="33" s="1"/>
  <c r="AH488" i="33"/>
  <c r="AI488" i="33" s="1"/>
  <c r="AF497" i="33"/>
  <c r="AE488" i="33"/>
  <c r="AN488" i="32"/>
  <c r="AO488" i="32" s="1"/>
  <c r="AH488" i="32"/>
  <c r="AI488" i="32" s="1"/>
  <c r="AF497" i="32"/>
  <c r="AE488" i="32"/>
  <c r="Z497" i="32"/>
  <c r="Y497" i="32" s="1"/>
  <c r="Y488" i="32"/>
  <c r="AL500" i="32"/>
  <c r="AK497" i="32"/>
  <c r="AN497" i="33" l="1"/>
  <c r="AH497" i="33"/>
  <c r="AI497" i="33" s="1"/>
  <c r="AE497" i="33"/>
  <c r="AL500" i="33"/>
  <c r="AO497" i="33"/>
  <c r="AK497" i="33"/>
  <c r="AN497" i="32"/>
  <c r="AO497" i="32" s="1"/>
  <c r="AH497" i="32"/>
  <c r="AI497" i="32" s="1"/>
  <c r="AE497" i="32"/>
  <c r="N287" i="1" l="1"/>
  <c r="AO481" i="1" l="1"/>
  <c r="AN481" i="1"/>
  <c r="AO466" i="1"/>
  <c r="AN466" i="1"/>
  <c r="AH466" i="1"/>
  <c r="N351" i="1"/>
  <c r="R187" i="1"/>
  <c r="R184" i="1"/>
  <c r="R178" i="1"/>
  <c r="N231" i="1"/>
  <c r="M181" i="1"/>
  <c r="R19" i="1"/>
  <c r="Q5" i="1" l="1"/>
  <c r="O6" i="1"/>
  <c r="Q6" i="1"/>
  <c r="O7" i="1"/>
  <c r="Q7" i="1"/>
  <c r="O8" i="1"/>
  <c r="P8" i="1" s="1"/>
  <c r="Q8" i="1"/>
  <c r="O9" i="1"/>
  <c r="P9" i="1" s="1"/>
  <c r="Q9" i="1"/>
  <c r="O10" i="1"/>
  <c r="P10" i="1" s="1"/>
  <c r="Q10" i="1"/>
  <c r="O11" i="1"/>
  <c r="P11" i="1" s="1"/>
  <c r="Q11" i="1"/>
  <c r="O12" i="1"/>
  <c r="Q12" i="1"/>
  <c r="O15" i="1"/>
  <c r="Q15" i="1"/>
  <c r="O17" i="1"/>
  <c r="Q17" i="1"/>
  <c r="Q19" i="1"/>
  <c r="Q21" i="1"/>
  <c r="Q22" i="1"/>
  <c r="Q23" i="1"/>
  <c r="Q31" i="1"/>
  <c r="Q32" i="1"/>
  <c r="Q33" i="1"/>
  <c r="Q34" i="1"/>
  <c r="Q35" i="1"/>
  <c r="Q36" i="1"/>
  <c r="Q37" i="1"/>
  <c r="Q38" i="1"/>
  <c r="Q39" i="1"/>
  <c r="P39" i="1" s="1"/>
  <c r="Q40" i="1"/>
  <c r="P40" i="1" s="1"/>
  <c r="Q42" i="1"/>
  <c r="Q43" i="1"/>
  <c r="Q44" i="1"/>
  <c r="Q45" i="1"/>
  <c r="Q46" i="1"/>
  <c r="Q47" i="1"/>
  <c r="Q48" i="1"/>
  <c r="Q49" i="1"/>
  <c r="Q50" i="1"/>
  <c r="Q51" i="1"/>
  <c r="Q52" i="1"/>
  <c r="Q53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5" i="1"/>
  <c r="Q76" i="1"/>
  <c r="Q77" i="1"/>
  <c r="Q78" i="1"/>
  <c r="Q79" i="1"/>
  <c r="Q80" i="1"/>
  <c r="Q81" i="1"/>
  <c r="Q82" i="1"/>
  <c r="P17" i="1" l="1"/>
  <c r="P6" i="1"/>
  <c r="P15" i="1"/>
  <c r="Q13" i="1"/>
  <c r="Q72" i="1"/>
  <c r="Q83" i="1"/>
  <c r="Q54" i="1"/>
  <c r="Q24" i="1"/>
  <c r="Q41" i="1"/>
  <c r="P38" i="1"/>
  <c r="P12" i="1"/>
  <c r="P7" i="1"/>
  <c r="O13" i="1"/>
  <c r="O24" i="1" s="1"/>
  <c r="Q74" i="1" l="1"/>
  <c r="Q27" i="1"/>
  <c r="P54" i="1" s="1"/>
  <c r="P41" i="1"/>
  <c r="P72" i="1"/>
  <c r="P24" i="1"/>
  <c r="P31" i="1"/>
  <c r="P33" i="1"/>
  <c r="P32" i="1"/>
  <c r="P74" i="1"/>
  <c r="P21" i="1"/>
  <c r="P13" i="1"/>
  <c r="P22" i="1"/>
  <c r="O27" i="1"/>
  <c r="P23" i="1"/>
  <c r="P34" i="1"/>
  <c r="Q85" i="1"/>
  <c r="P35" i="1"/>
  <c r="P37" i="1"/>
  <c r="P36" i="1"/>
  <c r="P27" i="1" l="1"/>
  <c r="Z419" i="1" l="1"/>
  <c r="Z439" i="1" l="1"/>
  <c r="AI439" i="1" s="1"/>
  <c r="Z425" i="1"/>
  <c r="AI425" i="1" s="1"/>
  <c r="Z448" i="1"/>
  <c r="AI448" i="1" s="1"/>
  <c r="Z436" i="1"/>
  <c r="Z429" i="1"/>
  <c r="Z444" i="1"/>
  <c r="Z447" i="1"/>
  <c r="Z434" i="1"/>
  <c r="Z441" i="1"/>
  <c r="Z427" i="1"/>
  <c r="Z423" i="1"/>
  <c r="Z435" i="1"/>
  <c r="Z442" i="1"/>
  <c r="Z421" i="1"/>
  <c r="Z445" i="1"/>
  <c r="AF419" i="1"/>
  <c r="AH419" i="1" l="1"/>
  <c r="AI419" i="1" s="1"/>
  <c r="Z449" i="1"/>
  <c r="AI449" i="1" s="1"/>
  <c r="Z424" i="1"/>
  <c r="AI424" i="1" s="1"/>
  <c r="Z426" i="1"/>
  <c r="AI426" i="1" s="1"/>
  <c r="Z450" i="1"/>
  <c r="AI450" i="1" s="1"/>
  <c r="Z446" i="1"/>
  <c r="Z430" i="1"/>
  <c r="Z428" i="1"/>
  <c r="Z437" i="1"/>
  <c r="Z440" i="1"/>
  <c r="Z443" i="1"/>
  <c r="Z433" i="1"/>
  <c r="Z438" i="1"/>
  <c r="Z422" i="1"/>
  <c r="Z408" i="1"/>
  <c r="Z412" i="1"/>
  <c r="Z414" i="1"/>
  <c r="Z41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H443" i="1" l="1"/>
  <c r="AI443" i="1" s="1"/>
  <c r="AH423" i="1"/>
  <c r="AI423" i="1" s="1"/>
  <c r="AH438" i="1"/>
  <c r="AI438" i="1" s="1"/>
  <c r="AH429" i="1"/>
  <c r="AI429" i="1" s="1"/>
  <c r="AH445" i="1"/>
  <c r="AI445" i="1" s="1"/>
  <c r="AH426" i="1"/>
  <c r="AH410" i="1"/>
  <c r="AI410" i="1" s="1"/>
  <c r="AH437" i="1"/>
  <c r="AI437" i="1" s="1"/>
  <c r="AH436" i="1"/>
  <c r="AI436" i="1" s="1"/>
  <c r="AH433" i="1"/>
  <c r="AI433" i="1" s="1"/>
  <c r="AH434" i="1"/>
  <c r="AH448" i="1"/>
  <c r="AH428" i="1"/>
  <c r="AI428" i="1" s="1"/>
  <c r="AH425" i="1"/>
  <c r="AH450" i="1"/>
  <c r="AI430" i="1"/>
  <c r="AH430" i="1"/>
  <c r="AH442" i="1"/>
  <c r="AI442" i="1" s="1"/>
  <c r="AH441" i="1"/>
  <c r="AI441" i="1" s="1"/>
  <c r="AH447" i="1"/>
  <c r="AI447" i="1" s="1"/>
  <c r="AH424" i="1"/>
  <c r="AH411" i="1"/>
  <c r="AI411" i="1" s="1"/>
  <c r="AH421" i="1"/>
  <c r="AI421" i="1" s="1"/>
  <c r="AH449" i="1"/>
  <c r="AH412" i="1"/>
  <c r="AI412" i="1" s="1"/>
  <c r="AH439" i="1"/>
  <c r="AH444" i="1"/>
  <c r="AI444" i="1" s="1"/>
  <c r="AH413" i="1"/>
  <c r="AI413" i="1" s="1"/>
  <c r="AH427" i="1"/>
  <c r="AI427" i="1" s="1"/>
  <c r="AH446" i="1"/>
  <c r="AI446" i="1" s="1"/>
  <c r="Z420" i="1"/>
  <c r="Z409" i="1"/>
  <c r="AH409" i="1" s="1"/>
  <c r="AI409" i="1" s="1"/>
  <c r="Z413" i="1"/>
  <c r="AF420" i="1"/>
  <c r="AF435" i="1"/>
  <c r="AF408" i="1"/>
  <c r="AF440" i="1"/>
  <c r="AF422" i="1"/>
  <c r="AF414" i="1"/>
  <c r="AH440" i="1" l="1"/>
  <c r="AI440" i="1" s="1"/>
  <c r="AH408" i="1"/>
  <c r="AI408" i="1" s="1"/>
  <c r="AH422" i="1"/>
  <c r="AI422" i="1" s="1"/>
  <c r="AH435" i="1"/>
  <c r="AI435" i="1" s="1"/>
  <c r="AH414" i="1"/>
  <c r="AI414" i="1" s="1"/>
  <c r="AH420" i="1"/>
  <c r="AI420" i="1" s="1"/>
  <c r="AH451" i="1"/>
  <c r="AI434" i="1"/>
  <c r="G240" i="1"/>
  <c r="D240" i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AN419" i="1" s="1"/>
  <c r="AO419" i="1" s="1"/>
  <c r="Q310" i="1"/>
  <c r="O310" i="1"/>
  <c r="L310" i="1"/>
  <c r="J310" i="1"/>
  <c r="I310" i="1"/>
  <c r="G310" i="1"/>
  <c r="F310" i="1"/>
  <c r="D310" i="1"/>
  <c r="E310" i="1" l="1"/>
  <c r="P310" i="1"/>
  <c r="H310" i="1"/>
  <c r="K310" i="1"/>
  <c r="AL496" i="1" l="1"/>
  <c r="AL495" i="1"/>
  <c r="AL494" i="1"/>
  <c r="AL493" i="1"/>
  <c r="AO493" i="1" s="1"/>
  <c r="AL492" i="1"/>
  <c r="AL491" i="1"/>
  <c r="AO491" i="1" s="1"/>
  <c r="AL490" i="1"/>
  <c r="AF496" i="1"/>
  <c r="AF495" i="1"/>
  <c r="AF494" i="1"/>
  <c r="AF493" i="1"/>
  <c r="AF492" i="1"/>
  <c r="AF491" i="1"/>
  <c r="AF490" i="1"/>
  <c r="AF489" i="1"/>
  <c r="Z496" i="1"/>
  <c r="AI496" i="1" s="1"/>
  <c r="Z495" i="1"/>
  <c r="AI495" i="1" s="1"/>
  <c r="Z494" i="1"/>
  <c r="AI494" i="1" s="1"/>
  <c r="Z493" i="1"/>
  <c r="AI493" i="1" s="1"/>
  <c r="Z492" i="1"/>
  <c r="Z491" i="1"/>
  <c r="AI491" i="1" s="1"/>
  <c r="Z490" i="1"/>
  <c r="AL468" i="1"/>
  <c r="AF468" i="1"/>
  <c r="Z468" i="1"/>
  <c r="AL464" i="1"/>
  <c r="AL463" i="1"/>
  <c r="AL462" i="1"/>
  <c r="AL461" i="1"/>
  <c r="AL460" i="1"/>
  <c r="AL459" i="1"/>
  <c r="AL458" i="1"/>
  <c r="AL457" i="1"/>
  <c r="AL456" i="1"/>
  <c r="AL455" i="1"/>
  <c r="AO455" i="1" s="1"/>
  <c r="AL454" i="1"/>
  <c r="AL453" i="1"/>
  <c r="AL452" i="1"/>
  <c r="AF464" i="1"/>
  <c r="AH464" i="1" s="1"/>
  <c r="AF463" i="1"/>
  <c r="AH463" i="1" s="1"/>
  <c r="AF462" i="1"/>
  <c r="AH462" i="1" s="1"/>
  <c r="AF461" i="1"/>
  <c r="AF460" i="1"/>
  <c r="AF459" i="1"/>
  <c r="AF458" i="1"/>
  <c r="AF457" i="1"/>
  <c r="AF456" i="1"/>
  <c r="AF455" i="1"/>
  <c r="AF454" i="1"/>
  <c r="AF453" i="1"/>
  <c r="AF452" i="1"/>
  <c r="Z464" i="1"/>
  <c r="AI464" i="1" s="1"/>
  <c r="Z463" i="1"/>
  <c r="AI463" i="1" s="1"/>
  <c r="Z462" i="1"/>
  <c r="AI462" i="1" s="1"/>
  <c r="Z461" i="1"/>
  <c r="Z460" i="1"/>
  <c r="Z459" i="1"/>
  <c r="Z458" i="1"/>
  <c r="Z457" i="1"/>
  <c r="Z456" i="1"/>
  <c r="Z455" i="1"/>
  <c r="AI455" i="1" s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R306" i="1" s="1"/>
  <c r="Q302" i="1"/>
  <c r="O302" i="1"/>
  <c r="Q301" i="1"/>
  <c r="O301" i="1"/>
  <c r="Q300" i="1"/>
  <c r="O300" i="1"/>
  <c r="Q299" i="1"/>
  <c r="O299" i="1"/>
  <c r="Q298" i="1"/>
  <c r="O298" i="1"/>
  <c r="Q297" i="1"/>
  <c r="O297" i="1"/>
  <c r="Q296" i="1"/>
  <c r="O296" i="1"/>
  <c r="Q295" i="1"/>
  <c r="O295" i="1"/>
  <c r="R295" i="1" s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M311" i="1" s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S247" i="1" s="1"/>
  <c r="P246" i="1"/>
  <c r="O246" i="1"/>
  <c r="R246" i="1" s="1"/>
  <c r="Q243" i="1"/>
  <c r="S244" i="1" s="1"/>
  <c r="P243" i="1"/>
  <c r="O243" i="1"/>
  <c r="R243" i="1" s="1"/>
  <c r="Q240" i="1"/>
  <c r="P240" i="1"/>
  <c r="O240" i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L243" i="1"/>
  <c r="K243" i="1"/>
  <c r="J243" i="1"/>
  <c r="L240" i="1"/>
  <c r="K240" i="1"/>
  <c r="J240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I243" i="1"/>
  <c r="H243" i="1"/>
  <c r="G243" i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F243" i="1"/>
  <c r="E243" i="1"/>
  <c r="D243" i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Q177" i="1"/>
  <c r="P177" i="1"/>
  <c r="O177" i="1"/>
  <c r="Q174" i="1"/>
  <c r="P174" i="1"/>
  <c r="O174" i="1"/>
  <c r="Q171" i="1"/>
  <c r="P171" i="1"/>
  <c r="O171" i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L177" i="1"/>
  <c r="K177" i="1"/>
  <c r="J177" i="1"/>
  <c r="L174" i="1"/>
  <c r="K174" i="1"/>
  <c r="J174" i="1"/>
  <c r="L171" i="1"/>
  <c r="K171" i="1"/>
  <c r="J171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I177" i="1"/>
  <c r="H177" i="1"/>
  <c r="G177" i="1"/>
  <c r="I174" i="1"/>
  <c r="H174" i="1"/>
  <c r="G174" i="1"/>
  <c r="I171" i="1"/>
  <c r="H171" i="1"/>
  <c r="G171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F177" i="1"/>
  <c r="E177" i="1"/>
  <c r="D177" i="1"/>
  <c r="F174" i="1"/>
  <c r="E174" i="1"/>
  <c r="D174" i="1"/>
  <c r="F171" i="1"/>
  <c r="E171" i="1"/>
  <c r="D171" i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R296" i="1" l="1"/>
  <c r="R307" i="1"/>
  <c r="AO494" i="1"/>
  <c r="AO495" i="1"/>
  <c r="AO496" i="1"/>
  <c r="M187" i="1"/>
  <c r="M240" i="1"/>
  <c r="N261" i="1"/>
  <c r="S261" i="1"/>
  <c r="N278" i="1"/>
  <c r="S278" i="1"/>
  <c r="S240" i="1"/>
  <c r="N240" i="1"/>
  <c r="N241" i="1" s="1"/>
  <c r="S262" i="1"/>
  <c r="N262" i="1"/>
  <c r="N279" i="1"/>
  <c r="S279" i="1"/>
  <c r="N263" i="1"/>
  <c r="S263" i="1"/>
  <c r="N281" i="1"/>
  <c r="S281" i="1"/>
  <c r="M243" i="1"/>
  <c r="S264" i="1"/>
  <c r="N264" i="1"/>
  <c r="N282" i="1"/>
  <c r="S282" i="1"/>
  <c r="R297" i="1"/>
  <c r="S243" i="1"/>
  <c r="N243" i="1"/>
  <c r="N244" i="1" s="1"/>
  <c r="N266" i="1"/>
  <c r="S266" i="1"/>
  <c r="N283" i="1"/>
  <c r="S283" i="1"/>
  <c r="S267" i="1"/>
  <c r="N267" i="1"/>
  <c r="R240" i="1"/>
  <c r="S277" i="1"/>
  <c r="N277" i="1"/>
  <c r="M246" i="1"/>
  <c r="S268" i="1"/>
  <c r="N268" i="1"/>
  <c r="N246" i="1"/>
  <c r="N247" i="1"/>
  <c r="S246" i="1"/>
  <c r="N269" i="1"/>
  <c r="S269" i="1"/>
  <c r="S253" i="1"/>
  <c r="N253" i="1"/>
  <c r="N270" i="1"/>
  <c r="S270" i="1"/>
  <c r="S254" i="1"/>
  <c r="N254" i="1"/>
  <c r="N271" i="1"/>
  <c r="S271" i="1"/>
  <c r="N255" i="1"/>
  <c r="S255" i="1"/>
  <c r="N272" i="1"/>
  <c r="S272" i="1"/>
  <c r="N256" i="1"/>
  <c r="S256" i="1"/>
  <c r="N273" i="1"/>
  <c r="S273" i="1"/>
  <c r="N257" i="1"/>
  <c r="S257" i="1"/>
  <c r="S274" i="1"/>
  <c r="N274" i="1"/>
  <c r="S260" i="1"/>
  <c r="N260" i="1"/>
  <c r="S258" i="1"/>
  <c r="N258" i="1"/>
  <c r="S275" i="1"/>
  <c r="N275" i="1"/>
  <c r="S259" i="1"/>
  <c r="N259" i="1"/>
  <c r="S276" i="1"/>
  <c r="N276" i="1"/>
  <c r="M180" i="1"/>
  <c r="S205" i="1"/>
  <c r="N205" i="1"/>
  <c r="N140" i="1"/>
  <c r="S140" i="1"/>
  <c r="S206" i="1"/>
  <c r="N206" i="1"/>
  <c r="S223" i="1"/>
  <c r="N223" i="1"/>
  <c r="N297" i="1"/>
  <c r="S297" i="1"/>
  <c r="N311" i="1"/>
  <c r="S311" i="1"/>
  <c r="R311" i="1" s="1"/>
  <c r="N333" i="1"/>
  <c r="S333" i="1"/>
  <c r="AH455" i="1"/>
  <c r="AN455" i="1"/>
  <c r="N139" i="1"/>
  <c r="S139" i="1"/>
  <c r="M298" i="1"/>
  <c r="N317" i="1"/>
  <c r="S317" i="1"/>
  <c r="N334" i="1"/>
  <c r="S334" i="1"/>
  <c r="AH456" i="1"/>
  <c r="AN456" i="1"/>
  <c r="AO456" i="1" s="1"/>
  <c r="S207" i="1"/>
  <c r="N207" i="1"/>
  <c r="N123" i="1"/>
  <c r="S123" i="1"/>
  <c r="S142" i="1"/>
  <c r="N142" i="1"/>
  <c r="S183" i="1"/>
  <c r="N183" i="1"/>
  <c r="N208" i="1"/>
  <c r="S208" i="1"/>
  <c r="S226" i="1"/>
  <c r="N226" i="1"/>
  <c r="N298" i="1"/>
  <c r="S298" i="1"/>
  <c r="N318" i="1"/>
  <c r="S318" i="1"/>
  <c r="N335" i="1"/>
  <c r="S335" i="1"/>
  <c r="AH457" i="1"/>
  <c r="AI457" i="1" s="1"/>
  <c r="AN457" i="1"/>
  <c r="AO457" i="1" s="1"/>
  <c r="AH490" i="1"/>
  <c r="AI490" i="1" s="1"/>
  <c r="AN490" i="1"/>
  <c r="AO490" i="1" s="1"/>
  <c r="S225" i="1"/>
  <c r="N225" i="1"/>
  <c r="N124" i="1"/>
  <c r="S124" i="1"/>
  <c r="S143" i="1"/>
  <c r="N143" i="1"/>
  <c r="S155" i="1"/>
  <c r="N155" i="1"/>
  <c r="S210" i="1"/>
  <c r="N210" i="1"/>
  <c r="S227" i="1"/>
  <c r="N227" i="1"/>
  <c r="M299" i="1"/>
  <c r="N319" i="1"/>
  <c r="S319" i="1"/>
  <c r="N336" i="1"/>
  <c r="S336" i="1"/>
  <c r="AH458" i="1"/>
  <c r="AI458" i="1" s="1"/>
  <c r="AN458" i="1"/>
  <c r="AO458" i="1" s="1"/>
  <c r="AH491" i="1"/>
  <c r="AN491" i="1"/>
  <c r="N180" i="1"/>
  <c r="S180" i="1"/>
  <c r="N125" i="1"/>
  <c r="S125" i="1"/>
  <c r="S144" i="1"/>
  <c r="N144" i="1"/>
  <c r="N156" i="1"/>
  <c r="S156" i="1"/>
  <c r="S187" i="1"/>
  <c r="N187" i="1"/>
  <c r="S211" i="1"/>
  <c r="N211" i="1"/>
  <c r="R171" i="1"/>
  <c r="N299" i="1"/>
  <c r="S299" i="1"/>
  <c r="N320" i="1"/>
  <c r="S320" i="1"/>
  <c r="N337" i="1"/>
  <c r="S337" i="1"/>
  <c r="AI456" i="1"/>
  <c r="AH459" i="1"/>
  <c r="AI459" i="1" s="1"/>
  <c r="AN459" i="1"/>
  <c r="AO459" i="1" s="1"/>
  <c r="AN492" i="1"/>
  <c r="AO492" i="1" s="1"/>
  <c r="AH492" i="1"/>
  <c r="AI492" i="1" s="1"/>
  <c r="S111" i="1"/>
  <c r="N111" i="1"/>
  <c r="S126" i="1"/>
  <c r="N126" i="1"/>
  <c r="S145" i="1"/>
  <c r="N145" i="1"/>
  <c r="N157" i="1"/>
  <c r="S157" i="1"/>
  <c r="S212" i="1"/>
  <c r="N212" i="1"/>
  <c r="K300" i="1"/>
  <c r="M300" i="1"/>
  <c r="N321" i="1"/>
  <c r="S321" i="1"/>
  <c r="S338" i="1"/>
  <c r="N338" i="1"/>
  <c r="AN460" i="1"/>
  <c r="AO460" i="1" s="1"/>
  <c r="AH460" i="1"/>
  <c r="AI460" i="1" s="1"/>
  <c r="AN493" i="1"/>
  <c r="AH493" i="1"/>
  <c r="S112" i="1"/>
  <c r="N112" i="1"/>
  <c r="S127" i="1"/>
  <c r="N127" i="1"/>
  <c r="S146" i="1"/>
  <c r="N146" i="1"/>
  <c r="N158" i="1"/>
  <c r="S158" i="1"/>
  <c r="S213" i="1"/>
  <c r="N213" i="1"/>
  <c r="N300" i="1"/>
  <c r="S300" i="1"/>
  <c r="S322" i="1"/>
  <c r="N322" i="1"/>
  <c r="S339" i="1"/>
  <c r="N339" i="1"/>
  <c r="R298" i="1"/>
  <c r="AN494" i="1"/>
  <c r="AH494" i="1"/>
  <c r="S122" i="1"/>
  <c r="N122" i="1"/>
  <c r="N113" i="1"/>
  <c r="S113" i="1"/>
  <c r="S128" i="1"/>
  <c r="N128" i="1"/>
  <c r="S147" i="1"/>
  <c r="N147" i="1"/>
  <c r="S159" i="1"/>
  <c r="N159" i="1"/>
  <c r="M171" i="1"/>
  <c r="S197" i="1"/>
  <c r="N197" i="1"/>
  <c r="S214" i="1"/>
  <c r="N214" i="1"/>
  <c r="R174" i="1"/>
  <c r="S323" i="1"/>
  <c r="N323" i="1"/>
  <c r="N340" i="1"/>
  <c r="S340" i="1"/>
  <c r="AN495" i="1"/>
  <c r="AH495" i="1"/>
  <c r="S114" i="1"/>
  <c r="N114" i="1"/>
  <c r="S129" i="1"/>
  <c r="N129" i="1"/>
  <c r="S149" i="1"/>
  <c r="N149" i="1"/>
  <c r="S160" i="1"/>
  <c r="N160" i="1"/>
  <c r="S171" i="1"/>
  <c r="N171" i="1"/>
  <c r="S198" i="1"/>
  <c r="N198" i="1"/>
  <c r="S215" i="1"/>
  <c r="N215" i="1"/>
  <c r="S301" i="1"/>
  <c r="N301" i="1"/>
  <c r="N324" i="1"/>
  <c r="S324" i="1"/>
  <c r="N341" i="1"/>
  <c r="S341" i="1"/>
  <c r="R299" i="1"/>
  <c r="AH468" i="1"/>
  <c r="AI468" i="1" s="1"/>
  <c r="AN468" i="1"/>
  <c r="AO468" i="1" s="1"/>
  <c r="AN496" i="1"/>
  <c r="AH496" i="1"/>
  <c r="N141" i="1"/>
  <c r="S141" i="1"/>
  <c r="S101" i="1"/>
  <c r="N101" i="1"/>
  <c r="S115" i="1"/>
  <c r="N115" i="1"/>
  <c r="S130" i="1"/>
  <c r="N130" i="1"/>
  <c r="S150" i="1"/>
  <c r="N150" i="1"/>
  <c r="S161" i="1"/>
  <c r="N161" i="1"/>
  <c r="S199" i="1"/>
  <c r="N199" i="1"/>
  <c r="S216" i="1"/>
  <c r="N216" i="1"/>
  <c r="M294" i="1"/>
  <c r="N325" i="1"/>
  <c r="S325" i="1"/>
  <c r="N342" i="1"/>
  <c r="S342" i="1"/>
  <c r="S102" i="1"/>
  <c r="N102" i="1"/>
  <c r="S116" i="1"/>
  <c r="N116" i="1"/>
  <c r="S131" i="1"/>
  <c r="N131" i="1"/>
  <c r="S151" i="1"/>
  <c r="N151" i="1"/>
  <c r="M174" i="1"/>
  <c r="S200" i="1"/>
  <c r="N200" i="1"/>
  <c r="N217" i="1"/>
  <c r="S217" i="1"/>
  <c r="R177" i="1"/>
  <c r="N294" i="1"/>
  <c r="S294" i="1"/>
  <c r="S302" i="1"/>
  <c r="N302" i="1"/>
  <c r="N326" i="1"/>
  <c r="S326" i="1"/>
  <c r="N343" i="1"/>
  <c r="S343" i="1"/>
  <c r="P300" i="1"/>
  <c r="R300" i="1"/>
  <c r="N103" i="1"/>
  <c r="S103" i="1"/>
  <c r="S117" i="1"/>
  <c r="N117" i="1"/>
  <c r="S132" i="1"/>
  <c r="N132" i="1"/>
  <c r="S135" i="1"/>
  <c r="N135" i="1"/>
  <c r="S174" i="1"/>
  <c r="N174" i="1"/>
  <c r="N201" i="1"/>
  <c r="S201" i="1"/>
  <c r="N218" i="1"/>
  <c r="S218" i="1"/>
  <c r="M295" i="1"/>
  <c r="M306" i="1"/>
  <c r="N327" i="1"/>
  <c r="S327" i="1"/>
  <c r="N345" i="1"/>
  <c r="S345" i="1"/>
  <c r="S118" i="1"/>
  <c r="N118" i="1"/>
  <c r="S133" i="1"/>
  <c r="N133" i="1"/>
  <c r="S136" i="1"/>
  <c r="N136" i="1"/>
  <c r="N202" i="1"/>
  <c r="S202" i="1"/>
  <c r="N219" i="1"/>
  <c r="S219" i="1"/>
  <c r="S295" i="1"/>
  <c r="N295" i="1"/>
  <c r="S306" i="1"/>
  <c r="N306" i="1"/>
  <c r="N328" i="1"/>
  <c r="S328" i="1"/>
  <c r="N346" i="1"/>
  <c r="S346" i="1"/>
  <c r="P301" i="1"/>
  <c r="R301" i="1"/>
  <c r="S119" i="1"/>
  <c r="N119" i="1"/>
  <c r="S137" i="1"/>
  <c r="N137" i="1"/>
  <c r="M177" i="1"/>
  <c r="N203" i="1"/>
  <c r="S203" i="1"/>
  <c r="N220" i="1"/>
  <c r="S220" i="1"/>
  <c r="R180" i="1"/>
  <c r="M296" i="1"/>
  <c r="M307" i="1"/>
  <c r="N330" i="1"/>
  <c r="S330" i="1"/>
  <c r="N347" i="1"/>
  <c r="S347" i="1"/>
  <c r="AH452" i="1"/>
  <c r="AI452" i="1" s="1"/>
  <c r="AN452" i="1"/>
  <c r="AO452" i="1" s="1"/>
  <c r="S120" i="1"/>
  <c r="N120" i="1"/>
  <c r="S138" i="1"/>
  <c r="N138" i="1"/>
  <c r="N177" i="1"/>
  <c r="S177" i="1"/>
  <c r="N204" i="1"/>
  <c r="S204" i="1"/>
  <c r="S221" i="1"/>
  <c r="N221" i="1"/>
  <c r="N296" i="1"/>
  <c r="S296" i="1"/>
  <c r="S307" i="1"/>
  <c r="N307" i="1"/>
  <c r="N331" i="1"/>
  <c r="S331" i="1"/>
  <c r="R294" i="1"/>
  <c r="P302" i="1"/>
  <c r="R302" i="1"/>
  <c r="AH453" i="1"/>
  <c r="AI453" i="1" s="1"/>
  <c r="AN453" i="1"/>
  <c r="AO453" i="1" s="1"/>
  <c r="S222" i="1"/>
  <c r="N222" i="1"/>
  <c r="M297" i="1"/>
  <c r="N332" i="1"/>
  <c r="S332" i="1"/>
  <c r="AH454" i="1"/>
  <c r="AI454" i="1" s="1"/>
  <c r="AN454" i="1"/>
  <c r="AO454" i="1" s="1"/>
  <c r="Q175" i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81" i="1"/>
  <c r="Q265" i="1"/>
  <c r="P265" i="1" s="1"/>
  <c r="L303" i="1"/>
  <c r="H359" i="1"/>
  <c r="I394" i="1"/>
  <c r="H394" i="1" s="1"/>
  <c r="K359" i="1"/>
  <c r="Q376" i="1"/>
  <c r="P376" i="1" s="1"/>
  <c r="I184" i="1"/>
  <c r="I193" i="1" s="1"/>
  <c r="I354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L99" i="1"/>
  <c r="J99" i="1"/>
  <c r="I99" i="1"/>
  <c r="G99" i="1"/>
  <c r="F99" i="1"/>
  <c r="D99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S241" i="1" l="1"/>
  <c r="L308" i="1"/>
  <c r="S303" i="1"/>
  <c r="S304" i="1" s="1"/>
  <c r="S99" i="1"/>
  <c r="N99" i="1"/>
  <c r="N162" i="1"/>
  <c r="N76" i="1"/>
  <c r="S76" i="1"/>
  <c r="S162" i="1"/>
  <c r="N77" i="1"/>
  <c r="S77" i="1"/>
  <c r="R94" i="1"/>
  <c r="M94" i="1"/>
  <c r="N94" i="1"/>
  <c r="S94" i="1"/>
  <c r="S329" i="1"/>
  <c r="R95" i="1"/>
  <c r="M95" i="1"/>
  <c r="R303" i="1"/>
  <c r="S209" i="1"/>
  <c r="N209" i="1"/>
  <c r="S78" i="1"/>
  <c r="N78" i="1"/>
  <c r="N81" i="1"/>
  <c r="S81" i="1"/>
  <c r="S184" i="1"/>
  <c r="S185" i="1" s="1"/>
  <c r="S79" i="1"/>
  <c r="N79" i="1"/>
  <c r="S95" i="1"/>
  <c r="N95" i="1"/>
  <c r="AN465" i="1"/>
  <c r="R99" i="1"/>
  <c r="M99" i="1"/>
  <c r="N75" i="1"/>
  <c r="N80" i="1"/>
  <c r="S80" i="1"/>
  <c r="AH465" i="1"/>
  <c r="L193" i="1"/>
  <c r="K209" i="1" s="1"/>
  <c r="K193" i="1"/>
  <c r="H98" i="1"/>
  <c r="E98" i="1"/>
  <c r="P98" i="1"/>
  <c r="K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J308" i="1"/>
  <c r="K94" i="1"/>
  <c r="P284" i="1"/>
  <c r="E99" i="1"/>
  <c r="I194" i="1"/>
  <c r="K376" i="1"/>
  <c r="Q250" i="1"/>
  <c r="P361" i="1"/>
  <c r="O308" i="1"/>
  <c r="P303" i="1"/>
  <c r="G308" i="1"/>
  <c r="G313" i="1" s="1"/>
  <c r="H303" i="1"/>
  <c r="I250" i="1"/>
  <c r="H284" i="1"/>
  <c r="Q193" i="1"/>
  <c r="Q185" i="1"/>
  <c r="L185" i="1"/>
  <c r="H209" i="1"/>
  <c r="I18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L23" i="1"/>
  <c r="L22" i="1"/>
  <c r="L21" i="1"/>
  <c r="I23" i="1"/>
  <c r="I22" i="1"/>
  <c r="I21" i="1"/>
  <c r="F23" i="1"/>
  <c r="F22" i="1"/>
  <c r="F21" i="1"/>
  <c r="L19" i="1"/>
  <c r="I19" i="1"/>
  <c r="F19" i="1"/>
  <c r="L17" i="1"/>
  <c r="J17" i="1"/>
  <c r="I17" i="1"/>
  <c r="G17" i="1"/>
  <c r="F17" i="1"/>
  <c r="D17" i="1"/>
  <c r="L15" i="1"/>
  <c r="J15" i="1"/>
  <c r="I15" i="1"/>
  <c r="G15" i="1"/>
  <c r="F15" i="1"/>
  <c r="D15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L5" i="1"/>
  <c r="I5" i="1"/>
  <c r="F5" i="1"/>
  <c r="S96" i="1" l="1"/>
  <c r="L194" i="1"/>
  <c r="R96" i="1"/>
  <c r="N19" i="1"/>
  <c r="S19" i="1"/>
  <c r="N57" i="1"/>
  <c r="S57" i="1"/>
  <c r="N58" i="1"/>
  <c r="S58" i="1"/>
  <c r="S193" i="1"/>
  <c r="S194" i="1" s="1"/>
  <c r="M6" i="1"/>
  <c r="R6" i="1"/>
  <c r="S60" i="1"/>
  <c r="N60" i="1"/>
  <c r="J313" i="1"/>
  <c r="S61" i="1"/>
  <c r="N61" i="1"/>
  <c r="N51" i="1"/>
  <c r="S51" i="1"/>
  <c r="N62" i="1"/>
  <c r="S62" i="1"/>
  <c r="N12" i="1"/>
  <c r="S12" i="1"/>
  <c r="N50" i="1"/>
  <c r="S50" i="1"/>
  <c r="N37" i="1"/>
  <c r="S37" i="1"/>
  <c r="N15" i="1"/>
  <c r="S15" i="1"/>
  <c r="N63" i="1"/>
  <c r="S63" i="1"/>
  <c r="N34" i="1"/>
  <c r="S34" i="1"/>
  <c r="N36" i="1"/>
  <c r="S36" i="1"/>
  <c r="R10" i="1"/>
  <c r="M10" i="1"/>
  <c r="N40" i="1"/>
  <c r="S40" i="1"/>
  <c r="N64" i="1"/>
  <c r="S64" i="1"/>
  <c r="N59" i="1"/>
  <c r="S59" i="1"/>
  <c r="N39" i="1"/>
  <c r="S39" i="1"/>
  <c r="N22" i="1"/>
  <c r="S22" i="1"/>
  <c r="N52" i="1"/>
  <c r="S52" i="1"/>
  <c r="S65" i="1"/>
  <c r="N65" i="1"/>
  <c r="N33" i="1"/>
  <c r="S33" i="1"/>
  <c r="M8" i="1"/>
  <c r="R8" i="1"/>
  <c r="M12" i="1"/>
  <c r="R12" i="1"/>
  <c r="N23" i="1"/>
  <c r="S23" i="1"/>
  <c r="N47" i="1"/>
  <c r="S47" i="1"/>
  <c r="N66" i="1"/>
  <c r="S66" i="1"/>
  <c r="M15" i="1"/>
  <c r="R15" i="1"/>
  <c r="N6" i="1"/>
  <c r="S6" i="1"/>
  <c r="N42" i="1"/>
  <c r="S42" i="1"/>
  <c r="N67" i="1"/>
  <c r="S67" i="1"/>
  <c r="O313" i="1"/>
  <c r="R308" i="1"/>
  <c r="R11" i="1"/>
  <c r="M11" i="1"/>
  <c r="N7" i="1"/>
  <c r="S7" i="1"/>
  <c r="M17" i="1"/>
  <c r="R17" i="1"/>
  <c r="N53" i="1"/>
  <c r="S53" i="1"/>
  <c r="N69" i="1"/>
  <c r="S69" i="1"/>
  <c r="N8" i="1"/>
  <c r="S8" i="1"/>
  <c r="N17" i="1"/>
  <c r="S17" i="1"/>
  <c r="S48" i="1"/>
  <c r="N48" i="1"/>
  <c r="N70" i="1"/>
  <c r="S70" i="1"/>
  <c r="S44" i="1"/>
  <c r="N44" i="1"/>
  <c r="N45" i="1"/>
  <c r="S45" i="1"/>
  <c r="N46" i="1"/>
  <c r="S46" i="1"/>
  <c r="S9" i="1"/>
  <c r="N9" i="1"/>
  <c r="S43" i="1"/>
  <c r="N43" i="1"/>
  <c r="N71" i="1"/>
  <c r="S71" i="1"/>
  <c r="N21" i="1"/>
  <c r="S21" i="1"/>
  <c r="S10" i="1"/>
  <c r="N10" i="1"/>
  <c r="N31" i="1"/>
  <c r="S31" i="1"/>
  <c r="N55" i="1"/>
  <c r="S55" i="1"/>
  <c r="N35" i="1"/>
  <c r="S35" i="1"/>
  <c r="M7" i="1"/>
  <c r="R7" i="1"/>
  <c r="N38" i="1"/>
  <c r="S38" i="1"/>
  <c r="R9" i="1"/>
  <c r="M9" i="1"/>
  <c r="S11" i="1"/>
  <c r="N11" i="1"/>
  <c r="N32" i="1"/>
  <c r="S32" i="1"/>
  <c r="N49" i="1"/>
  <c r="S49" i="1"/>
  <c r="N56" i="1"/>
  <c r="S56" i="1"/>
  <c r="L313" i="1"/>
  <c r="S308" i="1"/>
  <c r="S309" i="1" s="1"/>
  <c r="L398" i="1"/>
  <c r="I398" i="1"/>
  <c r="H286" i="1"/>
  <c r="P286" i="1"/>
  <c r="K308" i="1"/>
  <c r="Q398" i="1"/>
  <c r="Q352" i="1"/>
  <c r="P308" i="1"/>
  <c r="H313" i="1"/>
  <c r="H308" i="1"/>
  <c r="Q194" i="1"/>
  <c r="P209" i="1"/>
  <c r="M13" i="1" l="1"/>
  <c r="S13" i="1"/>
  <c r="S14" i="1" s="1"/>
  <c r="R313" i="1"/>
  <c r="K313" i="1"/>
  <c r="S54" i="1"/>
  <c r="S313" i="1"/>
  <c r="S314" i="1" s="1"/>
  <c r="K329" i="1"/>
  <c r="P313" i="1"/>
  <c r="N54" i="1"/>
  <c r="N13" i="1"/>
  <c r="R13" i="1"/>
  <c r="R14" i="1" s="1"/>
  <c r="AL476" i="1"/>
  <c r="AF476" i="1"/>
  <c r="AO476" i="1" l="1"/>
  <c r="AN476" i="1"/>
  <c r="AL471" i="1"/>
  <c r="Z476" i="1"/>
  <c r="AH476" i="1" s="1"/>
  <c r="AI476" i="1" s="1"/>
  <c r="AO471" i="1" l="1"/>
  <c r="AF477" i="1"/>
  <c r="AL479" i="1"/>
  <c r="AL426" i="1" l="1"/>
  <c r="Z470" i="1"/>
  <c r="AL472" i="1"/>
  <c r="AL423" i="1"/>
  <c r="AL430" i="1"/>
  <c r="AL428" i="1"/>
  <c r="AF473" i="1"/>
  <c r="AL431" i="1"/>
  <c r="Z473" i="1"/>
  <c r="AF475" i="1"/>
  <c r="Z471" i="1"/>
  <c r="AL429" i="1"/>
  <c r="AF469" i="1"/>
  <c r="AF471" i="1"/>
  <c r="Z475" i="1"/>
  <c r="AF431" i="1"/>
  <c r="AF470" i="1"/>
  <c r="Z474" i="1"/>
  <c r="AL470" i="1"/>
  <c r="AF472" i="1"/>
  <c r="Z479" i="1"/>
  <c r="AL427" i="1"/>
  <c r="AL469" i="1"/>
  <c r="AL420" i="1"/>
  <c r="Z472" i="1"/>
  <c r="AF474" i="1"/>
  <c r="AL421" i="1"/>
  <c r="AL473" i="1"/>
  <c r="AL474" i="1"/>
  <c r="AF478" i="1"/>
  <c r="Z469" i="1"/>
  <c r="AL422" i="1"/>
  <c r="AO474" i="1" l="1"/>
  <c r="AN428" i="1"/>
  <c r="AO428" i="1" s="1"/>
  <c r="AN422" i="1"/>
  <c r="AO422" i="1" s="1"/>
  <c r="AN420" i="1"/>
  <c r="AO420" i="1" s="1"/>
  <c r="AN427" i="1"/>
  <c r="AO427" i="1" s="1"/>
  <c r="AO472" i="1"/>
  <c r="AN430" i="1"/>
  <c r="AO430" i="1" s="1"/>
  <c r="AH471" i="1"/>
  <c r="AI471" i="1" s="1"/>
  <c r="AN471" i="1"/>
  <c r="AN474" i="1"/>
  <c r="AH474" i="1"/>
  <c r="AI474" i="1" s="1"/>
  <c r="AO473" i="1"/>
  <c r="AH469" i="1"/>
  <c r="AI469" i="1" s="1"/>
  <c r="AN469" i="1"/>
  <c r="AO469" i="1" s="1"/>
  <c r="AH472" i="1"/>
  <c r="AI472" i="1" s="1"/>
  <c r="AN472" i="1"/>
  <c r="AN423" i="1"/>
  <c r="AO423" i="1" s="1"/>
  <c r="AH470" i="1"/>
  <c r="AI470" i="1" s="1"/>
  <c r="AN470" i="1"/>
  <c r="AO470" i="1" s="1"/>
  <c r="AO426" i="1"/>
  <c r="AN426" i="1"/>
  <c r="AN429" i="1"/>
  <c r="AO429" i="1" s="1"/>
  <c r="AH475" i="1"/>
  <c r="AI475" i="1" s="1"/>
  <c r="AN473" i="1"/>
  <c r="AH473" i="1"/>
  <c r="AI473" i="1" s="1"/>
  <c r="AN421" i="1"/>
  <c r="AO421" i="1" s="1"/>
  <c r="AL475" i="1"/>
  <c r="AL478" i="1"/>
  <c r="AL425" i="1"/>
  <c r="AL477" i="1"/>
  <c r="AL424" i="1"/>
  <c r="Z478" i="1"/>
  <c r="AH478" i="1" s="1"/>
  <c r="AI478" i="1" s="1"/>
  <c r="Z431" i="1"/>
  <c r="AI431" i="1" s="1"/>
  <c r="O13" i="2"/>
  <c r="AO478" i="1" l="1"/>
  <c r="AO475" i="1"/>
  <c r="AH431" i="1"/>
  <c r="AO477" i="1"/>
  <c r="AN477" i="1"/>
  <c r="AO425" i="1"/>
  <c r="AN425" i="1"/>
  <c r="AN478" i="1"/>
  <c r="AO424" i="1"/>
  <c r="AN424" i="1"/>
  <c r="AN475" i="1"/>
  <c r="O10" i="2"/>
  <c r="Z481" i="1"/>
  <c r="Z477" i="1"/>
  <c r="AH477" i="1" s="1"/>
  <c r="AI477" i="1" s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E311" i="1"/>
  <c r="A311" i="1"/>
  <c r="A310" i="1"/>
  <c r="A309" i="1"/>
  <c r="A308" i="1"/>
  <c r="E307" i="1"/>
  <c r="A307" i="1"/>
  <c r="A306" i="1"/>
  <c r="A305" i="1"/>
  <c r="A304" i="1"/>
  <c r="A303" i="1"/>
  <c r="E302" i="1"/>
  <c r="A302" i="1"/>
  <c r="A301" i="1"/>
  <c r="A300" i="1"/>
  <c r="E299" i="1"/>
  <c r="A299" i="1"/>
  <c r="E298" i="1"/>
  <c r="A298" i="1"/>
  <c r="A297" i="1"/>
  <c r="E296" i="1"/>
  <c r="A296" i="1"/>
  <c r="A295" i="1"/>
  <c r="A294" i="1"/>
  <c r="A293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L265" i="1"/>
  <c r="A253" i="1"/>
  <c r="A252" i="1"/>
  <c r="A251" i="1"/>
  <c r="A250" i="1"/>
  <c r="A249" i="1"/>
  <c r="A248" i="1"/>
  <c r="F247" i="1"/>
  <c r="A247" i="1"/>
  <c r="L247" i="1"/>
  <c r="A246" i="1"/>
  <c r="A245" i="1"/>
  <c r="A244" i="1"/>
  <c r="K249" i="1"/>
  <c r="A243" i="1"/>
  <c r="A242" i="1"/>
  <c r="A241" i="1"/>
  <c r="A240" i="1"/>
  <c r="A239" i="1"/>
  <c r="A238" i="1"/>
  <c r="A227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F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F178" i="1"/>
  <c r="N178" i="1" s="1"/>
  <c r="A177" i="1"/>
  <c r="A176" i="1"/>
  <c r="A175" i="1"/>
  <c r="A174" i="1"/>
  <c r="E173" i="1"/>
  <c r="A173" i="1"/>
  <c r="A172" i="1"/>
  <c r="A171" i="1"/>
  <c r="A170" i="1"/>
  <c r="L162" i="1"/>
  <c r="A161" i="1"/>
  <c r="A160" i="1"/>
  <c r="A159" i="1"/>
  <c r="A158" i="1"/>
  <c r="A157" i="1"/>
  <c r="A156" i="1"/>
  <c r="Q162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Q152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Q121" i="1"/>
  <c r="A111" i="1"/>
  <c r="A110" i="1"/>
  <c r="A109" i="1"/>
  <c r="A108" i="1"/>
  <c r="A107" i="1"/>
  <c r="A106" i="1"/>
  <c r="A105" i="1"/>
  <c r="L104" i="1"/>
  <c r="A104" i="1"/>
  <c r="E103" i="1"/>
  <c r="A103" i="1"/>
  <c r="H103" i="1" s="1"/>
  <c r="A102" i="1"/>
  <c r="H101" i="1"/>
  <c r="F104" i="1"/>
  <c r="E101" i="1"/>
  <c r="A101" i="1"/>
  <c r="A100" i="1"/>
  <c r="A99" i="1"/>
  <c r="A98" i="1"/>
  <c r="H97" i="1"/>
  <c r="E97" i="1"/>
  <c r="A97" i="1"/>
  <c r="O96" i="1"/>
  <c r="J96" i="1"/>
  <c r="I96" i="1"/>
  <c r="A96" i="1"/>
  <c r="A95" i="1"/>
  <c r="Q96" i="1"/>
  <c r="S97" i="1" s="1"/>
  <c r="L96" i="1"/>
  <c r="G96" i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B40" i="1"/>
  <c r="A40" i="1" s="1"/>
  <c r="K39" i="1"/>
  <c r="B39" i="1"/>
  <c r="B38" i="1"/>
  <c r="A38" i="1"/>
  <c r="B37" i="1"/>
  <c r="A37" i="1" s="1"/>
  <c r="B36" i="1"/>
  <c r="A36" i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K17" i="1"/>
  <c r="E17" i="1"/>
  <c r="B17" i="1"/>
  <c r="A17" i="1" s="1"/>
  <c r="B16" i="1"/>
  <c r="A16" i="1" s="1"/>
  <c r="K15" i="1"/>
  <c r="B15" i="1"/>
  <c r="B14" i="1"/>
  <c r="A14" i="1" s="1"/>
  <c r="J13" i="1"/>
  <c r="B13" i="1"/>
  <c r="A13" i="1" s="1"/>
  <c r="K12" i="1"/>
  <c r="B12" i="1"/>
  <c r="A12" i="1" s="1"/>
  <c r="K11" i="1"/>
  <c r="B11" i="1"/>
  <c r="K10" i="1"/>
  <c r="B10" i="1"/>
  <c r="A10" i="1" s="1"/>
  <c r="K9" i="1"/>
  <c r="B9" i="1"/>
  <c r="K8" i="1"/>
  <c r="B8" i="1"/>
  <c r="A8" i="1" s="1"/>
  <c r="K7" i="1"/>
  <c r="B7" i="1"/>
  <c r="K6" i="1"/>
  <c r="B6" i="1"/>
  <c r="A6" i="1" s="1"/>
  <c r="B5" i="1"/>
  <c r="A5" i="1" s="1"/>
  <c r="AO484" i="1" l="1"/>
  <c r="S167" i="1"/>
  <c r="S290" i="1"/>
  <c r="S235" i="1"/>
  <c r="S265" i="1"/>
  <c r="N96" i="1"/>
  <c r="N97" i="1" s="1"/>
  <c r="J107" i="1"/>
  <c r="N104" i="1"/>
  <c r="N105" i="1" s="1"/>
  <c r="O107" i="1"/>
  <c r="R97" i="1"/>
  <c r="A7" i="1"/>
  <c r="I10" i="2"/>
  <c r="L107" i="1"/>
  <c r="A21" i="1"/>
  <c r="J111" i="1"/>
  <c r="K114" i="1"/>
  <c r="K22" i="1"/>
  <c r="R22" i="1" s="1"/>
  <c r="A23" i="1"/>
  <c r="A33" i="1"/>
  <c r="A15" i="1"/>
  <c r="E361" i="1"/>
  <c r="K96" i="1"/>
  <c r="K23" i="1"/>
  <c r="R23" i="1" s="1"/>
  <c r="K21" i="1"/>
  <c r="R21" i="1" s="1"/>
  <c r="H114" i="1"/>
  <c r="G104" i="1"/>
  <c r="H116" i="1"/>
  <c r="H96" i="1"/>
  <c r="G107" i="1"/>
  <c r="H6" i="1"/>
  <c r="H22" i="1"/>
  <c r="A32" i="1"/>
  <c r="A44" i="1"/>
  <c r="A52" i="1"/>
  <c r="A76" i="1"/>
  <c r="D96" i="1"/>
  <c r="M96" i="1" s="1"/>
  <c r="M97" i="1" s="1"/>
  <c r="E95" i="1"/>
  <c r="V484" i="1"/>
  <c r="A484" i="1" s="1"/>
  <c r="V401" i="1"/>
  <c r="C290" i="1"/>
  <c r="C355" i="1" s="1"/>
  <c r="C235" i="1"/>
  <c r="C167" i="1"/>
  <c r="C89" i="1"/>
  <c r="A81" i="1"/>
  <c r="K101" i="1"/>
  <c r="R101" i="1" s="1"/>
  <c r="K117" i="1"/>
  <c r="A9" i="1"/>
  <c r="H17" i="1"/>
  <c r="E21" i="1"/>
  <c r="I24" i="1"/>
  <c r="E23" i="1"/>
  <c r="J24" i="1"/>
  <c r="A39" i="1"/>
  <c r="A46" i="1"/>
  <c r="F72" i="1"/>
  <c r="A78" i="1"/>
  <c r="P102" i="1"/>
  <c r="O104" i="1"/>
  <c r="P103" i="1"/>
  <c r="P96" i="1"/>
  <c r="P101" i="1"/>
  <c r="K102" i="1"/>
  <c r="R102" i="1" s="1"/>
  <c r="I121" i="1"/>
  <c r="G111" i="1"/>
  <c r="H119" i="1"/>
  <c r="E12" i="1"/>
  <c r="K103" i="1"/>
  <c r="R103" i="1" s="1"/>
  <c r="AO401" i="1"/>
  <c r="S355" i="1"/>
  <c r="A11" i="1"/>
  <c r="A19" i="1"/>
  <c r="F24" i="1"/>
  <c r="H23" i="1"/>
  <c r="J27" i="1"/>
  <c r="L41" i="1"/>
  <c r="A35" i="1"/>
  <c r="A80" i="1"/>
  <c r="E94" i="1"/>
  <c r="Q104" i="1"/>
  <c r="Q107" i="1" s="1"/>
  <c r="J104" i="1"/>
  <c r="H111" i="1"/>
  <c r="H115" i="1"/>
  <c r="A77" i="1"/>
  <c r="F107" i="1"/>
  <c r="H113" i="1"/>
  <c r="K38" i="1"/>
  <c r="A42" i="1"/>
  <c r="A82" i="1"/>
  <c r="S89" i="1"/>
  <c r="H102" i="1"/>
  <c r="L121" i="1"/>
  <c r="H112" i="1"/>
  <c r="E10" i="1"/>
  <c r="A79" i="1"/>
  <c r="K119" i="1"/>
  <c r="P118" i="1"/>
  <c r="P119" i="1"/>
  <c r="K116" i="1"/>
  <c r="P115" i="1"/>
  <c r="K120" i="1"/>
  <c r="K113" i="1"/>
  <c r="P112" i="1"/>
  <c r="K111" i="1"/>
  <c r="K118" i="1"/>
  <c r="P117" i="1"/>
  <c r="K115" i="1"/>
  <c r="P114" i="1"/>
  <c r="P120" i="1"/>
  <c r="P116" i="1"/>
  <c r="E102" i="1"/>
  <c r="P111" i="1"/>
  <c r="K112" i="1"/>
  <c r="P113" i="1"/>
  <c r="H117" i="1"/>
  <c r="H118" i="1"/>
  <c r="L134" i="1"/>
  <c r="E184" i="1"/>
  <c r="M184" i="1" s="1"/>
  <c r="L241" i="1"/>
  <c r="J112" i="1"/>
  <c r="Q134" i="1"/>
  <c r="I152" i="1"/>
  <c r="F172" i="1"/>
  <c r="F134" i="1"/>
  <c r="F249" i="1"/>
  <c r="F244" i="1"/>
  <c r="Q228" i="1"/>
  <c r="F228" i="1"/>
  <c r="M361" i="1"/>
  <c r="F175" i="1"/>
  <c r="E249" i="1"/>
  <c r="E300" i="1"/>
  <c r="S359" i="1"/>
  <c r="N359" i="1"/>
  <c r="F265" i="1"/>
  <c r="N265" i="1" s="1"/>
  <c r="F162" i="1"/>
  <c r="N369" i="1"/>
  <c r="S393" i="1"/>
  <c r="N393" i="1"/>
  <c r="AF465" i="1"/>
  <c r="E297" i="1"/>
  <c r="E306" i="1"/>
  <c r="F348" i="1"/>
  <c r="E359" i="1"/>
  <c r="S366" i="1"/>
  <c r="N373" i="1"/>
  <c r="S374" i="1"/>
  <c r="N378" i="1"/>
  <c r="N386" i="1"/>
  <c r="N367" i="1"/>
  <c r="N375" i="1"/>
  <c r="F376" i="1"/>
  <c r="N372" i="1"/>
  <c r="N377" i="1"/>
  <c r="N379" i="1"/>
  <c r="F394" i="1"/>
  <c r="E394" i="1" s="1"/>
  <c r="E301" i="1"/>
  <c r="F329" i="1"/>
  <c r="N329" i="1" s="1"/>
  <c r="S382" i="1"/>
  <c r="N382" i="1"/>
  <c r="S385" i="1"/>
  <c r="N385" i="1"/>
  <c r="N371" i="1"/>
  <c r="S377" i="1"/>
  <c r="N370" i="1"/>
  <c r="N381" i="1"/>
  <c r="N384" i="1"/>
  <c r="N392" i="1"/>
  <c r="AL465" i="1"/>
  <c r="N390" i="1"/>
  <c r="Z465" i="1"/>
  <c r="AI465" i="1" s="1"/>
  <c r="AO465" i="1" l="1"/>
  <c r="S104" i="1"/>
  <c r="S105" i="1" s="1"/>
  <c r="R27" i="1"/>
  <c r="R28" i="1" s="1"/>
  <c r="S107" i="1"/>
  <c r="S108" i="1" s="1"/>
  <c r="N107" i="1"/>
  <c r="N108" i="1" s="1"/>
  <c r="S41" i="1"/>
  <c r="S134" i="1"/>
  <c r="N134" i="1"/>
  <c r="R107" i="1"/>
  <c r="R108" i="1" s="1"/>
  <c r="S121" i="1"/>
  <c r="P107" i="1"/>
  <c r="E193" i="1"/>
  <c r="E113" i="1"/>
  <c r="K31" i="1"/>
  <c r="E120" i="1"/>
  <c r="K35" i="1"/>
  <c r="E134" i="1"/>
  <c r="E119" i="1"/>
  <c r="E115" i="1"/>
  <c r="E118" i="1"/>
  <c r="AE410" i="1"/>
  <c r="AL448" i="1"/>
  <c r="AE411" i="1"/>
  <c r="AF416" i="1"/>
  <c r="AL435" i="1"/>
  <c r="P152" i="1"/>
  <c r="P121" i="1"/>
  <c r="F350" i="1"/>
  <c r="F396" i="1"/>
  <c r="E376" i="1"/>
  <c r="F230" i="1"/>
  <c r="E265" i="1"/>
  <c r="N361" i="1"/>
  <c r="S361" i="1"/>
  <c r="S362" i="1" s="1"/>
  <c r="P134" i="1"/>
  <c r="L244" i="1"/>
  <c r="K265" i="1"/>
  <c r="L249" i="1"/>
  <c r="F250" i="1"/>
  <c r="H12" i="1"/>
  <c r="H15" i="1"/>
  <c r="E111" i="1"/>
  <c r="F121" i="1"/>
  <c r="N121" i="1" s="1"/>
  <c r="I13" i="1"/>
  <c r="AL442" i="1"/>
  <c r="AL434" i="1"/>
  <c r="AL414" i="1"/>
  <c r="AL433" i="1"/>
  <c r="AL410" i="1"/>
  <c r="N394" i="1"/>
  <c r="F241" i="1"/>
  <c r="E11" i="1"/>
  <c r="AF415" i="1"/>
  <c r="AL439" i="1"/>
  <c r="E117" i="1"/>
  <c r="Q230" i="1"/>
  <c r="K134" i="1"/>
  <c r="K33" i="1"/>
  <c r="K36" i="1"/>
  <c r="S376" i="1"/>
  <c r="N376" i="1"/>
  <c r="F184" i="1"/>
  <c r="N184" i="1" s="1"/>
  <c r="N185" i="1" s="1"/>
  <c r="H120" i="1"/>
  <c r="I134" i="1"/>
  <c r="H7" i="1"/>
  <c r="H8" i="1"/>
  <c r="AL409" i="1"/>
  <c r="AL417" i="1"/>
  <c r="AL416" i="1"/>
  <c r="AL413" i="1"/>
  <c r="AL449" i="1"/>
  <c r="Q154" i="1"/>
  <c r="P154" i="1" s="1"/>
  <c r="K37" i="1"/>
  <c r="E295" i="1"/>
  <c r="F284" i="1"/>
  <c r="E284" i="1" s="1"/>
  <c r="I228" i="1"/>
  <c r="F188" i="1"/>
  <c r="L13" i="1"/>
  <c r="E7" i="1"/>
  <c r="L54" i="1"/>
  <c r="AL450" i="1"/>
  <c r="AL440" i="1"/>
  <c r="AL445" i="1"/>
  <c r="AF417" i="1"/>
  <c r="I104" i="1"/>
  <c r="H104" i="1" s="1"/>
  <c r="K34" i="1"/>
  <c r="E15" i="1"/>
  <c r="E6" i="1"/>
  <c r="F303" i="1"/>
  <c r="I350" i="1"/>
  <c r="H350" i="1" s="1"/>
  <c r="AL405" i="1"/>
  <c r="K104" i="1"/>
  <c r="AL436" i="1"/>
  <c r="AL412" i="1"/>
  <c r="AL408" i="1"/>
  <c r="AL446" i="1"/>
  <c r="AL437" i="1"/>
  <c r="AL444" i="1"/>
  <c r="K32" i="1"/>
  <c r="E9" i="1"/>
  <c r="G13" i="1"/>
  <c r="E294" i="1"/>
  <c r="D303" i="1"/>
  <c r="M303" i="1" s="1"/>
  <c r="F181" i="1"/>
  <c r="E8" i="1"/>
  <c r="P104" i="1"/>
  <c r="H10" i="1"/>
  <c r="L24" i="1"/>
  <c r="AL438" i="1"/>
  <c r="D107" i="1"/>
  <c r="M107" i="1" s="1"/>
  <c r="M108" i="1" s="1"/>
  <c r="E96" i="1"/>
  <c r="E114" i="1"/>
  <c r="E112" i="1"/>
  <c r="E116" i="1"/>
  <c r="D104" i="1"/>
  <c r="M104" i="1" s="1"/>
  <c r="F41" i="1"/>
  <c r="N41" i="1" s="1"/>
  <c r="K121" i="1"/>
  <c r="S394" i="1"/>
  <c r="F152" i="1"/>
  <c r="E152" i="1" s="1"/>
  <c r="I162" i="1"/>
  <c r="K107" i="1"/>
  <c r="F13" i="1"/>
  <c r="N14" i="1" s="1"/>
  <c r="AL415" i="1"/>
  <c r="AL443" i="1"/>
  <c r="AL411" i="1"/>
  <c r="AL441" i="1"/>
  <c r="AN441" i="1" l="1"/>
  <c r="AO441" i="1" s="1"/>
  <c r="AN414" i="1"/>
  <c r="AO414" i="1" s="1"/>
  <c r="AN436" i="1"/>
  <c r="AO436" i="1" s="1"/>
  <c r="AN411" i="1"/>
  <c r="AO411" i="1" s="1"/>
  <c r="AN443" i="1"/>
  <c r="AO443" i="1" s="1"/>
  <c r="AN408" i="1"/>
  <c r="AO408" i="1" s="1"/>
  <c r="AO415" i="1"/>
  <c r="AN412" i="1"/>
  <c r="AO412" i="1" s="1"/>
  <c r="AN435" i="1"/>
  <c r="AO435" i="1" s="1"/>
  <c r="AN437" i="1"/>
  <c r="AO437" i="1" s="1"/>
  <c r="AN439" i="1"/>
  <c r="AO439" i="1" s="1"/>
  <c r="AO416" i="1"/>
  <c r="AN413" i="1"/>
  <c r="AO413" i="1" s="1"/>
  <c r="AO417" i="1"/>
  <c r="AN445" i="1"/>
  <c r="AO445" i="1" s="1"/>
  <c r="AN444" i="1"/>
  <c r="AO444" i="1" s="1"/>
  <c r="AN410" i="1"/>
  <c r="AO410" i="1" s="1"/>
  <c r="N249" i="1"/>
  <c r="N250" i="1" s="1"/>
  <c r="S249" i="1"/>
  <c r="S250" i="1" s="1"/>
  <c r="AN415" i="1"/>
  <c r="AO448" i="1"/>
  <c r="AN448" i="1"/>
  <c r="AN409" i="1"/>
  <c r="AO409" i="1" s="1"/>
  <c r="AN440" i="1"/>
  <c r="AO440" i="1" s="1"/>
  <c r="AO450" i="1"/>
  <c r="AN450" i="1"/>
  <c r="AN446" i="1"/>
  <c r="AO446" i="1" s="1"/>
  <c r="AN433" i="1"/>
  <c r="AN417" i="1"/>
  <c r="AN434" i="1"/>
  <c r="AO434" i="1" s="1"/>
  <c r="AN442" i="1"/>
  <c r="AO442" i="1" s="1"/>
  <c r="AN438" i="1"/>
  <c r="AO438" i="1" s="1"/>
  <c r="S24" i="1"/>
  <c r="S25" i="1" s="1"/>
  <c r="N24" i="1"/>
  <c r="N25" i="1" s="1"/>
  <c r="F308" i="1"/>
  <c r="N308" i="1" s="1"/>
  <c r="N309" i="1" s="1"/>
  <c r="N303" i="1"/>
  <c r="N304" i="1" s="1"/>
  <c r="AO449" i="1"/>
  <c r="AN449" i="1"/>
  <c r="AE416" i="1"/>
  <c r="AN416" i="1"/>
  <c r="K24" i="1"/>
  <c r="N9" i="2"/>
  <c r="N8" i="2" s="1"/>
  <c r="F27" i="1"/>
  <c r="E41" i="1" s="1"/>
  <c r="K13" i="1"/>
  <c r="E107" i="1"/>
  <c r="E104" i="1"/>
  <c r="S398" i="1"/>
  <c r="G27" i="1"/>
  <c r="H13" i="1"/>
  <c r="G24" i="1"/>
  <c r="AE415" i="1"/>
  <c r="AE409" i="1"/>
  <c r="Q164" i="1"/>
  <c r="AK411" i="1"/>
  <c r="I54" i="1"/>
  <c r="G112" i="1"/>
  <c r="I107" i="1"/>
  <c r="H134" i="1" s="1"/>
  <c r="F193" i="1"/>
  <c r="N193" i="1" s="1"/>
  <c r="N194" i="1" s="1"/>
  <c r="F185" i="1"/>
  <c r="P230" i="1"/>
  <c r="Z417" i="1"/>
  <c r="AI417" i="1" s="1"/>
  <c r="I27" i="1"/>
  <c r="I166" i="1" s="1"/>
  <c r="F54" i="1"/>
  <c r="J32" i="1"/>
  <c r="AK412" i="1"/>
  <c r="D13" i="1"/>
  <c r="M14" i="1" s="1"/>
  <c r="AE417" i="1"/>
  <c r="AK413" i="1"/>
  <c r="AK417" i="1"/>
  <c r="H11" i="1"/>
  <c r="AK414" i="1"/>
  <c r="H228" i="1"/>
  <c r="AE414" i="1"/>
  <c r="AE413" i="1"/>
  <c r="L250" i="1"/>
  <c r="AF432" i="1"/>
  <c r="AL432" i="1"/>
  <c r="L27" i="1"/>
  <c r="J31" i="1"/>
  <c r="Z416" i="1"/>
  <c r="AI416" i="1" s="1"/>
  <c r="AK410" i="1"/>
  <c r="F154" i="1"/>
  <c r="E121" i="1"/>
  <c r="H9" i="1"/>
  <c r="AK415" i="1"/>
  <c r="I83" i="1"/>
  <c r="AE408" i="1"/>
  <c r="AF418" i="1"/>
  <c r="Z451" i="1"/>
  <c r="AI451" i="1" s="1"/>
  <c r="Z415" i="1"/>
  <c r="AI415" i="1" s="1"/>
  <c r="E303" i="1"/>
  <c r="D308" i="1"/>
  <c r="AK408" i="1"/>
  <c r="AL418" i="1"/>
  <c r="AK416" i="1"/>
  <c r="S396" i="1"/>
  <c r="N396" i="1"/>
  <c r="I352" i="1"/>
  <c r="F286" i="1"/>
  <c r="E286" i="1" s="1"/>
  <c r="Z480" i="1"/>
  <c r="F83" i="1"/>
  <c r="I41" i="1"/>
  <c r="AK409" i="1"/>
  <c r="AE412" i="1"/>
  <c r="I154" i="1"/>
  <c r="AL480" i="1"/>
  <c r="I230" i="1"/>
  <c r="H230" i="1" s="1"/>
  <c r="E396" i="1"/>
  <c r="F398" i="1"/>
  <c r="M249" i="1" l="1"/>
  <c r="R249" i="1"/>
  <c r="AN432" i="1"/>
  <c r="AO432" i="1" s="1"/>
  <c r="AO433" i="1"/>
  <c r="F313" i="1"/>
  <c r="N27" i="1"/>
  <c r="S27" i="1"/>
  <c r="AN418" i="1"/>
  <c r="AO418" i="1" s="1"/>
  <c r="AH416" i="1"/>
  <c r="D313" i="1"/>
  <c r="M308" i="1"/>
  <c r="AH417" i="1"/>
  <c r="AH415" i="1"/>
  <c r="H39" i="1"/>
  <c r="G42" i="1"/>
  <c r="G55" i="1"/>
  <c r="AF406" i="1"/>
  <c r="E54" i="1"/>
  <c r="E72" i="1"/>
  <c r="H35" i="1"/>
  <c r="K27" i="1"/>
  <c r="H154" i="1"/>
  <c r="H32" i="1"/>
  <c r="E350" i="1"/>
  <c r="E348" i="1"/>
  <c r="Y408" i="1"/>
  <c r="AG408" i="1" s="1"/>
  <c r="Y412" i="1"/>
  <c r="AG412" i="1" s="1"/>
  <c r="E230" i="1"/>
  <c r="H54" i="1"/>
  <c r="Y415" i="1"/>
  <c r="AM415" i="1" s="1"/>
  <c r="K54" i="1"/>
  <c r="Y413" i="1"/>
  <c r="AG413" i="1" s="1"/>
  <c r="Z432" i="1"/>
  <c r="AH432" i="1" s="1"/>
  <c r="AI432" i="1" s="1"/>
  <c r="AL406" i="1"/>
  <c r="Z418" i="1"/>
  <c r="AH418" i="1" s="1"/>
  <c r="AI418" i="1" s="1"/>
  <c r="N398" i="1"/>
  <c r="I74" i="1"/>
  <c r="I85" i="1" s="1"/>
  <c r="H41" i="1"/>
  <c r="E154" i="1"/>
  <c r="F164" i="1"/>
  <c r="Y416" i="1"/>
  <c r="AM416" i="1" s="1"/>
  <c r="I232" i="1"/>
  <c r="G9" i="2"/>
  <c r="G8" i="2" s="1"/>
  <c r="H72" i="1"/>
  <c r="F232" i="1"/>
  <c r="F194" i="1"/>
  <c r="M193" i="1" s="1"/>
  <c r="E228" i="1"/>
  <c r="E209" i="1"/>
  <c r="H33" i="1"/>
  <c r="H40" i="1"/>
  <c r="H24" i="1"/>
  <c r="H37" i="1"/>
  <c r="H38" i="1"/>
  <c r="H34" i="1"/>
  <c r="H31" i="1"/>
  <c r="H36" i="1"/>
  <c r="F74" i="1"/>
  <c r="Y409" i="1"/>
  <c r="AG409" i="1" s="1"/>
  <c r="Q232" i="1"/>
  <c r="P228" i="1"/>
  <c r="K41" i="1"/>
  <c r="D27" i="1"/>
  <c r="M27" i="1" s="1"/>
  <c r="M28" i="1" s="1"/>
  <c r="E13" i="1"/>
  <c r="Y414" i="1"/>
  <c r="AM414" i="1" s="1"/>
  <c r="D24" i="1"/>
  <c r="Y410" i="1"/>
  <c r="Y411" i="1"/>
  <c r="E308" i="1"/>
  <c r="AF405" i="1"/>
  <c r="I164" i="1"/>
  <c r="H121" i="1"/>
  <c r="H152" i="1"/>
  <c r="H107" i="1"/>
  <c r="F288" i="1"/>
  <c r="Y417" i="1"/>
  <c r="AG417" i="1" s="1"/>
  <c r="H27" i="1"/>
  <c r="AG415" i="1" l="1"/>
  <c r="AM409" i="1"/>
  <c r="AM412" i="1"/>
  <c r="AM413" i="1"/>
  <c r="AG416" i="1"/>
  <c r="AG411" i="1"/>
  <c r="AM411" i="1"/>
  <c r="F352" i="1"/>
  <c r="N313" i="1"/>
  <c r="N314" i="1" s="1"/>
  <c r="AM417" i="1"/>
  <c r="AM408" i="1"/>
  <c r="M24" i="1"/>
  <c r="N28" i="1"/>
  <c r="AN406" i="1"/>
  <c r="AO406" i="1" s="1"/>
  <c r="AH406" i="1"/>
  <c r="AI406" i="1" s="1"/>
  <c r="E329" i="1"/>
  <c r="AG414" i="1"/>
  <c r="S28" i="1"/>
  <c r="Z406" i="1"/>
  <c r="X480" i="1" s="1"/>
  <c r="AG410" i="1"/>
  <c r="AM410" i="1"/>
  <c r="Z405" i="1"/>
  <c r="M313" i="1"/>
  <c r="C9" i="2"/>
  <c r="J9" i="2"/>
  <c r="J8" i="2" s="1"/>
  <c r="O9" i="2"/>
  <c r="O8" i="2" s="1"/>
  <c r="E27" i="1"/>
  <c r="X465" i="1"/>
  <c r="X432" i="1"/>
  <c r="X451" i="1"/>
  <c r="AD432" i="1"/>
  <c r="K9" i="2"/>
  <c r="K8" i="2" s="1"/>
  <c r="C10" i="2"/>
  <c r="AJ465" i="1"/>
  <c r="AJ418" i="1"/>
  <c r="AJ432" i="1"/>
  <c r="Z467" i="1"/>
  <c r="X418" i="1"/>
  <c r="E74" i="1"/>
  <c r="F85" i="1"/>
  <c r="E313" i="1"/>
  <c r="AD418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D465" i="1"/>
  <c r="C8" i="2" l="1"/>
  <c r="B9" i="2"/>
  <c r="X467" i="1"/>
  <c r="Z482" i="1"/>
  <c r="H9" i="2" l="1"/>
  <c r="H8" i="2" s="1"/>
  <c r="D9" i="2"/>
  <c r="B10" i="2"/>
  <c r="B8" i="2" s="1"/>
  <c r="Z488" i="1"/>
  <c r="Y482" i="1"/>
  <c r="D10" i="2" l="1"/>
  <c r="D8" i="2" s="1"/>
  <c r="Y488" i="1"/>
  <c r="Z497" i="1"/>
  <c r="I9" i="2" l="1"/>
  <c r="I8" i="2" s="1"/>
  <c r="Y497" i="1"/>
  <c r="E9" i="2"/>
  <c r="E10" i="2" l="1"/>
  <c r="E8" i="2" s="1"/>
  <c r="AF479" i="1"/>
  <c r="L82" i="1"/>
  <c r="N82" i="1" l="1"/>
  <c r="N83" i="1" s="1"/>
  <c r="S82" i="1"/>
  <c r="S83" i="1" s="1"/>
  <c r="AF480" i="1"/>
  <c r="AN479" i="1"/>
  <c r="AO479" i="1" s="1"/>
  <c r="AH479" i="1"/>
  <c r="AI479" i="1" s="1"/>
  <c r="L83" i="1"/>
  <c r="AD480" i="1"/>
  <c r="L224" i="1"/>
  <c r="N224" i="1" l="1"/>
  <c r="S224" i="1"/>
  <c r="AH480" i="1"/>
  <c r="AI480" i="1" s="1"/>
  <c r="AN480" i="1"/>
  <c r="AO480" i="1" s="1"/>
  <c r="L228" i="1"/>
  <c r="L280" i="1"/>
  <c r="L148" i="1"/>
  <c r="L344" i="1"/>
  <c r="L68" i="1"/>
  <c r="N280" i="1" l="1"/>
  <c r="N284" i="1" s="1"/>
  <c r="S280" i="1"/>
  <c r="N68" i="1"/>
  <c r="N72" i="1" s="1"/>
  <c r="N85" i="1" s="1"/>
  <c r="S68" i="1"/>
  <c r="S72" i="1" s="1"/>
  <c r="S85" i="1" s="1"/>
  <c r="N344" i="1"/>
  <c r="N348" i="1" s="1"/>
  <c r="S344" i="1"/>
  <c r="S348" i="1" s="1"/>
  <c r="S228" i="1"/>
  <c r="N228" i="1"/>
  <c r="S148" i="1"/>
  <c r="N148" i="1"/>
  <c r="L72" i="1"/>
  <c r="K228" i="1"/>
  <c r="L230" i="1"/>
  <c r="L348" i="1"/>
  <c r="L11" i="2"/>
  <c r="L284" i="1"/>
  <c r="S284" i="1" s="1"/>
  <c r="L152" i="1"/>
  <c r="S230" i="1" l="1"/>
  <c r="N230" i="1"/>
  <c r="S152" i="1"/>
  <c r="N152" i="1"/>
  <c r="L10" i="2"/>
  <c r="L74" i="1"/>
  <c r="K72" i="1"/>
  <c r="L232" i="1"/>
  <c r="K230" i="1"/>
  <c r="K284" i="1"/>
  <c r="L286" i="1"/>
  <c r="L350" i="1"/>
  <c r="K348" i="1"/>
  <c r="L154" i="1"/>
  <c r="K152" i="1"/>
  <c r="AF451" i="1"/>
  <c r="N286" i="1" l="1"/>
  <c r="S286" i="1"/>
  <c r="S154" i="1"/>
  <c r="N154" i="1"/>
  <c r="N350" i="1"/>
  <c r="S350" i="1"/>
  <c r="N74" i="1"/>
  <c r="S74" i="1"/>
  <c r="S232" i="1"/>
  <c r="N232" i="1"/>
  <c r="K154" i="1"/>
  <c r="L164" i="1"/>
  <c r="M11" i="2"/>
  <c r="K286" i="1"/>
  <c r="L288" i="1"/>
  <c r="K350" i="1"/>
  <c r="L352" i="1"/>
  <c r="AF467" i="1"/>
  <c r="AD451" i="1"/>
  <c r="L85" i="1"/>
  <c r="K74" i="1"/>
  <c r="N288" i="1" l="1"/>
  <c r="S288" i="1"/>
  <c r="N352" i="1"/>
  <c r="S352" i="1"/>
  <c r="N164" i="1"/>
  <c r="S164" i="1"/>
  <c r="AH467" i="1"/>
  <c r="AI467" i="1" s="1"/>
  <c r="M10" i="2"/>
  <c r="AF482" i="1"/>
  <c r="AD467" i="1"/>
  <c r="AH482" i="1" l="1"/>
  <c r="AI482" i="1" s="1"/>
  <c r="AE482" i="1"/>
  <c r="L9" i="2"/>
  <c r="L8" i="2" s="1"/>
  <c r="AF488" i="1"/>
  <c r="AH488" i="1" l="1"/>
  <c r="AI488" i="1" s="1"/>
  <c r="AF497" i="1"/>
  <c r="AE488" i="1"/>
  <c r="AH497" i="1" l="1"/>
  <c r="AI497" i="1" s="1"/>
  <c r="AE497" i="1"/>
  <c r="M9" i="2"/>
  <c r="M8" i="2" s="1"/>
  <c r="AL447" i="1" l="1"/>
  <c r="AL451" i="1" l="1"/>
  <c r="AN447" i="1"/>
  <c r="AL467" i="1" l="1"/>
  <c r="AJ451" i="1"/>
  <c r="AO447" i="1"/>
  <c r="AN451" i="1"/>
  <c r="AO451" i="1" s="1"/>
  <c r="AL482" i="1"/>
  <c r="AJ467" i="1"/>
  <c r="AN467" i="1" l="1"/>
  <c r="AO467" i="1" s="1"/>
  <c r="AN482" i="1"/>
  <c r="AO482" i="1" s="1"/>
  <c r="AK482" i="1"/>
  <c r="AL488" i="1"/>
  <c r="P9" i="2"/>
  <c r="P8" i="2" s="1"/>
  <c r="AN488" i="1" l="1"/>
  <c r="AO488" i="1" s="1"/>
  <c r="AL497" i="1"/>
  <c r="AK488" i="1"/>
  <c r="AN497" i="1" l="1"/>
  <c r="AO497" i="1" s="1"/>
  <c r="AK497" i="1"/>
  <c r="Q9" i="2"/>
  <c r="Q8" i="2" s="1"/>
</calcChain>
</file>

<file path=xl/sharedStrings.xml><?xml version="1.0" encoding="utf-8"?>
<sst xmlns="http://schemas.openxmlformats.org/spreadsheetml/2006/main" count="4073" uniqueCount="482">
  <si>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</si>
  <si>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</si>
  <si>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</si>
  <si>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</si>
  <si>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</si>
  <si>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</si>
  <si>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</si>
  <si>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</si>
  <si>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</si>
  <si>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</si>
  <si>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</si>
  <si>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</si>
  <si>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</si>
  <si>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</si>
  <si>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</si>
  <si>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</si>
  <si>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</si>
  <si>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</si>
  <si>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</si>
  <si>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</si>
  <si>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</si>
  <si>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</si>
  <si>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</si>
  <si>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</si>
  <si>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</si>
  <si>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</si>
  <si>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</si>
  <si>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</si>
  <si>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</si>
  <si>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</si>
  <si>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</si>
  <si>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</si>
  <si>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</si>
  <si>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</si>
  <si>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</si>
  <si>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</si>
  <si>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</si>
  <si>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</si>
  <si>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</si>
  <si>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</si>
  <si>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</si>
  <si>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</si>
  <si>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</si>
  <si>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</si>
  <si>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</si>
  <si>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</si>
  <si>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</si>
  <si>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</si>
  <si>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</si>
  <si>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</si>
  <si>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</si>
  <si>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</si>
  <si>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</si>
  <si>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</si>
  <si>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</si>
  <si>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</si>
  <si>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</si>
  <si>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</si>
  <si>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</si>
  <si>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</si>
  <si>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</si>
  <si>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</si>
  <si>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</si>
  <si>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</si>
  <si>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</si>
  <si>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</si>
  <si>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</si>
  <si>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</si>
  <si>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</si>
  <si>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</si>
  <si>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</si>
  <si>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</si>
  <si>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</si>
  <si>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</si>
  <si>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</si>
  <si>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</si>
  <si>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</si>
  <si>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</si>
  <si>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</si>
  <si>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</si>
  <si>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</si>
  <si>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</si>
  <si>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</si>
  <si>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</si>
  <si>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</si>
  <si>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</si>
  <si>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</si>
  <si>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</si>
  <si>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</si>
  <si>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</si>
  <si>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</si>
  <si>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</si>
  <si>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</si>
  <si>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</si>
  <si>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</si>
  <si>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</si>
  <si>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</si>
  <si>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</si>
  <si>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</si>
  <si>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</si>
  <si>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</si>
  <si>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</si>
  <si>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</si>
  <si>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</si>
  <si>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</si>
  <si>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</si>
  <si>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</si>
  <si>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</si>
  <si>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</si>
  <si>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</si>
  <si>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</si>
  <si>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</si>
  <si>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</si>
  <si>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</si>
  <si>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</si>
  <si>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</si>
  <si>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</si>
  <si>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</si>
  <si>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</si>
  <si>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</si>
  <si>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</si>
  <si>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</si>
  <si>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</si>
  <si>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</si>
  <si>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</si>
  <si>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</si>
  <si>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</si>
  <si>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</si>
  <si>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</si>
  <si>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</si>
  <si>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</si>
  <si>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</si>
  <si>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</si>
  <si>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</si>
  <si>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</si>
  <si>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</si>
  <si>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</si>
  <si>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</si>
  <si>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</si>
  <si>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</si>
  <si>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</si>
  <si>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</si>
  <si>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</si>
  <si>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</si>
  <si>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</si>
  <si>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</si>
  <si>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</si>
  <si>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</si>
  <si>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</si>
  <si>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</si>
  <si>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</si>
  <si>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</si>
  <si>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</si>
  <si>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</si>
  <si>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</si>
  <si>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</si>
  <si>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</si>
  <si>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</si>
  <si>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</si>
  <si>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</si>
  <si>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</si>
  <si>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</si>
  <si>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</si>
  <si>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</si>
  <si>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</si>
  <si>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</si>
  <si>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</si>
  <si>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</si>
  <si>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</si>
  <si>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</si>
  <si>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</si>
  <si>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</si>
  <si>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</si>
  <si>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</si>
  <si>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</si>
  <si>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</si>
  <si>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</si>
  <si>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</si>
  <si>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</si>
  <si>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</si>
  <si>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</si>
  <si>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</si>
  <si>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</si>
  <si>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</si>
  <si>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</si>
  <si>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</si>
  <si>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</si>
  <si>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</si>
  <si>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</si>
  <si>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</si>
  <si>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</si>
  <si>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</si>
  <si>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</si>
  <si>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</si>
  <si>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</si>
  <si>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</si>
  <si>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</si>
  <si>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</si>
  <si>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</si>
  <si>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</si>
  <si>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</si>
  <si>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</si>
  <si>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</si>
  <si>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</si>
  <si>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</si>
  <si>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</si>
  <si>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</si>
  <si>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</si>
  <si>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</si>
  <si>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</si>
  <si>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$</t>
  </si>
  <si>
    <t>Programme used 1</t>
  </si>
  <si>
    <t>Mitsubishi</t>
  </si>
  <si>
    <t>NB</t>
  </si>
  <si>
    <t>SERVICE</t>
  </si>
  <si>
    <t>AUDI 1</t>
  </si>
  <si>
    <t>AUDI 2</t>
  </si>
  <si>
    <t>AUDI 3</t>
  </si>
  <si>
    <t>NEUF</t>
  </si>
  <si>
    <t>USAGE</t>
  </si>
  <si>
    <t>CARROSSERIE</t>
  </si>
  <si>
    <t>PIECES</t>
  </si>
  <si>
    <t>VOLKS QUARTER</t>
  </si>
  <si>
    <t>Volks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</si>
  <si>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</si>
  <si>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</si>
  <si>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</si>
  <si>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</si>
  <si>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</si>
  <si>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</si>
  <si>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</si>
  <si>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</si>
  <si>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</si>
  <si>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</si>
  <si>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</si>
  <si>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</si>
  <si>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</si>
  <si>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</si>
  <si>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</si>
  <si>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</si>
  <si>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</si>
  <si>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</si>
  <si>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</si>
  <si>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</si>
  <si>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</si>
  <si>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</si>
  <si>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</si>
  <si>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</si>
  <si>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</si>
  <si>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</si>
  <si>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</si>
  <si>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</si>
  <si>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</si>
  <si>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</si>
  <si>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</si>
  <si>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</si>
  <si>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</si>
  <si>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</si>
  <si>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</si>
  <si>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</si>
  <si>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</si>
  <si>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</si>
  <si>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</si>
  <si>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</si>
  <si>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</si>
  <si>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</si>
  <si>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</si>
  <si>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</si>
  <si>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</si>
  <si>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</si>
  <si>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</si>
  <si>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</si>
  <si>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</si>
  <si>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</si>
  <si>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</si>
  <si>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</si>
  <si>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</si>
  <si>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</si>
  <si>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</si>
  <si>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</si>
  <si>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</si>
  <si>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</si>
  <si>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</si>
  <si>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</si>
  <si>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</si>
  <si>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</si>
  <si>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</si>
  <si>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</si>
  <si>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</si>
  <si>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</si>
  <si>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</si>
  <si>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</si>
  <si>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</si>
  <si>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</si>
  <si>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</si>
  <si>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</si>
  <si>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</si>
  <si>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</si>
  <si>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</si>
  <si>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</si>
  <si>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</si>
  <si>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</si>
  <si>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</si>
  <si>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</si>
  <si>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</si>
  <si>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</si>
  <si>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</si>
  <si>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</si>
  <si>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</si>
  <si>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</si>
  <si>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</si>
  <si>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</si>
  <si>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</si>
  <si>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</si>
  <si>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</si>
  <si>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</si>
  <si>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</si>
  <si>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</si>
  <si>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</si>
  <si>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</si>
  <si>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</si>
  <si>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</si>
  <si>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</si>
  <si>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</si>
  <si>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</si>
  <si>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</si>
  <si>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</si>
  <si>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</si>
  <si>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</si>
  <si>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</si>
  <si>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</si>
  <si>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</si>
  <si>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</si>
  <si>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</si>
  <si>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</si>
  <si>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</si>
  <si>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</si>
  <si>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</si>
  <si>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</si>
  <si>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</si>
  <si>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</si>
  <si>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</si>
  <si>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</si>
  <si>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</si>
  <si>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</si>
  <si>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</si>
  <si>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</si>
  <si>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</si>
  <si>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</si>
  <si>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</si>
  <si>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</si>
  <si>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</si>
  <si>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</si>
  <si>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</si>
  <si>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</si>
  <si>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</si>
  <si>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</si>
  <si>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</si>
  <si>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</si>
  <si>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</si>
  <si>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</si>
  <si>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</si>
  <si>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</si>
  <si>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</si>
  <si>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</si>
  <si>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</si>
  <si>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</si>
  <si>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</si>
  <si>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</si>
  <si>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</si>
  <si>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</si>
  <si>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</si>
  <si>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</si>
  <si>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</si>
  <si>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</si>
  <si>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</si>
  <si>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</si>
  <si>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</si>
  <si>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</si>
  <si>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</si>
  <si>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</si>
  <si>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</si>
  <si>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</si>
  <si>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</si>
  <si>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</si>
  <si>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</si>
  <si>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</si>
  <si>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</si>
  <si>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</si>
  <si>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</si>
  <si>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</si>
  <si>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</si>
  <si>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</si>
  <si>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</si>
  <si>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</si>
  <si>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</si>
  <si>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</si>
  <si>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</si>
  <si>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</si>
  <si>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</si>
  <si>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</si>
  <si>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</si>
  <si>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</si>
  <si>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</si>
  <si>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</si>
  <si>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</si>
  <si>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</si>
  <si>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</si>
  <si>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</si>
  <si>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</si>
  <si>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</si>
  <si>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</si>
  <si>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</si>
  <si>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</si>
  <si>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</si>
  <si>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</si>
  <si>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</si>
  <si>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</si>
  <si>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</si>
  <si>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</si>
  <si>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</si>
  <si>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</si>
  <si>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</si>
  <si>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</si>
  <si>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</si>
  <si>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</si>
  <si>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</si>
  <si>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</si>
  <si>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</si>
  <si>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</si>
  <si>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</si>
  <si>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</si>
  <si>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</si>
  <si>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</si>
  <si>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</si>
  <si>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</si>
  <si>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</si>
  <si>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</si>
  <si>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</si>
  <si>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</si>
  <si>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</si>
  <si>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</si>
  <si>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</si>
  <si>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</si>
  <si>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</si>
  <si>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</si>
  <si>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</si>
  <si>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</si>
  <si>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</si>
  <si>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</si>
  <si>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</si>
  <si>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</si>
  <si>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</si>
  <si>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</si>
  <si>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</si>
  <si>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</si>
  <si>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</si>
  <si>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</si>
  <si>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</si>
  <si>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</si>
  <si>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</si>
  <si>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</si>
  <si>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</si>
  <si>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</si>
  <si>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</si>
  <si>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</si>
  <si>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/>
  </si>
  <si>
    <t>&lt;&lt;- F&amp;A total Neuf Usagé Rachat</t>
  </si>
  <si>
    <t>$Ventes</t>
  </si>
  <si>
    <t>*** NE PAS EFFACER / Pour An Précédente ***</t>
  </si>
  <si>
    <t>Garantie (M.O. + Pièces)</t>
  </si>
  <si>
    <t>Marge</t>
  </si>
  <si>
    <t>ÉCART réel / Budget</t>
  </si>
  <si>
    <t>ECART (réel/ Ann.Préc.)</t>
  </si>
  <si>
    <t>UNITÉS</t>
  </si>
  <si>
    <t>$PROFFTS</t>
  </si>
  <si>
    <t>TOTAL DES REVENUS ET DÉPENSES</t>
  </si>
  <si>
    <t>Camion Pièces Complexe 9,8K$ over</t>
  </si>
  <si>
    <t>Pacing du 30</t>
  </si>
  <si>
    <t>Réalisé 2022-04</t>
  </si>
  <si>
    <t>Réalisé 2021-03</t>
  </si>
  <si>
    <t>Volks Juin / Juillet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</si>
</sst>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4" formatCode="_ * #,##0.00_)\ _$_ ;_ * \(#,##0.00\)\ _$_ ;_ * &quot;-&quot;??_)\ _$_ ;_ @_ "/>
    <numFmt numFmtId="175" formatCode="d/m/yyyy"/>
  </numFmts>
  <fonts count="5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28"/>
      <color rgb="FFFFC000"/>
      <name val="Arial"/>
      <family val="2"/>
    </font>
    <font>
      <b/>
      <sz val="28"/>
      <color rgb="FFFFC000"/>
      <name val="Arial mt"/>
    </font>
    <font>
      <b/>
      <sz val="11"/>
      <color rgb="FFFFFF00"/>
      <name val="Arial"/>
      <family val="2"/>
    </font>
    <font>
      <b/>
      <sz val="12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28"/>
      <color theme="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</fills>
  <borders count="10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29">
    <xf numFmtId="0" fontId="0" fillId="0" borderId="0"/>
    <xf numFmtId="9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7" fillId="0" borderId="0"/>
    <xf numFmtId="0" fontId="37" fillId="0" borderId="0"/>
    <xf numFmtId="172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0" fontId="17" fillId="0" borderId="0"/>
    <xf numFmtId="0" fontId="6" fillId="0" borderId="0"/>
    <xf numFmtId="0" fontId="37" fillId="0" borderId="0"/>
    <xf numFmtId="166" fontId="39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5" fillId="0" borderId="0"/>
    <xf numFmtId="0" fontId="47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53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68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67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0" xfId="0" applyFont="1"/>
    <xf numFmtId="0" fontId="13" fillId="0" borderId="6" xfId="0" applyFont="1" applyBorder="1"/>
    <xf numFmtId="3" fontId="13" fillId="0" borderId="7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8" xfId="0" applyNumberFormat="1" applyFont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0" fontId="13" fillId="0" borderId="11" xfId="0" applyFont="1" applyBorder="1"/>
    <xf numFmtId="3" fontId="13" fillId="0" borderId="12" xfId="0" applyNumberFormat="1" applyFont="1" applyBorder="1" applyAlignment="1">
      <alignment horizontal="center"/>
    </xf>
    <xf numFmtId="3" fontId="13" fillId="0" borderId="13" xfId="0" applyNumberFormat="1" applyFont="1" applyBorder="1"/>
    <xf numFmtId="0" fontId="13" fillId="0" borderId="14" xfId="0" applyFont="1" applyBorder="1"/>
    <xf numFmtId="3" fontId="13" fillId="0" borderId="15" xfId="0" applyNumberFormat="1" applyFont="1" applyBorder="1"/>
    <xf numFmtId="3" fontId="13" fillId="0" borderId="14" xfId="0" applyNumberFormat="1" applyFont="1" applyBorder="1" applyAlignment="1">
      <alignment horizontal="center"/>
    </xf>
    <xf numFmtId="3" fontId="13" fillId="0" borderId="16" xfId="0" applyNumberFormat="1" applyFont="1" applyBorder="1" applyAlignment="1">
      <alignment horizontal="center"/>
    </xf>
    <xf numFmtId="0" fontId="13" fillId="0" borderId="18" xfId="0" applyFont="1" applyBorder="1"/>
    <xf numFmtId="3" fontId="13" fillId="0" borderId="0" xfId="0" applyNumberFormat="1" applyFont="1"/>
    <xf numFmtId="3" fontId="13" fillId="0" borderId="9" xfId="0" applyNumberFormat="1" applyFont="1" applyBorder="1"/>
    <xf numFmtId="3" fontId="16" fillId="0" borderId="8" xfId="0" applyNumberFormat="1" applyFont="1" applyBorder="1"/>
    <xf numFmtId="3" fontId="13" fillId="0" borderId="8" xfId="0" applyNumberFormat="1" applyFont="1" applyBorder="1"/>
    <xf numFmtId="3" fontId="13" fillId="0" borderId="10" xfId="0" applyNumberFormat="1" applyFont="1" applyBorder="1"/>
    <xf numFmtId="0" fontId="14" fillId="0" borderId="6" xfId="0" applyFont="1" applyBorder="1"/>
    <xf numFmtId="3" fontId="14" fillId="0" borderId="7" xfId="0" applyNumberFormat="1" applyFont="1" applyBorder="1"/>
    <xf numFmtId="3" fontId="14" fillId="0" borderId="19" xfId="0" applyNumberFormat="1" applyFont="1" applyBorder="1"/>
    <xf numFmtId="3" fontId="14" fillId="0" borderId="20" xfId="0" applyNumberFormat="1" applyFont="1" applyBorder="1"/>
    <xf numFmtId="0" fontId="13" fillId="0" borderId="8" xfId="0" applyFont="1" applyBorder="1"/>
    <xf numFmtId="0" fontId="13" fillId="0" borderId="9" xfId="0" applyFont="1" applyBorder="1"/>
    <xf numFmtId="168" fontId="14" fillId="0" borderId="9" xfId="0" applyNumberFormat="1" applyFont="1" applyBorder="1"/>
    <xf numFmtId="168" fontId="14" fillId="0" borderId="8" xfId="0" applyNumberFormat="1" applyFont="1" applyBorder="1"/>
    <xf numFmtId="168" fontId="14" fillId="0" borderId="10" xfId="0" applyNumberFormat="1" applyFont="1" applyBorder="1"/>
    <xf numFmtId="0" fontId="14" fillId="0" borderId="22" xfId="0" applyFont="1" applyBorder="1"/>
    <xf numFmtId="3" fontId="13" fillId="0" borderId="23" xfId="0" applyNumberFormat="1" applyFont="1" applyBorder="1"/>
    <xf numFmtId="3" fontId="13" fillId="0" borderId="12" xfId="0" applyNumberFormat="1" applyFont="1" applyBorder="1"/>
    <xf numFmtId="3" fontId="13" fillId="0" borderId="16" xfId="0" applyNumberFormat="1" applyFont="1" applyBorder="1"/>
    <xf numFmtId="3" fontId="14" fillId="0" borderId="14" xfId="0" applyNumberFormat="1" applyFont="1" applyBorder="1"/>
    <xf numFmtId="3" fontId="14" fillId="0" borderId="12" xfId="0" applyNumberFormat="1" applyFont="1" applyBorder="1"/>
    <xf numFmtId="3" fontId="13" fillId="0" borderId="14" xfId="0" applyNumberFormat="1" applyFont="1" applyBorder="1"/>
    <xf numFmtId="3" fontId="13" fillId="0" borderId="17" xfId="0" applyNumberFormat="1" applyFont="1" applyBorder="1"/>
    <xf numFmtId="0" fontId="14" fillId="0" borderId="18" xfId="0" applyFont="1" applyBorder="1"/>
    <xf numFmtId="3" fontId="13" fillId="0" borderId="7" xfId="0" applyNumberFormat="1" applyFont="1" applyBorder="1"/>
    <xf numFmtId="3" fontId="13" fillId="0" borderId="19" xfId="0" applyNumberFormat="1" applyFont="1" applyBorder="1"/>
    <xf numFmtId="3" fontId="13" fillId="0" borderId="20" xfId="0" applyNumberFormat="1" applyFont="1" applyBorder="1"/>
    <xf numFmtId="3" fontId="14" fillId="0" borderId="9" xfId="0" applyNumberFormat="1" applyFont="1" applyBorder="1"/>
    <xf numFmtId="37" fontId="13" fillId="0" borderId="8" xfId="0" applyNumberFormat="1" applyFont="1" applyBorder="1"/>
    <xf numFmtId="37" fontId="13" fillId="0" borderId="9" xfId="0" applyNumberFormat="1" applyFont="1" applyBorder="1"/>
    <xf numFmtId="0" fontId="13" fillId="0" borderId="10" xfId="0" applyFont="1" applyBorder="1"/>
    <xf numFmtId="0" fontId="14" fillId="2" borderId="24" xfId="0" applyFont="1" applyFill="1" applyBorder="1"/>
    <xf numFmtId="37" fontId="14" fillId="2" borderId="25" xfId="0" applyNumberFormat="1" applyFont="1" applyFill="1" applyBorder="1"/>
    <xf numFmtId="3" fontId="14" fillId="2" borderId="25" xfId="0" applyNumberFormat="1" applyFont="1" applyFill="1" applyBorder="1"/>
    <xf numFmtId="37" fontId="14" fillId="2" borderId="26" xfId="0" applyNumberFormat="1" applyFont="1" applyFill="1" applyBorder="1"/>
    <xf numFmtId="37" fontId="14" fillId="2" borderId="27" xfId="0" applyNumberFormat="1" applyFont="1" applyFill="1" applyBorder="1"/>
    <xf numFmtId="169" fontId="14" fillId="2" borderId="25" xfId="0" applyNumberFormat="1" applyFont="1" applyFill="1" applyBorder="1"/>
    <xf numFmtId="0" fontId="14" fillId="2" borderId="28" xfId="0" applyFont="1" applyFill="1" applyBorder="1"/>
    <xf numFmtId="0" fontId="14" fillId="2" borderId="29" xfId="0" applyFont="1" applyFill="1" applyBorder="1"/>
    <xf numFmtId="0" fontId="14" fillId="2" borderId="30" xfId="0" applyFont="1" applyFill="1" applyBorder="1"/>
    <xf numFmtId="0" fontId="14" fillId="2" borderId="31" xfId="0" applyFont="1" applyFill="1" applyBorder="1"/>
    <xf numFmtId="168" fontId="14" fillId="2" borderId="31" xfId="0" applyNumberFormat="1" applyFont="1" applyFill="1" applyBorder="1"/>
    <xf numFmtId="168" fontId="14" fillId="2" borderId="30" xfId="0" applyNumberFormat="1" applyFont="1" applyFill="1" applyBorder="1"/>
    <xf numFmtId="168" fontId="14" fillId="2" borderId="32" xfId="0" applyNumberFormat="1" applyFont="1" applyFill="1" applyBorder="1"/>
    <xf numFmtId="0" fontId="14" fillId="0" borderId="0" xfId="0" applyFont="1"/>
    <xf numFmtId="0" fontId="14" fillId="0" borderId="8" xfId="0" applyFont="1" applyBorder="1"/>
    <xf numFmtId="0" fontId="14" fillId="0" borderId="9" xfId="0" applyFont="1" applyBorder="1"/>
    <xf numFmtId="0" fontId="14" fillId="0" borderId="18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37" fontId="13" fillId="0" borderId="0" xfId="0" applyNumberFormat="1" applyFont="1"/>
    <xf numFmtId="0" fontId="13" fillId="0" borderId="9" xfId="0" applyFont="1" applyBorder="1" applyAlignment="1">
      <alignment horizontal="right"/>
    </xf>
    <xf numFmtId="168" fontId="13" fillId="0" borderId="9" xfId="1" applyNumberFormat="1" applyFont="1" applyFill="1" applyBorder="1"/>
    <xf numFmtId="37" fontId="13" fillId="0" borderId="10" xfId="0" applyNumberFormat="1" applyFont="1" applyBorder="1"/>
    <xf numFmtId="3" fontId="12" fillId="0" borderId="0" xfId="0" applyNumberFormat="1" applyFont="1"/>
    <xf numFmtId="0" fontId="13" fillId="0" borderId="22" xfId="0" applyFont="1" applyBorder="1"/>
    <xf numFmtId="0" fontId="13" fillId="0" borderId="12" xfId="0" applyFont="1" applyBorder="1" applyAlignment="1">
      <alignment horizontal="right"/>
    </xf>
    <xf numFmtId="37" fontId="13" fillId="0" borderId="12" xfId="0" applyNumberFormat="1" applyFont="1" applyBorder="1"/>
    <xf numFmtId="0" fontId="13" fillId="0" borderId="14" xfId="0" applyFont="1" applyBorder="1" applyAlignment="1">
      <alignment horizontal="right"/>
    </xf>
    <xf numFmtId="37" fontId="13" fillId="0" borderId="15" xfId="0" applyNumberFormat="1" applyFont="1" applyBorder="1"/>
    <xf numFmtId="168" fontId="13" fillId="0" borderId="14" xfId="1" applyNumberFormat="1" applyFont="1" applyBorder="1"/>
    <xf numFmtId="37" fontId="13" fillId="0" borderId="16" xfId="0" applyNumberFormat="1" applyFont="1" applyBorder="1"/>
    <xf numFmtId="37" fontId="13" fillId="0" borderId="17" xfId="0" applyNumberFormat="1" applyFont="1" applyBorder="1"/>
    <xf numFmtId="0" fontId="14" fillId="2" borderId="33" xfId="0" applyFont="1" applyFill="1" applyBorder="1"/>
    <xf numFmtId="0" fontId="14" fillId="2" borderId="34" xfId="0" applyFont="1" applyFill="1" applyBorder="1" applyAlignment="1">
      <alignment horizontal="center"/>
    </xf>
    <xf numFmtId="168" fontId="14" fillId="2" borderId="34" xfId="0" applyNumberFormat="1" applyFont="1" applyFill="1" applyBorder="1"/>
    <xf numFmtId="37" fontId="14" fillId="2" borderId="35" xfId="0" applyNumberFormat="1" applyFont="1" applyFill="1" applyBorder="1"/>
    <xf numFmtId="0" fontId="14" fillId="2" borderId="36" xfId="0" applyFont="1" applyFill="1" applyBorder="1" applyAlignment="1">
      <alignment horizontal="center"/>
    </xf>
    <xf numFmtId="0" fontId="13" fillId="2" borderId="37" xfId="0" applyFont="1" applyFill="1" applyBorder="1"/>
    <xf numFmtId="37" fontId="14" fillId="2" borderId="34" xfId="0" applyNumberFormat="1" applyFont="1" applyFill="1" applyBorder="1"/>
    <xf numFmtId="0" fontId="13" fillId="2" borderId="36" xfId="0" applyFont="1" applyFill="1" applyBorder="1"/>
    <xf numFmtId="37" fontId="14" fillId="2" borderId="38" xfId="0" applyNumberFormat="1" applyFont="1" applyFill="1" applyBorder="1"/>
    <xf numFmtId="0" fontId="18" fillId="0" borderId="18" xfId="0" applyFont="1" applyBorder="1"/>
    <xf numFmtId="0" fontId="18" fillId="0" borderId="22" xfId="0" applyFont="1" applyBorder="1"/>
    <xf numFmtId="0" fontId="13" fillId="0" borderId="7" xfId="0" applyFont="1" applyBorder="1" applyAlignment="1">
      <alignment horizontal="right"/>
    </xf>
    <xf numFmtId="0" fontId="13" fillId="0" borderId="7" xfId="0" applyFont="1" applyBorder="1"/>
    <xf numFmtId="0" fontId="13" fillId="0" borderId="20" xfId="0" applyFont="1" applyBorder="1" applyAlignment="1">
      <alignment horizontal="right"/>
    </xf>
    <xf numFmtId="0" fontId="13" fillId="0" borderId="20" xfId="0" applyFont="1" applyBorder="1"/>
    <xf numFmtId="3" fontId="13" fillId="0" borderId="39" xfId="0" applyNumberFormat="1" applyFont="1" applyBorder="1"/>
    <xf numFmtId="37" fontId="13" fillId="0" borderId="19" xfId="0" applyNumberFormat="1" applyFont="1" applyBorder="1"/>
    <xf numFmtId="37" fontId="13" fillId="0" borderId="21" xfId="0" applyNumberFormat="1" applyFont="1" applyBorder="1"/>
    <xf numFmtId="0" fontId="13" fillId="0" borderId="12" xfId="0" applyFont="1" applyBorder="1"/>
    <xf numFmtId="37" fontId="14" fillId="0" borderId="0" xfId="0" applyNumberFormat="1" applyFont="1"/>
    <xf numFmtId="37" fontId="14" fillId="2" borderId="16" xfId="0" applyNumberFormat="1" applyFont="1" applyFill="1" applyBorder="1"/>
    <xf numFmtId="37" fontId="14" fillId="2" borderId="17" xfId="0" applyNumberFormat="1" applyFont="1" applyFill="1" applyBorder="1"/>
    <xf numFmtId="0" fontId="14" fillId="3" borderId="18" xfId="0" applyFont="1" applyFill="1" applyBorder="1"/>
    <xf numFmtId="0" fontId="13" fillId="3" borderId="0" xfId="0" applyFont="1" applyFill="1"/>
    <xf numFmtId="0" fontId="14" fillId="3" borderId="0" xfId="0" applyFont="1" applyFill="1"/>
    <xf numFmtId="37" fontId="14" fillId="3" borderId="8" xfId="0" applyNumberFormat="1" applyFont="1" applyFill="1" applyBorder="1"/>
    <xf numFmtId="0" fontId="13" fillId="3" borderId="9" xfId="0" applyFont="1" applyFill="1" applyBorder="1"/>
    <xf numFmtId="0" fontId="13" fillId="3" borderId="14" xfId="0" applyFont="1" applyFill="1" applyBorder="1"/>
    <xf numFmtId="0" fontId="13" fillId="3" borderId="12" xfId="0" applyFont="1" applyFill="1" applyBorder="1"/>
    <xf numFmtId="37" fontId="14" fillId="3" borderId="16" xfId="0" applyNumberFormat="1" applyFont="1" applyFill="1" applyBorder="1"/>
    <xf numFmtId="0" fontId="14" fillId="2" borderId="40" xfId="0" applyFont="1" applyFill="1" applyBorder="1"/>
    <xf numFmtId="0" fontId="13" fillId="2" borderId="41" xfId="0" applyFont="1" applyFill="1" applyBorder="1"/>
    <xf numFmtId="0" fontId="14" fillId="2" borderId="41" xfId="0" applyFont="1" applyFill="1" applyBorder="1"/>
    <xf numFmtId="37" fontId="14" fillId="2" borderId="42" xfId="0" applyNumberFormat="1" applyFont="1" applyFill="1" applyBorder="1"/>
    <xf numFmtId="0" fontId="13" fillId="2" borderId="43" xfId="0" applyFont="1" applyFill="1" applyBorder="1"/>
    <xf numFmtId="0" fontId="19" fillId="0" borderId="0" xfId="0" applyFont="1"/>
    <xf numFmtId="0" fontId="20" fillId="0" borderId="0" xfId="0" applyFont="1"/>
    <xf numFmtId="37" fontId="20" fillId="0" borderId="0" xfId="0" applyNumberFormat="1" applyFont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21" fillId="0" borderId="0" xfId="0" applyFont="1"/>
    <xf numFmtId="39" fontId="13" fillId="0" borderId="0" xfId="0" applyNumberFormat="1" applyFont="1"/>
    <xf numFmtId="3" fontId="14" fillId="0" borderId="16" xfId="0" applyNumberFormat="1" applyFont="1" applyBorder="1"/>
    <xf numFmtId="169" fontId="13" fillId="0" borderId="0" xfId="0" applyNumberFormat="1" applyFont="1"/>
    <xf numFmtId="168" fontId="13" fillId="0" borderId="9" xfId="1" applyNumberFormat="1" applyFont="1" applyBorder="1"/>
    <xf numFmtId="37" fontId="13" fillId="0" borderId="13" xfId="0" applyNumberFormat="1" applyFont="1" applyBorder="1"/>
    <xf numFmtId="0" fontId="13" fillId="2" borderId="14" xfId="0" applyFont="1" applyFill="1" applyBorder="1"/>
    <xf numFmtId="168" fontId="13" fillId="0" borderId="0" xfId="0" applyNumberFormat="1" applyFont="1"/>
    <xf numFmtId="0" fontId="14" fillId="0" borderId="0" xfId="0" applyFont="1" applyAlignment="1">
      <alignment horizontal="center"/>
    </xf>
    <xf numFmtId="168" fontId="14" fillId="0" borderId="0" xfId="0" applyNumberFormat="1" applyFont="1"/>
    <xf numFmtId="0" fontId="14" fillId="0" borderId="9" xfId="0" applyFont="1" applyBorder="1" applyAlignment="1">
      <alignment horizontal="center"/>
    </xf>
    <xf numFmtId="0" fontId="13" fillId="2" borderId="41" xfId="0" applyFont="1" applyFill="1" applyBorder="1" applyAlignment="1">
      <alignment horizontal="right"/>
    </xf>
    <xf numFmtId="0" fontId="13" fillId="2" borderId="43" xfId="0" applyFont="1" applyFill="1" applyBorder="1" applyAlignment="1">
      <alignment horizontal="right"/>
    </xf>
    <xf numFmtId="0" fontId="14" fillId="2" borderId="43" xfId="0" applyFont="1" applyFill="1" applyBorder="1"/>
    <xf numFmtId="37" fontId="11" fillId="0" borderId="0" xfId="0" applyNumberFormat="1" applyFont="1"/>
    <xf numFmtId="1" fontId="13" fillId="0" borderId="9" xfId="0" applyNumberFormat="1" applyFont="1" applyBorder="1"/>
    <xf numFmtId="168" fontId="13" fillId="0" borderId="9" xfId="0" applyNumberFormat="1" applyFont="1" applyBorder="1"/>
    <xf numFmtId="168" fontId="13" fillId="0" borderId="8" xfId="0" applyNumberFormat="1" applyFont="1" applyBorder="1"/>
    <xf numFmtId="169" fontId="13" fillId="0" borderId="12" xfId="0" applyNumberFormat="1" applyFont="1" applyBorder="1"/>
    <xf numFmtId="168" fontId="13" fillId="0" borderId="16" xfId="0" applyNumberFormat="1" applyFont="1" applyBorder="1"/>
    <xf numFmtId="37" fontId="13" fillId="0" borderId="14" xfId="0" applyNumberFormat="1" applyFont="1" applyBorder="1"/>
    <xf numFmtId="168" fontId="13" fillId="0" borderId="14" xfId="0" applyNumberFormat="1" applyFont="1" applyBorder="1"/>
    <xf numFmtId="37" fontId="13" fillId="0" borderId="7" xfId="0" applyNumberFormat="1" applyFont="1" applyBorder="1"/>
    <xf numFmtId="37" fontId="13" fillId="0" borderId="20" xfId="0" applyNumberFormat="1" applyFont="1" applyBorder="1"/>
    <xf numFmtId="3" fontId="13" fillId="0" borderId="44" xfId="0" applyNumberFormat="1" applyFont="1" applyBorder="1"/>
    <xf numFmtId="168" fontId="14" fillId="0" borderId="14" xfId="0" applyNumberFormat="1" applyFont="1" applyBorder="1"/>
    <xf numFmtId="168" fontId="14" fillId="0" borderId="16" xfId="0" applyNumberFormat="1" applyFont="1" applyBorder="1"/>
    <xf numFmtId="37" fontId="13" fillId="0" borderId="23" xfId="0" applyNumberFormat="1" applyFont="1" applyBorder="1"/>
    <xf numFmtId="168" fontId="13" fillId="0" borderId="20" xfId="0" applyNumberFormat="1" applyFont="1" applyBorder="1"/>
    <xf numFmtId="169" fontId="14" fillId="0" borderId="0" xfId="0" applyNumberFormat="1" applyFont="1"/>
    <xf numFmtId="37" fontId="14" fillId="0" borderId="9" xfId="0" applyNumberFormat="1" applyFont="1" applyBorder="1"/>
    <xf numFmtId="37" fontId="14" fillId="0" borderId="8" xfId="0" applyNumberFormat="1" applyFont="1" applyBorder="1"/>
    <xf numFmtId="0" fontId="14" fillId="0" borderId="12" xfId="0" applyFont="1" applyBorder="1"/>
    <xf numFmtId="169" fontId="14" fillId="0" borderId="12" xfId="0" applyNumberFormat="1" applyFont="1" applyBorder="1"/>
    <xf numFmtId="0" fontId="14" fillId="0" borderId="14" xfId="0" applyFont="1" applyBorder="1"/>
    <xf numFmtId="37" fontId="14" fillId="0" borderId="16" xfId="0" applyNumberFormat="1" applyFont="1" applyBorder="1"/>
    <xf numFmtId="37" fontId="14" fillId="3" borderId="25" xfId="0" applyNumberFormat="1" applyFont="1" applyFill="1" applyBorder="1"/>
    <xf numFmtId="37" fontId="14" fillId="3" borderId="26" xfId="0" applyNumberFormat="1" applyFont="1" applyFill="1" applyBorder="1"/>
    <xf numFmtId="37" fontId="14" fillId="3" borderId="27" xfId="0" applyNumberFormat="1" applyFont="1" applyFill="1" applyBorder="1"/>
    <xf numFmtId="168" fontId="14" fillId="3" borderId="27" xfId="0" applyNumberFormat="1" applyFont="1" applyFill="1" applyBorder="1"/>
    <xf numFmtId="37" fontId="14" fillId="3" borderId="12" xfId="0" applyNumberFormat="1" applyFont="1" applyFill="1" applyBorder="1"/>
    <xf numFmtId="168" fontId="14" fillId="3" borderId="16" xfId="0" applyNumberFormat="1" applyFont="1" applyFill="1" applyBorder="1"/>
    <xf numFmtId="37" fontId="14" fillId="3" borderId="14" xfId="0" applyNumberFormat="1" applyFont="1" applyFill="1" applyBorder="1"/>
    <xf numFmtId="37" fontId="14" fillId="0" borderId="7" xfId="0" applyNumberFormat="1" applyFont="1" applyBorder="1"/>
    <xf numFmtId="169" fontId="14" fillId="0" borderId="7" xfId="0" applyNumberFormat="1" applyFont="1" applyBorder="1"/>
    <xf numFmtId="37" fontId="14" fillId="0" borderId="19" xfId="0" applyNumberFormat="1" applyFont="1" applyBorder="1"/>
    <xf numFmtId="37" fontId="14" fillId="0" borderId="20" xfId="0" applyNumberFormat="1" applyFont="1" applyBorder="1"/>
    <xf numFmtId="37" fontId="14" fillId="0" borderId="21" xfId="0" applyNumberFormat="1" applyFont="1" applyBorder="1"/>
    <xf numFmtId="37" fontId="14" fillId="3" borderId="7" xfId="0" applyNumberFormat="1" applyFont="1" applyFill="1" applyBorder="1"/>
    <xf numFmtId="169" fontId="14" fillId="3" borderId="7" xfId="0" applyNumberFormat="1" applyFont="1" applyFill="1" applyBorder="1"/>
    <xf numFmtId="37" fontId="14" fillId="3" borderId="19" xfId="0" applyNumberFormat="1" applyFont="1" applyFill="1" applyBorder="1"/>
    <xf numFmtId="37" fontId="14" fillId="3" borderId="20" xfId="0" applyNumberFormat="1" applyFont="1" applyFill="1" applyBorder="1"/>
    <xf numFmtId="168" fontId="14" fillId="2" borderId="27" xfId="0" applyNumberFormat="1" applyFont="1" applyFill="1" applyBorder="1"/>
    <xf numFmtId="0" fontId="13" fillId="0" borderId="15" xfId="0" applyFont="1" applyBorder="1" applyAlignment="1">
      <alignment horizontal="center"/>
    </xf>
    <xf numFmtId="1" fontId="13" fillId="0" borderId="20" xfId="0" applyNumberFormat="1" applyFont="1" applyBorder="1"/>
    <xf numFmtId="2" fontId="13" fillId="0" borderId="12" xfId="0" applyNumberFormat="1" applyFont="1" applyBorder="1"/>
    <xf numFmtId="0" fontId="18" fillId="0" borderId="6" xfId="0" applyFont="1" applyBorder="1"/>
    <xf numFmtId="0" fontId="18" fillId="0" borderId="45" xfId="0" applyFont="1" applyBorder="1"/>
    <xf numFmtId="168" fontId="14" fillId="0" borderId="7" xfId="0" applyNumberFormat="1" applyFont="1" applyBorder="1"/>
    <xf numFmtId="168" fontId="14" fillId="0" borderId="20" xfId="0" applyNumberFormat="1" applyFont="1" applyBorder="1"/>
    <xf numFmtId="0" fontId="13" fillId="0" borderId="16" xfId="0" applyFont="1" applyBorder="1"/>
    <xf numFmtId="0" fontId="16" fillId="0" borderId="12" xfId="0" applyFont="1" applyBorder="1"/>
    <xf numFmtId="168" fontId="13" fillId="0" borderId="15" xfId="0" applyNumberFormat="1" applyFont="1" applyBorder="1"/>
    <xf numFmtId="168" fontId="13" fillId="0" borderId="12" xfId="0" applyNumberFormat="1" applyFont="1" applyBorder="1"/>
    <xf numFmtId="168" fontId="14" fillId="2" borderId="25" xfId="0" applyNumberFormat="1" applyFont="1" applyFill="1" applyBorder="1"/>
    <xf numFmtId="168" fontId="14" fillId="2" borderId="46" xfId="0" applyNumberFormat="1" applyFont="1" applyFill="1" applyBorder="1"/>
    <xf numFmtId="37" fontId="14" fillId="2" borderId="47" xfId="0" applyNumberFormat="1" applyFont="1" applyFill="1" applyBorder="1"/>
    <xf numFmtId="37" fontId="14" fillId="2" borderId="48" xfId="0" applyNumberFormat="1" applyFont="1" applyFill="1" applyBorder="1"/>
    <xf numFmtId="0" fontId="14" fillId="2" borderId="49" xfId="0" applyFont="1" applyFill="1" applyBorder="1"/>
    <xf numFmtId="37" fontId="14" fillId="2" borderId="50" xfId="0" applyNumberFormat="1" applyFont="1" applyFill="1" applyBorder="1"/>
    <xf numFmtId="169" fontId="14" fillId="2" borderId="50" xfId="0" applyNumberFormat="1" applyFont="1" applyFill="1" applyBorder="1"/>
    <xf numFmtId="37" fontId="14" fillId="2" borderId="51" xfId="0" applyNumberFormat="1" applyFont="1" applyFill="1" applyBorder="1"/>
    <xf numFmtId="37" fontId="14" fillId="2" borderId="52" xfId="0" applyNumberFormat="1" applyFont="1" applyFill="1" applyBorder="1"/>
    <xf numFmtId="0" fontId="13" fillId="2" borderId="31" xfId="0" applyFont="1" applyFill="1" applyBorder="1"/>
    <xf numFmtId="0" fontId="16" fillId="0" borderId="53" xfId="0" applyFont="1" applyBorder="1"/>
    <xf numFmtId="0" fontId="18" fillId="0" borderId="11" xfId="0" applyFont="1" applyBorder="1"/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37" fontId="13" fillId="4" borderId="0" xfId="0" applyNumberFormat="1" applyFont="1" applyFill="1"/>
    <xf numFmtId="168" fontId="14" fillId="2" borderId="0" xfId="0" applyNumberFormat="1" applyFont="1" applyFill="1"/>
    <xf numFmtId="37" fontId="13" fillId="4" borderId="5" xfId="0" applyNumberFormat="1" applyFont="1" applyFill="1" applyBorder="1"/>
    <xf numFmtId="3" fontId="13" fillId="4" borderId="1" xfId="0" applyNumberFormat="1" applyFont="1" applyFill="1" applyBorder="1"/>
    <xf numFmtId="3" fontId="13" fillId="4" borderId="3" xfId="0" applyNumberFormat="1" applyFont="1" applyFill="1" applyBorder="1"/>
    <xf numFmtId="0" fontId="23" fillId="0" borderId="0" xfId="0" applyFont="1"/>
    <xf numFmtId="37" fontId="22" fillId="0" borderId="0" xfId="0" applyNumberFormat="1" applyFont="1"/>
    <xf numFmtId="168" fontId="13" fillId="0" borderId="0" xfId="1" applyNumberFormat="1" applyFont="1" applyFill="1" applyBorder="1"/>
    <xf numFmtId="168" fontId="14" fillId="0" borderId="26" xfId="0" applyNumberFormat="1" applyFont="1" applyBorder="1"/>
    <xf numFmtId="0" fontId="16" fillId="0" borderId="0" xfId="0" applyFont="1"/>
    <xf numFmtId="168" fontId="13" fillId="0" borderId="8" xfId="1" applyNumberFormat="1" applyFont="1" applyFill="1" applyBorder="1"/>
    <xf numFmtId="0" fontId="14" fillId="0" borderId="10" xfId="0" applyFont="1" applyBorder="1"/>
    <xf numFmtId="0" fontId="24" fillId="0" borderId="0" xfId="0" applyFont="1"/>
    <xf numFmtId="0" fontId="14" fillId="2" borderId="36" xfId="0" applyFont="1" applyFill="1" applyBorder="1"/>
    <xf numFmtId="0" fontId="14" fillId="2" borderId="54" xfId="0" applyFont="1" applyFill="1" applyBorder="1"/>
    <xf numFmtId="0" fontId="14" fillId="2" borderId="55" xfId="0" applyFont="1" applyFill="1" applyBorder="1"/>
    <xf numFmtId="37" fontId="14" fillId="2" borderId="56" xfId="0" applyNumberFormat="1" applyFont="1" applyFill="1" applyBorder="1"/>
    <xf numFmtId="0" fontId="14" fillId="2" borderId="57" xfId="0" applyFont="1" applyFill="1" applyBorder="1"/>
    <xf numFmtId="0" fontId="13" fillId="2" borderId="57" xfId="0" applyFont="1" applyFill="1" applyBorder="1"/>
    <xf numFmtId="0" fontId="13" fillId="2" borderId="55" xfId="0" applyFont="1" applyFill="1" applyBorder="1"/>
    <xf numFmtId="37" fontId="14" fillId="2" borderId="58" xfId="0" applyNumberFormat="1" applyFont="1" applyFill="1" applyBorder="1"/>
    <xf numFmtId="0" fontId="9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13" fillId="0" borderId="59" xfId="0" applyFont="1" applyBorder="1" applyAlignment="1">
      <alignment horizontal="left"/>
    </xf>
    <xf numFmtId="0" fontId="14" fillId="0" borderId="6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63" xfId="0" applyFont="1" applyBorder="1" applyAlignment="1">
      <alignment horizontal="center"/>
    </xf>
    <xf numFmtId="0" fontId="13" fillId="0" borderId="64" xfId="0" applyFont="1" applyBorder="1" applyAlignment="1">
      <alignment horizontal="center"/>
    </xf>
    <xf numFmtId="0" fontId="13" fillId="0" borderId="65" xfId="0" applyFont="1" applyBorder="1" applyAlignment="1">
      <alignment horizontal="center"/>
    </xf>
    <xf numFmtId="0" fontId="18" fillId="0" borderId="12" xfId="0" applyFont="1" applyBorder="1"/>
    <xf numFmtId="37" fontId="18" fillId="0" borderId="63" xfId="0" applyNumberFormat="1" applyFont="1" applyBorder="1"/>
    <xf numFmtId="37" fontId="18" fillId="0" borderId="64" xfId="0" applyNumberFormat="1" applyFont="1" applyBorder="1"/>
    <xf numFmtId="37" fontId="18" fillId="0" borderId="12" xfId="0" applyNumberFormat="1" applyFont="1" applyBorder="1"/>
    <xf numFmtId="168" fontId="18" fillId="0" borderId="12" xfId="0" applyNumberFormat="1" applyFont="1" applyBorder="1"/>
    <xf numFmtId="37" fontId="18" fillId="0" borderId="65" xfId="0" applyNumberFormat="1" applyFont="1" applyBorder="1"/>
    <xf numFmtId="0" fontId="25" fillId="2" borderId="22" xfId="0" applyFont="1" applyFill="1" applyBorder="1"/>
    <xf numFmtId="0" fontId="25" fillId="2" borderId="12" xfId="0" applyFont="1" applyFill="1" applyBorder="1"/>
    <xf numFmtId="37" fontId="25" fillId="2" borderId="63" xfId="0" applyNumberFormat="1" applyFont="1" applyFill="1" applyBorder="1"/>
    <xf numFmtId="37" fontId="25" fillId="2" borderId="64" xfId="0" applyNumberFormat="1" applyFont="1" applyFill="1" applyBorder="1"/>
    <xf numFmtId="37" fontId="25" fillId="2" borderId="12" xfId="0" applyNumberFormat="1" applyFont="1" applyFill="1" applyBorder="1"/>
    <xf numFmtId="168" fontId="25" fillId="2" borderId="12" xfId="0" applyNumberFormat="1" applyFont="1" applyFill="1" applyBorder="1"/>
    <xf numFmtId="37" fontId="25" fillId="2" borderId="65" xfId="0" applyNumberFormat="1" applyFont="1" applyFill="1" applyBorder="1"/>
    <xf numFmtId="0" fontId="25" fillId="0" borderId="18" xfId="0" applyFont="1" applyBorder="1"/>
    <xf numFmtId="0" fontId="18" fillId="0" borderId="0" xfId="0" applyFont="1"/>
    <xf numFmtId="37" fontId="18" fillId="0" borderId="66" xfId="0" applyNumberFormat="1" applyFont="1" applyBorder="1"/>
    <xf numFmtId="37" fontId="18" fillId="0" borderId="67" xfId="0" applyNumberFormat="1" applyFont="1" applyBorder="1"/>
    <xf numFmtId="37" fontId="18" fillId="0" borderId="0" xfId="0" applyNumberFormat="1" applyFont="1"/>
    <xf numFmtId="168" fontId="18" fillId="0" borderId="0" xfId="0" applyNumberFormat="1" applyFont="1"/>
    <xf numFmtId="37" fontId="18" fillId="0" borderId="68" xfId="0" applyNumberFormat="1" applyFont="1" applyBorder="1"/>
    <xf numFmtId="0" fontId="18" fillId="0" borderId="0" xfId="0" applyFont="1" applyAlignment="1">
      <alignment horizontal="right"/>
    </xf>
    <xf numFmtId="169" fontId="18" fillId="0" borderId="0" xfId="0" applyNumberFormat="1" applyFont="1"/>
    <xf numFmtId="0" fontId="18" fillId="0" borderId="67" xfId="0" applyFont="1" applyBorder="1"/>
    <xf numFmtId="0" fontId="18" fillId="0" borderId="12" xfId="0" applyFont="1" applyBorder="1" applyAlignment="1">
      <alignment horizontal="right"/>
    </xf>
    <xf numFmtId="169" fontId="18" fillId="0" borderId="12" xfId="0" applyNumberFormat="1" applyFont="1" applyBorder="1"/>
    <xf numFmtId="0" fontId="18" fillId="0" borderId="64" xfId="0" applyFont="1" applyBorder="1"/>
    <xf numFmtId="168" fontId="18" fillId="0" borderId="63" xfId="0" applyNumberFormat="1" applyFont="1" applyBorder="1"/>
    <xf numFmtId="0" fontId="25" fillId="2" borderId="33" xfId="0" applyFont="1" applyFill="1" applyBorder="1"/>
    <xf numFmtId="0" fontId="25" fillId="2" borderId="34" xfId="0" applyFont="1" applyFill="1" applyBorder="1"/>
    <xf numFmtId="168" fontId="25" fillId="2" borderId="34" xfId="0" applyNumberFormat="1" applyFont="1" applyFill="1" applyBorder="1"/>
    <xf numFmtId="37" fontId="25" fillId="2" borderId="69" xfId="0" applyNumberFormat="1" applyFont="1" applyFill="1" applyBorder="1"/>
    <xf numFmtId="168" fontId="25" fillId="2" borderId="37" xfId="0" applyNumberFormat="1" applyFont="1" applyFill="1" applyBorder="1"/>
    <xf numFmtId="0" fontId="25" fillId="2" borderId="37" xfId="0" applyFont="1" applyFill="1" applyBorder="1"/>
    <xf numFmtId="37" fontId="25" fillId="2" borderId="34" xfId="0" applyNumberFormat="1" applyFont="1" applyFill="1" applyBorder="1"/>
    <xf numFmtId="0" fontId="25" fillId="2" borderId="70" xfId="0" applyFont="1" applyFill="1" applyBorder="1"/>
    <xf numFmtId="166" fontId="11" fillId="0" borderId="0" xfId="0" applyNumberFormat="1" applyFont="1"/>
    <xf numFmtId="166" fontId="24" fillId="0" borderId="0" xfId="0" applyNumberFormat="1" applyFont="1"/>
    <xf numFmtId="168" fontId="18" fillId="0" borderId="66" xfId="0" applyNumberFormat="1" applyFont="1" applyBorder="1"/>
    <xf numFmtId="169" fontId="25" fillId="2" borderId="34" xfId="0" applyNumberFormat="1" applyFont="1" applyFill="1" applyBorder="1"/>
    <xf numFmtId="37" fontId="25" fillId="2" borderId="37" xfId="0" applyNumberFormat="1" applyFont="1" applyFill="1" applyBorder="1"/>
    <xf numFmtId="37" fontId="25" fillId="2" borderId="70" xfId="0" applyNumberFormat="1" applyFont="1" applyFill="1" applyBorder="1"/>
    <xf numFmtId="37" fontId="24" fillId="0" borderId="0" xfId="0" applyNumberFormat="1" applyFont="1"/>
    <xf numFmtId="0" fontId="18" fillId="0" borderId="7" xfId="0" applyFont="1" applyBorder="1" applyAlignment="1">
      <alignment horizontal="right"/>
    </xf>
    <xf numFmtId="0" fontId="18" fillId="0" borderId="7" xfId="0" applyFont="1" applyBorder="1"/>
    <xf numFmtId="37" fontId="18" fillId="0" borderId="71" xfId="0" applyNumberFormat="1" applyFont="1" applyBorder="1"/>
    <xf numFmtId="0" fontId="18" fillId="0" borderId="72" xfId="0" applyFont="1" applyBorder="1"/>
    <xf numFmtId="169" fontId="18" fillId="0" borderId="7" xfId="0" applyNumberFormat="1" applyFont="1" applyBorder="1"/>
    <xf numFmtId="37" fontId="18" fillId="0" borderId="7" xfId="0" applyNumberFormat="1" applyFont="1" applyBorder="1"/>
    <xf numFmtId="168" fontId="18" fillId="0" borderId="7" xfId="0" applyNumberFormat="1" applyFont="1" applyBorder="1"/>
    <xf numFmtId="37" fontId="18" fillId="0" borderId="73" xfId="0" applyNumberFormat="1" applyFont="1" applyBorder="1"/>
    <xf numFmtId="0" fontId="18" fillId="0" borderId="44" xfId="0" applyFont="1" applyBorder="1" applyAlignment="1">
      <alignment horizontal="right"/>
    </xf>
    <xf numFmtId="0" fontId="18" fillId="0" borderId="44" xfId="0" applyFont="1" applyBorder="1"/>
    <xf numFmtId="37" fontId="18" fillId="0" borderId="74" xfId="0" applyNumberFormat="1" applyFont="1" applyBorder="1"/>
    <xf numFmtId="0" fontId="18" fillId="0" borderId="75" xfId="0" applyFont="1" applyBorder="1"/>
    <xf numFmtId="169" fontId="18" fillId="0" borderId="44" xfId="0" applyNumberFormat="1" applyFont="1" applyBorder="1"/>
    <xf numFmtId="170" fontId="24" fillId="0" borderId="0" xfId="0" applyNumberFormat="1" applyFont="1"/>
    <xf numFmtId="0" fontId="18" fillId="2" borderId="34" xfId="0" applyFont="1" applyFill="1" applyBorder="1"/>
    <xf numFmtId="3" fontId="25" fillId="2" borderId="34" xfId="0" applyNumberFormat="1" applyFont="1" applyFill="1" applyBorder="1" applyAlignment="1">
      <alignment horizontal="center"/>
    </xf>
    <xf numFmtId="168" fontId="25" fillId="0" borderId="0" xfId="0" applyNumberFormat="1" applyFont="1"/>
    <xf numFmtId="0" fontId="25" fillId="0" borderId="0" xfId="0" applyFont="1"/>
    <xf numFmtId="0" fontId="24" fillId="3" borderId="0" xfId="0" applyFont="1" applyFill="1"/>
    <xf numFmtId="168" fontId="18" fillId="0" borderId="71" xfId="0" applyNumberFormat="1" applyFont="1" applyBorder="1"/>
    <xf numFmtId="0" fontId="18" fillId="0" borderId="66" xfId="0" applyFont="1" applyBorder="1"/>
    <xf numFmtId="0" fontId="18" fillId="0" borderId="68" xfId="0" applyFont="1" applyBorder="1"/>
    <xf numFmtId="168" fontId="25" fillId="0" borderId="7" xfId="0" applyNumberFormat="1" applyFont="1" applyBorder="1"/>
    <xf numFmtId="0" fontId="25" fillId="0" borderId="7" xfId="0" applyFont="1" applyBorder="1"/>
    <xf numFmtId="168" fontId="25" fillId="0" borderId="72" xfId="0" applyNumberFormat="1" applyFont="1" applyBorder="1"/>
    <xf numFmtId="37" fontId="25" fillId="0" borderId="72" xfId="0" applyNumberFormat="1" applyFont="1" applyBorder="1"/>
    <xf numFmtId="37" fontId="18" fillId="0" borderId="77" xfId="0" applyNumberFormat="1" applyFont="1" applyBorder="1"/>
    <xf numFmtId="37" fontId="25" fillId="0" borderId="7" xfId="0" applyNumberFormat="1" applyFont="1" applyBorder="1"/>
    <xf numFmtId="168" fontId="25" fillId="0" borderId="67" xfId="0" applyNumberFormat="1" applyFont="1" applyBorder="1"/>
    <xf numFmtId="37" fontId="25" fillId="0" borderId="67" xfId="0" applyNumberFormat="1" applyFont="1" applyBorder="1"/>
    <xf numFmtId="37" fontId="18" fillId="0" borderId="78" xfId="0" applyNumberFormat="1" applyFont="1" applyBorder="1"/>
    <xf numFmtId="37" fontId="25" fillId="0" borderId="0" xfId="0" applyNumberFormat="1" applyFont="1"/>
    <xf numFmtId="168" fontId="18" fillId="2" borderId="37" xfId="0" applyNumberFormat="1" applyFont="1" applyFill="1" applyBorder="1"/>
    <xf numFmtId="168" fontId="18" fillId="2" borderId="34" xfId="0" applyNumberFormat="1" applyFont="1" applyFill="1" applyBorder="1"/>
    <xf numFmtId="37" fontId="18" fillId="2" borderId="70" xfId="0" applyNumberFormat="1" applyFont="1" applyFill="1" applyBorder="1"/>
    <xf numFmtId="0" fontId="25" fillId="3" borderId="6" xfId="0" applyFont="1" applyFill="1" applyBorder="1"/>
    <xf numFmtId="0" fontId="25" fillId="3" borderId="7" xfId="0" applyFont="1" applyFill="1" applyBorder="1"/>
    <xf numFmtId="37" fontId="25" fillId="3" borderId="7" xfId="0" applyNumberFormat="1" applyFont="1" applyFill="1" applyBorder="1"/>
    <xf numFmtId="37" fontId="18" fillId="3" borderId="71" xfId="0" applyNumberFormat="1" applyFont="1" applyFill="1" applyBorder="1"/>
    <xf numFmtId="0" fontId="18" fillId="3" borderId="7" xfId="0" applyFont="1" applyFill="1" applyBorder="1"/>
    <xf numFmtId="37" fontId="18" fillId="3" borderId="7" xfId="0" applyNumberFormat="1" applyFont="1" applyFill="1" applyBorder="1"/>
    <xf numFmtId="37" fontId="18" fillId="3" borderId="72" xfId="0" applyNumberFormat="1" applyFont="1" applyFill="1" applyBorder="1"/>
    <xf numFmtId="37" fontId="18" fillId="3" borderId="0" xfId="0" applyNumberFormat="1" applyFont="1" applyFill="1"/>
    <xf numFmtId="168" fontId="18" fillId="3" borderId="0" xfId="0" applyNumberFormat="1" applyFont="1" applyFill="1"/>
    <xf numFmtId="168" fontId="18" fillId="3" borderId="72" xfId="0" applyNumberFormat="1" applyFont="1" applyFill="1" applyBorder="1"/>
    <xf numFmtId="168" fontId="18" fillId="3" borderId="7" xfId="0" applyNumberFormat="1" applyFont="1" applyFill="1" applyBorder="1"/>
    <xf numFmtId="37" fontId="18" fillId="3" borderId="73" xfId="0" applyNumberFormat="1" applyFont="1" applyFill="1" applyBorder="1"/>
    <xf numFmtId="0" fontId="25" fillId="2" borderId="54" xfId="0" applyFont="1" applyFill="1" applyBorder="1"/>
    <xf numFmtId="0" fontId="25" fillId="2" borderId="55" xfId="0" applyFont="1" applyFill="1" applyBorder="1"/>
    <xf numFmtId="0" fontId="25" fillId="2" borderId="55" xfId="0" applyFont="1" applyFill="1" applyBorder="1" applyAlignment="1">
      <alignment horizontal="center"/>
    </xf>
    <xf numFmtId="168" fontId="25" fillId="2" borderId="55" xfId="0" applyNumberFormat="1" applyFont="1" applyFill="1" applyBorder="1"/>
    <xf numFmtId="37" fontId="25" fillId="2" borderId="79" xfId="0" applyNumberFormat="1" applyFont="1" applyFill="1" applyBorder="1"/>
    <xf numFmtId="37" fontId="25" fillId="2" borderId="55" xfId="0" applyNumberFormat="1" applyFont="1" applyFill="1" applyBorder="1"/>
    <xf numFmtId="0" fontId="25" fillId="2" borderId="80" xfId="0" applyFont="1" applyFill="1" applyBorder="1" applyAlignment="1">
      <alignment horizontal="center"/>
    </xf>
    <xf numFmtId="39" fontId="18" fillId="0" borderId="0" xfId="0" applyNumberFormat="1" applyFont="1"/>
    <xf numFmtId="0" fontId="25" fillId="2" borderId="81" xfId="0" applyFont="1" applyFill="1" applyBorder="1"/>
    <xf numFmtId="0" fontId="25" fillId="2" borderId="82" xfId="0" applyFont="1" applyFill="1" applyBorder="1"/>
    <xf numFmtId="0" fontId="25" fillId="2" borderId="82" xfId="0" applyFont="1" applyFill="1" applyBorder="1" applyAlignment="1">
      <alignment horizontal="center"/>
    </xf>
    <xf numFmtId="168" fontId="25" fillId="2" borderId="82" xfId="0" applyNumberFormat="1" applyFont="1" applyFill="1" applyBorder="1"/>
    <xf numFmtId="37" fontId="25" fillId="2" borderId="83" xfId="0" applyNumberFormat="1" applyFont="1" applyFill="1" applyBorder="1"/>
    <xf numFmtId="37" fontId="25" fillId="2" borderId="84" xfId="0" applyNumberFormat="1" applyFont="1" applyFill="1" applyBorder="1"/>
    <xf numFmtId="0" fontId="24" fillId="0" borderId="18" xfId="0" applyFont="1" applyBorder="1"/>
    <xf numFmtId="37" fontId="24" fillId="0" borderId="66" xfId="0" applyNumberFormat="1" applyFont="1" applyBorder="1"/>
    <xf numFmtId="0" fontId="24" fillId="0" borderId="66" xfId="0" applyFont="1" applyBorder="1"/>
    <xf numFmtId="0" fontId="24" fillId="0" borderId="78" xfId="0" applyFont="1" applyBorder="1"/>
    <xf numFmtId="0" fontId="11" fillId="0" borderId="68" xfId="0" applyFont="1" applyBorder="1"/>
    <xf numFmtId="0" fontId="26" fillId="0" borderId="0" xfId="0" applyFont="1"/>
    <xf numFmtId="37" fontId="26" fillId="0" borderId="0" xfId="0" applyNumberFormat="1" applyFont="1"/>
    <xf numFmtId="0" fontId="26" fillId="3" borderId="0" xfId="0" applyFont="1" applyFill="1"/>
    <xf numFmtId="37" fontId="24" fillId="3" borderId="0" xfId="0" applyNumberFormat="1" applyFont="1" applyFill="1"/>
    <xf numFmtId="0" fontId="27" fillId="3" borderId="0" xfId="0" applyFont="1" applyFill="1"/>
    <xf numFmtId="37" fontId="26" fillId="3" borderId="0" xfId="0" applyNumberFormat="1" applyFont="1" applyFill="1"/>
    <xf numFmtId="0" fontId="28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167" fontId="29" fillId="3" borderId="0" xfId="0" applyNumberFormat="1" applyFont="1" applyFill="1" applyAlignment="1">
      <alignment horizontal="right"/>
    </xf>
    <xf numFmtId="0" fontId="26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0" xfId="0" applyFont="1" applyFill="1"/>
    <xf numFmtId="168" fontId="24" fillId="3" borderId="0" xfId="0" applyNumberFormat="1" applyFont="1" applyFill="1"/>
    <xf numFmtId="9" fontId="24" fillId="3" borderId="0" xfId="0" applyNumberFormat="1" applyFont="1" applyFill="1"/>
    <xf numFmtId="168" fontId="26" fillId="3" borderId="0" xfId="0" applyNumberFormat="1" applyFont="1" applyFill="1"/>
    <xf numFmtId="0" fontId="30" fillId="3" borderId="0" xfId="0" applyFont="1" applyFill="1"/>
    <xf numFmtId="0" fontId="28" fillId="3" borderId="0" xfId="0" applyFont="1" applyFill="1" applyAlignment="1">
      <alignment horizontal="center"/>
    </xf>
    <xf numFmtId="167" fontId="24" fillId="3" borderId="0" xfId="0" applyNumberFormat="1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9" fillId="3" borderId="0" xfId="0" applyFont="1" applyFill="1" applyAlignment="1">
      <alignment horizontal="left"/>
    </xf>
    <xf numFmtId="0" fontId="32" fillId="3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quotePrefix="1" applyFont="1" applyFill="1" applyAlignment="1">
      <alignment horizontal="center"/>
    </xf>
    <xf numFmtId="3" fontId="13" fillId="0" borderId="76" xfId="0" applyNumberFormat="1" applyFont="1" applyBorder="1"/>
    <xf numFmtId="168" fontId="14" fillId="2" borderId="29" xfId="0" applyNumberFormat="1" applyFont="1" applyFill="1" applyBorder="1"/>
    <xf numFmtId="1" fontId="13" fillId="0" borderId="7" xfId="0" applyNumberFormat="1" applyFont="1" applyBorder="1"/>
    <xf numFmtId="37" fontId="14" fillId="2" borderId="41" xfId="0" applyNumberFormat="1" applyFont="1" applyFill="1" applyBorder="1"/>
    <xf numFmtId="0" fontId="13" fillId="0" borderId="20" xfId="0" applyFont="1" applyBorder="1" applyAlignment="1">
      <alignment horizontal="center"/>
    </xf>
    <xf numFmtId="0" fontId="34" fillId="0" borderId="86" xfId="0" applyFont="1" applyBorder="1" applyAlignment="1">
      <alignment vertical="center"/>
    </xf>
    <xf numFmtId="0" fontId="0" fillId="0" borderId="0" xfId="0" applyAlignment="1">
      <alignment vertical="center"/>
    </xf>
    <xf numFmtId="0" fontId="35" fillId="0" borderId="86" xfId="0" applyFont="1" applyBorder="1" applyAlignment="1">
      <alignment vertical="center"/>
    </xf>
    <xf numFmtId="0" fontId="35" fillId="0" borderId="87" xfId="0" applyFont="1" applyBorder="1" applyAlignment="1">
      <alignment vertical="center"/>
    </xf>
    <xf numFmtId="37" fontId="35" fillId="0" borderId="88" xfId="0" applyNumberFormat="1" applyFont="1" applyBorder="1" applyAlignment="1">
      <alignment horizontal="center" vertical="center"/>
    </xf>
    <xf numFmtId="3" fontId="0" fillId="0" borderId="88" xfId="0" applyNumberFormat="1" applyBorder="1" applyAlignment="1">
      <alignment horizontal="center" vertical="center"/>
    </xf>
    <xf numFmtId="3" fontId="0" fillId="0" borderId="89" xfId="0" applyNumberFormat="1" applyBorder="1" applyAlignment="1">
      <alignment horizontal="center" vertical="center"/>
    </xf>
    <xf numFmtId="3" fontId="0" fillId="0" borderId="90" xfId="0" applyNumberFormat="1" applyBorder="1" applyAlignment="1">
      <alignment horizontal="center" vertical="center"/>
    </xf>
    <xf numFmtId="0" fontId="35" fillId="8" borderId="85" xfId="0" applyFont="1" applyFill="1" applyBorder="1" applyAlignment="1">
      <alignment horizontal="center"/>
    </xf>
    <xf numFmtId="0" fontId="35" fillId="9" borderId="85" xfId="0" applyFont="1" applyFill="1" applyBorder="1" applyAlignment="1">
      <alignment horizontal="center"/>
    </xf>
    <xf numFmtId="0" fontId="35" fillId="6" borderId="85" xfId="0" applyFont="1" applyFill="1" applyBorder="1" applyAlignment="1">
      <alignment horizontal="center"/>
    </xf>
    <xf numFmtId="3" fontId="34" fillId="0" borderId="88" xfId="0" applyNumberFormat="1" applyFont="1" applyBorder="1" applyAlignment="1">
      <alignment horizontal="center" vertical="center"/>
    </xf>
    <xf numFmtId="171" fontId="24" fillId="0" borderId="0" xfId="0" applyNumberFormat="1" applyFont="1"/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36" fillId="0" borderId="0" xfId="0" applyFont="1"/>
    <xf numFmtId="1" fontId="36" fillId="0" borderId="0" xfId="0" applyNumberFormat="1" applyFont="1"/>
    <xf numFmtId="0" fontId="35" fillId="0" borderId="0" xfId="0" applyFont="1" applyAlignment="1">
      <alignment horizontal="center"/>
    </xf>
    <xf numFmtId="37" fontId="35" fillId="0" borderId="90" xfId="0" applyNumberFormat="1" applyFont="1" applyBorder="1" applyAlignment="1">
      <alignment horizontal="center" vertical="center"/>
    </xf>
    <xf numFmtId="3" fontId="34" fillId="7" borderId="88" xfId="0" applyNumberFormat="1" applyFont="1" applyFill="1" applyBorder="1" applyAlignment="1">
      <alignment horizontal="center" vertical="center"/>
    </xf>
    <xf numFmtId="3" fontId="0" fillId="7" borderId="88" xfId="0" applyNumberFormat="1" applyFill="1" applyBorder="1" applyAlignment="1">
      <alignment horizontal="center" vertical="center"/>
    </xf>
    <xf numFmtId="3" fontId="0" fillId="7" borderId="89" xfId="0" applyNumberFormat="1" applyFill="1" applyBorder="1" applyAlignment="1">
      <alignment horizontal="center" vertical="center"/>
    </xf>
    <xf numFmtId="3" fontId="0" fillId="7" borderId="90" xfId="0" applyNumberFormat="1" applyFill="1" applyBorder="1" applyAlignment="1">
      <alignment horizontal="center" vertical="center"/>
    </xf>
    <xf numFmtId="0" fontId="35" fillId="7" borderId="85" xfId="0" applyFont="1" applyFill="1" applyBorder="1" applyAlignment="1">
      <alignment horizontal="center"/>
    </xf>
    <xf numFmtId="0" fontId="17" fillId="0" borderId="0" xfId="0" applyFont="1"/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13" fillId="0" borderId="9" xfId="0" applyNumberFormat="1" applyFont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0" fontId="43" fillId="11" borderId="0" xfId="0" applyFont="1" applyFill="1"/>
    <xf numFmtId="0" fontId="43" fillId="11" borderId="0" xfId="0" applyFont="1" applyFill="1" applyAlignment="1">
      <alignment horizontal="right"/>
    </xf>
    <xf numFmtId="168" fontId="25" fillId="0" borderId="9" xfId="0" applyNumberFormat="1" applyFont="1" applyBorder="1"/>
    <xf numFmtId="168" fontId="25" fillId="0" borderId="8" xfId="0" applyNumberFormat="1" applyFont="1" applyBorder="1"/>
    <xf numFmtId="168" fontId="25" fillId="0" borderId="9" xfId="0" applyNumberFormat="1" applyFont="1" applyBorder="1" applyAlignment="1">
      <alignment vertical="center"/>
    </xf>
    <xf numFmtId="168" fontId="25" fillId="0" borderId="8" xfId="0" applyNumberFormat="1" applyFont="1" applyBorder="1" applyAlignment="1">
      <alignment vertical="center"/>
    </xf>
    <xf numFmtId="0" fontId="13" fillId="2" borderId="52" xfId="0" applyFont="1" applyFill="1" applyBorder="1"/>
    <xf numFmtId="0" fontId="13" fillId="2" borderId="50" xfId="0" applyFont="1" applyFill="1" applyBorder="1"/>
    <xf numFmtId="0" fontId="14" fillId="2" borderId="52" xfId="0" applyFont="1" applyFill="1" applyBorder="1"/>
    <xf numFmtId="9" fontId="14" fillId="2" borderId="31" xfId="0" applyNumberFormat="1" applyFont="1" applyFill="1" applyBorder="1"/>
    <xf numFmtId="168" fontId="14" fillId="17" borderId="30" xfId="0" applyNumberFormat="1" applyFont="1" applyFill="1" applyBorder="1"/>
    <xf numFmtId="0" fontId="9" fillId="0" borderId="0" xfId="0" applyFont="1" applyAlignment="1">
      <alignment horizontal="right"/>
    </xf>
    <xf numFmtId="37" fontId="13" fillId="0" borderId="52" xfId="0" applyNumberFormat="1" applyFont="1" applyBorder="1"/>
    <xf numFmtId="0" fontId="13" fillId="0" borderId="46" xfId="0" applyFont="1" applyBorder="1"/>
    <xf numFmtId="39" fontId="13" fillId="0" borderId="12" xfId="0" applyNumberFormat="1" applyFont="1" applyBorder="1" applyAlignment="1">
      <alignment horizontal="center"/>
    </xf>
    <xf numFmtId="37" fontId="14" fillId="0" borderId="14" xfId="0" applyNumberFormat="1" applyFont="1" applyBorder="1"/>
    <xf numFmtId="0" fontId="14" fillId="3" borderId="27" xfId="0" applyFont="1" applyFill="1" applyBorder="1"/>
    <xf numFmtId="0" fontId="14" fillId="3" borderId="14" xfId="0" applyFont="1" applyFill="1" applyBorder="1"/>
    <xf numFmtId="39" fontId="14" fillId="3" borderId="12" xfId="0" applyNumberFormat="1" applyFont="1" applyFill="1" applyBorder="1" applyAlignment="1">
      <alignment horizontal="center"/>
    </xf>
    <xf numFmtId="0" fontId="14" fillId="0" borderId="20" xfId="0" applyFont="1" applyBorder="1"/>
    <xf numFmtId="0" fontId="14" fillId="3" borderId="20" xfId="0" applyFont="1" applyFill="1" applyBorder="1"/>
    <xf numFmtId="0" fontId="14" fillId="2" borderId="27" xfId="0" applyFont="1" applyFill="1" applyBorder="1"/>
    <xf numFmtId="0" fontId="14" fillId="0" borderId="9" xfId="0" applyFont="1" applyBorder="1" applyAlignment="1">
      <alignment horizontal="left"/>
    </xf>
    <xf numFmtId="0" fontId="18" fillId="0" borderId="9" xfId="0" applyFont="1" applyBorder="1"/>
    <xf numFmtId="0" fontId="18" fillId="0" borderId="14" xfId="0" applyFont="1" applyBorder="1"/>
    <xf numFmtId="0" fontId="13" fillId="2" borderId="50" xfId="0" applyFont="1" applyFill="1" applyBorder="1" applyAlignment="1">
      <alignment horizontal="right"/>
    </xf>
    <xf numFmtId="0" fontId="13" fillId="2" borderId="52" xfId="0" applyFont="1" applyFill="1" applyBorder="1" applyAlignment="1">
      <alignment horizontal="right"/>
    </xf>
    <xf numFmtId="0" fontId="14" fillId="2" borderId="50" xfId="0" applyFont="1" applyFill="1" applyBorder="1"/>
    <xf numFmtId="10" fontId="14" fillId="2" borderId="27" xfId="0" applyNumberFormat="1" applyFont="1" applyFill="1" applyBorder="1"/>
    <xf numFmtId="0" fontId="25" fillId="2" borderId="94" xfId="0" applyFont="1" applyFill="1" applyBorder="1" applyAlignment="1">
      <alignment horizontal="center"/>
    </xf>
    <xf numFmtId="168" fontId="25" fillId="2" borderId="94" xfId="0" applyNumberFormat="1" applyFont="1" applyFill="1" applyBorder="1"/>
    <xf numFmtId="37" fontId="25" fillId="2" borderId="101" xfId="0" applyNumberFormat="1" applyFont="1" applyFill="1" applyBorder="1"/>
    <xf numFmtId="0" fontId="51" fillId="0" borderId="0" xfId="0" applyFont="1"/>
    <xf numFmtId="0" fontId="11" fillId="0" borderId="66" xfId="0" applyFont="1" applyBorder="1"/>
    <xf numFmtId="37" fontId="18" fillId="0" borderId="72" xfId="0" applyNumberFormat="1" applyFont="1" applyBorder="1"/>
    <xf numFmtId="37" fontId="18" fillId="10" borderId="0" xfId="0" applyNumberFormat="1" applyFont="1" applyFill="1"/>
    <xf numFmtId="37" fontId="25" fillId="2" borderId="102" xfId="0" applyNumberFormat="1" applyFont="1" applyFill="1" applyBorder="1"/>
    <xf numFmtId="168" fontId="25" fillId="2" borderId="103" xfId="0" applyNumberFormat="1" applyFont="1" applyFill="1" applyBorder="1"/>
    <xf numFmtId="37" fontId="25" fillId="2" borderId="94" xfId="0" applyNumberFormat="1" applyFont="1" applyFill="1" applyBorder="1"/>
    <xf numFmtId="168" fontId="18" fillId="0" borderId="16" xfId="0" applyNumberFormat="1" applyFont="1" applyBorder="1"/>
    <xf numFmtId="168" fontId="25" fillId="2" borderId="16" xfId="0" applyNumberFormat="1" applyFont="1" applyFill="1" applyBorder="1"/>
    <xf numFmtId="168" fontId="18" fillId="0" borderId="19" xfId="0" applyNumberFormat="1" applyFont="1" applyBorder="1"/>
    <xf numFmtId="168" fontId="18" fillId="0" borderId="8" xfId="0" applyNumberFormat="1" applyFont="1" applyBorder="1"/>
    <xf numFmtId="168" fontId="25" fillId="2" borderId="35" xfId="0" applyNumberFormat="1" applyFont="1" applyFill="1" applyBorder="1"/>
    <xf numFmtId="168" fontId="18" fillId="0" borderId="35" xfId="0" applyNumberFormat="1" applyFont="1" applyBorder="1"/>
    <xf numFmtId="168" fontId="18" fillId="0" borderId="51" xfId="0" applyNumberFormat="1" applyFont="1" applyBorder="1"/>
    <xf numFmtId="37" fontId="25" fillId="2" borderId="104" xfId="0" applyNumberFormat="1" applyFont="1" applyFill="1" applyBorder="1"/>
    <xf numFmtId="168" fontId="25" fillId="2" borderId="30" xfId="0" applyNumberFormat="1" applyFont="1" applyFill="1" applyBorder="1"/>
    <xf numFmtId="0" fontId="51" fillId="0" borderId="0" xfId="0" applyFont="1" applyAlignment="1">
      <alignment horizontal="right"/>
    </xf>
    <xf numFmtId="37" fontId="25" fillId="2" borderId="106" xfId="0" applyNumberFormat="1" applyFont="1" applyFill="1" applyBorder="1"/>
    <xf numFmtId="37" fontId="25" fillId="2" borderId="97" xfId="0" applyNumberFormat="1" applyFont="1" applyFill="1" applyBorder="1"/>
    <xf numFmtId="168" fontId="25" fillId="2" borderId="100" xfId="0" applyNumberFormat="1" applyFont="1" applyFill="1" applyBorder="1"/>
    <xf numFmtId="0" fontId="11" fillId="0" borderId="8" xfId="0" applyFont="1" applyBorder="1"/>
    <xf numFmtId="168" fontId="25" fillId="2" borderId="95" xfId="0" applyNumberFormat="1" applyFont="1" applyFill="1" applyBorder="1"/>
    <xf numFmtId="37" fontId="12" fillId="0" borderId="0" xfId="0" applyNumberFormat="1" applyFont="1"/>
    <xf numFmtId="43" fontId="24" fillId="0" borderId="0" xfId="21" applyFont="1"/>
    <xf numFmtId="0" fontId="35" fillId="8" borderId="85" xfId="0" applyFont="1" applyFill="1" applyBorder="1" applyAlignment="1">
      <alignment horizontal="center" vertical="center"/>
    </xf>
    <xf numFmtId="0" fontId="35" fillId="9" borderId="85" xfId="0" applyFont="1" applyFill="1" applyBorder="1" applyAlignment="1">
      <alignment horizontal="center" vertical="center"/>
    </xf>
    <xf numFmtId="0" fontId="35" fillId="7" borderId="85" xfId="0" applyFont="1" applyFill="1" applyBorder="1" applyAlignment="1">
      <alignment horizontal="center" vertical="center"/>
    </xf>
    <xf numFmtId="0" fontId="35" fillId="6" borderId="85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5" fillId="0" borderId="47" xfId="0" applyFont="1" applyBorder="1"/>
    <xf numFmtId="0" fontId="14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5" fillId="0" borderId="91" xfId="0" applyFont="1" applyBorder="1"/>
    <xf numFmtId="0" fontId="14" fillId="0" borderId="1" xfId="0" applyFont="1" applyBorder="1" applyAlignment="1">
      <alignment horizontal="center"/>
    </xf>
    <xf numFmtId="0" fontId="14" fillId="0" borderId="99" xfId="0" applyFont="1" applyBorder="1" applyAlignment="1">
      <alignment horizontal="center" vertical="center"/>
    </xf>
    <xf numFmtId="0" fontId="15" fillId="0" borderId="97" xfId="0" applyFont="1" applyBorder="1"/>
    <xf numFmtId="0" fontId="15" fillId="0" borderId="100" xfId="0" applyFont="1" applyBorder="1"/>
    <xf numFmtId="0" fontId="15" fillId="0" borderId="5" xfId="0" applyFont="1" applyBorder="1"/>
    <xf numFmtId="0" fontId="14" fillId="0" borderId="60" xfId="0" applyFont="1" applyBorder="1" applyAlignment="1">
      <alignment horizontal="center" vertical="center"/>
    </xf>
    <xf numFmtId="0" fontId="15" fillId="0" borderId="60" xfId="0" applyFont="1" applyBorder="1"/>
    <xf numFmtId="0" fontId="15" fillId="0" borderId="61" xfId="0" applyFont="1" applyBorder="1"/>
    <xf numFmtId="0" fontId="15" fillId="0" borderId="98" xfId="0" applyFont="1" applyBorder="1"/>
    <xf numFmtId="0" fontId="14" fillId="0" borderId="62" xfId="0" applyFont="1" applyBorder="1" applyAlignment="1">
      <alignment horizontal="center" vertical="center"/>
    </xf>
    <xf numFmtId="0" fontId="53" fillId="0" borderId="0" xfId="26"/>
    <xf numFmtId="0" fontId="9" fillId="0" borderId="0" xfId="26" applyFont="1"/>
    <xf numFmtId="0" fontId="48" fillId="12" borderId="0" xfId="26" applyFont="1" applyFill="1"/>
    <xf numFmtId="0" fontId="9" fillId="0" borderId="0" xfId="26" applyFont="1" applyAlignment="1">
      <alignment horizontal="center" vertical="center"/>
    </xf>
    <xf numFmtId="0" fontId="11" fillId="0" borderId="0" xfId="26" applyFont="1" applyAlignment="1">
      <alignment horizontal="left" vertical="center"/>
    </xf>
    <xf numFmtId="0" fontId="9" fillId="0" borderId="0" xfId="26" applyFont="1" applyAlignment="1">
      <alignment horizontal="center"/>
    </xf>
    <xf numFmtId="3" fontId="9" fillId="0" borderId="0" xfId="26" applyNumberFormat="1" applyFont="1"/>
    <xf numFmtId="0" fontId="48" fillId="12" borderId="0" xfId="26" applyFont="1" applyFill="1" applyAlignment="1">
      <alignment horizontal="center" vertical="center"/>
    </xf>
    <xf numFmtId="0" fontId="48" fillId="12" borderId="0" xfId="26" applyFont="1" applyFill="1" applyAlignment="1">
      <alignment horizontal="right"/>
    </xf>
    <xf numFmtId="0" fontId="10" fillId="0" borderId="0" xfId="26" applyFont="1"/>
    <xf numFmtId="167" fontId="11" fillId="0" borderId="0" xfId="26" applyNumberFormat="1" applyFont="1" applyAlignment="1">
      <alignment horizontal="left"/>
    </xf>
    <xf numFmtId="0" fontId="11" fillId="0" borderId="0" xfId="26" applyFont="1" applyAlignment="1">
      <alignment horizontal="center"/>
    </xf>
    <xf numFmtId="0" fontId="11" fillId="0" borderId="0" xfId="26" applyFont="1"/>
    <xf numFmtId="0" fontId="44" fillId="13" borderId="27" xfId="26" applyFont="1" applyFill="1" applyBorder="1"/>
    <xf numFmtId="0" fontId="49" fillId="13" borderId="26" xfId="26" applyFont="1" applyFill="1" applyBorder="1"/>
    <xf numFmtId="0" fontId="13" fillId="0" borderId="0" xfId="26" applyFont="1"/>
    <xf numFmtId="0" fontId="13" fillId="0" borderId="46" xfId="26" applyFont="1" applyBorder="1"/>
    <xf numFmtId="0" fontId="14" fillId="0" borderId="91" xfId="26" applyFont="1" applyBorder="1" applyAlignment="1">
      <alignment horizontal="center"/>
    </xf>
    <xf numFmtId="0" fontId="15" fillId="0" borderId="91" xfId="26" applyFont="1" applyBorder="1"/>
    <xf numFmtId="0" fontId="15" fillId="0" borderId="47" xfId="26" applyFont="1" applyBorder="1"/>
    <xf numFmtId="0" fontId="14" fillId="0" borderId="46" xfId="26" applyFont="1" applyBorder="1" applyAlignment="1">
      <alignment horizontal="center"/>
    </xf>
    <xf numFmtId="0" fontId="50" fillId="13" borderId="9" xfId="26" applyFont="1" applyFill="1" applyBorder="1"/>
    <xf numFmtId="10" fontId="50" fillId="13" borderId="8" xfId="26" applyNumberFormat="1" applyFont="1" applyFill="1" applyBorder="1"/>
    <xf numFmtId="0" fontId="13" fillId="0" borderId="20" xfId="26" applyFont="1" applyBorder="1"/>
    <xf numFmtId="3" fontId="13" fillId="0" borderId="7" xfId="26" applyNumberFormat="1" applyFont="1" applyBorder="1" applyAlignment="1">
      <alignment horizontal="center"/>
    </xf>
    <xf numFmtId="3" fontId="13" fillId="0" borderId="0" xfId="26" applyNumberFormat="1" applyFont="1" applyAlignment="1">
      <alignment horizontal="center"/>
    </xf>
    <xf numFmtId="3" fontId="13" fillId="0" borderId="8" xfId="26" applyNumberFormat="1" applyFont="1" applyBorder="1" applyAlignment="1">
      <alignment horizontal="center"/>
    </xf>
    <xf numFmtId="3" fontId="13" fillId="0" borderId="9" xfId="26" applyNumberFormat="1" applyFont="1" applyBorder="1" applyAlignment="1">
      <alignment horizontal="center"/>
    </xf>
    <xf numFmtId="0" fontId="1" fillId="0" borderId="0" xfId="26" applyFont="1"/>
    <xf numFmtId="0" fontId="13" fillId="0" borderId="14" xfId="26" applyFont="1" applyBorder="1"/>
    <xf numFmtId="3" fontId="13" fillId="0" borderId="12" xfId="26" applyNumberFormat="1" applyFont="1" applyBorder="1" applyAlignment="1">
      <alignment horizontal="center"/>
    </xf>
    <xf numFmtId="3" fontId="13" fillId="0" borderId="16" xfId="26" applyNumberFormat="1" applyFont="1" applyBorder="1"/>
    <xf numFmtId="3" fontId="13" fillId="0" borderId="12" xfId="26" applyNumberFormat="1" applyFont="1" applyBorder="1" applyAlignment="1">
      <alignment horizontal="right"/>
    </xf>
    <xf numFmtId="3" fontId="13" fillId="0" borderId="12" xfId="26" applyNumberFormat="1" applyFont="1" applyBorder="1"/>
    <xf numFmtId="3" fontId="13" fillId="0" borderId="14" xfId="26" applyNumberFormat="1" applyFont="1" applyBorder="1" applyAlignment="1">
      <alignment horizontal="center"/>
    </xf>
    <xf numFmtId="3" fontId="13" fillId="0" borderId="16" xfId="26" applyNumberFormat="1" applyFont="1" applyBorder="1" applyAlignment="1">
      <alignment horizontal="center"/>
    </xf>
    <xf numFmtId="0" fontId="13" fillId="0" borderId="9" xfId="26" applyFont="1" applyBorder="1"/>
    <xf numFmtId="3" fontId="13" fillId="0" borderId="0" xfId="26" applyNumberFormat="1" applyFont="1"/>
    <xf numFmtId="3" fontId="13" fillId="0" borderId="9" xfId="26" applyNumberFormat="1" applyFont="1" applyBorder="1"/>
    <xf numFmtId="3" fontId="13" fillId="0" borderId="8" xfId="26" applyNumberFormat="1" applyFont="1" applyBorder="1"/>
    <xf numFmtId="0" fontId="49" fillId="13" borderId="31" xfId="26" applyFont="1" applyFill="1" applyBorder="1"/>
    <xf numFmtId="10" fontId="50" fillId="13" borderId="30" xfId="26" applyNumberFormat="1" applyFont="1" applyFill="1" applyBorder="1"/>
    <xf numFmtId="0" fontId="14" fillId="0" borderId="20" xfId="26" applyFont="1" applyBorder="1"/>
    <xf numFmtId="3" fontId="14" fillId="0" borderId="7" xfId="26" applyNumberFormat="1" applyFont="1" applyBorder="1"/>
    <xf numFmtId="3" fontId="14" fillId="0" borderId="19" xfId="26" applyNumberFormat="1" applyFont="1" applyBorder="1"/>
    <xf numFmtId="3" fontId="14" fillId="0" borderId="20" xfId="26" applyNumberFormat="1" applyFont="1" applyBorder="1"/>
    <xf numFmtId="0" fontId="13" fillId="0" borderId="8" xfId="26" applyFont="1" applyBorder="1"/>
    <xf numFmtId="168" fontId="25" fillId="0" borderId="9" xfId="26" applyNumberFormat="1" applyFont="1" applyBorder="1" applyAlignment="1">
      <alignment vertical="center"/>
    </xf>
    <xf numFmtId="168" fontId="25" fillId="0" borderId="8" xfId="26" applyNumberFormat="1" applyFont="1" applyBorder="1" applyAlignment="1">
      <alignment vertical="center"/>
    </xf>
    <xf numFmtId="0" fontId="14" fillId="0" borderId="14" xfId="26" applyFont="1" applyBorder="1"/>
    <xf numFmtId="3" fontId="13" fillId="0" borderId="14" xfId="26" applyNumberFormat="1" applyFont="1" applyBorder="1"/>
    <xf numFmtId="3" fontId="14" fillId="0" borderId="14" xfId="26" applyNumberFormat="1" applyFont="1" applyBorder="1"/>
    <xf numFmtId="3" fontId="14" fillId="0" borderId="12" xfId="26" applyNumberFormat="1" applyFont="1" applyBorder="1"/>
    <xf numFmtId="168" fontId="14" fillId="0" borderId="9" xfId="26" applyNumberFormat="1" applyFont="1" applyBorder="1"/>
    <xf numFmtId="168" fontId="14" fillId="0" borderId="8" xfId="26" applyNumberFormat="1" applyFont="1" applyBorder="1"/>
    <xf numFmtId="0" fontId="14" fillId="0" borderId="9" xfId="26" applyFont="1" applyBorder="1"/>
    <xf numFmtId="3" fontId="53" fillId="0" borderId="0" xfId="26" applyNumberFormat="1"/>
    <xf numFmtId="3" fontId="13" fillId="0" borderId="7" xfId="26" applyNumberFormat="1" applyFont="1" applyBorder="1"/>
    <xf numFmtId="3" fontId="13" fillId="0" borderId="19" xfId="26" applyNumberFormat="1" applyFont="1" applyBorder="1"/>
    <xf numFmtId="3" fontId="13" fillId="0" borderId="20" xfId="26" applyNumberFormat="1" applyFont="1" applyBorder="1"/>
    <xf numFmtId="166" fontId="13" fillId="0" borderId="0" xfId="26" applyNumberFormat="1" applyFont="1"/>
    <xf numFmtId="3" fontId="14" fillId="0" borderId="9" xfId="26" applyNumberFormat="1" applyFont="1" applyBorder="1"/>
    <xf numFmtId="37" fontId="13" fillId="0" borderId="8" xfId="26" applyNumberFormat="1" applyFont="1" applyBorder="1"/>
    <xf numFmtId="37" fontId="13" fillId="0" borderId="9" xfId="26" applyNumberFormat="1" applyFont="1" applyBorder="1"/>
    <xf numFmtId="0" fontId="14" fillId="2" borderId="27" xfId="26" applyFont="1" applyFill="1" applyBorder="1"/>
    <xf numFmtId="37" fontId="14" fillId="2" borderId="25" xfId="26" applyNumberFormat="1" applyFont="1" applyFill="1" applyBorder="1"/>
    <xf numFmtId="3" fontId="14" fillId="2" borderId="25" xfId="26" applyNumberFormat="1" applyFont="1" applyFill="1" applyBorder="1"/>
    <xf numFmtId="37" fontId="14" fillId="2" borderId="26" xfId="26" applyNumberFormat="1" applyFont="1" applyFill="1" applyBorder="1"/>
    <xf numFmtId="37" fontId="14" fillId="2" borderId="27" xfId="26" applyNumberFormat="1" applyFont="1" applyFill="1" applyBorder="1"/>
    <xf numFmtId="0" fontId="14" fillId="2" borderId="31" xfId="26" applyFont="1" applyFill="1" applyBorder="1"/>
    <xf numFmtId="0" fontId="14" fillId="2" borderId="29" xfId="26" applyFont="1" applyFill="1" applyBorder="1"/>
    <xf numFmtId="0" fontId="14" fillId="2" borderId="30" xfId="26" applyFont="1" applyFill="1" applyBorder="1"/>
    <xf numFmtId="168" fontId="14" fillId="2" borderId="30" xfId="27" applyNumberFormat="1" applyFont="1" applyFill="1" applyBorder="1"/>
    <xf numFmtId="168" fontId="14" fillId="2" borderId="31" xfId="26" applyNumberFormat="1" applyFont="1" applyFill="1" applyBorder="1"/>
    <xf numFmtId="168" fontId="14" fillId="2" borderId="30" xfId="26" applyNumberFormat="1" applyFont="1" applyFill="1" applyBorder="1"/>
    <xf numFmtId="0" fontId="14" fillId="0" borderId="0" xfId="26" applyFont="1"/>
    <xf numFmtId="0" fontId="14" fillId="0" borderId="8" xfId="26" applyFont="1" applyBorder="1"/>
    <xf numFmtId="0" fontId="14" fillId="0" borderId="9" xfId="26" applyFont="1" applyBorder="1" applyAlignment="1">
      <alignment horizontal="left"/>
    </xf>
    <xf numFmtId="0" fontId="13" fillId="0" borderId="0" xfId="26" applyFont="1" applyAlignment="1">
      <alignment horizontal="center"/>
    </xf>
    <xf numFmtId="168" fontId="13" fillId="0" borderId="0" xfId="26" applyNumberFormat="1" applyFont="1" applyAlignment="1">
      <alignment horizontal="right"/>
    </xf>
    <xf numFmtId="37" fontId="13" fillId="0" borderId="0" xfId="26" applyNumberFormat="1" applyFont="1"/>
    <xf numFmtId="168" fontId="13" fillId="0" borderId="9" xfId="26" applyNumberFormat="1" applyFont="1" applyBorder="1"/>
    <xf numFmtId="168" fontId="13" fillId="0" borderId="12" xfId="26" applyNumberFormat="1" applyFont="1" applyBorder="1" applyAlignment="1">
      <alignment horizontal="right"/>
    </xf>
    <xf numFmtId="37" fontId="13" fillId="0" borderId="12" xfId="26" applyNumberFormat="1" applyFont="1" applyBorder="1"/>
    <xf numFmtId="168" fontId="13" fillId="0" borderId="14" xfId="26" applyNumberFormat="1" applyFont="1" applyBorder="1"/>
    <xf numFmtId="37" fontId="13" fillId="0" borderId="16" xfId="26" applyNumberFormat="1" applyFont="1" applyBorder="1"/>
    <xf numFmtId="10" fontId="45" fillId="14" borderId="0" xfId="26" applyNumberFormat="1" applyFont="1" applyFill="1"/>
    <xf numFmtId="0" fontId="17" fillId="14" borderId="0" xfId="26" applyFont="1" applyFill="1"/>
    <xf numFmtId="0" fontId="13" fillId="0" borderId="0" xfId="26" applyFont="1" applyAlignment="1">
      <alignment horizontal="right"/>
    </xf>
    <xf numFmtId="0" fontId="13" fillId="0" borderId="9" xfId="26" applyFont="1" applyBorder="1" applyAlignment="1">
      <alignment horizontal="right"/>
    </xf>
    <xf numFmtId="0" fontId="13" fillId="0" borderId="12" xfId="26" applyFont="1" applyBorder="1" applyAlignment="1">
      <alignment horizontal="right"/>
    </xf>
    <xf numFmtId="0" fontId="13" fillId="0" borderId="14" xfId="26" applyFont="1" applyBorder="1" applyAlignment="1">
      <alignment horizontal="right"/>
    </xf>
    <xf numFmtId="3" fontId="13" fillId="0" borderId="77" xfId="26" applyNumberFormat="1" applyFont="1" applyBorder="1"/>
    <xf numFmtId="3" fontId="13" fillId="0" borderId="78" xfId="26" applyNumberFormat="1" applyFont="1" applyBorder="1"/>
    <xf numFmtId="3" fontId="13" fillId="0" borderId="92" xfId="26" applyNumberFormat="1" applyFont="1" applyBorder="1"/>
    <xf numFmtId="0" fontId="14" fillId="2" borderId="36" xfId="26" applyFont="1" applyFill="1" applyBorder="1"/>
    <xf numFmtId="0" fontId="14" fillId="2" borderId="34" xfId="26" applyFont="1" applyFill="1" applyBorder="1" applyAlignment="1">
      <alignment horizontal="center"/>
    </xf>
    <xf numFmtId="168" fontId="14" fillId="2" borderId="34" xfId="26" applyNumberFormat="1" applyFont="1" applyFill="1" applyBorder="1"/>
    <xf numFmtId="37" fontId="14" fillId="2" borderId="35" xfId="26" applyNumberFormat="1" applyFont="1" applyFill="1" applyBorder="1"/>
    <xf numFmtId="0" fontId="14" fillId="2" borderId="36" xfId="26" applyFont="1" applyFill="1" applyBorder="1" applyAlignment="1">
      <alignment horizontal="center"/>
    </xf>
    <xf numFmtId="0" fontId="13" fillId="2" borderId="37" xfId="26" applyFont="1" applyFill="1" applyBorder="1"/>
    <xf numFmtId="37" fontId="14" fillId="2" borderId="34" xfId="26" applyNumberFormat="1" applyFont="1" applyFill="1" applyBorder="1"/>
    <xf numFmtId="0" fontId="13" fillId="2" borderId="36" xfId="26" applyFont="1" applyFill="1" applyBorder="1"/>
    <xf numFmtId="0" fontId="18" fillId="0" borderId="9" xfId="26" applyFont="1" applyBorder="1"/>
    <xf numFmtId="0" fontId="18" fillId="0" borderId="14" xfId="26" applyFont="1" applyBorder="1"/>
    <xf numFmtId="0" fontId="13" fillId="0" borderId="7" xfId="26" applyFont="1" applyBorder="1" applyAlignment="1">
      <alignment horizontal="right"/>
    </xf>
    <xf numFmtId="0" fontId="13" fillId="0" borderId="7" xfId="26" applyFont="1" applyBorder="1"/>
    <xf numFmtId="0" fontId="13" fillId="0" borderId="20" xfId="26" applyFont="1" applyBorder="1" applyAlignment="1">
      <alignment horizontal="right"/>
    </xf>
    <xf numFmtId="37" fontId="13" fillId="0" borderId="19" xfId="26" applyNumberFormat="1" applyFont="1" applyBorder="1"/>
    <xf numFmtId="0" fontId="13" fillId="0" borderId="12" xfId="26" applyFont="1" applyBorder="1"/>
    <xf numFmtId="37" fontId="14" fillId="0" borderId="0" xfId="26" applyNumberFormat="1" applyFont="1"/>
    <xf numFmtId="37" fontId="14" fillId="2" borderId="16" xfId="26" applyNumberFormat="1" applyFont="1" applyFill="1" applyBorder="1"/>
    <xf numFmtId="170" fontId="13" fillId="0" borderId="0" xfId="28" applyNumberFormat="1" applyFont="1"/>
    <xf numFmtId="0" fontId="17" fillId="15" borderId="0" xfId="26" applyFont="1" applyFill="1"/>
    <xf numFmtId="0" fontId="13" fillId="15" borderId="0" xfId="26" applyFont="1" applyFill="1"/>
    <xf numFmtId="1" fontId="13" fillId="0" borderId="9" xfId="26" applyNumberFormat="1" applyFont="1" applyBorder="1"/>
    <xf numFmtId="170" fontId="13" fillId="0" borderId="0" xfId="26" applyNumberFormat="1" applyFont="1"/>
    <xf numFmtId="0" fontId="14" fillId="3" borderId="9" xfId="26" applyFont="1" applyFill="1" applyBorder="1"/>
    <xf numFmtId="0" fontId="13" fillId="3" borderId="0" xfId="26" applyFont="1" applyFill="1"/>
    <xf numFmtId="0" fontId="14" fillId="3" borderId="0" xfId="26" applyFont="1" applyFill="1"/>
    <xf numFmtId="37" fontId="14" fillId="3" borderId="8" xfId="26" applyNumberFormat="1" applyFont="1" applyFill="1" applyBorder="1"/>
    <xf numFmtId="0" fontId="13" fillId="3" borderId="9" xfId="26" applyFont="1" applyFill="1" applyBorder="1"/>
    <xf numFmtId="0" fontId="13" fillId="3" borderId="14" xfId="26" applyFont="1" applyFill="1" applyBorder="1"/>
    <xf numFmtId="0" fontId="13" fillId="3" borderId="12" xfId="26" applyFont="1" applyFill="1" applyBorder="1"/>
    <xf numFmtId="37" fontId="14" fillId="3" borderId="16" xfId="26" applyNumberFormat="1" applyFont="1" applyFill="1" applyBorder="1"/>
    <xf numFmtId="0" fontId="14" fillId="2" borderId="52" xfId="26" applyFont="1" applyFill="1" applyBorder="1"/>
    <xf numFmtId="0" fontId="13" fillId="2" borderId="50" xfId="26" applyFont="1" applyFill="1" applyBorder="1"/>
    <xf numFmtId="0" fontId="14" fillId="2" borderId="50" xfId="26" applyFont="1" applyFill="1" applyBorder="1"/>
    <xf numFmtId="37" fontId="14" fillId="2" borderId="51" xfId="26" applyNumberFormat="1" applyFont="1" applyFill="1" applyBorder="1"/>
    <xf numFmtId="0" fontId="13" fillId="2" borderId="52" xfId="26" applyFont="1" applyFill="1" applyBorder="1"/>
    <xf numFmtId="0" fontId="20" fillId="0" borderId="0" xfId="26" applyFont="1"/>
    <xf numFmtId="1" fontId="20" fillId="0" borderId="0" xfId="26" applyNumberFormat="1" applyFont="1"/>
    <xf numFmtId="37" fontId="20" fillId="0" borderId="0" xfId="26" applyNumberFormat="1" applyFont="1"/>
    <xf numFmtId="0" fontId="48" fillId="16" borderId="0" xfId="26" applyFont="1" applyFill="1"/>
    <xf numFmtId="0" fontId="9" fillId="0" borderId="0" xfId="26" applyFont="1" applyAlignment="1">
      <alignment horizontal="right"/>
    </xf>
    <xf numFmtId="0" fontId="13" fillId="0" borderId="14" xfId="26" applyFont="1" applyBorder="1" applyAlignment="1">
      <alignment horizontal="center"/>
    </xf>
    <xf numFmtId="0" fontId="13" fillId="0" borderId="16" xfId="26" applyFont="1" applyBorder="1" applyAlignment="1">
      <alignment horizontal="center"/>
    </xf>
    <xf numFmtId="0" fontId="21" fillId="0" borderId="0" xfId="26" applyFont="1"/>
    <xf numFmtId="168" fontId="25" fillId="0" borderId="9" xfId="26" applyNumberFormat="1" applyFont="1" applyBorder="1"/>
    <xf numFmtId="168" fontId="25" fillId="0" borderId="8" xfId="26" applyNumberFormat="1" applyFont="1" applyBorder="1"/>
    <xf numFmtId="39" fontId="13" fillId="0" borderId="0" xfId="26" applyNumberFormat="1" applyFont="1"/>
    <xf numFmtId="3" fontId="14" fillId="0" borderId="16" xfId="26" applyNumberFormat="1" applyFont="1" applyBorder="1"/>
    <xf numFmtId="169" fontId="13" fillId="0" borderId="0" xfId="26" applyNumberFormat="1" applyFont="1"/>
    <xf numFmtId="169" fontId="14" fillId="2" borderId="25" xfId="26" applyNumberFormat="1" applyFont="1" applyFill="1" applyBorder="1"/>
    <xf numFmtId="9" fontId="14" fillId="2" borderId="31" xfId="26" applyNumberFormat="1" applyFont="1" applyFill="1" applyBorder="1"/>
    <xf numFmtId="168" fontId="14" fillId="17" borderId="30" xfId="26" applyNumberFormat="1" applyFont="1" applyFill="1" applyBorder="1"/>
    <xf numFmtId="168" fontId="13" fillId="0" borderId="0" xfId="26" applyNumberFormat="1" applyFont="1"/>
    <xf numFmtId="168" fontId="13" fillId="0" borderId="12" xfId="26" applyNumberFormat="1" applyFont="1" applyBorder="1"/>
    <xf numFmtId="0" fontId="13" fillId="2" borderId="14" xfId="26" applyFont="1" applyFill="1" applyBorder="1"/>
    <xf numFmtId="0" fontId="14" fillId="0" borderId="0" xfId="26" applyFont="1" applyAlignment="1">
      <alignment horizontal="center"/>
    </xf>
    <xf numFmtId="168" fontId="14" fillId="0" borderId="0" xfId="26" applyNumberFormat="1" applyFont="1"/>
    <xf numFmtId="0" fontId="14" fillId="0" borderId="9" xfId="26" applyFont="1" applyBorder="1" applyAlignment="1">
      <alignment horizontal="center"/>
    </xf>
    <xf numFmtId="1" fontId="13" fillId="0" borderId="0" xfId="26" applyNumberFormat="1" applyFont="1"/>
    <xf numFmtId="0" fontId="13" fillId="2" borderId="50" xfId="26" applyFont="1" applyFill="1" applyBorder="1" applyAlignment="1">
      <alignment horizontal="right"/>
    </xf>
    <xf numFmtId="0" fontId="13" fillId="2" borderId="52" xfId="26" applyFont="1" applyFill="1" applyBorder="1" applyAlignment="1">
      <alignment horizontal="right"/>
    </xf>
    <xf numFmtId="37" fontId="11" fillId="0" borderId="0" xfId="26" applyNumberFormat="1" applyFont="1"/>
    <xf numFmtId="0" fontId="13" fillId="0" borderId="8" xfId="26" applyFont="1" applyBorder="1" applyAlignment="1">
      <alignment horizontal="center"/>
    </xf>
    <xf numFmtId="0" fontId="13" fillId="0" borderId="9" xfId="26" applyFont="1" applyBorder="1" applyAlignment="1">
      <alignment horizontal="center"/>
    </xf>
    <xf numFmtId="168" fontId="13" fillId="0" borderId="8" xfId="26" applyNumberFormat="1" applyFont="1" applyBorder="1"/>
    <xf numFmtId="39" fontId="13" fillId="0" borderId="12" xfId="26" applyNumberFormat="1" applyFont="1" applyBorder="1" applyAlignment="1">
      <alignment horizontal="center"/>
    </xf>
    <xf numFmtId="168" fontId="13" fillId="0" borderId="16" xfId="26" applyNumberFormat="1" applyFont="1" applyBorder="1"/>
    <xf numFmtId="37" fontId="13" fillId="0" borderId="14" xfId="26" applyNumberFormat="1" applyFont="1" applyBorder="1"/>
    <xf numFmtId="37" fontId="13" fillId="0" borderId="7" xfId="26" applyNumberFormat="1" applyFont="1" applyBorder="1"/>
    <xf numFmtId="37" fontId="13" fillId="0" borderId="20" xfId="26" applyNumberFormat="1" applyFont="1" applyBorder="1"/>
    <xf numFmtId="10" fontId="13" fillId="0" borderId="0" xfId="26" applyNumberFormat="1" applyFont="1"/>
    <xf numFmtId="168" fontId="14" fillId="0" borderId="14" xfId="26" applyNumberFormat="1" applyFont="1" applyBorder="1"/>
    <xf numFmtId="168" fontId="14" fillId="0" borderId="16" xfId="26" applyNumberFormat="1" applyFont="1" applyBorder="1"/>
    <xf numFmtId="168" fontId="13" fillId="0" borderId="20" xfId="26" applyNumberFormat="1" applyFont="1" applyBorder="1"/>
    <xf numFmtId="169" fontId="14" fillId="0" borderId="0" xfId="26" applyNumberFormat="1" applyFont="1"/>
    <xf numFmtId="37" fontId="14" fillId="0" borderId="9" xfId="26" applyNumberFormat="1" applyFont="1" applyBorder="1"/>
    <xf numFmtId="37" fontId="14" fillId="0" borderId="8" xfId="26" applyNumberFormat="1" applyFont="1" applyBorder="1"/>
    <xf numFmtId="0" fontId="14" fillId="0" borderId="12" xfId="26" applyFont="1" applyBorder="1"/>
    <xf numFmtId="169" fontId="14" fillId="0" borderId="12" xfId="26" applyNumberFormat="1" applyFont="1" applyBorder="1"/>
    <xf numFmtId="37" fontId="14" fillId="0" borderId="14" xfId="26" applyNumberFormat="1" applyFont="1" applyBorder="1"/>
    <xf numFmtId="37" fontId="14" fillId="0" borderId="16" xfId="26" applyNumberFormat="1" applyFont="1" applyBorder="1"/>
    <xf numFmtId="37" fontId="13" fillId="0" borderId="52" xfId="26" applyNumberFormat="1" applyFont="1" applyBorder="1"/>
    <xf numFmtId="0" fontId="14" fillId="3" borderId="27" xfId="26" applyFont="1" applyFill="1" applyBorder="1"/>
    <xf numFmtId="37" fontId="14" fillId="3" borderId="25" xfId="26" applyNumberFormat="1" applyFont="1" applyFill="1" applyBorder="1"/>
    <xf numFmtId="37" fontId="14" fillId="3" borderId="26" xfId="26" applyNumberFormat="1" applyFont="1" applyFill="1" applyBorder="1"/>
    <xf numFmtId="37" fontId="14" fillId="3" borderId="27" xfId="26" applyNumberFormat="1" applyFont="1" applyFill="1" applyBorder="1"/>
    <xf numFmtId="168" fontId="14" fillId="3" borderId="27" xfId="26" applyNumberFormat="1" applyFont="1" applyFill="1" applyBorder="1"/>
    <xf numFmtId="0" fontId="14" fillId="3" borderId="14" xfId="26" applyFont="1" applyFill="1" applyBorder="1"/>
    <xf numFmtId="37" fontId="14" fillId="3" borderId="12" xfId="26" applyNumberFormat="1" applyFont="1" applyFill="1" applyBorder="1"/>
    <xf numFmtId="39" fontId="14" fillId="3" borderId="12" xfId="26" applyNumberFormat="1" applyFont="1" applyFill="1" applyBorder="1" applyAlignment="1">
      <alignment horizontal="center"/>
    </xf>
    <xf numFmtId="168" fontId="14" fillId="3" borderId="16" xfId="26" applyNumberFormat="1" applyFont="1" applyFill="1" applyBorder="1"/>
    <xf numFmtId="37" fontId="14" fillId="3" borderId="14" xfId="26" applyNumberFormat="1" applyFont="1" applyFill="1" applyBorder="1"/>
    <xf numFmtId="37" fontId="14" fillId="0" borderId="7" xfId="26" applyNumberFormat="1" applyFont="1" applyBorder="1"/>
    <xf numFmtId="169" fontId="14" fillId="0" borderId="7" xfId="26" applyNumberFormat="1" applyFont="1" applyBorder="1"/>
    <xf numFmtId="37" fontId="14" fillId="0" borderId="19" xfId="26" applyNumberFormat="1" applyFont="1" applyBorder="1"/>
    <xf numFmtId="37" fontId="14" fillId="0" borderId="20" xfId="26" applyNumberFormat="1" applyFont="1" applyBorder="1"/>
    <xf numFmtId="0" fontId="14" fillId="3" borderId="20" xfId="26" applyFont="1" applyFill="1" applyBorder="1"/>
    <xf numFmtId="37" fontId="14" fillId="3" borderId="7" xfId="26" applyNumberFormat="1" applyFont="1" applyFill="1" applyBorder="1"/>
    <xf numFmtId="169" fontId="14" fillId="3" borderId="7" xfId="26" applyNumberFormat="1" applyFont="1" applyFill="1" applyBorder="1"/>
    <xf numFmtId="37" fontId="14" fillId="3" borderId="19" xfId="26" applyNumberFormat="1" applyFont="1" applyFill="1" applyBorder="1"/>
    <xf numFmtId="37" fontId="14" fillId="3" borderId="20" xfId="26" applyNumberFormat="1" applyFont="1" applyFill="1" applyBorder="1"/>
    <xf numFmtId="168" fontId="14" fillId="2" borderId="27" xfId="26" applyNumberFormat="1" applyFont="1" applyFill="1" applyBorder="1"/>
    <xf numFmtId="37" fontId="13" fillId="0" borderId="0" xfId="26" applyNumberFormat="1" applyFont="1" applyAlignment="1">
      <alignment horizontal="center"/>
    </xf>
    <xf numFmtId="0" fontId="13" fillId="0" borderId="12" xfId="26" applyFont="1" applyBorder="1" applyAlignment="1">
      <alignment horizontal="center"/>
    </xf>
    <xf numFmtId="1" fontId="13" fillId="0" borderId="20" xfId="26" applyNumberFormat="1" applyFont="1" applyBorder="1"/>
    <xf numFmtId="169" fontId="13" fillId="0" borderId="12" xfId="26" applyNumberFormat="1" applyFont="1" applyBorder="1"/>
    <xf numFmtId="2" fontId="13" fillId="0" borderId="12" xfId="26" applyNumberFormat="1" applyFont="1" applyBorder="1"/>
    <xf numFmtId="10" fontId="14" fillId="2" borderId="27" xfId="26" applyNumberFormat="1" applyFont="1" applyFill="1" applyBorder="1"/>
    <xf numFmtId="0" fontId="18" fillId="0" borderId="20" xfId="26" applyFont="1" applyBorder="1"/>
    <xf numFmtId="168" fontId="14" fillId="0" borderId="7" xfId="26" applyNumberFormat="1" applyFont="1" applyBorder="1"/>
    <xf numFmtId="168" fontId="14" fillId="0" borderId="20" xfId="26" applyNumberFormat="1" applyFont="1" applyBorder="1"/>
    <xf numFmtId="0" fontId="13" fillId="0" borderId="16" xfId="26" applyFont="1" applyBorder="1"/>
    <xf numFmtId="168" fontId="14" fillId="2" borderId="25" xfId="26" applyNumberFormat="1" applyFont="1" applyFill="1" applyBorder="1"/>
    <xf numFmtId="168" fontId="14" fillId="2" borderId="46" xfId="26" applyNumberFormat="1" applyFont="1" applyFill="1" applyBorder="1"/>
    <xf numFmtId="37" fontId="14" fillId="2" borderId="47" xfId="26" applyNumberFormat="1" applyFont="1" applyFill="1" applyBorder="1"/>
    <xf numFmtId="37" fontId="14" fillId="2" borderId="50" xfId="26" applyNumberFormat="1" applyFont="1" applyFill="1" applyBorder="1"/>
    <xf numFmtId="169" fontId="14" fillId="2" borderId="50" xfId="26" applyNumberFormat="1" applyFont="1" applyFill="1" applyBorder="1"/>
    <xf numFmtId="37" fontId="14" fillId="2" borderId="52" xfId="26" applyNumberFormat="1" applyFont="1" applyFill="1" applyBorder="1"/>
    <xf numFmtId="168" fontId="14" fillId="2" borderId="51" xfId="27" applyNumberFormat="1" applyFont="1" applyFill="1" applyBorder="1"/>
    <xf numFmtId="0" fontId="13" fillId="2" borderId="31" xfId="26" applyFont="1" applyFill="1" applyBorder="1"/>
    <xf numFmtId="164" fontId="13" fillId="0" borderId="0" xfId="26" applyNumberFormat="1" applyFont="1"/>
    <xf numFmtId="0" fontId="13" fillId="0" borderId="50" xfId="26" applyFont="1" applyBorder="1" applyAlignment="1">
      <alignment horizontal="center"/>
    </xf>
    <xf numFmtId="0" fontId="13" fillId="0" borderId="51" xfId="26" applyFont="1" applyBorder="1" applyAlignment="1">
      <alignment horizontal="center"/>
    </xf>
    <xf numFmtId="0" fontId="13" fillId="0" borderId="52" xfId="26" applyFont="1" applyBorder="1" applyAlignment="1">
      <alignment horizontal="center"/>
    </xf>
    <xf numFmtId="37" fontId="13" fillId="17" borderId="0" xfId="26" applyNumberFormat="1" applyFont="1" applyFill="1"/>
    <xf numFmtId="168" fontId="14" fillId="2" borderId="0" xfId="26" applyNumberFormat="1" applyFont="1" applyFill="1"/>
    <xf numFmtId="37" fontId="13" fillId="17" borderId="47" xfId="26" applyNumberFormat="1" applyFont="1" applyFill="1" applyBorder="1"/>
    <xf numFmtId="3" fontId="13" fillId="17" borderId="46" xfId="26" applyNumberFormat="1" applyFont="1" applyFill="1" applyBorder="1"/>
    <xf numFmtId="3" fontId="13" fillId="17" borderId="47" xfId="26" applyNumberFormat="1" applyFont="1" applyFill="1" applyBorder="1"/>
    <xf numFmtId="0" fontId="23" fillId="0" borderId="0" xfId="26" applyFont="1"/>
    <xf numFmtId="168" fontId="14" fillId="0" borderId="26" xfId="26" applyNumberFormat="1" applyFont="1" applyBorder="1"/>
    <xf numFmtId="0" fontId="14" fillId="2" borderId="93" xfId="26" applyFont="1" applyFill="1" applyBorder="1"/>
    <xf numFmtId="0" fontId="14" fillId="2" borderId="94" xfId="26" applyFont="1" applyFill="1" applyBorder="1"/>
    <xf numFmtId="37" fontId="14" fillId="2" borderId="95" xfId="26" applyNumberFormat="1" applyFont="1" applyFill="1" applyBorder="1"/>
    <xf numFmtId="0" fontId="13" fillId="2" borderId="93" xfId="26" applyFont="1" applyFill="1" applyBorder="1"/>
    <xf numFmtId="0" fontId="13" fillId="2" borderId="94" xfId="26" applyFont="1" applyFill="1" applyBorder="1"/>
    <xf numFmtId="3" fontId="14" fillId="0" borderId="0" xfId="26" applyNumberFormat="1" applyFont="1"/>
    <xf numFmtId="37" fontId="53" fillId="0" borderId="0" xfId="26" applyNumberFormat="1"/>
    <xf numFmtId="0" fontId="46" fillId="18" borderId="0" xfId="26" applyFont="1" applyFill="1"/>
    <xf numFmtId="0" fontId="48" fillId="12" borderId="0" xfId="26" applyFont="1" applyFill="1" applyAlignment="1">
      <alignment vertical="center"/>
    </xf>
    <xf numFmtId="0" fontId="9" fillId="0" borderId="0" xfId="26" applyFont="1" applyAlignment="1">
      <alignment horizontal="right" vertical="center"/>
    </xf>
    <xf numFmtId="0" fontId="25" fillId="0" borderId="0" xfId="26" applyFont="1" applyAlignment="1">
      <alignment horizontal="center" vertical="center"/>
    </xf>
    <xf numFmtId="0" fontId="13" fillId="0" borderId="96" xfId="26" applyFont="1" applyBorder="1" applyAlignment="1">
      <alignment horizontal="left"/>
    </xf>
    <xf numFmtId="0" fontId="14" fillId="0" borderId="97" xfId="26" applyFont="1" applyBorder="1" applyAlignment="1">
      <alignment horizontal="center" vertical="center"/>
    </xf>
    <xf numFmtId="0" fontId="14" fillId="0" borderId="97" xfId="26" applyFont="1" applyBorder="1" applyAlignment="1">
      <alignment horizontal="center" vertical="center"/>
    </xf>
    <xf numFmtId="0" fontId="15" fillId="0" borderId="97" xfId="26" applyFont="1" applyBorder="1"/>
    <xf numFmtId="0" fontId="15" fillId="0" borderId="98" xfId="26" applyFont="1" applyBorder="1"/>
    <xf numFmtId="0" fontId="14" fillId="0" borderId="99" xfId="26" applyFont="1" applyBorder="1" applyAlignment="1">
      <alignment horizontal="center" vertical="center"/>
    </xf>
    <xf numFmtId="0" fontId="15" fillId="0" borderId="100" xfId="26" applyFont="1" applyBorder="1"/>
    <xf numFmtId="0" fontId="13" fillId="0" borderId="63" xfId="26" applyFont="1" applyBorder="1" applyAlignment="1">
      <alignment horizontal="center"/>
    </xf>
    <xf numFmtId="0" fontId="13" fillId="0" borderId="64" xfId="26" applyFont="1" applyBorder="1" applyAlignment="1">
      <alignment horizontal="center"/>
    </xf>
    <xf numFmtId="0" fontId="13" fillId="0" borderId="65" xfId="26" applyFont="1" applyBorder="1" applyAlignment="1">
      <alignment horizontal="center"/>
    </xf>
    <xf numFmtId="0" fontId="18" fillId="0" borderId="12" xfId="26" applyFont="1" applyBorder="1"/>
    <xf numFmtId="37" fontId="18" fillId="0" borderId="63" xfId="26" applyNumberFormat="1" applyFont="1" applyBorder="1"/>
    <xf numFmtId="37" fontId="18" fillId="0" borderId="64" xfId="26" applyNumberFormat="1" applyFont="1" applyBorder="1"/>
    <xf numFmtId="37" fontId="18" fillId="0" borderId="12" xfId="26" applyNumberFormat="1" applyFont="1" applyBorder="1"/>
    <xf numFmtId="168" fontId="18" fillId="0" borderId="12" xfId="26" applyNumberFormat="1" applyFont="1" applyBorder="1"/>
    <xf numFmtId="37" fontId="18" fillId="0" borderId="65" xfId="26" applyNumberFormat="1" applyFont="1" applyBorder="1"/>
    <xf numFmtId="168" fontId="18" fillId="0" borderId="16" xfId="26" applyNumberFormat="1" applyFont="1" applyBorder="1"/>
    <xf numFmtId="0" fontId="25" fillId="2" borderId="14" xfId="26" applyFont="1" applyFill="1" applyBorder="1"/>
    <xf numFmtId="0" fontId="25" fillId="2" borderId="12" xfId="26" applyFont="1" applyFill="1" applyBorder="1"/>
    <xf numFmtId="37" fontId="25" fillId="2" borderId="63" xfId="26" applyNumberFormat="1" applyFont="1" applyFill="1" applyBorder="1"/>
    <xf numFmtId="37" fontId="25" fillId="2" borderId="64" xfId="26" applyNumberFormat="1" applyFont="1" applyFill="1" applyBorder="1"/>
    <xf numFmtId="37" fontId="25" fillId="2" borderId="12" xfId="26" applyNumberFormat="1" applyFont="1" applyFill="1" applyBorder="1"/>
    <xf numFmtId="168" fontId="25" fillId="2" borderId="12" xfId="26" applyNumberFormat="1" applyFont="1" applyFill="1" applyBorder="1"/>
    <xf numFmtId="37" fontId="25" fillId="2" borderId="65" xfId="26" applyNumberFormat="1" applyFont="1" applyFill="1" applyBorder="1"/>
    <xf numFmtId="168" fontId="25" fillId="2" borderId="16" xfId="26" applyNumberFormat="1" applyFont="1" applyFill="1" applyBorder="1"/>
    <xf numFmtId="0" fontId="25" fillId="0" borderId="9" xfId="26" applyFont="1" applyBorder="1"/>
    <xf numFmtId="0" fontId="18" fillId="0" borderId="0" xfId="26" applyFont="1"/>
    <xf numFmtId="37" fontId="18" fillId="0" borderId="66" xfId="26" applyNumberFormat="1" applyFont="1" applyBorder="1"/>
    <xf numFmtId="37" fontId="18" fillId="0" borderId="67" xfId="26" applyNumberFormat="1" applyFont="1" applyBorder="1"/>
    <xf numFmtId="37" fontId="18" fillId="0" borderId="0" xfId="26" applyNumberFormat="1" applyFont="1"/>
    <xf numFmtId="168" fontId="18" fillId="0" borderId="0" xfId="26" applyNumberFormat="1" applyFont="1"/>
    <xf numFmtId="37" fontId="18" fillId="0" borderId="68" xfId="26" applyNumberFormat="1" applyFont="1" applyBorder="1"/>
    <xf numFmtId="168" fontId="18" fillId="0" borderId="19" xfId="26" applyNumberFormat="1" applyFont="1" applyBorder="1"/>
    <xf numFmtId="0" fontId="18" fillId="0" borderId="0" xfId="26" applyFont="1" applyAlignment="1">
      <alignment horizontal="right"/>
    </xf>
    <xf numFmtId="169" fontId="18" fillId="0" borderId="0" xfId="26" applyNumberFormat="1" applyFont="1"/>
    <xf numFmtId="0" fontId="18" fillId="0" borderId="67" xfId="26" applyFont="1" applyBorder="1"/>
    <xf numFmtId="168" fontId="18" fillId="0" borderId="8" xfId="26" applyNumberFormat="1" applyFont="1" applyBorder="1"/>
    <xf numFmtId="0" fontId="18" fillId="0" borderId="12" xfId="26" applyFont="1" applyBorder="1" applyAlignment="1">
      <alignment horizontal="right"/>
    </xf>
    <xf numFmtId="169" fontId="18" fillId="0" borderId="12" xfId="26" applyNumberFormat="1" applyFont="1" applyBorder="1"/>
    <xf numFmtId="0" fontId="18" fillId="0" borderId="64" xfId="26" applyFont="1" applyBorder="1"/>
    <xf numFmtId="168" fontId="18" fillId="0" borderId="63" xfId="26" applyNumberFormat="1" applyFont="1" applyBorder="1"/>
    <xf numFmtId="0" fontId="25" fillId="2" borderId="36" xfId="26" applyFont="1" applyFill="1" applyBorder="1"/>
    <xf numFmtId="0" fontId="25" fillId="2" borderId="34" xfId="26" applyFont="1" applyFill="1" applyBorder="1"/>
    <xf numFmtId="168" fontId="25" fillId="2" borderId="34" xfId="26" applyNumberFormat="1" applyFont="1" applyFill="1" applyBorder="1"/>
    <xf numFmtId="37" fontId="25" fillId="2" borderId="69" xfId="26" applyNumberFormat="1" applyFont="1" applyFill="1" applyBorder="1"/>
    <xf numFmtId="168" fontId="25" fillId="2" borderId="37" xfId="26" applyNumberFormat="1" applyFont="1" applyFill="1" applyBorder="1"/>
    <xf numFmtId="0" fontId="25" fillId="2" borderId="37" xfId="26" applyFont="1" applyFill="1" applyBorder="1"/>
    <xf numFmtId="37" fontId="25" fillId="2" borderId="34" xfId="26" applyNumberFormat="1" applyFont="1" applyFill="1" applyBorder="1"/>
    <xf numFmtId="0" fontId="25" fillId="2" borderId="70" xfId="26" applyFont="1" applyFill="1" applyBorder="1"/>
    <xf numFmtId="168" fontId="18" fillId="0" borderId="66" xfId="26" applyNumberFormat="1" applyFont="1" applyBorder="1"/>
    <xf numFmtId="169" fontId="25" fillId="2" borderId="34" xfId="26" applyNumberFormat="1" applyFont="1" applyFill="1" applyBorder="1"/>
    <xf numFmtId="37" fontId="25" fillId="2" borderId="37" xfId="26" applyNumberFormat="1" applyFont="1" applyFill="1" applyBorder="1"/>
    <xf numFmtId="37" fontId="25" fillId="2" borderId="70" xfId="26" applyNumberFormat="1" applyFont="1" applyFill="1" applyBorder="1"/>
    <xf numFmtId="0" fontId="18" fillId="0" borderId="7" xfId="26" applyFont="1" applyBorder="1" applyAlignment="1">
      <alignment horizontal="right"/>
    </xf>
    <xf numFmtId="0" fontId="18" fillId="0" borderId="7" xfId="26" applyFont="1" applyBorder="1"/>
    <xf numFmtId="37" fontId="18" fillId="0" borderId="71" xfId="26" applyNumberFormat="1" applyFont="1" applyBorder="1"/>
    <xf numFmtId="0" fontId="18" fillId="0" borderId="72" xfId="26" applyFont="1" applyBorder="1"/>
    <xf numFmtId="169" fontId="18" fillId="0" borderId="7" xfId="26" applyNumberFormat="1" applyFont="1" applyBorder="1"/>
    <xf numFmtId="37" fontId="18" fillId="0" borderId="7" xfId="26" applyNumberFormat="1" applyFont="1" applyBorder="1"/>
    <xf numFmtId="168" fontId="18" fillId="0" borderId="7" xfId="26" applyNumberFormat="1" applyFont="1" applyBorder="1"/>
    <xf numFmtId="37" fontId="18" fillId="0" borderId="73" xfId="26" applyNumberFormat="1" applyFont="1" applyBorder="1"/>
    <xf numFmtId="9" fontId="17" fillId="0" borderId="0" xfId="26" applyNumberFormat="1" applyFont="1"/>
    <xf numFmtId="0" fontId="13" fillId="10" borderId="0" xfId="26" applyFont="1" applyFill="1"/>
    <xf numFmtId="37" fontId="18" fillId="0" borderId="72" xfId="26" applyNumberFormat="1" applyFont="1" applyBorder="1"/>
    <xf numFmtId="37" fontId="18" fillId="10" borderId="0" xfId="26" applyNumberFormat="1" applyFont="1" applyFill="1"/>
    <xf numFmtId="0" fontId="18" fillId="2" borderId="34" xfId="26" applyFont="1" applyFill="1" applyBorder="1"/>
    <xf numFmtId="3" fontId="25" fillId="2" borderId="34" xfId="26" applyNumberFormat="1" applyFont="1" applyFill="1" applyBorder="1" applyAlignment="1">
      <alignment horizontal="center"/>
    </xf>
    <xf numFmtId="168" fontId="25" fillId="2" borderId="35" xfId="26" applyNumberFormat="1" applyFont="1" applyFill="1" applyBorder="1"/>
    <xf numFmtId="168" fontId="25" fillId="0" borderId="0" xfId="26" applyNumberFormat="1" applyFont="1"/>
    <xf numFmtId="0" fontId="25" fillId="0" borderId="0" xfId="26" applyFont="1"/>
    <xf numFmtId="170" fontId="18" fillId="0" borderId="66" xfId="26" applyNumberFormat="1" applyFont="1" applyBorder="1"/>
    <xf numFmtId="0" fontId="11" fillId="3" borderId="0" xfId="26" applyFont="1" applyFill="1"/>
    <xf numFmtId="168" fontId="18" fillId="0" borderId="71" xfId="26" applyNumberFormat="1" applyFont="1" applyBorder="1"/>
    <xf numFmtId="37" fontId="25" fillId="19" borderId="34" xfId="26" applyNumberFormat="1" applyFont="1" applyFill="1" applyBorder="1"/>
    <xf numFmtId="168" fontId="25" fillId="19" borderId="34" xfId="26" applyNumberFormat="1" applyFont="1" applyFill="1" applyBorder="1"/>
    <xf numFmtId="0" fontId="18" fillId="0" borderId="66" xfId="26" applyFont="1" applyBorder="1"/>
    <xf numFmtId="0" fontId="18" fillId="0" borderId="68" xfId="26" applyFont="1" applyBorder="1"/>
    <xf numFmtId="168" fontId="18" fillId="0" borderId="35" xfId="26" applyNumberFormat="1" applyFont="1" applyBorder="1"/>
    <xf numFmtId="168" fontId="25" fillId="0" borderId="7" xfId="26" applyNumberFormat="1" applyFont="1" applyBorder="1"/>
    <xf numFmtId="0" fontId="25" fillId="0" borderId="7" xfId="26" applyFont="1" applyBorder="1"/>
    <xf numFmtId="168" fontId="25" fillId="0" borderId="72" xfId="26" applyNumberFormat="1" applyFont="1" applyBorder="1"/>
    <xf numFmtId="37" fontId="25" fillId="0" borderId="72" xfId="26" applyNumberFormat="1" applyFont="1" applyBorder="1"/>
    <xf numFmtId="37" fontId="18" fillId="0" borderId="77" xfId="26" applyNumberFormat="1" applyFont="1" applyBorder="1"/>
    <xf numFmtId="37" fontId="25" fillId="0" borderId="7" xfId="26" applyNumberFormat="1" applyFont="1" applyBorder="1"/>
    <xf numFmtId="37" fontId="25" fillId="0" borderId="0" xfId="26" applyNumberFormat="1" applyFont="1"/>
    <xf numFmtId="1" fontId="25" fillId="0" borderId="0" xfId="26" applyNumberFormat="1" applyFont="1"/>
    <xf numFmtId="37" fontId="25" fillId="0" borderId="67" xfId="26" applyNumberFormat="1" applyFont="1" applyBorder="1"/>
    <xf numFmtId="168" fontId="25" fillId="0" borderId="67" xfId="26" applyNumberFormat="1" applyFont="1" applyBorder="1"/>
    <xf numFmtId="37" fontId="18" fillId="0" borderId="78" xfId="26" applyNumberFormat="1" applyFont="1" applyBorder="1"/>
    <xf numFmtId="166" fontId="25" fillId="0" borderId="67" xfId="26" applyNumberFormat="1" applyFont="1" applyBorder="1"/>
    <xf numFmtId="168" fontId="18" fillId="2" borderId="37" xfId="26" applyNumberFormat="1" applyFont="1" applyFill="1" applyBorder="1"/>
    <xf numFmtId="168" fontId="18" fillId="2" borderId="34" xfId="26" applyNumberFormat="1" applyFont="1" applyFill="1" applyBorder="1"/>
    <xf numFmtId="37" fontId="18" fillId="2" borderId="70" xfId="26" applyNumberFormat="1" applyFont="1" applyFill="1" applyBorder="1"/>
    <xf numFmtId="0" fontId="25" fillId="3" borderId="20" xfId="26" applyFont="1" applyFill="1" applyBorder="1"/>
    <xf numFmtId="0" fontId="25" fillId="3" borderId="7" xfId="26" applyFont="1" applyFill="1" applyBorder="1"/>
    <xf numFmtId="37" fontId="25" fillId="3" borderId="7" xfId="26" applyNumberFormat="1" applyFont="1" applyFill="1" applyBorder="1"/>
    <xf numFmtId="37" fontId="18" fillId="3" borderId="71" xfId="26" applyNumberFormat="1" applyFont="1" applyFill="1" applyBorder="1"/>
    <xf numFmtId="0" fontId="18" fillId="3" borderId="7" xfId="26" applyFont="1" applyFill="1" applyBorder="1"/>
    <xf numFmtId="37" fontId="18" fillId="3" borderId="7" xfId="26" applyNumberFormat="1" applyFont="1" applyFill="1" applyBorder="1"/>
    <xf numFmtId="37" fontId="18" fillId="3" borderId="72" xfId="26" applyNumberFormat="1" applyFont="1" applyFill="1" applyBorder="1"/>
    <xf numFmtId="37" fontId="18" fillId="3" borderId="0" xfId="26" applyNumberFormat="1" applyFont="1" applyFill="1"/>
    <xf numFmtId="168" fontId="18" fillId="3" borderId="0" xfId="26" applyNumberFormat="1" applyFont="1" applyFill="1"/>
    <xf numFmtId="168" fontId="18" fillId="3" borderId="72" xfId="26" applyNumberFormat="1" applyFont="1" applyFill="1" applyBorder="1"/>
    <xf numFmtId="168" fontId="18" fillId="3" borderId="7" xfId="26" applyNumberFormat="1" applyFont="1" applyFill="1" applyBorder="1"/>
    <xf numFmtId="37" fontId="18" fillId="3" borderId="73" xfId="26" applyNumberFormat="1" applyFont="1" applyFill="1" applyBorder="1"/>
    <xf numFmtId="168" fontId="18" fillId="0" borderId="51" xfId="26" applyNumberFormat="1" applyFont="1" applyBorder="1"/>
    <xf numFmtId="0" fontId="25" fillId="2" borderId="93" xfId="26" applyFont="1" applyFill="1" applyBorder="1"/>
    <xf numFmtId="0" fontId="25" fillId="2" borderId="94" xfId="26" applyFont="1" applyFill="1" applyBorder="1"/>
    <xf numFmtId="0" fontId="25" fillId="2" borderId="94" xfId="26" applyFont="1" applyFill="1" applyBorder="1" applyAlignment="1">
      <alignment horizontal="center"/>
    </xf>
    <xf numFmtId="168" fontId="25" fillId="2" borderId="94" xfId="26" applyNumberFormat="1" applyFont="1" applyFill="1" applyBorder="1"/>
    <xf numFmtId="37" fontId="25" fillId="2" borderId="101" xfId="26" applyNumberFormat="1" applyFont="1" applyFill="1" applyBorder="1"/>
    <xf numFmtId="37" fontId="25" fillId="2" borderId="94" xfId="26" applyNumberFormat="1" applyFont="1" applyFill="1" applyBorder="1"/>
    <xf numFmtId="37" fontId="25" fillId="2" borderId="102" xfId="26" applyNumberFormat="1" applyFont="1" applyFill="1" applyBorder="1"/>
    <xf numFmtId="168" fontId="25" fillId="2" borderId="103" xfId="26" applyNumberFormat="1" applyFont="1" applyFill="1" applyBorder="1"/>
    <xf numFmtId="0" fontId="25" fillId="2" borderId="102" xfId="26" applyFont="1" applyFill="1" applyBorder="1" applyAlignment="1">
      <alignment horizontal="center"/>
    </xf>
    <xf numFmtId="37" fontId="25" fillId="2" borderId="104" xfId="26" applyNumberFormat="1" applyFont="1" applyFill="1" applyBorder="1"/>
    <xf numFmtId="168" fontId="25" fillId="2" borderId="30" xfId="26" applyNumberFormat="1" applyFont="1" applyFill="1" applyBorder="1"/>
    <xf numFmtId="39" fontId="18" fillId="0" borderId="0" xfId="26" applyNumberFormat="1" applyFont="1"/>
    <xf numFmtId="0" fontId="51" fillId="0" borderId="0" xfId="26" applyFont="1"/>
    <xf numFmtId="0" fontId="51" fillId="0" borderId="0" xfId="26" applyFont="1" applyAlignment="1">
      <alignment horizontal="center"/>
    </xf>
    <xf numFmtId="0" fontId="51" fillId="0" borderId="0" xfId="26" applyFont="1" applyAlignment="1">
      <alignment horizontal="right" vertical="center"/>
    </xf>
    <xf numFmtId="0" fontId="51" fillId="0" borderId="0" xfId="26" applyFont="1" applyAlignment="1">
      <alignment horizontal="center" vertical="center"/>
    </xf>
    <xf numFmtId="0" fontId="51" fillId="0" borderId="0" xfId="26" applyFont="1" applyAlignment="1">
      <alignment horizontal="right"/>
    </xf>
    <xf numFmtId="37" fontId="25" fillId="2" borderId="105" xfId="26" applyNumberFormat="1" applyFont="1" applyFill="1" applyBorder="1"/>
    <xf numFmtId="37" fontId="25" fillId="2" borderId="106" xfId="26" applyNumberFormat="1" applyFont="1" applyFill="1" applyBorder="1"/>
    <xf numFmtId="37" fontId="25" fillId="2" borderId="97" xfId="26" applyNumberFormat="1" applyFont="1" applyFill="1" applyBorder="1"/>
    <xf numFmtId="168" fontId="25" fillId="2" borderId="100" xfId="26" applyNumberFormat="1" applyFont="1" applyFill="1" applyBorder="1"/>
    <xf numFmtId="0" fontId="11" fillId="0" borderId="9" xfId="26" applyFont="1" applyBorder="1"/>
    <xf numFmtId="37" fontId="11" fillId="0" borderId="66" xfId="26" applyNumberFormat="1" applyFont="1" applyBorder="1"/>
    <xf numFmtId="0" fontId="11" fillId="0" borderId="66" xfId="26" applyFont="1" applyBorder="1"/>
    <xf numFmtId="0" fontId="11" fillId="0" borderId="78" xfId="26" applyFont="1" applyBorder="1"/>
    <xf numFmtId="0" fontId="11" fillId="0" borderId="68" xfId="26" applyFont="1" applyBorder="1"/>
    <xf numFmtId="0" fontId="11" fillId="0" borderId="8" xfId="26" applyFont="1" applyBorder="1"/>
    <xf numFmtId="168" fontId="25" fillId="2" borderId="95" xfId="26" applyNumberFormat="1" applyFont="1" applyFill="1" applyBorder="1"/>
    <xf numFmtId="0" fontId="45" fillId="0" borderId="0" xfId="26" applyFont="1"/>
    <xf numFmtId="37" fontId="45" fillId="0" borderId="0" xfId="26" applyNumberFormat="1" applyFont="1"/>
    <xf numFmtId="170" fontId="11" fillId="0" borderId="0" xfId="26" applyNumberFormat="1" applyFont="1"/>
    <xf numFmtId="175" fontId="11" fillId="0" borderId="0" xfId="26" applyNumberFormat="1" applyFont="1" applyAlignment="1">
      <alignment horizontal="right"/>
    </xf>
    <xf numFmtId="10" fontId="53" fillId="0" borderId="0" xfId="26" applyNumberFormat="1"/>
    <xf numFmtId="166" fontId="11" fillId="0" borderId="0" xfId="28" applyFont="1"/>
    <xf numFmtId="166" fontId="11" fillId="0" borderId="0" xfId="26" applyNumberFormat="1" applyFont="1"/>
    <xf numFmtId="17" fontId="11" fillId="0" borderId="0" xfId="26" applyNumberFormat="1" applyFont="1" applyAlignment="1">
      <alignment horizontal="right"/>
    </xf>
    <xf numFmtId="174" fontId="11" fillId="0" borderId="0" xfId="26" applyNumberFormat="1" applyFont="1"/>
  </cellXfs>
  <cellStyles count="29">
    <cellStyle name="Comma" xfId="21" builtinId="3"/>
    <cellStyle name="Comma 2" xfId="18" xr:uid="{B3812A5A-9C8C-4F45-A609-CEBF36AE3921}"/>
    <cellStyle name="Comma 3" xfId="20" xr:uid="{71EDA090-B677-4A1B-B2BC-D492BD32FFD6}"/>
    <cellStyle name="Comma 4" xfId="24" xr:uid="{45035DDF-451D-4AC0-8E2C-07753BC9829E}"/>
    <cellStyle name="Comma 5" xfId="25" xr:uid="{E19E6742-5389-432C-AB2F-637D576B3DC3}"/>
    <cellStyle name="Comma 6" xfId="28" xr:uid="{4C356AE2-F004-44A9-B0F6-330F365FC7E8}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0" xfId="22" xr:uid="{23ABE56B-D847-4174-AE2D-CF2176C4F195}"/>
    <cellStyle name="Normal 11" xfId="26" xr:uid="{6B8A20A7-29F1-413A-B7DA-9EEA7DEAD376}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Normal 9" xfId="16" xr:uid="{EF83D6C0-F6FC-4ACE-9B7D-F4E195AD76B9}"/>
    <cellStyle name="Percent" xfId="1" builtinId="5"/>
    <cellStyle name="Percent 2" xfId="17" xr:uid="{2F69D9FB-FDB1-450E-973A-422085024D8F}"/>
    <cellStyle name="Percent 3" xfId="19" xr:uid="{5AC16773-698A-4789-B576-0F343030924E}"/>
    <cellStyle name="Percent 4" xfId="23" xr:uid="{037AAEA9-6190-4876-AC93-E27308677D58}"/>
    <cellStyle name="Percent 5" xfId="27" xr:uid="{860C6200-4607-4606-957E-7843A9E7556B}"/>
    <cellStyle name="Pourcentage 2" xfId="7" xr:uid="{00000000-0005-0000-0000-000009000000}"/>
    <cellStyle name="Pourcentage 3" xfId="14" xr:uid="{B09CCB1C-0232-46FA-AAFA-AA26EA7AA4F5}"/>
  </cellStyles>
  <dxfs count="20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3\2023-07_R&#233;alis&#233;_VW.xlsx" TargetMode="External"/><Relationship Id="rId1" Type="http://schemas.openxmlformats.org/officeDocument/2006/relationships/externalLinkPath" Target="2023-07_R&#233;alis&#233;_V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3\2023-06_R&#233;alis&#233;_VW.xlsx" TargetMode="External"/><Relationship Id="rId1" Type="http://schemas.openxmlformats.org/officeDocument/2006/relationships/externalLinkPath" Target="2023-06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Capex"/>
      <sheetName val="Inventaire_Used"/>
      <sheetName val="Inventaire_Neuf"/>
      <sheetName val="2pager"/>
      <sheetName val="Chart1"/>
      <sheetName val="Print_Mois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Juillet</v>
          </cell>
        </row>
        <row r="4">
          <cell r="B4">
            <v>2023</v>
          </cell>
        </row>
      </sheetData>
      <sheetData sheetId="1" refreshError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>X</v>
          </cell>
          <cell r="Y2" t="str">
            <v>O</v>
          </cell>
          <cell r="Z2" t="str">
            <v>U</v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2023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29441341.037888002</v>
          </cell>
          <cell r="H8">
            <v>2058973.8726521598</v>
          </cell>
          <cell r="K8">
            <v>1513988.9676628113</v>
          </cell>
          <cell r="N8">
            <v>2694522.6091783307</v>
          </cell>
          <cell r="Q8">
            <v>2946054.1037888005</v>
          </cell>
          <cell r="T8">
            <v>3239507.5141676795</v>
          </cell>
          <cell r="W8">
            <v>2275303.4514942169</v>
          </cell>
          <cell r="Z8">
            <v>2357227.2830310399</v>
          </cell>
          <cell r="AC8">
            <v>2438191.1145678628</v>
          </cell>
          <cell r="AF8">
            <v>2522034.9461046858</v>
          </cell>
          <cell r="AI8">
            <v>2898372.1880203886</v>
          </cell>
          <cell r="AL8">
            <v>3024137.9353256226</v>
          </cell>
          <cell r="AO8">
            <v>1473027.0518944003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125.6</v>
          </cell>
          <cell r="D9">
            <v>1988.434</v>
          </cell>
          <cell r="E9">
            <v>249747.31039999999</v>
          </cell>
          <cell r="F9">
            <v>8.7919999999999998</v>
          </cell>
          <cell r="G9">
            <v>1988.4340000000002</v>
          </cell>
          <cell r="H9">
            <v>17482.311728000001</v>
          </cell>
          <cell r="I9">
            <v>6.4594285714285711</v>
          </cell>
          <cell r="J9">
            <v>1988.4340000000002</v>
          </cell>
          <cell r="K9">
            <v>12844.147392000001</v>
          </cell>
          <cell r="L9">
            <v>11.48342857142857</v>
          </cell>
          <cell r="M9">
            <v>1988.4340000000004</v>
          </cell>
          <cell r="N9">
            <v>22834.039808000001</v>
          </cell>
          <cell r="O9">
            <v>12.56</v>
          </cell>
          <cell r="P9">
            <v>1988.4340000000002</v>
          </cell>
          <cell r="Q9">
            <v>24974.731040000002</v>
          </cell>
          <cell r="R9">
            <v>13.815999999999999</v>
          </cell>
          <cell r="S9">
            <v>1988.4340000000002</v>
          </cell>
          <cell r="T9">
            <v>27472.204143999999</v>
          </cell>
          <cell r="U9">
            <v>9.6891428571428566</v>
          </cell>
          <cell r="V9">
            <v>1988.4340000000004</v>
          </cell>
          <cell r="W9">
            <v>19266.221088000002</v>
          </cell>
          <cell r="X9">
            <v>10.048</v>
          </cell>
          <cell r="Y9">
            <v>1988.4340000000002</v>
          </cell>
          <cell r="Z9">
            <v>19979.784832000001</v>
          </cell>
          <cell r="AA9">
            <v>10.406857142857142</v>
          </cell>
          <cell r="AB9">
            <v>1988.4340000000002</v>
          </cell>
          <cell r="AC9">
            <v>20693.348576</v>
          </cell>
          <cell r="AD9">
            <v>10.765714285714285</v>
          </cell>
          <cell r="AE9">
            <v>1988.434</v>
          </cell>
          <cell r="AF9">
            <v>21406.912319999999</v>
          </cell>
          <cell r="AG9">
            <v>12.380571428571429</v>
          </cell>
          <cell r="AH9">
            <v>1988.4340000000002</v>
          </cell>
          <cell r="AI9">
            <v>24617.949168000003</v>
          </cell>
          <cell r="AJ9">
            <v>12.918857142857142</v>
          </cell>
          <cell r="AK9">
            <v>1988.4340000000002</v>
          </cell>
          <cell r="AL9">
            <v>25688.294784000002</v>
          </cell>
          <cell r="AM9">
            <v>6.28</v>
          </cell>
          <cell r="AN9">
            <v>1988.4340000000002</v>
          </cell>
          <cell r="AO9">
            <v>12487.365520000001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502.34976</v>
          </cell>
          <cell r="D10">
            <v>2556.333633363336</v>
          </cell>
          <cell r="E10">
            <v>1284173.5872</v>
          </cell>
          <cell r="F10">
            <v>35.164483200000006</v>
          </cell>
          <cell r="G10">
            <v>2556.333633363336</v>
          </cell>
          <cell r="H10">
            <v>89892.151104000004</v>
          </cell>
          <cell r="I10">
            <v>25.835130514285716</v>
          </cell>
          <cell r="J10">
            <v>2556.333633363336</v>
          </cell>
          <cell r="K10">
            <v>66043.213055999993</v>
          </cell>
          <cell r="L10">
            <v>45.929120914285718</v>
          </cell>
          <cell r="M10">
            <v>2556.333633363336</v>
          </cell>
          <cell r="N10">
            <v>117410.156544</v>
          </cell>
          <cell r="O10">
            <v>50.23497600000001</v>
          </cell>
          <cell r="P10">
            <v>2556.333633363336</v>
          </cell>
          <cell r="Q10">
            <v>128417.35872000002</v>
          </cell>
          <cell r="R10">
            <v>55.258473600000009</v>
          </cell>
          <cell r="S10">
            <v>2556.333633363336</v>
          </cell>
          <cell r="T10">
            <v>141259.09459200001</v>
          </cell>
          <cell r="U10">
            <v>38.752695771428577</v>
          </cell>
          <cell r="V10">
            <v>2556.333633363336</v>
          </cell>
          <cell r="W10">
            <v>99064.819583999997</v>
          </cell>
          <cell r="X10">
            <v>40.187980800000005</v>
          </cell>
          <cell r="Y10">
            <v>2556.333633363336</v>
          </cell>
          <cell r="Z10">
            <v>102733.88697600001</v>
          </cell>
          <cell r="AA10">
            <v>41.623265828571434</v>
          </cell>
          <cell r="AB10">
            <v>2556.333633363336</v>
          </cell>
          <cell r="AC10">
            <v>106402.95436800001</v>
          </cell>
          <cell r="AD10">
            <v>43.058550857142862</v>
          </cell>
          <cell r="AE10">
            <v>2556.333633363336</v>
          </cell>
          <cell r="AF10">
            <v>110072.02176</v>
          </cell>
          <cell r="AG10">
            <v>49.517333485714296</v>
          </cell>
          <cell r="AH10">
            <v>2556.333633363336</v>
          </cell>
          <cell r="AI10">
            <v>126582.82502400002</v>
          </cell>
          <cell r="AJ10">
            <v>51.670261028571431</v>
          </cell>
          <cell r="AK10">
            <v>2556.333633363336</v>
          </cell>
          <cell r="AL10">
            <v>132086.42611199999</v>
          </cell>
          <cell r="AM10">
            <v>25.117488000000005</v>
          </cell>
          <cell r="AN10">
            <v>2556.333633363336</v>
          </cell>
          <cell r="AO10">
            <v>64208.679360000009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627.94975999999997</v>
          </cell>
          <cell r="D16">
            <v>2442.7446195695657</v>
          </cell>
          <cell r="E16">
            <v>1533920.8976</v>
          </cell>
          <cell r="F16">
            <v>43.956483200000008</v>
          </cell>
          <cell r="G16">
            <v>2442.7446195695652</v>
          </cell>
          <cell r="H16">
            <v>107374.462832</v>
          </cell>
          <cell r="I16">
            <v>32.294559085714283</v>
          </cell>
          <cell r="J16">
            <v>2442.7446195695657</v>
          </cell>
          <cell r="K16">
            <v>78887.360447999992</v>
          </cell>
          <cell r="L16">
            <v>57.412549485714287</v>
          </cell>
          <cell r="M16">
            <v>2442.7446195695657</v>
          </cell>
          <cell r="N16">
            <v>140244.196352</v>
          </cell>
          <cell r="O16">
            <v>62.794976000000013</v>
          </cell>
          <cell r="P16">
            <v>2442.7446195695657</v>
          </cell>
          <cell r="Q16">
            <v>153392.08976000003</v>
          </cell>
          <cell r="R16">
            <v>69.074473600000005</v>
          </cell>
          <cell r="S16">
            <v>2442.7446195695652</v>
          </cell>
          <cell r="T16">
            <v>168731.298736</v>
          </cell>
          <cell r="U16">
            <v>48.441838628571432</v>
          </cell>
          <cell r="V16">
            <v>2442.7446195695657</v>
          </cell>
          <cell r="W16">
            <v>118331.040672</v>
          </cell>
          <cell r="X16">
            <v>50.235980800000007</v>
          </cell>
          <cell r="Y16">
            <v>2442.7446195695657</v>
          </cell>
          <cell r="Z16">
            <v>122713.67180800001</v>
          </cell>
          <cell r="AA16">
            <v>52.030122971428575</v>
          </cell>
          <cell r="AB16">
            <v>2442.7446195695657</v>
          </cell>
          <cell r="AC16">
            <v>127096.30294400001</v>
          </cell>
          <cell r="AD16">
            <v>53.824265142857143</v>
          </cell>
          <cell r="AE16">
            <v>2442.7446195695657</v>
          </cell>
          <cell r="AF16">
            <v>131478.93408000001</v>
          </cell>
          <cell r="AG16">
            <v>61.897904914285725</v>
          </cell>
          <cell r="AH16">
            <v>2442.7446195695652</v>
          </cell>
          <cell r="AI16">
            <v>151200.77419200001</v>
          </cell>
          <cell r="AJ16">
            <v>64.589118171428566</v>
          </cell>
          <cell r="AK16">
            <v>2442.7446195695657</v>
          </cell>
          <cell r="AL16">
            <v>157774.72089599998</v>
          </cell>
          <cell r="AM16">
            <v>31.397488000000006</v>
          </cell>
          <cell r="AN16">
            <v>2442.7446195695657</v>
          </cell>
          <cell r="AO16">
            <v>76696.044880000016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30.000000000000004</v>
          </cell>
          <cell r="D18">
            <v>2442.5491999999995</v>
          </cell>
          <cell r="E18">
            <v>73276.475999999995</v>
          </cell>
          <cell r="F18">
            <v>2.1</v>
          </cell>
          <cell r="G18">
            <v>2442.5491999999999</v>
          </cell>
          <cell r="H18">
            <v>5129.3533200000002</v>
          </cell>
          <cell r="I18">
            <v>1.5428571428571429</v>
          </cell>
          <cell r="J18">
            <v>2442.5491999999999</v>
          </cell>
          <cell r="K18">
            <v>3768.5044800000001</v>
          </cell>
          <cell r="L18">
            <v>2.7428571428571429</v>
          </cell>
          <cell r="M18">
            <v>2442.5491999999999</v>
          </cell>
          <cell r="N18">
            <v>6699.5635199999997</v>
          </cell>
          <cell r="O18">
            <v>3</v>
          </cell>
          <cell r="P18">
            <v>2442.5491999999999</v>
          </cell>
          <cell r="Q18">
            <v>7327.6476000000002</v>
          </cell>
          <cell r="R18">
            <v>3.3</v>
          </cell>
          <cell r="S18">
            <v>2442.5491999999999</v>
          </cell>
          <cell r="T18">
            <v>8060.4123599999994</v>
          </cell>
          <cell r="U18">
            <v>2.3142857142857141</v>
          </cell>
          <cell r="V18">
            <v>2442.5491999999999</v>
          </cell>
          <cell r="W18">
            <v>5652.7567199999994</v>
          </cell>
          <cell r="X18">
            <v>2.4</v>
          </cell>
          <cell r="Y18">
            <v>2442.5491999999999</v>
          </cell>
          <cell r="Z18">
            <v>5862.1180799999993</v>
          </cell>
          <cell r="AA18">
            <v>2.4857142857142858</v>
          </cell>
          <cell r="AB18">
            <v>2442.5491999999999</v>
          </cell>
          <cell r="AC18">
            <v>6071.4794400000001</v>
          </cell>
          <cell r="AD18">
            <v>2.5714285714285716</v>
          </cell>
          <cell r="AE18">
            <v>2442.5491999999999</v>
          </cell>
          <cell r="AF18">
            <v>6280.8407999999999</v>
          </cell>
          <cell r="AG18">
            <v>2.9571428571428573</v>
          </cell>
          <cell r="AH18">
            <v>2442.5491999999999</v>
          </cell>
          <cell r="AI18">
            <v>7222.9669199999998</v>
          </cell>
          <cell r="AJ18">
            <v>3.0857142857142859</v>
          </cell>
          <cell r="AK18">
            <v>2442.5491999999999</v>
          </cell>
          <cell r="AL18">
            <v>7537.0089600000001</v>
          </cell>
          <cell r="AM18">
            <v>1.5</v>
          </cell>
          <cell r="AN18">
            <v>2442.5491999999999</v>
          </cell>
          <cell r="AO18">
            <v>3663.8238000000001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24</v>
          </cell>
          <cell r="D20">
            <v>2442.5491999999999</v>
          </cell>
          <cell r="E20">
            <v>58621.180800000002</v>
          </cell>
          <cell r="F20">
            <v>1.6800000000000002</v>
          </cell>
          <cell r="G20">
            <v>2442.5491999999999</v>
          </cell>
          <cell r="H20">
            <v>4103.4826560000001</v>
          </cell>
          <cell r="I20">
            <v>1.2342857142857142</v>
          </cell>
          <cell r="J20">
            <v>2442.5491999999999</v>
          </cell>
          <cell r="K20">
            <v>3014.8035839999998</v>
          </cell>
          <cell r="L20">
            <v>2.1942857142857144</v>
          </cell>
          <cell r="M20">
            <v>2442.5491999999999</v>
          </cell>
          <cell r="N20">
            <v>5359.6508160000003</v>
          </cell>
          <cell r="O20">
            <v>2.4000000000000004</v>
          </cell>
          <cell r="P20">
            <v>2442.5491999999999</v>
          </cell>
          <cell r="Q20">
            <v>5862.1180800000011</v>
          </cell>
          <cell r="R20">
            <v>2.64</v>
          </cell>
          <cell r="S20">
            <v>2442.5491999999999</v>
          </cell>
          <cell r="T20">
            <v>6448.3298880000002</v>
          </cell>
          <cell r="U20">
            <v>1.8514285714285714</v>
          </cell>
          <cell r="V20">
            <v>2442.5491999999999</v>
          </cell>
          <cell r="W20">
            <v>4522.2053759999999</v>
          </cell>
          <cell r="X20">
            <v>1.92</v>
          </cell>
          <cell r="Y20">
            <v>2442.5491999999995</v>
          </cell>
          <cell r="Z20">
            <v>4689.6944639999992</v>
          </cell>
          <cell r="AA20">
            <v>1.9885714285714284</v>
          </cell>
          <cell r="AB20">
            <v>2442.5491999999999</v>
          </cell>
          <cell r="AC20">
            <v>4857.1835519999995</v>
          </cell>
          <cell r="AD20">
            <v>2.0571428571428569</v>
          </cell>
          <cell r="AE20">
            <v>2442.5491999999999</v>
          </cell>
          <cell r="AF20">
            <v>5024.6726399999998</v>
          </cell>
          <cell r="AG20">
            <v>2.3657142857142857</v>
          </cell>
          <cell r="AH20">
            <v>2442.5491999999999</v>
          </cell>
          <cell r="AI20">
            <v>5778.3735360000001</v>
          </cell>
          <cell r="AJ20">
            <v>2.4685714285714284</v>
          </cell>
          <cell r="AK20">
            <v>2442.5491999999999</v>
          </cell>
          <cell r="AL20">
            <v>6029.6071679999995</v>
          </cell>
          <cell r="AM20">
            <v>1.2000000000000002</v>
          </cell>
          <cell r="AN20">
            <v>2442.5491999999999</v>
          </cell>
          <cell r="AO20">
            <v>2931.0590400000006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96000</v>
          </cell>
          <cell r="H22">
            <v>4800</v>
          </cell>
          <cell r="K22">
            <v>4800</v>
          </cell>
          <cell r="N22">
            <v>11520</v>
          </cell>
          <cell r="Q22">
            <v>11520</v>
          </cell>
          <cell r="T22">
            <v>11520</v>
          </cell>
          <cell r="W22">
            <v>11520</v>
          </cell>
          <cell r="Z22">
            <v>9600</v>
          </cell>
          <cell r="AC22">
            <v>6720.0000000000009</v>
          </cell>
          <cell r="AF22">
            <v>6720.0000000000009</v>
          </cell>
          <cell r="AI22">
            <v>5760</v>
          </cell>
          <cell r="AL22">
            <v>5760</v>
          </cell>
          <cell r="AO22">
            <v>5760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172</v>
          </cell>
          <cell r="E24">
            <v>113167.35872</v>
          </cell>
          <cell r="G24">
            <v>172</v>
          </cell>
          <cell r="H24">
            <v>7921.7151104000013</v>
          </cell>
          <cell r="J24">
            <v>172</v>
          </cell>
          <cell r="K24">
            <v>5820.0355913142857</v>
          </cell>
          <cell r="M24">
            <v>171.99999999999997</v>
          </cell>
          <cell r="N24">
            <v>10346.729940114285</v>
          </cell>
          <cell r="P24">
            <v>172</v>
          </cell>
          <cell r="Q24">
            <v>11316.735872000003</v>
          </cell>
          <cell r="S24">
            <v>172</v>
          </cell>
          <cell r="T24">
            <v>12448.4094592</v>
          </cell>
          <cell r="V24">
            <v>172</v>
          </cell>
          <cell r="W24">
            <v>8730.0533869714291</v>
          </cell>
          <cell r="Y24">
            <v>172</v>
          </cell>
          <cell r="Z24">
            <v>9053.3886976000013</v>
          </cell>
          <cell r="AB24">
            <v>171.99999999999997</v>
          </cell>
          <cell r="AC24">
            <v>9376.7240082285716</v>
          </cell>
          <cell r="AE24">
            <v>172</v>
          </cell>
          <cell r="AF24">
            <v>9700.059318857142</v>
          </cell>
          <cell r="AH24">
            <v>172</v>
          </cell>
          <cell r="AI24">
            <v>11155.068216685717</v>
          </cell>
          <cell r="AK24">
            <v>172</v>
          </cell>
          <cell r="AL24">
            <v>11640.071182628571</v>
          </cell>
          <cell r="AN24">
            <v>172</v>
          </cell>
          <cell r="AO24">
            <v>5658.3679360000015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946.00000000000011</v>
          </cell>
          <cell r="E25">
            <v>622420.47296000004</v>
          </cell>
          <cell r="G25">
            <v>945.99999999999989</v>
          </cell>
          <cell r="H25">
            <v>43569.433107200006</v>
          </cell>
          <cell r="J25">
            <v>946</v>
          </cell>
          <cell r="K25">
            <v>32010.19575222857</v>
          </cell>
          <cell r="M25">
            <v>946</v>
          </cell>
          <cell r="N25">
            <v>56907.014670628567</v>
          </cell>
          <cell r="P25">
            <v>946</v>
          </cell>
          <cell r="Q25">
            <v>62242.047296000019</v>
          </cell>
          <cell r="S25">
            <v>946</v>
          </cell>
          <cell r="T25">
            <v>68466.252025599999</v>
          </cell>
          <cell r="V25">
            <v>946</v>
          </cell>
          <cell r="W25">
            <v>48015.293628342864</v>
          </cell>
          <cell r="Y25">
            <v>946</v>
          </cell>
          <cell r="Z25">
            <v>49793.637836800008</v>
          </cell>
          <cell r="AB25">
            <v>946</v>
          </cell>
          <cell r="AC25">
            <v>51571.982045257151</v>
          </cell>
          <cell r="AE25">
            <v>946</v>
          </cell>
          <cell r="AF25">
            <v>53350.326253714287</v>
          </cell>
          <cell r="AH25">
            <v>946</v>
          </cell>
          <cell r="AI25">
            <v>61352.875191771447</v>
          </cell>
          <cell r="AK25">
            <v>946</v>
          </cell>
          <cell r="AL25">
            <v>64020.39150445714</v>
          </cell>
          <cell r="AN25">
            <v>946</v>
          </cell>
          <cell r="AO25">
            <v>31121.023648000009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29.000000000000004</v>
          </cell>
          <cell r="E26">
            <v>19080.54304</v>
          </cell>
          <cell r="G26">
            <v>29</v>
          </cell>
          <cell r="H26">
            <v>1335.6380128000003</v>
          </cell>
          <cell r="J26">
            <v>29</v>
          </cell>
          <cell r="K26">
            <v>981.28507062857136</v>
          </cell>
          <cell r="M26">
            <v>29</v>
          </cell>
          <cell r="N26">
            <v>1744.5067922285714</v>
          </cell>
          <cell r="P26">
            <v>29</v>
          </cell>
          <cell r="Q26">
            <v>1908.0543040000007</v>
          </cell>
          <cell r="S26">
            <v>29</v>
          </cell>
          <cell r="T26">
            <v>2098.8597344</v>
          </cell>
          <cell r="V26">
            <v>29</v>
          </cell>
          <cell r="W26">
            <v>1471.9276059428573</v>
          </cell>
          <cell r="Y26">
            <v>29.000000000000004</v>
          </cell>
          <cell r="Z26">
            <v>1526.4434432000003</v>
          </cell>
          <cell r="AB26">
            <v>29</v>
          </cell>
          <cell r="AC26">
            <v>1580.959280457143</v>
          </cell>
          <cell r="AE26">
            <v>29</v>
          </cell>
          <cell r="AF26">
            <v>1635.4751177142857</v>
          </cell>
          <cell r="AH26">
            <v>29</v>
          </cell>
          <cell r="AI26">
            <v>1880.7963853714291</v>
          </cell>
          <cell r="AK26">
            <v>29</v>
          </cell>
          <cell r="AL26">
            <v>1962.5701412571427</v>
          </cell>
          <cell r="AN26">
            <v>29</v>
          </cell>
          <cell r="AO26">
            <v>954.02715200000034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657.94975999999997</v>
          </cell>
          <cell r="D27">
            <v>1147.0000000000002</v>
          </cell>
          <cell r="E27">
            <v>754668.37472000008</v>
          </cell>
          <cell r="F27">
            <v>46.05648320000001</v>
          </cell>
          <cell r="G27">
            <v>1147</v>
          </cell>
          <cell r="H27">
            <v>52826.786230400008</v>
          </cell>
          <cell r="I27">
            <v>33.837416228571428</v>
          </cell>
          <cell r="J27">
            <v>1147</v>
          </cell>
          <cell r="K27">
            <v>38811.516414171427</v>
          </cell>
          <cell r="L27">
            <v>60.155406628571427</v>
          </cell>
          <cell r="M27">
            <v>1147</v>
          </cell>
          <cell r="N27">
            <v>68998.251402971422</v>
          </cell>
          <cell r="O27">
            <v>65.79497600000002</v>
          </cell>
          <cell r="P27">
            <v>1147</v>
          </cell>
          <cell r="Q27">
            <v>75466.837472000028</v>
          </cell>
          <cell r="R27">
            <v>72.374473600000002</v>
          </cell>
          <cell r="S27">
            <v>1147</v>
          </cell>
          <cell r="T27">
            <v>83013.521219200004</v>
          </cell>
          <cell r="U27">
            <v>50.756124342857149</v>
          </cell>
          <cell r="V27">
            <v>1147</v>
          </cell>
          <cell r="W27">
            <v>58217.274621257151</v>
          </cell>
          <cell r="X27">
            <v>52.635980800000006</v>
          </cell>
          <cell r="Y27">
            <v>1147</v>
          </cell>
          <cell r="Z27">
            <v>60373.469977600005</v>
          </cell>
          <cell r="AA27">
            <v>54.515837257142863</v>
          </cell>
          <cell r="AB27">
            <v>1147</v>
          </cell>
          <cell r="AC27">
            <v>62529.665333942867</v>
          </cell>
          <cell r="AD27">
            <v>56.395693714285713</v>
          </cell>
          <cell r="AE27">
            <v>1147</v>
          </cell>
          <cell r="AF27">
            <v>64685.860690285714</v>
          </cell>
          <cell r="AG27">
            <v>64.855047771428588</v>
          </cell>
          <cell r="AH27">
            <v>1147.0000000000002</v>
          </cell>
          <cell r="AI27">
            <v>74388.739793828601</v>
          </cell>
          <cell r="AJ27">
            <v>67.674832457142855</v>
          </cell>
          <cell r="AK27">
            <v>1147</v>
          </cell>
          <cell r="AL27">
            <v>77623.032828342853</v>
          </cell>
          <cell r="AM27">
            <v>32.89748800000001</v>
          </cell>
          <cell r="AN27">
            <v>1147</v>
          </cell>
          <cell r="AO27">
            <v>37733.418736000014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681.94975999999997</v>
          </cell>
          <cell r="D30">
            <v>3690.1353687990154</v>
          </cell>
          <cell r="E30">
            <v>2516486.92912</v>
          </cell>
          <cell r="F30">
            <v>47.736483200000009</v>
          </cell>
          <cell r="G30">
            <v>3649.9145592359005</v>
          </cell>
          <cell r="H30">
            <v>174234.08503839999</v>
          </cell>
          <cell r="I30">
            <v>35.071701942857139</v>
          </cell>
          <cell r="J30">
            <v>3686.2250123137123</v>
          </cell>
          <cell r="K30">
            <v>129282.18492617141</v>
          </cell>
          <cell r="L30">
            <v>62.349692342857139</v>
          </cell>
          <cell r="M30">
            <v>3734.1268792586716</v>
          </cell>
          <cell r="N30">
            <v>232821.66209097143</v>
          </cell>
          <cell r="O30">
            <v>68.194976000000025</v>
          </cell>
          <cell r="P30">
            <v>3718.2899354931951</v>
          </cell>
          <cell r="Q30">
            <v>253568.69291200009</v>
          </cell>
          <cell r="R30">
            <v>75.014473600000002</v>
          </cell>
          <cell r="S30">
            <v>3702.9328991145517</v>
          </cell>
          <cell r="T30">
            <v>277773.56220320001</v>
          </cell>
          <cell r="U30">
            <v>52.607552914285719</v>
          </cell>
          <cell r="V30">
            <v>3768.3424985050706</v>
          </cell>
          <cell r="W30">
            <v>198243.27738925716</v>
          </cell>
          <cell r="X30">
            <v>54.555980800000007</v>
          </cell>
          <cell r="Y30">
            <v>3725.3285771667397</v>
          </cell>
          <cell r="Z30">
            <v>203238.9543296</v>
          </cell>
          <cell r="AA30">
            <v>56.504408685714289</v>
          </cell>
          <cell r="AB30">
            <v>3668.2913084328411</v>
          </cell>
          <cell r="AC30">
            <v>207274.63126994285</v>
          </cell>
          <cell r="AD30">
            <v>58.45283657142857</v>
          </cell>
          <cell r="AE30">
            <v>3664.3270159960175</v>
          </cell>
          <cell r="AF30">
            <v>214190.30821028573</v>
          </cell>
          <cell r="AG30">
            <v>67.220762057142878</v>
          </cell>
          <cell r="AH30">
            <v>3635.0503470060544</v>
          </cell>
          <cell r="AI30">
            <v>244350.85444182862</v>
          </cell>
          <cell r="AJ30">
            <v>70.143403885714278</v>
          </cell>
          <cell r="AK30">
            <v>3631.4800215194737</v>
          </cell>
          <cell r="AL30">
            <v>254724.36985234282</v>
          </cell>
          <cell r="AM30">
            <v>34.097488000000013</v>
          </cell>
          <cell r="AN30">
            <v>3718.2899354931951</v>
          </cell>
          <cell r="AO30">
            <v>126784.34645600004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0.31414749742221704</v>
          </cell>
          <cell r="D34">
            <v>767.37930990354039</v>
          </cell>
          <cell r="E34">
            <v>504897.03278000001</v>
          </cell>
          <cell r="F34">
            <v>0.32509823706944363</v>
          </cell>
          <cell r="G34">
            <v>794.12907268178014</v>
          </cell>
          <cell r="H34">
            <v>36574.792294599996</v>
          </cell>
          <cell r="I34">
            <v>0.34960604770670273</v>
          </cell>
          <cell r="J34">
            <v>853.99517687929381</v>
          </cell>
          <cell r="K34">
            <v>28896.990257257145</v>
          </cell>
          <cell r="L34">
            <v>0.3105737297603558</v>
          </cell>
          <cell r="M34">
            <v>758.64954001959063</v>
          </cell>
          <cell r="N34">
            <v>45636.871568457143</v>
          </cell>
          <cell r="O34">
            <v>0.30232567621214285</v>
          </cell>
          <cell r="P34">
            <v>738.50172508612195</v>
          </cell>
          <cell r="Q34">
            <v>48589.703278000008</v>
          </cell>
          <cell r="R34">
            <v>0.298852662708322</v>
          </cell>
          <cell r="S34">
            <v>730.01807098186612</v>
          </cell>
          <cell r="T34">
            <v>52834.673605799995</v>
          </cell>
          <cell r="U34">
            <v>0.32000540570993796</v>
          </cell>
          <cell r="V34">
            <v>781.6886316590718</v>
          </cell>
          <cell r="W34">
            <v>39675.48538588571</v>
          </cell>
          <cell r="X34">
            <v>0.31560967004556834</v>
          </cell>
          <cell r="Y34">
            <v>770.95101118358946</v>
          </cell>
          <cell r="Z34">
            <v>40579.762622400005</v>
          </cell>
          <cell r="AA34">
            <v>0.3169238017136573</v>
          </cell>
          <cell r="AB34">
            <v>774.16108753579783</v>
          </cell>
          <cell r="AC34">
            <v>42204.039858914286</v>
          </cell>
          <cell r="AD34">
            <v>0.31292383522678829</v>
          </cell>
          <cell r="AE34">
            <v>764.39022656279008</v>
          </cell>
          <cell r="AF34">
            <v>43108.317095428574</v>
          </cell>
          <cell r="AG34">
            <v>0.303095762811182</v>
          </cell>
          <cell r="AH34">
            <v>740.38284312075768</v>
          </cell>
          <cell r="AI34">
            <v>48017.564659742857</v>
          </cell>
          <cell r="AJ34">
            <v>0.30230147950206382</v>
          </cell>
          <cell r="AK34">
            <v>738.4426189183672</v>
          </cell>
          <cell r="AL34">
            <v>49973.980514514289</v>
          </cell>
          <cell r="AM34">
            <v>0.35844821690417922</v>
          </cell>
          <cell r="AN34">
            <v>875.59425932460238</v>
          </cell>
          <cell r="AO34">
            <v>28804.851639000004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0.30000000000000004</v>
          </cell>
          <cell r="D35">
            <v>344.10000000000008</v>
          </cell>
          <cell r="E35">
            <v>226400.51241600004</v>
          </cell>
          <cell r="F35">
            <v>0.3</v>
          </cell>
          <cell r="G35">
            <v>344.09999999999997</v>
          </cell>
          <cell r="H35">
            <v>15848.035869120002</v>
          </cell>
          <cell r="I35">
            <v>0.3</v>
          </cell>
          <cell r="J35">
            <v>344.09999999999997</v>
          </cell>
          <cell r="K35">
            <v>11643.454924251428</v>
          </cell>
          <cell r="L35">
            <v>0.3</v>
          </cell>
          <cell r="M35">
            <v>344.09999999999997</v>
          </cell>
          <cell r="N35">
            <v>20699.475420891427</v>
          </cell>
          <cell r="O35">
            <v>0.3</v>
          </cell>
          <cell r="P35">
            <v>344.1</v>
          </cell>
          <cell r="Q35">
            <v>22640.051241600009</v>
          </cell>
          <cell r="R35">
            <v>0.3</v>
          </cell>
          <cell r="S35">
            <v>344.09999999999997</v>
          </cell>
          <cell r="T35">
            <v>24904.05636576</v>
          </cell>
          <cell r="U35">
            <v>0.3</v>
          </cell>
          <cell r="V35">
            <v>344.1</v>
          </cell>
          <cell r="W35">
            <v>17465.182386377146</v>
          </cell>
          <cell r="X35">
            <v>0.3</v>
          </cell>
          <cell r="Y35">
            <v>344.09999999999997</v>
          </cell>
          <cell r="Z35">
            <v>18112.040993279999</v>
          </cell>
          <cell r="AA35">
            <v>0.3</v>
          </cell>
          <cell r="AB35">
            <v>344.1</v>
          </cell>
          <cell r="AC35">
            <v>18758.89960018286</v>
          </cell>
          <cell r="AD35">
            <v>0.3</v>
          </cell>
          <cell r="AE35">
            <v>344.09999999999997</v>
          </cell>
          <cell r="AF35">
            <v>19405.758207085713</v>
          </cell>
          <cell r="AG35">
            <v>0.3</v>
          </cell>
          <cell r="AH35">
            <v>344.1</v>
          </cell>
          <cell r="AI35">
            <v>22316.621938148579</v>
          </cell>
          <cell r="AJ35">
            <v>0.3</v>
          </cell>
          <cell r="AK35">
            <v>344.09999999999997</v>
          </cell>
          <cell r="AL35">
            <v>23286.909848502855</v>
          </cell>
          <cell r="AM35">
            <v>0.3</v>
          </cell>
          <cell r="AN35">
            <v>344.1</v>
          </cell>
          <cell r="AO35">
            <v>11320.025620800005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113.25897667238425</v>
          </cell>
          <cell r="E36">
            <v>74518.716519440815</v>
          </cell>
          <cell r="G36">
            <v>113.25897667238421</v>
          </cell>
          <cell r="H36">
            <v>5216.3101563608561</v>
          </cell>
          <cell r="J36">
            <v>113.25897667238421</v>
          </cell>
          <cell r="K36">
            <v>3832.3911352855262</v>
          </cell>
          <cell r="M36">
            <v>113.25897667238421</v>
          </cell>
          <cell r="N36">
            <v>6813.1397960631575</v>
          </cell>
          <cell r="P36">
            <v>113.25897667238421</v>
          </cell>
          <cell r="Q36">
            <v>7451.8716519440813</v>
          </cell>
          <cell r="S36">
            <v>113.25897667238419</v>
          </cell>
          <cell r="T36">
            <v>8197.0588171384861</v>
          </cell>
          <cell r="V36">
            <v>113.25897667238421</v>
          </cell>
          <cell r="W36">
            <v>5748.5867029282899</v>
          </cell>
          <cell r="Y36">
            <v>113.25897667238421</v>
          </cell>
          <cell r="Z36">
            <v>5961.4973215552636</v>
          </cell>
          <cell r="AB36">
            <v>113.25897667238421</v>
          </cell>
          <cell r="AC36">
            <v>6174.4079401822373</v>
          </cell>
          <cell r="AE36">
            <v>113.25897667238421</v>
          </cell>
          <cell r="AF36">
            <v>6387.3185588092101</v>
          </cell>
          <cell r="AH36">
            <v>113.25897667238421</v>
          </cell>
          <cell r="AI36">
            <v>7345.416342630594</v>
          </cell>
          <cell r="AK36">
            <v>113.25897667238421</v>
          </cell>
          <cell r="AL36">
            <v>7664.7822705710523</v>
          </cell>
          <cell r="AN36">
            <v>113.25897667238421</v>
          </cell>
          <cell r="AO36">
            <v>3725.9358259720407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5.1177856446126118</v>
          </cell>
          <cell r="E37">
            <v>3367.2458366043129</v>
          </cell>
          <cell r="G37">
            <v>5.1177856446126109</v>
          </cell>
          <cell r="H37">
            <v>235.70720856230193</v>
          </cell>
          <cell r="J37">
            <v>5.1177856446126109</v>
          </cell>
          <cell r="K37">
            <v>173.17264302536464</v>
          </cell>
          <cell r="M37">
            <v>5.1177856446126109</v>
          </cell>
          <cell r="N37">
            <v>307.86247648953713</v>
          </cell>
          <cell r="P37">
            <v>5.1177856446126109</v>
          </cell>
          <cell r="Q37">
            <v>336.72458366043134</v>
          </cell>
          <cell r="S37">
            <v>5.1177856446126109</v>
          </cell>
          <cell r="T37">
            <v>370.39704202647442</v>
          </cell>
          <cell r="V37">
            <v>5.1177856446126109</v>
          </cell>
          <cell r="W37">
            <v>259.758964538047</v>
          </cell>
          <cell r="Y37">
            <v>5.1177856446126109</v>
          </cell>
          <cell r="Z37">
            <v>269.37966692834505</v>
          </cell>
          <cell r="AB37">
            <v>5.1177856446126109</v>
          </cell>
          <cell r="AC37">
            <v>279.0003693186431</v>
          </cell>
          <cell r="AE37">
            <v>5.1177856446126109</v>
          </cell>
          <cell r="AF37">
            <v>288.62107170894109</v>
          </cell>
          <cell r="AH37">
            <v>5.1177856446126109</v>
          </cell>
          <cell r="AI37">
            <v>331.91423246528234</v>
          </cell>
          <cell r="AK37">
            <v>5.1177856446126109</v>
          </cell>
          <cell r="AL37">
            <v>346.34528605072927</v>
          </cell>
          <cell r="AN37">
            <v>5.1177856446126109</v>
          </cell>
          <cell r="AO37">
            <v>168.36229183021567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105.01044339622645</v>
          </cell>
          <cell r="E38">
            <v>69091.596030040775</v>
          </cell>
          <cell r="G38">
            <v>105.01044339622641</v>
          </cell>
          <cell r="H38">
            <v>4836.4117221028537</v>
          </cell>
          <cell r="J38">
            <v>105.01044339622642</v>
          </cell>
          <cell r="K38">
            <v>3553.2820815449531</v>
          </cell>
          <cell r="M38">
            <v>105.01044339622642</v>
          </cell>
          <cell r="N38">
            <v>6316.9459227465832</v>
          </cell>
          <cell r="P38">
            <v>105.01044339622642</v>
          </cell>
          <cell r="Q38">
            <v>6909.1596030040782</v>
          </cell>
          <cell r="S38">
            <v>105.01044339622642</v>
          </cell>
          <cell r="T38">
            <v>7600.0755633044837</v>
          </cell>
          <cell r="V38">
            <v>105.01044339622641</v>
          </cell>
          <cell r="W38">
            <v>5329.9231223174302</v>
          </cell>
          <cell r="Y38">
            <v>105.01044339622642</v>
          </cell>
          <cell r="Z38">
            <v>5527.327682403261</v>
          </cell>
          <cell r="AB38">
            <v>105.01044339622642</v>
          </cell>
          <cell r="AC38">
            <v>5724.7322424890917</v>
          </cell>
          <cell r="AE38">
            <v>105.01044339622641</v>
          </cell>
          <cell r="AF38">
            <v>5922.1368025749216</v>
          </cell>
          <cell r="AH38">
            <v>105.01044339622642</v>
          </cell>
          <cell r="AI38">
            <v>6810.4573229611624</v>
          </cell>
          <cell r="AK38">
            <v>105.01044339622642</v>
          </cell>
          <cell r="AL38">
            <v>7106.5641630899063</v>
          </cell>
          <cell r="AN38">
            <v>105.01044339622642</v>
          </cell>
          <cell r="AO38">
            <v>3454.5798015020391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300.75552273170518</v>
          </cell>
          <cell r="E39">
            <v>197882.02399999995</v>
          </cell>
          <cell r="G39">
            <v>300.75552273170507</v>
          </cell>
          <cell r="H39">
            <v>13851.741679999996</v>
          </cell>
          <cell r="J39">
            <v>300.75552273170513</v>
          </cell>
          <cell r="K39">
            <v>10176.789805714281</v>
          </cell>
          <cell r="M39">
            <v>300.75552273170513</v>
          </cell>
          <cell r="N39">
            <v>18092.070765714278</v>
          </cell>
          <cell r="P39">
            <v>300.75552273170507</v>
          </cell>
          <cell r="Q39">
            <v>19788.202399999995</v>
          </cell>
          <cell r="S39">
            <v>300.75552273170507</v>
          </cell>
          <cell r="T39">
            <v>21767.022639999988</v>
          </cell>
          <cell r="V39">
            <v>300.75552273170507</v>
          </cell>
          <cell r="W39">
            <v>15265.184708571423</v>
          </cell>
          <cell r="Y39">
            <v>300.75552273170513</v>
          </cell>
          <cell r="Z39">
            <v>15830.561919999996</v>
          </cell>
          <cell r="AB39">
            <v>300.75552273170507</v>
          </cell>
          <cell r="AC39">
            <v>16395.939131428564</v>
          </cell>
          <cell r="AE39">
            <v>300.75552273170513</v>
          </cell>
          <cell r="AF39">
            <v>16961.316342857135</v>
          </cell>
          <cell r="AH39">
            <v>300.75552273170513</v>
          </cell>
          <cell r="AI39">
            <v>19505.513794285711</v>
          </cell>
          <cell r="AK39">
            <v>300.75552273170513</v>
          </cell>
          <cell r="AL39">
            <v>20353.579611428562</v>
          </cell>
          <cell r="AN39">
            <v>300.75552273170507</v>
          </cell>
          <cell r="AO39">
            <v>9894.1011999999973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52.641606781565208</v>
          </cell>
          <cell r="E40">
            <v>34635.5325479452</v>
          </cell>
          <cell r="G40">
            <v>37.116021586674982</v>
          </cell>
          <cell r="H40">
            <v>1709.433424657534</v>
          </cell>
          <cell r="J40">
            <v>45.756141029875018</v>
          </cell>
          <cell r="K40">
            <v>1548.269589041096</v>
          </cell>
          <cell r="M40">
            <v>67.038106546332187</v>
          </cell>
          <cell r="N40">
            <v>4032.704558904109</v>
          </cell>
          <cell r="P40">
            <v>72.303114733716669</v>
          </cell>
          <cell r="Q40">
            <v>4757.1816986301365</v>
          </cell>
          <cell r="S40">
            <v>52.849132163469648</v>
          </cell>
          <cell r="T40">
            <v>3824.9281205479451</v>
          </cell>
          <cell r="V40">
            <v>45.737233533581673</v>
          </cell>
          <cell r="W40">
            <v>2321.4447123287669</v>
          </cell>
          <cell r="Y40">
            <v>50.687592283766755</v>
          </cell>
          <cell r="Z40">
            <v>2667.9911342465753</v>
          </cell>
          <cell r="AB40">
            <v>53.963736146211183</v>
          </cell>
          <cell r="AC40">
            <v>2941.8782575342466</v>
          </cell>
          <cell r="AE40">
            <v>63.366312970399001</v>
          </cell>
          <cell r="AF40">
            <v>3573.5871780821922</v>
          </cell>
          <cell r="AH40">
            <v>69.534231855948377</v>
          </cell>
          <cell r="AI40">
            <v>4509.6459287671232</v>
          </cell>
          <cell r="AK40">
            <v>31.332422428958097</v>
          </cell>
          <cell r="AL40">
            <v>2120.4164383561642</v>
          </cell>
          <cell r="AN40">
            <v>19.091169114472049</v>
          </cell>
          <cell r="AO40">
            <v>628.05150684931505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0.44140609167339023</v>
          </cell>
          <cell r="E44">
            <v>1110792.6601300309</v>
          </cell>
          <cell r="F44" t="str">
            <v>% brut</v>
          </cell>
          <cell r="G44">
            <v>0.44923719912870569</v>
          </cell>
          <cell r="H44">
            <v>78272.432355403536</v>
          </cell>
          <cell r="I44" t="str">
            <v>% brut</v>
          </cell>
          <cell r="J44">
            <v>0.46274241474402228</v>
          </cell>
          <cell r="K44">
            <v>59824.350436119792</v>
          </cell>
          <cell r="L44" t="str">
            <v>% brut</v>
          </cell>
          <cell r="M44">
            <v>0.43767005867972358</v>
          </cell>
          <cell r="N44">
            <v>101899.07050926624</v>
          </cell>
          <cell r="O44" t="str">
            <v>% brut</v>
          </cell>
          <cell r="P44">
            <v>0.43567245304678792</v>
          </cell>
          <cell r="Q44">
            <v>110472.89445683874</v>
          </cell>
          <cell r="R44" t="str">
            <v>% brut</v>
          </cell>
          <cell r="S44">
            <v>0.43020009250254249</v>
          </cell>
          <cell r="T44">
            <v>119498.21215457738</v>
          </cell>
          <cell r="U44" t="str">
            <v>% brut</v>
          </cell>
          <cell r="V44">
            <v>0.43414115785603297</v>
          </cell>
          <cell r="W44">
            <v>86065.56598294682</v>
          </cell>
          <cell r="X44" t="str">
            <v>% brut</v>
          </cell>
          <cell r="Y44">
            <v>0.4376550825810801</v>
          </cell>
          <cell r="Z44">
            <v>88948.561340813452</v>
          </cell>
          <cell r="AA44" t="str">
            <v>% brut</v>
          </cell>
          <cell r="AB44">
            <v>0.44616602057591215</v>
          </cell>
          <cell r="AC44">
            <v>92478.897400049929</v>
          </cell>
          <cell r="AD44" t="str">
            <v>% brut</v>
          </cell>
          <cell r="AE44">
            <v>0.44655174202673648</v>
          </cell>
          <cell r="AF44">
            <v>95647.055256546693</v>
          </cell>
          <cell r="AG44" t="str">
            <v>% brut</v>
          </cell>
          <cell r="AH44">
            <v>0.4454133564116986</v>
          </cell>
          <cell r="AI44">
            <v>108837.13421900129</v>
          </cell>
          <cell r="AJ44" t="str">
            <v>% brut</v>
          </cell>
          <cell r="AK44">
            <v>0.43518638674725918</v>
          </cell>
          <cell r="AL44">
            <v>110852.57813251355</v>
          </cell>
          <cell r="AM44" t="str">
            <v>% brut</v>
          </cell>
          <cell r="AN44">
            <v>0.45743744797454816</v>
          </cell>
          <cell r="AO44">
            <v>57995.907885953609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205874.05</v>
          </cell>
          <cell r="H45">
            <v>16747.193678160918</v>
          </cell>
          <cell r="K45">
            <v>16201.8908045977</v>
          </cell>
          <cell r="N45">
            <v>17837.799425287358</v>
          </cell>
          <cell r="Q45">
            <v>16747.193678160918</v>
          </cell>
          <cell r="T45">
            <v>17292.496551724136</v>
          </cell>
          <cell r="W45">
            <v>17292.496551724136</v>
          </cell>
          <cell r="Z45">
            <v>17292.496551724136</v>
          </cell>
          <cell r="AC45">
            <v>17292.496551724136</v>
          </cell>
          <cell r="AF45">
            <v>17292.496551724136</v>
          </cell>
          <cell r="AI45">
            <v>16747.193678160918</v>
          </cell>
          <cell r="AL45">
            <v>17292.496551724136</v>
          </cell>
          <cell r="AO45">
            <v>17837.799425287358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121332.06000000003</v>
          </cell>
          <cell r="H46">
            <v>9770.1082758620687</v>
          </cell>
          <cell r="K46">
            <v>9315.5793103448268</v>
          </cell>
          <cell r="N46">
            <v>10679.166206896551</v>
          </cell>
          <cell r="Q46">
            <v>9770.1082758620687</v>
          </cell>
          <cell r="T46">
            <v>10224.637241379311</v>
          </cell>
          <cell r="W46">
            <v>10224.637241379311</v>
          </cell>
          <cell r="Z46">
            <v>10224.637241379311</v>
          </cell>
          <cell r="AC46">
            <v>10224.637241379311</v>
          </cell>
          <cell r="AF46">
            <v>10224.637241379311</v>
          </cell>
          <cell r="AI46">
            <v>9770.1082758620687</v>
          </cell>
          <cell r="AL46">
            <v>10224.637241379311</v>
          </cell>
          <cell r="AO46">
            <v>10679.166206896551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97388.400000000009</v>
          </cell>
          <cell r="H47">
            <v>7835.8482758620694</v>
          </cell>
          <cell r="K47">
            <v>7462.7126436781609</v>
          </cell>
          <cell r="N47">
            <v>8582.1195402298854</v>
          </cell>
          <cell r="Q47">
            <v>7835.8482758620694</v>
          </cell>
          <cell r="T47">
            <v>8208.9839080459769</v>
          </cell>
          <cell r="W47">
            <v>8208.9839080459769</v>
          </cell>
          <cell r="Z47">
            <v>8208.9839080459769</v>
          </cell>
          <cell r="AC47">
            <v>8208.9839080459769</v>
          </cell>
          <cell r="AF47">
            <v>8208.9839080459769</v>
          </cell>
          <cell r="AI47">
            <v>7835.8482758620694</v>
          </cell>
          <cell r="AL47">
            <v>8208.9839080459769</v>
          </cell>
          <cell r="AO47">
            <v>8582.1195402298854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139965.49177322051</v>
          </cell>
          <cell r="H52">
            <v>10568.729282578315</v>
          </cell>
          <cell r="K52">
            <v>9049.4864189607961</v>
          </cell>
          <cell r="N52">
            <v>12495.424113397115</v>
          </cell>
          <cell r="Q52">
            <v>12691.239175736595</v>
          </cell>
          <cell r="T52">
            <v>13604.05064130889</v>
          </cell>
          <cell r="W52">
            <v>11279.396948802207</v>
          </cell>
          <cell r="Z52">
            <v>11454.454856244693</v>
          </cell>
          <cell r="AC52">
            <v>11710.770439404941</v>
          </cell>
          <cell r="AF52">
            <v>11885.828346847427</v>
          </cell>
          <cell r="AI52">
            <v>12590.167276062391</v>
          </cell>
          <cell r="AL52">
            <v>13098.691142937871</v>
          </cell>
          <cell r="AO52">
            <v>9537.2531309392871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139139.47944615514</v>
          </cell>
          <cell r="H53">
            <v>10506.357475369068</v>
          </cell>
          <cell r="K53">
            <v>8996.0804883919682</v>
          </cell>
          <cell r="N53">
            <v>12421.681834362369</v>
          </cell>
          <cell r="Q53">
            <v>12616.341285748975</v>
          </cell>
          <cell r="T53">
            <v>13523.765755474671</v>
          </cell>
          <cell r="W53">
            <v>11212.831106010968</v>
          </cell>
          <cell r="Z53">
            <v>11386.855901736661</v>
          </cell>
          <cell r="AC53">
            <v>11641.658827536678</v>
          </cell>
          <cell r="AF53">
            <v>11815.68362326237</v>
          </cell>
          <cell r="AI53">
            <v>12515.865866207074</v>
          </cell>
          <cell r="AL53">
            <v>13021.38865776517</v>
          </cell>
          <cell r="AO53">
            <v>9480.9686242891548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97433.538318725201</v>
          </cell>
          <cell r="H54">
            <v>7357.1612294463321</v>
          </cell>
          <cell r="K54">
            <v>6299.5776358590947</v>
          </cell>
          <cell r="N54">
            <v>8698.3824994093211</v>
          </cell>
          <cell r="Q54">
            <v>8834.6943441228032</v>
          </cell>
          <cell r="T54">
            <v>9470.1256192310466</v>
          </cell>
          <cell r="W54">
            <v>7851.8750650615802</v>
          </cell>
          <cell r="Z54">
            <v>7973.7373263711697</v>
          </cell>
          <cell r="AC54">
            <v>8152.1651222309829</v>
          </cell>
          <cell r="AF54">
            <v>8274.0273835405715</v>
          </cell>
          <cell r="AI54">
            <v>8764.3356243763046</v>
          </cell>
          <cell r="AL54">
            <v>9118.3320204985539</v>
          </cell>
          <cell r="AO54">
            <v>6639.124448577455</v>
          </cell>
        </row>
        <row r="55">
          <cell r="A55" t="str">
            <v>Véhicules neufsCsst</v>
          </cell>
          <cell r="B55" t="str">
            <v>Csst</v>
          </cell>
          <cell r="E55">
            <v>46546.809633222103</v>
          </cell>
          <cell r="H55">
            <v>3514.7279786527738</v>
          </cell>
          <cell r="K55">
            <v>3009.4898127053166</v>
          </cell>
          <cell r="N55">
            <v>4155.468038043573</v>
          </cell>
          <cell r="Q55">
            <v>4220.5881352515416</v>
          </cell>
          <cell r="T55">
            <v>4524.1519707422076</v>
          </cell>
          <cell r="W55">
            <v>3751.0670373245107</v>
          </cell>
          <cell r="Z55">
            <v>3809.2841520524616</v>
          </cell>
          <cell r="AC55">
            <v>3894.5242530533505</v>
          </cell>
          <cell r="AF55">
            <v>3952.7413677813015</v>
          </cell>
          <cell r="AI55">
            <v>4186.9757468420767</v>
          </cell>
          <cell r="AL55">
            <v>4356.0900286948827</v>
          </cell>
          <cell r="AO55">
            <v>3171.7011120781058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0.33685047967554965</v>
          </cell>
          <cell r="E57">
            <v>847679.82917132287</v>
          </cell>
          <cell r="F57" t="str">
            <v>% brut</v>
          </cell>
          <cell r="G57">
            <v>0.38052328384150241</v>
          </cell>
          <cell r="H57">
            <v>66300.126195931545</v>
          </cell>
          <cell r="I57" t="str">
            <v>% brut</v>
          </cell>
          <cell r="J57">
            <v>0.46669088358146943</v>
          </cell>
          <cell r="K57">
            <v>60334.817114537866</v>
          </cell>
          <cell r="L57" t="str">
            <v>% brut</v>
          </cell>
          <cell r="M57">
            <v>0.32157678536102824</v>
          </cell>
          <cell r="N57">
            <v>74870.041657626163</v>
          </cell>
          <cell r="O57" t="str">
            <v>% brut</v>
          </cell>
          <cell r="P57">
            <v>0.28677046971244496</v>
          </cell>
          <cell r="Q57">
            <v>72716.013170744976</v>
          </cell>
          <cell r="R57" t="str">
            <v>% brut</v>
          </cell>
          <cell r="S57">
            <v>0.27665776065358366</v>
          </cell>
          <cell r="T57">
            <v>76848.211687906238</v>
          </cell>
          <cell r="U57" t="str">
            <v>% brut</v>
          </cell>
          <cell r="V57">
            <v>0.35220002805569195</v>
          </cell>
          <cell r="W57">
            <v>69821.287858348689</v>
          </cell>
          <cell r="X57" t="str">
            <v>% brut</v>
          </cell>
          <cell r="Y57">
            <v>0.34614648638402523</v>
          </cell>
          <cell r="Z57">
            <v>70350.449937554411</v>
          </cell>
          <cell r="AA57" t="str">
            <v>% brut</v>
          </cell>
          <cell r="AB57">
            <v>0.34314491796512164</v>
          </cell>
          <cell r="AC57">
            <v>71125.236343375378</v>
          </cell>
          <cell r="AD57" t="str">
            <v>% brut</v>
          </cell>
          <cell r="AE57">
            <v>0.33453613761194512</v>
          </cell>
          <cell r="AF57">
            <v>71654.398422581085</v>
          </cell>
          <cell r="AG57" t="str">
            <v>% brut</v>
          </cell>
          <cell r="AH57">
            <v>0.29633820969761043</v>
          </cell>
          <cell r="AI57">
            <v>72410.494743372896</v>
          </cell>
          <cell r="AJ57" t="str">
            <v>% brut</v>
          </cell>
          <cell r="AK57">
            <v>0.29569459567102802</v>
          </cell>
          <cell r="AL57">
            <v>75320.619551045907</v>
          </cell>
          <cell r="AM57" t="str">
            <v>% brut</v>
          </cell>
          <cell r="AN57">
            <v>0.52000214798739264</v>
          </cell>
          <cell r="AO57">
            <v>65928.132488297793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95349.999999999985</v>
          </cell>
          <cell r="H60">
            <v>7945.833333333333</v>
          </cell>
          <cell r="K60">
            <v>7945.833333333333</v>
          </cell>
          <cell r="N60">
            <v>7945.833333333333</v>
          </cell>
          <cell r="Q60">
            <v>7945.833333333333</v>
          </cell>
          <cell r="T60">
            <v>7945.833333333333</v>
          </cell>
          <cell r="W60">
            <v>7945.833333333333</v>
          </cell>
          <cell r="Z60">
            <v>7945.833333333333</v>
          </cell>
          <cell r="AC60">
            <v>7945.833333333333</v>
          </cell>
          <cell r="AF60">
            <v>7945.833333333333</v>
          </cell>
          <cell r="AI60">
            <v>7945.833333333333</v>
          </cell>
          <cell r="AL60">
            <v>7945.833333333333</v>
          </cell>
          <cell r="AO60">
            <v>7945.833333333333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75130.355584000004</v>
          </cell>
          <cell r="H61">
            <v>6260.856098666668</v>
          </cell>
          <cell r="K61">
            <v>6260.856098666668</v>
          </cell>
          <cell r="N61">
            <v>6260.856098666668</v>
          </cell>
          <cell r="Q61">
            <v>6260.856098666668</v>
          </cell>
          <cell r="T61">
            <v>6260.866398666667</v>
          </cell>
          <cell r="W61">
            <v>6260.866398666667</v>
          </cell>
          <cell r="Z61">
            <v>6260.866398666667</v>
          </cell>
          <cell r="AC61">
            <v>6260.866398666667</v>
          </cell>
          <cell r="AF61">
            <v>6260.866398666667</v>
          </cell>
          <cell r="AI61">
            <v>6260.866398666667</v>
          </cell>
          <cell r="AL61">
            <v>6260.866398666667</v>
          </cell>
          <cell r="AO61">
            <v>6260.866398666667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12001.056536000002</v>
          </cell>
          <cell r="H62">
            <v>1000.0880446666665</v>
          </cell>
          <cell r="K62">
            <v>1000.0880446666665</v>
          </cell>
          <cell r="N62">
            <v>1000.0880446666665</v>
          </cell>
          <cell r="Q62">
            <v>1000.0880446666665</v>
          </cell>
          <cell r="T62">
            <v>1000.0880446666665</v>
          </cell>
          <cell r="W62">
            <v>1000.0880446666665</v>
          </cell>
          <cell r="Z62">
            <v>1000.0880446666665</v>
          </cell>
          <cell r="AC62">
            <v>1000.0880446666665</v>
          </cell>
          <cell r="AF62">
            <v>1000.0880446666665</v>
          </cell>
          <cell r="AI62">
            <v>1000.0880446666665</v>
          </cell>
          <cell r="AL62">
            <v>1000.0880446666665</v>
          </cell>
          <cell r="AO62">
            <v>1000.0880446666665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81031.464885333335</v>
          </cell>
          <cell r="H63">
            <v>6832.0762737777786</v>
          </cell>
          <cell r="K63">
            <v>6989.7569137777782</v>
          </cell>
          <cell r="N63">
            <v>6667.727825777778</v>
          </cell>
          <cell r="Q63">
            <v>6691.3008177777774</v>
          </cell>
          <cell r="T63">
            <v>6579.7114417777775</v>
          </cell>
          <cell r="W63">
            <v>6901.1637297777779</v>
          </cell>
          <cell r="Z63">
            <v>6796.8453297777778</v>
          </cell>
          <cell r="AC63">
            <v>6506.5764977777781</v>
          </cell>
          <cell r="AF63">
            <v>6527.9741297777782</v>
          </cell>
          <cell r="AI63">
            <v>6690.5328497777782</v>
          </cell>
          <cell r="AL63">
            <v>7157.2662257777783</v>
          </cell>
          <cell r="AO63">
            <v>6690.5328497777782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1487.4891764646707</v>
          </cell>
          <cell r="H64">
            <v>104.43468843875556</v>
          </cell>
          <cell r="K64">
            <v>88.052472712833207</v>
          </cell>
          <cell r="N64">
            <v>129.80487184201826</v>
          </cell>
          <cell r="Q64">
            <v>155.47524951475347</v>
          </cell>
          <cell r="T64">
            <v>161.70939187937071</v>
          </cell>
          <cell r="W64">
            <v>119.79021815603429</v>
          </cell>
          <cell r="Z64">
            <v>117.13645759980204</v>
          </cell>
          <cell r="AC64">
            <v>124.83089991785656</v>
          </cell>
          <cell r="AF64">
            <v>124.76419008019599</v>
          </cell>
          <cell r="AI64">
            <v>139.98630012215364</v>
          </cell>
          <cell r="AL64">
            <v>141.17976072494864</v>
          </cell>
          <cell r="AO64">
            <v>80.324675475948425</v>
          </cell>
        </row>
        <row r="65">
          <cell r="A65" t="str">
            <v>Véhicules neufsUniformes</v>
          </cell>
          <cell r="B65" t="str">
            <v>Uniformes</v>
          </cell>
          <cell r="E65">
            <v>768.12245104065926</v>
          </cell>
          <cell r="H65">
            <v>53.928882392207292</v>
          </cell>
          <cell r="K65">
            <v>45.469292974030999</v>
          </cell>
          <cell r="N65">
            <v>67.029755842178261</v>
          </cell>
          <cell r="Q65">
            <v>80.285646190224185</v>
          </cell>
          <cell r="T65">
            <v>83.504886228412076</v>
          </cell>
          <cell r="W65">
            <v>61.858302861334295</v>
          </cell>
          <cell r="Z65">
            <v>60.487931167085833</v>
          </cell>
          <cell r="AC65">
            <v>64.46125345154239</v>
          </cell>
          <cell r="AF65">
            <v>64.42680525197018</v>
          </cell>
          <cell r="AI65">
            <v>72.287329321952768</v>
          </cell>
          <cell r="AL65">
            <v>72.903618769932578</v>
          </cell>
          <cell r="AO65">
            <v>41.478746589788344</v>
          </cell>
        </row>
        <row r="66">
          <cell r="A66" t="str">
            <v>Véhicules neufsPapeterie</v>
          </cell>
          <cell r="B66" t="str">
            <v>Papeterie</v>
          </cell>
          <cell r="E66">
            <v>9161.412422399997</v>
          </cell>
          <cell r="H66">
            <v>763.45103519999975</v>
          </cell>
          <cell r="K66">
            <v>763.45103519999975</v>
          </cell>
          <cell r="N66">
            <v>763.45103519999975</v>
          </cell>
          <cell r="Q66">
            <v>763.45103519999975</v>
          </cell>
          <cell r="T66">
            <v>763.45103519999975</v>
          </cell>
          <cell r="W66">
            <v>763.45103519999975</v>
          </cell>
          <cell r="Z66">
            <v>763.45103519999975</v>
          </cell>
          <cell r="AC66">
            <v>763.45103519999975</v>
          </cell>
          <cell r="AF66">
            <v>763.45103519999975</v>
          </cell>
          <cell r="AI66">
            <v>763.45103519999975</v>
          </cell>
          <cell r="AL66">
            <v>763.45103519999975</v>
          </cell>
          <cell r="AO66">
            <v>763.45103519999975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3104.6430018666674</v>
          </cell>
          <cell r="H67">
            <v>258.72025015555556</v>
          </cell>
          <cell r="K67">
            <v>258.72025015555556</v>
          </cell>
          <cell r="N67">
            <v>258.72025015555556</v>
          </cell>
          <cell r="Q67">
            <v>258.72025015555556</v>
          </cell>
          <cell r="T67">
            <v>258.72025015555556</v>
          </cell>
          <cell r="W67">
            <v>258.72025015555556</v>
          </cell>
          <cell r="Z67">
            <v>258.72025015555556</v>
          </cell>
          <cell r="AC67">
            <v>258.72025015555556</v>
          </cell>
          <cell r="AF67">
            <v>258.72025015555556</v>
          </cell>
          <cell r="AI67">
            <v>258.72025015555556</v>
          </cell>
          <cell r="AL67">
            <v>258.72025015555556</v>
          </cell>
          <cell r="AO67">
            <v>258.72025015555556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1484.9315261333331</v>
          </cell>
          <cell r="H68">
            <v>123.74429384444443</v>
          </cell>
          <cell r="K68">
            <v>123.74429384444443</v>
          </cell>
          <cell r="N68">
            <v>123.74429384444443</v>
          </cell>
          <cell r="Q68">
            <v>123.74429384444443</v>
          </cell>
          <cell r="T68">
            <v>123.74429384444443</v>
          </cell>
          <cell r="W68">
            <v>123.74429384444443</v>
          </cell>
          <cell r="Z68">
            <v>123.74429384444443</v>
          </cell>
          <cell r="AC68">
            <v>123.74429384444443</v>
          </cell>
          <cell r="AF68">
            <v>123.74429384444443</v>
          </cell>
          <cell r="AI68">
            <v>123.74429384444443</v>
          </cell>
          <cell r="AL68">
            <v>123.74429384444443</v>
          </cell>
          <cell r="AO68">
            <v>123.74429384444443</v>
          </cell>
        </row>
        <row r="69">
          <cell r="A69" t="str">
            <v>Véhicules neufsDivers</v>
          </cell>
          <cell r="B69" t="str">
            <v>Divers</v>
          </cell>
          <cell r="E69">
            <v>5642.1883565333328</v>
          </cell>
          <cell r="H69">
            <v>470.18236304444446</v>
          </cell>
          <cell r="K69">
            <v>470.18236304444446</v>
          </cell>
          <cell r="N69">
            <v>470.18236304444446</v>
          </cell>
          <cell r="Q69">
            <v>470.18236304444446</v>
          </cell>
          <cell r="T69">
            <v>470.18236304444446</v>
          </cell>
          <cell r="W69">
            <v>470.18236304444446</v>
          </cell>
          <cell r="Z69">
            <v>470.18236304444446</v>
          </cell>
          <cell r="AC69">
            <v>470.18236304444446</v>
          </cell>
          <cell r="AF69">
            <v>470.18236304444446</v>
          </cell>
          <cell r="AI69">
            <v>470.18236304444446</v>
          </cell>
          <cell r="AL69">
            <v>470.18236304444446</v>
          </cell>
          <cell r="AO69">
            <v>470.18236304444446</v>
          </cell>
        </row>
        <row r="70">
          <cell r="A70" t="str">
            <v>Véhicules neufsFormation</v>
          </cell>
          <cell r="B70" t="str">
            <v>Formation</v>
          </cell>
          <cell r="E70">
            <v>7352.8836240364881</v>
          </cell>
          <cell r="H70">
            <v>612.74030200304071</v>
          </cell>
          <cell r="K70">
            <v>612.74030200304071</v>
          </cell>
          <cell r="N70">
            <v>612.74030200304071</v>
          </cell>
          <cell r="Q70">
            <v>612.74030200304071</v>
          </cell>
          <cell r="T70">
            <v>612.74030200304071</v>
          </cell>
          <cell r="W70">
            <v>612.74030200304071</v>
          </cell>
          <cell r="Z70">
            <v>612.74030200304071</v>
          </cell>
          <cell r="AC70">
            <v>612.74030200304071</v>
          </cell>
          <cell r="AF70">
            <v>612.74030200304071</v>
          </cell>
          <cell r="AI70">
            <v>612.74030200304071</v>
          </cell>
          <cell r="AL70">
            <v>612.74030200304071</v>
          </cell>
          <cell r="AO70">
            <v>612.74030200304071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17027.814278281883</v>
          </cell>
          <cell r="H71">
            <v>1024.7589613033638</v>
          </cell>
          <cell r="K71">
            <v>872.07988972026953</v>
          </cell>
          <cell r="N71">
            <v>1022.4390943337119</v>
          </cell>
          <cell r="Q71">
            <v>2044.9975931513438</v>
          </cell>
          <cell r="T71">
            <v>1867.0949048486443</v>
          </cell>
          <cell r="W71">
            <v>1204.8888227830162</v>
          </cell>
          <cell r="Z71">
            <v>1131.0253593673358</v>
          </cell>
          <cell r="AC71">
            <v>1255.4359527195961</v>
          </cell>
          <cell r="AF71">
            <v>929.83857394744143</v>
          </cell>
          <cell r="AI71">
            <v>1818.3447712304574</v>
          </cell>
          <cell r="AL71">
            <v>2685.2134438861531</v>
          </cell>
          <cell r="AO71">
            <v>1171.6969109905506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0.12300574990482285</v>
          </cell>
          <cell r="E75">
            <v>309542.36184209038</v>
          </cell>
          <cell r="F75" t="str">
            <v>% brut</v>
          </cell>
          <cell r="G75">
            <v>0.14607253524026068</v>
          </cell>
          <cell r="H75">
            <v>25450.814526826256</v>
          </cell>
          <cell r="I75" t="str">
            <v>% brut</v>
          </cell>
          <cell r="J75">
            <v>0.19670903848524693</v>
          </cell>
          <cell r="K75">
            <v>25430.97429009906</v>
          </cell>
          <cell r="L75" t="str">
            <v>% brut</v>
          </cell>
          <cell r="M75">
            <v>0.10876400864630638</v>
          </cell>
          <cell r="N75">
            <v>25322.617268709837</v>
          </cell>
          <cell r="O75" t="str">
            <v>% brut</v>
          </cell>
          <cell r="P75">
            <v>0.10414406733055534</v>
          </cell>
          <cell r="Q75">
            <v>26407.675027548248</v>
          </cell>
          <cell r="R75" t="str">
            <v>% brut</v>
          </cell>
          <cell r="S75">
            <v>9.4060955399834514E-2</v>
          </cell>
          <cell r="T75">
            <v>26127.646645648354</v>
          </cell>
          <cell r="U75" t="str">
            <v>% brut</v>
          </cell>
          <cell r="V75">
            <v>0.12975636517541891</v>
          </cell>
          <cell r="W75">
            <v>25723.327094492317</v>
          </cell>
          <cell r="X75" t="str">
            <v>% brut</v>
          </cell>
          <cell r="Y75">
            <v>0.12567040203033708</v>
          </cell>
          <cell r="Z75">
            <v>25541.121098826152</v>
          </cell>
          <cell r="AA75" t="str">
            <v>% brut</v>
          </cell>
          <cell r="AB75">
            <v>0.12247968055347018</v>
          </cell>
          <cell r="AC75">
            <v>25386.930624780922</v>
          </cell>
          <cell r="AD75" t="str">
            <v>% brut</v>
          </cell>
          <cell r="AE75">
            <v>0.1171044102301125</v>
          </cell>
          <cell r="AF75">
            <v>25082.629719971534</v>
          </cell>
          <cell r="AG75" t="str">
            <v>% brut</v>
          </cell>
          <cell r="AH75">
            <v>0.10704598243012695</v>
          </cell>
          <cell r="AI75">
            <v>26156.777271366493</v>
          </cell>
          <cell r="AJ75" t="str">
            <v>% brut</v>
          </cell>
          <cell r="AK75">
            <v>0.10792916706795459</v>
          </cell>
          <cell r="AL75">
            <v>27492.189070072964</v>
          </cell>
          <cell r="AM75" t="str">
            <v>% brut</v>
          </cell>
          <cell r="AN75">
            <v>0.20049524972367153</v>
          </cell>
          <cell r="AO75">
            <v>25419.659203748219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0.9012623212537626</v>
          </cell>
          <cell r="E77">
            <v>2268014.851143444</v>
          </cell>
          <cell r="F77" t="str">
            <v>% brut</v>
          </cell>
          <cell r="G77">
            <v>0.97583301821046864</v>
          </cell>
          <cell r="H77">
            <v>170023.37307816133</v>
          </cell>
          <cell r="I77" t="str">
            <v>% brut</v>
          </cell>
          <cell r="J77">
            <v>1.1261423368107386</v>
          </cell>
          <cell r="K77">
            <v>145590.14184075673</v>
          </cell>
          <cell r="L77" t="str">
            <v>% brut</v>
          </cell>
          <cell r="M77">
            <v>0.86801085268705813</v>
          </cell>
          <cell r="N77">
            <v>202091.72943560223</v>
          </cell>
          <cell r="O77" t="str">
            <v>% brut</v>
          </cell>
          <cell r="P77">
            <v>0.8265869900897882</v>
          </cell>
          <cell r="Q77">
            <v>209596.58265513196</v>
          </cell>
          <cell r="R77" t="str">
            <v>% brut</v>
          </cell>
          <cell r="S77">
            <v>0.80091880855596054</v>
          </cell>
          <cell r="T77">
            <v>222474.07048813195</v>
          </cell>
          <cell r="U77" t="str">
            <v>% brut</v>
          </cell>
          <cell r="V77">
            <v>0.91609755108714397</v>
          </cell>
          <cell r="W77">
            <v>181610.18093578785</v>
          </cell>
          <cell r="X77" t="str">
            <v>% brut</v>
          </cell>
          <cell r="Y77">
            <v>0.9094719709954423</v>
          </cell>
          <cell r="Z77">
            <v>184840.13237719401</v>
          </cell>
          <cell r="AA77" t="str">
            <v>% brut</v>
          </cell>
          <cell r="AB77">
            <v>0.91179061909450398</v>
          </cell>
          <cell r="AC77">
            <v>188991.06436820622</v>
          </cell>
          <cell r="AD77" t="str">
            <v>% brut</v>
          </cell>
          <cell r="AE77">
            <v>0.89819228986879418</v>
          </cell>
          <cell r="AF77">
            <v>192384.08339909933</v>
          </cell>
          <cell r="AG77" t="str">
            <v>% brut</v>
          </cell>
          <cell r="AH77">
            <v>0.84879754853943601</v>
          </cell>
          <cell r="AI77">
            <v>207404.40623374068</v>
          </cell>
          <cell r="AJ77" t="str">
            <v>% brut</v>
          </cell>
          <cell r="AK77">
            <v>0.83881014948624166</v>
          </cell>
          <cell r="AL77">
            <v>213665.3867536324</v>
          </cell>
          <cell r="AM77" t="str">
            <v>% brut</v>
          </cell>
          <cell r="AN77">
            <v>1.1779348456856122</v>
          </cell>
          <cell r="AO77">
            <v>149343.69957799962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54624.175776000004</v>
          </cell>
          <cell r="H78">
            <v>0</v>
          </cell>
          <cell r="K78">
            <v>0</v>
          </cell>
          <cell r="N78">
            <v>10069.275775575905</v>
          </cell>
          <cell r="Q78">
            <v>0</v>
          </cell>
          <cell r="T78">
            <v>0</v>
          </cell>
          <cell r="W78">
            <v>16584.689512713256</v>
          </cell>
          <cell r="Z78">
            <v>0</v>
          </cell>
          <cell r="AC78">
            <v>0</v>
          </cell>
          <cell r="AF78">
            <v>15729.130133089158</v>
          </cell>
          <cell r="AI78">
            <v>0</v>
          </cell>
          <cell r="AL78">
            <v>0</v>
          </cell>
          <cell r="AO78">
            <v>12241.080354621687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777263.49903074617</v>
          </cell>
          <cell r="H81">
            <v>54408.444932152241</v>
          </cell>
          <cell r="K81">
            <v>39973.551378724093</v>
          </cell>
          <cell r="N81">
            <v>71064.091339953928</v>
          </cell>
          <cell r="Q81">
            <v>77726.349903074617</v>
          </cell>
          <cell r="T81">
            <v>85498.984893382076</v>
          </cell>
          <cell r="W81">
            <v>59960.327068086131</v>
          </cell>
          <cell r="Z81">
            <v>62181.079922459692</v>
          </cell>
          <cell r="AC81">
            <v>64401.832776833246</v>
          </cell>
          <cell r="AF81">
            <v>66622.585631206806</v>
          </cell>
          <cell r="AI81">
            <v>76615.973475887848</v>
          </cell>
          <cell r="AL81">
            <v>79947.102757448185</v>
          </cell>
          <cell r="AO81">
            <v>38863.174951537309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244888.15881600004</v>
          </cell>
          <cell r="H85">
            <v>17142.171117120004</v>
          </cell>
          <cell r="K85">
            <v>12594.248167680002</v>
          </cell>
          <cell r="N85">
            <v>22389.774520319999</v>
          </cell>
          <cell r="Q85">
            <v>24488.815881600003</v>
          </cell>
          <cell r="T85">
            <v>26937.697469760002</v>
          </cell>
          <cell r="W85">
            <v>18891.372251520002</v>
          </cell>
          <cell r="Z85">
            <v>19591.052705280003</v>
          </cell>
          <cell r="AC85">
            <v>20290.733159040003</v>
          </cell>
          <cell r="AF85">
            <v>20990.413612800003</v>
          </cell>
          <cell r="AI85">
            <v>24138.975654720009</v>
          </cell>
          <cell r="AL85">
            <v>25188.496335360003</v>
          </cell>
          <cell r="AO85">
            <v>12244.407940800002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1076775.8336227462</v>
          </cell>
          <cell r="H86">
            <v>71550.616049272241</v>
          </cell>
          <cell r="K86">
            <v>52567.799546404094</v>
          </cell>
          <cell r="N86">
            <v>103523.14163584984</v>
          </cell>
          <cell r="Q86">
            <v>102215.16578467462</v>
          </cell>
          <cell r="T86">
            <v>112436.68236314208</v>
          </cell>
          <cell r="W86">
            <v>95436.388832319397</v>
          </cell>
          <cell r="Z86">
            <v>81772.132627739687</v>
          </cell>
          <cell r="AC86">
            <v>84692.565935873252</v>
          </cell>
          <cell r="AF86">
            <v>103342.12937709596</v>
          </cell>
          <cell r="AI86">
            <v>100754.94913060786</v>
          </cell>
          <cell r="AL86">
            <v>105135.59909280819</v>
          </cell>
          <cell r="AO86">
            <v>63348.663246958997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1325247.9115993022</v>
          </cell>
          <cell r="H88">
            <v>75761.328009510908</v>
          </cell>
          <cell r="K88">
            <v>36259.842631818778</v>
          </cell>
          <cell r="N88">
            <v>134253.07429121903</v>
          </cell>
          <cell r="Q88">
            <v>146187.27604154276</v>
          </cell>
          <cell r="T88">
            <v>167736.17407821014</v>
          </cell>
          <cell r="W88">
            <v>112069.4852857887</v>
          </cell>
          <cell r="Z88">
            <v>100170.95458014568</v>
          </cell>
          <cell r="AC88">
            <v>102976.13283760988</v>
          </cell>
          <cell r="AF88">
            <v>125148.35418828236</v>
          </cell>
          <cell r="AI88">
            <v>137701.3973386958</v>
          </cell>
          <cell r="AL88">
            <v>146194.58219151862</v>
          </cell>
          <cell r="AO88">
            <v>40789.310124959418</v>
          </cell>
        </row>
        <row r="92">
          <cell r="B92" t="str">
            <v>Budget 2023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19554920.812632091</v>
          </cell>
          <cell r="H96">
            <v>1378872.6214035451</v>
          </cell>
          <cell r="K96">
            <v>1378872.6214035451</v>
          </cell>
          <cell r="N96">
            <v>1587792.7155555976</v>
          </cell>
          <cell r="Q96">
            <v>2172768.9791813437</v>
          </cell>
          <cell r="T96">
            <v>2089200.941520523</v>
          </cell>
          <cell r="W96">
            <v>1671360.7532164184</v>
          </cell>
          <cell r="Z96">
            <v>1504224.6778947767</v>
          </cell>
          <cell r="AC96">
            <v>1671360.7532164184</v>
          </cell>
          <cell r="AF96">
            <v>1587792.7155555976</v>
          </cell>
          <cell r="AI96">
            <v>1713144.7720468286</v>
          </cell>
          <cell r="AL96">
            <v>1629576.734386008</v>
          </cell>
          <cell r="AO96">
            <v>1169952.527251493</v>
          </cell>
        </row>
        <row r="97">
          <cell r="A97" t="str">
            <v>Véhicules usagésCertifié</v>
          </cell>
          <cell r="B97" t="str">
            <v>Certifié</v>
          </cell>
          <cell r="C97">
            <v>468</v>
          </cell>
          <cell r="D97">
            <v>1858</v>
          </cell>
          <cell r="E97">
            <v>869544</v>
          </cell>
          <cell r="F97">
            <v>33</v>
          </cell>
          <cell r="G97">
            <v>1858</v>
          </cell>
          <cell r="H97">
            <v>61314</v>
          </cell>
          <cell r="I97">
            <v>33</v>
          </cell>
          <cell r="J97">
            <v>1858</v>
          </cell>
          <cell r="K97">
            <v>61314</v>
          </cell>
          <cell r="L97">
            <v>38</v>
          </cell>
          <cell r="M97">
            <v>1858</v>
          </cell>
          <cell r="N97">
            <v>70604</v>
          </cell>
          <cell r="O97">
            <v>52</v>
          </cell>
          <cell r="P97">
            <v>1858</v>
          </cell>
          <cell r="Q97">
            <v>96616</v>
          </cell>
          <cell r="R97">
            <v>50</v>
          </cell>
          <cell r="S97">
            <v>1858</v>
          </cell>
          <cell r="T97">
            <v>92900</v>
          </cell>
          <cell r="U97">
            <v>40</v>
          </cell>
          <cell r="V97">
            <v>1858</v>
          </cell>
          <cell r="W97">
            <v>74320</v>
          </cell>
          <cell r="X97">
            <v>36</v>
          </cell>
          <cell r="Y97">
            <v>1858</v>
          </cell>
          <cell r="Z97">
            <v>66888</v>
          </cell>
          <cell r="AA97">
            <v>40</v>
          </cell>
          <cell r="AB97">
            <v>1858</v>
          </cell>
          <cell r="AC97">
            <v>74320</v>
          </cell>
          <cell r="AD97">
            <v>38</v>
          </cell>
          <cell r="AE97">
            <v>1858</v>
          </cell>
          <cell r="AF97">
            <v>70604</v>
          </cell>
          <cell r="AG97">
            <v>41</v>
          </cell>
          <cell r="AH97">
            <v>1858</v>
          </cell>
          <cell r="AI97">
            <v>76178</v>
          </cell>
          <cell r="AJ97">
            <v>39</v>
          </cell>
          <cell r="AK97">
            <v>1858</v>
          </cell>
          <cell r="AL97">
            <v>72462</v>
          </cell>
          <cell r="AM97">
            <v>28</v>
          </cell>
          <cell r="AN97">
            <v>1858</v>
          </cell>
          <cell r="AO97">
            <v>52024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468</v>
          </cell>
          <cell r="D99">
            <v>1858</v>
          </cell>
          <cell r="E99">
            <v>869544</v>
          </cell>
          <cell r="F99">
            <v>33</v>
          </cell>
          <cell r="G99">
            <v>1858</v>
          </cell>
          <cell r="H99">
            <v>61314</v>
          </cell>
          <cell r="I99">
            <v>33</v>
          </cell>
          <cell r="J99">
            <v>1858</v>
          </cell>
          <cell r="K99">
            <v>61314</v>
          </cell>
          <cell r="L99">
            <v>38</v>
          </cell>
          <cell r="M99">
            <v>1858</v>
          </cell>
          <cell r="N99">
            <v>70604</v>
          </cell>
          <cell r="O99">
            <v>52</v>
          </cell>
          <cell r="P99">
            <v>1858</v>
          </cell>
          <cell r="Q99">
            <v>96616</v>
          </cell>
          <cell r="R99">
            <v>50</v>
          </cell>
          <cell r="S99">
            <v>1858</v>
          </cell>
          <cell r="T99">
            <v>92900</v>
          </cell>
          <cell r="U99">
            <v>40</v>
          </cell>
          <cell r="V99">
            <v>1858</v>
          </cell>
          <cell r="W99">
            <v>74320</v>
          </cell>
          <cell r="X99">
            <v>36</v>
          </cell>
          <cell r="Y99">
            <v>1858</v>
          </cell>
          <cell r="Z99">
            <v>66888</v>
          </cell>
          <cell r="AA99">
            <v>40</v>
          </cell>
          <cell r="AB99">
            <v>1858</v>
          </cell>
          <cell r="AC99">
            <v>74320</v>
          </cell>
          <cell r="AD99">
            <v>38</v>
          </cell>
          <cell r="AE99">
            <v>1858</v>
          </cell>
          <cell r="AF99">
            <v>70604</v>
          </cell>
          <cell r="AG99">
            <v>41</v>
          </cell>
          <cell r="AH99">
            <v>1858</v>
          </cell>
          <cell r="AI99">
            <v>76178</v>
          </cell>
          <cell r="AJ99">
            <v>39</v>
          </cell>
          <cell r="AK99">
            <v>1858</v>
          </cell>
          <cell r="AL99">
            <v>72462</v>
          </cell>
          <cell r="AM99">
            <v>28</v>
          </cell>
          <cell r="AN99">
            <v>1858</v>
          </cell>
          <cell r="AO99">
            <v>52024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395.99999999999994</v>
          </cell>
          <cell r="D102">
            <v>399.00000000000011</v>
          </cell>
          <cell r="E102">
            <v>158004.00000000003</v>
          </cell>
          <cell r="F102">
            <v>27.923076923076923</v>
          </cell>
          <cell r="G102">
            <v>399.00000000000006</v>
          </cell>
          <cell r="H102">
            <v>11141.307692307693</v>
          </cell>
          <cell r="I102">
            <v>27.923076923076923</v>
          </cell>
          <cell r="J102">
            <v>399.00000000000006</v>
          </cell>
          <cell r="K102">
            <v>11141.307692307693</v>
          </cell>
          <cell r="L102">
            <v>32.153846153846153</v>
          </cell>
          <cell r="M102">
            <v>399</v>
          </cell>
          <cell r="N102">
            <v>12829.384615384615</v>
          </cell>
          <cell r="O102">
            <v>44</v>
          </cell>
          <cell r="P102">
            <v>399</v>
          </cell>
          <cell r="Q102">
            <v>17556</v>
          </cell>
          <cell r="R102">
            <v>42.307692307692307</v>
          </cell>
          <cell r="S102">
            <v>399</v>
          </cell>
          <cell r="T102">
            <v>16880.76923076923</v>
          </cell>
          <cell r="U102">
            <v>33.846153846153847</v>
          </cell>
          <cell r="V102">
            <v>399</v>
          </cell>
          <cell r="W102">
            <v>13504.615384615385</v>
          </cell>
          <cell r="X102">
            <v>30.46153846153846</v>
          </cell>
          <cell r="Y102">
            <v>399</v>
          </cell>
          <cell r="Z102">
            <v>12154.153846153846</v>
          </cell>
          <cell r="AA102">
            <v>33.846153846153847</v>
          </cell>
          <cell r="AB102">
            <v>399</v>
          </cell>
          <cell r="AC102">
            <v>13504.615384615385</v>
          </cell>
          <cell r="AD102">
            <v>32.153846153846153</v>
          </cell>
          <cell r="AE102">
            <v>399</v>
          </cell>
          <cell r="AF102">
            <v>12829.384615384615</v>
          </cell>
          <cell r="AG102">
            <v>34.692307692307693</v>
          </cell>
          <cell r="AH102">
            <v>399</v>
          </cell>
          <cell r="AI102">
            <v>13842.23076923077</v>
          </cell>
          <cell r="AJ102">
            <v>33</v>
          </cell>
          <cell r="AK102">
            <v>399</v>
          </cell>
          <cell r="AL102">
            <v>13167</v>
          </cell>
          <cell r="AM102">
            <v>23.692307692307693</v>
          </cell>
          <cell r="AN102">
            <v>399</v>
          </cell>
          <cell r="AO102">
            <v>9453.2307692307695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500</v>
          </cell>
          <cell r="E104">
            <v>234000</v>
          </cell>
          <cell r="G104">
            <v>500</v>
          </cell>
          <cell r="H104">
            <v>16500</v>
          </cell>
          <cell r="J104">
            <v>500</v>
          </cell>
          <cell r="K104">
            <v>16500</v>
          </cell>
          <cell r="M104">
            <v>500</v>
          </cell>
          <cell r="N104">
            <v>19000</v>
          </cell>
          <cell r="P104">
            <v>500</v>
          </cell>
          <cell r="Q104">
            <v>26000</v>
          </cell>
          <cell r="S104">
            <v>500</v>
          </cell>
          <cell r="T104">
            <v>25000</v>
          </cell>
          <cell r="V104">
            <v>500</v>
          </cell>
          <cell r="W104">
            <v>20000</v>
          </cell>
          <cell r="Y104">
            <v>500</v>
          </cell>
          <cell r="Z104">
            <v>18000</v>
          </cell>
          <cell r="AB104">
            <v>500</v>
          </cell>
          <cell r="AC104">
            <v>20000</v>
          </cell>
          <cell r="AE104">
            <v>500</v>
          </cell>
          <cell r="AF104">
            <v>19000</v>
          </cell>
          <cell r="AH104">
            <v>500</v>
          </cell>
          <cell r="AI104">
            <v>20500</v>
          </cell>
          <cell r="AK104">
            <v>500</v>
          </cell>
          <cell r="AL104">
            <v>19500</v>
          </cell>
          <cell r="AN104">
            <v>500</v>
          </cell>
          <cell r="AO104">
            <v>14000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1250</v>
          </cell>
          <cell r="E105">
            <v>585000</v>
          </cell>
          <cell r="G105">
            <v>1250</v>
          </cell>
          <cell r="H105">
            <v>41250</v>
          </cell>
          <cell r="J105">
            <v>1250</v>
          </cell>
          <cell r="K105">
            <v>41250</v>
          </cell>
          <cell r="M105">
            <v>1250</v>
          </cell>
          <cell r="N105">
            <v>47500</v>
          </cell>
          <cell r="P105">
            <v>1250</v>
          </cell>
          <cell r="Q105">
            <v>65000</v>
          </cell>
          <cell r="S105">
            <v>1250</v>
          </cell>
          <cell r="T105">
            <v>62500</v>
          </cell>
          <cell r="V105">
            <v>1250</v>
          </cell>
          <cell r="W105">
            <v>50000</v>
          </cell>
          <cell r="Y105">
            <v>1250</v>
          </cell>
          <cell r="Z105">
            <v>45000</v>
          </cell>
          <cell r="AB105">
            <v>1250</v>
          </cell>
          <cell r="AC105">
            <v>50000</v>
          </cell>
          <cell r="AE105">
            <v>1250</v>
          </cell>
          <cell r="AF105">
            <v>47500</v>
          </cell>
          <cell r="AH105">
            <v>1250</v>
          </cell>
          <cell r="AI105">
            <v>51250</v>
          </cell>
          <cell r="AK105">
            <v>1250</v>
          </cell>
          <cell r="AL105">
            <v>48750</v>
          </cell>
          <cell r="AN105">
            <v>1250</v>
          </cell>
          <cell r="AO105">
            <v>35000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350</v>
          </cell>
          <cell r="E106">
            <v>163800</v>
          </cell>
          <cell r="G106">
            <v>350</v>
          </cell>
          <cell r="H106">
            <v>11550</v>
          </cell>
          <cell r="J106">
            <v>350</v>
          </cell>
          <cell r="K106">
            <v>11550</v>
          </cell>
          <cell r="M106">
            <v>350</v>
          </cell>
          <cell r="N106">
            <v>13300</v>
          </cell>
          <cell r="P106">
            <v>350</v>
          </cell>
          <cell r="Q106">
            <v>18200</v>
          </cell>
          <cell r="S106">
            <v>350</v>
          </cell>
          <cell r="T106">
            <v>17500</v>
          </cell>
          <cell r="V106">
            <v>350</v>
          </cell>
          <cell r="W106">
            <v>14000</v>
          </cell>
          <cell r="Y106">
            <v>350</v>
          </cell>
          <cell r="Z106">
            <v>12600</v>
          </cell>
          <cell r="AB106">
            <v>350</v>
          </cell>
          <cell r="AC106">
            <v>14000</v>
          </cell>
          <cell r="AE106">
            <v>350</v>
          </cell>
          <cell r="AF106">
            <v>13300</v>
          </cell>
          <cell r="AH106">
            <v>350</v>
          </cell>
          <cell r="AI106">
            <v>14350</v>
          </cell>
          <cell r="AK106">
            <v>350</v>
          </cell>
          <cell r="AL106">
            <v>13650</v>
          </cell>
          <cell r="AN106">
            <v>350</v>
          </cell>
          <cell r="AO106">
            <v>9800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468</v>
          </cell>
          <cell r="D107">
            <v>2100</v>
          </cell>
          <cell r="E107">
            <v>982800</v>
          </cell>
          <cell r="F107">
            <v>33</v>
          </cell>
          <cell r="G107">
            <v>2100</v>
          </cell>
          <cell r="H107">
            <v>69300</v>
          </cell>
          <cell r="I107">
            <v>33</v>
          </cell>
          <cell r="J107">
            <v>2100</v>
          </cell>
          <cell r="K107">
            <v>69300</v>
          </cell>
          <cell r="L107">
            <v>38</v>
          </cell>
          <cell r="M107">
            <v>2100</v>
          </cell>
          <cell r="N107">
            <v>79800</v>
          </cell>
          <cell r="O107">
            <v>52</v>
          </cell>
          <cell r="P107">
            <v>2100</v>
          </cell>
          <cell r="Q107">
            <v>109200</v>
          </cell>
          <cell r="R107">
            <v>50</v>
          </cell>
          <cell r="S107">
            <v>2100</v>
          </cell>
          <cell r="T107">
            <v>105000</v>
          </cell>
          <cell r="U107">
            <v>40</v>
          </cell>
          <cell r="V107">
            <v>2100</v>
          </cell>
          <cell r="W107">
            <v>84000</v>
          </cell>
          <cell r="X107">
            <v>36</v>
          </cell>
          <cell r="Y107">
            <v>2100</v>
          </cell>
          <cell r="Z107">
            <v>75600</v>
          </cell>
          <cell r="AA107">
            <v>40</v>
          </cell>
          <cell r="AB107">
            <v>2100</v>
          </cell>
          <cell r="AC107">
            <v>84000</v>
          </cell>
          <cell r="AD107">
            <v>38</v>
          </cell>
          <cell r="AE107">
            <v>2100</v>
          </cell>
          <cell r="AF107">
            <v>79800</v>
          </cell>
          <cell r="AG107">
            <v>41</v>
          </cell>
          <cell r="AH107">
            <v>2100</v>
          </cell>
          <cell r="AI107">
            <v>86100</v>
          </cell>
          <cell r="AJ107">
            <v>39</v>
          </cell>
          <cell r="AK107">
            <v>2100</v>
          </cell>
          <cell r="AL107">
            <v>81900</v>
          </cell>
          <cell r="AM107">
            <v>28</v>
          </cell>
          <cell r="AN107">
            <v>2100</v>
          </cell>
          <cell r="AO107">
            <v>58800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864</v>
          </cell>
          <cell r="D110">
            <v>2326.7916666666665</v>
          </cell>
          <cell r="E110">
            <v>2010348</v>
          </cell>
          <cell r="F110">
            <v>60.92307692307692</v>
          </cell>
          <cell r="G110">
            <v>2326.7916666666665</v>
          </cell>
          <cell r="H110">
            <v>141755.30769230769</v>
          </cell>
          <cell r="I110">
            <v>60.92307692307692</v>
          </cell>
          <cell r="J110">
            <v>2326.7916666666665</v>
          </cell>
          <cell r="K110">
            <v>141755.30769230769</v>
          </cell>
          <cell r="L110">
            <v>70.15384615384616</v>
          </cell>
          <cell r="M110">
            <v>2326.7916666666665</v>
          </cell>
          <cell r="N110">
            <v>163233.38461538462</v>
          </cell>
          <cell r="O110">
            <v>96</v>
          </cell>
          <cell r="P110">
            <v>2326.7916666666665</v>
          </cell>
          <cell r="Q110">
            <v>223372</v>
          </cell>
          <cell r="R110">
            <v>92.307692307692307</v>
          </cell>
          <cell r="S110">
            <v>2326.7916666666665</v>
          </cell>
          <cell r="T110">
            <v>214780.76923076922</v>
          </cell>
          <cell r="U110">
            <v>73.84615384615384</v>
          </cell>
          <cell r="V110">
            <v>2326.791666666667</v>
          </cell>
          <cell r="W110">
            <v>171824.61538461538</v>
          </cell>
          <cell r="X110">
            <v>66.461538461538453</v>
          </cell>
          <cell r="Y110">
            <v>2326.791666666667</v>
          </cell>
          <cell r="Z110">
            <v>154642.15384615384</v>
          </cell>
          <cell r="AA110">
            <v>73.84615384615384</v>
          </cell>
          <cell r="AB110">
            <v>2326.791666666667</v>
          </cell>
          <cell r="AC110">
            <v>171824.61538461538</v>
          </cell>
          <cell r="AD110">
            <v>70.15384615384616</v>
          </cell>
          <cell r="AE110">
            <v>2326.7916666666665</v>
          </cell>
          <cell r="AF110">
            <v>163233.38461538462</v>
          </cell>
          <cell r="AG110">
            <v>75.692307692307693</v>
          </cell>
          <cell r="AH110">
            <v>2326.791666666667</v>
          </cell>
          <cell r="AI110">
            <v>176120.23076923078</v>
          </cell>
          <cell r="AJ110">
            <v>72</v>
          </cell>
          <cell r="AK110">
            <v>2326.7916666666665</v>
          </cell>
          <cell r="AL110">
            <v>167529</v>
          </cell>
          <cell r="AM110">
            <v>51.692307692307693</v>
          </cell>
          <cell r="AN110">
            <v>2326.7916666666665</v>
          </cell>
          <cell r="AO110">
            <v>120277.23076923077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0.31318484171013772</v>
          </cell>
          <cell r="D114">
            <v>581.89743589743591</v>
          </cell>
          <cell r="E114">
            <v>272328</v>
          </cell>
          <cell r="G114">
            <v>608.0454545454545</v>
          </cell>
          <cell r="H114">
            <v>20065.5</v>
          </cell>
          <cell r="J114">
            <v>604.10606060606062</v>
          </cell>
          <cell r="K114">
            <v>19935.5</v>
          </cell>
          <cell r="M114">
            <v>589.81578947368416</v>
          </cell>
          <cell r="N114">
            <v>22413</v>
          </cell>
          <cell r="P114">
            <v>547.92307692307691</v>
          </cell>
          <cell r="Q114">
            <v>28492</v>
          </cell>
          <cell r="S114">
            <v>549.5</v>
          </cell>
          <cell r="T114">
            <v>27475</v>
          </cell>
          <cell r="V114">
            <v>579.25</v>
          </cell>
          <cell r="W114">
            <v>23170</v>
          </cell>
          <cell r="Y114">
            <v>597.94444444444446</v>
          </cell>
          <cell r="Z114">
            <v>21526</v>
          </cell>
          <cell r="AB114">
            <v>579.25</v>
          </cell>
          <cell r="AC114">
            <v>23170</v>
          </cell>
          <cell r="AE114">
            <v>586.39473684210532</v>
          </cell>
          <cell r="AF114">
            <v>22283</v>
          </cell>
          <cell r="AH114">
            <v>575.93902439024396</v>
          </cell>
          <cell r="AI114">
            <v>23613.5</v>
          </cell>
          <cell r="AK114">
            <v>582.73076923076928</v>
          </cell>
          <cell r="AL114">
            <v>22726.5</v>
          </cell>
          <cell r="AN114">
            <v>623.5</v>
          </cell>
          <cell r="AO114">
            <v>17458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630</v>
          </cell>
          <cell r="E115">
            <v>294840</v>
          </cell>
          <cell r="G115">
            <v>630</v>
          </cell>
          <cell r="H115">
            <v>20790</v>
          </cell>
          <cell r="J115">
            <v>630</v>
          </cell>
          <cell r="K115">
            <v>20790</v>
          </cell>
          <cell r="M115">
            <v>630</v>
          </cell>
          <cell r="N115">
            <v>23940</v>
          </cell>
          <cell r="P115">
            <v>630</v>
          </cell>
          <cell r="Q115">
            <v>32760</v>
          </cell>
          <cell r="S115">
            <v>630</v>
          </cell>
          <cell r="T115">
            <v>31500</v>
          </cell>
          <cell r="V115">
            <v>630</v>
          </cell>
          <cell r="W115">
            <v>25200</v>
          </cell>
          <cell r="Y115">
            <v>630</v>
          </cell>
          <cell r="Z115">
            <v>22680</v>
          </cell>
          <cell r="AB115">
            <v>630</v>
          </cell>
          <cell r="AC115">
            <v>25200</v>
          </cell>
          <cell r="AE115">
            <v>630</v>
          </cell>
          <cell r="AF115">
            <v>23940</v>
          </cell>
          <cell r="AH115">
            <v>630</v>
          </cell>
          <cell r="AI115">
            <v>25830</v>
          </cell>
          <cell r="AK115">
            <v>630</v>
          </cell>
          <cell r="AL115">
            <v>24570</v>
          </cell>
          <cell r="AN115">
            <v>630</v>
          </cell>
          <cell r="AO115">
            <v>17640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43.638219139208317</v>
          </cell>
          <cell r="E116">
            <v>20422.686557149493</v>
          </cell>
          <cell r="G116">
            <v>43.638219139208324</v>
          </cell>
          <cell r="H116">
            <v>1440.0612315938747</v>
          </cell>
          <cell r="J116">
            <v>43.638219139208324</v>
          </cell>
          <cell r="K116">
            <v>1440.0612315938747</v>
          </cell>
          <cell r="M116">
            <v>43.638219139208324</v>
          </cell>
          <cell r="N116">
            <v>1658.2523272899164</v>
          </cell>
          <cell r="P116">
            <v>43.638219139208324</v>
          </cell>
          <cell r="Q116">
            <v>2269.1873952388328</v>
          </cell>
          <cell r="S116">
            <v>43.638219139208324</v>
          </cell>
          <cell r="T116">
            <v>2181.9109569604161</v>
          </cell>
          <cell r="V116">
            <v>43.638219139208324</v>
          </cell>
          <cell r="W116">
            <v>1745.528765568333</v>
          </cell>
          <cell r="Y116">
            <v>43.638219139208324</v>
          </cell>
          <cell r="Z116">
            <v>1570.9758890114997</v>
          </cell>
          <cell r="AB116">
            <v>43.638219139208324</v>
          </cell>
          <cell r="AC116">
            <v>1745.528765568333</v>
          </cell>
          <cell r="AE116">
            <v>43.638219139208324</v>
          </cell>
          <cell r="AF116">
            <v>1658.2523272899164</v>
          </cell>
          <cell r="AH116">
            <v>43.638219139208324</v>
          </cell>
          <cell r="AI116">
            <v>1789.1669847075414</v>
          </cell>
          <cell r="AK116">
            <v>43.638219139208324</v>
          </cell>
          <cell r="AL116">
            <v>1701.8905464291247</v>
          </cell>
          <cell r="AN116">
            <v>43.638219139208324</v>
          </cell>
          <cell r="AO116">
            <v>1221.8701358978331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15.731566240051016</v>
          </cell>
          <cell r="E117">
            <v>7362.3730003438759</v>
          </cell>
          <cell r="G117">
            <v>15.731566240051018</v>
          </cell>
          <cell r="H117">
            <v>519.14168592168357</v>
          </cell>
          <cell r="J117">
            <v>15.731566240051018</v>
          </cell>
          <cell r="K117">
            <v>519.14168592168357</v>
          </cell>
          <cell r="M117">
            <v>15.731566240051016</v>
          </cell>
          <cell r="N117">
            <v>597.79951712193861</v>
          </cell>
          <cell r="P117">
            <v>15.731566240051016</v>
          </cell>
          <cell r="Q117">
            <v>818.04144448265288</v>
          </cell>
          <cell r="S117">
            <v>15.731566240051016</v>
          </cell>
          <cell r="T117">
            <v>786.57831200255077</v>
          </cell>
          <cell r="V117">
            <v>15.731566240051018</v>
          </cell>
          <cell r="W117">
            <v>629.26264960204071</v>
          </cell>
          <cell r="Y117">
            <v>15.731566240051016</v>
          </cell>
          <cell r="Z117">
            <v>566.33638464183662</v>
          </cell>
          <cell r="AB117">
            <v>15.731566240051018</v>
          </cell>
          <cell r="AC117">
            <v>629.26264960204071</v>
          </cell>
          <cell r="AE117">
            <v>15.731566240051016</v>
          </cell>
          <cell r="AF117">
            <v>597.79951712193861</v>
          </cell>
          <cell r="AH117">
            <v>15.731566240051016</v>
          </cell>
          <cell r="AI117">
            <v>644.99421584209165</v>
          </cell>
          <cell r="AK117">
            <v>15.731566240051016</v>
          </cell>
          <cell r="AL117">
            <v>613.53108336198966</v>
          </cell>
          <cell r="AN117">
            <v>15.731566240051015</v>
          </cell>
          <cell r="AO117">
            <v>440.48385472142843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125.42456696334295</v>
          </cell>
          <cell r="E118">
            <v>58698.697338844504</v>
          </cell>
          <cell r="G118">
            <v>125.42456696334298</v>
          </cell>
          <cell r="H118">
            <v>4139.0107097903183</v>
          </cell>
          <cell r="J118">
            <v>125.42456696334298</v>
          </cell>
          <cell r="K118">
            <v>4139.0107097903183</v>
          </cell>
          <cell r="M118">
            <v>125.42456696334295</v>
          </cell>
          <cell r="N118">
            <v>4766.1335446070325</v>
          </cell>
          <cell r="P118">
            <v>125.42456696334297</v>
          </cell>
          <cell r="Q118">
            <v>6522.0774820938341</v>
          </cell>
          <cell r="S118">
            <v>125.42456696334297</v>
          </cell>
          <cell r="T118">
            <v>6271.2283481671484</v>
          </cell>
          <cell r="V118">
            <v>125.42456696334298</v>
          </cell>
          <cell r="W118">
            <v>5016.9826785337191</v>
          </cell>
          <cell r="Y118">
            <v>125.42456696334297</v>
          </cell>
          <cell r="Z118">
            <v>4515.2844106803468</v>
          </cell>
          <cell r="AB118">
            <v>125.42456696334298</v>
          </cell>
          <cell r="AC118">
            <v>5016.9826785337191</v>
          </cell>
          <cell r="AE118">
            <v>125.42456696334295</v>
          </cell>
          <cell r="AF118">
            <v>4766.1335446070325</v>
          </cell>
          <cell r="AH118">
            <v>125.42456696334297</v>
          </cell>
          <cell r="AI118">
            <v>5142.4072454970619</v>
          </cell>
          <cell r="AK118">
            <v>125.42456696334295</v>
          </cell>
          <cell r="AL118">
            <v>4891.5581115703753</v>
          </cell>
          <cell r="AN118">
            <v>125.42456696334297</v>
          </cell>
          <cell r="AO118">
            <v>3511.8878749736032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69.006410256410263</v>
          </cell>
          <cell r="E119">
            <v>32295</v>
          </cell>
          <cell r="G119">
            <v>69.006410256410248</v>
          </cell>
          <cell r="H119">
            <v>2277.2115384615381</v>
          </cell>
          <cell r="J119">
            <v>69.006410256410248</v>
          </cell>
          <cell r="K119">
            <v>2277.2115384615381</v>
          </cell>
          <cell r="M119">
            <v>69.006410256410263</v>
          </cell>
          <cell r="N119">
            <v>2622.2435897435898</v>
          </cell>
          <cell r="P119">
            <v>69.006410256410234</v>
          </cell>
          <cell r="Q119">
            <v>3588.3333333333321</v>
          </cell>
          <cell r="S119">
            <v>69.006410256410234</v>
          </cell>
          <cell r="T119">
            <v>3450.3205128205118</v>
          </cell>
          <cell r="V119">
            <v>69.006410256410248</v>
          </cell>
          <cell r="W119">
            <v>2760.2564102564102</v>
          </cell>
          <cell r="Y119">
            <v>69.006410256410234</v>
          </cell>
          <cell r="Z119">
            <v>2484.2307692307686</v>
          </cell>
          <cell r="AB119">
            <v>69.006410256410248</v>
          </cell>
          <cell r="AC119">
            <v>2760.2564102564102</v>
          </cell>
          <cell r="AE119">
            <v>69.006410256410263</v>
          </cell>
          <cell r="AF119">
            <v>2622.2435897435898</v>
          </cell>
          <cell r="AH119">
            <v>69.006410256410248</v>
          </cell>
          <cell r="AI119">
            <v>2829.2628205128203</v>
          </cell>
          <cell r="AK119">
            <v>69.006410256410263</v>
          </cell>
          <cell r="AL119">
            <v>2691.25</v>
          </cell>
          <cell r="AN119">
            <v>69.006410256410263</v>
          </cell>
          <cell r="AO119">
            <v>1932.1794871794873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173.8335204308629</v>
          </cell>
          <cell r="E120">
            <v>81354.087561643842</v>
          </cell>
          <cell r="G120">
            <v>240.97487754254877</v>
          </cell>
          <cell r="H120">
            <v>7952.1709589041093</v>
          </cell>
          <cell r="J120">
            <v>180.17261934412616</v>
          </cell>
          <cell r="K120">
            <v>5945.6964383561635</v>
          </cell>
          <cell r="M120">
            <v>190.71441384282625</v>
          </cell>
          <cell r="N120">
            <v>7247.1477260273969</v>
          </cell>
          <cell r="P120">
            <v>140.14539515279239</v>
          </cell>
          <cell r="Q120">
            <v>7287.5605479452042</v>
          </cell>
          <cell r="S120">
            <v>141.97741808219178</v>
          </cell>
          <cell r="T120">
            <v>7098.870904109589</v>
          </cell>
          <cell r="V120">
            <v>161.77315068493147</v>
          </cell>
          <cell r="W120">
            <v>6470.9260273972586</v>
          </cell>
          <cell r="Y120">
            <v>187.14308371385081</v>
          </cell>
          <cell r="Z120">
            <v>6737.151013698629</v>
          </cell>
          <cell r="AB120">
            <v>169.13710410958902</v>
          </cell>
          <cell r="AC120">
            <v>6765.4841643835607</v>
          </cell>
          <cell r="AE120">
            <v>173.81113193943762</v>
          </cell>
          <cell r="AF120">
            <v>6604.8230136986294</v>
          </cell>
          <cell r="AH120">
            <v>166.54364183093884</v>
          </cell>
          <cell r="AI120">
            <v>6828.2893150684922</v>
          </cell>
          <cell r="AK120">
            <v>157.71886195995782</v>
          </cell>
          <cell r="AL120">
            <v>6151.0356164383547</v>
          </cell>
          <cell r="AN120">
            <v>223.74756555772993</v>
          </cell>
          <cell r="AO120">
            <v>6264.9318356164376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0.38167563250640274</v>
          </cell>
          <cell r="E124">
            <v>767300.84445798176</v>
          </cell>
          <cell r="F124" t="str">
            <v>% brut</v>
          </cell>
          <cell r="G124">
            <v>0.40339298087372116</v>
          </cell>
          <cell r="H124">
            <v>57183.096124671531</v>
          </cell>
          <cell r="I124" t="str">
            <v>% brut</v>
          </cell>
          <cell r="J124">
            <v>0.38832141455759173</v>
          </cell>
          <cell r="K124">
            <v>55046.621604123582</v>
          </cell>
          <cell r="L124" t="str">
            <v>% brut</v>
          </cell>
          <cell r="M124">
            <v>0.38744878600544019</v>
          </cell>
          <cell r="N124">
            <v>63244.57670478987</v>
          </cell>
          <cell r="O124" t="str">
            <v>% brut</v>
          </cell>
          <cell r="P124">
            <v>0.36592410957100202</v>
          </cell>
          <cell r="Q124">
            <v>81737.20020309386</v>
          </cell>
          <cell r="R124" t="str">
            <v>% brut</v>
          </cell>
          <cell r="S124">
            <v>0.36671769691556078</v>
          </cell>
          <cell r="T124">
            <v>78763.909034060227</v>
          </cell>
          <cell r="U124" t="str">
            <v>% brut</v>
          </cell>
          <cell r="V124">
            <v>0.37825172130242418</v>
          </cell>
          <cell r="W124">
            <v>64992.956531357762</v>
          </cell>
          <cell r="X124" t="str">
            <v>% brut</v>
          </cell>
          <cell r="Y124">
            <v>0.38850971079356411</v>
          </cell>
          <cell r="Z124">
            <v>60079.978467263078</v>
          </cell>
          <cell r="AA124" t="str">
            <v>% brut</v>
          </cell>
          <cell r="AB124">
            <v>0.37996601663971885</v>
          </cell>
          <cell r="AC124">
            <v>65287.514668344062</v>
          </cell>
          <cell r="AD124" t="str">
            <v>% brut</v>
          </cell>
          <cell r="AE124">
            <v>0.38271737206001144</v>
          </cell>
          <cell r="AF124">
            <v>62472.251992461104</v>
          </cell>
          <cell r="AG124" t="str">
            <v>% brut</v>
          </cell>
          <cell r="AH124">
            <v>0.37859148997479602</v>
          </cell>
          <cell r="AI124">
            <v>66677.620581627998</v>
          </cell>
          <cell r="AJ124" t="str">
            <v>% brut</v>
          </cell>
          <cell r="AK124">
            <v>0.37811820853583467</v>
          </cell>
          <cell r="AL124">
            <v>63345.765357799843</v>
          </cell>
          <cell r="AM124" t="str">
            <v>% brut</v>
          </cell>
          <cell r="AN124">
            <v>0.40298028877455822</v>
          </cell>
          <cell r="AO124">
            <v>48469.353188388792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119960.89999999998</v>
          </cell>
          <cell r="H125">
            <v>9813.6643678160926</v>
          </cell>
          <cell r="K125">
            <v>9569.5613026819919</v>
          </cell>
          <cell r="N125">
            <v>10301.87049808429</v>
          </cell>
          <cell r="Q125">
            <v>9813.6643678160926</v>
          </cell>
          <cell r="T125">
            <v>10057.767432950193</v>
          </cell>
          <cell r="W125">
            <v>10057.767432950193</v>
          </cell>
          <cell r="Z125">
            <v>10057.767432950193</v>
          </cell>
          <cell r="AC125">
            <v>10057.767432950193</v>
          </cell>
          <cell r="AF125">
            <v>10057.767432950193</v>
          </cell>
          <cell r="AI125">
            <v>9813.6643678160926</v>
          </cell>
          <cell r="AL125">
            <v>10057.767432950193</v>
          </cell>
          <cell r="AO125">
            <v>10301.87049808429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26962.68</v>
          </cell>
          <cell r="H126">
            <v>2171.135172413793</v>
          </cell>
          <cell r="K126">
            <v>2070.1287356321841</v>
          </cell>
          <cell r="N126">
            <v>2373.1480459770119</v>
          </cell>
          <cell r="Q126">
            <v>2171.135172413793</v>
          </cell>
          <cell r="T126">
            <v>2272.1416091954025</v>
          </cell>
          <cell r="W126">
            <v>2272.1416091954025</v>
          </cell>
          <cell r="Z126">
            <v>2272.1416091954025</v>
          </cell>
          <cell r="AC126">
            <v>2272.1416091954025</v>
          </cell>
          <cell r="AF126">
            <v>2272.1416091954025</v>
          </cell>
          <cell r="AI126">
            <v>2171.135172413793</v>
          </cell>
          <cell r="AL126">
            <v>2272.1416091954025</v>
          </cell>
          <cell r="AO126">
            <v>2373.1480459770119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92290.4</v>
          </cell>
          <cell r="H127">
            <v>7425.6643678160917</v>
          </cell>
          <cell r="K127">
            <v>7072.0613026819929</v>
          </cell>
          <cell r="N127">
            <v>8132.8704980842904</v>
          </cell>
          <cell r="Q127">
            <v>7425.6643678160917</v>
          </cell>
          <cell r="T127">
            <v>7779.2674329501933</v>
          </cell>
          <cell r="W127">
            <v>7779.2674329501933</v>
          </cell>
          <cell r="Z127">
            <v>7779.2674329501933</v>
          </cell>
          <cell r="AC127">
            <v>7779.2674329501933</v>
          </cell>
          <cell r="AF127">
            <v>7779.2674329501933</v>
          </cell>
          <cell r="AI127">
            <v>7425.6643678160917</v>
          </cell>
          <cell r="AL127">
            <v>7779.2674329501933</v>
          </cell>
          <cell r="AO127">
            <v>8132.8704980842904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93120.776774864091</v>
          </cell>
          <cell r="H132">
            <v>6973.7948936173398</v>
          </cell>
          <cell r="K132">
            <v>6875.0965757792765</v>
          </cell>
          <cell r="N132">
            <v>7762.2846911987281</v>
          </cell>
          <cell r="Q132">
            <v>9275.7007030303484</v>
          </cell>
          <cell r="T132">
            <v>9102.7500966286116</v>
          </cell>
          <cell r="W132">
            <v>7905.8922480357178</v>
          </cell>
          <cell r="Z132">
            <v>7435.9520234679849</v>
          </cell>
          <cell r="AC132">
            <v>7905.8922480357178</v>
          </cell>
          <cell r="AF132">
            <v>7663.5863733606639</v>
          </cell>
          <cell r="AI132">
            <v>7943.0183923175546</v>
          </cell>
          <cell r="AL132">
            <v>7784.7393106981908</v>
          </cell>
          <cell r="AO132">
            <v>6492.0692186939632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92571.220533911721</v>
          </cell>
          <cell r="H133">
            <v>6932.6387452297995</v>
          </cell>
          <cell r="K133">
            <v>6834.5228997294671</v>
          </cell>
          <cell r="N133">
            <v>7716.4752365975191</v>
          </cell>
          <cell r="Q133">
            <v>9220.959759203377</v>
          </cell>
          <cell r="T133">
            <v>9049.0298281913474</v>
          </cell>
          <cell r="W133">
            <v>7859.2352873049313</v>
          </cell>
          <cell r="Z133">
            <v>7392.0684350417505</v>
          </cell>
          <cell r="AC133">
            <v>7859.2352873049313</v>
          </cell>
          <cell r="AF133">
            <v>7618.3593910971867</v>
          </cell>
          <cell r="AI133">
            <v>7896.1423300607803</v>
          </cell>
          <cell r="AL133">
            <v>7738.797339201059</v>
          </cell>
          <cell r="AO133">
            <v>6453.755994949559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64823.740889389162</v>
          </cell>
          <cell r="H134">
            <v>4854.6359776674599</v>
          </cell>
          <cell r="K134">
            <v>4785.9295686002179</v>
          </cell>
          <cell r="N134">
            <v>5403.5237780336147</v>
          </cell>
          <cell r="Q134">
            <v>6457.0511519086476</v>
          </cell>
          <cell r="T134">
            <v>6336.6558364447928</v>
          </cell>
          <cell r="W134">
            <v>5503.4926504654441</v>
          </cell>
          <cell r="Z134">
            <v>5176.3553089833122</v>
          </cell>
          <cell r="AC134">
            <v>5503.4926504654441</v>
          </cell>
          <cell r="AF134">
            <v>5334.8173689663718</v>
          </cell>
          <cell r="AI134">
            <v>5529.33710366375</v>
          </cell>
          <cell r="AL134">
            <v>5419.1550097159079</v>
          </cell>
          <cell r="AO134">
            <v>4519.2944844742015</v>
          </cell>
        </row>
        <row r="135">
          <cell r="A135" t="str">
            <v>Véhicules usagésCsst</v>
          </cell>
          <cell r="B135" t="str">
            <v>Csst</v>
          </cell>
          <cell r="E135">
            <v>30968.169471803198</v>
          </cell>
          <cell r="H135">
            <v>2319.1995342701293</v>
          </cell>
          <cell r="K135">
            <v>2286.376502297569</v>
          </cell>
          <cell r="N135">
            <v>2581.4190573881901</v>
          </cell>
          <cell r="Q135">
            <v>3084.7194502645634</v>
          </cell>
          <cell r="T135">
            <v>3027.2031378496754</v>
          </cell>
          <cell r="W135">
            <v>2629.177069204517</v>
          </cell>
          <cell r="Z135">
            <v>2472.8941319260221</v>
          </cell>
          <cell r="AC135">
            <v>2629.177069204517</v>
          </cell>
          <cell r="AF135">
            <v>2548.5960254156294</v>
          </cell>
          <cell r="AI135">
            <v>2641.5237094256809</v>
          </cell>
          <cell r="AL135">
            <v>2588.8865473100732</v>
          </cell>
          <cell r="AO135">
            <v>2158.9972372466286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0.25900883213750464</v>
          </cell>
          <cell r="E137">
            <v>520697.88766996813</v>
          </cell>
          <cell r="F137" t="str">
            <v>% brut</v>
          </cell>
          <cell r="G137">
            <v>0.28563821501992281</v>
          </cell>
          <cell r="H137">
            <v>40490.733058830701</v>
          </cell>
          <cell r="I137" t="str">
            <v>% brut</v>
          </cell>
          <cell r="J137">
            <v>0.27860457241662639</v>
          </cell>
          <cell r="K137">
            <v>39493.676887402697</v>
          </cell>
          <cell r="L137" t="str">
            <v>% brut</v>
          </cell>
          <cell r="M137">
            <v>0.27121652785475042</v>
          </cell>
          <cell r="N137">
            <v>44271.591805363656</v>
          </cell>
          <cell r="O137" t="str">
            <v>% brut</v>
          </cell>
          <cell r="P137">
            <v>0.21242096132215729</v>
          </cell>
          <cell r="Q137">
            <v>47448.894972452916</v>
          </cell>
          <cell r="R137" t="str">
            <v>% brut</v>
          </cell>
          <cell r="S137">
            <v>0.22173686938908468</v>
          </cell>
          <cell r="T137">
            <v>47624.815374210215</v>
          </cell>
          <cell r="U137" t="str">
            <v>% brut</v>
          </cell>
          <cell r="V137">
            <v>0.25611565392770047</v>
          </cell>
          <cell r="W137">
            <v>44006.973730106394</v>
          </cell>
          <cell r="X137" t="str">
            <v>% brut</v>
          </cell>
          <cell r="Y137">
            <v>0.27538704884362963</v>
          </cell>
          <cell r="Z137">
            <v>42586.446374514853</v>
          </cell>
          <cell r="AA137" t="str">
            <v>% brut</v>
          </cell>
          <cell r="AB137">
            <v>0.25611565392770047</v>
          </cell>
          <cell r="AC137">
            <v>44006.973730106394</v>
          </cell>
          <cell r="AD137" t="str">
            <v>% brut</v>
          </cell>
          <cell r="AE137">
            <v>0.26510836454136144</v>
          </cell>
          <cell r="AF137">
            <v>43274.535633935644</v>
          </cell>
          <cell r="AG137" t="str">
            <v>% brut</v>
          </cell>
          <cell r="AH137">
            <v>0.24653888570250243</v>
          </cell>
          <cell r="AI137">
            <v>43420.485443513739</v>
          </cell>
          <cell r="AJ137" t="str">
            <v>% brut</v>
          </cell>
          <cell r="AK137">
            <v>0.26049671807281738</v>
          </cell>
          <cell r="AL137">
            <v>43640.754682021019</v>
          </cell>
          <cell r="AM137" t="str">
            <v>% brut</v>
          </cell>
          <cell r="AN137">
            <v>0.33615677480207862</v>
          </cell>
          <cell r="AO137">
            <v>40432.005977509951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2160</v>
          </cell>
          <cell r="H140">
            <v>180</v>
          </cell>
          <cell r="K140">
            <v>180</v>
          </cell>
          <cell r="N140">
            <v>180</v>
          </cell>
          <cell r="Q140">
            <v>180</v>
          </cell>
          <cell r="T140">
            <v>180</v>
          </cell>
          <cell r="W140">
            <v>180</v>
          </cell>
          <cell r="Z140">
            <v>180</v>
          </cell>
          <cell r="AC140">
            <v>180</v>
          </cell>
          <cell r="AF140">
            <v>180</v>
          </cell>
          <cell r="AI140">
            <v>180</v>
          </cell>
          <cell r="AL140">
            <v>180</v>
          </cell>
          <cell r="AO140">
            <v>180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33052.375344000007</v>
          </cell>
          <cell r="H141">
            <v>2754.3646119999999</v>
          </cell>
          <cell r="K141">
            <v>2754.3646119999999</v>
          </cell>
          <cell r="N141">
            <v>2754.3646119999999</v>
          </cell>
          <cell r="Q141">
            <v>2754.3646119999999</v>
          </cell>
          <cell r="T141">
            <v>2754.3646119999999</v>
          </cell>
          <cell r="W141">
            <v>2754.3646119999999</v>
          </cell>
          <cell r="Z141">
            <v>2754.3646119999999</v>
          </cell>
          <cell r="AC141">
            <v>2754.3646119999999</v>
          </cell>
          <cell r="AF141">
            <v>2754.3646119999999</v>
          </cell>
          <cell r="AI141">
            <v>2754.3646119999999</v>
          </cell>
          <cell r="AL141">
            <v>2754.3646119999999</v>
          </cell>
          <cell r="AO141">
            <v>2754.3646119999999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4500.3962009999996</v>
          </cell>
          <cell r="H142">
            <v>375.03301674999994</v>
          </cell>
          <cell r="K142">
            <v>375.03301674999994</v>
          </cell>
          <cell r="N142">
            <v>375.03301674999994</v>
          </cell>
          <cell r="Q142">
            <v>375.03301674999994</v>
          </cell>
          <cell r="T142">
            <v>375.03301674999994</v>
          </cell>
          <cell r="W142">
            <v>375.03301674999994</v>
          </cell>
          <cell r="Z142">
            <v>375.03301674999994</v>
          </cell>
          <cell r="AC142">
            <v>375.03301674999994</v>
          </cell>
          <cell r="AF142">
            <v>375.03301674999994</v>
          </cell>
          <cell r="AI142">
            <v>375.03301674999994</v>
          </cell>
          <cell r="AL142">
            <v>375.03301674999994</v>
          </cell>
          <cell r="AO142">
            <v>375.03301674999994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18349.299331999999</v>
          </cell>
          <cell r="H143">
            <v>1558.9036026666665</v>
          </cell>
          <cell r="K143">
            <v>1618.0338426666667</v>
          </cell>
          <cell r="N143">
            <v>1497.2729346666665</v>
          </cell>
          <cell r="Q143">
            <v>1506.1128066666665</v>
          </cell>
          <cell r="T143">
            <v>1464.2667906666666</v>
          </cell>
          <cell r="W143">
            <v>1584.8113986666665</v>
          </cell>
          <cell r="Z143">
            <v>1545.6919986666667</v>
          </cell>
          <cell r="AC143">
            <v>1436.8411866666665</v>
          </cell>
          <cell r="AF143">
            <v>1444.8652986666666</v>
          </cell>
          <cell r="AI143">
            <v>1505.8248186666665</v>
          </cell>
          <cell r="AL143">
            <v>1680.8498346666665</v>
          </cell>
          <cell r="AO143">
            <v>1505.8248186666665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1487.4891764646707</v>
          </cell>
          <cell r="H144">
            <v>104.43468843875556</v>
          </cell>
          <cell r="K144">
            <v>88.052472712833207</v>
          </cell>
          <cell r="N144">
            <v>129.80487184201826</v>
          </cell>
          <cell r="Q144">
            <v>155.47524951475347</v>
          </cell>
          <cell r="T144">
            <v>161.70939187937071</v>
          </cell>
          <cell r="W144">
            <v>119.79021815603429</v>
          </cell>
          <cell r="Z144">
            <v>117.13645759980204</v>
          </cell>
          <cell r="AC144">
            <v>124.83089991785656</v>
          </cell>
          <cell r="AF144">
            <v>124.76419008019599</v>
          </cell>
          <cell r="AI144">
            <v>139.98630012215364</v>
          </cell>
          <cell r="AL144">
            <v>141.17976072494864</v>
          </cell>
          <cell r="AO144">
            <v>80.324675475948425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768.12245104065926</v>
          </cell>
          <cell r="H145">
            <v>53.928882392207292</v>
          </cell>
          <cell r="K145">
            <v>45.469292974030999</v>
          </cell>
          <cell r="N145">
            <v>67.029755842178261</v>
          </cell>
          <cell r="Q145">
            <v>80.285646190224185</v>
          </cell>
          <cell r="T145">
            <v>83.504886228412076</v>
          </cell>
          <cell r="W145">
            <v>61.858302861334295</v>
          </cell>
          <cell r="Z145">
            <v>60.487931167085833</v>
          </cell>
          <cell r="AC145">
            <v>64.46125345154239</v>
          </cell>
          <cell r="AF145">
            <v>64.42680525197018</v>
          </cell>
          <cell r="AI145">
            <v>72.287329321952768</v>
          </cell>
          <cell r="AL145">
            <v>72.903618769932578</v>
          </cell>
          <cell r="AO145">
            <v>41.478746589788344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3435.5296583999989</v>
          </cell>
          <cell r="H146">
            <v>286.29413819999991</v>
          </cell>
          <cell r="K146">
            <v>286.29413819999991</v>
          </cell>
          <cell r="N146">
            <v>286.29413819999991</v>
          </cell>
          <cell r="Q146">
            <v>286.29413819999991</v>
          </cell>
          <cell r="T146">
            <v>286.29413819999991</v>
          </cell>
          <cell r="W146">
            <v>286.29413819999991</v>
          </cell>
          <cell r="Z146">
            <v>286.29413819999991</v>
          </cell>
          <cell r="AC146">
            <v>286.29413819999991</v>
          </cell>
          <cell r="AF146">
            <v>286.29413819999991</v>
          </cell>
          <cell r="AI146">
            <v>286.29413819999991</v>
          </cell>
          <cell r="AL146">
            <v>286.29413819999991</v>
          </cell>
          <cell r="AO146">
            <v>286.29413819999991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1164.2411256999997</v>
          </cell>
          <cell r="H147">
            <v>97.020093808333328</v>
          </cell>
          <cell r="K147">
            <v>97.020093808333328</v>
          </cell>
          <cell r="N147">
            <v>97.020093808333328</v>
          </cell>
          <cell r="Q147">
            <v>97.020093808333328</v>
          </cell>
          <cell r="T147">
            <v>97.020093808333328</v>
          </cell>
          <cell r="W147">
            <v>97.020093808333328</v>
          </cell>
          <cell r="Z147">
            <v>97.020093808333328</v>
          </cell>
          <cell r="AC147">
            <v>97.020093808333328</v>
          </cell>
          <cell r="AF147">
            <v>97.020093808333328</v>
          </cell>
          <cell r="AI147">
            <v>97.020093808333328</v>
          </cell>
          <cell r="AL147">
            <v>97.020093808333328</v>
          </cell>
          <cell r="AO147">
            <v>97.020093808333328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556.8493222999997</v>
          </cell>
          <cell r="H148">
            <v>46.404110191666653</v>
          </cell>
          <cell r="K148">
            <v>46.404110191666653</v>
          </cell>
          <cell r="N148">
            <v>46.404110191666653</v>
          </cell>
          <cell r="Q148">
            <v>46.404110191666653</v>
          </cell>
          <cell r="T148">
            <v>46.404110191666653</v>
          </cell>
          <cell r="W148">
            <v>46.404110191666653</v>
          </cell>
          <cell r="Z148">
            <v>46.404110191666653</v>
          </cell>
          <cell r="AC148">
            <v>46.404110191666653</v>
          </cell>
          <cell r="AF148">
            <v>46.404110191666653</v>
          </cell>
          <cell r="AI148">
            <v>46.404110191666653</v>
          </cell>
          <cell r="AL148">
            <v>46.404110191666653</v>
          </cell>
          <cell r="AO148">
            <v>46.404110191666653</v>
          </cell>
        </row>
        <row r="149">
          <cell r="A149" t="str">
            <v>Véhicules usagésDivers</v>
          </cell>
          <cell r="B149" t="str">
            <v>Divers</v>
          </cell>
          <cell r="E149">
            <v>2115.8206336999997</v>
          </cell>
          <cell r="H149">
            <v>176.31838614166665</v>
          </cell>
          <cell r="K149">
            <v>176.31838614166665</v>
          </cell>
          <cell r="N149">
            <v>176.31838614166665</v>
          </cell>
          <cell r="Q149">
            <v>176.31838614166665</v>
          </cell>
          <cell r="T149">
            <v>176.31838614166665</v>
          </cell>
          <cell r="W149">
            <v>176.31838614166665</v>
          </cell>
          <cell r="Z149">
            <v>176.31838614166665</v>
          </cell>
          <cell r="AC149">
            <v>176.31838614166665</v>
          </cell>
          <cell r="AF149">
            <v>176.31838614166665</v>
          </cell>
          <cell r="AI149">
            <v>176.31838614166665</v>
          </cell>
          <cell r="AL149">
            <v>176.31838614166665</v>
          </cell>
          <cell r="AO149">
            <v>176.31838614166665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3727.0117090925201</v>
          </cell>
          <cell r="H150">
            <v>310.58430909104328</v>
          </cell>
          <cell r="K150">
            <v>310.58430909104328</v>
          </cell>
          <cell r="N150">
            <v>310.58430909104328</v>
          </cell>
          <cell r="Q150">
            <v>310.58430909104328</v>
          </cell>
          <cell r="T150">
            <v>310.58430909104328</v>
          </cell>
          <cell r="W150">
            <v>310.58430909104328</v>
          </cell>
          <cell r="Z150">
            <v>310.58430909104328</v>
          </cell>
          <cell r="AC150">
            <v>310.58430909104328</v>
          </cell>
          <cell r="AF150">
            <v>310.58430909104328</v>
          </cell>
          <cell r="AI150">
            <v>310.58430909104328</v>
          </cell>
          <cell r="AL150">
            <v>310.58430909104328</v>
          </cell>
          <cell r="AO150">
            <v>310.58430909104328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8631.0169506763323</v>
          </cell>
          <cell r="H151">
            <v>519.42732172312856</v>
          </cell>
          <cell r="K151">
            <v>442.03772648142052</v>
          </cell>
          <cell r="N151">
            <v>518.2514332144126</v>
          </cell>
          <cell r="Q151">
            <v>1036.563389882268</v>
          </cell>
          <cell r="T151">
            <v>946.3885093475468</v>
          </cell>
          <cell r="W151">
            <v>610.7311063631106</v>
          </cell>
          <cell r="Z151">
            <v>573.29137426610737</v>
          </cell>
          <cell r="AC151">
            <v>636.35231224195923</v>
          </cell>
          <cell r="AF151">
            <v>471.31430740169247</v>
          </cell>
          <cell r="AI151">
            <v>921.67816057759512</v>
          </cell>
          <cell r="AL151">
            <v>1361.0744380695608</v>
          </cell>
          <cell r="AO151">
            <v>593.9068711075314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3.9768314691970827E-2</v>
          </cell>
          <cell r="E155">
            <v>79948.151904374172</v>
          </cell>
          <cell r="F155" t="str">
            <v>% brut</v>
          </cell>
          <cell r="G155">
            <v>4.5590625611221215E-2</v>
          </cell>
          <cell r="H155">
            <v>6462.713161403467</v>
          </cell>
          <cell r="I155" t="str">
            <v>% brut</v>
          </cell>
          <cell r="J155">
            <v>4.5286572372669046E-2</v>
          </cell>
          <cell r="K155">
            <v>6419.612001017661</v>
          </cell>
          <cell r="L155" t="str">
            <v>% brut</v>
          </cell>
          <cell r="M155">
            <v>3.9442774999233661E-2</v>
          </cell>
          <cell r="N155">
            <v>6438.3776617479853</v>
          </cell>
          <cell r="O155" t="str">
            <v>% brut</v>
          </cell>
          <cell r="P155">
            <v>3.1357805626652496E-2</v>
          </cell>
          <cell r="Q155">
            <v>7004.4557584366212</v>
          </cell>
          <cell r="R155" t="str">
            <v>% brut</v>
          </cell>
          <cell r="S155">
            <v>3.2041454497774534E-2</v>
          </cell>
          <cell r="T155">
            <v>6881.888244304705</v>
          </cell>
          <cell r="U155" t="str">
            <v>% brut</v>
          </cell>
          <cell r="V155">
            <v>3.842994018900673E-2</v>
          </cell>
          <cell r="W155">
            <v>6603.2096922298542</v>
          </cell>
          <cell r="X155" t="str">
            <v>% brut</v>
          </cell>
          <cell r="Y155">
            <v>4.2178838470986531E-2</v>
          </cell>
          <cell r="Z155">
            <v>6522.626427882371</v>
          </cell>
          <cell r="AA155" t="str">
            <v>% brut</v>
          </cell>
          <cell r="AB155">
            <v>3.776236777214223E-2</v>
          </cell>
          <cell r="AC155">
            <v>6488.5043184607339</v>
          </cell>
          <cell r="AD155" t="str">
            <v>% brut</v>
          </cell>
          <cell r="AE155">
            <v>3.8787342935401627E-2</v>
          </cell>
          <cell r="AF155">
            <v>6331.3892675832349</v>
          </cell>
          <cell r="AG155" t="str">
            <v>% brut</v>
          </cell>
          <cell r="AH155">
            <v>3.8983569604035359E-2</v>
          </cell>
          <cell r="AI155">
            <v>6865.7952748710777</v>
          </cell>
          <cell r="AJ155" t="str">
            <v>% brut</v>
          </cell>
          <cell r="AK155">
            <v>4.4661081474931606E-2</v>
          </cell>
          <cell r="AL155">
            <v>7482.0263184138175</v>
          </cell>
          <cell r="AM155" t="str">
            <v>% brut</v>
          </cell>
          <cell r="AN155">
            <v>5.3605771739068442E-2</v>
          </cell>
          <cell r="AO155">
            <v>6447.5537780226441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0.68045277933587811</v>
          </cell>
          <cell r="E157">
            <v>1367946.884032324</v>
          </cell>
          <cell r="F157" t="str">
            <v>% brut</v>
          </cell>
          <cell r="G157">
            <v>0.73462182150486521</v>
          </cell>
          <cell r="H157">
            <v>104136.54234490571</v>
          </cell>
          <cell r="I157" t="str">
            <v>% brut</v>
          </cell>
          <cell r="J157">
            <v>0.71221255934688721</v>
          </cell>
          <cell r="K157">
            <v>100959.91049254395</v>
          </cell>
          <cell r="L157" t="str">
            <v>% brut</v>
          </cell>
          <cell r="M157">
            <v>0.69810808885942433</v>
          </cell>
          <cell r="N157">
            <v>113954.54617190151</v>
          </cell>
          <cell r="O157" t="str">
            <v>% brut</v>
          </cell>
          <cell r="P157">
            <v>0.6097028765198117</v>
          </cell>
          <cell r="Q157">
            <v>136190.55093398338</v>
          </cell>
          <cell r="R157" t="str">
            <v>% brut</v>
          </cell>
          <cell r="S157">
            <v>0.62049602080242006</v>
          </cell>
          <cell r="T157">
            <v>133270.61265257516</v>
          </cell>
          <cell r="U157" t="str">
            <v>% brut</v>
          </cell>
          <cell r="V157">
            <v>0.67279731541913135</v>
          </cell>
          <cell r="W157">
            <v>115603.139953694</v>
          </cell>
          <cell r="X157" t="str">
            <v>% brut</v>
          </cell>
          <cell r="Y157">
            <v>0.70607559810818021</v>
          </cell>
          <cell r="Z157">
            <v>109189.0512696603</v>
          </cell>
          <cell r="AA157" t="str">
            <v>% brut</v>
          </cell>
          <cell r="AB157">
            <v>0.67384403833956164</v>
          </cell>
          <cell r="AC157">
            <v>115782.99271691119</v>
          </cell>
          <cell r="AD157" t="str">
            <v>% brut</v>
          </cell>
          <cell r="AE157">
            <v>0.68661307953677442</v>
          </cell>
          <cell r="AF157">
            <v>112078.17689397998</v>
          </cell>
          <cell r="AG157" t="str">
            <v>% brut</v>
          </cell>
          <cell r="AH157">
            <v>0.66411394528133383</v>
          </cell>
          <cell r="AI157">
            <v>116963.90130001282</v>
          </cell>
          <cell r="AJ157" t="str">
            <v>% brut</v>
          </cell>
          <cell r="AK157">
            <v>0.68327600808358369</v>
          </cell>
          <cell r="AL157">
            <v>114468.54635823469</v>
          </cell>
          <cell r="AM157" t="str">
            <v>% brut</v>
          </cell>
          <cell r="AN157">
            <v>0.79274283531570533</v>
          </cell>
          <cell r="AO157">
            <v>95348.912943921387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0</v>
          </cell>
          <cell r="H158">
            <v>0</v>
          </cell>
          <cell r="K158">
            <v>0</v>
          </cell>
          <cell r="N158">
            <v>0</v>
          </cell>
          <cell r="Q158">
            <v>0</v>
          </cell>
          <cell r="T158">
            <v>0</v>
          </cell>
          <cell r="W158">
            <v>0</v>
          </cell>
          <cell r="Z158">
            <v>0</v>
          </cell>
          <cell r="AC158">
            <v>0</v>
          </cell>
          <cell r="AF158">
            <v>0</v>
          </cell>
          <cell r="AI158">
            <v>0</v>
          </cell>
          <cell r="AL158">
            <v>0</v>
          </cell>
          <cell r="AO158">
            <v>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168058.8</v>
          </cell>
          <cell r="H164">
            <v>11850.300000000001</v>
          </cell>
          <cell r="K164">
            <v>11850.300000000001</v>
          </cell>
          <cell r="N164">
            <v>13645.800000000001</v>
          </cell>
          <cell r="Q164">
            <v>18673.2</v>
          </cell>
          <cell r="T164">
            <v>17955</v>
          </cell>
          <cell r="W164">
            <v>14364</v>
          </cell>
          <cell r="Z164">
            <v>12927.6</v>
          </cell>
          <cell r="AC164">
            <v>14364</v>
          </cell>
          <cell r="AF164">
            <v>13645.800000000001</v>
          </cell>
          <cell r="AI164">
            <v>14723.1</v>
          </cell>
          <cell r="AL164">
            <v>14004.9</v>
          </cell>
          <cell r="AO164">
            <v>10054.800000000001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168058.8</v>
          </cell>
          <cell r="H165">
            <v>11850.300000000001</v>
          </cell>
          <cell r="K165">
            <v>11850.300000000001</v>
          </cell>
          <cell r="N165">
            <v>13645.800000000001</v>
          </cell>
          <cell r="Q165">
            <v>18673.2</v>
          </cell>
          <cell r="T165">
            <v>17955</v>
          </cell>
          <cell r="W165">
            <v>14364</v>
          </cell>
          <cell r="Z165">
            <v>12927.6</v>
          </cell>
          <cell r="AC165">
            <v>14364</v>
          </cell>
          <cell r="AF165">
            <v>13645.800000000001</v>
          </cell>
          <cell r="AI165">
            <v>14723.1</v>
          </cell>
          <cell r="AL165">
            <v>14004.9</v>
          </cell>
          <cell r="AO165">
            <v>10054.800000000001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810459.91596767609</v>
          </cell>
          <cell r="H167">
            <v>49469.065347401978</v>
          </cell>
          <cell r="K167">
            <v>52645.697199763745</v>
          </cell>
          <cell r="N167">
            <v>62924.638443483112</v>
          </cell>
          <cell r="Q167">
            <v>105854.64906601662</v>
          </cell>
          <cell r="T167">
            <v>99465.156578194059</v>
          </cell>
          <cell r="W167">
            <v>70585.475430921375</v>
          </cell>
          <cell r="Z167">
            <v>58380.702576493546</v>
          </cell>
          <cell r="AC167">
            <v>70405.622667704185</v>
          </cell>
          <cell r="AF167">
            <v>64801.007721404647</v>
          </cell>
          <cell r="AI167">
            <v>73879.429469217968</v>
          </cell>
          <cell r="AL167">
            <v>67065.353641765309</v>
          </cell>
          <cell r="AO167">
            <v>34983.117825309382</v>
          </cell>
        </row>
        <row r="170">
          <cell r="B170" t="str">
            <v>Budget 2023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5899.9999999999991</v>
          </cell>
          <cell r="D174">
            <v>1740500</v>
          </cell>
          <cell r="E174">
            <v>1322780</v>
          </cell>
          <cell r="F174">
            <v>276.36253854937519</v>
          </cell>
          <cell r="G174">
            <v>81526.948872065681</v>
          </cell>
          <cell r="H174">
            <v>61960.481142769917</v>
          </cell>
          <cell r="I174">
            <v>278.68747325275763</v>
          </cell>
          <cell r="J174">
            <v>82212.804609563507</v>
          </cell>
          <cell r="K174">
            <v>62481.731503268267</v>
          </cell>
          <cell r="L174">
            <v>393.90589283244373</v>
          </cell>
          <cell r="M174">
            <v>116202.2383855709</v>
          </cell>
          <cell r="N174">
            <v>88313.701173033885</v>
          </cell>
          <cell r="O174">
            <v>789.59086662624793</v>
          </cell>
          <cell r="P174">
            <v>232929.30565474313</v>
          </cell>
          <cell r="Q174">
            <v>177026.2722976048</v>
          </cell>
          <cell r="R174">
            <v>612.58947242029183</v>
          </cell>
          <cell r="S174">
            <v>180713.8943639861</v>
          </cell>
          <cell r="T174">
            <v>137342.55971662945</v>
          </cell>
          <cell r="U174">
            <v>410.56469169076877</v>
          </cell>
          <cell r="V174">
            <v>121116.5840487768</v>
          </cell>
          <cell r="W174">
            <v>92048.603877070374</v>
          </cell>
          <cell r="X174">
            <v>375.24620189691194</v>
          </cell>
          <cell r="Y174">
            <v>110697.62955958901</v>
          </cell>
          <cell r="Z174">
            <v>84130.198465287656</v>
          </cell>
          <cell r="AA174">
            <v>371.28867871346142</v>
          </cell>
          <cell r="AB174">
            <v>109530.16022047112</v>
          </cell>
          <cell r="AC174">
            <v>83242.921767558058</v>
          </cell>
          <cell r="AD174">
            <v>310.19784194161605</v>
          </cell>
          <cell r="AE174">
            <v>91508.36337277673</v>
          </cell>
          <cell r="AF174">
            <v>69546.356163310309</v>
          </cell>
          <cell r="AG174">
            <v>616.42613532030066</v>
          </cell>
          <cell r="AH174">
            <v>181845.7099194887</v>
          </cell>
          <cell r="AI174">
            <v>138202.73953881141</v>
          </cell>
          <cell r="AJ174">
            <v>1084.8420746435856</v>
          </cell>
          <cell r="AK174">
            <v>320028.41201985779</v>
          </cell>
          <cell r="AL174">
            <v>243221.59313509191</v>
          </cell>
          <cell r="AM174">
            <v>380.29813211223887</v>
          </cell>
          <cell r="AN174">
            <v>112187.94897311047</v>
          </cell>
          <cell r="AO174">
            <v>85262.841219563954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0.76</v>
          </cell>
          <cell r="H175">
            <v>0.76</v>
          </cell>
          <cell r="K175">
            <v>0.76</v>
          </cell>
          <cell r="N175">
            <v>0.76</v>
          </cell>
          <cell r="Q175">
            <v>0.76</v>
          </cell>
          <cell r="T175">
            <v>0.76000000000000012</v>
          </cell>
          <cell r="W175">
            <v>0.76</v>
          </cell>
          <cell r="Z175">
            <v>0.76000000000000012</v>
          </cell>
          <cell r="AC175">
            <v>0.76</v>
          </cell>
          <cell r="AF175">
            <v>0.7599999999999999</v>
          </cell>
          <cell r="AI175">
            <v>0.76</v>
          </cell>
          <cell r="AL175">
            <v>0.76</v>
          </cell>
          <cell r="AO175">
            <v>0.76</v>
          </cell>
        </row>
        <row r="176">
          <cell r="A176" t="str">
            <v>Service</v>
          </cell>
          <cell r="D176">
            <v>295.00000000000006</v>
          </cell>
          <cell r="G176">
            <v>295</v>
          </cell>
          <cell r="J176">
            <v>295</v>
          </cell>
          <cell r="M176">
            <v>295</v>
          </cell>
          <cell r="P176">
            <v>295</v>
          </cell>
          <cell r="S176">
            <v>295</v>
          </cell>
          <cell r="V176">
            <v>295.00000000000006</v>
          </cell>
          <cell r="Y176">
            <v>294.99999999999994</v>
          </cell>
          <cell r="AB176">
            <v>295</v>
          </cell>
          <cell r="AE176">
            <v>295</v>
          </cell>
          <cell r="AH176">
            <v>295</v>
          </cell>
          <cell r="AK176">
            <v>295</v>
          </cell>
          <cell r="AN176">
            <v>295</v>
          </cell>
        </row>
        <row r="177">
          <cell r="A177" t="str">
            <v>ServiceM/O Garantie</v>
          </cell>
          <cell r="B177" t="str">
            <v>M/O Garantie</v>
          </cell>
          <cell r="C177">
            <v>2965</v>
          </cell>
          <cell r="D177">
            <v>504050</v>
          </cell>
          <cell r="E177">
            <v>342754</v>
          </cell>
          <cell r="F177">
            <v>246.23938494793785</v>
          </cell>
          <cell r="G177">
            <v>41860.695441149437</v>
          </cell>
          <cell r="H177">
            <v>28465.272899981621</v>
          </cell>
          <cell r="I177">
            <v>209.65514528950908</v>
          </cell>
          <cell r="J177">
            <v>35641.374699216547</v>
          </cell>
          <cell r="K177">
            <v>24236.134795467253</v>
          </cell>
          <cell r="L177">
            <v>206.4588669416346</v>
          </cell>
          <cell r="M177">
            <v>35098.007380077877</v>
          </cell>
          <cell r="N177">
            <v>23866.645018452957</v>
          </cell>
          <cell r="O177">
            <v>243.47512765231369</v>
          </cell>
          <cell r="P177">
            <v>41390.771700893325</v>
          </cell>
          <cell r="Q177">
            <v>28145.724756607462</v>
          </cell>
          <cell r="R177">
            <v>295.77510451095162</v>
          </cell>
          <cell r="S177">
            <v>50281.767766861776</v>
          </cell>
          <cell r="T177">
            <v>34191.602081466008</v>
          </cell>
          <cell r="U177">
            <v>286.0513448826847</v>
          </cell>
          <cell r="V177">
            <v>48628.728630056401</v>
          </cell>
          <cell r="W177">
            <v>33067.535468438356</v>
          </cell>
          <cell r="X177">
            <v>247.89532427287932</v>
          </cell>
          <cell r="Y177">
            <v>42142.205126389483</v>
          </cell>
          <cell r="Z177">
            <v>28656.69948594485</v>
          </cell>
          <cell r="AA177">
            <v>289.65507910197891</v>
          </cell>
          <cell r="AB177">
            <v>49241.363447336415</v>
          </cell>
          <cell r="AC177">
            <v>33484.127144188766</v>
          </cell>
          <cell r="AD177">
            <v>252.23946016632686</v>
          </cell>
          <cell r="AE177">
            <v>42880.708228275565</v>
          </cell>
          <cell r="AF177">
            <v>29158.881595227387</v>
          </cell>
          <cell r="AG177">
            <v>238.28692240519212</v>
          </cell>
          <cell r="AH177">
            <v>40508.776808882656</v>
          </cell>
          <cell r="AI177">
            <v>27545.968230040209</v>
          </cell>
          <cell r="AJ177">
            <v>234.95853491510547</v>
          </cell>
          <cell r="AK177">
            <v>39942.950935567926</v>
          </cell>
          <cell r="AL177">
            <v>27161.206636186191</v>
          </cell>
          <cell r="AM177">
            <v>214.30970491348577</v>
          </cell>
          <cell r="AN177">
            <v>36432.649835292577</v>
          </cell>
          <cell r="AO177">
            <v>24774.201887998955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0.68</v>
          </cell>
          <cell r="H178">
            <v>0.68</v>
          </cell>
          <cell r="K178">
            <v>0.68</v>
          </cell>
          <cell r="N178">
            <v>0.68</v>
          </cell>
          <cell r="Q178">
            <v>0.68</v>
          </cell>
          <cell r="T178">
            <v>0.68</v>
          </cell>
          <cell r="W178">
            <v>0.68</v>
          </cell>
          <cell r="Z178">
            <v>0.68</v>
          </cell>
          <cell r="AC178">
            <v>0.68</v>
          </cell>
          <cell r="AF178">
            <v>0.68</v>
          </cell>
          <cell r="AI178">
            <v>0.68</v>
          </cell>
          <cell r="AL178">
            <v>0.68</v>
          </cell>
          <cell r="AO178">
            <v>0.68</v>
          </cell>
        </row>
        <row r="179">
          <cell r="A179" t="str">
            <v>Service</v>
          </cell>
          <cell r="D179">
            <v>170</v>
          </cell>
          <cell r="G179">
            <v>170</v>
          </cell>
          <cell r="J179">
            <v>170.00000000000003</v>
          </cell>
          <cell r="M179">
            <v>169.99999999999997</v>
          </cell>
          <cell r="P179">
            <v>170</v>
          </cell>
          <cell r="S179">
            <v>170</v>
          </cell>
          <cell r="V179">
            <v>170</v>
          </cell>
          <cell r="Y179">
            <v>170</v>
          </cell>
          <cell r="AB179">
            <v>170</v>
          </cell>
          <cell r="AE179">
            <v>170</v>
          </cell>
          <cell r="AH179">
            <v>169.99999999999997</v>
          </cell>
          <cell r="AK179">
            <v>169.99999999999997</v>
          </cell>
          <cell r="AN179">
            <v>169.99999999999997</v>
          </cell>
        </row>
        <row r="180">
          <cell r="A180" t="str">
            <v>ServiceM/O Interne</v>
          </cell>
          <cell r="B180" t="str">
            <v>M/O Interne</v>
          </cell>
          <cell r="C180">
            <v>2625</v>
          </cell>
          <cell r="D180">
            <v>590625</v>
          </cell>
          <cell r="E180">
            <v>437062.50000000006</v>
          </cell>
          <cell r="F180">
            <v>148.02998723612012</v>
          </cell>
          <cell r="G180">
            <v>33306.747128127026</v>
          </cell>
          <cell r="H180">
            <v>24646.992874814001</v>
          </cell>
          <cell r="I180">
            <v>185.41436642306826</v>
          </cell>
          <cell r="J180">
            <v>41718.232445190362</v>
          </cell>
          <cell r="K180">
            <v>30871.492009440866</v>
          </cell>
          <cell r="L180">
            <v>230.5059660503799</v>
          </cell>
          <cell r="M180">
            <v>51863.842361335475</v>
          </cell>
          <cell r="N180">
            <v>38379.243347388248</v>
          </cell>
          <cell r="O180">
            <v>205.38028696887247</v>
          </cell>
          <cell r="P180">
            <v>46210.564567996305</v>
          </cell>
          <cell r="Q180">
            <v>34195.817780317266</v>
          </cell>
          <cell r="R180">
            <v>214.64049880161156</v>
          </cell>
          <cell r="S180">
            <v>48294.112230362603</v>
          </cell>
          <cell r="T180">
            <v>35737.643050468323</v>
          </cell>
          <cell r="U180">
            <v>258.93185185339246</v>
          </cell>
          <cell r="V180">
            <v>58259.666667013298</v>
          </cell>
          <cell r="W180">
            <v>43112.153333589842</v>
          </cell>
          <cell r="X180">
            <v>218.02822647784825</v>
          </cell>
          <cell r="Y180">
            <v>49056.350957515861</v>
          </cell>
          <cell r="Z180">
            <v>36301.699708561733</v>
          </cell>
          <cell r="AA180">
            <v>211.39475113008589</v>
          </cell>
          <cell r="AB180">
            <v>47563.819004269331</v>
          </cell>
          <cell r="AC180">
            <v>35197.226063159302</v>
          </cell>
          <cell r="AD180">
            <v>236.29481844886917</v>
          </cell>
          <cell r="AE180">
            <v>53166.334150995557</v>
          </cell>
          <cell r="AF180">
            <v>39343.087271736709</v>
          </cell>
          <cell r="AG180">
            <v>282.72465484857707</v>
          </cell>
          <cell r="AH180">
            <v>63613.047340929843</v>
          </cell>
          <cell r="AI180">
            <v>47073.655032288087</v>
          </cell>
          <cell r="AJ180">
            <v>225.81781405214369</v>
          </cell>
          <cell r="AK180">
            <v>50809.00816173233</v>
          </cell>
          <cell r="AL180">
            <v>37598.666039681921</v>
          </cell>
          <cell r="AM180">
            <v>207.83677770903117</v>
          </cell>
          <cell r="AN180">
            <v>46763.274984532014</v>
          </cell>
          <cell r="AO180">
            <v>34604.823488553688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0.7400000000000001</v>
          </cell>
          <cell r="H181">
            <v>0.74</v>
          </cell>
          <cell r="K181">
            <v>0.74</v>
          </cell>
          <cell r="N181">
            <v>0.73999999999999988</v>
          </cell>
          <cell r="Q181">
            <v>0.74</v>
          </cell>
          <cell r="T181">
            <v>0.73999999999999988</v>
          </cell>
          <cell r="W181">
            <v>0.74</v>
          </cell>
          <cell r="Z181">
            <v>0.73999999999999988</v>
          </cell>
          <cell r="AC181">
            <v>0.73999999999999988</v>
          </cell>
          <cell r="AF181">
            <v>0.74</v>
          </cell>
          <cell r="AI181">
            <v>0.74</v>
          </cell>
          <cell r="AL181">
            <v>0.73999999999999988</v>
          </cell>
          <cell r="AO181">
            <v>0.74</v>
          </cell>
        </row>
        <row r="182">
          <cell r="A182" t="str">
            <v>Service</v>
          </cell>
          <cell r="D182">
            <v>225</v>
          </cell>
          <cell r="G182">
            <v>225</v>
          </cell>
          <cell r="J182">
            <v>225.00000000000003</v>
          </cell>
          <cell r="M182">
            <v>225</v>
          </cell>
          <cell r="P182">
            <v>225</v>
          </cell>
          <cell r="S182">
            <v>225.00000000000003</v>
          </cell>
          <cell r="V182">
            <v>224.99999999999997</v>
          </cell>
          <cell r="Y182">
            <v>225.00000000000003</v>
          </cell>
          <cell r="AB182">
            <v>225.00000000000003</v>
          </cell>
          <cell r="AE182">
            <v>224.99999999999997</v>
          </cell>
          <cell r="AH182">
            <v>225</v>
          </cell>
          <cell r="AK182">
            <v>225</v>
          </cell>
          <cell r="AN182">
            <v>225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80</v>
          </cell>
          <cell r="D183">
            <v>8000.0000000000009</v>
          </cell>
          <cell r="E183">
            <v>5600</v>
          </cell>
          <cell r="F183">
            <v>0</v>
          </cell>
          <cell r="G183">
            <v>0</v>
          </cell>
          <cell r="H183">
            <v>0</v>
          </cell>
          <cell r="I183">
            <v>1.048767697954903</v>
          </cell>
          <cell r="J183">
            <v>104.87676979549029</v>
          </cell>
          <cell r="K183">
            <v>73.413738856843196</v>
          </cell>
          <cell r="L183">
            <v>5.3296063358956438</v>
          </cell>
          <cell r="M183">
            <v>532.9606335895644</v>
          </cell>
          <cell r="N183">
            <v>373.07244351269503</v>
          </cell>
          <cell r="O183">
            <v>16.116640166532484</v>
          </cell>
          <cell r="P183">
            <v>1611.6640166532486</v>
          </cell>
          <cell r="Q183">
            <v>1128.164811657274</v>
          </cell>
          <cell r="R183">
            <v>4.7053342650826933</v>
          </cell>
          <cell r="S183">
            <v>470.53342650826932</v>
          </cell>
          <cell r="T183">
            <v>329.37339855578853</v>
          </cell>
          <cell r="U183">
            <v>9.8102556191094603</v>
          </cell>
          <cell r="V183">
            <v>981.02556191094607</v>
          </cell>
          <cell r="W183">
            <v>686.71789333766219</v>
          </cell>
          <cell r="X183">
            <v>2.097535395909806</v>
          </cell>
          <cell r="Y183">
            <v>209.75353959098058</v>
          </cell>
          <cell r="Z183">
            <v>146.82747771368639</v>
          </cell>
          <cell r="AA183">
            <v>5.1391913593072509</v>
          </cell>
          <cell r="AB183">
            <v>513.91913593072513</v>
          </cell>
          <cell r="AC183">
            <v>359.74339515150757</v>
          </cell>
          <cell r="AD183">
            <v>3.6228682171962969</v>
          </cell>
          <cell r="AE183">
            <v>362.28682171962964</v>
          </cell>
          <cell r="AF183">
            <v>253.60077520374074</v>
          </cell>
          <cell r="AG183">
            <v>6.9647067560745413</v>
          </cell>
          <cell r="AH183">
            <v>696.47067560745415</v>
          </cell>
          <cell r="AI183">
            <v>487.52947292521787</v>
          </cell>
          <cell r="AJ183">
            <v>22.089002096191763</v>
          </cell>
          <cell r="AK183">
            <v>2208.9002096191762</v>
          </cell>
          <cell r="AL183">
            <v>1546.2301467334232</v>
          </cell>
          <cell r="AM183">
            <v>3.0760920907451563</v>
          </cell>
          <cell r="AN183">
            <v>307.6092090745156</v>
          </cell>
          <cell r="AO183">
            <v>215.3264463521609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</v>
          </cell>
          <cell r="G184">
            <v>0</v>
          </cell>
          <cell r="H184">
            <v>0</v>
          </cell>
          <cell r="J184">
            <v>0</v>
          </cell>
          <cell r="K184">
            <v>0.7</v>
          </cell>
          <cell r="M184">
            <v>0</v>
          </cell>
          <cell r="N184">
            <v>0.7</v>
          </cell>
          <cell r="P184">
            <v>0</v>
          </cell>
          <cell r="Q184">
            <v>0.7</v>
          </cell>
          <cell r="S184">
            <v>0</v>
          </cell>
          <cell r="T184">
            <v>0.70000000000000007</v>
          </cell>
          <cell r="V184">
            <v>0</v>
          </cell>
          <cell r="W184">
            <v>0.7</v>
          </cell>
          <cell r="Y184">
            <v>0</v>
          </cell>
          <cell r="Z184">
            <v>0.7</v>
          </cell>
          <cell r="AB184">
            <v>0</v>
          </cell>
          <cell r="AC184">
            <v>0.7</v>
          </cell>
          <cell r="AE184">
            <v>0</v>
          </cell>
          <cell r="AF184">
            <v>0.7</v>
          </cell>
          <cell r="AH184">
            <v>0</v>
          </cell>
          <cell r="AI184">
            <v>0.7</v>
          </cell>
          <cell r="AK184">
            <v>0</v>
          </cell>
          <cell r="AL184">
            <v>0.7</v>
          </cell>
          <cell r="AN184">
            <v>0</v>
          </cell>
          <cell r="AO184">
            <v>0.7</v>
          </cell>
        </row>
        <row r="185">
          <cell r="A185" t="str">
            <v>Service</v>
          </cell>
          <cell r="D185">
            <v>100.00000000000001</v>
          </cell>
          <cell r="G185">
            <v>0</v>
          </cell>
          <cell r="J185">
            <v>99.999999999999986</v>
          </cell>
          <cell r="M185">
            <v>100</v>
          </cell>
          <cell r="P185">
            <v>100.00000000000001</v>
          </cell>
          <cell r="S185">
            <v>100</v>
          </cell>
          <cell r="V185">
            <v>100</v>
          </cell>
          <cell r="Y185">
            <v>99.999999999999986</v>
          </cell>
          <cell r="AB185">
            <v>100.00000000000001</v>
          </cell>
          <cell r="AE185">
            <v>99.999999999999986</v>
          </cell>
          <cell r="AH185">
            <v>100</v>
          </cell>
          <cell r="AK185">
            <v>100</v>
          </cell>
          <cell r="AN185">
            <v>99.999999999999986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-35000</v>
          </cell>
          <cell r="H186">
            <v>-1982.0410506323392</v>
          </cell>
          <cell r="K186">
            <v>-2000.7497861306749</v>
          </cell>
          <cell r="N186">
            <v>-2512.6633462564023</v>
          </cell>
          <cell r="Q186">
            <v>-3888.0340313267293</v>
          </cell>
          <cell r="T186">
            <v>-3436.2495418858789</v>
          </cell>
          <cell r="W186">
            <v>-2860.6072174032893</v>
          </cell>
          <cell r="Z186">
            <v>-2517.7171734890326</v>
          </cell>
          <cell r="AC186">
            <v>-2598.4209338480641</v>
          </cell>
          <cell r="AF186">
            <v>-2362.7246741096883</v>
          </cell>
          <cell r="AI186">
            <v>-3493.1551555311216</v>
          </cell>
          <cell r="AL186">
            <v>-4926.8858040309105</v>
          </cell>
          <cell r="AO186">
            <v>-2420.7512853558692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11570</v>
          </cell>
          <cell r="D187">
            <v>2843175</v>
          </cell>
          <cell r="E187">
            <v>2073196.5</v>
          </cell>
          <cell r="F187">
            <v>670.63191073343319</v>
          </cell>
          <cell r="G187">
            <v>156694.39144134213</v>
          </cell>
          <cell r="H187">
            <v>113090.70586693319</v>
          </cell>
          <cell r="I187">
            <v>674.80575266328981</v>
          </cell>
          <cell r="J187">
            <v>159677.28852376592</v>
          </cell>
          <cell r="K187">
            <v>115662.02226090257</v>
          </cell>
          <cell r="L187">
            <v>836.20033216035381</v>
          </cell>
          <cell r="M187">
            <v>203697.04876057382</v>
          </cell>
          <cell r="N187">
            <v>148419.99863613141</v>
          </cell>
          <cell r="O187">
            <v>1254.5629214139667</v>
          </cell>
          <cell r="P187">
            <v>322142.30594028602</v>
          </cell>
          <cell r="Q187">
            <v>236607.94561486007</v>
          </cell>
          <cell r="R187">
            <v>1127.7104099979376</v>
          </cell>
          <cell r="S187">
            <v>279760.30778771872</v>
          </cell>
          <cell r="T187">
            <v>204164.92870523367</v>
          </cell>
          <cell r="U187">
            <v>965.35814404595544</v>
          </cell>
          <cell r="V187">
            <v>228986.00490775745</v>
          </cell>
          <cell r="W187">
            <v>166054.40335503293</v>
          </cell>
          <cell r="X187">
            <v>843.26728804354946</v>
          </cell>
          <cell r="Y187">
            <v>202105.93918308531</v>
          </cell>
          <cell r="Z187">
            <v>146717.70796401889</v>
          </cell>
          <cell r="AA187">
            <v>877.47770030483343</v>
          </cell>
          <cell r="AB187">
            <v>206849.26180800761</v>
          </cell>
          <cell r="AC187">
            <v>149685.59743620956</v>
          </cell>
          <cell r="AD187">
            <v>802.35498877400835</v>
          </cell>
          <cell r="AE187">
            <v>187917.6925737675</v>
          </cell>
          <cell r="AF187">
            <v>135939.20113136846</v>
          </cell>
          <cell r="AG187">
            <v>1144.4024193301443</v>
          </cell>
          <cell r="AH187">
            <v>286664.00474490866</v>
          </cell>
          <cell r="AI187">
            <v>209816.73711853378</v>
          </cell>
          <cell r="AJ187">
            <v>1567.7074257070265</v>
          </cell>
          <cell r="AK187">
            <v>412989.27132677723</v>
          </cell>
          <cell r="AL187">
            <v>304600.81015366252</v>
          </cell>
          <cell r="AM187">
            <v>805.52070682550095</v>
          </cell>
          <cell r="AN187">
            <v>195691.48300200957</v>
          </cell>
          <cell r="AO187">
            <v>142436.44175711289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245.73681936041487</v>
          </cell>
          <cell r="E188">
            <v>0.72918357118362398</v>
          </cell>
          <cell r="G188">
            <v>233.65185720132837</v>
          </cell>
          <cell r="H188">
            <v>0.72172784760626363</v>
          </cell>
          <cell r="J188">
            <v>236.62704103152578</v>
          </cell>
          <cell r="K188">
            <v>0.72434861169181086</v>
          </cell>
          <cell r="M188">
            <v>243.59838297877153</v>
          </cell>
          <cell r="N188">
            <v>0.72863107020556184</v>
          </cell>
          <cell r="P188">
            <v>256.77652387272258</v>
          </cell>
          <cell r="Q188">
            <v>0.73448268436595521</v>
          </cell>
          <cell r="S188">
            <v>248.07814604480802</v>
          </cell>
          <cell r="T188">
            <v>0.72978518761193745</v>
          </cell>
          <cell r="V188">
            <v>237.2031627019212</v>
          </cell>
          <cell r="W188">
            <v>0.72517271709214159</v>
          </cell>
          <cell r="Y188">
            <v>239.67008094430886</v>
          </cell>
          <cell r="Z188">
            <v>0.72594456430649024</v>
          </cell>
          <cell r="AB188">
            <v>235.73164507331492</v>
          </cell>
          <cell r="AC188">
            <v>0.72364578982710626</v>
          </cell>
          <cell r="AE188">
            <v>234.20767017464945</v>
          </cell>
          <cell r="AF188">
            <v>0.72339756448427672</v>
          </cell>
          <cell r="AH188">
            <v>250.49230926364376</v>
          </cell>
          <cell r="AI188">
            <v>0.73192564690932049</v>
          </cell>
          <cell r="AK188">
            <v>263.43516944210529</v>
          </cell>
          <cell r="AL188">
            <v>0.737551387654929</v>
          </cell>
          <cell r="AN188">
            <v>242.93786782119557</v>
          </cell>
          <cell r="AO188">
            <v>0.72786224301672953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286672</v>
          </cell>
          <cell r="E190">
            <v>63067.840000000004</v>
          </cell>
          <cell r="F190">
            <v>0</v>
          </cell>
          <cell r="G190">
            <v>14155.857363507066</v>
          </cell>
          <cell r="H190">
            <v>3114.2886199715545</v>
          </cell>
          <cell r="I190">
            <v>0</v>
          </cell>
          <cell r="J190">
            <v>19616.992331310972</v>
          </cell>
          <cell r="K190">
            <v>4315.7383128884139</v>
          </cell>
          <cell r="L190">
            <v>0</v>
          </cell>
          <cell r="M190">
            <v>24550.189602047183</v>
          </cell>
          <cell r="N190">
            <v>5401.0417124503801</v>
          </cell>
          <cell r="O190">
            <v>0</v>
          </cell>
          <cell r="P190">
            <v>34790.585672912515</v>
          </cell>
          <cell r="Q190">
            <v>7653.9288480407531</v>
          </cell>
          <cell r="R190">
            <v>0</v>
          </cell>
          <cell r="S190">
            <v>35279.220392408053</v>
          </cell>
          <cell r="T190">
            <v>7761.4284863297717</v>
          </cell>
          <cell r="U190">
            <v>0</v>
          </cell>
          <cell r="V190">
            <v>28934.69773899654</v>
          </cell>
          <cell r="W190">
            <v>6365.6335025792387</v>
          </cell>
          <cell r="X190">
            <v>0</v>
          </cell>
          <cell r="Y190">
            <v>24681.880087236714</v>
          </cell>
          <cell r="Z190">
            <v>5430.0136191920774</v>
          </cell>
          <cell r="AA190">
            <v>0</v>
          </cell>
          <cell r="AB190">
            <v>19669.068665404768</v>
          </cell>
          <cell r="AC190">
            <v>4327.1951063890492</v>
          </cell>
          <cell r="AD190">
            <v>0</v>
          </cell>
          <cell r="AE190">
            <v>27614.678327403479</v>
          </cell>
          <cell r="AF190">
            <v>6075.2292320287652</v>
          </cell>
          <cell r="AG190">
            <v>0</v>
          </cell>
          <cell r="AH190">
            <v>24591.134360575528</v>
          </cell>
          <cell r="AI190">
            <v>5410.049559326616</v>
          </cell>
          <cell r="AJ190">
            <v>0</v>
          </cell>
          <cell r="AK190">
            <v>18225.053313291264</v>
          </cell>
          <cell r="AL190">
            <v>4009.5117289240779</v>
          </cell>
          <cell r="AM190">
            <v>0</v>
          </cell>
          <cell r="AN190">
            <v>14562.642144905916</v>
          </cell>
          <cell r="AO190">
            <v>3203.7812718793016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0.22</v>
          </cell>
          <cell r="H191">
            <v>0.22</v>
          </cell>
          <cell r="K191">
            <v>0.22</v>
          </cell>
          <cell r="N191">
            <v>0.22</v>
          </cell>
          <cell r="Q191">
            <v>0.22</v>
          </cell>
          <cell r="T191">
            <v>0.22</v>
          </cell>
          <cell r="W191">
            <v>0.22</v>
          </cell>
          <cell r="Z191">
            <v>0.22</v>
          </cell>
          <cell r="AC191">
            <v>0.22000000000000003</v>
          </cell>
          <cell r="AF191">
            <v>0.22</v>
          </cell>
          <cell r="AI191">
            <v>0.22</v>
          </cell>
          <cell r="AL191">
            <v>0.22</v>
          </cell>
          <cell r="AO191">
            <v>0.22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3129847</v>
          </cell>
          <cell r="E196">
            <v>2136264.34</v>
          </cell>
          <cell r="G196">
            <v>170850.24880484919</v>
          </cell>
          <cell r="H196">
            <v>116204.99448690475</v>
          </cell>
          <cell r="J196">
            <v>179294.28085507688</v>
          </cell>
          <cell r="K196">
            <v>119977.76057379098</v>
          </cell>
          <cell r="M196">
            <v>228247.23836262099</v>
          </cell>
          <cell r="N196">
            <v>153821.0403485818</v>
          </cell>
          <cell r="P196">
            <v>356932.89161319856</v>
          </cell>
          <cell r="Q196">
            <v>244261.87446290083</v>
          </cell>
          <cell r="S196">
            <v>315039.5281801268</v>
          </cell>
          <cell r="T196">
            <v>211926.35719156344</v>
          </cell>
          <cell r="V196">
            <v>257920.70264675398</v>
          </cell>
          <cell r="W196">
            <v>172420.03685761217</v>
          </cell>
          <cell r="Y196">
            <v>226787.81927032204</v>
          </cell>
          <cell r="Z196">
            <v>152147.72158321098</v>
          </cell>
          <cell r="AB196">
            <v>226518.33047341238</v>
          </cell>
          <cell r="AC196">
            <v>154012.79254259862</v>
          </cell>
          <cell r="AE196">
            <v>215532.37090117097</v>
          </cell>
          <cell r="AF196">
            <v>142014.43036339723</v>
          </cell>
          <cell r="AH196">
            <v>311255.13910548418</v>
          </cell>
          <cell r="AI196">
            <v>215226.78667786039</v>
          </cell>
          <cell r="AK196">
            <v>431214.32464006852</v>
          </cell>
          <cell r="AL196">
            <v>308610.32188258658</v>
          </cell>
          <cell r="AN196">
            <v>210254.1251469155</v>
          </cell>
          <cell r="AO196">
            <v>145640.22302899219</v>
          </cell>
        </row>
        <row r="197">
          <cell r="A197" t="str">
            <v>Service</v>
          </cell>
          <cell r="E197">
            <v>0.68254593275645736</v>
          </cell>
          <cell r="H197">
            <v>0.68015701059726252</v>
          </cell>
          <cell r="K197">
            <v>0.66916669065851964</v>
          </cell>
          <cell r="N197">
            <v>0.67392289804708705</v>
          </cell>
          <cell r="Q197">
            <v>0.68433557176233228</v>
          </cell>
          <cell r="T197">
            <v>0.67269767198988617</v>
          </cell>
          <cell r="W197">
            <v>0.66850018276259582</v>
          </cell>
          <cell r="Z197">
            <v>0.67088136423172251</v>
          </cell>
          <cell r="AC197">
            <v>0.67991315413953168</v>
          </cell>
          <cell r="AF197">
            <v>0.65890070141025703</v>
          </cell>
          <cell r="AI197">
            <v>0.69148026694884601</v>
          </cell>
          <cell r="AL197">
            <v>0.71567734244492309</v>
          </cell>
          <cell r="AO197">
            <v>0.69268663778760953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151454.02499999999</v>
          </cell>
          <cell r="H200">
            <v>12320.056609195402</v>
          </cell>
          <cell r="K200">
            <v>11918.573754789271</v>
          </cell>
          <cell r="N200">
            <v>13123.022318007663</v>
          </cell>
          <cell r="Q200">
            <v>12320.056609195402</v>
          </cell>
          <cell r="T200">
            <v>12721.539463601532</v>
          </cell>
          <cell r="W200">
            <v>12721.539463601532</v>
          </cell>
          <cell r="Z200">
            <v>12721.539463601532</v>
          </cell>
          <cell r="AC200">
            <v>12721.539463601532</v>
          </cell>
          <cell r="AF200">
            <v>12721.539463601532</v>
          </cell>
          <cell r="AI200">
            <v>12320.056609195402</v>
          </cell>
          <cell r="AL200">
            <v>12721.539463601532</v>
          </cell>
          <cell r="AO200">
            <v>13123.022318007663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119746.35000000003</v>
          </cell>
          <cell r="H201">
            <v>9656.5741379310348</v>
          </cell>
          <cell r="K201">
            <v>9226.8563218390809</v>
          </cell>
          <cell r="N201">
            <v>10516.009770114943</v>
          </cell>
          <cell r="Q201">
            <v>9656.5741379310348</v>
          </cell>
          <cell r="T201">
            <v>10086.291954022989</v>
          </cell>
          <cell r="W201">
            <v>10086.291954022989</v>
          </cell>
          <cell r="Z201">
            <v>10086.291954022989</v>
          </cell>
          <cell r="AC201">
            <v>10086.291954022989</v>
          </cell>
          <cell r="AF201">
            <v>10086.291954022989</v>
          </cell>
          <cell r="AI201">
            <v>9656.5741379310348</v>
          </cell>
          <cell r="AL201">
            <v>10086.291954022989</v>
          </cell>
          <cell r="AO201">
            <v>10516.009770114943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154097.00000000003</v>
          </cell>
          <cell r="H202">
            <v>12420.850574712644</v>
          </cell>
          <cell r="K202">
            <v>11860.095785440612</v>
          </cell>
          <cell r="N202">
            <v>13542.360153256705</v>
          </cell>
          <cell r="Q202">
            <v>12420.850574712644</v>
          </cell>
          <cell r="T202">
            <v>12981.605363984674</v>
          </cell>
          <cell r="W202">
            <v>12981.605363984674</v>
          </cell>
          <cell r="Z202">
            <v>12981.605363984674</v>
          </cell>
          <cell r="AC202">
            <v>12981.605363984674</v>
          </cell>
          <cell r="AF202">
            <v>12981.605363984674</v>
          </cell>
          <cell r="AI202">
            <v>12420.850574712644</v>
          </cell>
          <cell r="AL202">
            <v>12981.605363984674</v>
          </cell>
          <cell r="AO202">
            <v>13542.360153256705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401182.15000000008</v>
          </cell>
          <cell r="H203">
            <v>27181.005795600668</v>
          </cell>
          <cell r="K203">
            <v>26370.048204613409</v>
          </cell>
          <cell r="N203">
            <v>31979.594782412489</v>
          </cell>
          <cell r="Q203">
            <v>40523.472230896899</v>
          </cell>
          <cell r="T203">
            <v>36793.342219252096</v>
          </cell>
          <cell r="W203">
            <v>31541.276601436075</v>
          </cell>
          <cell r="Z203">
            <v>30623.097033317408</v>
          </cell>
          <cell r="AC203">
            <v>30520.212766503933</v>
          </cell>
          <cell r="AF203">
            <v>28932.025999442976</v>
          </cell>
          <cell r="AI203">
            <v>36021.685231172625</v>
          </cell>
          <cell r="AL203">
            <v>49070.557153502217</v>
          </cell>
          <cell r="AO203">
            <v>31625.831981849224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184929.85366375395</v>
          </cell>
          <cell r="H207">
            <v>12258.325368628664</v>
          </cell>
          <cell r="K207">
            <v>12044.52335367848</v>
          </cell>
          <cell r="N207">
            <v>14454.77353917443</v>
          </cell>
          <cell r="Q207">
            <v>18496.335066433676</v>
          </cell>
          <cell r="T207">
            <v>17122.397291786165</v>
          </cell>
          <cell r="W207">
            <v>15100.453163041591</v>
          </cell>
          <cell r="Z207">
            <v>14145.500554724578</v>
          </cell>
          <cell r="AC207">
            <v>14334.260881105194</v>
          </cell>
          <cell r="AF207">
            <v>13569.833845362537</v>
          </cell>
          <cell r="AI207">
            <v>17007.86602526189</v>
          </cell>
          <cell r="AL207">
            <v>22208.935597551404</v>
          </cell>
          <cell r="AO207">
            <v>14186.648977005345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183838.48223474371</v>
          </cell>
          <cell r="H208">
            <v>12185.982337961706</v>
          </cell>
          <cell r="K208">
            <v>11973.442084733379</v>
          </cell>
          <cell r="N208">
            <v>14369.46807582749</v>
          </cell>
          <cell r="Q208">
            <v>18387.178155134705</v>
          </cell>
          <cell r="T208">
            <v>17021.348732939659</v>
          </cell>
          <cell r="W208">
            <v>15011.337193820009</v>
          </cell>
          <cell r="Z208">
            <v>14062.020279103181</v>
          </cell>
          <cell r="AC208">
            <v>14249.666628356463</v>
          </cell>
          <cell r="AF208">
            <v>13489.750891410858</v>
          </cell>
          <cell r="AI208">
            <v>16907.493377575949</v>
          </cell>
          <cell r="AL208">
            <v>22077.86861566774</v>
          </cell>
          <cell r="AO208">
            <v>14102.925862212573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128734.37413000294</v>
          </cell>
          <cell r="H209">
            <v>8533.3320334619821</v>
          </cell>
          <cell r="K209">
            <v>8384.4990136057622</v>
          </cell>
          <cell r="N209">
            <v>10062.335463369629</v>
          </cell>
          <cell r="Q209">
            <v>12875.769224397871</v>
          </cell>
          <cell r="T209">
            <v>11919.3361985306</v>
          </cell>
          <cell r="W209">
            <v>10511.809469974149</v>
          </cell>
          <cell r="Z209">
            <v>9847.0426736999798</v>
          </cell>
          <cell r="AC209">
            <v>9978.4435373018441</v>
          </cell>
          <cell r="AF209">
            <v>9446.3064373973939</v>
          </cell>
          <cell r="AI209">
            <v>11839.608071231438</v>
          </cell>
          <cell r="AL209">
            <v>15460.204870127434</v>
          </cell>
          <cell r="AO209">
            <v>9875.6871369048404</v>
          </cell>
        </row>
        <row r="210">
          <cell r="A210" t="str">
            <v>ServiceCsst</v>
          </cell>
          <cell r="B210" t="str">
            <v>Csst</v>
          </cell>
          <cell r="E210">
            <v>61500.121100802055</v>
          </cell>
          <cell r="H210">
            <v>4076.6186731237226</v>
          </cell>
          <cell r="K210">
            <v>4005.5168496456185</v>
          </cell>
          <cell r="N210">
            <v>4807.0676828645201</v>
          </cell>
          <cell r="Q210">
            <v>6151.126083595861</v>
          </cell>
          <cell r="T210">
            <v>5694.2104593645008</v>
          </cell>
          <cell r="W210">
            <v>5021.7943712463311</v>
          </cell>
          <cell r="Z210">
            <v>4704.2161117414726</v>
          </cell>
          <cell r="AC210">
            <v>4766.9900917206187</v>
          </cell>
          <cell r="AF210">
            <v>4512.7728610274053</v>
          </cell>
          <cell r="AI210">
            <v>5656.122034907743</v>
          </cell>
          <cell r="AL210">
            <v>7385.7854841153239</v>
          </cell>
          <cell r="AO210">
            <v>4717.900397448936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0.6485538002892014</v>
          </cell>
          <cell r="E212">
            <v>1385482.3561293026</v>
          </cell>
          <cell r="F212" t="str">
            <v>%brut</v>
          </cell>
          <cell r="G212">
            <v>0.8487823261480455</v>
          </cell>
          <cell r="H212">
            <v>98632.745530615808</v>
          </cell>
          <cell r="I212" t="str">
            <v>%brut</v>
          </cell>
          <cell r="J212">
            <v>0.79834425071999082</v>
          </cell>
          <cell r="K212">
            <v>95783.555368345609</v>
          </cell>
          <cell r="L212" t="str">
            <v>%brut</v>
          </cell>
          <cell r="M212">
            <v>0.7336748700261172</v>
          </cell>
          <cell r="N212">
            <v>112854.63178502787</v>
          </cell>
          <cell r="O212" t="str">
            <v>%brut</v>
          </cell>
          <cell r="P212">
            <v>0.53561925032295254</v>
          </cell>
          <cell r="Q212">
            <v>130831.36208229809</v>
          </cell>
          <cell r="R212" t="str">
            <v>%brut</v>
          </cell>
          <cell r="S212">
            <v>0.58671357980776939</v>
          </cell>
          <cell r="T212">
            <v>124340.07168348221</v>
          </cell>
          <cell r="U212" t="str">
            <v>%brut</v>
          </cell>
          <cell r="V212">
            <v>0.65523769534062459</v>
          </cell>
          <cell r="W212">
            <v>112976.10758112735</v>
          </cell>
          <cell r="X212" t="str">
            <v>%brut</v>
          </cell>
          <cell r="Y212">
            <v>0.71753498703882357</v>
          </cell>
          <cell r="Z212">
            <v>109171.31343419582</v>
          </cell>
          <cell r="AA212" t="str">
            <v>%brut</v>
          </cell>
          <cell r="AB212">
            <v>0.71188249285378069</v>
          </cell>
          <cell r="AC212">
            <v>109639.01068659726</v>
          </cell>
          <cell r="AD212" t="str">
            <v>%brut</v>
          </cell>
          <cell r="AE212">
            <v>0.74457311518044011</v>
          </cell>
          <cell r="AF212">
            <v>105740.12681625035</v>
          </cell>
          <cell r="AG212" t="str">
            <v>%brut</v>
          </cell>
          <cell r="AH212">
            <v>0.56605526636578718</v>
          </cell>
          <cell r="AI212">
            <v>121830.25606198872</v>
          </cell>
          <cell r="AJ212" t="str">
            <v>%brut</v>
          </cell>
          <cell r="AK212">
            <v>0.49250714485304958</v>
          </cell>
          <cell r="AL212">
            <v>151992.78850257333</v>
          </cell>
          <cell r="AM212" t="str">
            <v>%brut</v>
          </cell>
          <cell r="AN212">
            <v>0.76689244409194801</v>
          </cell>
          <cell r="AO212">
            <v>111690.38659680024</v>
          </cell>
        </row>
        <row r="213">
          <cell r="A213" t="str">
            <v>ServicePublicité 2</v>
          </cell>
          <cell r="B213" t="str">
            <v>Publicité 2</v>
          </cell>
          <cell r="E213">
            <v>101155.123225</v>
          </cell>
          <cell r="H213">
            <v>8429.5936020833342</v>
          </cell>
          <cell r="K213">
            <v>8429.5936020833342</v>
          </cell>
          <cell r="N213">
            <v>8429.5936020833342</v>
          </cell>
          <cell r="Q213">
            <v>8429.5936020833342</v>
          </cell>
          <cell r="T213">
            <v>8429.5936020833342</v>
          </cell>
          <cell r="W213">
            <v>8429.5936020833342</v>
          </cell>
          <cell r="Z213">
            <v>8429.5936020833342</v>
          </cell>
          <cell r="AC213">
            <v>8429.5936020833342</v>
          </cell>
          <cell r="AF213">
            <v>8429.5936020833342</v>
          </cell>
          <cell r="AI213">
            <v>8429.5936020833342</v>
          </cell>
          <cell r="AL213">
            <v>8429.5936020833342</v>
          </cell>
          <cell r="AO213">
            <v>8429.5936020833342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36095.440731547555</v>
          </cell>
          <cell r="H214">
            <v>1690.750445869322</v>
          </cell>
          <cell r="K214">
            <v>1704.9740971897725</v>
          </cell>
          <cell r="N214">
            <v>2409.8655607696264</v>
          </cell>
          <cell r="Q214">
            <v>4830.6153099116955</v>
          </cell>
          <cell r="T214">
            <v>3747.743558392649</v>
          </cell>
          <cell r="W214">
            <v>2511.7819483712269</v>
          </cell>
          <cell r="Z214">
            <v>2295.7079729336124</v>
          </cell>
          <cell r="AC214">
            <v>2271.4963553892117</v>
          </cell>
          <cell r="AF214">
            <v>1897.7504777724673</v>
          </cell>
          <cell r="AI214">
            <v>3771.2157682764109</v>
          </cell>
          <cell r="AL214">
            <v>6636.9242048112947</v>
          </cell>
          <cell r="AO214">
            <v>2326.6150318602645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158780</v>
          </cell>
          <cell r="H215">
            <v>13231.666666666666</v>
          </cell>
          <cell r="K215">
            <v>13231.666666666666</v>
          </cell>
          <cell r="N215">
            <v>13231.666666666666</v>
          </cell>
          <cell r="Q215">
            <v>13231.666666666666</v>
          </cell>
          <cell r="T215">
            <v>13231.666666666666</v>
          </cell>
          <cell r="W215">
            <v>13231.666666666666</v>
          </cell>
          <cell r="Z215">
            <v>13231.666666666666</v>
          </cell>
          <cell r="AC215">
            <v>13231.666666666666</v>
          </cell>
          <cell r="AF215">
            <v>13231.666666666666</v>
          </cell>
          <cell r="AI215">
            <v>13231.666666666666</v>
          </cell>
          <cell r="AL215">
            <v>13231.666666666666</v>
          </cell>
          <cell r="AO215">
            <v>13231.666666666666</v>
          </cell>
        </row>
        <row r="216">
          <cell r="A216" t="str">
            <v>ServiceInformatique</v>
          </cell>
          <cell r="B216" t="str">
            <v>Informatique</v>
          </cell>
          <cell r="E216">
            <v>72036.067487999986</v>
          </cell>
          <cell r="H216">
            <v>6003.0056239999994</v>
          </cell>
          <cell r="K216">
            <v>6003.0056239999994</v>
          </cell>
          <cell r="N216">
            <v>6003.0056239999994</v>
          </cell>
          <cell r="Q216">
            <v>6003.0056239999994</v>
          </cell>
          <cell r="T216">
            <v>6003.0056239999994</v>
          </cell>
          <cell r="W216">
            <v>6003.0056239999994</v>
          </cell>
          <cell r="Z216">
            <v>6003.0056239999994</v>
          </cell>
          <cell r="AC216">
            <v>6003.0056239999994</v>
          </cell>
          <cell r="AF216">
            <v>6003.0056239999994</v>
          </cell>
          <cell r="AI216">
            <v>6003.0056239999994</v>
          </cell>
          <cell r="AL216">
            <v>6003.0056239999994</v>
          </cell>
          <cell r="AO216">
            <v>6003.0056239999994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9000.7924019999991</v>
          </cell>
          <cell r="H217">
            <v>750.06603349999989</v>
          </cell>
          <cell r="K217">
            <v>750.06603349999989</v>
          </cell>
          <cell r="N217">
            <v>750.06603349999989</v>
          </cell>
          <cell r="Q217">
            <v>750.06603349999989</v>
          </cell>
          <cell r="T217">
            <v>750.06603349999989</v>
          </cell>
          <cell r="W217">
            <v>750.06603349999989</v>
          </cell>
          <cell r="Z217">
            <v>750.06603349999989</v>
          </cell>
          <cell r="AC217">
            <v>750.06603349999989</v>
          </cell>
          <cell r="AF217">
            <v>750.06603349999989</v>
          </cell>
          <cell r="AI217">
            <v>750.06603349999989</v>
          </cell>
          <cell r="AL217">
            <v>750.06603349999989</v>
          </cell>
          <cell r="AO217">
            <v>750.06603349999989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47144.198664000003</v>
          </cell>
          <cell r="H218">
            <v>3117.8072053333331</v>
          </cell>
          <cell r="K218">
            <v>3236.0676853333334</v>
          </cell>
          <cell r="N218">
            <v>2994.545869333333</v>
          </cell>
          <cell r="Q218">
            <v>3012.2256133333331</v>
          </cell>
          <cell r="T218">
            <v>8151.3335813333324</v>
          </cell>
          <cell r="W218">
            <v>3169.622797333333</v>
          </cell>
          <cell r="Z218">
            <v>3091.3839973333334</v>
          </cell>
          <cell r="AC218">
            <v>2873.6823733333331</v>
          </cell>
          <cell r="AF218">
            <v>2889.7305973333332</v>
          </cell>
          <cell r="AI218">
            <v>3011.649637333333</v>
          </cell>
          <cell r="AL218">
            <v>8584.4996693333323</v>
          </cell>
          <cell r="AO218">
            <v>3011.649637333333</v>
          </cell>
        </row>
        <row r="219">
          <cell r="B219" t="str">
            <v>Fournitures d'atelier</v>
          </cell>
        </row>
        <row r="220">
          <cell r="A220" t="str">
            <v>ServiceFournitures autres</v>
          </cell>
          <cell r="B220" t="str">
            <v>Fournitures autres</v>
          </cell>
          <cell r="E220">
            <v>19919.420276135592</v>
          </cell>
          <cell r="H220">
            <v>1398.5166973537703</v>
          </cell>
          <cell r="K220">
            <v>1179.1374606762015</v>
          </cell>
          <cell r="N220">
            <v>1738.2565446670271</v>
          </cell>
          <cell r="Q220">
            <v>2082.0163848062639</v>
          </cell>
          <cell r="T220">
            <v>2165.4996825585299</v>
          </cell>
          <cell r="W220">
            <v>1604.1472692199377</v>
          </cell>
          <cell r="Z220">
            <v>1568.6099539451754</v>
          </cell>
          <cell r="AC220">
            <v>1671.6485728130358</v>
          </cell>
          <cell r="AF220">
            <v>1670.755241073929</v>
          </cell>
          <cell r="AI220">
            <v>1874.5991494618836</v>
          </cell>
          <cell r="AL220">
            <v>1890.5811436210513</v>
          </cell>
          <cell r="AO220">
            <v>1075.6521759387879</v>
          </cell>
        </row>
        <row r="221">
          <cell r="A221" t="str">
            <v>ServiceUniformes</v>
          </cell>
          <cell r="B221" t="str">
            <v>Uniformes</v>
          </cell>
          <cell r="E221">
            <v>10286.16151828361</v>
          </cell>
          <cell r="H221">
            <v>722.17807725216733</v>
          </cell>
          <cell r="K221">
            <v>608.89314069571947</v>
          </cell>
          <cell r="N221">
            <v>897.61586084308294</v>
          </cell>
          <cell r="Q221">
            <v>1075.129522895176</v>
          </cell>
          <cell r="T221">
            <v>1118.2393460152575</v>
          </cell>
          <cell r="W221">
            <v>828.36336005612884</v>
          </cell>
          <cell r="Z221">
            <v>810.01229562880167</v>
          </cell>
          <cell r="AC221">
            <v>863.22026361195901</v>
          </cell>
          <cell r="AF221">
            <v>862.75895728725288</v>
          </cell>
          <cell r="AI221">
            <v>968.02162744180248</v>
          </cell>
          <cell r="AL221">
            <v>976.27454700605381</v>
          </cell>
          <cell r="AO221">
            <v>555.45451955020917</v>
          </cell>
        </row>
        <row r="222">
          <cell r="A222" t="str">
            <v>ServicePapeterie</v>
          </cell>
          <cell r="B222" t="str">
            <v>Papeterie</v>
          </cell>
          <cell r="E222">
            <v>6871.0593167999978</v>
          </cell>
          <cell r="H222">
            <v>572.58827639999981</v>
          </cell>
          <cell r="K222">
            <v>572.58827639999981</v>
          </cell>
          <cell r="N222">
            <v>572.58827639999981</v>
          </cell>
          <cell r="Q222">
            <v>572.58827639999981</v>
          </cell>
          <cell r="T222">
            <v>572.58827639999981</v>
          </cell>
          <cell r="W222">
            <v>572.58827639999981</v>
          </cell>
          <cell r="Z222">
            <v>572.58827639999981</v>
          </cell>
          <cell r="AC222">
            <v>572.58827639999981</v>
          </cell>
          <cell r="AF222">
            <v>572.58827639999981</v>
          </cell>
          <cell r="AI222">
            <v>572.58827639999981</v>
          </cell>
          <cell r="AL222">
            <v>572.58827639999981</v>
          </cell>
          <cell r="AO222">
            <v>572.58827639999981</v>
          </cell>
        </row>
        <row r="223">
          <cell r="A223" t="str">
            <v>ServiceTéléphone</v>
          </cell>
          <cell r="B223" t="str">
            <v>Téléphone</v>
          </cell>
          <cell r="E223">
            <v>2328.4822513999993</v>
          </cell>
          <cell r="H223">
            <v>194.04018761666666</v>
          </cell>
          <cell r="K223">
            <v>194.04018761666666</v>
          </cell>
          <cell r="N223">
            <v>194.04018761666666</v>
          </cell>
          <cell r="Q223">
            <v>194.04018761666666</v>
          </cell>
          <cell r="T223">
            <v>194.04018761666666</v>
          </cell>
          <cell r="W223">
            <v>194.04018761666666</v>
          </cell>
          <cell r="Z223">
            <v>194.04018761666666</v>
          </cell>
          <cell r="AC223">
            <v>194.04018761666666</v>
          </cell>
          <cell r="AF223">
            <v>194.04018761666666</v>
          </cell>
          <cell r="AI223">
            <v>194.04018761666666</v>
          </cell>
          <cell r="AL223">
            <v>194.04018761666666</v>
          </cell>
          <cell r="AO223">
            <v>194.04018761666666</v>
          </cell>
        </row>
        <row r="224">
          <cell r="A224" t="str">
            <v>ServiceFrais postaux</v>
          </cell>
          <cell r="B224" t="str">
            <v>Frais postaux</v>
          </cell>
          <cell r="E224">
            <v>1113.6986445999994</v>
          </cell>
          <cell r="H224">
            <v>92.808220383333307</v>
          </cell>
          <cell r="K224">
            <v>92.808220383333307</v>
          </cell>
          <cell r="N224">
            <v>92.808220383333307</v>
          </cell>
          <cell r="Q224">
            <v>92.808220383333307</v>
          </cell>
          <cell r="T224">
            <v>92.808220383333307</v>
          </cell>
          <cell r="W224">
            <v>92.808220383333307</v>
          </cell>
          <cell r="Z224">
            <v>92.808220383333307</v>
          </cell>
          <cell r="AC224">
            <v>92.808220383333307</v>
          </cell>
          <cell r="AF224">
            <v>92.808220383333307</v>
          </cell>
          <cell r="AI224">
            <v>92.808220383333307</v>
          </cell>
          <cell r="AL224">
            <v>92.808220383333307</v>
          </cell>
          <cell r="AO224">
            <v>92.808220383333307</v>
          </cell>
        </row>
        <row r="225">
          <cell r="A225" t="str">
            <v>ServiceDivers</v>
          </cell>
          <cell r="B225" t="str">
            <v>Divers</v>
          </cell>
          <cell r="E225">
            <v>4231.6412673999994</v>
          </cell>
          <cell r="H225">
            <v>352.6367722833333</v>
          </cell>
          <cell r="K225">
            <v>352.6367722833333</v>
          </cell>
          <cell r="N225">
            <v>352.6367722833333</v>
          </cell>
          <cell r="Q225">
            <v>352.6367722833333</v>
          </cell>
          <cell r="T225">
            <v>352.6367722833333</v>
          </cell>
          <cell r="W225">
            <v>352.6367722833333</v>
          </cell>
          <cell r="Z225">
            <v>352.6367722833333</v>
          </cell>
          <cell r="AC225">
            <v>352.6367722833333</v>
          </cell>
          <cell r="AF225">
            <v>352.6367722833333</v>
          </cell>
          <cell r="AI225">
            <v>352.6367722833333</v>
          </cell>
          <cell r="AL225">
            <v>352.6367722833333</v>
          </cell>
          <cell r="AO225">
            <v>352.6367722833333</v>
          </cell>
        </row>
        <row r="226">
          <cell r="A226" t="str">
            <v>ServiceFormation</v>
          </cell>
          <cell r="B226" t="str">
            <v>Formation</v>
          </cell>
          <cell r="E226">
            <v>23675.803996145565</v>
          </cell>
          <cell r="H226">
            <v>1972.9836663454639</v>
          </cell>
          <cell r="K226">
            <v>1972.9836663454639</v>
          </cell>
          <cell r="N226">
            <v>1972.9836663454639</v>
          </cell>
          <cell r="Q226">
            <v>1972.9836663454639</v>
          </cell>
          <cell r="T226">
            <v>1972.9836663454639</v>
          </cell>
          <cell r="W226">
            <v>1972.9836663454639</v>
          </cell>
          <cell r="Z226">
            <v>1972.9836663454639</v>
          </cell>
          <cell r="AC226">
            <v>1972.9836663454639</v>
          </cell>
          <cell r="AF226">
            <v>1972.9836663454639</v>
          </cell>
          <cell r="AI226">
            <v>1972.9836663454639</v>
          </cell>
          <cell r="AL226">
            <v>1972.9836663454639</v>
          </cell>
          <cell r="AO226">
            <v>1972.9836663454639</v>
          </cell>
        </row>
        <row r="227">
          <cell r="A227" t="str">
            <v>ServiceFrais bancaires</v>
          </cell>
          <cell r="B227" t="str">
            <v>Frais bancaires</v>
          </cell>
          <cell r="E227">
            <v>54828.447443053141</v>
          </cell>
          <cell r="H227">
            <v>3299.6567811572586</v>
          </cell>
          <cell r="K227">
            <v>2808.0401640659611</v>
          </cell>
          <cell r="N227">
            <v>3292.1869613587974</v>
          </cell>
          <cell r="Q227">
            <v>6584.7583973403543</v>
          </cell>
          <cell r="T227">
            <v>6011.9233853903288</v>
          </cell>
          <cell r="W227">
            <v>3879.6631449604047</v>
          </cell>
          <cell r="Z227">
            <v>3641.8276273970109</v>
          </cell>
          <cell r="AC227">
            <v>4042.4215948607985</v>
          </cell>
          <cell r="AF227">
            <v>2994.0193467593331</v>
          </cell>
          <cell r="AI227">
            <v>5854.951146015148</v>
          </cell>
          <cell r="AL227">
            <v>8646.2115322264872</v>
          </cell>
          <cell r="AO227">
            <v>3772.7873615212588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ServiceTOTAL SEMI-FIXES</v>
          </cell>
          <cell r="B231" t="str">
            <v>TOTAL SEMI-FIXES</v>
          </cell>
          <cell r="C231" t="str">
            <v>%brut</v>
          </cell>
          <cell r="D231">
            <v>0.25627275004008421</v>
          </cell>
          <cell r="E231">
            <v>547466.33722436544</v>
          </cell>
          <cell r="F231" t="str">
            <v>%brut</v>
          </cell>
          <cell r="G231">
            <v>0.35995267192201719</v>
          </cell>
          <cell r="H231">
            <v>41828.298256244641</v>
          </cell>
          <cell r="I231" t="str">
            <v>%brut</v>
          </cell>
          <cell r="J231">
            <v>0.34286772315556963</v>
          </cell>
          <cell r="K231">
            <v>41136.501597239781</v>
          </cell>
          <cell r="L231" t="str">
            <v>%brut</v>
          </cell>
          <cell r="M231">
            <v>0.27910264908468019</v>
          </cell>
          <cell r="N231">
            <v>42931.859846250656</v>
          </cell>
          <cell r="O231" t="str">
            <v>%brut</v>
          </cell>
          <cell r="P231">
            <v>0.20135821190152964</v>
          </cell>
          <cell r="Q231">
            <v>49184.134277565616</v>
          </cell>
          <cell r="R231" t="str">
            <v>%brut</v>
          </cell>
          <cell r="S231">
            <v>0.24911544416935116</v>
          </cell>
          <cell r="T231">
            <v>52794.128602968893</v>
          </cell>
          <cell r="U231" t="str">
            <v>%brut</v>
          </cell>
          <cell r="V231">
            <v>0.2528300559709295</v>
          </cell>
          <cell r="W231">
            <v>43592.967569219814</v>
          </cell>
          <cell r="X231" t="str">
            <v>%brut</v>
          </cell>
          <cell r="Y231">
            <v>0.28266562554468383</v>
          </cell>
          <cell r="Z231">
            <v>43006.930896516722</v>
          </cell>
          <cell r="AA231" t="str">
            <v>%brut</v>
          </cell>
          <cell r="AB231">
            <v>0.28128740148195597</v>
          </cell>
          <cell r="AC231">
            <v>43321.858209287129</v>
          </cell>
          <cell r="AD231" t="str">
            <v>%brut</v>
          </cell>
          <cell r="AE231">
            <v>0.29514186383912799</v>
          </cell>
          <cell r="AF231">
            <v>41914.403669505111</v>
          </cell>
          <cell r="AG231" t="str">
            <v>%brut</v>
          </cell>
          <cell r="AH231">
            <v>0.21874519944524315</v>
          </cell>
          <cell r="AI231">
            <v>47079.826377807374</v>
          </cell>
          <cell r="AJ231" t="str">
            <v>%brut</v>
          </cell>
          <cell r="AK231">
            <v>0.18902115713573128</v>
          </cell>
          <cell r="AL231">
            <v>58333.880146277006</v>
          </cell>
          <cell r="AM231" t="str">
            <v>%brut</v>
          </cell>
          <cell r="AN231">
            <v>0.29072701822939279</v>
          </cell>
          <cell r="AO231">
            <v>42341.547775482642</v>
          </cell>
        </row>
        <row r="232">
          <cell r="A232" t="str">
            <v>Service</v>
          </cell>
        </row>
        <row r="233">
          <cell r="A233" t="str">
            <v>ServiceTOTAL DES DÉPENSES</v>
          </cell>
          <cell r="B233" t="str">
            <v>TOTAL DES DÉPENSES</v>
          </cell>
          <cell r="C233" t="str">
            <v>% brut</v>
          </cell>
          <cell r="D233">
            <v>0.90482655032928572</v>
          </cell>
          <cell r="E233">
            <v>1932948.6933536681</v>
          </cell>
          <cell r="F233" t="str">
            <v>% brut</v>
          </cell>
          <cell r="G233">
            <v>1.2087349980700626</v>
          </cell>
          <cell r="H233">
            <v>140461.04378686045</v>
          </cell>
          <cell r="I233" t="str">
            <v>% brut</v>
          </cell>
          <cell r="J233">
            <v>1.1412119738755604</v>
          </cell>
          <cell r="K233">
            <v>136920.05696558539</v>
          </cell>
          <cell r="L233" t="str">
            <v>% brut</v>
          </cell>
          <cell r="M233">
            <v>1.0127775191107975</v>
          </cell>
          <cell r="N233">
            <v>155786.49163127854</v>
          </cell>
          <cell r="O233" t="str">
            <v>% brut</v>
          </cell>
          <cell r="P233">
            <v>0.73697746222448213</v>
          </cell>
          <cell r="Q233">
            <v>180015.4963598637</v>
          </cell>
          <cell r="R233" t="str">
            <v>% brut</v>
          </cell>
          <cell r="S233">
            <v>0.83582902397712056</v>
          </cell>
          <cell r="T233">
            <v>177134.20028645109</v>
          </cell>
          <cell r="U233" t="str">
            <v>% brut</v>
          </cell>
          <cell r="V233">
            <v>0.90806775131155415</v>
          </cell>
          <cell r="W233">
            <v>156569.07515034717</v>
          </cell>
          <cell r="X233" t="str">
            <v>% brut</v>
          </cell>
          <cell r="Y233">
            <v>1.0002006125835072</v>
          </cell>
          <cell r="Z233">
            <v>152178.24433071254</v>
          </cell>
          <cell r="AA233" t="str">
            <v>% brut</v>
          </cell>
          <cell r="AB233">
            <v>0.99316989433573666</v>
          </cell>
          <cell r="AC233">
            <v>152960.8688958844</v>
          </cell>
          <cell r="AD233" t="str">
            <v>% brut</v>
          </cell>
          <cell r="AE233">
            <v>1.0397149790195681</v>
          </cell>
          <cell r="AF233">
            <v>147654.53048575547</v>
          </cell>
          <cell r="AG233" t="str">
            <v>% brut</v>
          </cell>
          <cell r="AH233">
            <v>0.78480046581103036</v>
          </cell>
          <cell r="AI233">
            <v>168910.0824397961</v>
          </cell>
          <cell r="AJ233" t="str">
            <v>% brut</v>
          </cell>
          <cell r="AK233">
            <v>0.68152830198878089</v>
          </cell>
          <cell r="AL233">
            <v>210326.66864885035</v>
          </cell>
          <cell r="AM233" t="str">
            <v>% brut</v>
          </cell>
          <cell r="AN233">
            <v>1.0576194623213409</v>
          </cell>
          <cell r="AO233">
            <v>154031.93437228288</v>
          </cell>
        </row>
        <row r="234">
          <cell r="A234" t="str">
            <v>Service</v>
          </cell>
        </row>
        <row r="235">
          <cell r="A235" t="str">
            <v>ServicePROFIT DÉPARTEMENTAL</v>
          </cell>
          <cell r="B235" t="str">
            <v>PROFIT DÉPARTEMENTAL</v>
          </cell>
          <cell r="E235">
            <v>203315.64664633176</v>
          </cell>
          <cell r="H235">
            <v>-24256.049299955703</v>
          </cell>
          <cell r="K235">
            <v>-16942.296391794414</v>
          </cell>
          <cell r="N235">
            <v>-1965.4512826967402</v>
          </cell>
          <cell r="Q235">
            <v>64246.378103037132</v>
          </cell>
          <cell r="T235">
            <v>34792.156905112352</v>
          </cell>
          <cell r="W235">
            <v>15850.961707265</v>
          </cell>
          <cell r="Z235">
            <v>-30.522747501556296</v>
          </cell>
          <cell r="AC235">
            <v>1051.9236467142182</v>
          </cell>
          <cell r="AF235">
            <v>-5640.1001223582425</v>
          </cell>
          <cell r="AI235">
            <v>46316.704238064296</v>
          </cell>
          <cell r="AL235">
            <v>98283.65323373623</v>
          </cell>
          <cell r="AO235">
            <v>-8391.7113432906917</v>
          </cell>
        </row>
        <row r="238">
          <cell r="B238" t="str">
            <v>Budget 2023</v>
          </cell>
          <cell r="C238" t="str">
            <v>Carrosserie</v>
          </cell>
        </row>
        <row r="240">
          <cell r="B240" t="str">
            <v>Mois</v>
          </cell>
          <cell r="C240">
            <v>2021</v>
          </cell>
          <cell r="F240" t="str">
            <v>Janvier</v>
          </cell>
          <cell r="I240" t="str">
            <v>Février</v>
          </cell>
          <cell r="L240" t="str">
            <v>Mars</v>
          </cell>
          <cell r="O240" t="str">
            <v>Avril</v>
          </cell>
          <cell r="R240" t="str">
            <v>Mai</v>
          </cell>
          <cell r="U240" t="str">
            <v>Juin</v>
          </cell>
          <cell r="X240" t="str">
            <v>Juillet</v>
          </cell>
          <cell r="AA240" t="str">
            <v>Août</v>
          </cell>
          <cell r="AD240" t="str">
            <v>Septembre</v>
          </cell>
          <cell r="AG240" t="str">
            <v>Octobre</v>
          </cell>
          <cell r="AJ240" t="str">
            <v>Novembre</v>
          </cell>
          <cell r="AM240" t="str">
            <v>Décembre</v>
          </cell>
        </row>
        <row r="241">
          <cell r="A241" t="str">
            <v>Carrosserie</v>
          </cell>
          <cell r="C241" t="str">
            <v>#</v>
          </cell>
          <cell r="D241" t="str">
            <v>$VENTES</v>
          </cell>
          <cell r="E241" t="str">
            <v>$PROFITS</v>
          </cell>
          <cell r="F241" t="str">
            <v>#</v>
          </cell>
          <cell r="G241" t="str">
            <v>$VENTES</v>
          </cell>
          <cell r="H241" t="str">
            <v>$PROFITS</v>
          </cell>
          <cell r="I241" t="str">
            <v>#</v>
          </cell>
          <cell r="J241" t="str">
            <v>$VENTES</v>
          </cell>
          <cell r="K241" t="str">
            <v>$PROFITS</v>
          </cell>
          <cell r="L241" t="str">
            <v>#</v>
          </cell>
          <cell r="M241" t="str">
            <v>$VENTES</v>
          </cell>
          <cell r="N241" t="str">
            <v>$PROFITS</v>
          </cell>
          <cell r="O241" t="str">
            <v>#</v>
          </cell>
          <cell r="P241" t="str">
            <v>$VENTES</v>
          </cell>
          <cell r="Q241" t="str">
            <v>$PROFITS</v>
          </cell>
          <cell r="R241" t="str">
            <v>#</v>
          </cell>
          <cell r="S241" t="str">
            <v>$VENTES</v>
          </cell>
          <cell r="T241" t="str">
            <v>$PROFITS</v>
          </cell>
          <cell r="U241" t="str">
            <v>#</v>
          </cell>
          <cell r="V241" t="str">
            <v>$VENTES</v>
          </cell>
          <cell r="W241" t="str">
            <v>$PROFITS</v>
          </cell>
          <cell r="X241" t="str">
            <v>#</v>
          </cell>
          <cell r="Y241" t="str">
            <v>$VENTES</v>
          </cell>
          <cell r="Z241" t="str">
            <v>$PROFITS</v>
          </cell>
          <cell r="AA241" t="str">
            <v>#</v>
          </cell>
          <cell r="AB241" t="str">
            <v>$VENTES</v>
          </cell>
          <cell r="AC241" t="str">
            <v>$PROFITS</v>
          </cell>
          <cell r="AD241" t="str">
            <v>#</v>
          </cell>
          <cell r="AE241" t="str">
            <v>$VENTES</v>
          </cell>
          <cell r="AF241" t="str">
            <v>$PROFITS</v>
          </cell>
          <cell r="AG241" t="str">
            <v>#</v>
          </cell>
          <cell r="AH241" t="str">
            <v>$VENTES</v>
          </cell>
          <cell r="AI241" t="str">
            <v>$PROFITS</v>
          </cell>
          <cell r="AJ241" t="str">
            <v>#</v>
          </cell>
          <cell r="AK241" t="str">
            <v>$VENTES</v>
          </cell>
          <cell r="AL241" t="str">
            <v>$PROFITS</v>
          </cell>
          <cell r="AM241" t="str">
            <v>#</v>
          </cell>
          <cell r="AN241" t="str">
            <v>$VENTES</v>
          </cell>
          <cell r="AO241" t="str">
            <v>$PROFITS</v>
          </cell>
        </row>
        <row r="242">
          <cell r="A242" t="str">
            <v>Carrosserie</v>
          </cell>
        </row>
        <row r="243">
          <cell r="A243" t="str">
            <v>CarrosserieM/O Sous-traitement</v>
          </cell>
          <cell r="B243" t="str">
            <v>M/O Sous-traitement</v>
          </cell>
          <cell r="C243">
            <v>0</v>
          </cell>
          <cell r="D243">
            <v>1187551</v>
          </cell>
          <cell r="E243">
            <v>279186.10938241996</v>
          </cell>
          <cell r="G243">
            <v>114273.79910049828</v>
          </cell>
          <cell r="H243">
            <v>26865.084004995493</v>
          </cell>
          <cell r="J243">
            <v>87661.944450869094</v>
          </cell>
          <cell r="K243">
            <v>20608.796769263776</v>
          </cell>
          <cell r="M243">
            <v>127718.26555916485</v>
          </cell>
          <cell r="N243">
            <v>30025.797341363836</v>
          </cell>
          <cell r="P243">
            <v>111937.99023890575</v>
          </cell>
          <cell r="Q243">
            <v>26315.949367132362</v>
          </cell>
          <cell r="S243">
            <v>93531.939296992714</v>
          </cell>
          <cell r="T243">
            <v>21988.797310869239</v>
          </cell>
          <cell r="V243">
            <v>109434.21769626775</v>
          </cell>
          <cell r="W243">
            <v>25727.327476402927</v>
          </cell>
          <cell r="Y243">
            <v>102279.60711969429</v>
          </cell>
          <cell r="Z243">
            <v>24045.321490116985</v>
          </cell>
          <cell r="AB243">
            <v>99362.912856790354</v>
          </cell>
          <cell r="AC243">
            <v>23359.624182365002</v>
          </cell>
          <cell r="AE243">
            <v>65414.584168287191</v>
          </cell>
          <cell r="AF243">
            <v>15378.575952370002</v>
          </cell>
          <cell r="AH243">
            <v>105347.5803785967</v>
          </cell>
          <cell r="AI243">
            <v>24766.583581464864</v>
          </cell>
          <cell r="AK243">
            <v>108565.13624085431</v>
          </cell>
          <cell r="AL243">
            <v>25523.011644684295</v>
          </cell>
          <cell r="AN243">
            <v>62023.022893078683</v>
          </cell>
          <cell r="AO243">
            <v>14581.24026139122</v>
          </cell>
        </row>
        <row r="244">
          <cell r="A244" t="str">
            <v>Carrosserie% profit / ventes</v>
          </cell>
          <cell r="B244" t="str">
            <v>% profit / ventes</v>
          </cell>
          <cell r="E244">
            <v>0.23509399544307569</v>
          </cell>
          <cell r="H244">
            <v>0.23509399544307574</v>
          </cell>
          <cell r="K244">
            <v>0.23509399544307572</v>
          </cell>
          <cell r="N244">
            <v>0.23509399544307572</v>
          </cell>
          <cell r="Q244">
            <v>0.23509399544307572</v>
          </cell>
          <cell r="T244">
            <v>0.23509399544307572</v>
          </cell>
          <cell r="W244">
            <v>0.23509399544307572</v>
          </cell>
          <cell r="Z244">
            <v>0.23509399544307572</v>
          </cell>
          <cell r="AC244">
            <v>0.23509399544307572</v>
          </cell>
          <cell r="AF244">
            <v>0.23509399544307572</v>
          </cell>
          <cell r="AI244">
            <v>0.23509399544307569</v>
          </cell>
          <cell r="AL244">
            <v>0.23509399544307569</v>
          </cell>
          <cell r="AO244">
            <v>0.23509399544307572</v>
          </cell>
        </row>
        <row r="245">
          <cell r="A245" t="str">
            <v>Carrosserie</v>
          </cell>
        </row>
        <row r="246">
          <cell r="A246" t="str">
            <v>CarrosserieM/O Carrosserie</v>
          </cell>
          <cell r="B246" t="str">
            <v>M/O Carrosserie</v>
          </cell>
          <cell r="C246">
            <v>0</v>
          </cell>
          <cell r="D246">
            <v>0</v>
          </cell>
          <cell r="E246">
            <v>0</v>
          </cell>
        </row>
        <row r="247">
          <cell r="A247" t="str">
            <v>Carrosserie% profit / ventes</v>
          </cell>
          <cell r="B247" t="str">
            <v>% profit / ventes</v>
          </cell>
          <cell r="E247">
            <v>0</v>
          </cell>
          <cell r="H247">
            <v>0</v>
          </cell>
          <cell r="K247">
            <v>0</v>
          </cell>
          <cell r="N247">
            <v>0</v>
          </cell>
          <cell r="Q247">
            <v>0</v>
          </cell>
          <cell r="T247">
            <v>0</v>
          </cell>
          <cell r="W247">
            <v>0</v>
          </cell>
          <cell r="Z247">
            <v>0</v>
          </cell>
          <cell r="AC247">
            <v>0</v>
          </cell>
          <cell r="AF247">
            <v>0</v>
          </cell>
          <cell r="AI247">
            <v>0</v>
          </cell>
          <cell r="AL247">
            <v>0</v>
          </cell>
          <cell r="AO247">
            <v>0</v>
          </cell>
        </row>
        <row r="248">
          <cell r="A248" t="str">
            <v>Carrosserie</v>
          </cell>
        </row>
        <row r="249">
          <cell r="A249" t="str">
            <v>CarrosserieM/O Esthétique Carr.</v>
          </cell>
          <cell r="B249" t="str">
            <v>M/O Esthétique Carr.</v>
          </cell>
          <cell r="C249">
            <v>0</v>
          </cell>
          <cell r="D249">
            <v>0</v>
          </cell>
          <cell r="E249">
            <v>0</v>
          </cell>
        </row>
        <row r="250">
          <cell r="A250" t="str">
            <v>Carrosserie% profit / ventes</v>
          </cell>
          <cell r="B250" t="str">
            <v>% profit / ventes</v>
          </cell>
          <cell r="E250">
            <v>0</v>
          </cell>
          <cell r="H250">
            <v>0</v>
          </cell>
          <cell r="K250">
            <v>0</v>
          </cell>
          <cell r="N250">
            <v>0</v>
          </cell>
          <cell r="Q250">
            <v>0</v>
          </cell>
          <cell r="T250">
            <v>0</v>
          </cell>
          <cell r="W250">
            <v>0</v>
          </cell>
          <cell r="Z250">
            <v>0</v>
          </cell>
          <cell r="AC250">
            <v>0</v>
          </cell>
          <cell r="AF250">
            <v>0</v>
          </cell>
          <cell r="AI250">
            <v>0</v>
          </cell>
          <cell r="AL250">
            <v>0</v>
          </cell>
          <cell r="AO250">
            <v>0</v>
          </cell>
        </row>
        <row r="251">
          <cell r="A251" t="str">
            <v>Carrosserie</v>
          </cell>
        </row>
        <row r="252">
          <cell r="A252" t="str">
            <v>CarrosserieTotal Mécanique</v>
          </cell>
          <cell r="B252" t="str">
            <v>Total Mécanique</v>
          </cell>
          <cell r="D252">
            <v>1187551</v>
          </cell>
          <cell r="E252">
            <v>279186.10938241996</v>
          </cell>
          <cell r="G252">
            <v>114273.79910049828</v>
          </cell>
          <cell r="H252">
            <v>26865.084004995493</v>
          </cell>
          <cell r="J252">
            <v>87661.944450869094</v>
          </cell>
          <cell r="K252">
            <v>20608.796769263776</v>
          </cell>
          <cell r="M252">
            <v>127718.26555916485</v>
          </cell>
          <cell r="N252">
            <v>30025.797341363836</v>
          </cell>
          <cell r="P252">
            <v>111937.99023890575</v>
          </cell>
          <cell r="Q252">
            <v>26315.949367132362</v>
          </cell>
          <cell r="S252">
            <v>93531.939296992714</v>
          </cell>
          <cell r="T252">
            <v>21988.797310869239</v>
          </cell>
          <cell r="V252">
            <v>109434.21769626775</v>
          </cell>
          <cell r="W252">
            <v>25727.327476402927</v>
          </cell>
          <cell r="Y252">
            <v>102279.60711969429</v>
          </cell>
          <cell r="Z252">
            <v>24045.321490116985</v>
          </cell>
          <cell r="AB252">
            <v>99362.912856790354</v>
          </cell>
          <cell r="AC252">
            <v>23359.624182365002</v>
          </cell>
          <cell r="AE252">
            <v>65414.584168287191</v>
          </cell>
          <cell r="AF252">
            <v>15378.575952370002</v>
          </cell>
          <cell r="AH252">
            <v>105347.5803785967</v>
          </cell>
          <cell r="AI252">
            <v>24766.583581464864</v>
          </cell>
          <cell r="AK252">
            <v>108565.13624085431</v>
          </cell>
          <cell r="AL252">
            <v>25523.011644684295</v>
          </cell>
          <cell r="AN252">
            <v>62023.022893078683</v>
          </cell>
          <cell r="AO252">
            <v>14581.24026139122</v>
          </cell>
        </row>
        <row r="253">
          <cell r="A253" t="str">
            <v>Carrosserie</v>
          </cell>
          <cell r="E253">
            <v>0.23509399544307569</v>
          </cell>
          <cell r="H253">
            <v>0.23509399544307574</v>
          </cell>
          <cell r="K253">
            <v>0.23509399544307572</v>
          </cell>
          <cell r="N253">
            <v>0.23509399544307572</v>
          </cell>
          <cell r="Q253">
            <v>0.23509399544307572</v>
          </cell>
          <cell r="T253">
            <v>0.23509399544307572</v>
          </cell>
          <cell r="W253">
            <v>0.23509399544307572</v>
          </cell>
          <cell r="Z253">
            <v>0.23509399544307572</v>
          </cell>
          <cell r="AC253">
            <v>0.23509399544307572</v>
          </cell>
          <cell r="AF253">
            <v>0.23509399544307572</v>
          </cell>
          <cell r="AI253">
            <v>0.23509399544307569</v>
          </cell>
          <cell r="AL253">
            <v>0.23509399544307569</v>
          </cell>
          <cell r="AO253">
            <v>0.23509399544307572</v>
          </cell>
        </row>
        <row r="254">
          <cell r="A254" t="str">
            <v>Carrosserie</v>
          </cell>
        </row>
        <row r="255">
          <cell r="A255" t="str">
            <v>CarrosserieDEPENSES</v>
          </cell>
          <cell r="B255" t="str">
            <v>DEPENSES</v>
          </cell>
        </row>
        <row r="256">
          <cell r="A256" t="str">
            <v>CarrosserieSalaires cadres</v>
          </cell>
          <cell r="B256" t="str">
            <v>Salaires cadres</v>
          </cell>
          <cell r="E256">
            <v>3865.2249999999995</v>
          </cell>
          <cell r="H256">
            <v>310.99511494252874</v>
          </cell>
          <cell r="K256">
            <v>296.18582375478928</v>
          </cell>
          <cell r="N256">
            <v>340.61369731800767</v>
          </cell>
          <cell r="Q256">
            <v>310.99511494252874</v>
          </cell>
          <cell r="T256">
            <v>325.80440613026821</v>
          </cell>
          <cell r="W256">
            <v>325.80440613026821</v>
          </cell>
          <cell r="Z256">
            <v>325.80440613026821</v>
          </cell>
          <cell r="AC256">
            <v>325.80440613026821</v>
          </cell>
          <cell r="AF256">
            <v>325.80440613026821</v>
          </cell>
          <cell r="AI256">
            <v>310.99511494252874</v>
          </cell>
          <cell r="AL256">
            <v>325.80440613026821</v>
          </cell>
          <cell r="AO256">
            <v>340.61369731800767</v>
          </cell>
        </row>
        <row r="257">
          <cell r="A257" t="str">
            <v>CarrosserieSalaires commis</v>
          </cell>
          <cell r="B257" t="str">
            <v>Salaires commis</v>
          </cell>
          <cell r="E257">
            <v>6740.67</v>
          </cell>
          <cell r="H257">
            <v>542.78379310344826</v>
          </cell>
          <cell r="K257">
            <v>517.53218390804602</v>
          </cell>
          <cell r="N257">
            <v>593.28701149425297</v>
          </cell>
          <cell r="Q257">
            <v>542.78379310344826</v>
          </cell>
          <cell r="T257">
            <v>568.03540229885061</v>
          </cell>
          <cell r="W257">
            <v>568.03540229885061</v>
          </cell>
          <cell r="Z257">
            <v>568.03540229885061</v>
          </cell>
          <cell r="AC257">
            <v>568.03540229885061</v>
          </cell>
          <cell r="AF257">
            <v>568.03540229885061</v>
          </cell>
          <cell r="AI257">
            <v>542.78379310344826</v>
          </cell>
          <cell r="AL257">
            <v>568.03540229885061</v>
          </cell>
          <cell r="AO257">
            <v>593.28701149425297</v>
          </cell>
        </row>
        <row r="258">
          <cell r="A258" t="str">
            <v>CarrosserieSalaires autres</v>
          </cell>
          <cell r="B258" t="str">
            <v>Salaires autres</v>
          </cell>
          <cell r="E258">
            <v>4404.9999999999991</v>
          </cell>
          <cell r="H258">
            <v>354.42528735632186</v>
          </cell>
          <cell r="K258">
            <v>337.54789272030655</v>
          </cell>
          <cell r="N258">
            <v>388.18007662835248</v>
          </cell>
          <cell r="Q258">
            <v>354.42528735632186</v>
          </cell>
          <cell r="T258">
            <v>371.30268199233717</v>
          </cell>
          <cell r="W258">
            <v>371.30268199233717</v>
          </cell>
          <cell r="Z258">
            <v>371.30268199233717</v>
          </cell>
          <cell r="AC258">
            <v>371.30268199233717</v>
          </cell>
          <cell r="AF258">
            <v>371.30268199233717</v>
          </cell>
          <cell r="AI258">
            <v>354.42528735632186</v>
          </cell>
          <cell r="AL258">
            <v>371.30268199233717</v>
          </cell>
          <cell r="AO258">
            <v>388.18007662835248</v>
          </cell>
        </row>
        <row r="259">
          <cell r="A259" t="str">
            <v>CarrosserieSalaires spécialistes</v>
          </cell>
          <cell r="B259" t="str">
            <v>Salaires spécialistes</v>
          </cell>
          <cell r="E259">
            <v>53618.467432950187</v>
          </cell>
          <cell r="H259">
            <v>8601.6475095785427</v>
          </cell>
          <cell r="K259">
            <v>8458.1992337164738</v>
          </cell>
          <cell r="N259">
            <v>3799.3103448275861</v>
          </cell>
          <cell r="Q259">
            <v>3512.4137931034479</v>
          </cell>
          <cell r="T259">
            <v>3655.8620689655172</v>
          </cell>
          <cell r="W259">
            <v>3655.8620689655172</v>
          </cell>
          <cell r="Z259">
            <v>3655.8620689655172</v>
          </cell>
          <cell r="AC259">
            <v>3655.8620689655172</v>
          </cell>
          <cell r="AF259">
            <v>3655.8620689655172</v>
          </cell>
          <cell r="AI259">
            <v>3512.4137931034479</v>
          </cell>
          <cell r="AL259">
            <v>3655.8620689655172</v>
          </cell>
          <cell r="AO259">
            <v>3799.3103448275861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</row>
        <row r="263">
          <cell r="A263" t="str">
            <v>CarrosserieSalaires en absences</v>
          </cell>
          <cell r="B263" t="str">
            <v>Salaires en absences</v>
          </cell>
          <cell r="E263">
            <v>8273.9179693014285</v>
          </cell>
          <cell r="H263">
            <v>1150.1955437766571</v>
          </cell>
          <cell r="K263">
            <v>1126.2874466286423</v>
          </cell>
          <cell r="N263">
            <v>623.65159503762766</v>
          </cell>
          <cell r="Q263">
            <v>575.83540074159828</v>
          </cell>
          <cell r="T263">
            <v>599.74349788961297</v>
          </cell>
          <cell r="W263">
            <v>599.74349788961297</v>
          </cell>
          <cell r="Z263">
            <v>599.74349788961297</v>
          </cell>
          <cell r="AC263">
            <v>599.74349788961297</v>
          </cell>
          <cell r="AF263">
            <v>599.74349788961297</v>
          </cell>
          <cell r="AI263">
            <v>575.83540074159828</v>
          </cell>
          <cell r="AL263">
            <v>599.74349788961297</v>
          </cell>
          <cell r="AO263">
            <v>623.65159503762766</v>
          </cell>
        </row>
        <row r="264">
          <cell r="A264" t="str">
            <v>CarrosserieDéduction à la source</v>
          </cell>
          <cell r="B264" t="str">
            <v>Déduction à la source</v>
          </cell>
          <cell r="E264">
            <v>8225.0890890596893</v>
          </cell>
          <cell r="H264">
            <v>1143.4076156548128</v>
          </cell>
          <cell r="K264">
            <v>1119.6406131631361</v>
          </cell>
          <cell r="N264">
            <v>619.97108851585051</v>
          </cell>
          <cell r="Q264">
            <v>572.43708353249735</v>
          </cell>
          <cell r="T264">
            <v>596.20408602417399</v>
          </cell>
          <cell r="W264">
            <v>596.20408602417399</v>
          </cell>
          <cell r="Z264">
            <v>596.20408602417399</v>
          </cell>
          <cell r="AC264">
            <v>596.20408602417399</v>
          </cell>
          <cell r="AF264">
            <v>596.20408602417399</v>
          </cell>
          <cell r="AI264">
            <v>572.43708353249735</v>
          </cell>
          <cell r="AL264">
            <v>596.20408602417399</v>
          </cell>
          <cell r="AO264">
            <v>619.97108851585051</v>
          </cell>
        </row>
        <row r="265">
          <cell r="A265" t="str">
            <v>CarrosserieBénéfices marginaux</v>
          </cell>
          <cell r="B265" t="str">
            <v>Bénéfices marginaux</v>
          </cell>
          <cell r="E265">
            <v>5759.684714387301</v>
          </cell>
          <cell r="H265">
            <v>800.68036891670249</v>
          </cell>
          <cell r="K265">
            <v>784.03733447952004</v>
          </cell>
          <cell r="N265">
            <v>434.13973553629046</v>
          </cell>
          <cell r="Q265">
            <v>400.85366666192539</v>
          </cell>
          <cell r="T265">
            <v>417.4967010991079</v>
          </cell>
          <cell r="W265">
            <v>417.4967010991079</v>
          </cell>
          <cell r="Z265">
            <v>417.4967010991079</v>
          </cell>
          <cell r="AC265">
            <v>417.4967010991079</v>
          </cell>
          <cell r="AF265">
            <v>417.4967010991079</v>
          </cell>
          <cell r="AI265">
            <v>400.85366666192539</v>
          </cell>
          <cell r="AL265">
            <v>417.4967010991079</v>
          </cell>
          <cell r="AO265">
            <v>434.13973553629046</v>
          </cell>
        </row>
        <row r="266">
          <cell r="A266" t="str">
            <v>CarrosserieCsst</v>
          </cell>
          <cell r="B266" t="str">
            <v>Csst</v>
          </cell>
          <cell r="E266">
            <v>2751.56740249924</v>
          </cell>
          <cell r="H266">
            <v>382.50809066492917</v>
          </cell>
          <cell r="K266">
            <v>374.55723340330991</v>
          </cell>
          <cell r="N266">
            <v>207.40106510471938</v>
          </cell>
          <cell r="Q266">
            <v>191.49935058148088</v>
          </cell>
          <cell r="T266">
            <v>199.45020784310012</v>
          </cell>
          <cell r="W266">
            <v>199.45020784310012</v>
          </cell>
          <cell r="Z266">
            <v>199.45020784310012</v>
          </cell>
          <cell r="AC266">
            <v>199.45020784310012</v>
          </cell>
          <cell r="AF266">
            <v>199.45020784310012</v>
          </cell>
          <cell r="AI266">
            <v>191.49935058148088</v>
          </cell>
          <cell r="AL266">
            <v>199.45020784310012</v>
          </cell>
          <cell r="AO266">
            <v>207.40106510471938</v>
          </cell>
        </row>
        <row r="267">
          <cell r="A267" t="str">
            <v>Carrosserie[...]</v>
          </cell>
          <cell r="B267" t="str">
            <v>[...]</v>
          </cell>
          <cell r="E267">
            <v>0</v>
          </cell>
        </row>
        <row r="268">
          <cell r="A268" t="str">
            <v>CarrosserieTOTAL PERSONNEL</v>
          </cell>
          <cell r="B268" t="str">
            <v>TOTAL PERSONNEL</v>
          </cell>
          <cell r="C268" t="str">
            <v>% brut</v>
          </cell>
          <cell r="D268">
            <v>0</v>
          </cell>
          <cell r="E268">
            <v>93639.621608197849</v>
          </cell>
          <cell r="F268" t="str">
            <v>% brut</v>
          </cell>
          <cell r="G268">
            <v>0</v>
          </cell>
          <cell r="H268">
            <v>13286.643323993943</v>
          </cell>
          <cell r="I268" t="str">
            <v>% brut</v>
          </cell>
          <cell r="J268">
            <v>0</v>
          </cell>
          <cell r="K268">
            <v>13013.987761774224</v>
          </cell>
          <cell r="L268" t="str">
            <v>% brut</v>
          </cell>
          <cell r="M268">
            <v>0</v>
          </cell>
          <cell r="N268">
            <v>7006.5546144626869</v>
          </cell>
          <cell r="O268" t="str">
            <v>% brut</v>
          </cell>
          <cell r="P268">
            <v>0</v>
          </cell>
          <cell r="Q268">
            <v>6461.2434900232483</v>
          </cell>
          <cell r="R268" t="str">
            <v>% brut</v>
          </cell>
          <cell r="S268">
            <v>0</v>
          </cell>
          <cell r="T268">
            <v>6733.8990522429676</v>
          </cell>
          <cell r="U268" t="str">
            <v>% brut</v>
          </cell>
          <cell r="V268">
            <v>0</v>
          </cell>
          <cell r="W268">
            <v>6733.8990522429676</v>
          </cell>
          <cell r="X268" t="str">
            <v>% brut</v>
          </cell>
          <cell r="Y268">
            <v>0</v>
          </cell>
          <cell r="Z268">
            <v>6733.8990522429676</v>
          </cell>
          <cell r="AA268" t="str">
            <v>% brut</v>
          </cell>
          <cell r="AB268">
            <v>0</v>
          </cell>
          <cell r="AC268">
            <v>6733.8990522429676</v>
          </cell>
          <cell r="AD268" t="str">
            <v>% brut</v>
          </cell>
          <cell r="AE268">
            <v>0</v>
          </cell>
          <cell r="AF268">
            <v>6733.8990522429676</v>
          </cell>
          <cell r="AG268" t="str">
            <v>% brut</v>
          </cell>
          <cell r="AH268">
            <v>0</v>
          </cell>
          <cell r="AI268">
            <v>6461.2434900232483</v>
          </cell>
          <cell r="AJ268" t="str">
            <v>% brut</v>
          </cell>
          <cell r="AK268">
            <v>0</v>
          </cell>
          <cell r="AL268">
            <v>6733.8990522429676</v>
          </cell>
          <cell r="AM268" t="str">
            <v>% brut</v>
          </cell>
          <cell r="AN268">
            <v>0</v>
          </cell>
          <cell r="AO268">
            <v>7006.5546144626869</v>
          </cell>
        </row>
        <row r="269">
          <cell r="A269" t="str">
            <v>CarrosseriePublicité 2</v>
          </cell>
          <cell r="B269" t="str">
            <v>Publicité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CarrosserieService gratuit 2</v>
          </cell>
          <cell r="B270" t="str">
            <v>Service gratuit 2</v>
          </cell>
          <cell r="E270">
            <v>3611.1482210524841</v>
          </cell>
          <cell r="H270">
            <v>347.48791953749628</v>
          </cell>
          <cell r="K270">
            <v>266.56562518810358</v>
          </cell>
          <cell r="N270">
            <v>388.37034154313108</v>
          </cell>
          <cell r="Q270">
            <v>340.38510709806553</v>
          </cell>
          <cell r="T270">
            <v>284.41531875593063</v>
          </cell>
          <cell r="W270">
            <v>332.7715445956826</v>
          </cell>
          <cell r="Z270">
            <v>311.01554484837368</v>
          </cell>
          <cell r="AC270">
            <v>302.14635497876844</v>
          </cell>
          <cell r="AF270">
            <v>198.91504385933595</v>
          </cell>
          <cell r="AI270">
            <v>320.34474938453423</v>
          </cell>
          <cell r="AL270">
            <v>330.12881013487549</v>
          </cell>
          <cell r="AO270">
            <v>188.60186112818613</v>
          </cell>
        </row>
        <row r="271">
          <cell r="A271" t="str">
            <v>CarrosserieFrais véhicules de cie</v>
          </cell>
          <cell r="B271" t="str">
            <v>Frais véhicules de cie</v>
          </cell>
          <cell r="E271">
            <v>5499.9999999999991</v>
          </cell>
          <cell r="H271">
            <v>458.33333333333331</v>
          </cell>
          <cell r="K271">
            <v>458.33333333333331</v>
          </cell>
          <cell r="N271">
            <v>458.33333333333331</v>
          </cell>
          <cell r="Q271">
            <v>458.33333333333331</v>
          </cell>
          <cell r="T271">
            <v>458.33333333333331</v>
          </cell>
          <cell r="W271">
            <v>458.33333333333331</v>
          </cell>
          <cell r="Z271">
            <v>458.33333333333331</v>
          </cell>
          <cell r="AC271">
            <v>458.33333333333331</v>
          </cell>
          <cell r="AF271">
            <v>458.33333333333331</v>
          </cell>
          <cell r="AI271">
            <v>458.33333333333331</v>
          </cell>
          <cell r="AL271">
            <v>458.33333333333331</v>
          </cell>
          <cell r="AO271">
            <v>458.33333333333331</v>
          </cell>
        </row>
        <row r="272">
          <cell r="A272" t="str">
            <v>CarrosserieInformatique</v>
          </cell>
          <cell r="B272" t="str">
            <v>Informatique</v>
          </cell>
          <cell r="E272">
            <v>15899.721484000003</v>
          </cell>
          <cell r="H272">
            <v>1324.9767903333334</v>
          </cell>
          <cell r="K272">
            <v>1324.9767903333334</v>
          </cell>
          <cell r="N272">
            <v>1324.9767903333334</v>
          </cell>
          <cell r="Q272">
            <v>1324.9767903333334</v>
          </cell>
          <cell r="T272">
            <v>1324.9767903333334</v>
          </cell>
          <cell r="W272">
            <v>1324.9767903333334</v>
          </cell>
          <cell r="Z272">
            <v>1324.9767903333334</v>
          </cell>
          <cell r="AC272">
            <v>1324.9767903333334</v>
          </cell>
          <cell r="AF272">
            <v>1324.9767903333334</v>
          </cell>
          <cell r="AI272">
            <v>1324.9767903333334</v>
          </cell>
          <cell r="AL272">
            <v>1324.9767903333334</v>
          </cell>
          <cell r="AO272">
            <v>1324.9767903333334</v>
          </cell>
        </row>
        <row r="273">
          <cell r="A273" t="str">
            <v>CarrosserieFrais de déplacement</v>
          </cell>
          <cell r="B273" t="str">
            <v>Frais de déplacement</v>
          </cell>
          <cell r="E273">
            <v>2625.2311172499999</v>
          </cell>
          <cell r="H273">
            <v>218.76925977083332</v>
          </cell>
          <cell r="K273">
            <v>218.76925977083332</v>
          </cell>
          <cell r="N273">
            <v>218.76925977083332</v>
          </cell>
          <cell r="Q273">
            <v>218.76925977083332</v>
          </cell>
          <cell r="T273">
            <v>218.76925977083332</v>
          </cell>
          <cell r="W273">
            <v>218.76925977083332</v>
          </cell>
          <cell r="Z273">
            <v>218.76925977083332</v>
          </cell>
          <cell r="AC273">
            <v>218.76925977083332</v>
          </cell>
          <cell r="AF273">
            <v>218.76925977083332</v>
          </cell>
          <cell r="AI273">
            <v>218.76925977083332</v>
          </cell>
          <cell r="AL273">
            <v>218.76925977083332</v>
          </cell>
          <cell r="AO273">
            <v>218.76925977083332</v>
          </cell>
        </row>
        <row r="274">
          <cell r="A274" t="str">
            <v>CarrosserieServices extérieurs</v>
          </cell>
          <cell r="B274" t="str">
            <v>Services extérieurs</v>
          </cell>
          <cell r="E274">
            <v>10703.757943666669</v>
          </cell>
          <cell r="H274">
            <v>909.3604348888889</v>
          </cell>
          <cell r="K274">
            <v>943.85307488888907</v>
          </cell>
          <cell r="N274">
            <v>873.40921188888899</v>
          </cell>
          <cell r="Q274">
            <v>878.56580388888892</v>
          </cell>
          <cell r="T274">
            <v>854.15562788888883</v>
          </cell>
          <cell r="W274">
            <v>924.47331588888892</v>
          </cell>
          <cell r="Z274">
            <v>901.65366588888901</v>
          </cell>
          <cell r="AC274">
            <v>838.15735888888889</v>
          </cell>
          <cell r="AF274">
            <v>842.83809088888893</v>
          </cell>
          <cell r="AI274">
            <v>878.3978108888889</v>
          </cell>
          <cell r="AL274">
            <v>980.49573688888904</v>
          </cell>
          <cell r="AO274">
            <v>878.3978108888889</v>
          </cell>
        </row>
        <row r="275">
          <cell r="B275" t="str">
            <v>Fournitures d'atelier</v>
          </cell>
        </row>
        <row r="276">
          <cell r="A276" t="str">
            <v>CarrosserieFournitures autres</v>
          </cell>
          <cell r="B276" t="str">
            <v>Fournitures autres</v>
          </cell>
          <cell r="E276">
            <v>1487.4891764646707</v>
          </cell>
          <cell r="H276">
            <v>104.43468843875556</v>
          </cell>
          <cell r="K276">
            <v>88.052472712833207</v>
          </cell>
          <cell r="N276">
            <v>129.80487184201826</v>
          </cell>
          <cell r="Q276">
            <v>155.47524951475347</v>
          </cell>
          <cell r="T276">
            <v>161.70939187937071</v>
          </cell>
          <cell r="W276">
            <v>119.79021815603429</v>
          </cell>
          <cell r="Z276">
            <v>117.13645759980204</v>
          </cell>
          <cell r="AC276">
            <v>124.83089991785656</v>
          </cell>
          <cell r="AF276">
            <v>124.76419008019599</v>
          </cell>
          <cell r="AI276">
            <v>139.98630012215364</v>
          </cell>
          <cell r="AL276">
            <v>141.17976072494864</v>
          </cell>
          <cell r="AO276">
            <v>80.324675475948425</v>
          </cell>
        </row>
        <row r="277">
          <cell r="A277" t="str">
            <v>CarrosserieUniformes</v>
          </cell>
          <cell r="B277" t="str">
            <v>Uniformes</v>
          </cell>
          <cell r="E277">
            <v>768.12245104065926</v>
          </cell>
          <cell r="H277">
            <v>53.928882392207292</v>
          </cell>
          <cell r="K277">
            <v>45.469292974030999</v>
          </cell>
          <cell r="N277">
            <v>67.029755842178261</v>
          </cell>
          <cell r="Q277">
            <v>80.285646190224185</v>
          </cell>
          <cell r="T277">
            <v>83.504886228412076</v>
          </cell>
          <cell r="W277">
            <v>61.858302861334295</v>
          </cell>
          <cell r="Z277">
            <v>60.487931167085833</v>
          </cell>
          <cell r="AC277">
            <v>64.46125345154239</v>
          </cell>
          <cell r="AF277">
            <v>64.42680525197018</v>
          </cell>
          <cell r="AI277">
            <v>72.287329321952768</v>
          </cell>
          <cell r="AL277">
            <v>72.903618769932578</v>
          </cell>
          <cell r="AO277">
            <v>41.478746589788344</v>
          </cell>
        </row>
        <row r="278">
          <cell r="A278" t="str">
            <v>CarrosseriePapeterie</v>
          </cell>
          <cell r="B278" t="str">
            <v>Papeterie</v>
          </cell>
          <cell r="E278">
            <v>2004.0589673999996</v>
          </cell>
          <cell r="H278">
            <v>167.00491394999997</v>
          </cell>
          <cell r="K278">
            <v>167.00491394999997</v>
          </cell>
          <cell r="N278">
            <v>167.00491394999997</v>
          </cell>
          <cell r="Q278">
            <v>167.00491394999997</v>
          </cell>
          <cell r="T278">
            <v>167.00491394999997</v>
          </cell>
          <cell r="W278">
            <v>167.00491394999997</v>
          </cell>
          <cell r="Z278">
            <v>167.00491394999997</v>
          </cell>
          <cell r="AC278">
            <v>167.00491394999997</v>
          </cell>
          <cell r="AF278">
            <v>167.00491394999997</v>
          </cell>
          <cell r="AI278">
            <v>167.00491394999997</v>
          </cell>
          <cell r="AL278">
            <v>167.00491394999997</v>
          </cell>
          <cell r="AO278">
            <v>167.00491394999997</v>
          </cell>
        </row>
        <row r="279">
          <cell r="A279" t="str">
            <v>CarrosserieTéléphone</v>
          </cell>
          <cell r="B279" t="str">
            <v>Téléphone</v>
          </cell>
          <cell r="E279">
            <v>679.14065665833323</v>
          </cell>
          <cell r="H279">
            <v>56.595054721527781</v>
          </cell>
          <cell r="K279">
            <v>56.595054721527781</v>
          </cell>
          <cell r="N279">
            <v>56.595054721527781</v>
          </cell>
          <cell r="Q279">
            <v>56.595054721527781</v>
          </cell>
          <cell r="T279">
            <v>56.595054721527781</v>
          </cell>
          <cell r="W279">
            <v>56.595054721527781</v>
          </cell>
          <cell r="Z279">
            <v>56.595054721527781</v>
          </cell>
          <cell r="AC279">
            <v>56.595054721527781</v>
          </cell>
          <cell r="AF279">
            <v>56.595054721527781</v>
          </cell>
          <cell r="AI279">
            <v>56.595054721527781</v>
          </cell>
          <cell r="AL279">
            <v>56.595054721527781</v>
          </cell>
          <cell r="AO279">
            <v>56.595054721527781</v>
          </cell>
        </row>
        <row r="280">
          <cell r="A280" t="str">
            <v>CarrosserieFrais postaux</v>
          </cell>
          <cell r="B280" t="str">
            <v>Frais postaux</v>
          </cell>
          <cell r="E280">
            <v>324.82877134166665</v>
          </cell>
          <cell r="H280">
            <v>27.069064278472219</v>
          </cell>
          <cell r="K280">
            <v>27.069064278472219</v>
          </cell>
          <cell r="N280">
            <v>27.069064278472219</v>
          </cell>
          <cell r="Q280">
            <v>27.069064278472219</v>
          </cell>
          <cell r="T280">
            <v>27.069064278472219</v>
          </cell>
          <cell r="W280">
            <v>27.069064278472219</v>
          </cell>
          <cell r="Z280">
            <v>27.069064278472219</v>
          </cell>
          <cell r="AC280">
            <v>27.069064278472219</v>
          </cell>
          <cell r="AF280">
            <v>27.069064278472219</v>
          </cell>
          <cell r="AI280">
            <v>27.069064278472219</v>
          </cell>
          <cell r="AL280">
            <v>27.069064278472219</v>
          </cell>
          <cell r="AO280">
            <v>27.069064278472219</v>
          </cell>
        </row>
        <row r="281">
          <cell r="A281" t="str">
            <v>CarrosserieDivers</v>
          </cell>
          <cell r="B281" t="str">
            <v>Divers</v>
          </cell>
          <cell r="E281">
            <v>1234.2287029916668</v>
          </cell>
          <cell r="H281">
            <v>102.85239191597223</v>
          </cell>
          <cell r="K281">
            <v>102.85239191597223</v>
          </cell>
          <cell r="N281">
            <v>102.85239191597223</v>
          </cell>
          <cell r="Q281">
            <v>102.85239191597223</v>
          </cell>
          <cell r="T281">
            <v>102.85239191597223</v>
          </cell>
          <cell r="W281">
            <v>102.85239191597223</v>
          </cell>
          <cell r="Z281">
            <v>102.85239191597223</v>
          </cell>
          <cell r="AC281">
            <v>102.85239191597223</v>
          </cell>
          <cell r="AF281">
            <v>102.85239191597223</v>
          </cell>
          <cell r="AI281">
            <v>102.85239191597223</v>
          </cell>
          <cell r="AL281">
            <v>102.85239191597223</v>
          </cell>
          <cell r="AO281">
            <v>102.85239191597223</v>
          </cell>
        </row>
        <row r="282">
          <cell r="A282" t="str">
            <v>CarrosserieFormation</v>
          </cell>
          <cell r="B282" t="str">
            <v>Formation</v>
          </cell>
          <cell r="E282">
            <v>1059.2754833275574</v>
          </cell>
          <cell r="H282">
            <v>88.272956943963109</v>
          </cell>
          <cell r="K282">
            <v>88.272956943963109</v>
          </cell>
          <cell r="N282">
            <v>88.272956943963109</v>
          </cell>
          <cell r="Q282">
            <v>88.272956943963109</v>
          </cell>
          <cell r="T282">
            <v>88.272956943963109</v>
          </cell>
          <cell r="W282">
            <v>88.272956943963109</v>
          </cell>
          <cell r="Z282">
            <v>88.272956943963109</v>
          </cell>
          <cell r="AC282">
            <v>88.272956943963109</v>
          </cell>
          <cell r="AF282">
            <v>88.272956943963109</v>
          </cell>
          <cell r="AI282">
            <v>88.272956943963109</v>
          </cell>
          <cell r="AL282">
            <v>88.272956943963109</v>
          </cell>
          <cell r="AO282">
            <v>88.272956943963109</v>
          </cell>
        </row>
        <row r="283">
          <cell r="A283" t="str">
            <v>CarrosserieFrais bancaires</v>
          </cell>
          <cell r="B283" t="str">
            <v>Frais bancaires</v>
          </cell>
          <cell r="E283">
            <v>2453.07108365971</v>
          </cell>
          <cell r="H283">
            <v>147.62943350284684</v>
          </cell>
          <cell r="K283">
            <v>125.63409050346982</v>
          </cell>
          <cell r="N283">
            <v>147.29522745101968</v>
          </cell>
          <cell r="Q283">
            <v>294.60765662164806</v>
          </cell>
          <cell r="T283">
            <v>268.97853398449934</v>
          </cell>
          <cell r="W283">
            <v>173.57940848366096</v>
          </cell>
          <cell r="Z283">
            <v>162.93844639171095</v>
          </cell>
          <cell r="AC283">
            <v>180.86135910767996</v>
          </cell>
          <cell r="AF283">
            <v>133.95495634052685</v>
          </cell>
          <cell r="AI283">
            <v>261.9554633103113</v>
          </cell>
          <cell r="AL283">
            <v>386.83881236905648</v>
          </cell>
          <cell r="AO283">
            <v>168.79769559327957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CarrosserieTOTAL SEMI-FIXES</v>
          </cell>
          <cell r="B287" t="str">
            <v>TOTAL SEMI-FIXES</v>
          </cell>
          <cell r="C287" t="str">
            <v>% brut</v>
          </cell>
          <cell r="D287">
            <v>0</v>
          </cell>
          <cell r="E287">
            <v>48350.07405885341</v>
          </cell>
          <cell r="F287" t="str">
            <v>% brut</v>
          </cell>
          <cell r="G287">
            <v>0</v>
          </cell>
          <cell r="H287">
            <v>4006.7151240076305</v>
          </cell>
          <cell r="I287" t="str">
            <v>% brut</v>
          </cell>
          <cell r="J287">
            <v>0</v>
          </cell>
          <cell r="K287">
            <v>3913.4483215147616</v>
          </cell>
          <cell r="L287" t="str">
            <v>% brut</v>
          </cell>
          <cell r="M287">
            <v>0</v>
          </cell>
          <cell r="N287">
            <v>4049.783173814672</v>
          </cell>
          <cell r="O287" t="str">
            <v>% brut</v>
          </cell>
          <cell r="P287">
            <v>0</v>
          </cell>
          <cell r="Q287">
            <v>4193.1932285610164</v>
          </cell>
          <cell r="R287" t="str">
            <v>% brut</v>
          </cell>
          <cell r="S287">
            <v>0</v>
          </cell>
          <cell r="T287">
            <v>4096.6375239845365</v>
          </cell>
          <cell r="U287" t="str">
            <v>% brut</v>
          </cell>
          <cell r="V287">
            <v>0</v>
          </cell>
          <cell r="W287">
            <v>4056.3465552330363</v>
          </cell>
          <cell r="X287" t="str">
            <v>% brut</v>
          </cell>
          <cell r="Y287">
            <v>0</v>
          </cell>
          <cell r="Z287">
            <v>3997.1058111432967</v>
          </cell>
          <cell r="AA287" t="str">
            <v>% brut</v>
          </cell>
          <cell r="AB287">
            <v>0</v>
          </cell>
          <cell r="AC287">
            <v>3954.3309915921714</v>
          </cell>
          <cell r="AD287" t="str">
            <v>% brut</v>
          </cell>
          <cell r="AE287">
            <v>0</v>
          </cell>
          <cell r="AF287">
            <v>3808.7728516683528</v>
          </cell>
          <cell r="AG287" t="str">
            <v>% brut</v>
          </cell>
          <cell r="AH287">
            <v>0</v>
          </cell>
          <cell r="AI287">
            <v>4116.8454182752757</v>
          </cell>
          <cell r="AJ287" t="str">
            <v>% brut</v>
          </cell>
          <cell r="AK287">
            <v>0</v>
          </cell>
          <cell r="AL287">
            <v>4355.420504135137</v>
          </cell>
          <cell r="AM287" t="str">
            <v>% brut</v>
          </cell>
          <cell r="AN287">
            <v>0</v>
          </cell>
          <cell r="AO287">
            <v>3801.4745549235263</v>
          </cell>
        </row>
        <row r="288">
          <cell r="A288" t="str">
            <v>Carrosserie</v>
          </cell>
        </row>
        <row r="289">
          <cell r="A289" t="str">
            <v>CarrosserieTOTAL DES DÉPENSES</v>
          </cell>
          <cell r="B289" t="str">
            <v>TOTAL DES DÉPENSES</v>
          </cell>
          <cell r="C289" t="str">
            <v>% brut</v>
          </cell>
          <cell r="D289">
            <v>0</v>
          </cell>
          <cell r="E289">
            <v>141989.69566705124</v>
          </cell>
          <cell r="F289" t="str">
            <v>% brut</v>
          </cell>
          <cell r="G289">
            <v>0</v>
          </cell>
          <cell r="H289">
            <v>17293.358448001574</v>
          </cell>
          <cell r="I289" t="str">
            <v>% brut</v>
          </cell>
          <cell r="J289">
            <v>0</v>
          </cell>
          <cell r="K289">
            <v>16927.436083288987</v>
          </cell>
          <cell r="L289" t="str">
            <v>% brut</v>
          </cell>
          <cell r="M289">
            <v>0</v>
          </cell>
          <cell r="N289">
            <v>11056.337788277358</v>
          </cell>
          <cell r="O289" t="str">
            <v>% brut</v>
          </cell>
          <cell r="P289">
            <v>0</v>
          </cell>
          <cell r="Q289">
            <v>10654.436718584264</v>
          </cell>
          <cell r="R289" t="str">
            <v>% brut</v>
          </cell>
          <cell r="S289">
            <v>0</v>
          </cell>
          <cell r="T289">
            <v>10830.536576227503</v>
          </cell>
          <cell r="U289" t="str">
            <v>% brut</v>
          </cell>
          <cell r="V289">
            <v>0</v>
          </cell>
          <cell r="W289">
            <v>10790.245607476005</v>
          </cell>
          <cell r="X289" t="str">
            <v>% brut</v>
          </cell>
          <cell r="Y289">
            <v>0</v>
          </cell>
          <cell r="Z289">
            <v>10731.004863386264</v>
          </cell>
          <cell r="AA289" t="str">
            <v>% brut</v>
          </cell>
          <cell r="AB289">
            <v>0</v>
          </cell>
          <cell r="AC289">
            <v>10688.230043835139</v>
          </cell>
          <cell r="AD289" t="str">
            <v>% brut</v>
          </cell>
          <cell r="AE289">
            <v>0</v>
          </cell>
          <cell r="AF289">
            <v>10542.67190391132</v>
          </cell>
          <cell r="AG289" t="str">
            <v>% brut</v>
          </cell>
          <cell r="AH289">
            <v>0</v>
          </cell>
          <cell r="AI289">
            <v>10578.088908298523</v>
          </cell>
          <cell r="AJ289" t="str">
            <v>% brut</v>
          </cell>
          <cell r="AK289">
            <v>0</v>
          </cell>
          <cell r="AL289">
            <v>11089.319556378105</v>
          </cell>
          <cell r="AM289" t="str">
            <v>% brut</v>
          </cell>
          <cell r="AN289">
            <v>0</v>
          </cell>
          <cell r="AO289">
            <v>10808.029169386213</v>
          </cell>
        </row>
        <row r="290">
          <cell r="A290" t="str">
            <v>Carrosserie</v>
          </cell>
        </row>
        <row r="291">
          <cell r="A291" t="str">
            <v>CarrosseriePROFIT DÉPARTEMENTAL</v>
          </cell>
          <cell r="B291" t="str">
            <v>PROFIT DÉPARTEMENTAL</v>
          </cell>
          <cell r="E291">
            <v>137196.41371536872</v>
          </cell>
          <cell r="H291">
            <v>9571.7255569939189</v>
          </cell>
          <cell r="K291">
            <v>3681.3606859747888</v>
          </cell>
          <cell r="N291">
            <v>18969.459553086475</v>
          </cell>
          <cell r="Q291">
            <v>15661.512648548098</v>
          </cell>
          <cell r="T291">
            <v>11158.260734641735</v>
          </cell>
          <cell r="W291">
            <v>14937.081868926922</v>
          </cell>
          <cell r="Z291">
            <v>13314.316626730721</v>
          </cell>
          <cell r="AC291">
            <v>12671.394138529862</v>
          </cell>
          <cell r="AF291">
            <v>4835.9040484586822</v>
          </cell>
          <cell r="AI291">
            <v>14188.49467316634</v>
          </cell>
          <cell r="AL291">
            <v>14433.69208830619</v>
          </cell>
          <cell r="AO291">
            <v>3773.2110920050072</v>
          </cell>
        </row>
        <row r="293">
          <cell r="B293" t="str">
            <v>Budget 2023</v>
          </cell>
          <cell r="C293" t="str">
            <v>Pièces</v>
          </cell>
        </row>
        <row r="295">
          <cell r="B295" t="str">
            <v>Mois</v>
          </cell>
          <cell r="C295">
            <v>2022</v>
          </cell>
          <cell r="F295" t="str">
            <v>Janvier</v>
          </cell>
          <cell r="I295" t="str">
            <v>Février</v>
          </cell>
          <cell r="L295" t="str">
            <v>Mars</v>
          </cell>
          <cell r="O295" t="str">
            <v>Avril</v>
          </cell>
          <cell r="R295" t="str">
            <v>Mai</v>
          </cell>
          <cell r="U295" t="str">
            <v>Juin</v>
          </cell>
          <cell r="X295" t="str">
            <v>Juillet</v>
          </cell>
          <cell r="AA295" t="str">
            <v>Août</v>
          </cell>
          <cell r="AD295" t="str">
            <v>Septembre</v>
          </cell>
          <cell r="AG295" t="str">
            <v>Octobre</v>
          </cell>
          <cell r="AJ295" t="str">
            <v>Novembre</v>
          </cell>
          <cell r="AM295" t="str">
            <v>Décembre</v>
          </cell>
        </row>
        <row r="296">
          <cell r="A296" t="str">
            <v>Pièces</v>
          </cell>
          <cell r="C296" t="str">
            <v>$VENTES</v>
          </cell>
          <cell r="D296" t="str">
            <v>% P. BRUT</v>
          </cell>
          <cell r="E296" t="str">
            <v>$PROFITS</v>
          </cell>
          <cell r="F296" t="str">
            <v>$VENTES</v>
          </cell>
          <cell r="G296" t="str">
            <v>% P. BRUT</v>
          </cell>
          <cell r="H296" t="str">
            <v>$PROFITS</v>
          </cell>
          <cell r="I296" t="str">
            <v>$VENTES</v>
          </cell>
          <cell r="J296" t="str">
            <v>% P. BRUT</v>
          </cell>
          <cell r="K296" t="str">
            <v>$PROFITS</v>
          </cell>
          <cell r="L296" t="str">
            <v>$VENTES</v>
          </cell>
          <cell r="M296" t="str">
            <v>% P. BRUT</v>
          </cell>
          <cell r="N296" t="str">
            <v>$PROFITS</v>
          </cell>
          <cell r="O296" t="str">
            <v>$VENTES</v>
          </cell>
          <cell r="P296" t="str">
            <v>% P. BRUT</v>
          </cell>
          <cell r="Q296" t="str">
            <v>$PROFITS</v>
          </cell>
          <cell r="R296" t="str">
            <v>$VENTES</v>
          </cell>
          <cell r="S296" t="str">
            <v>% P. BRUT</v>
          </cell>
          <cell r="T296" t="str">
            <v>$PROFITS</v>
          </cell>
          <cell r="U296" t="str">
            <v>$VENTES</v>
          </cell>
          <cell r="V296" t="str">
            <v>% P. BRUT</v>
          </cell>
          <cell r="W296" t="str">
            <v>$PROFITS</v>
          </cell>
          <cell r="X296" t="str">
            <v>$VENTES</v>
          </cell>
          <cell r="Y296" t="str">
            <v>% P. BRUT</v>
          </cell>
          <cell r="Z296" t="str">
            <v>$PROFITS</v>
          </cell>
          <cell r="AA296" t="str">
            <v>$VENTES</v>
          </cell>
          <cell r="AB296" t="str">
            <v>% P. BRUT</v>
          </cell>
          <cell r="AC296" t="str">
            <v>$PROFITS</v>
          </cell>
          <cell r="AD296" t="str">
            <v>$VENTES</v>
          </cell>
          <cell r="AE296" t="str">
            <v>% P. BRUT</v>
          </cell>
          <cell r="AF296" t="str">
            <v>$PROFITS</v>
          </cell>
          <cell r="AG296" t="str">
            <v>$VENTES</v>
          </cell>
          <cell r="AH296" t="str">
            <v>% P. BRUT</v>
          </cell>
          <cell r="AI296" t="str">
            <v>$PROFITS</v>
          </cell>
          <cell r="AJ296" t="str">
            <v>$VENTES</v>
          </cell>
          <cell r="AK296" t="str">
            <v>% P. BRUT</v>
          </cell>
          <cell r="AL296" t="str">
            <v>$PROFITS</v>
          </cell>
          <cell r="AM296" t="str">
            <v>$VENTES</v>
          </cell>
          <cell r="AN296" t="str">
            <v>% P. BRUT</v>
          </cell>
          <cell r="AO296" t="str">
            <v>$PROFITS</v>
          </cell>
        </row>
        <row r="297">
          <cell r="A297" t="str">
            <v>PiècesPièces Ro Clients</v>
          </cell>
          <cell r="B297" t="str">
            <v>Pièces Ro Clients</v>
          </cell>
          <cell r="C297">
            <v>1065814</v>
          </cell>
          <cell r="D297">
            <v>0.36099999999999993</v>
          </cell>
          <cell r="E297">
            <v>384758.85399999993</v>
          </cell>
          <cell r="F297">
            <v>62107.523830964019</v>
          </cell>
          <cell r="G297">
            <v>0.36099999999999999</v>
          </cell>
          <cell r="H297">
            <v>22420.816102978009</v>
          </cell>
          <cell r="I297">
            <v>68116.010456300821</v>
          </cell>
          <cell r="J297">
            <v>0.36099999999999999</v>
          </cell>
          <cell r="K297">
            <v>24589.879774724595</v>
          </cell>
          <cell r="L297">
            <v>68635.905327975357</v>
          </cell>
          <cell r="M297">
            <v>0.36099999999999999</v>
          </cell>
          <cell r="N297">
            <v>24777.561823399104</v>
          </cell>
          <cell r="O297">
            <v>115543.77613337603</v>
          </cell>
          <cell r="P297">
            <v>0.36099999999999999</v>
          </cell>
          <cell r="Q297">
            <v>41711.303184148746</v>
          </cell>
          <cell r="R297">
            <v>87602.377236921733</v>
          </cell>
          <cell r="S297">
            <v>0.36099999999999999</v>
          </cell>
          <cell r="T297">
            <v>31624.458182528746</v>
          </cell>
          <cell r="U297">
            <v>80760.73431396317</v>
          </cell>
          <cell r="V297">
            <v>0.36099999999999999</v>
          </cell>
          <cell r="W297">
            <v>29154.625087340704</v>
          </cell>
          <cell r="X297">
            <v>87317.655025456028</v>
          </cell>
          <cell r="Y297">
            <v>0.36099999999999999</v>
          </cell>
          <cell r="Z297">
            <v>31521.673464189626</v>
          </cell>
          <cell r="AA297">
            <v>83021.493679352279</v>
          </cell>
          <cell r="AB297">
            <v>0.36099999999999999</v>
          </cell>
          <cell r="AC297">
            <v>29970.75921824617</v>
          </cell>
          <cell r="AD297">
            <v>72430.556460724954</v>
          </cell>
          <cell r="AE297">
            <v>0.36099999999999999</v>
          </cell>
          <cell r="AF297">
            <v>26147.430882321707</v>
          </cell>
          <cell r="AG297">
            <v>105266.31251338296</v>
          </cell>
          <cell r="AH297">
            <v>0.36099999999999999</v>
          </cell>
          <cell r="AI297">
            <v>38001.138817331244</v>
          </cell>
          <cell r="AJ297">
            <v>164420.45414517701</v>
          </cell>
          <cell r="AK297">
            <v>0.36099999999999999</v>
          </cell>
          <cell r="AL297">
            <v>59355.783946408897</v>
          </cell>
          <cell r="AM297">
            <v>70591.200876405637</v>
          </cell>
          <cell r="AN297">
            <v>0.36099999999999999</v>
          </cell>
          <cell r="AO297">
            <v>25483.423516382434</v>
          </cell>
        </row>
        <row r="298">
          <cell r="A298" t="str">
            <v>PiècesPièces Ro Carrosserie</v>
          </cell>
          <cell r="B298" t="str">
            <v>Pièces Ro Carrosserie</v>
          </cell>
          <cell r="C298">
            <v>710095.99999999988</v>
          </cell>
          <cell r="D298">
            <v>0.24800000000000005</v>
          </cell>
          <cell r="E298">
            <v>176103.80800000002</v>
          </cell>
          <cell r="F298">
            <v>77311.478677311447</v>
          </cell>
          <cell r="G298">
            <v>0.248</v>
          </cell>
          <cell r="H298">
            <v>19173.246711973239</v>
          </cell>
          <cell r="I298">
            <v>62778.957931147255</v>
          </cell>
          <cell r="J298">
            <v>0.248</v>
          </cell>
          <cell r="K298">
            <v>15569.181566924519</v>
          </cell>
          <cell r="L298">
            <v>61315.684533504544</v>
          </cell>
          <cell r="M298">
            <v>0.248</v>
          </cell>
          <cell r="N298">
            <v>15206.289764309127</v>
          </cell>
          <cell r="O298">
            <v>67540.913915572368</v>
          </cell>
          <cell r="P298">
            <v>0.248</v>
          </cell>
          <cell r="Q298">
            <v>16750.146651061947</v>
          </cell>
          <cell r="R298">
            <v>51253.068428494706</v>
          </cell>
          <cell r="S298">
            <v>0.248</v>
          </cell>
          <cell r="T298">
            <v>12710.760970266687</v>
          </cell>
          <cell r="U298">
            <v>66130.940674823782</v>
          </cell>
          <cell r="V298">
            <v>0.248</v>
          </cell>
          <cell r="W298">
            <v>16400.473287356297</v>
          </cell>
          <cell r="X298">
            <v>55923.367985034376</v>
          </cell>
          <cell r="Y298">
            <v>0.24800000000000003</v>
          </cell>
          <cell r="Z298">
            <v>13868.995260288526</v>
          </cell>
          <cell r="AA298">
            <v>57292.53348045599</v>
          </cell>
          <cell r="AB298">
            <v>0.248</v>
          </cell>
          <cell r="AC298">
            <v>14208.548303153086</v>
          </cell>
          <cell r="AD298">
            <v>34326.636867241177</v>
          </cell>
          <cell r="AE298">
            <v>0.248</v>
          </cell>
          <cell r="AF298">
            <v>8513.005943075812</v>
          </cell>
          <cell r="AG298">
            <v>52480.08107250421</v>
          </cell>
          <cell r="AH298">
            <v>0.248</v>
          </cell>
          <cell r="AI298">
            <v>13015.060105981043</v>
          </cell>
          <cell r="AJ298">
            <v>74393.158025585159</v>
          </cell>
          <cell r="AK298">
            <v>0.248</v>
          </cell>
          <cell r="AL298">
            <v>18449.50319034512</v>
          </cell>
          <cell r="AM298">
            <v>49349.178408324966</v>
          </cell>
          <cell r="AN298">
            <v>0.248</v>
          </cell>
          <cell r="AO298">
            <v>12238.596245264591</v>
          </cell>
        </row>
        <row r="299">
          <cell r="A299" t="str">
            <v>PiècesP/A Garantie</v>
          </cell>
          <cell r="B299" t="str">
            <v>P/A Garantie</v>
          </cell>
          <cell r="C299">
            <v>671258.99999999988</v>
          </cell>
          <cell r="D299">
            <v>0.24299999999999999</v>
          </cell>
          <cell r="E299">
            <v>163115.93699999998</v>
          </cell>
          <cell r="F299">
            <v>67867.502572647165</v>
          </cell>
          <cell r="G299">
            <v>0.24299999999999997</v>
          </cell>
          <cell r="H299">
            <v>16491.803125153259</v>
          </cell>
          <cell r="I299">
            <v>50579.54163457809</v>
          </cell>
          <cell r="J299">
            <v>0.24300000000000002</v>
          </cell>
          <cell r="K299">
            <v>12290.828617202476</v>
          </cell>
          <cell r="L299">
            <v>42511.315024728923</v>
          </cell>
          <cell r="M299">
            <v>0.24299999999999999</v>
          </cell>
          <cell r="N299">
            <v>10330.249551009128</v>
          </cell>
          <cell r="O299">
            <v>34391.069247811094</v>
          </cell>
          <cell r="P299">
            <v>0.24299999999999999</v>
          </cell>
          <cell r="Q299">
            <v>8357.0298272180953</v>
          </cell>
          <cell r="R299">
            <v>64503.513370069588</v>
          </cell>
          <cell r="S299">
            <v>0.24299999999999999</v>
          </cell>
          <cell r="T299">
            <v>15674.353748926909</v>
          </cell>
          <cell r="U299">
            <v>76495.505294539747</v>
          </cell>
          <cell r="V299">
            <v>0.24300000000000002</v>
          </cell>
          <cell r="W299">
            <v>18588.40778657316</v>
          </cell>
          <cell r="X299">
            <v>50991.633588193996</v>
          </cell>
          <cell r="Y299">
            <v>0.24299999999999999</v>
          </cell>
          <cell r="Z299">
            <v>12390.966961931141</v>
          </cell>
          <cell r="AA299">
            <v>74699.349025972828</v>
          </cell>
          <cell r="AB299">
            <v>0.24299999999999999</v>
          </cell>
          <cell r="AC299">
            <v>18151.941813311398</v>
          </cell>
          <cell r="AD299">
            <v>63736.359244800435</v>
          </cell>
          <cell r="AE299">
            <v>0.24299999999999999</v>
          </cell>
          <cell r="AF299">
            <v>15487.935296486505</v>
          </cell>
          <cell r="AG299">
            <v>56478.755257997778</v>
          </cell>
          <cell r="AH299">
            <v>0.24299999999999999</v>
          </cell>
          <cell r="AI299">
            <v>13724.33752769346</v>
          </cell>
          <cell r="AJ299">
            <v>36893.79274953148</v>
          </cell>
          <cell r="AK299">
            <v>0.24299999999999999</v>
          </cell>
          <cell r="AL299">
            <v>8965.1916381361498</v>
          </cell>
          <cell r="AM299">
            <v>52110.662989128883</v>
          </cell>
          <cell r="AN299">
            <v>0.24299999999999999</v>
          </cell>
          <cell r="AO299">
            <v>12662.891106358318</v>
          </cell>
        </row>
        <row r="300">
          <cell r="A300" t="str">
            <v>PiècesVentes Internes</v>
          </cell>
          <cell r="B300" t="str">
            <v>Ventes Internes</v>
          </cell>
          <cell r="C300">
            <v>632656.00000000012</v>
          </cell>
          <cell r="D300">
            <v>0.31599999999999989</v>
          </cell>
          <cell r="E300">
            <v>199919.29599999997</v>
          </cell>
          <cell r="F300">
            <v>27787.73830497338</v>
          </cell>
          <cell r="G300">
            <v>0.31600000000000006</v>
          </cell>
          <cell r="H300">
            <v>8780.9253043715889</v>
          </cell>
          <cell r="I300">
            <v>34720.51676643989</v>
          </cell>
          <cell r="J300">
            <v>0.316</v>
          </cell>
          <cell r="K300">
            <v>10971.683298195005</v>
          </cell>
          <cell r="L300">
            <v>47840.780617656012</v>
          </cell>
          <cell r="M300">
            <v>0.316</v>
          </cell>
          <cell r="N300">
            <v>15117.6866751793</v>
          </cell>
          <cell r="O300">
            <v>50065.262281821466</v>
          </cell>
          <cell r="P300">
            <v>0.316</v>
          </cell>
          <cell r="Q300">
            <v>15820.622881055584</v>
          </cell>
          <cell r="R300">
            <v>55284.400234968067</v>
          </cell>
          <cell r="S300">
            <v>0.316</v>
          </cell>
          <cell r="T300">
            <v>17469.87047424991</v>
          </cell>
          <cell r="U300">
            <v>66007.68962688974</v>
          </cell>
          <cell r="V300">
            <v>0.316</v>
          </cell>
          <cell r="W300">
            <v>20858.429922097159</v>
          </cell>
          <cell r="X300">
            <v>57964.743623668997</v>
          </cell>
          <cell r="Y300">
            <v>0.31600000000000006</v>
          </cell>
          <cell r="Z300">
            <v>18316.858985079405</v>
          </cell>
          <cell r="AA300">
            <v>56538.073494016549</v>
          </cell>
          <cell r="AB300">
            <v>0.316</v>
          </cell>
          <cell r="AC300">
            <v>17866.031224109229</v>
          </cell>
          <cell r="AD300">
            <v>58375.995308664365</v>
          </cell>
          <cell r="AE300">
            <v>0.316</v>
          </cell>
          <cell r="AF300">
            <v>18446.81451753794</v>
          </cell>
          <cell r="AG300">
            <v>78817.042560368514</v>
          </cell>
          <cell r="AH300">
            <v>0.316</v>
          </cell>
          <cell r="AI300">
            <v>24906.185449076449</v>
          </cell>
          <cell r="AJ300">
            <v>60719.838112943093</v>
          </cell>
          <cell r="AK300">
            <v>0.316</v>
          </cell>
          <cell r="AL300">
            <v>19187.468843690018</v>
          </cell>
          <cell r="AM300">
            <v>38533.919067589901</v>
          </cell>
          <cell r="AN300">
            <v>0.316</v>
          </cell>
          <cell r="AO300">
            <v>12176.718425358409</v>
          </cell>
        </row>
        <row r="301">
          <cell r="A301" t="str">
            <v>PiècesVentes Détails</v>
          </cell>
          <cell r="B301" t="str">
            <v>Ventes Détails</v>
          </cell>
          <cell r="C301">
            <v>213030</v>
          </cell>
          <cell r="D301">
            <v>0.29799999999999993</v>
          </cell>
          <cell r="E301">
            <v>63482.939999999988</v>
          </cell>
          <cell r="F301">
            <v>12063.064536159261</v>
          </cell>
          <cell r="G301">
            <v>0.29799999999999999</v>
          </cell>
          <cell r="H301">
            <v>3594.7932317754598</v>
          </cell>
          <cell r="I301">
            <v>11694.658743158649</v>
          </cell>
          <cell r="J301">
            <v>0.29799999999999999</v>
          </cell>
          <cell r="K301">
            <v>3485.0083054612769</v>
          </cell>
          <cell r="L301">
            <v>14178.008712393863</v>
          </cell>
          <cell r="M301">
            <v>0.29799999999999999</v>
          </cell>
          <cell r="N301">
            <v>4225.0465962933713</v>
          </cell>
          <cell r="O301">
            <v>22150.496056346208</v>
          </cell>
          <cell r="P301">
            <v>0.29799999999999999</v>
          </cell>
          <cell r="Q301">
            <v>6600.8478247911698</v>
          </cell>
          <cell r="R301">
            <v>18294.643622832536</v>
          </cell>
          <cell r="S301">
            <v>0.29799999999999999</v>
          </cell>
          <cell r="T301">
            <v>5451.8037996040957</v>
          </cell>
          <cell r="U301">
            <v>17575.82906515924</v>
          </cell>
          <cell r="V301">
            <v>0.29799999999999999</v>
          </cell>
          <cell r="W301">
            <v>5237.597061417453</v>
          </cell>
          <cell r="X301">
            <v>19585.622816922783</v>
          </cell>
          <cell r="Y301">
            <v>0.29799999999999999</v>
          </cell>
          <cell r="Z301">
            <v>5836.5155994429888</v>
          </cell>
          <cell r="AA301">
            <v>17874.776975979086</v>
          </cell>
          <cell r="AB301">
            <v>0.29799999999999999</v>
          </cell>
          <cell r="AC301">
            <v>5326.6835388417676</v>
          </cell>
          <cell r="AD301">
            <v>18642.913331149201</v>
          </cell>
          <cell r="AE301">
            <v>0.29799999999999999</v>
          </cell>
          <cell r="AF301">
            <v>5555.5881726824618</v>
          </cell>
          <cell r="AG301">
            <v>20300.369373299269</v>
          </cell>
          <cell r="AH301">
            <v>0.29799999999999999</v>
          </cell>
          <cell r="AI301">
            <v>6049.510073243182</v>
          </cell>
          <cell r="AJ301">
            <v>25589.583518029423</v>
          </cell>
          <cell r="AK301">
            <v>0.29799999999999999</v>
          </cell>
          <cell r="AL301">
            <v>7625.6958883727675</v>
          </cell>
          <cell r="AM301">
            <v>15080.033248570477</v>
          </cell>
          <cell r="AN301">
            <v>0.29799999999999999</v>
          </cell>
          <cell r="AO301">
            <v>4493.8499080740021</v>
          </cell>
        </row>
        <row r="302">
          <cell r="A302" t="str">
            <v>PiècesVentes de Gros</v>
          </cell>
          <cell r="B302" t="str">
            <v>Ventes de Gros</v>
          </cell>
          <cell r="C302">
            <v>957875.99999999988</v>
          </cell>
          <cell r="D302">
            <v>0.17500000000000002</v>
          </cell>
          <cell r="E302">
            <v>167628.29999999999</v>
          </cell>
          <cell r="F302">
            <v>79618.134089792889</v>
          </cell>
          <cell r="G302">
            <v>0.17499999999999999</v>
          </cell>
          <cell r="H302">
            <v>13933.173465713755</v>
          </cell>
          <cell r="I302">
            <v>59286.35047434541</v>
          </cell>
          <cell r="J302">
            <v>0.17499999999999999</v>
          </cell>
          <cell r="K302">
            <v>10375.111333010445</v>
          </cell>
          <cell r="L302">
            <v>79572.17276322309</v>
          </cell>
          <cell r="M302">
            <v>0.17499999999999999</v>
          </cell>
          <cell r="N302">
            <v>13925.130233564039</v>
          </cell>
          <cell r="O302">
            <v>69439.303146741338</v>
          </cell>
          <cell r="P302">
            <v>0.17499999999999999</v>
          </cell>
          <cell r="Q302">
            <v>12151.878050679734</v>
          </cell>
          <cell r="R302">
            <v>71437.654609857113</v>
          </cell>
          <cell r="S302">
            <v>0.17499999999999999</v>
          </cell>
          <cell r="T302">
            <v>12501.589556724994</v>
          </cell>
          <cell r="U302">
            <v>81323.342760073501</v>
          </cell>
          <cell r="V302">
            <v>0.17499999999999999</v>
          </cell>
          <cell r="W302">
            <v>14231.584983012863</v>
          </cell>
          <cell r="X302">
            <v>86752.58567373034</v>
          </cell>
          <cell r="Y302">
            <v>0.17499999999999999</v>
          </cell>
          <cell r="Z302">
            <v>15181.702492902808</v>
          </cell>
          <cell r="AA302">
            <v>75665.392379002631</v>
          </cell>
          <cell r="AB302">
            <v>0.17499999999999999</v>
          </cell>
          <cell r="AC302">
            <v>13241.44366632546</v>
          </cell>
          <cell r="AD302">
            <v>90572.648265078242</v>
          </cell>
          <cell r="AE302">
            <v>0.17499999999999999</v>
          </cell>
          <cell r="AF302">
            <v>15850.21344638869</v>
          </cell>
          <cell r="AG302">
            <v>91097.240466298419</v>
          </cell>
          <cell r="AH302">
            <v>0.17499999999999999</v>
          </cell>
          <cell r="AI302">
            <v>15942.017081602222</v>
          </cell>
          <cell r="AJ302">
            <v>85355.833096973351</v>
          </cell>
          <cell r="AK302">
            <v>0.17499999999999999</v>
          </cell>
          <cell r="AL302">
            <v>14937.270791970335</v>
          </cell>
          <cell r="AM302">
            <v>87755.34227488366</v>
          </cell>
          <cell r="AN302">
            <v>0.17499999999999999</v>
          </cell>
          <cell r="AO302">
            <v>15357.184898104639</v>
          </cell>
        </row>
        <row r="303">
          <cell r="A303" t="str">
            <v>Pièces[...]</v>
          </cell>
          <cell r="B303" t="str">
            <v>[...]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J303">
            <v>0</v>
          </cell>
          <cell r="M303">
            <v>0</v>
          </cell>
          <cell r="P303">
            <v>0</v>
          </cell>
          <cell r="S303">
            <v>0</v>
          </cell>
          <cell r="V303">
            <v>0</v>
          </cell>
          <cell r="Y303">
            <v>0</v>
          </cell>
          <cell r="AB303">
            <v>0</v>
          </cell>
          <cell r="AE303">
            <v>0</v>
          </cell>
          <cell r="AH303">
            <v>0</v>
          </cell>
          <cell r="AK303">
            <v>0</v>
          </cell>
          <cell r="AN303">
            <v>0</v>
          </cell>
        </row>
        <row r="304">
          <cell r="A304" t="str">
            <v>PiècesEscomptes</v>
          </cell>
          <cell r="B304" t="str">
            <v>Escomptes</v>
          </cell>
          <cell r="C304">
            <v>0</v>
          </cell>
          <cell r="D304">
            <v>0</v>
          </cell>
          <cell r="E304">
            <v>72098</v>
          </cell>
          <cell r="G304">
            <v>0</v>
          </cell>
          <cell r="H304">
            <v>5542.2029430162083</v>
          </cell>
          <cell r="J304">
            <v>0</v>
          </cell>
          <cell r="K304">
            <v>4870.8840535800618</v>
          </cell>
          <cell r="M304">
            <v>0</v>
          </cell>
          <cell r="N304">
            <v>5326.767490459094</v>
          </cell>
          <cell r="P304">
            <v>0</v>
          </cell>
          <cell r="Q304">
            <v>6091.3320359996287</v>
          </cell>
          <cell r="S304">
            <v>0</v>
          </cell>
          <cell r="T304">
            <v>5908.910292056039</v>
          </cell>
          <cell r="V304">
            <v>0</v>
          </cell>
          <cell r="W304">
            <v>6585.9786989678751</v>
          </cell>
          <cell r="Y304">
            <v>0</v>
          </cell>
          <cell r="Z304">
            <v>6081.2364548569049</v>
          </cell>
          <cell r="AB304">
            <v>0</v>
          </cell>
          <cell r="AC304">
            <v>6192.4350303911315</v>
          </cell>
          <cell r="AE304">
            <v>0</v>
          </cell>
          <cell r="AF304">
            <v>5734.3690351424757</v>
          </cell>
          <cell r="AH304">
            <v>0</v>
          </cell>
          <cell r="AI304">
            <v>6859.8320594926336</v>
          </cell>
          <cell r="AK304">
            <v>0</v>
          </cell>
          <cell r="AL304">
            <v>7588.0299212814862</v>
          </cell>
          <cell r="AN304">
            <v>0</v>
          </cell>
          <cell r="AO304">
            <v>5316.0219847564613</v>
          </cell>
        </row>
        <row r="305">
          <cell r="A305" t="str">
            <v>PiècesRectif. Inventaire</v>
          </cell>
          <cell r="B305" t="str">
            <v>Rectif. Inventaire</v>
          </cell>
          <cell r="C305">
            <v>0</v>
          </cell>
          <cell r="D305">
            <v>0</v>
          </cell>
          <cell r="E305">
            <v>0</v>
          </cell>
          <cell r="G305">
            <v>0</v>
          </cell>
          <cell r="H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Y305">
            <v>0</v>
          </cell>
          <cell r="Z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</row>
        <row r="306">
          <cell r="A306" t="str">
            <v>PiècesSous-total Pièces</v>
          </cell>
          <cell r="B306" t="str">
            <v>Sous-total Pièces</v>
          </cell>
          <cell r="C306">
            <v>4250731</v>
          </cell>
          <cell r="D306">
            <v>0.28868143738100571</v>
          </cell>
          <cell r="E306">
            <v>1227107.1349999998</v>
          </cell>
          <cell r="F306">
            <v>326755.44201184815</v>
          </cell>
          <cell r="G306">
            <v>0.27524242696995516</v>
          </cell>
          <cell r="H306">
            <v>89936.960884981527</v>
          </cell>
          <cell r="I306">
            <v>287176.03600597009</v>
          </cell>
          <cell r="J306">
            <v>0.28607044686482996</v>
          </cell>
          <cell r="K306">
            <v>82152.576949098366</v>
          </cell>
          <cell r="L306">
            <v>314053.86697948177</v>
          </cell>
          <cell r="M306">
            <v>0.283100262350923</v>
          </cell>
          <cell r="N306">
            <v>88908.732134213162</v>
          </cell>
          <cell r="O306">
            <v>359130.82078166853</v>
          </cell>
          <cell r="P306">
            <v>0.29928692898318143</v>
          </cell>
          <cell r="Q306">
            <v>107483.16045495489</v>
          </cell>
          <cell r="R306">
            <v>348375.65750314377</v>
          </cell>
          <cell r="S306">
            <v>0.29089789955672452</v>
          </cell>
          <cell r="T306">
            <v>101341.74702435738</v>
          </cell>
          <cell r="U306">
            <v>388294.04173544917</v>
          </cell>
          <cell r="V306">
            <v>0.28601287913253753</v>
          </cell>
          <cell r="W306">
            <v>111057.09682676551</v>
          </cell>
          <cell r="X306">
            <v>358535.60871300654</v>
          </cell>
          <cell r="Y306">
            <v>0.28783179888081145</v>
          </cell>
          <cell r="Z306">
            <v>103197.9492186914</v>
          </cell>
          <cell r="AA306">
            <v>365091.61903477937</v>
          </cell>
          <cell r="AB306">
            <v>0.28748357212872572</v>
          </cell>
          <cell r="AC306">
            <v>104957.84279437824</v>
          </cell>
          <cell r="AD306">
            <v>338085.10947765835</v>
          </cell>
          <cell r="AE306">
            <v>0.28316939909464445</v>
          </cell>
          <cell r="AF306">
            <v>95735.357293635592</v>
          </cell>
          <cell r="AG306">
            <v>404439.80124385119</v>
          </cell>
          <cell r="AH306">
            <v>0.29299312468748223</v>
          </cell>
          <cell r="AI306">
            <v>118498.08111442022</v>
          </cell>
          <cell r="AJ306">
            <v>447372.6596482395</v>
          </cell>
          <cell r="AK306">
            <v>0.30424063984425115</v>
          </cell>
          <cell r="AL306">
            <v>136108.94422020478</v>
          </cell>
          <cell r="AM306">
            <v>313420.33686490357</v>
          </cell>
          <cell r="AN306">
            <v>0.27990744621691016</v>
          </cell>
          <cell r="AO306">
            <v>87728.686084298854</v>
          </cell>
        </row>
        <row r="307">
          <cell r="A307" t="str">
            <v>Pièces</v>
          </cell>
        </row>
        <row r="308">
          <cell r="A308" t="str">
            <v>Pièces</v>
          </cell>
        </row>
        <row r="309">
          <cell r="A309" t="str">
            <v>PiècesVentes Pneus</v>
          </cell>
          <cell r="B309" t="str">
            <v>Ventes Pneus</v>
          </cell>
          <cell r="C309">
            <v>509834</v>
          </cell>
          <cell r="D309">
            <v>0.18000000000000002</v>
          </cell>
          <cell r="E309">
            <v>91770.12000000001</v>
          </cell>
          <cell r="F309">
            <v>31292.343915732105</v>
          </cell>
          <cell r="G309">
            <v>0.18</v>
          </cell>
          <cell r="H309">
            <v>5632.6219048317789</v>
          </cell>
          <cell r="I309">
            <v>39040.481671411173</v>
          </cell>
          <cell r="J309">
            <v>0.18</v>
          </cell>
          <cell r="K309">
            <v>7027.2867008540106</v>
          </cell>
          <cell r="L309">
            <v>30401.379187255414</v>
          </cell>
          <cell r="M309">
            <v>0.18</v>
          </cell>
          <cell r="N309">
            <v>5472.2482537059741</v>
          </cell>
          <cell r="O309">
            <v>27666.856132613189</v>
          </cell>
          <cell r="P309">
            <v>0.18</v>
          </cell>
          <cell r="Q309">
            <v>4980.0341038703737</v>
          </cell>
          <cell r="R309">
            <v>40235.746757485904</v>
          </cell>
          <cell r="S309">
            <v>0.18</v>
          </cell>
          <cell r="T309">
            <v>7242.4344163474625</v>
          </cell>
          <cell r="U309">
            <v>26239.690389460717</v>
          </cell>
          <cell r="V309">
            <v>0.18</v>
          </cell>
          <cell r="W309">
            <v>4723.1442701029291</v>
          </cell>
          <cell r="X309">
            <v>22593.354387929827</v>
          </cell>
          <cell r="Y309">
            <v>0.18</v>
          </cell>
          <cell r="Z309">
            <v>4066.8037898273687</v>
          </cell>
          <cell r="AA309">
            <v>24624.103472697949</v>
          </cell>
          <cell r="AB309">
            <v>0.17999999999999997</v>
          </cell>
          <cell r="AC309">
            <v>4432.3386250856302</v>
          </cell>
          <cell r="AD309">
            <v>40120.544385208654</v>
          </cell>
          <cell r="AE309">
            <v>0.18</v>
          </cell>
          <cell r="AF309">
            <v>7221.6979893375574</v>
          </cell>
          <cell r="AG309">
            <v>84297.593876406929</v>
          </cell>
          <cell r="AH309">
            <v>0.18</v>
          </cell>
          <cell r="AI309">
            <v>15173.566897753246</v>
          </cell>
          <cell r="AJ309">
            <v>109688.00993859781</v>
          </cell>
          <cell r="AK309">
            <v>0.18</v>
          </cell>
          <cell r="AL309">
            <v>19743.841788947604</v>
          </cell>
          <cell r="AM309">
            <v>33633.895885200327</v>
          </cell>
          <cell r="AN309">
            <v>0.18</v>
          </cell>
          <cell r="AO309">
            <v>6054.1012593360583</v>
          </cell>
        </row>
        <row r="310">
          <cell r="A310" t="str">
            <v>PiècesHuiles et Graisse</v>
          </cell>
          <cell r="B310" t="str">
            <v>Huiles et Graisse</v>
          </cell>
          <cell r="C310">
            <v>262967</v>
          </cell>
          <cell r="D310">
            <v>0.31299999999999994</v>
          </cell>
          <cell r="E310">
            <v>82308.670999999988</v>
          </cell>
          <cell r="F310">
            <v>14017.812601919959</v>
          </cell>
          <cell r="G310">
            <v>0.313</v>
          </cell>
          <cell r="H310">
            <v>4387.575344400947</v>
          </cell>
          <cell r="I310">
            <v>14609.966989356799</v>
          </cell>
          <cell r="J310">
            <v>0.313</v>
          </cell>
          <cell r="K310">
            <v>4572.9196676686779</v>
          </cell>
          <cell r="L310">
            <v>18569.727944671937</v>
          </cell>
          <cell r="M310">
            <v>0.313</v>
          </cell>
          <cell r="N310">
            <v>5812.3248466823161</v>
          </cell>
          <cell r="O310">
            <v>26122.814975628673</v>
          </cell>
          <cell r="P310">
            <v>0.313</v>
          </cell>
          <cell r="Q310">
            <v>8176.4410873717743</v>
          </cell>
          <cell r="R310">
            <v>23505.465788521749</v>
          </cell>
          <cell r="S310">
            <v>0.313</v>
          </cell>
          <cell r="T310">
            <v>7357.2107918073079</v>
          </cell>
          <cell r="U310">
            <v>23446.731382792485</v>
          </cell>
          <cell r="V310">
            <v>0.313</v>
          </cell>
          <cell r="W310">
            <v>7338.826922814048</v>
          </cell>
          <cell r="X310">
            <v>22380.838878361239</v>
          </cell>
          <cell r="Y310">
            <v>0.313</v>
          </cell>
          <cell r="Z310">
            <v>7005.2025689270677</v>
          </cell>
          <cell r="AA310">
            <v>21447.960990228567</v>
          </cell>
          <cell r="AB310">
            <v>0.313</v>
          </cell>
          <cell r="AC310">
            <v>6713.2117899415416</v>
          </cell>
          <cell r="AD310">
            <v>17775.256230848245</v>
          </cell>
          <cell r="AE310">
            <v>0.313</v>
          </cell>
          <cell r="AF310">
            <v>5563.6552002555009</v>
          </cell>
          <cell r="AG310">
            <v>29061.061450271158</v>
          </cell>
          <cell r="AH310">
            <v>0.313</v>
          </cell>
          <cell r="AI310">
            <v>9096.1122339348731</v>
          </cell>
          <cell r="AJ310">
            <v>34523.930028656614</v>
          </cell>
          <cell r="AK310">
            <v>0.313</v>
          </cell>
          <cell r="AL310">
            <v>10805.99009896952</v>
          </cell>
          <cell r="AM310">
            <v>17505.432738742569</v>
          </cell>
          <cell r="AN310">
            <v>0.313</v>
          </cell>
          <cell r="AO310">
            <v>5479.2004472264243</v>
          </cell>
        </row>
        <row r="311">
          <cell r="A311" t="str">
            <v>PiècesSous-total Pièces et Acc.</v>
          </cell>
          <cell r="B311" t="str">
            <v>Sous-total Pièces et Acc.</v>
          </cell>
          <cell r="C311">
            <v>5023532</v>
          </cell>
          <cell r="D311">
            <v>0.2789244551443088</v>
          </cell>
          <cell r="E311">
            <v>1401185.926</v>
          </cell>
          <cell r="F311">
            <v>372065.59852950025</v>
          </cell>
          <cell r="G311">
            <v>0.26865466339610772</v>
          </cell>
          <cell r="H311">
            <v>99957.158134214245</v>
          </cell>
          <cell r="I311">
            <v>340826.48466673808</v>
          </cell>
          <cell r="J311">
            <v>0.27507481822984803</v>
          </cell>
          <cell r="K311">
            <v>93752.783317621055</v>
          </cell>
          <cell r="L311">
            <v>363024.9741114091</v>
          </cell>
          <cell r="M311">
            <v>0.27599562669165845</v>
          </cell>
          <cell r="N311">
            <v>100193.30523460144</v>
          </cell>
          <cell r="O311">
            <v>412920.49188991042</v>
          </cell>
          <cell r="P311">
            <v>0.29216190045216023</v>
          </cell>
          <cell r="Q311">
            <v>120639.63564619704</v>
          </cell>
          <cell r="R311">
            <v>412116.87004915142</v>
          </cell>
          <cell r="S311">
            <v>0.28133134229298673</v>
          </cell>
          <cell r="T311">
            <v>115941.39223251214</v>
          </cell>
          <cell r="U311">
            <v>437980.46350770234</v>
          </cell>
          <cell r="V311">
            <v>0.28110630102914924</v>
          </cell>
          <cell r="W311">
            <v>123119.06801968248</v>
          </cell>
          <cell r="X311">
            <v>403509.8019792976</v>
          </cell>
          <cell r="Y311">
            <v>0.28319003656646874</v>
          </cell>
          <cell r="Z311">
            <v>114269.95557744584</v>
          </cell>
          <cell r="AA311">
            <v>411163.6834977059</v>
          </cell>
          <cell r="AB311">
            <v>0.28237754906204698</v>
          </cell>
          <cell r="AC311">
            <v>116103.39320940542</v>
          </cell>
          <cell r="AD311">
            <v>395980.91009371524</v>
          </cell>
          <cell r="AE311">
            <v>0.2740554095336199</v>
          </cell>
          <cell r="AF311">
            <v>108520.71048322864</v>
          </cell>
          <cell r="AG311">
            <v>517798.45657052926</v>
          </cell>
          <cell r="AH311">
            <v>0.27572071417841693</v>
          </cell>
          <cell r="AI311">
            <v>142767.76024610832</v>
          </cell>
          <cell r="AJ311">
            <v>591584.59961549391</v>
          </cell>
          <cell r="AK311">
            <v>0.28171588005577458</v>
          </cell>
          <cell r="AL311">
            <v>166658.77610812191</v>
          </cell>
          <cell r="AM311">
            <v>364559.66548884648</v>
          </cell>
          <cell r="AN311">
            <v>0.27227912791108871</v>
          </cell>
          <cell r="AO311">
            <v>99261.987790861342</v>
          </cell>
        </row>
        <row r="312">
          <cell r="A312" t="str">
            <v>Pièces</v>
          </cell>
        </row>
        <row r="313">
          <cell r="A313" t="str">
            <v>Pièces</v>
          </cell>
        </row>
        <row r="314">
          <cell r="A314" t="str">
            <v>PiècesAutostock</v>
          </cell>
          <cell r="B314" t="str">
            <v>Autostock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J314">
            <v>0</v>
          </cell>
          <cell r="M314">
            <v>0</v>
          </cell>
          <cell r="P314">
            <v>0</v>
          </cell>
          <cell r="S314">
            <v>0</v>
          </cell>
          <cell r="V314">
            <v>0</v>
          </cell>
          <cell r="Y314">
            <v>0</v>
          </cell>
          <cell r="AB314">
            <v>0</v>
          </cell>
          <cell r="AE314">
            <v>0</v>
          </cell>
          <cell r="AH314">
            <v>0</v>
          </cell>
          <cell r="AK314">
            <v>0</v>
          </cell>
          <cell r="AN314">
            <v>0</v>
          </cell>
        </row>
        <row r="315">
          <cell r="A315" t="str">
            <v>Pièces</v>
          </cell>
        </row>
        <row r="316">
          <cell r="A316" t="str">
            <v>PiècesTotal Dépt. Pièces</v>
          </cell>
          <cell r="B316" t="str">
            <v>Total Dépt. Pièces</v>
          </cell>
          <cell r="C316">
            <v>5023532</v>
          </cell>
          <cell r="D316">
            <v>0.2789244551443088</v>
          </cell>
          <cell r="E316">
            <v>1401185.926</v>
          </cell>
          <cell r="F316">
            <v>372065.59852950025</v>
          </cell>
          <cell r="G316">
            <v>0.26865466339610772</v>
          </cell>
          <cell r="H316">
            <v>99957.158134214245</v>
          </cell>
          <cell r="I316">
            <v>340826.48466673808</v>
          </cell>
          <cell r="J316">
            <v>0.27507481822984803</v>
          </cell>
          <cell r="K316">
            <v>93752.783317621055</v>
          </cell>
          <cell r="L316">
            <v>363024.9741114091</v>
          </cell>
          <cell r="M316">
            <v>0.27599562669165845</v>
          </cell>
          <cell r="N316">
            <v>100193.30523460144</v>
          </cell>
          <cell r="O316">
            <v>412920.49188991042</v>
          </cell>
          <cell r="P316">
            <v>0.29216190045216023</v>
          </cell>
          <cell r="Q316">
            <v>120639.63564619704</v>
          </cell>
          <cell r="R316">
            <v>412116.87004915142</v>
          </cell>
          <cell r="S316">
            <v>0.28133134229298673</v>
          </cell>
          <cell r="T316">
            <v>115941.39223251214</v>
          </cell>
          <cell r="U316">
            <v>437980.46350770234</v>
          </cell>
          <cell r="V316">
            <v>0.28110630102914924</v>
          </cell>
          <cell r="W316">
            <v>123119.06801968248</v>
          </cell>
          <cell r="X316">
            <v>403509.8019792976</v>
          </cell>
          <cell r="Y316">
            <v>0.28319003656646874</v>
          </cell>
          <cell r="Z316">
            <v>114269.95557744584</v>
          </cell>
          <cell r="AA316">
            <v>411163.6834977059</v>
          </cell>
          <cell r="AB316">
            <v>0.28237754906204698</v>
          </cell>
          <cell r="AC316">
            <v>116103.39320940542</v>
          </cell>
          <cell r="AD316">
            <v>395980.91009371524</v>
          </cell>
          <cell r="AE316">
            <v>0.2740554095336199</v>
          </cell>
          <cell r="AF316">
            <v>108520.71048322864</v>
          </cell>
          <cell r="AG316">
            <v>517798.45657052926</v>
          </cell>
          <cell r="AH316">
            <v>0.27572071417841693</v>
          </cell>
          <cell r="AI316">
            <v>142767.76024610832</v>
          </cell>
          <cell r="AJ316">
            <v>591584.59961549391</v>
          </cell>
          <cell r="AK316">
            <v>0.28171588005577458</v>
          </cell>
          <cell r="AL316">
            <v>166658.77610812191</v>
          </cell>
          <cell r="AM316">
            <v>364559.66548884648</v>
          </cell>
          <cell r="AN316">
            <v>0.27227912791108871</v>
          </cell>
          <cell r="AO316">
            <v>99261.987790861342</v>
          </cell>
        </row>
        <row r="317">
          <cell r="A317" t="str">
            <v>Pièces</v>
          </cell>
        </row>
        <row r="318">
          <cell r="A318" t="str">
            <v>Pièces</v>
          </cell>
        </row>
        <row r="319">
          <cell r="A319" t="str">
            <v>PiècesDEPENSES</v>
          </cell>
          <cell r="B319" t="str">
            <v>DEPENSES</v>
          </cell>
        </row>
        <row r="320">
          <cell r="A320" t="str">
            <v>PiècesSalaires cadres</v>
          </cell>
          <cell r="B320" t="str">
            <v>Salaires cadres</v>
          </cell>
          <cell r="E320">
            <v>30921.799999999996</v>
          </cell>
          <cell r="H320">
            <v>2487.96091954023</v>
          </cell>
          <cell r="K320">
            <v>2369.4865900383143</v>
          </cell>
          <cell r="N320">
            <v>2724.9095785440613</v>
          </cell>
          <cell r="Q320">
            <v>2487.96091954023</v>
          </cell>
          <cell r="T320">
            <v>2606.4352490421456</v>
          </cell>
          <cell r="W320">
            <v>2606.4352490421456</v>
          </cell>
          <cell r="Z320">
            <v>2606.4352490421456</v>
          </cell>
          <cell r="AC320">
            <v>2606.4352490421456</v>
          </cell>
          <cell r="AF320">
            <v>2606.4352490421456</v>
          </cell>
          <cell r="AI320">
            <v>2487.96091954023</v>
          </cell>
          <cell r="AL320">
            <v>2606.4352490421456</v>
          </cell>
          <cell r="AO320">
            <v>2724.9095785440613</v>
          </cell>
        </row>
        <row r="321">
          <cell r="A321" t="str">
            <v>PiècesSalaires commis</v>
          </cell>
          <cell r="B321" t="str">
            <v>Salaires commis</v>
          </cell>
          <cell r="E321">
            <v>343512.12</v>
          </cell>
          <cell r="H321">
            <v>27696.147586206898</v>
          </cell>
          <cell r="K321">
            <v>26456.331034482762</v>
          </cell>
          <cell r="N321">
            <v>30175.780689655174</v>
          </cell>
          <cell r="Q321">
            <v>27696.147586206898</v>
          </cell>
          <cell r="T321">
            <v>28935.964137931038</v>
          </cell>
          <cell r="W321">
            <v>28935.964137931038</v>
          </cell>
          <cell r="Z321">
            <v>28935.964137931038</v>
          </cell>
          <cell r="AC321">
            <v>28935.964137931038</v>
          </cell>
          <cell r="AF321">
            <v>28935.964137931038</v>
          </cell>
          <cell r="AI321">
            <v>27696.147586206898</v>
          </cell>
          <cell r="AL321">
            <v>28935.964137931038</v>
          </cell>
          <cell r="AO321">
            <v>30175.780689655174</v>
          </cell>
        </row>
        <row r="322">
          <cell r="A322" t="str">
            <v>PiècesSalaires autres</v>
          </cell>
          <cell r="B322" t="str">
            <v>Salaires autres</v>
          </cell>
          <cell r="E322">
            <v>27239.999999999993</v>
          </cell>
          <cell r="H322">
            <v>2191.7241379310326</v>
          </cell>
          <cell r="K322">
            <v>2087.3563218390809</v>
          </cell>
          <cell r="N322">
            <v>2400.4597701149432</v>
          </cell>
          <cell r="Q322">
            <v>2191.7241379310326</v>
          </cell>
          <cell r="T322">
            <v>2296.0919540229879</v>
          </cell>
          <cell r="W322">
            <v>2296.0919540229879</v>
          </cell>
          <cell r="Z322">
            <v>2296.0919540229879</v>
          </cell>
          <cell r="AC322">
            <v>2296.0919540229879</v>
          </cell>
          <cell r="AF322">
            <v>2296.0919540229879</v>
          </cell>
          <cell r="AI322">
            <v>2191.7241379310326</v>
          </cell>
          <cell r="AL322">
            <v>2296.0919540229879</v>
          </cell>
          <cell r="AO322">
            <v>2400.4597701149432</v>
          </cell>
        </row>
        <row r="323">
          <cell r="A323" t="str">
            <v>PiècesSalaires spécialistes</v>
          </cell>
          <cell r="B323" t="str">
            <v>Salaires spécialistes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</row>
        <row r="327">
          <cell r="A327" t="str">
            <v>PiècesSalaires en absences</v>
          </cell>
          <cell r="B327" t="str">
            <v>Salaires en absences</v>
          </cell>
          <cell r="E327">
            <v>49560.495583987322</v>
          </cell>
          <cell r="H327">
            <v>3998.479517700915</v>
          </cell>
          <cell r="K327">
            <v>3823.0638097479891</v>
          </cell>
          <cell r="N327">
            <v>4349.3109336067691</v>
          </cell>
          <cell r="Q327">
            <v>3998.479517700915</v>
          </cell>
          <cell r="T327">
            <v>4173.8952256538423</v>
          </cell>
          <cell r="W327">
            <v>4173.8952256538423</v>
          </cell>
          <cell r="Z327">
            <v>4173.8952256538423</v>
          </cell>
          <cell r="AC327">
            <v>4173.8952256538423</v>
          </cell>
          <cell r="AF327">
            <v>4173.8952256538423</v>
          </cell>
          <cell r="AI327">
            <v>3998.479517700915</v>
          </cell>
          <cell r="AL327">
            <v>4173.8952256538423</v>
          </cell>
          <cell r="AO327">
            <v>4349.3109336067691</v>
          </cell>
        </row>
        <row r="328">
          <cell r="A328" t="str">
            <v>PiècesDéduction à la source</v>
          </cell>
          <cell r="B328" t="str">
            <v>Déduction à la source</v>
          </cell>
          <cell r="E328">
            <v>49268.012202768099</v>
          </cell>
          <cell r="H328">
            <v>3974.8823200681527</v>
          </cell>
          <cell r="K328">
            <v>3800.5018354070135</v>
          </cell>
          <cell r="N328">
            <v>4323.643289390433</v>
          </cell>
          <cell r="Q328">
            <v>3974.8823200681527</v>
          </cell>
          <cell r="T328">
            <v>4149.2628047292937</v>
          </cell>
          <cell r="W328">
            <v>4149.2628047292937</v>
          </cell>
          <cell r="Z328">
            <v>4149.2628047292937</v>
          </cell>
          <cell r="AC328">
            <v>4149.2628047292937</v>
          </cell>
          <cell r="AF328">
            <v>4149.2628047292937</v>
          </cell>
          <cell r="AI328">
            <v>3974.8823200681527</v>
          </cell>
          <cell r="AL328">
            <v>4149.2628047292937</v>
          </cell>
          <cell r="AO328">
            <v>4323.643289390433</v>
          </cell>
        </row>
        <row r="329">
          <cell r="A329" t="str">
            <v>PiècesBénéfices marginaux</v>
          </cell>
          <cell r="B329" t="str">
            <v>Bénéfices marginaux</v>
          </cell>
          <cell r="E329">
            <v>34500.321360649425</v>
          </cell>
          <cell r="H329">
            <v>2783.4432785459562</v>
          </cell>
          <cell r="K329">
            <v>2661.3319432017411</v>
          </cell>
          <cell r="N329">
            <v>3027.6659492343883</v>
          </cell>
          <cell r="Q329">
            <v>2783.4432785459562</v>
          </cell>
          <cell r="T329">
            <v>2905.5546138901727</v>
          </cell>
          <cell r="W329">
            <v>2905.5546138901727</v>
          </cell>
          <cell r="Z329">
            <v>2905.5546138901727</v>
          </cell>
          <cell r="AC329">
            <v>2905.5546138901727</v>
          </cell>
          <cell r="AF329">
            <v>2905.5546138901727</v>
          </cell>
          <cell r="AI329">
            <v>2783.4432785459562</v>
          </cell>
          <cell r="AL329">
            <v>2905.5546138901727</v>
          </cell>
          <cell r="AO329">
            <v>3027.6659492343883</v>
          </cell>
        </row>
        <row r="330">
          <cell r="A330" t="str">
            <v>PiècesCsst</v>
          </cell>
          <cell r="B330" t="str">
            <v>Csst</v>
          </cell>
          <cell r="E330">
            <v>16481.797934977691</v>
          </cell>
          <cell r="H330">
            <v>1329.7310828180273</v>
          </cell>
          <cell r="K330">
            <v>1271.3949782445432</v>
          </cell>
          <cell r="N330">
            <v>1446.4032919649965</v>
          </cell>
          <cell r="Q330">
            <v>1329.7310828180273</v>
          </cell>
          <cell r="T330">
            <v>1388.0671873915119</v>
          </cell>
          <cell r="W330">
            <v>1388.0671873915119</v>
          </cell>
          <cell r="Z330">
            <v>1388.0671873915119</v>
          </cell>
          <cell r="AC330">
            <v>1388.0671873915119</v>
          </cell>
          <cell r="AF330">
            <v>1388.0671873915119</v>
          </cell>
          <cell r="AI330">
            <v>1329.7310828180273</v>
          </cell>
          <cell r="AL330">
            <v>1388.0671873915119</v>
          </cell>
          <cell r="AO330">
            <v>1446.4032919649965</v>
          </cell>
        </row>
        <row r="331">
          <cell r="A331" t="str">
            <v>Pièces[...]</v>
          </cell>
          <cell r="B331" t="str">
            <v>[...]</v>
          </cell>
          <cell r="E331">
            <v>0</v>
          </cell>
        </row>
        <row r="332">
          <cell r="A332" t="str">
            <v>PiècesTOTAL PERSONNEL</v>
          </cell>
          <cell r="B332" t="str">
            <v>TOTAL PERSONNEL</v>
          </cell>
          <cell r="C332" t="str">
            <v>% brut</v>
          </cell>
          <cell r="D332">
            <v>0.39358413244751833</v>
          </cell>
          <cell r="E332">
            <v>551484.5470823826</v>
          </cell>
          <cell r="F332" t="str">
            <v>% brut</v>
          </cell>
          <cell r="G332">
            <v>0.44481425515430123</v>
          </cell>
          <cell r="H332">
            <v>44462.368842811215</v>
          </cell>
          <cell r="I332" t="str">
            <v>% brut</v>
          </cell>
          <cell r="J332">
            <v>0.45299419398655016</v>
          </cell>
          <cell r="K332">
            <v>42469.466512961437</v>
          </cell>
          <cell r="L332" t="str">
            <v>% brut</v>
          </cell>
          <cell r="M332">
            <v>0.48354701333656924</v>
          </cell>
          <cell r="N332">
            <v>48448.173502510777</v>
          </cell>
          <cell r="O332" t="str">
            <v>% brut</v>
          </cell>
          <cell r="P332">
            <v>0.36855523149296593</v>
          </cell>
          <cell r="Q332">
            <v>44462.368842811215</v>
          </cell>
          <cell r="R332" t="str">
            <v>% brut</v>
          </cell>
          <cell r="S332">
            <v>0.40067891439062836</v>
          </cell>
          <cell r="T332">
            <v>46455.271172660992</v>
          </cell>
          <cell r="U332" t="str">
            <v>% brut</v>
          </cell>
          <cell r="V332">
            <v>0.37731987351654089</v>
          </cell>
          <cell r="W332">
            <v>46455.271172660992</v>
          </cell>
          <cell r="X332" t="str">
            <v>% brut</v>
          </cell>
          <cell r="Y332">
            <v>0.40653967998767782</v>
          </cell>
          <cell r="Z332">
            <v>46455.271172660992</v>
          </cell>
          <cell r="AA332" t="str">
            <v>% brut</v>
          </cell>
          <cell r="AB332">
            <v>0.40011984050176491</v>
          </cell>
          <cell r="AC332">
            <v>46455.271172660992</v>
          </cell>
          <cell r="AD332" t="str">
            <v>% brut</v>
          </cell>
          <cell r="AE332">
            <v>0.42807746987465983</v>
          </cell>
          <cell r="AF332">
            <v>46455.271172660992</v>
          </cell>
          <cell r="AG332" t="str">
            <v>% brut</v>
          </cell>
          <cell r="AH332">
            <v>0.31143143778515087</v>
          </cell>
          <cell r="AI332">
            <v>44462.368842811215</v>
          </cell>
          <cell r="AJ332" t="str">
            <v>% brut</v>
          </cell>
          <cell r="AK332">
            <v>0.27874482375007104</v>
          </cell>
          <cell r="AL332">
            <v>46455.271172660992</v>
          </cell>
          <cell r="AM332" t="str">
            <v>% brut</v>
          </cell>
          <cell r="AN332">
            <v>0.48808385345443595</v>
          </cell>
          <cell r="AO332">
            <v>48448.173502510777</v>
          </cell>
        </row>
        <row r="333">
          <cell r="A333" t="str">
            <v>PiècesPublicité 2</v>
          </cell>
          <cell r="B333" t="str">
            <v>Publicité 2</v>
          </cell>
          <cell r="E333">
            <v>54468.143274999988</v>
          </cell>
          <cell r="H333">
            <v>4539.0119395833326</v>
          </cell>
          <cell r="K333">
            <v>4539.0119395833326</v>
          </cell>
          <cell r="N333">
            <v>4539.0119395833326</v>
          </cell>
          <cell r="Q333">
            <v>4539.0119395833326</v>
          </cell>
          <cell r="T333">
            <v>4539.0119395833326</v>
          </cell>
          <cell r="W333">
            <v>4539.0119395833326</v>
          </cell>
          <cell r="Z333">
            <v>4539.0119395833326</v>
          </cell>
          <cell r="AC333">
            <v>4539.0119395833326</v>
          </cell>
          <cell r="AF333">
            <v>4539.0119395833326</v>
          </cell>
          <cell r="AI333">
            <v>4539.0119395833326</v>
          </cell>
          <cell r="AL333">
            <v>4539.0119395833326</v>
          </cell>
          <cell r="AO333">
            <v>4539.0119395833326</v>
          </cell>
        </row>
        <row r="334">
          <cell r="A334" t="str">
            <v>PiècesService gratuit 2</v>
          </cell>
          <cell r="B334" t="str">
            <v>Service gratuit 2</v>
          </cell>
          <cell r="E334">
            <v>12553.468657024327</v>
          </cell>
          <cell r="H334">
            <v>731.52055966369198</v>
          </cell>
          <cell r="K334">
            <v>802.29027044560632</v>
          </cell>
          <cell r="N334">
            <v>808.41374412536095</v>
          </cell>
          <cell r="Q334">
            <v>1360.9083500541099</v>
          </cell>
          <cell r="T334">
            <v>1031.8063911006218</v>
          </cell>
          <cell r="W334">
            <v>951.22352204850517</v>
          </cell>
          <cell r="Z334">
            <v>1028.4528497157335</v>
          </cell>
          <cell r="AC334">
            <v>977.85140630831643</v>
          </cell>
          <cell r="AF334">
            <v>853.10825372958277</v>
          </cell>
          <cell r="AI334">
            <v>1239.8573810977155</v>
          </cell>
          <cell r="AL334">
            <v>1936.5921424237106</v>
          </cell>
          <cell r="AO334">
            <v>831.44378631136965</v>
          </cell>
        </row>
        <row r="335">
          <cell r="A335" t="str">
            <v>PiècesFrais véhicules de cie</v>
          </cell>
          <cell r="B335" t="str">
            <v>Frais véhicules de cie</v>
          </cell>
          <cell r="E335">
            <v>5709.9999999999991</v>
          </cell>
          <cell r="H335">
            <v>475.83333333333331</v>
          </cell>
          <cell r="K335">
            <v>475.83333333333331</v>
          </cell>
          <cell r="N335">
            <v>475.83333333333331</v>
          </cell>
          <cell r="Q335">
            <v>475.83333333333331</v>
          </cell>
          <cell r="T335">
            <v>475.83333333333331</v>
          </cell>
          <cell r="W335">
            <v>475.83333333333331</v>
          </cell>
          <cell r="Z335">
            <v>475.83333333333331</v>
          </cell>
          <cell r="AC335">
            <v>475.83333333333331</v>
          </cell>
          <cell r="AF335">
            <v>475.83333333333331</v>
          </cell>
          <cell r="AI335">
            <v>475.83333333333331</v>
          </cell>
          <cell r="AL335">
            <v>475.83333333333331</v>
          </cell>
          <cell r="AO335">
            <v>475.83333333333331</v>
          </cell>
        </row>
        <row r="336">
          <cell r="A336" t="str">
            <v>PiècesInformatique</v>
          </cell>
          <cell r="B336" t="str">
            <v>Informatique</v>
          </cell>
          <cell r="E336">
            <v>42139.885300000002</v>
          </cell>
          <cell r="H336">
            <v>3511.6571083333338</v>
          </cell>
          <cell r="K336">
            <v>3511.6571083333338</v>
          </cell>
          <cell r="N336">
            <v>3511.6571083333338</v>
          </cell>
          <cell r="Q336">
            <v>3511.6571083333338</v>
          </cell>
          <cell r="T336">
            <v>3511.6571083333338</v>
          </cell>
          <cell r="W336">
            <v>3511.6571083333338</v>
          </cell>
          <cell r="Z336">
            <v>3511.6571083333338</v>
          </cell>
          <cell r="AC336">
            <v>3511.6571083333338</v>
          </cell>
          <cell r="AF336">
            <v>3511.6571083333338</v>
          </cell>
          <cell r="AI336">
            <v>3511.6571083333338</v>
          </cell>
          <cell r="AL336">
            <v>3511.6571083333338</v>
          </cell>
          <cell r="AO336">
            <v>3511.6571083333338</v>
          </cell>
        </row>
        <row r="337">
          <cell r="A337" t="str">
            <v>PiècesFrais de déplacement</v>
          </cell>
          <cell r="B337" t="str">
            <v>Frais de déplacement</v>
          </cell>
          <cell r="E337">
            <v>9375.8254187499988</v>
          </cell>
          <cell r="H337">
            <v>781.31878489583323</v>
          </cell>
          <cell r="K337">
            <v>781.31878489583323</v>
          </cell>
          <cell r="N337">
            <v>781.31878489583323</v>
          </cell>
          <cell r="Q337">
            <v>781.31878489583323</v>
          </cell>
          <cell r="T337">
            <v>781.31878489583323</v>
          </cell>
          <cell r="W337">
            <v>781.31878489583323</v>
          </cell>
          <cell r="Z337">
            <v>781.31878489583323</v>
          </cell>
          <cell r="AC337">
            <v>781.31878489583323</v>
          </cell>
          <cell r="AF337">
            <v>781.31878489583323</v>
          </cell>
          <cell r="AI337">
            <v>781.31878489583323</v>
          </cell>
          <cell r="AL337">
            <v>781.31878489583323</v>
          </cell>
          <cell r="AO337">
            <v>781.31878489583323</v>
          </cell>
        </row>
        <row r="338">
          <cell r="A338" t="str">
            <v>PiècesServices extérieurs</v>
          </cell>
          <cell r="B338" t="str">
            <v>Services extérieurs</v>
          </cell>
          <cell r="E338">
            <v>97746.608341666652</v>
          </cell>
          <cell r="H338">
            <v>7913.064638888889</v>
          </cell>
          <cell r="K338">
            <v>7762.5204388888887</v>
          </cell>
          <cell r="N338">
            <v>8385.6881138888875</v>
          </cell>
          <cell r="Q338">
            <v>7654.3163138888885</v>
          </cell>
          <cell r="T338">
            <v>9751.044013888888</v>
          </cell>
          <cell r="W338">
            <v>8270.5249138888885</v>
          </cell>
          <cell r="Z338">
            <v>8189.0261638888878</v>
          </cell>
          <cell r="AC338">
            <v>7462.3948388888884</v>
          </cell>
          <cell r="AF338">
            <v>7752.8439388888892</v>
          </cell>
          <cell r="AI338">
            <v>8117.8709388888892</v>
          </cell>
          <cell r="AL338">
            <v>9059.7242888888886</v>
          </cell>
          <cell r="AO338">
            <v>7427.5897388888898</v>
          </cell>
        </row>
        <row r="339">
          <cell r="B339" t="str">
            <v>Fournitures d'atelier</v>
          </cell>
        </row>
        <row r="340">
          <cell r="A340" t="str">
            <v>PiècesFournitures autres</v>
          </cell>
          <cell r="B340" t="str">
            <v>Fournitures autres</v>
          </cell>
          <cell r="E340">
            <v>1487.4891764646707</v>
          </cell>
          <cell r="H340">
            <v>104.43468843875556</v>
          </cell>
          <cell r="K340">
            <v>88.052472712833207</v>
          </cell>
          <cell r="N340">
            <v>129.80487184201826</v>
          </cell>
          <cell r="Q340">
            <v>155.47524951475347</v>
          </cell>
          <cell r="T340">
            <v>161.70939187937071</v>
          </cell>
          <cell r="W340">
            <v>119.79021815603429</v>
          </cell>
          <cell r="Z340">
            <v>117.13645759980204</v>
          </cell>
          <cell r="AC340">
            <v>124.83089991785656</v>
          </cell>
          <cell r="AF340">
            <v>124.76419008019599</v>
          </cell>
          <cell r="AI340">
            <v>139.98630012215364</v>
          </cell>
          <cell r="AL340">
            <v>141.17976072494864</v>
          </cell>
          <cell r="AO340">
            <v>80.324675475948425</v>
          </cell>
        </row>
        <row r="341">
          <cell r="A341" t="str">
            <v>PiècesUniformes</v>
          </cell>
          <cell r="B341" t="str">
            <v>Uniformes</v>
          </cell>
          <cell r="E341">
            <v>768.12245104065926</v>
          </cell>
          <cell r="H341">
            <v>53.928882392207292</v>
          </cell>
          <cell r="K341">
            <v>45.469292974030999</v>
          </cell>
          <cell r="N341">
            <v>67.029755842178261</v>
          </cell>
          <cell r="Q341">
            <v>80.285646190224185</v>
          </cell>
          <cell r="T341">
            <v>83.504886228412076</v>
          </cell>
          <cell r="W341">
            <v>61.858302861334295</v>
          </cell>
          <cell r="Z341">
            <v>60.487931167085833</v>
          </cell>
          <cell r="AC341">
            <v>64.46125345154239</v>
          </cell>
          <cell r="AF341">
            <v>64.42680525197018</v>
          </cell>
          <cell r="AI341">
            <v>72.287329321952768</v>
          </cell>
          <cell r="AL341">
            <v>72.903618769932578</v>
          </cell>
          <cell r="AO341">
            <v>41.478746589788344</v>
          </cell>
        </row>
        <row r="342">
          <cell r="A342" t="str">
            <v>PiècesPapeterie</v>
          </cell>
          <cell r="B342" t="str">
            <v>Papeterie</v>
          </cell>
          <cell r="E342">
            <v>7157.3534549999995</v>
          </cell>
          <cell r="H342">
            <v>596.44612124999981</v>
          </cell>
          <cell r="K342">
            <v>596.44612124999981</v>
          </cell>
          <cell r="N342">
            <v>596.44612124999981</v>
          </cell>
          <cell r="Q342">
            <v>596.44612124999981</v>
          </cell>
          <cell r="T342">
            <v>596.44612124999981</v>
          </cell>
          <cell r="W342">
            <v>596.44612124999981</v>
          </cell>
          <cell r="Z342">
            <v>596.44612124999981</v>
          </cell>
          <cell r="AC342">
            <v>596.44612124999981</v>
          </cell>
          <cell r="AF342">
            <v>596.44612124999981</v>
          </cell>
          <cell r="AI342">
            <v>596.44612124999981</v>
          </cell>
          <cell r="AL342">
            <v>596.44612124999981</v>
          </cell>
          <cell r="AO342">
            <v>596.44612124999981</v>
          </cell>
        </row>
        <row r="343">
          <cell r="A343" t="str">
            <v>PiècesTéléphone</v>
          </cell>
          <cell r="B343" t="str">
            <v>Téléphone</v>
          </cell>
          <cell r="E343">
            <v>2425.5023452083333</v>
          </cell>
          <cell r="H343">
            <v>202.12519543402777</v>
          </cell>
          <cell r="K343">
            <v>202.12519543402777</v>
          </cell>
          <cell r="N343">
            <v>202.12519543402777</v>
          </cell>
          <cell r="Q343">
            <v>202.12519543402777</v>
          </cell>
          <cell r="T343">
            <v>202.12519543402777</v>
          </cell>
          <cell r="W343">
            <v>202.12519543402777</v>
          </cell>
          <cell r="Z343">
            <v>202.12519543402777</v>
          </cell>
          <cell r="AC343">
            <v>202.12519543402777</v>
          </cell>
          <cell r="AF343">
            <v>202.12519543402777</v>
          </cell>
          <cell r="AI343">
            <v>202.12519543402777</v>
          </cell>
          <cell r="AL343">
            <v>202.12519543402777</v>
          </cell>
          <cell r="AO343">
            <v>202.12519543402777</v>
          </cell>
        </row>
        <row r="344">
          <cell r="A344" t="str">
            <v>PiècesFrais postaux</v>
          </cell>
          <cell r="B344" t="str">
            <v>Frais postaux</v>
          </cell>
          <cell r="E344">
            <v>1160.1027547916665</v>
          </cell>
          <cell r="H344">
            <v>96.675229565972202</v>
          </cell>
          <cell r="K344">
            <v>96.675229565972202</v>
          </cell>
          <cell r="N344">
            <v>96.675229565972202</v>
          </cell>
          <cell r="Q344">
            <v>96.675229565972202</v>
          </cell>
          <cell r="T344">
            <v>96.675229565972202</v>
          </cell>
          <cell r="W344">
            <v>96.675229565972202</v>
          </cell>
          <cell r="Z344">
            <v>96.675229565972202</v>
          </cell>
          <cell r="AC344">
            <v>96.675229565972202</v>
          </cell>
          <cell r="AF344">
            <v>96.675229565972202</v>
          </cell>
          <cell r="AI344">
            <v>96.675229565972202</v>
          </cell>
          <cell r="AL344">
            <v>96.675229565972202</v>
          </cell>
          <cell r="AO344">
            <v>96.675229565972202</v>
          </cell>
        </row>
        <row r="345">
          <cell r="A345" t="str">
            <v>PiècesDivers</v>
          </cell>
          <cell r="B345" t="str">
            <v>Divers</v>
          </cell>
          <cell r="E345">
            <v>4407.9596535416667</v>
          </cell>
          <cell r="H345">
            <v>367.32997112847221</v>
          </cell>
          <cell r="K345">
            <v>367.32997112847221</v>
          </cell>
          <cell r="N345">
            <v>367.32997112847221</v>
          </cell>
          <cell r="Q345">
            <v>367.32997112847221</v>
          </cell>
          <cell r="T345">
            <v>367.32997112847221</v>
          </cell>
          <cell r="W345">
            <v>367.32997112847221</v>
          </cell>
          <cell r="Z345">
            <v>367.32997112847221</v>
          </cell>
          <cell r="AC345">
            <v>367.32997112847221</v>
          </cell>
          <cell r="AF345">
            <v>367.32997112847221</v>
          </cell>
          <cell r="AI345">
            <v>367.32997112847221</v>
          </cell>
          <cell r="AL345">
            <v>367.32997112847221</v>
          </cell>
          <cell r="AO345">
            <v>367.32997112847221</v>
          </cell>
        </row>
        <row r="346">
          <cell r="A346" t="str">
            <v>PiècesFormation</v>
          </cell>
          <cell r="B346" t="str">
            <v>Formation</v>
          </cell>
          <cell r="E346">
            <v>6345.0251873978741</v>
          </cell>
          <cell r="H346">
            <v>528.75209894982299</v>
          </cell>
          <cell r="K346">
            <v>528.75209894982299</v>
          </cell>
          <cell r="N346">
            <v>528.75209894982299</v>
          </cell>
          <cell r="Q346">
            <v>528.75209894982299</v>
          </cell>
          <cell r="T346">
            <v>528.75209894982299</v>
          </cell>
          <cell r="W346">
            <v>528.75209894982299</v>
          </cell>
          <cell r="Z346">
            <v>528.75209894982299</v>
          </cell>
          <cell r="AC346">
            <v>528.75209894982299</v>
          </cell>
          <cell r="AF346">
            <v>528.75209894982299</v>
          </cell>
          <cell r="AI346">
            <v>528.75209894982299</v>
          </cell>
          <cell r="AL346">
            <v>528.75209894982299</v>
          </cell>
          <cell r="AO346">
            <v>528.75209894982299</v>
          </cell>
        </row>
        <row r="347">
          <cell r="A347" t="str">
            <v>PiècesFrais bancaires</v>
          </cell>
          <cell r="B347" t="str">
            <v>Frais bancaires</v>
          </cell>
          <cell r="E347">
            <v>14693.814835970476</v>
          </cell>
          <cell r="H347">
            <v>884.29543468173085</v>
          </cell>
          <cell r="K347">
            <v>752.54405599590268</v>
          </cell>
          <cell r="N347">
            <v>882.29355146060448</v>
          </cell>
          <cell r="Q347">
            <v>1764.6901406539814</v>
          </cell>
          <cell r="T347">
            <v>1611.172541858266</v>
          </cell>
          <cell r="W347">
            <v>1039.7349284273771</v>
          </cell>
          <cell r="Z347">
            <v>975.99591666485287</v>
          </cell>
          <cell r="AC347">
            <v>1083.3535723495838</v>
          </cell>
          <cell r="AF347">
            <v>802.38576775839351</v>
          </cell>
          <cell r="AI347">
            <v>1569.1045802921067</v>
          </cell>
          <cell r="AL347">
            <v>2317.1517198097408</v>
          </cell>
          <cell r="AO347">
            <v>1011.0926260179358</v>
          </cell>
        </row>
        <row r="348">
          <cell r="A348" t="str">
            <v>Pièces[...]</v>
          </cell>
          <cell r="B348" t="str">
            <v>[...]</v>
          </cell>
          <cell r="E348">
            <v>0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PiècesTOTAL SEMI-FIXES</v>
          </cell>
          <cell r="B351" t="str">
            <v>TOTAL SEMI-FIXES</v>
          </cell>
          <cell r="C351" t="str">
            <v>% brut</v>
          </cell>
          <cell r="D351">
            <v>0.18587062289109543</v>
          </cell>
          <cell r="E351">
            <v>260439.30085185633</v>
          </cell>
          <cell r="F351" t="str">
            <v>% brut</v>
          </cell>
          <cell r="G351">
            <v>0.20795303082375691</v>
          </cell>
          <cell r="H351">
            <v>20786.393986539399</v>
          </cell>
          <cell r="I351" t="str">
            <v>% brut</v>
          </cell>
          <cell r="J351">
            <v>0.2191937730944033</v>
          </cell>
          <cell r="K351">
            <v>20550.026313491388</v>
          </cell>
          <cell r="L351" t="str">
            <v>% brut</v>
          </cell>
          <cell r="M351">
            <v>0.2133114559859064</v>
          </cell>
          <cell r="N351">
            <v>21372.37981963317</v>
          </cell>
          <cell r="O351" t="str">
            <v>% brut</v>
          </cell>
          <cell r="P351">
            <v>0.18331309908488783</v>
          </cell>
          <cell r="Q351">
            <v>22114.825482776083</v>
          </cell>
          <cell r="R351" t="str">
            <v>% brut</v>
          </cell>
          <cell r="S351">
            <v>0.20474471239593234</v>
          </cell>
          <cell r="T351">
            <v>23738.387007429683</v>
          </cell>
          <cell r="U351" t="str">
            <v>% brut</v>
          </cell>
          <cell r="V351">
            <v>0.17497112359892458</v>
          </cell>
          <cell r="W351">
            <v>21542.281667856267</v>
          </cell>
          <cell r="X351" t="str">
            <v>% brut</v>
          </cell>
          <cell r="Y351">
            <v>0.18789058762658867</v>
          </cell>
          <cell r="Z351">
            <v>21470.249101510482</v>
          </cell>
          <cell r="AA351" t="str">
            <v>% brut</v>
          </cell>
          <cell r="AB351">
            <v>0.17925437989442289</v>
          </cell>
          <cell r="AC351">
            <v>20812.041753390316</v>
          </cell>
          <cell r="AD351" t="str">
            <v>% brut</v>
          </cell>
          <cell r="AE351">
            <v>0.19071639547901531</v>
          </cell>
          <cell r="AF351">
            <v>20696.678738183156</v>
          </cell>
          <cell r="AG351" t="str">
            <v>% brut</v>
          </cell>
          <cell r="AH351">
            <v>0.15576525312060521</v>
          </cell>
          <cell r="AI351">
            <v>22238.25631219694</v>
          </cell>
          <cell r="AJ351" t="str">
            <v>% brut</v>
          </cell>
          <cell r="AK351">
            <v>0.1477672036731775</v>
          </cell>
          <cell r="AL351">
            <v>24626.70131309134</v>
          </cell>
          <cell r="AM351" t="str">
            <v>% brut</v>
          </cell>
          <cell r="AN351">
            <v>0.20643430392439305</v>
          </cell>
          <cell r="AO351">
            <v>20491.079355758062</v>
          </cell>
        </row>
        <row r="352">
          <cell r="A352" t="str">
            <v>Pièces</v>
          </cell>
        </row>
        <row r="353">
          <cell r="A353" t="str">
            <v>PiècesTOTAL DES DÉPENSES</v>
          </cell>
          <cell r="B353" t="str">
            <v>TOTAL DES DÉPENSES</v>
          </cell>
          <cell r="C353" t="str">
            <v>% brut</v>
          </cell>
          <cell r="D353">
            <v>0.57945475533861379</v>
          </cell>
          <cell r="E353">
            <v>811923.84793423896</v>
          </cell>
          <cell r="F353" t="str">
            <v>% brut</v>
          </cell>
          <cell r="G353">
            <v>0.65276728597805811</v>
          </cell>
          <cell r="H353">
            <v>65248.762829350613</v>
          </cell>
          <cell r="I353" t="str">
            <v>% brut</v>
          </cell>
          <cell r="J353">
            <v>0.67218796708095352</v>
          </cell>
          <cell r="K353">
            <v>63019.492826452828</v>
          </cell>
          <cell r="L353" t="str">
            <v>% brut</v>
          </cell>
          <cell r="M353">
            <v>0.69685846932247553</v>
          </cell>
          <cell r="N353">
            <v>69820.55332214394</v>
          </cell>
          <cell r="O353" t="str">
            <v>% brut</v>
          </cell>
          <cell r="P353">
            <v>0.55186833057785378</v>
          </cell>
          <cell r="Q353">
            <v>66577.194325587305</v>
          </cell>
          <cell r="R353" t="str">
            <v>% brut</v>
          </cell>
          <cell r="S353">
            <v>0.6054236267865607</v>
          </cell>
          <cell r="T353">
            <v>70193.658180090672</v>
          </cell>
          <cell r="U353" t="str">
            <v>% brut</v>
          </cell>
          <cell r="V353">
            <v>0.55229099711546548</v>
          </cell>
          <cell r="W353">
            <v>67997.552840517252</v>
          </cell>
          <cell r="X353" t="str">
            <v>% brut</v>
          </cell>
          <cell r="Y353">
            <v>0.59443026761426643</v>
          </cell>
          <cell r="Z353">
            <v>67925.520274171475</v>
          </cell>
          <cell r="AA353" t="str">
            <v>% brut</v>
          </cell>
          <cell r="AB353">
            <v>0.5793742203961878</v>
          </cell>
          <cell r="AC353">
            <v>67267.312926051309</v>
          </cell>
          <cell r="AD353" t="str">
            <v>% brut</v>
          </cell>
          <cell r="AE353">
            <v>0.6187938653536752</v>
          </cell>
          <cell r="AF353">
            <v>67151.949910844152</v>
          </cell>
          <cell r="AG353" t="str">
            <v>% brut</v>
          </cell>
          <cell r="AH353">
            <v>0.46719669090575605</v>
          </cell>
          <cell r="AI353">
            <v>66700.625155008151</v>
          </cell>
          <cell r="AJ353" t="str">
            <v>% brut</v>
          </cell>
          <cell r="AK353">
            <v>0.42651202742324862</v>
          </cell>
          <cell r="AL353">
            <v>71081.97248575234</v>
          </cell>
          <cell r="AM353" t="str">
            <v>% brut</v>
          </cell>
          <cell r="AN353">
            <v>0.69451815737882894</v>
          </cell>
          <cell r="AO353">
            <v>68939.252858268839</v>
          </cell>
        </row>
        <row r="354">
          <cell r="A354" t="str">
            <v>Pièces</v>
          </cell>
        </row>
        <row r="355">
          <cell r="A355" t="str">
            <v>PiècesPROFIT DÉPARTEMENTAL</v>
          </cell>
          <cell r="B355" t="str">
            <v>PROFIT DÉPARTEMENTAL</v>
          </cell>
          <cell r="E355">
            <v>589262.07806576102</v>
          </cell>
          <cell r="H355">
            <v>34708.395304863632</v>
          </cell>
          <cell r="K355">
            <v>30733.290491168227</v>
          </cell>
          <cell r="N355">
            <v>30372.751912457505</v>
          </cell>
          <cell r="Q355">
            <v>54062.441320609738</v>
          </cell>
          <cell r="T355">
            <v>45747.734052421467</v>
          </cell>
          <cell r="W355">
            <v>55121.515179165232</v>
          </cell>
          <cell r="Z355">
            <v>46344.435303274367</v>
          </cell>
          <cell r="AC355">
            <v>48836.080283354109</v>
          </cell>
          <cell r="AF355">
            <v>41368.76057238449</v>
          </cell>
          <cell r="AI355">
            <v>76067.135091100165</v>
          </cell>
          <cell r="AL355">
            <v>95576.803622369567</v>
          </cell>
          <cell r="AO355">
            <v>30322.734932592502</v>
          </cell>
        </row>
        <row r="358">
          <cell r="B358" t="str">
            <v>Budget 2023</v>
          </cell>
          <cell r="C358" t="str">
            <v>Boutique</v>
          </cell>
        </row>
        <row r="360">
          <cell r="B360" t="str">
            <v>Mois</v>
          </cell>
          <cell r="C360">
            <v>2021</v>
          </cell>
          <cell r="F360" t="str">
            <v>Janvier</v>
          </cell>
          <cell r="I360" t="str">
            <v>Février</v>
          </cell>
          <cell r="L360" t="str">
            <v>Mars</v>
          </cell>
          <cell r="O360" t="str">
            <v>Avril</v>
          </cell>
          <cell r="R360" t="str">
            <v>Mai</v>
          </cell>
          <cell r="U360" t="str">
            <v>Juin</v>
          </cell>
          <cell r="X360" t="str">
            <v>Juillet</v>
          </cell>
          <cell r="AA360" t="str">
            <v>Août</v>
          </cell>
          <cell r="AD360" t="str">
            <v>Septembre</v>
          </cell>
          <cell r="AG360" t="str">
            <v>Octobre</v>
          </cell>
          <cell r="AJ360" t="str">
            <v>Novembre</v>
          </cell>
          <cell r="AM360" t="str">
            <v>Décembre</v>
          </cell>
        </row>
        <row r="361">
          <cell r="C361" t="str">
            <v>$VENTES</v>
          </cell>
          <cell r="D361" t="str">
            <v>% P. BRUT</v>
          </cell>
          <cell r="E361" t="str">
            <v>$PROFITS</v>
          </cell>
          <cell r="F361" t="str">
            <v>$VENTES</v>
          </cell>
          <cell r="G361" t="str">
            <v>% P. BRUT</v>
          </cell>
          <cell r="H361" t="str">
            <v>$PROFITS</v>
          </cell>
          <cell r="I361" t="str">
            <v>$VENTES</v>
          </cell>
          <cell r="J361" t="str">
            <v>% P. BRUT</v>
          </cell>
          <cell r="K361" t="str">
            <v>$PROFITS</v>
          </cell>
          <cell r="L361" t="str">
            <v>$VENTES</v>
          </cell>
          <cell r="M361" t="str">
            <v>% P. BRUT</v>
          </cell>
          <cell r="N361" t="str">
            <v>$PROFITS</v>
          </cell>
          <cell r="O361" t="str">
            <v>$VENTES</v>
          </cell>
          <cell r="P361" t="str">
            <v>% P. BRUT</v>
          </cell>
          <cell r="Q361" t="str">
            <v>$PROFITS</v>
          </cell>
          <cell r="R361" t="str">
            <v>$VENTES</v>
          </cell>
          <cell r="S361" t="str">
            <v>% P. BRUT</v>
          </cell>
          <cell r="T361" t="str">
            <v>$PROFITS</v>
          </cell>
          <cell r="U361" t="str">
            <v>$VENTES</v>
          </cell>
          <cell r="V361" t="str">
            <v>% P. BRUT</v>
          </cell>
          <cell r="W361" t="str">
            <v>$PROFITS</v>
          </cell>
          <cell r="X361" t="str">
            <v>$VENTES</v>
          </cell>
          <cell r="Y361" t="str">
            <v>% P. BRUT</v>
          </cell>
          <cell r="Z361" t="str">
            <v>$PROFITS</v>
          </cell>
          <cell r="AA361" t="str">
            <v>$VENTES</v>
          </cell>
          <cell r="AB361" t="str">
            <v>% P. BRUT</v>
          </cell>
          <cell r="AC361" t="str">
            <v>$PROFITS</v>
          </cell>
          <cell r="AD361" t="str">
            <v>$VENTES</v>
          </cell>
          <cell r="AE361" t="str">
            <v>% P. BRUT</v>
          </cell>
          <cell r="AF361" t="str">
            <v>$PROFITS</v>
          </cell>
          <cell r="AG361" t="str">
            <v>$VENTES</v>
          </cell>
          <cell r="AH361" t="str">
            <v>% P. BRUT</v>
          </cell>
          <cell r="AI361" t="str">
            <v>$PROFITS</v>
          </cell>
          <cell r="AJ361" t="str">
            <v>$VENTES</v>
          </cell>
          <cell r="AK361" t="str">
            <v>% P. BRUT</v>
          </cell>
          <cell r="AL361" t="str">
            <v>$PROFITS</v>
          </cell>
          <cell r="AM361" t="str">
            <v>$VENTES</v>
          </cell>
          <cell r="AN361" t="str">
            <v>% P. BRUT</v>
          </cell>
          <cell r="AO361" t="str">
            <v>$PROFITS</v>
          </cell>
        </row>
        <row r="362">
          <cell r="A362" t="str">
            <v>BoutiqueBoutique</v>
          </cell>
          <cell r="B362" t="str">
            <v>Boutique</v>
          </cell>
          <cell r="C362">
            <v>0</v>
          </cell>
          <cell r="D362">
            <v>0</v>
          </cell>
          <cell r="E362">
            <v>0</v>
          </cell>
          <cell r="G362">
            <v>0</v>
          </cell>
          <cell r="J362">
            <v>0</v>
          </cell>
          <cell r="M362">
            <v>0</v>
          </cell>
          <cell r="P362">
            <v>0</v>
          </cell>
          <cell r="S362">
            <v>0</v>
          </cell>
          <cell r="V362">
            <v>0</v>
          </cell>
          <cell r="Y362">
            <v>0</v>
          </cell>
          <cell r="AB362">
            <v>0</v>
          </cell>
          <cell r="AE362">
            <v>0</v>
          </cell>
          <cell r="AH362">
            <v>0</v>
          </cell>
          <cell r="AK362">
            <v>0</v>
          </cell>
          <cell r="AN362">
            <v>0</v>
          </cell>
        </row>
        <row r="363">
          <cell r="A363" t="str">
            <v>Boutique</v>
          </cell>
        </row>
        <row r="364">
          <cell r="A364" t="str">
            <v>BoutiqueTotal Dépt. Boutique</v>
          </cell>
          <cell r="B364" t="str">
            <v>Total Dépt. Boutique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365" t="str">
            <v>Boutique</v>
          </cell>
        </row>
        <row r="366">
          <cell r="A366" t="str">
            <v>BoutiqueDEPENSES</v>
          </cell>
          <cell r="B366" t="str">
            <v>DEPENSES</v>
          </cell>
        </row>
        <row r="367">
          <cell r="A367" t="str">
            <v>BoutiqueSalaires cadres</v>
          </cell>
          <cell r="B367" t="str">
            <v>Salaires cadres</v>
          </cell>
          <cell r="E367">
            <v>0</v>
          </cell>
        </row>
        <row r="368">
          <cell r="A368" t="str">
            <v>BoutiqueSalaires commis</v>
          </cell>
          <cell r="B368" t="str">
            <v>Salaires commis</v>
          </cell>
          <cell r="E368">
            <v>0</v>
          </cell>
        </row>
        <row r="369">
          <cell r="A369" t="str">
            <v>BoutiqueSalaires autres</v>
          </cell>
          <cell r="B369" t="str">
            <v>Salaires autres</v>
          </cell>
          <cell r="E369">
            <v>0</v>
          </cell>
        </row>
        <row r="370">
          <cell r="A370" t="str">
            <v>BoutiqueSalaires spécialistes</v>
          </cell>
          <cell r="B370" t="str">
            <v>Salaires spécialistes</v>
          </cell>
          <cell r="E370">
            <v>0</v>
          </cell>
        </row>
        <row r="371">
          <cell r="A371" t="str">
            <v>Boutique[...]</v>
          </cell>
          <cell r="B371" t="str">
            <v>[...]</v>
          </cell>
          <cell r="E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</row>
        <row r="374">
          <cell r="A374" t="str">
            <v>BoutiqueSalaires en absences</v>
          </cell>
          <cell r="B374" t="str">
            <v>Salaires en absences</v>
          </cell>
          <cell r="E374">
            <v>0</v>
          </cell>
        </row>
        <row r="375">
          <cell r="A375" t="str">
            <v>BoutiqueDéduction à la source</v>
          </cell>
          <cell r="B375" t="str">
            <v>Déduction à la source</v>
          </cell>
          <cell r="E375">
            <v>0</v>
          </cell>
        </row>
        <row r="376">
          <cell r="A376" t="str">
            <v>BoutiqueBénéfices marginaux</v>
          </cell>
          <cell r="B376" t="str">
            <v>Bénéfices marginaux</v>
          </cell>
          <cell r="E376">
            <v>0</v>
          </cell>
        </row>
        <row r="377">
          <cell r="A377" t="str">
            <v>BoutiqueCsst</v>
          </cell>
          <cell r="B377" t="str">
            <v>Csst</v>
          </cell>
          <cell r="E377">
            <v>0</v>
          </cell>
        </row>
        <row r="378">
          <cell r="A378" t="str">
            <v>Boutique[...]</v>
          </cell>
          <cell r="B378" t="str">
            <v>[...]</v>
          </cell>
          <cell r="E378">
            <v>0</v>
          </cell>
        </row>
        <row r="379">
          <cell r="A379" t="str">
            <v>BoutiqueTOTAL PERSONNEL</v>
          </cell>
          <cell r="B379" t="str">
            <v>TOTAL PERSONNEL</v>
          </cell>
          <cell r="C379" t="str">
            <v>% brut</v>
          </cell>
          <cell r="D379">
            <v>0</v>
          </cell>
          <cell r="E379">
            <v>0</v>
          </cell>
          <cell r="F379" t="str">
            <v>% brut</v>
          </cell>
          <cell r="G379">
            <v>0</v>
          </cell>
          <cell r="H379">
            <v>0</v>
          </cell>
          <cell r="I379" t="str">
            <v>% brut</v>
          </cell>
          <cell r="J379">
            <v>0</v>
          </cell>
          <cell r="K379">
            <v>0</v>
          </cell>
          <cell r="L379" t="str">
            <v>% brut</v>
          </cell>
          <cell r="M379">
            <v>0</v>
          </cell>
          <cell r="N379">
            <v>0</v>
          </cell>
          <cell r="O379" t="str">
            <v>% brut</v>
          </cell>
          <cell r="P379">
            <v>0</v>
          </cell>
          <cell r="Q379">
            <v>0</v>
          </cell>
          <cell r="R379" t="str">
            <v>% brut</v>
          </cell>
          <cell r="S379">
            <v>0</v>
          </cell>
          <cell r="T379">
            <v>0</v>
          </cell>
          <cell r="U379" t="str">
            <v>% brut</v>
          </cell>
          <cell r="V379">
            <v>0</v>
          </cell>
          <cell r="W379">
            <v>0</v>
          </cell>
          <cell r="X379" t="str">
            <v>% brut</v>
          </cell>
          <cell r="Y379">
            <v>0</v>
          </cell>
          <cell r="Z379">
            <v>0</v>
          </cell>
          <cell r="AA379" t="str">
            <v>% brut</v>
          </cell>
          <cell r="AB379">
            <v>0</v>
          </cell>
          <cell r="AC379">
            <v>0</v>
          </cell>
          <cell r="AD379" t="str">
            <v>% brut</v>
          </cell>
          <cell r="AE379">
            <v>0</v>
          </cell>
          <cell r="AF379">
            <v>0</v>
          </cell>
          <cell r="AG379" t="str">
            <v>% brut</v>
          </cell>
          <cell r="AH379">
            <v>0</v>
          </cell>
          <cell r="AI379">
            <v>0</v>
          </cell>
          <cell r="AJ379" t="str">
            <v>% brut</v>
          </cell>
          <cell r="AK379">
            <v>0</v>
          </cell>
          <cell r="AL379">
            <v>0</v>
          </cell>
          <cell r="AM379" t="str">
            <v>% brut</v>
          </cell>
          <cell r="AN379">
            <v>0</v>
          </cell>
          <cell r="AO379">
            <v>0</v>
          </cell>
        </row>
        <row r="380">
          <cell r="A380" t="str">
            <v>BoutiquePublicité 2</v>
          </cell>
          <cell r="B380" t="str">
            <v>Publicité 2</v>
          </cell>
          <cell r="E380">
            <v>0</v>
          </cell>
        </row>
        <row r="381">
          <cell r="A381" t="str">
            <v>BoutiqueService gratuit 2</v>
          </cell>
          <cell r="B381" t="str">
            <v>Service gratuit 2</v>
          </cell>
          <cell r="E381">
            <v>0</v>
          </cell>
        </row>
        <row r="382">
          <cell r="A382" t="str">
            <v>BoutiqueFrais véhicules de cie</v>
          </cell>
          <cell r="B382" t="str">
            <v>Frais véhicules de cie</v>
          </cell>
          <cell r="E382">
            <v>0</v>
          </cell>
        </row>
        <row r="383">
          <cell r="A383" t="str">
            <v>BoutiqueInformatique</v>
          </cell>
          <cell r="B383" t="str">
            <v>Informatique</v>
          </cell>
          <cell r="E383">
            <v>0</v>
          </cell>
        </row>
        <row r="384">
          <cell r="A384" t="str">
            <v>BoutiqueFrais de déplacement</v>
          </cell>
          <cell r="B384" t="str">
            <v>Frais de déplacement</v>
          </cell>
          <cell r="E384">
            <v>0</v>
          </cell>
        </row>
        <row r="385">
          <cell r="A385" t="str">
            <v>BoutiqueServices extérieurs</v>
          </cell>
          <cell r="B385" t="str">
            <v>Services extérieurs</v>
          </cell>
          <cell r="E385">
            <v>0</v>
          </cell>
        </row>
        <row r="386">
          <cell r="A386" t="str">
            <v>BoutiqueFournitures autres</v>
          </cell>
          <cell r="B386" t="str">
            <v>Fournitures autres</v>
          </cell>
          <cell r="E386">
            <v>0</v>
          </cell>
        </row>
        <row r="387">
          <cell r="A387" t="str">
            <v>BoutiqueUniformes</v>
          </cell>
          <cell r="B387" t="str">
            <v>Uniformes</v>
          </cell>
          <cell r="E387">
            <v>0</v>
          </cell>
        </row>
        <row r="388">
          <cell r="A388" t="str">
            <v>BoutiquePapeterie</v>
          </cell>
          <cell r="B388" t="str">
            <v>Papeterie</v>
          </cell>
          <cell r="E388">
            <v>0</v>
          </cell>
        </row>
        <row r="389">
          <cell r="A389" t="str">
            <v>BoutiqueTéléphone</v>
          </cell>
          <cell r="B389" t="str">
            <v>Téléphone</v>
          </cell>
          <cell r="E389">
            <v>0</v>
          </cell>
        </row>
        <row r="390">
          <cell r="A390" t="str">
            <v>BoutiqueFrais postaux</v>
          </cell>
          <cell r="B390" t="str">
            <v>Frais postaux</v>
          </cell>
          <cell r="E390">
            <v>0</v>
          </cell>
        </row>
        <row r="391">
          <cell r="A391" t="str">
            <v>BoutiqueDivers</v>
          </cell>
          <cell r="B391" t="str">
            <v>Divers</v>
          </cell>
          <cell r="E391">
            <v>0</v>
          </cell>
        </row>
        <row r="392">
          <cell r="A392" t="str">
            <v>BoutiqueFormation</v>
          </cell>
          <cell r="B392" t="str">
            <v>Formation</v>
          </cell>
          <cell r="E392">
            <v>0</v>
          </cell>
        </row>
        <row r="393">
          <cell r="A393" t="str">
            <v>BoutiqueFrais bancaires</v>
          </cell>
          <cell r="B393" t="str">
            <v>Frais bancaires</v>
          </cell>
          <cell r="E393">
            <v>0</v>
          </cell>
        </row>
        <row r="394">
          <cell r="A394" t="str">
            <v>Boutique[...]</v>
          </cell>
          <cell r="B394" t="str">
            <v>[...]</v>
          </cell>
          <cell r="E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BoutiqueTOTAL SEMI-FIXES</v>
          </cell>
          <cell r="B397" t="str">
            <v>TOTAL SEMI-FIXES</v>
          </cell>
          <cell r="C397" t="str">
            <v>% brut</v>
          </cell>
          <cell r="D397">
            <v>0</v>
          </cell>
          <cell r="E397">
            <v>0</v>
          </cell>
          <cell r="F397" t="str">
            <v>% brut</v>
          </cell>
          <cell r="G397">
            <v>0</v>
          </cell>
          <cell r="H397">
            <v>0</v>
          </cell>
          <cell r="I397" t="str">
            <v>% brut</v>
          </cell>
          <cell r="J397">
            <v>0</v>
          </cell>
          <cell r="K397">
            <v>0</v>
          </cell>
          <cell r="L397" t="str">
            <v>% brut</v>
          </cell>
          <cell r="M397">
            <v>0</v>
          </cell>
          <cell r="N397">
            <v>0</v>
          </cell>
          <cell r="O397" t="str">
            <v>% brut</v>
          </cell>
          <cell r="P397">
            <v>0</v>
          </cell>
          <cell r="Q397">
            <v>0</v>
          </cell>
          <cell r="R397" t="str">
            <v>% brut</v>
          </cell>
          <cell r="S397">
            <v>0</v>
          </cell>
          <cell r="T397">
            <v>0</v>
          </cell>
          <cell r="U397" t="str">
            <v>% brut</v>
          </cell>
          <cell r="V397">
            <v>0</v>
          </cell>
          <cell r="W397">
            <v>0</v>
          </cell>
          <cell r="X397" t="str">
            <v>% brut</v>
          </cell>
          <cell r="Y397">
            <v>0</v>
          </cell>
          <cell r="Z397">
            <v>0</v>
          </cell>
          <cell r="AA397" t="str">
            <v>% brut</v>
          </cell>
          <cell r="AB397">
            <v>0</v>
          </cell>
          <cell r="AC397">
            <v>0</v>
          </cell>
          <cell r="AD397" t="str">
            <v>% brut</v>
          </cell>
          <cell r="AE397">
            <v>0</v>
          </cell>
          <cell r="AF397">
            <v>0</v>
          </cell>
          <cell r="AG397" t="str">
            <v>% brut</v>
          </cell>
          <cell r="AH397">
            <v>0</v>
          </cell>
          <cell r="AI397">
            <v>0</v>
          </cell>
          <cell r="AJ397" t="str">
            <v>% brut</v>
          </cell>
          <cell r="AK397">
            <v>0</v>
          </cell>
          <cell r="AL397">
            <v>0</v>
          </cell>
          <cell r="AM397" t="str">
            <v>% brut</v>
          </cell>
          <cell r="AN397">
            <v>0</v>
          </cell>
          <cell r="AO397">
            <v>0</v>
          </cell>
        </row>
        <row r="398">
          <cell r="A398" t="str">
            <v>Boutique</v>
          </cell>
        </row>
        <row r="399">
          <cell r="A399" t="str">
            <v>BoutiqueTOTAL DES DÉPENSES</v>
          </cell>
          <cell r="B399" t="str">
            <v>TOTAL DES DÉPENSES</v>
          </cell>
          <cell r="C399" t="str">
            <v>% brut</v>
          </cell>
          <cell r="D399">
            <v>0</v>
          </cell>
          <cell r="E399">
            <v>0</v>
          </cell>
          <cell r="F399" t="str">
            <v>% brut</v>
          </cell>
          <cell r="G399">
            <v>0</v>
          </cell>
          <cell r="H399">
            <v>0</v>
          </cell>
          <cell r="I399" t="str">
            <v>% brut</v>
          </cell>
          <cell r="J399">
            <v>0</v>
          </cell>
          <cell r="K399">
            <v>0</v>
          </cell>
          <cell r="L399" t="str">
            <v>% brut</v>
          </cell>
          <cell r="M399">
            <v>0</v>
          </cell>
          <cell r="N399">
            <v>0</v>
          </cell>
          <cell r="O399" t="str">
            <v>% brut</v>
          </cell>
          <cell r="P399">
            <v>0</v>
          </cell>
          <cell r="Q399">
            <v>0</v>
          </cell>
          <cell r="R399" t="str">
            <v>% brut</v>
          </cell>
          <cell r="S399">
            <v>0</v>
          </cell>
          <cell r="T399">
            <v>0</v>
          </cell>
          <cell r="U399" t="str">
            <v>% brut</v>
          </cell>
          <cell r="V399">
            <v>0</v>
          </cell>
          <cell r="W399">
            <v>0</v>
          </cell>
          <cell r="X399" t="str">
            <v>% brut</v>
          </cell>
          <cell r="Y399">
            <v>0</v>
          </cell>
          <cell r="Z399">
            <v>0</v>
          </cell>
          <cell r="AA399" t="str">
            <v>% brut</v>
          </cell>
          <cell r="AB399">
            <v>0</v>
          </cell>
          <cell r="AC399">
            <v>0</v>
          </cell>
          <cell r="AD399" t="str">
            <v>% brut</v>
          </cell>
          <cell r="AE399">
            <v>0</v>
          </cell>
          <cell r="AF399">
            <v>0</v>
          </cell>
          <cell r="AG399" t="str">
            <v>% brut</v>
          </cell>
          <cell r="AH399">
            <v>0</v>
          </cell>
          <cell r="AI399">
            <v>0</v>
          </cell>
          <cell r="AJ399" t="str">
            <v>% brut</v>
          </cell>
          <cell r="AK399">
            <v>0</v>
          </cell>
          <cell r="AL399">
            <v>0</v>
          </cell>
          <cell r="AM399" t="str">
            <v>% brut</v>
          </cell>
          <cell r="AN399">
            <v>0</v>
          </cell>
          <cell r="AO399">
            <v>0</v>
          </cell>
        </row>
        <row r="400">
          <cell r="A400" t="str">
            <v>Boutique</v>
          </cell>
        </row>
        <row r="401">
          <cell r="A401" t="str">
            <v>BoutiquePROFIT DÉPARTEMENTAL</v>
          </cell>
          <cell r="B401" t="str">
            <v>PROFIT DÉPARTEMENTAL</v>
          </cell>
          <cell r="E401">
            <v>0</v>
          </cell>
          <cell r="H401">
            <v>0</v>
          </cell>
          <cell r="K401">
            <v>0</v>
          </cell>
          <cell r="N401">
            <v>0</v>
          </cell>
          <cell r="Q401">
            <v>0</v>
          </cell>
          <cell r="T401">
            <v>0</v>
          </cell>
          <cell r="W401">
            <v>0</v>
          </cell>
          <cell r="Z401">
            <v>0</v>
          </cell>
          <cell r="AC401">
            <v>0</v>
          </cell>
          <cell r="AF401">
            <v>0</v>
          </cell>
          <cell r="AI401">
            <v>0</v>
          </cell>
          <cell r="AL401">
            <v>0</v>
          </cell>
          <cell r="AO401">
            <v>0</v>
          </cell>
        </row>
        <row r="404">
          <cell r="B404" t="str">
            <v>Budget 2023</v>
          </cell>
          <cell r="C404" t="str">
            <v>TOTAL  DES  REVENUS  ET  DÉPENSES</v>
          </cell>
        </row>
        <row r="406">
          <cell r="B406" t="str">
            <v>Mois</v>
          </cell>
          <cell r="C406">
            <v>2023</v>
          </cell>
          <cell r="F406" t="str">
            <v>Janvier</v>
          </cell>
          <cell r="I406" t="str">
            <v>Février</v>
          </cell>
          <cell r="L406" t="str">
            <v>Mars</v>
          </cell>
          <cell r="O406" t="str">
            <v>Avril</v>
          </cell>
          <cell r="R406" t="str">
            <v>Mai</v>
          </cell>
          <cell r="U406" t="str">
            <v>Juin</v>
          </cell>
          <cell r="X406" t="str">
            <v>Juillet</v>
          </cell>
          <cell r="AA406" t="str">
            <v>Août</v>
          </cell>
          <cell r="AD406" t="str">
            <v>Septembre</v>
          </cell>
          <cell r="AG406" t="str">
            <v>Octobre</v>
          </cell>
          <cell r="AJ406" t="str">
            <v>Novembre</v>
          </cell>
          <cell r="AM406" t="str">
            <v>Décembre</v>
          </cell>
        </row>
        <row r="407">
          <cell r="C407" t="str">
            <v>%P.Brut</v>
          </cell>
          <cell r="D407" t="str">
            <v>$/Unite</v>
          </cell>
          <cell r="E407" t="str">
            <v>$TOTAL</v>
          </cell>
          <cell r="F407" t="str">
            <v>%P.Brut</v>
          </cell>
          <cell r="G407" t="str">
            <v>$/Unite</v>
          </cell>
          <cell r="H407" t="str">
            <v>$TOTAL</v>
          </cell>
          <cell r="I407" t="str">
            <v>%P.Brut</v>
          </cell>
          <cell r="J407" t="str">
            <v>$/Unite</v>
          </cell>
          <cell r="K407" t="str">
            <v>$TOTAL</v>
          </cell>
          <cell r="L407" t="str">
            <v>%P.Brut</v>
          </cell>
          <cell r="M407" t="str">
            <v>$/Unite</v>
          </cell>
          <cell r="N407" t="str">
            <v>$TOTAL</v>
          </cell>
          <cell r="O407" t="str">
            <v>%P.Brut</v>
          </cell>
          <cell r="P407" t="str">
            <v>$/Unite</v>
          </cell>
          <cell r="Q407" t="str">
            <v>$TOTAL</v>
          </cell>
          <cell r="R407" t="str">
            <v>%P.Brut</v>
          </cell>
          <cell r="S407" t="str">
            <v>$/Unite</v>
          </cell>
          <cell r="T407" t="str">
            <v>$TOTAL</v>
          </cell>
          <cell r="U407" t="str">
            <v>%P.Brut</v>
          </cell>
          <cell r="V407" t="str">
            <v>$/Unite</v>
          </cell>
          <cell r="W407" t="str">
            <v>$TOTAL</v>
          </cell>
          <cell r="X407" t="str">
            <v>%P.Brut</v>
          </cell>
          <cell r="Y407" t="str">
            <v>$/Unite</v>
          </cell>
          <cell r="Z407" t="str">
            <v>$TOTAL</v>
          </cell>
          <cell r="AA407" t="str">
            <v>%P.Brut</v>
          </cell>
          <cell r="AB407" t="str">
            <v>$/Unite</v>
          </cell>
          <cell r="AC407" t="str">
            <v>$TOTAL</v>
          </cell>
          <cell r="AD407" t="str">
            <v>%P.Brut</v>
          </cell>
          <cell r="AE407" t="str">
            <v>$/Unite</v>
          </cell>
          <cell r="AF407" t="str">
            <v>$TOTAL</v>
          </cell>
          <cell r="AG407" t="str">
            <v>%P.Brut</v>
          </cell>
          <cell r="AH407" t="str">
            <v>$/Unite</v>
          </cell>
          <cell r="AI407" t="str">
            <v>$TOTAL</v>
          </cell>
          <cell r="AJ407" t="str">
            <v>%P.Brut</v>
          </cell>
          <cell r="AK407" t="str">
            <v>$/Unite</v>
          </cell>
          <cell r="AL407" t="str">
            <v>$TOTAL</v>
          </cell>
          <cell r="AM407" t="str">
            <v>%P.Brut</v>
          </cell>
          <cell r="AN407" t="str">
            <v>$/Unite</v>
          </cell>
          <cell r="AO407" t="str">
            <v>$TOTAL</v>
          </cell>
        </row>
        <row r="408">
          <cell r="A408" t="str">
            <v>Ventes nettes</v>
          </cell>
          <cell r="B408" t="str">
            <v>Ventes nettes</v>
          </cell>
          <cell r="E408">
            <v>58337191.850520089</v>
          </cell>
          <cell r="H408">
            <v>4095036.1404905524</v>
          </cell>
          <cell r="K408">
            <v>3500644.2990390407</v>
          </cell>
          <cell r="N408">
            <v>5001305.8027671231</v>
          </cell>
          <cell r="Q408">
            <v>6000614.4567121584</v>
          </cell>
          <cell r="T408">
            <v>6149396.7932144739</v>
          </cell>
          <cell r="W408">
            <v>4751999.5885613598</v>
          </cell>
          <cell r="Z408">
            <v>4594029.1892951308</v>
          </cell>
          <cell r="AC408">
            <v>4846596.7946121898</v>
          </cell>
          <cell r="AF408">
            <v>4786755.5268234573</v>
          </cell>
          <cell r="AI408">
            <v>5545918.1361218272</v>
          </cell>
          <cell r="AL408">
            <v>5785078.7302080477</v>
          </cell>
          <cell r="AO408">
            <v>3279816.3926747339</v>
          </cell>
        </row>
        <row r="409">
          <cell r="A409" t="str">
            <v>Profit brut</v>
          </cell>
          <cell r="B409" t="str">
            <v>Profit brut</v>
          </cell>
          <cell r="E409">
            <v>8343471.3045024201</v>
          </cell>
          <cell r="H409">
            <v>559016.62935682212</v>
          </cell>
          <cell r="K409">
            <v>505376.8332791549</v>
          </cell>
          <cell r="N409">
            <v>680095.18963090319</v>
          </cell>
          <cell r="Q409">
            <v>868158.15238823032</v>
          </cell>
          <cell r="T409">
            <v>842410.878168914</v>
          </cell>
          <cell r="W409">
            <v>691334.32512757019</v>
          </cell>
          <cell r="Z409">
            <v>648344.10682652763</v>
          </cell>
          <cell r="AC409">
            <v>672575.05658892728</v>
          </cell>
          <cell r="AF409">
            <v>643337.40962466621</v>
          </cell>
          <cell r="AI409">
            <v>803232.21571649297</v>
          </cell>
          <cell r="AL409">
            <v>923045.47948773555</v>
          </cell>
          <cell r="AO409">
            <v>506545.02830647555</v>
          </cell>
        </row>
        <row r="410">
          <cell r="A410" t="str">
            <v>DÉPENSES</v>
          </cell>
          <cell r="B410" t="str">
            <v>DÉPENSES</v>
          </cell>
        </row>
        <row r="411">
          <cell r="A411" t="str">
            <v>Comm. vendeurs</v>
          </cell>
          <cell r="B411" t="str">
            <v>Comm. vendeurs</v>
          </cell>
          <cell r="C411">
            <v>0.30655380289937756</v>
          </cell>
          <cell r="D411">
            <v>675.8773816170891</v>
          </cell>
          <cell r="E411">
            <v>777225.03278000001</v>
          </cell>
          <cell r="G411">
            <v>736.00416676265149</v>
          </cell>
          <cell r="H411">
            <v>56640.292294599996</v>
          </cell>
          <cell r="J411">
            <v>747.87992967611819</v>
          </cell>
          <cell r="K411">
            <v>48832.490257257145</v>
          </cell>
          <cell r="M411">
            <v>713.21720188019867</v>
          </cell>
          <cell r="N411">
            <v>68049.871568457136</v>
          </cell>
          <cell r="P411">
            <v>671.47279405328663</v>
          </cell>
          <cell r="Q411">
            <v>77081.703278000001</v>
          </cell>
          <cell r="S411">
            <v>674.44911724388248</v>
          </cell>
          <cell r="T411">
            <v>80309.673605799995</v>
          </cell>
          <cell r="V411">
            <v>710.58546905404637</v>
          </cell>
          <cell r="W411">
            <v>62845.48538588571</v>
          </cell>
          <cell r="Y411">
            <v>720.1838727437538</v>
          </cell>
          <cell r="Z411">
            <v>62105.762622400005</v>
          </cell>
          <cell r="AB411">
            <v>710.35480284221876</v>
          </cell>
          <cell r="AC411">
            <v>65374.039858914286</v>
          </cell>
          <cell r="AE411">
            <v>712.13547958913625</v>
          </cell>
          <cell r="AF411">
            <v>65391.317095428574</v>
          </cell>
          <cell r="AH411">
            <v>696.13725099079284</v>
          </cell>
          <cell r="AI411">
            <v>71631.064659742857</v>
          </cell>
          <cell r="AK411">
            <v>701.81580650395165</v>
          </cell>
          <cell r="AL411">
            <v>72700.480514514289</v>
          </cell>
          <cell r="AN411">
            <v>778.8688242001075</v>
          </cell>
          <cell r="AO411">
            <v>46262.851639</v>
          </cell>
        </row>
        <row r="412">
          <cell r="A412" t="str">
            <v>Comm. F&amp;I</v>
          </cell>
          <cell r="B412" t="str">
            <v>Comm. F&amp;I</v>
          </cell>
          <cell r="C412">
            <v>0.3</v>
          </cell>
          <cell r="D412">
            <v>475.60621064965608</v>
          </cell>
          <cell r="E412">
            <v>521240.51241600001</v>
          </cell>
          <cell r="G412">
            <v>476.08771016604874</v>
          </cell>
          <cell r="H412">
            <v>36638.035869120002</v>
          </cell>
          <cell r="J412">
            <v>496.72523068384578</v>
          </cell>
          <cell r="K412">
            <v>32433.454924251426</v>
          </cell>
          <cell r="M412">
            <v>467.85748480156792</v>
          </cell>
          <cell r="N412">
            <v>44639.475420891424</v>
          </cell>
          <cell r="P412">
            <v>482.59996362210143</v>
          </cell>
          <cell r="Q412">
            <v>55400.051241600013</v>
          </cell>
          <cell r="S412">
            <v>473.68721994299875</v>
          </cell>
          <cell r="T412">
            <v>56404.05636576</v>
          </cell>
          <cell r="V412">
            <v>482.40949134445077</v>
          </cell>
          <cell r="W412">
            <v>42665.182386377142</v>
          </cell>
          <cell r="Y412">
            <v>473.0280865928296</v>
          </cell>
          <cell r="Z412">
            <v>40792.040993279996</v>
          </cell>
          <cell r="AB412">
            <v>477.65772967433963</v>
          </cell>
          <cell r="AC412">
            <v>43958.899600182864</v>
          </cell>
          <cell r="AE412">
            <v>472.05123982914347</v>
          </cell>
          <cell r="AF412">
            <v>43345.758207085717</v>
          </cell>
          <cell r="AH412">
            <v>467.90672733574957</v>
          </cell>
          <cell r="AI412">
            <v>48146.621938148579</v>
          </cell>
          <cell r="AK412">
            <v>461.98781004492133</v>
          </cell>
          <cell r="AL412">
            <v>47856.909848502852</v>
          </cell>
          <cell r="AN412">
            <v>487.56313770036877</v>
          </cell>
          <cell r="AO412">
            <v>28960.025620800006</v>
          </cell>
        </row>
        <row r="413">
          <cell r="A413" t="str">
            <v>Frais de livraison</v>
          </cell>
          <cell r="B413" t="str">
            <v>Frais de livraison</v>
          </cell>
          <cell r="D413">
            <v>84.321171733799474</v>
          </cell>
          <cell r="E413">
            <v>94941.403076590301</v>
          </cell>
          <cell r="G413">
            <v>86.495264741447144</v>
          </cell>
          <cell r="H413">
            <v>6656.3713879547304</v>
          </cell>
          <cell r="J413">
            <v>80.748724560006323</v>
          </cell>
          <cell r="K413">
            <v>5272.4523668794009</v>
          </cell>
          <cell r="M413">
            <v>88.786980004359478</v>
          </cell>
          <cell r="N413">
            <v>8471.3921233530746</v>
          </cell>
          <cell r="P413">
            <v>84.681920637214233</v>
          </cell>
          <cell r="Q413">
            <v>9721.0590471829146</v>
          </cell>
          <cell r="S413">
            <v>87.163683872031015</v>
          </cell>
          <cell r="T413">
            <v>10378.969774098903</v>
          </cell>
          <cell r="V413">
            <v>84.734957851448641</v>
          </cell>
          <cell r="W413">
            <v>7494.1154684966232</v>
          </cell>
          <cell r="Y413">
            <v>87.347220274982519</v>
          </cell>
          <cell r="Z413">
            <v>7532.4732105667636</v>
          </cell>
          <cell r="AB413">
            <v>86.058091090559273</v>
          </cell>
          <cell r="AC413">
            <v>7919.9367057505706</v>
          </cell>
          <cell r="AE413">
            <v>87.619224325749784</v>
          </cell>
          <cell r="AF413">
            <v>8045.5708860991263</v>
          </cell>
          <cell r="AH413">
            <v>88.773268366807585</v>
          </cell>
          <cell r="AI413">
            <v>9134.5833273381359</v>
          </cell>
          <cell r="AK413">
            <v>90.42139736626936</v>
          </cell>
          <cell r="AL413">
            <v>9366.672817000177</v>
          </cell>
          <cell r="AN413">
            <v>83.299919381605378</v>
          </cell>
          <cell r="AO413">
            <v>4947.8059618698735</v>
          </cell>
        </row>
        <row r="414">
          <cell r="A414" t="str">
            <v>Service gratuit 1</v>
          </cell>
          <cell r="B414" t="str">
            <v>Service gratuit 1</v>
          </cell>
          <cell r="D414">
            <v>9.5293939553290468</v>
          </cell>
          <cell r="E414">
            <v>10729.61883694819</v>
          </cell>
          <cell r="G414">
            <v>9.808775857418409</v>
          </cell>
          <cell r="H414">
            <v>754.84889448398553</v>
          </cell>
          <cell r="J414">
            <v>10.602940561069182</v>
          </cell>
          <cell r="K414">
            <v>692.31432894704824</v>
          </cell>
          <cell r="M414">
            <v>9.4920636592681831</v>
          </cell>
          <cell r="N414">
            <v>905.66199361147574</v>
          </cell>
          <cell r="P414">
            <v>10.059377756593495</v>
          </cell>
          <cell r="Q414">
            <v>1154.7660281430842</v>
          </cell>
          <cell r="S414">
            <v>9.7164011651698399</v>
          </cell>
          <cell r="T414">
            <v>1156.9753540290253</v>
          </cell>
          <cell r="V414">
            <v>10.052048079571316</v>
          </cell>
          <cell r="W414">
            <v>889.02161414008765</v>
          </cell>
          <cell r="Y414">
            <v>9.6910366626244908</v>
          </cell>
          <cell r="Z414">
            <v>835.71605157018166</v>
          </cell>
          <cell r="AB414">
            <v>9.8691927120716851</v>
          </cell>
          <cell r="AC414">
            <v>908.26301892068386</v>
          </cell>
          <cell r="AE414">
            <v>9.6534460412159682</v>
          </cell>
          <cell r="AF414">
            <v>886.42058883087975</v>
          </cell>
          <cell r="AH414">
            <v>9.4939585905188419</v>
          </cell>
          <cell r="AI414">
            <v>976.90844830737399</v>
          </cell>
          <cell r="AK414">
            <v>9.2661892132745969</v>
          </cell>
          <cell r="AL414">
            <v>959.87636941271899</v>
          </cell>
          <cell r="AN414">
            <v>10.250368610733908</v>
          </cell>
          <cell r="AO414">
            <v>608.8461465516441</v>
          </cell>
        </row>
        <row r="415">
          <cell r="A415" t="str">
            <v>Entretien stock</v>
          </cell>
          <cell r="B415" t="str">
            <v>Entretien stock</v>
          </cell>
          <cell r="D415">
            <v>113.49555540460818</v>
          </cell>
          <cell r="E415">
            <v>127790.29336888528</v>
          </cell>
          <cell r="G415">
            <v>116.62984142047139</v>
          </cell>
          <cell r="H415">
            <v>8975.422431893172</v>
          </cell>
          <cell r="J415">
            <v>117.80909311658495</v>
          </cell>
          <cell r="K415">
            <v>7692.2927913352714</v>
          </cell>
          <cell r="M415">
            <v>116.15955686220329</v>
          </cell>
          <cell r="N415">
            <v>11083.079467353615</v>
          </cell>
          <cell r="P415">
            <v>117.00195908484628</v>
          </cell>
          <cell r="Q415">
            <v>13431.237085097913</v>
          </cell>
          <cell r="S415">
            <v>116.49267464384265</v>
          </cell>
          <cell r="T415">
            <v>13871.303911471632</v>
          </cell>
          <cell r="V415">
            <v>116.9910752794837</v>
          </cell>
          <cell r="W415">
            <v>10346.905800851149</v>
          </cell>
          <cell r="Y415">
            <v>116.45501100491464</v>
          </cell>
          <cell r="Z415">
            <v>10042.612093083608</v>
          </cell>
          <cell r="AB415">
            <v>116.71955414378459</v>
          </cell>
          <cell r="AC415">
            <v>10741.714921022811</v>
          </cell>
          <cell r="AE415">
            <v>116.39919285554312</v>
          </cell>
          <cell r="AF415">
            <v>10688.270347181955</v>
          </cell>
          <cell r="AH415">
            <v>116.16237063733219</v>
          </cell>
          <cell r="AI415">
            <v>11952.864568458224</v>
          </cell>
          <cell r="AK415">
            <v>115.82415688494144</v>
          </cell>
          <cell r="AL415">
            <v>11998.122274660282</v>
          </cell>
          <cell r="AN415">
            <v>117.28556056908738</v>
          </cell>
          <cell r="AO415">
            <v>6966.4676764756423</v>
          </cell>
        </row>
        <row r="416">
          <cell r="A416" t="str">
            <v>Publicité 1</v>
          </cell>
          <cell r="B416" t="str">
            <v>Publicité 1</v>
          </cell>
          <cell r="D416">
            <v>204.42921360896239</v>
          </cell>
          <cell r="E416">
            <v>230177.02399999992</v>
          </cell>
          <cell r="G416">
            <v>209.58537276897721</v>
          </cell>
          <cell r="H416">
            <v>16128.953218461535</v>
          </cell>
          <cell r="J416">
            <v>190.73566800301154</v>
          </cell>
          <cell r="K416">
            <v>12454.00134417582</v>
          </cell>
          <cell r="M416">
            <v>217.10261875519143</v>
          </cell>
          <cell r="N416">
            <v>20714.314355457867</v>
          </cell>
          <cell r="P416">
            <v>203.63727183786617</v>
          </cell>
          <cell r="Q416">
            <v>23376.535733333327</v>
          </cell>
          <cell r="S416">
            <v>211.77790999548452</v>
          </cell>
          <cell r="T416">
            <v>25217.3431528205</v>
          </cell>
          <cell r="V416">
            <v>203.81124361886177</v>
          </cell>
          <cell r="W416">
            <v>18025.441118827832</v>
          </cell>
          <cell r="Y416">
            <v>212.37994302757167</v>
          </cell>
          <cell r="Z416">
            <v>18314.792689230766</v>
          </cell>
          <cell r="AB416">
            <v>208.15136308828096</v>
          </cell>
          <cell r="AC416">
            <v>19156.195541684974</v>
          </cell>
          <cell r="AE416">
            <v>213.27216615491855</v>
          </cell>
          <cell r="AF416">
            <v>19583.559932600725</v>
          </cell>
          <cell r="AH416">
            <v>217.05764207156082</v>
          </cell>
          <cell r="AI416">
            <v>22334.776614798531</v>
          </cell>
          <cell r="AK416">
            <v>222.46380718573076</v>
          </cell>
          <cell r="AL416">
            <v>23044.829611428562</v>
          </cell>
          <cell r="AN416">
            <v>199.10405448761543</v>
          </cell>
          <cell r="AO416">
            <v>11826.280687179486</v>
          </cell>
        </row>
        <row r="417">
          <cell r="A417" t="str">
            <v>Intérêt de gros</v>
          </cell>
          <cell r="B417" t="str">
            <v>Intérêt de gros</v>
          </cell>
          <cell r="D417">
            <v>103.01491614473902</v>
          </cell>
          <cell r="E417">
            <v>115989.62010958901</v>
          </cell>
          <cell r="G417">
            <v>125.54633452327046</v>
          </cell>
          <cell r="H417">
            <v>9661.6043835616438</v>
          </cell>
          <cell r="J417">
            <v>114.77167672668847</v>
          </cell>
          <cell r="K417">
            <v>7493.9660273972595</v>
          </cell>
          <cell r="M417">
            <v>118.22189372080858</v>
          </cell>
          <cell r="N417">
            <v>11279.852284931505</v>
          </cell>
          <cell r="P417">
            <v>104.92394934230693</v>
          </cell>
          <cell r="Q417">
            <v>12044.742246575341</v>
          </cell>
          <cell r="S417">
            <v>91.739217435915108</v>
          </cell>
          <cell r="T417">
            <v>10923.799024657534</v>
          </cell>
          <cell r="V417">
            <v>99.414155970357911</v>
          </cell>
          <cell r="W417">
            <v>8792.3707397260259</v>
          </cell>
          <cell r="Y417">
            <v>109.06285358727204</v>
          </cell>
          <cell r="Z417">
            <v>9405.1421479452038</v>
          </cell>
          <cell r="AB417">
            <v>105.48027220317341</v>
          </cell>
          <cell r="AC417">
            <v>9707.3624219178073</v>
          </cell>
          <cell r="AE417">
            <v>110.84662834976778</v>
          </cell>
          <cell r="AF417">
            <v>10178.410191780822</v>
          </cell>
          <cell r="AH417">
            <v>110.1862594119885</v>
          </cell>
          <cell r="AI417">
            <v>11337.935243835615</v>
          </cell>
          <cell r="AK417">
            <v>79.848657859083019</v>
          </cell>
          <cell r="AL417">
            <v>8271.4520547945194</v>
          </cell>
          <cell r="AN417">
            <v>116.04839824986793</v>
          </cell>
          <cell r="AO417">
            <v>6892.9833424657527</v>
          </cell>
        </row>
        <row r="418">
          <cell r="A418" t="str">
            <v>[...]</v>
          </cell>
          <cell r="B418" t="str">
            <v>[...]</v>
          </cell>
          <cell r="E418">
            <v>0</v>
          </cell>
          <cell r="H418">
            <v>0</v>
          </cell>
          <cell r="K418">
            <v>0</v>
          </cell>
          <cell r="N418">
            <v>0</v>
          </cell>
          <cell r="Q418">
            <v>0</v>
          </cell>
          <cell r="T418">
            <v>0</v>
          </cell>
          <cell r="W418">
            <v>0</v>
          </cell>
          <cell r="Z418">
            <v>0</v>
          </cell>
          <cell r="AC418">
            <v>0</v>
          </cell>
          <cell r="AF418">
            <v>0</v>
          </cell>
          <cell r="AI418">
            <v>0</v>
          </cell>
          <cell r="AL418">
            <v>0</v>
          </cell>
          <cell r="AO418">
            <v>0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TOTAL VARIABLES</v>
          </cell>
          <cell r="B421" t="str">
            <v>TOTAL VARIABLES</v>
          </cell>
          <cell r="C421">
            <v>0.22509737686453477</v>
          </cell>
          <cell r="D421">
            <v>1666.2738431141834</v>
          </cell>
          <cell r="E421">
            <v>1878093.5045880128</v>
          </cell>
          <cell r="F421">
            <v>0.24231037390770244</v>
          </cell>
          <cell r="H421">
            <v>135455.52848007507</v>
          </cell>
          <cell r="I421">
            <v>0.22729766082647504</v>
          </cell>
          <cell r="K421">
            <v>114870.97204024337</v>
          </cell>
          <cell r="L421">
            <v>0.24282431302547777</v>
          </cell>
          <cell r="N421">
            <v>165143.64721405611</v>
          </cell>
          <cell r="O421">
            <v>0.22139986145517232</v>
          </cell>
          <cell r="Q421">
            <v>192210.09465993257</v>
          </cell>
          <cell r="R421">
            <v>0.23535085589063762</v>
          </cell>
          <cell r="T421">
            <v>198262.12118863757</v>
          </cell>
          <cell r="U421">
            <v>0.21850285314045434</v>
          </cell>
          <cell r="W421">
            <v>151058.52251430458</v>
          </cell>
          <cell r="X421">
            <v>0.22986025204660482</v>
          </cell>
          <cell r="Z421">
            <v>149028.53980807652</v>
          </cell>
          <cell r="AA421">
            <v>0.23457071522772757</v>
          </cell>
          <cell r="AC421">
            <v>157766.41206839401</v>
          </cell>
          <cell r="AD421">
            <v>0.24577974929400925</v>
          </cell>
          <cell r="AF421">
            <v>158119.3072490078</v>
          </cell>
          <cell r="AG421">
            <v>0.21851060174929363</v>
          </cell>
          <cell r="AI421">
            <v>175514.75480062931</v>
          </cell>
          <cell r="AJ421">
            <v>0.18872130069581036</v>
          </cell>
          <cell r="AL421">
            <v>174198.34349031339</v>
          </cell>
          <cell r="AM421">
            <v>0.21017926368813872</v>
          </cell>
          <cell r="AO421">
            <v>106465.26107434242</v>
          </cell>
        </row>
        <row r="422">
          <cell r="A422" t="str">
            <v>Salaires propriétaire</v>
          </cell>
          <cell r="B422" t="str">
            <v>Salaires propriétaire</v>
          </cell>
          <cell r="E422">
            <v>187334.15999999997</v>
          </cell>
          <cell r="H422">
            <v>15267.501839080458</v>
          </cell>
          <cell r="K422">
            <v>14809.264291187737</v>
          </cell>
          <cell r="N422">
            <v>16183.976934865899</v>
          </cell>
          <cell r="Q422">
            <v>15267.501839080458</v>
          </cell>
          <cell r="T422">
            <v>15725.739386973182</v>
          </cell>
          <cell r="W422">
            <v>15725.739386973182</v>
          </cell>
          <cell r="Z422">
            <v>15725.739386973182</v>
          </cell>
          <cell r="AC422">
            <v>15725.739386973182</v>
          </cell>
          <cell r="AF422">
            <v>15725.739386973182</v>
          </cell>
          <cell r="AI422">
            <v>15267.501839080458</v>
          </cell>
          <cell r="AL422">
            <v>15725.739386973182</v>
          </cell>
          <cell r="AO422">
            <v>16183.976934865899</v>
          </cell>
        </row>
        <row r="423">
          <cell r="A423" t="str">
            <v>Salaires cadres</v>
          </cell>
          <cell r="B423" t="str">
            <v>Salaires cadres</v>
          </cell>
          <cell r="E423">
            <v>512076.00000000012</v>
          </cell>
          <cell r="H423">
            <v>41679.870689655174</v>
          </cell>
          <cell r="K423">
            <v>40355.698275862065</v>
          </cell>
          <cell r="N423">
            <v>44328.215517241384</v>
          </cell>
          <cell r="Q423">
            <v>41679.870689655174</v>
          </cell>
          <cell r="T423">
            <v>43004.043103448275</v>
          </cell>
          <cell r="W423">
            <v>43004.043103448275</v>
          </cell>
          <cell r="Z423">
            <v>43004.043103448275</v>
          </cell>
          <cell r="AC423">
            <v>43004.043103448275</v>
          </cell>
          <cell r="AF423">
            <v>43004.043103448275</v>
          </cell>
          <cell r="AI423">
            <v>41679.870689655174</v>
          </cell>
          <cell r="AL423">
            <v>43004.043103448275</v>
          </cell>
          <cell r="AO423">
            <v>44328.215517241384</v>
          </cell>
        </row>
        <row r="424">
          <cell r="A424" t="str">
            <v>Salaires commis</v>
          </cell>
          <cell r="B424" t="str">
            <v>Salaires commis</v>
          </cell>
          <cell r="E424">
            <v>618293.88000000012</v>
          </cell>
          <cell r="H424">
            <v>49836.748965517239</v>
          </cell>
          <cell r="K424">
            <v>47586.427586206904</v>
          </cell>
          <cell r="N424">
            <v>54337.391724137931</v>
          </cell>
          <cell r="Q424">
            <v>49836.748965517239</v>
          </cell>
          <cell r="T424">
            <v>52087.070344827589</v>
          </cell>
          <cell r="W424">
            <v>52087.070344827589</v>
          </cell>
          <cell r="Z424">
            <v>52087.070344827589</v>
          </cell>
          <cell r="AC424">
            <v>52087.070344827589</v>
          </cell>
          <cell r="AF424">
            <v>52087.070344827589</v>
          </cell>
          <cell r="AI424">
            <v>49836.748965517239</v>
          </cell>
          <cell r="AL424">
            <v>52087.070344827589</v>
          </cell>
          <cell r="AO424">
            <v>54337.391724137931</v>
          </cell>
        </row>
        <row r="425">
          <cell r="A425" t="str">
            <v>Salaires autres</v>
          </cell>
          <cell r="B425" t="str">
            <v>Salaires autres</v>
          </cell>
          <cell r="E425">
            <v>375420.8000000001</v>
          </cell>
          <cell r="H425">
            <v>30228.512643678161</v>
          </cell>
          <cell r="K425">
            <v>28819.773946360154</v>
          </cell>
          <cell r="N425">
            <v>33045.990038314179</v>
          </cell>
          <cell r="Q425">
            <v>30228.512643678161</v>
          </cell>
          <cell r="T425">
            <v>31637.251340996168</v>
          </cell>
          <cell r="W425">
            <v>31637.251340996168</v>
          </cell>
          <cell r="Z425">
            <v>31637.251340996168</v>
          </cell>
          <cell r="AC425">
            <v>31637.251340996168</v>
          </cell>
          <cell r="AF425">
            <v>31637.251340996168</v>
          </cell>
          <cell r="AI425">
            <v>30228.512643678161</v>
          </cell>
          <cell r="AL425">
            <v>31637.251340996168</v>
          </cell>
          <cell r="AO425">
            <v>33045.990038314179</v>
          </cell>
        </row>
        <row r="426">
          <cell r="A426" t="str">
            <v>Salaires spécialistes</v>
          </cell>
          <cell r="B426" t="str">
            <v>Salaires spécialistes</v>
          </cell>
          <cell r="E426">
            <v>454800.61743295024</v>
          </cell>
          <cell r="H426">
            <v>35782.653305179207</v>
          </cell>
          <cell r="K426">
            <v>34828.247438329883</v>
          </cell>
          <cell r="N426">
            <v>35778.905127240076</v>
          </cell>
          <cell r="Q426">
            <v>44035.886024000349</v>
          </cell>
          <cell r="T426">
            <v>40449.20428821761</v>
          </cell>
          <cell r="W426">
            <v>35197.138670401589</v>
          </cell>
          <cell r="Z426">
            <v>34278.959102282926</v>
          </cell>
          <cell r="AC426">
            <v>34176.074835469452</v>
          </cell>
          <cell r="AF426">
            <v>32587.888068408494</v>
          </cell>
          <cell r="AI426">
            <v>39534.099024276074</v>
          </cell>
          <cell r="AL426">
            <v>52726.419222467732</v>
          </cell>
          <cell r="AO426">
            <v>35425.142326676811</v>
          </cell>
        </row>
        <row r="427">
          <cell r="A427" t="str">
            <v>[...]</v>
          </cell>
          <cell r="B427" t="str">
            <v>[...]</v>
          </cell>
          <cell r="E427">
            <v>0</v>
          </cell>
          <cell r="H427">
            <v>0</v>
          </cell>
          <cell r="K427">
            <v>0</v>
          </cell>
          <cell r="N427">
            <v>0</v>
          </cell>
          <cell r="Q427">
            <v>0</v>
          </cell>
          <cell r="T427">
            <v>0</v>
          </cell>
          <cell r="W427">
            <v>0</v>
          </cell>
          <cell r="Z427">
            <v>0</v>
          </cell>
          <cell r="AC427">
            <v>0</v>
          </cell>
          <cell r="AF427">
            <v>0</v>
          </cell>
          <cell r="AI427">
            <v>0</v>
          </cell>
          <cell r="AL427">
            <v>0</v>
          </cell>
          <cell r="AO427">
            <v>0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Salaires en absences</v>
          </cell>
          <cell r="B430" t="str">
            <v>Salaires en absences</v>
          </cell>
          <cell r="E430">
            <v>475850.53576512722</v>
          </cell>
          <cell r="H430">
            <v>34949.524606301893</v>
          </cell>
          <cell r="K430">
            <v>32918.457604795178</v>
          </cell>
          <cell r="N430">
            <v>39685.444872414671</v>
          </cell>
          <cell r="Q430">
            <v>45037.58986364313</v>
          </cell>
          <cell r="T430">
            <v>44602.836753267118</v>
          </cell>
          <cell r="W430">
            <v>39059.381083422966</v>
          </cell>
          <cell r="Z430">
            <v>37809.546157980709</v>
          </cell>
          <cell r="AC430">
            <v>38724.562292089307</v>
          </cell>
          <cell r="AF430">
            <v>37892.887289114078</v>
          </cell>
          <cell r="AI430">
            <v>42115.366612084348</v>
          </cell>
          <cell r="AL430">
            <v>47866.004774730915</v>
          </cell>
          <cell r="AO430">
            <v>35188.933855282994</v>
          </cell>
        </row>
        <row r="431">
          <cell r="A431" t="str">
            <v>Déduction à la source</v>
          </cell>
          <cell r="B431" t="str">
            <v>Déduction à la source</v>
          </cell>
          <cell r="E431">
            <v>473042.28350663837</v>
          </cell>
          <cell r="H431">
            <v>34743.26849428354</v>
          </cell>
          <cell r="K431">
            <v>32724.187921424964</v>
          </cell>
          <cell r="N431">
            <v>39451.239524693665</v>
          </cell>
          <cell r="Q431">
            <v>44771.798603687697</v>
          </cell>
          <cell r="T431">
            <v>44339.61120735915</v>
          </cell>
          <cell r="W431">
            <v>38828.870477889381</v>
          </cell>
          <cell r="Z431">
            <v>37586.411506635064</v>
          </cell>
          <cell r="AC431">
            <v>38496.027633951548</v>
          </cell>
          <cell r="AF431">
            <v>37669.260796523893</v>
          </cell>
          <cell r="AI431">
            <v>41866.820977444448</v>
          </cell>
          <cell r="AL431">
            <v>47583.521503387441</v>
          </cell>
          <cell r="AO431">
            <v>34981.264859357572</v>
          </cell>
        </row>
        <row r="432">
          <cell r="A432" t="str">
            <v>Bénéfices marginaux</v>
          </cell>
          <cell r="B432" t="str">
            <v>Bénéfices marginaux</v>
          </cell>
          <cell r="E432">
            <v>331251.65941315406</v>
          </cell>
          <cell r="H432">
            <v>24329.252888038434</v>
          </cell>
          <cell r="K432">
            <v>22915.375495746335</v>
          </cell>
          <cell r="N432">
            <v>27626.047425583245</v>
          </cell>
          <cell r="Q432">
            <v>31351.811665637204</v>
          </cell>
          <cell r="T432">
            <v>31049.168969195722</v>
          </cell>
          <cell r="W432">
            <v>27190.228500490455</v>
          </cell>
          <cell r="Z432">
            <v>26320.186624043745</v>
          </cell>
          <cell r="AC432">
            <v>26957.152624987557</v>
          </cell>
          <cell r="AF432">
            <v>26378.202504893619</v>
          </cell>
          <cell r="AI432">
            <v>29317.577744479378</v>
          </cell>
          <cell r="AL432">
            <v>33320.743215331175</v>
          </cell>
          <cell r="AO432">
            <v>24495.911754727178</v>
          </cell>
        </row>
        <row r="433">
          <cell r="A433" t="str">
            <v>Csst</v>
          </cell>
          <cell r="B433" t="str">
            <v>Csst</v>
          </cell>
          <cell r="E433">
            <v>158248.46554330428</v>
          </cell>
          <cell r="H433">
            <v>11622.785359529582</v>
          </cell>
          <cell r="K433">
            <v>10947.335376296358</v>
          </cell>
          <cell r="N433">
            <v>13197.759135365999</v>
          </cell>
          <cell r="Q433">
            <v>14977.664102511473</v>
          </cell>
          <cell r="T433">
            <v>14833.082963190995</v>
          </cell>
          <cell r="W433">
            <v>12989.555873009971</v>
          </cell>
          <cell r="Z433">
            <v>12573.911790954568</v>
          </cell>
          <cell r="AC433">
            <v>12878.208809213098</v>
          </cell>
          <cell r="AF433">
            <v>12601.627649458947</v>
          </cell>
          <cell r="AI433">
            <v>14005.851924575009</v>
          </cell>
          <cell r="AL433">
            <v>15918.279455354892</v>
          </cell>
          <cell r="AO433">
            <v>11702.403103843386</v>
          </cell>
        </row>
        <row r="434">
          <cell r="A434" t="str">
            <v>[...]</v>
          </cell>
          <cell r="B434" t="str">
            <v>[...]</v>
          </cell>
          <cell r="E434">
            <v>0</v>
          </cell>
          <cell r="H434">
            <v>0</v>
          </cell>
          <cell r="K434">
            <v>0</v>
          </cell>
          <cell r="N434">
            <v>0</v>
          </cell>
          <cell r="Q434">
            <v>0</v>
          </cell>
          <cell r="T434">
            <v>0</v>
          </cell>
          <cell r="W434">
            <v>0</v>
          </cell>
          <cell r="Z434">
            <v>0</v>
          </cell>
          <cell r="AC434">
            <v>0</v>
          </cell>
          <cell r="AF434">
            <v>0</v>
          </cell>
          <cell r="AI434">
            <v>0</v>
          </cell>
          <cell r="AL434">
            <v>0</v>
          </cell>
          <cell r="AO434">
            <v>0</v>
          </cell>
        </row>
        <row r="435">
          <cell r="A435" t="str">
            <v>TOTAL PERSONNEL</v>
          </cell>
          <cell r="B435" t="str">
            <v>TOTAL PERSONNEL</v>
          </cell>
          <cell r="C435">
            <v>0.42983528926693559</v>
          </cell>
          <cell r="E435">
            <v>3586318.4016611744</v>
          </cell>
          <cell r="F435">
            <v>0.49808915185872671</v>
          </cell>
          <cell r="H435">
            <v>278440.11879126373</v>
          </cell>
          <cell r="I435">
            <v>0.52615147831545295</v>
          </cell>
          <cell r="K435">
            <v>265904.76793620957</v>
          </cell>
          <cell r="L435">
            <v>0.44645951762229608</v>
          </cell>
          <cell r="N435">
            <v>303634.97029985703</v>
          </cell>
          <cell r="O435">
            <v>0.36535668475249006</v>
          </cell>
          <cell r="Q435">
            <v>317187.3843974109</v>
          </cell>
          <cell r="R435">
            <v>0.37716512997564511</v>
          </cell>
          <cell r="T435">
            <v>317728.0083574758</v>
          </cell>
          <cell r="U435">
            <v>0.42775147715526957</v>
          </cell>
          <cell r="W435">
            <v>295719.27878145955</v>
          </cell>
          <cell r="X435">
            <v>0.4488713883474984</v>
          </cell>
          <cell r="Z435">
            <v>291023.11935814226</v>
          </cell>
          <cell r="AA435">
            <v>0.43665926575010477</v>
          </cell>
          <cell r="AC435">
            <v>293686.13037195615</v>
          </cell>
          <cell r="AD435">
            <v>0.45012767196857467</v>
          </cell>
          <cell r="AF435">
            <v>289583.97048464429</v>
          </cell>
          <cell r="AG435">
            <v>0.37828705631502879</v>
          </cell>
          <cell r="AI435">
            <v>303852.35042079032</v>
          </cell>
          <cell r="AJ435">
            <v>0.368204037504344</v>
          </cell>
          <cell r="AL435">
            <v>339869.07234751736</v>
          </cell>
          <cell r="AM435">
            <v>0.5718923569005524</v>
          </cell>
          <cell r="AO435">
            <v>289689.23011444736</v>
          </cell>
        </row>
        <row r="436">
          <cell r="A436" t="str">
            <v>Publicité 2</v>
          </cell>
          <cell r="B436" t="str">
            <v>Publicité 2</v>
          </cell>
          <cell r="E436">
            <v>155623.2665</v>
          </cell>
          <cell r="H436">
            <v>12968.605541666668</v>
          </cell>
          <cell r="K436">
            <v>12968.605541666668</v>
          </cell>
          <cell r="N436">
            <v>12968.605541666668</v>
          </cell>
          <cell r="Q436">
            <v>12968.605541666668</v>
          </cell>
          <cell r="T436">
            <v>12968.605541666668</v>
          </cell>
          <cell r="W436">
            <v>12968.605541666668</v>
          </cell>
          <cell r="Z436">
            <v>12968.605541666668</v>
          </cell>
          <cell r="AC436">
            <v>12968.605541666668</v>
          </cell>
          <cell r="AF436">
            <v>12968.605541666668</v>
          </cell>
          <cell r="AI436">
            <v>12968.605541666668</v>
          </cell>
          <cell r="AL436">
            <v>12968.605541666668</v>
          </cell>
          <cell r="AO436">
            <v>12968.605541666668</v>
          </cell>
        </row>
        <row r="437">
          <cell r="A437" t="str">
            <v>Service gratuit 2</v>
          </cell>
          <cell r="B437" t="str">
            <v>Service gratuit 2</v>
          </cell>
          <cell r="E437">
            <v>52260.057609624353</v>
          </cell>
          <cell r="H437">
            <v>2769.7589250705105</v>
          </cell>
          <cell r="K437">
            <v>2773.8299928234824</v>
          </cell>
          <cell r="N437">
            <v>3606.6496464381185</v>
          </cell>
          <cell r="Q437">
            <v>6531.908767063871</v>
          </cell>
          <cell r="T437">
            <v>5063.9652682492015</v>
          </cell>
          <cell r="W437">
            <v>3795.7770150154147</v>
          </cell>
          <cell r="Z437">
            <v>3635.1763674977196</v>
          </cell>
          <cell r="AC437">
            <v>3551.4941166762965</v>
          </cell>
          <cell r="AF437">
            <v>2949.773775361386</v>
          </cell>
          <cell r="AI437">
            <v>5331.4178987586602</v>
          </cell>
          <cell r="AL437">
            <v>8903.6451573698814</v>
          </cell>
          <cell r="AO437">
            <v>3346.66067929982</v>
          </cell>
        </row>
        <row r="438">
          <cell r="A438" t="str">
            <v>Frais véhicules de cie</v>
          </cell>
          <cell r="B438" t="str">
            <v>Frais véhicules de cie</v>
          </cell>
          <cell r="E438">
            <v>267499.99999999994</v>
          </cell>
          <cell r="H438">
            <v>22291.666666666664</v>
          </cell>
          <cell r="K438">
            <v>22291.666666666664</v>
          </cell>
          <cell r="N438">
            <v>22291.666666666664</v>
          </cell>
          <cell r="Q438">
            <v>22291.666666666664</v>
          </cell>
          <cell r="T438">
            <v>22291.666666666664</v>
          </cell>
          <cell r="W438">
            <v>22291.666666666664</v>
          </cell>
          <cell r="Z438">
            <v>22291.666666666664</v>
          </cell>
          <cell r="AC438">
            <v>22291.666666666664</v>
          </cell>
          <cell r="AF438">
            <v>22291.666666666664</v>
          </cell>
          <cell r="AI438">
            <v>22291.666666666664</v>
          </cell>
          <cell r="AL438">
            <v>22291.666666666664</v>
          </cell>
          <cell r="AO438">
            <v>22291.666666666664</v>
          </cell>
        </row>
        <row r="439">
          <cell r="A439" t="str">
            <v>Informatique</v>
          </cell>
          <cell r="B439" t="str">
            <v>Informatique</v>
          </cell>
          <cell r="E439">
            <v>238258.40520000004</v>
          </cell>
          <cell r="H439">
            <v>19854.860233333337</v>
          </cell>
          <cell r="K439">
            <v>19854.860233333337</v>
          </cell>
          <cell r="N439">
            <v>19854.860233333337</v>
          </cell>
          <cell r="Q439">
            <v>19854.860233333337</v>
          </cell>
          <cell r="T439">
            <v>19854.870533333335</v>
          </cell>
          <cell r="W439">
            <v>19854.870533333335</v>
          </cell>
          <cell r="Z439">
            <v>19854.870533333335</v>
          </cell>
          <cell r="AC439">
            <v>19854.870533333335</v>
          </cell>
          <cell r="AF439">
            <v>19854.870533333335</v>
          </cell>
          <cell r="AI439">
            <v>19854.870533333335</v>
          </cell>
          <cell r="AL439">
            <v>19854.870533333335</v>
          </cell>
          <cell r="AO439">
            <v>19854.870533333335</v>
          </cell>
        </row>
        <row r="440">
          <cell r="A440" t="str">
            <v>Frais de déplacement</v>
          </cell>
          <cell r="B440" t="str">
            <v>Frais de déplacement</v>
          </cell>
          <cell r="E440">
            <v>37503.301674999995</v>
          </cell>
          <cell r="H440">
            <v>3125.2751395833329</v>
          </cell>
          <cell r="K440">
            <v>3125.2751395833329</v>
          </cell>
          <cell r="N440">
            <v>3125.2751395833329</v>
          </cell>
          <cell r="Q440">
            <v>3125.2751395833329</v>
          </cell>
          <cell r="T440">
            <v>3125.2751395833329</v>
          </cell>
          <cell r="W440">
            <v>3125.2751395833329</v>
          </cell>
          <cell r="Z440">
            <v>3125.2751395833329</v>
          </cell>
          <cell r="AC440">
            <v>3125.2751395833329</v>
          </cell>
          <cell r="AF440">
            <v>3125.2751395833329</v>
          </cell>
          <cell r="AI440">
            <v>3125.2751395833329</v>
          </cell>
          <cell r="AL440">
            <v>3125.2751395833329</v>
          </cell>
          <cell r="AO440">
            <v>3125.2751395833329</v>
          </cell>
        </row>
        <row r="441">
          <cell r="A441" t="str">
            <v>Services extérieurs</v>
          </cell>
          <cell r="B441" t="str">
            <v>Services extérieurs</v>
          </cell>
          <cell r="E441">
            <v>254975.32916666663</v>
          </cell>
          <cell r="H441">
            <v>20331.212155555557</v>
          </cell>
          <cell r="K441">
            <v>20550.231955555559</v>
          </cell>
          <cell r="N441">
            <v>20418.643955555555</v>
          </cell>
          <cell r="Q441">
            <v>19742.521355555553</v>
          </cell>
          <cell r="T441">
            <v>26800.511455555552</v>
          </cell>
          <cell r="W441">
            <v>20850.596155555555</v>
          </cell>
          <cell r="Z441">
            <v>20524.601155555552</v>
          </cell>
          <cell r="AC441">
            <v>19117.652255555557</v>
          </cell>
          <cell r="AF441">
            <v>19458.252055555557</v>
          </cell>
          <cell r="AI441">
            <v>20204.276055555558</v>
          </cell>
          <cell r="AL441">
            <v>27462.835755555556</v>
          </cell>
          <cell r="AO441">
            <v>19513.994855555557</v>
          </cell>
        </row>
        <row r="442">
          <cell r="B442" t="str">
            <v>Fournitures d'atelier</v>
          </cell>
          <cell r="E442">
            <v>0</v>
          </cell>
          <cell r="H442">
            <v>0</v>
          </cell>
          <cell r="K442">
            <v>0</v>
          </cell>
          <cell r="N442">
            <v>0</v>
          </cell>
          <cell r="Q442">
            <v>0</v>
          </cell>
          <cell r="T442">
            <v>0</v>
          </cell>
          <cell r="W442">
            <v>0</v>
          </cell>
          <cell r="Z442">
            <v>0</v>
          </cell>
          <cell r="AC442">
            <v>0</v>
          </cell>
          <cell r="AF442">
            <v>0</v>
          </cell>
          <cell r="AI442">
            <v>0</v>
          </cell>
          <cell r="AL442">
            <v>0</v>
          </cell>
          <cell r="AO442">
            <v>0</v>
          </cell>
        </row>
        <row r="443">
          <cell r="A443" t="str">
            <v>Fournitures autres</v>
          </cell>
          <cell r="B443" t="str">
            <v>Fournitures autres</v>
          </cell>
          <cell r="E443">
            <v>25869.376981994275</v>
          </cell>
          <cell r="H443">
            <v>1816.2554511087924</v>
          </cell>
          <cell r="K443">
            <v>1531.3473515275341</v>
          </cell>
          <cell r="N443">
            <v>2257.4760320351002</v>
          </cell>
          <cell r="Q443">
            <v>2703.9173828652779</v>
          </cell>
          <cell r="T443">
            <v>2812.3372500760129</v>
          </cell>
          <cell r="W443">
            <v>2083.3081418440747</v>
          </cell>
          <cell r="Z443">
            <v>2037.1557843443836</v>
          </cell>
          <cell r="AC443">
            <v>2170.9721724844621</v>
          </cell>
          <cell r="AF443">
            <v>2169.8120013947128</v>
          </cell>
          <cell r="AI443">
            <v>2434.5443499504986</v>
          </cell>
          <cell r="AL443">
            <v>2455.3001865208457</v>
          </cell>
          <cell r="AO443">
            <v>1396.9508778425816</v>
          </cell>
        </row>
        <row r="444">
          <cell r="A444" t="str">
            <v>Uniformes</v>
          </cell>
          <cell r="B444" t="str">
            <v>Uniformes</v>
          </cell>
          <cell r="E444">
            <v>13358.651322446249</v>
          </cell>
          <cell r="H444">
            <v>937.89360682099641</v>
          </cell>
          <cell r="K444">
            <v>790.77031259184344</v>
          </cell>
          <cell r="N444">
            <v>1165.734884211796</v>
          </cell>
          <cell r="Q444">
            <v>1396.2721076560729</v>
          </cell>
          <cell r="T444">
            <v>1452.2588909289057</v>
          </cell>
          <cell r="W444">
            <v>1075.7965715014661</v>
          </cell>
          <cell r="Z444">
            <v>1051.964020297145</v>
          </cell>
          <cell r="AC444">
            <v>1121.0652774181287</v>
          </cell>
          <cell r="AF444">
            <v>1120.4661782951334</v>
          </cell>
          <cell r="AI444">
            <v>1257.1709447296134</v>
          </cell>
          <cell r="AL444">
            <v>1267.8890220857841</v>
          </cell>
          <cell r="AO444">
            <v>721.36950590936249</v>
          </cell>
        </row>
        <row r="445">
          <cell r="A445" t="str">
            <v>Papeterie</v>
          </cell>
          <cell r="B445" t="str">
            <v>Papeterie</v>
          </cell>
          <cell r="E445">
            <v>28629.413819999998</v>
          </cell>
          <cell r="H445">
            <v>2385.7844849999992</v>
          </cell>
          <cell r="K445">
            <v>2385.7844849999992</v>
          </cell>
          <cell r="N445">
            <v>2385.7844849999992</v>
          </cell>
          <cell r="Q445">
            <v>2385.7844849999992</v>
          </cell>
          <cell r="T445">
            <v>2385.7844849999992</v>
          </cell>
          <cell r="W445">
            <v>2385.7844849999992</v>
          </cell>
          <cell r="Z445">
            <v>2385.7844849999992</v>
          </cell>
          <cell r="AC445">
            <v>2385.7844849999992</v>
          </cell>
          <cell r="AF445">
            <v>2385.7844849999992</v>
          </cell>
          <cell r="AI445">
            <v>2385.7844849999992</v>
          </cell>
          <cell r="AL445">
            <v>2385.7844849999992</v>
          </cell>
          <cell r="AO445">
            <v>2385.7844849999992</v>
          </cell>
        </row>
        <row r="446">
          <cell r="A446" t="str">
            <v>Téléphone</v>
          </cell>
          <cell r="B446" t="str">
            <v>Téléphone</v>
          </cell>
          <cell r="E446">
            <v>9702.0093808333331</v>
          </cell>
          <cell r="H446">
            <v>808.50078173611109</v>
          </cell>
          <cell r="K446">
            <v>808.50078173611109</v>
          </cell>
          <cell r="N446">
            <v>808.50078173611109</v>
          </cell>
          <cell r="Q446">
            <v>808.50078173611109</v>
          </cell>
          <cell r="T446">
            <v>808.50078173611109</v>
          </cell>
          <cell r="W446">
            <v>808.50078173611109</v>
          </cell>
          <cell r="Z446">
            <v>808.50078173611109</v>
          </cell>
          <cell r="AC446">
            <v>808.50078173611109</v>
          </cell>
          <cell r="AF446">
            <v>808.50078173611109</v>
          </cell>
          <cell r="AI446">
            <v>808.50078173611109</v>
          </cell>
          <cell r="AL446">
            <v>808.50078173611109</v>
          </cell>
          <cell r="AO446">
            <v>808.50078173611109</v>
          </cell>
        </row>
        <row r="447">
          <cell r="A447" t="str">
            <v>Frais postaux</v>
          </cell>
          <cell r="B447" t="str">
            <v>Frais postaux</v>
          </cell>
          <cell r="E447">
            <v>4640.4110191666659</v>
          </cell>
          <cell r="H447">
            <v>386.70091826388881</v>
          </cell>
          <cell r="K447">
            <v>386.70091826388881</v>
          </cell>
          <cell r="N447">
            <v>386.70091826388881</v>
          </cell>
          <cell r="Q447">
            <v>386.70091826388881</v>
          </cell>
          <cell r="T447">
            <v>386.70091826388881</v>
          </cell>
          <cell r="W447">
            <v>386.70091826388881</v>
          </cell>
          <cell r="Z447">
            <v>386.70091826388881</v>
          </cell>
          <cell r="AC447">
            <v>386.70091826388881</v>
          </cell>
          <cell r="AF447">
            <v>386.70091826388881</v>
          </cell>
          <cell r="AI447">
            <v>386.70091826388881</v>
          </cell>
          <cell r="AL447">
            <v>386.70091826388881</v>
          </cell>
          <cell r="AO447">
            <v>386.70091826388881</v>
          </cell>
        </row>
        <row r="448">
          <cell r="A448" t="str">
            <v>Divers</v>
          </cell>
          <cell r="B448" t="str">
            <v>Divers</v>
          </cell>
          <cell r="E448">
            <v>17631.838614166667</v>
          </cell>
          <cell r="H448">
            <v>1469.3198845138888</v>
          </cell>
          <cell r="K448">
            <v>1469.3198845138888</v>
          </cell>
          <cell r="N448">
            <v>1469.3198845138888</v>
          </cell>
          <cell r="Q448">
            <v>1469.3198845138888</v>
          </cell>
          <cell r="T448">
            <v>1469.3198845138888</v>
          </cell>
          <cell r="W448">
            <v>1469.3198845138888</v>
          </cell>
          <cell r="Z448">
            <v>1469.3198845138888</v>
          </cell>
          <cell r="AC448">
            <v>1469.3198845138888</v>
          </cell>
          <cell r="AF448">
            <v>1469.3198845138888</v>
          </cell>
          <cell r="AI448">
            <v>1469.3198845138888</v>
          </cell>
          <cell r="AL448">
            <v>1469.3198845138888</v>
          </cell>
          <cell r="AO448">
            <v>1469.3198845138888</v>
          </cell>
        </row>
        <row r="449">
          <cell r="A449" t="str">
            <v>Formation</v>
          </cell>
          <cell r="B449" t="str">
            <v>Formation</v>
          </cell>
          <cell r="E449">
            <v>42160.000000000022</v>
          </cell>
          <cell r="H449">
            <v>3513.3333333333339</v>
          </cell>
          <cell r="K449">
            <v>3513.3333333333339</v>
          </cell>
          <cell r="N449">
            <v>3513.3333333333339</v>
          </cell>
          <cell r="Q449">
            <v>3513.3333333333339</v>
          </cell>
          <cell r="T449">
            <v>3513.3333333333339</v>
          </cell>
          <cell r="W449">
            <v>3513.3333333333339</v>
          </cell>
          <cell r="Z449">
            <v>3513.3333333333339</v>
          </cell>
          <cell r="AC449">
            <v>3513.3333333333339</v>
          </cell>
          <cell r="AF449">
            <v>3513.3333333333339</v>
          </cell>
          <cell r="AI449">
            <v>3513.3333333333339</v>
          </cell>
          <cell r="AL449">
            <v>3513.3333333333339</v>
          </cell>
          <cell r="AO449">
            <v>3513.3333333333339</v>
          </cell>
        </row>
        <row r="450">
          <cell r="A450" t="str">
            <v>Frais bancaires</v>
          </cell>
          <cell r="B450" t="str">
            <v>Frais bancaires</v>
          </cell>
          <cell r="E450">
            <v>97634.164591641558</v>
          </cell>
          <cell r="H450">
            <v>5875.7679323683287</v>
          </cell>
          <cell r="K450">
            <v>5000.335926767023</v>
          </cell>
          <cell r="N450">
            <v>5862.4662678185459</v>
          </cell>
          <cell r="Q450">
            <v>11725.617177649598</v>
          </cell>
          <cell r="T450">
            <v>10705.557875429286</v>
          </cell>
          <cell r="W450">
            <v>6908.5974110175694</v>
          </cell>
          <cell r="Z450">
            <v>6485.0787240870186</v>
          </cell>
          <cell r="AC450">
            <v>7198.4247912796181</v>
          </cell>
          <cell r="AF450">
            <v>5331.5129522073876</v>
          </cell>
          <cell r="AI450">
            <v>10426.034121425619</v>
          </cell>
          <cell r="AL450">
            <v>15396.489946360998</v>
          </cell>
          <cell r="AO450">
            <v>6718.2814652305569</v>
          </cell>
        </row>
        <row r="451">
          <cell r="A451" t="str">
            <v>[...]</v>
          </cell>
          <cell r="B451" t="str">
            <v>[...]</v>
          </cell>
          <cell r="E451">
            <v>0</v>
          </cell>
          <cell r="H451">
            <v>0</v>
          </cell>
          <cell r="K451">
            <v>0</v>
          </cell>
          <cell r="N451">
            <v>0</v>
          </cell>
          <cell r="Q451">
            <v>0</v>
          </cell>
          <cell r="T451">
            <v>0</v>
          </cell>
          <cell r="W451">
            <v>0</v>
          </cell>
          <cell r="Z451">
            <v>0</v>
          </cell>
          <cell r="AC451">
            <v>0</v>
          </cell>
          <cell r="AF451">
            <v>0</v>
          </cell>
          <cell r="AI451">
            <v>0</v>
          </cell>
          <cell r="AL451">
            <v>0</v>
          </cell>
          <cell r="AO451">
            <v>0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TOTAL SEMI-FIXES</v>
          </cell>
          <cell r="B454" t="str">
            <v>TOTAL SEMI-FIXES</v>
          </cell>
          <cell r="C454">
            <v>0.14930790559671403</v>
          </cell>
          <cell r="E454">
            <v>1245746.2258815398</v>
          </cell>
          <cell r="F454">
            <v>0.17626476544783828</v>
          </cell>
          <cell r="H454">
            <v>98534.9350550214</v>
          </cell>
          <cell r="I454">
            <v>0.19282752217004356</v>
          </cell>
          <cell r="K454">
            <v>97450.562523362649</v>
          </cell>
          <cell r="L454">
            <v>0.14720736052329689</v>
          </cell>
          <cell r="N454">
            <v>100115.01777015634</v>
          </cell>
          <cell r="O454">
            <v>0.12544290861670887</v>
          </cell>
          <cell r="Q454">
            <v>108904.28377488759</v>
          </cell>
          <cell r="R454">
            <v>0.1348969855082405</v>
          </cell>
          <cell r="T454">
            <v>113638.68802433615</v>
          </cell>
          <cell r="U454">
            <v>0.14684376124431317</v>
          </cell>
          <cell r="W454">
            <v>101518.13257903128</v>
          </cell>
          <cell r="X454">
            <v>0.1550689398998103</v>
          </cell>
          <cell r="Z454">
            <v>100538.03333587901</v>
          </cell>
          <cell r="AA454">
            <v>0.14862826820324423</v>
          </cell>
          <cell r="AC454">
            <v>99963.665897511251</v>
          </cell>
          <cell r="AD454">
            <v>0.15207241609653835</v>
          </cell>
          <cell r="AF454">
            <v>97833.874246911379</v>
          </cell>
          <cell r="AG454">
            <v>0.13253639305235757</v>
          </cell>
          <cell r="AI454">
            <v>106457.50065451718</v>
          </cell>
          <cell r="AJ454">
            <v>0.1324855817720465</v>
          </cell>
          <cell r="AL454">
            <v>122290.21735199026</v>
          </cell>
          <cell r="AM454">
            <v>0.19445717392045692</v>
          </cell>
          <cell r="AO454">
            <v>98501.31466793509</v>
          </cell>
        </row>
        <row r="455">
          <cell r="A455" t="str">
            <v>Loyer</v>
          </cell>
          <cell r="B455" t="str">
            <v>Loyer</v>
          </cell>
          <cell r="E455">
            <v>312000.00000000006</v>
          </cell>
          <cell r="H455">
            <v>26000.000000000004</v>
          </cell>
          <cell r="K455">
            <v>26000.000000000004</v>
          </cell>
          <cell r="N455">
            <v>26000.000000000004</v>
          </cell>
          <cell r="Q455">
            <v>26000.000000000004</v>
          </cell>
          <cell r="T455">
            <v>26000.000000000004</v>
          </cell>
          <cell r="W455">
            <v>26000.000000000004</v>
          </cell>
          <cell r="Z455">
            <v>26000.000000000004</v>
          </cell>
          <cell r="AC455">
            <v>26000.000000000004</v>
          </cell>
          <cell r="AF455">
            <v>26000.000000000004</v>
          </cell>
          <cell r="AI455">
            <v>26000.000000000004</v>
          </cell>
          <cell r="AL455">
            <v>26000.000000000004</v>
          </cell>
          <cell r="AO455">
            <v>26000.000000000004</v>
          </cell>
        </row>
        <row r="456">
          <cell r="A456" t="str">
            <v>Taxes foncières</v>
          </cell>
          <cell r="B456" t="str">
            <v>Taxes foncières</v>
          </cell>
          <cell r="E456">
            <v>63379.260000000017</v>
          </cell>
          <cell r="H456">
            <v>5281.6050000000005</v>
          </cell>
          <cell r="K456">
            <v>5281.6050000000005</v>
          </cell>
          <cell r="N456">
            <v>5281.6050000000005</v>
          </cell>
          <cell r="Q456">
            <v>5281.6050000000005</v>
          </cell>
          <cell r="T456">
            <v>5281.6050000000005</v>
          </cell>
          <cell r="W456">
            <v>5281.6050000000005</v>
          </cell>
          <cell r="Z456">
            <v>5281.6050000000005</v>
          </cell>
          <cell r="AC456">
            <v>5281.6050000000005</v>
          </cell>
          <cell r="AF456">
            <v>5281.6050000000005</v>
          </cell>
          <cell r="AI456">
            <v>5281.6050000000005</v>
          </cell>
          <cell r="AL456">
            <v>5281.6050000000005</v>
          </cell>
          <cell r="AO456">
            <v>5281.6050000000005</v>
          </cell>
        </row>
        <row r="457">
          <cell r="A457" t="str">
            <v>Taxes d`affaires</v>
          </cell>
          <cell r="B457" t="str">
            <v>Taxes d`affaires</v>
          </cell>
          <cell r="E457">
            <v>42165.899999999994</v>
          </cell>
          <cell r="H457">
            <v>3513.8249999999998</v>
          </cell>
          <cell r="K457">
            <v>3513.8249999999998</v>
          </cell>
          <cell r="N457">
            <v>3513.8249999999998</v>
          </cell>
          <cell r="Q457">
            <v>3513.8249999999998</v>
          </cell>
          <cell r="T457">
            <v>3513.8249999999998</v>
          </cell>
          <cell r="W457">
            <v>3513.8249999999998</v>
          </cell>
          <cell r="Z457">
            <v>3513.8249999999998</v>
          </cell>
          <cell r="AC457">
            <v>3513.8249999999998</v>
          </cell>
          <cell r="AF457">
            <v>3513.8249999999998</v>
          </cell>
          <cell r="AI457">
            <v>3513.8249999999998</v>
          </cell>
          <cell r="AL457">
            <v>3513.8249999999998</v>
          </cell>
          <cell r="AO457">
            <v>3513.8249999999998</v>
          </cell>
        </row>
        <row r="458">
          <cell r="A458" t="str">
            <v>Taxe sur le capital</v>
          </cell>
          <cell r="B458" t="str">
            <v>Taxe sur le capital</v>
          </cell>
          <cell r="E458">
            <v>0</v>
          </cell>
        </row>
        <row r="459">
          <cell r="A459" t="str">
            <v>Assurances</v>
          </cell>
          <cell r="B459" t="str">
            <v>Assurances</v>
          </cell>
          <cell r="E459">
            <v>52275.340000000004</v>
          </cell>
          <cell r="H459">
            <v>4356.2783333333327</v>
          </cell>
          <cell r="K459">
            <v>4356.2783333333327</v>
          </cell>
          <cell r="N459">
            <v>4356.2783333333327</v>
          </cell>
          <cell r="Q459">
            <v>4356.2783333333327</v>
          </cell>
          <cell r="T459">
            <v>4356.2783333333327</v>
          </cell>
          <cell r="W459">
            <v>4356.2783333333327</v>
          </cell>
          <cell r="Z459">
            <v>4356.2783333333327</v>
          </cell>
          <cell r="AC459">
            <v>4356.2783333333327</v>
          </cell>
          <cell r="AF459">
            <v>4356.2783333333327</v>
          </cell>
          <cell r="AI459">
            <v>4356.2783333333327</v>
          </cell>
          <cell r="AL459">
            <v>4356.2783333333327</v>
          </cell>
          <cell r="AO459">
            <v>4356.2783333333327</v>
          </cell>
        </row>
        <row r="460">
          <cell r="A460" t="str">
            <v>Chauffage, éclairage</v>
          </cell>
          <cell r="B460" t="str">
            <v>Chauffage, éclairage</v>
          </cell>
          <cell r="E460">
            <v>30131.378997500011</v>
          </cell>
          <cell r="H460">
            <v>2510.948249791667</v>
          </cell>
          <cell r="K460">
            <v>2510.948249791667</v>
          </cell>
          <cell r="N460">
            <v>2510.948249791667</v>
          </cell>
          <cell r="Q460">
            <v>2510.948249791667</v>
          </cell>
          <cell r="T460">
            <v>2510.948249791667</v>
          </cell>
          <cell r="W460">
            <v>2510.948249791667</v>
          </cell>
          <cell r="Z460">
            <v>2510.948249791667</v>
          </cell>
          <cell r="AC460">
            <v>2510.948249791667</v>
          </cell>
          <cell r="AF460">
            <v>2510.948249791667</v>
          </cell>
          <cell r="AI460">
            <v>2510.948249791667</v>
          </cell>
          <cell r="AL460">
            <v>2510.948249791667</v>
          </cell>
          <cell r="AO460">
            <v>2510.948249791667</v>
          </cell>
        </row>
        <row r="461">
          <cell r="A461" t="str">
            <v>Honoraires</v>
          </cell>
          <cell r="B461" t="str">
            <v>Honoraires</v>
          </cell>
          <cell r="E461">
            <v>75682.312533333359</v>
          </cell>
          <cell r="H461">
            <v>6306.8593777777805</v>
          </cell>
          <cell r="K461">
            <v>6306.8593777777805</v>
          </cell>
          <cell r="N461">
            <v>6306.8593777777805</v>
          </cell>
          <cell r="Q461">
            <v>6306.8593777777805</v>
          </cell>
          <cell r="T461">
            <v>6306.8593777777805</v>
          </cell>
          <cell r="W461">
            <v>6306.8593777777805</v>
          </cell>
          <cell r="Z461">
            <v>6306.8593777777805</v>
          </cell>
          <cell r="AC461">
            <v>6306.8593777777805</v>
          </cell>
          <cell r="AF461">
            <v>6306.8593777777805</v>
          </cell>
          <cell r="AI461">
            <v>6306.8593777777805</v>
          </cell>
          <cell r="AL461">
            <v>6306.8593777777805</v>
          </cell>
          <cell r="AO461">
            <v>6306.8593777777805</v>
          </cell>
        </row>
        <row r="462">
          <cell r="A462" t="str">
            <v>Réparation équipement</v>
          </cell>
          <cell r="B462" t="str">
            <v>Réparation équipement</v>
          </cell>
          <cell r="E462">
            <v>18218.174351666665</v>
          </cell>
          <cell r="H462">
            <v>1518.181195972222</v>
          </cell>
          <cell r="K462">
            <v>1518.181195972222</v>
          </cell>
          <cell r="N462">
            <v>1518.181195972222</v>
          </cell>
          <cell r="Q462">
            <v>1518.181195972222</v>
          </cell>
          <cell r="T462">
            <v>1518.181195972222</v>
          </cell>
          <cell r="W462">
            <v>1518.181195972222</v>
          </cell>
          <cell r="Z462">
            <v>1518.181195972222</v>
          </cell>
          <cell r="AC462">
            <v>1518.181195972222</v>
          </cell>
          <cell r="AF462">
            <v>1518.181195972222</v>
          </cell>
          <cell r="AI462">
            <v>1518.181195972222</v>
          </cell>
          <cell r="AL462">
            <v>1518.181195972222</v>
          </cell>
          <cell r="AO462">
            <v>1518.181195972222</v>
          </cell>
        </row>
        <row r="463">
          <cell r="A463" t="str">
            <v>Location équipement</v>
          </cell>
          <cell r="B463" t="str">
            <v>Location équipement</v>
          </cell>
          <cell r="E463">
            <v>964.01250000000016</v>
          </cell>
          <cell r="H463">
            <v>80.334374999999994</v>
          </cell>
          <cell r="K463">
            <v>80.334374999999994</v>
          </cell>
          <cell r="N463">
            <v>80.334374999999994</v>
          </cell>
          <cell r="Q463">
            <v>80.334374999999994</v>
          </cell>
          <cell r="T463">
            <v>80.334374999999994</v>
          </cell>
          <cell r="W463">
            <v>80.334374999999994</v>
          </cell>
          <cell r="Z463">
            <v>80.334374999999994</v>
          </cell>
          <cell r="AC463">
            <v>80.334374999999994</v>
          </cell>
          <cell r="AF463">
            <v>80.334374999999994</v>
          </cell>
          <cell r="AI463">
            <v>80.334374999999994</v>
          </cell>
          <cell r="AL463">
            <v>80.334374999999994</v>
          </cell>
          <cell r="AO463">
            <v>80.334374999999994</v>
          </cell>
        </row>
        <row r="464">
          <cell r="A464" t="str">
            <v>Dons</v>
          </cell>
          <cell r="B464" t="str">
            <v>Dons</v>
          </cell>
          <cell r="E464">
            <v>0</v>
          </cell>
        </row>
        <row r="465">
          <cell r="A465" t="str">
            <v>[...]</v>
          </cell>
          <cell r="B465" t="str">
            <v>[...]</v>
          </cell>
          <cell r="E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TOTAL DÉPENSES FIXES</v>
          </cell>
          <cell r="B468" t="str">
            <v>TOTAL DÉPENSES FIXES</v>
          </cell>
          <cell r="C468">
            <v>7.1291235586981277E-2</v>
          </cell>
          <cell r="E468">
            <v>594816.37838250003</v>
          </cell>
          <cell r="F468">
            <v>8.8670048311274063E-2</v>
          </cell>
          <cell r="H468">
            <v>49568.031531875007</v>
          </cell>
          <cell r="I468">
            <v>9.8081329154427466E-2</v>
          </cell>
          <cell r="K468">
            <v>49568.031531875007</v>
          </cell>
          <cell r="L468">
            <v>7.2883961374254458E-2</v>
          </cell>
          <cell r="N468">
            <v>49568.031531875007</v>
          </cell>
          <cell r="O468">
            <v>5.7095624104338022E-2</v>
          </cell>
          <cell r="Q468">
            <v>49568.031531875007</v>
          </cell>
          <cell r="R468">
            <v>5.8840683111330852E-2</v>
          </cell>
          <cell r="T468">
            <v>49568.031531875007</v>
          </cell>
          <cell r="U468">
            <v>7.1699074861830914E-2</v>
          </cell>
          <cell r="W468">
            <v>49568.031531875007</v>
          </cell>
          <cell r="X468">
            <v>7.6453276909537085E-2</v>
          </cell>
          <cell r="Z468">
            <v>49568.031531875007</v>
          </cell>
          <cell r="AA468">
            <v>7.3698884676555304E-2</v>
          </cell>
          <cell r="AC468">
            <v>49568.031531875007</v>
          </cell>
          <cell r="AD468">
            <v>7.7048265482950573E-2</v>
          </cell>
          <cell r="AF468">
            <v>49568.031531875007</v>
          </cell>
          <cell r="AG468">
            <v>6.1710711500359477E-2</v>
          </cell>
          <cell r="AI468">
            <v>49568.031531875007</v>
          </cell>
          <cell r="AJ468">
            <v>5.3700530075055326E-2</v>
          </cell>
          <cell r="AL468">
            <v>49568.031531875007</v>
          </cell>
          <cell r="AM468">
            <v>9.7855133822150164E-2</v>
          </cell>
          <cell r="AO468">
            <v>49568.031531875007</v>
          </cell>
        </row>
        <row r="469">
          <cell r="A469">
            <v>0</v>
          </cell>
        </row>
        <row r="470">
          <cell r="A470" t="str">
            <v>TOTAL DES DÉPENSES</v>
          </cell>
          <cell r="B470" t="str">
            <v>TOTAL DES DÉPENSES</v>
          </cell>
          <cell r="C470">
            <v>0.87553180731516578</v>
          </cell>
          <cell r="E470">
            <v>7304974.5105132274</v>
          </cell>
          <cell r="F470">
            <v>1.0053343395255414</v>
          </cell>
          <cell r="H470">
            <v>561998.61385823519</v>
          </cell>
          <cell r="I470">
            <v>1.0443579904663991</v>
          </cell>
          <cell r="K470">
            <v>527794.33403169061</v>
          </cell>
          <cell r="L470">
            <v>0.90937515254532519</v>
          </cell>
          <cell r="N470">
            <v>618461.66681594448</v>
          </cell>
          <cell r="O470">
            <v>0.7692950789287093</v>
          </cell>
          <cell r="Q470">
            <v>667869.79436410603</v>
          </cell>
          <cell r="R470">
            <v>0.80625365448585418</v>
          </cell>
          <cell r="T470">
            <v>679196.84910232457</v>
          </cell>
          <cell r="U470">
            <v>0.8647971664018681</v>
          </cell>
          <cell r="W470">
            <v>597863.96540667047</v>
          </cell>
          <cell r="X470">
            <v>0.91025385720345064</v>
          </cell>
          <cell r="Z470">
            <v>590157.72403397283</v>
          </cell>
          <cell r="AA470">
            <v>0.89355713385763191</v>
          </cell>
          <cell r="AC470">
            <v>600984.23986973648</v>
          </cell>
          <cell r="AD470">
            <v>0.92502810284207293</v>
          </cell>
          <cell r="AF470">
            <v>595105.18351243855</v>
          </cell>
          <cell r="AG470">
            <v>0.79104476261703949</v>
          </cell>
          <cell r="AI470">
            <v>635392.63740781182</v>
          </cell>
          <cell r="AJ470">
            <v>0.74311145004725621</v>
          </cell>
          <cell r="AL470">
            <v>685925.66472169606</v>
          </cell>
          <cell r="AM470">
            <v>1.0743839283312984</v>
          </cell>
          <cell r="AO470">
            <v>544223.83738859987</v>
          </cell>
        </row>
        <row r="471">
          <cell r="A471" t="str">
            <v>Revenus autres</v>
          </cell>
          <cell r="B471" t="str">
            <v>Revenus autres</v>
          </cell>
          <cell r="E471">
            <v>93159.430000000008</v>
          </cell>
          <cell r="H471">
            <v>360</v>
          </cell>
          <cell r="K471">
            <v>19493.39</v>
          </cell>
          <cell r="N471">
            <v>0</v>
          </cell>
          <cell r="Q471">
            <v>2969.34</v>
          </cell>
          <cell r="T471">
            <v>14968.87</v>
          </cell>
          <cell r="W471">
            <v>1758.03</v>
          </cell>
          <cell r="Z471">
            <v>1091.5</v>
          </cell>
          <cell r="AC471">
            <v>26232.22</v>
          </cell>
          <cell r="AF471">
            <v>176.08</v>
          </cell>
          <cell r="AI471">
            <v>0</v>
          </cell>
          <cell r="AL471">
            <v>26110</v>
          </cell>
          <cell r="AO471">
            <v>0</v>
          </cell>
        </row>
        <row r="472">
          <cell r="A472" t="str">
            <v>Holdbacks</v>
          </cell>
          <cell r="B472" t="str">
            <v>Holdbacks</v>
          </cell>
          <cell r="E472">
            <v>777263.49903074617</v>
          </cell>
          <cell r="H472">
            <v>54408.444932152241</v>
          </cell>
          <cell r="K472">
            <v>39973.551378724093</v>
          </cell>
          <cell r="N472">
            <v>71064.091339953928</v>
          </cell>
          <cell r="Q472">
            <v>77726.349903074617</v>
          </cell>
          <cell r="T472">
            <v>85498.984893382076</v>
          </cell>
          <cell r="W472">
            <v>59960.327068086131</v>
          </cell>
          <cell r="Z472">
            <v>62181.079922459692</v>
          </cell>
          <cell r="AC472">
            <v>64401.832776833246</v>
          </cell>
          <cell r="AF472">
            <v>66622.585631206806</v>
          </cell>
          <cell r="AI472">
            <v>76615.973475887848</v>
          </cell>
          <cell r="AL472">
            <v>79947.102757448185</v>
          </cell>
          <cell r="AO472">
            <v>38863.174951537309</v>
          </cell>
        </row>
        <row r="473">
          <cell r="A473" t="str">
            <v>Programme neuf 1</v>
          </cell>
          <cell r="B473" t="str">
            <v>Programme neuf 1</v>
          </cell>
          <cell r="E473">
            <v>54624.175776000004</v>
          </cell>
          <cell r="H473">
            <v>0</v>
          </cell>
          <cell r="K473">
            <v>0</v>
          </cell>
          <cell r="N473">
            <v>10069.275775575905</v>
          </cell>
          <cell r="Q473">
            <v>0</v>
          </cell>
          <cell r="T473">
            <v>0</v>
          </cell>
          <cell r="W473">
            <v>16584.689512713256</v>
          </cell>
          <cell r="Z473">
            <v>0</v>
          </cell>
          <cell r="AC473">
            <v>0</v>
          </cell>
          <cell r="AF473">
            <v>15729.130133089158</v>
          </cell>
          <cell r="AI473">
            <v>0</v>
          </cell>
          <cell r="AL473">
            <v>0</v>
          </cell>
          <cell r="AO473">
            <v>12241.080354621687</v>
          </cell>
        </row>
        <row r="474">
          <cell r="A474" t="str">
            <v>Programme neuf 2</v>
          </cell>
          <cell r="B474" t="str">
            <v>Programme neuf 2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Programme neuf 3</v>
          </cell>
          <cell r="B475" t="str">
            <v>Programme neuf 3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used 1</v>
          </cell>
          <cell r="B476" t="str">
            <v>Programme used 1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Programme used 2</v>
          </cell>
          <cell r="B477" t="str">
            <v>Programme used 2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3</v>
          </cell>
          <cell r="B478" t="str">
            <v>Programme used 3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[...]</v>
          </cell>
          <cell r="B479" t="str">
            <v>[...]</v>
          </cell>
          <cell r="E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</row>
        <row r="482">
          <cell r="A482" t="str">
            <v>Frais administration</v>
          </cell>
          <cell r="B482" t="str">
            <v>Frais administration</v>
          </cell>
          <cell r="E482">
            <v>412946.95881600003</v>
          </cell>
          <cell r="H482">
            <v>28992.471117120003</v>
          </cell>
          <cell r="K482">
            <v>24444.548167680005</v>
          </cell>
          <cell r="N482">
            <v>36035.574520319999</v>
          </cell>
          <cell r="Q482">
            <v>43162.015881600004</v>
          </cell>
          <cell r="T482">
            <v>44892.697469760002</v>
          </cell>
          <cell r="W482">
            <v>33255.372251520006</v>
          </cell>
          <cell r="Z482">
            <v>32518.652705280001</v>
          </cell>
          <cell r="AC482">
            <v>34654.733159039999</v>
          </cell>
          <cell r="AF482">
            <v>34636.213612800006</v>
          </cell>
          <cell r="AI482">
            <v>38862.075654720007</v>
          </cell>
          <cell r="AL482">
            <v>39193.396335360005</v>
          </cell>
          <cell r="AO482">
            <v>22299.207940800003</v>
          </cell>
        </row>
        <row r="483">
          <cell r="A483" t="str">
            <v>TOTAL AUTRES REVENUS</v>
          </cell>
          <cell r="B483" t="str">
            <v>TOTAL AUTRES REVENUS</v>
          </cell>
          <cell r="C483">
            <v>0.1603641955238366</v>
          </cell>
          <cell r="E483">
            <v>1337994.0636227462</v>
          </cell>
          <cell r="F483">
            <v>0.14983617955273273</v>
          </cell>
          <cell r="H483">
            <v>83760.916049272244</v>
          </cell>
          <cell r="I483">
            <v>0.16603746753079585</v>
          </cell>
          <cell r="K483">
            <v>83911.489546404104</v>
          </cell>
          <cell r="L483">
            <v>0.17228315009761941</v>
          </cell>
          <cell r="N483">
            <v>117168.94163584983</v>
          </cell>
          <cell r="O483">
            <v>0.1426672150044925</v>
          </cell>
          <cell r="Q483">
            <v>123857.70578467462</v>
          </cell>
          <cell r="R483">
            <v>0.1725530333595662</v>
          </cell>
          <cell r="T483">
            <v>145360.55236314208</v>
          </cell>
          <cell r="U483">
            <v>0.16136681599273087</v>
          </cell>
          <cell r="W483">
            <v>111558.4188323194</v>
          </cell>
          <cell r="X483">
            <v>0.14774751805273956</v>
          </cell>
          <cell r="Z483">
            <v>95791.232627739693</v>
          </cell>
          <cell r="AA483">
            <v>0.1862822367681839</v>
          </cell>
          <cell r="AC483">
            <v>125288.78593587324</v>
          </cell>
          <cell r="AD483">
            <v>0.18211906788609014</v>
          </cell>
          <cell r="AF483">
            <v>117164.00937709596</v>
          </cell>
          <cell r="AG483">
            <v>0.14376670515835827</v>
          </cell>
          <cell r="AI483">
            <v>115478.04913060786</v>
          </cell>
          <cell r="AJ483">
            <v>0.15736006764630728</v>
          </cell>
          <cell r="AL483">
            <v>145250.4990928082</v>
          </cell>
          <cell r="AM483">
            <v>0.14491004579073199</v>
          </cell>
          <cell r="AO483">
            <v>73403.463246959</v>
          </cell>
        </row>
        <row r="484">
          <cell r="A484">
            <v>0</v>
          </cell>
        </row>
        <row r="485">
          <cell r="A485" t="str">
            <v>BAIIA OPÉRATIONNEL</v>
          </cell>
          <cell r="B485" t="str">
            <v>BAIIA OPÉRATIONNEL</v>
          </cell>
          <cell r="C485" t="str">
            <v>%vte</v>
          </cell>
          <cell r="D485">
            <v>4.0737148673548156E-2</v>
          </cell>
          <cell r="E485">
            <v>2376490.8576119388</v>
          </cell>
          <cell r="F485" t="str">
            <v>%vte</v>
          </cell>
          <cell r="G485">
            <v>1.9726060717545343E-2</v>
          </cell>
          <cell r="H485">
            <v>80778.931547859174</v>
          </cell>
          <cell r="I485" t="str">
            <v>%vte</v>
          </cell>
          <cell r="J485">
            <v>1.7566477351254758E-2</v>
          </cell>
          <cell r="K485">
            <v>61493.988793868397</v>
          </cell>
          <cell r="L485" t="str">
            <v>%vte</v>
          </cell>
          <cell r="M485">
            <v>3.5751156098449463E-2</v>
          </cell>
          <cell r="N485">
            <v>178802.46445080853</v>
          </cell>
          <cell r="O485" t="str">
            <v>%vte</v>
          </cell>
          <cell r="P485">
            <v>5.4018811931204162E-2</v>
          </cell>
          <cell r="Q485">
            <v>324146.06380879891</v>
          </cell>
          <cell r="R485" t="str">
            <v>%vte</v>
          </cell>
          <cell r="S485">
            <v>5.0179650428514688E-2</v>
          </cell>
          <cell r="T485">
            <v>308574.58142973151</v>
          </cell>
          <cell r="U485" t="str">
            <v>%vte</v>
          </cell>
          <cell r="V485">
            <v>4.3145790468237473E-2</v>
          </cell>
          <cell r="W485">
            <v>205028.7785532191</v>
          </cell>
          <cell r="X485" t="str">
            <v>%vte</v>
          </cell>
          <cell r="Y485">
            <v>3.3516899670356586E-2</v>
          </cell>
          <cell r="Z485">
            <v>153977.61542029449</v>
          </cell>
          <cell r="AA485" t="str">
            <v>%vte</v>
          </cell>
          <cell r="AB485">
            <v>4.0622236797979341E-2</v>
          </cell>
          <cell r="AC485">
            <v>196879.60265506402</v>
          </cell>
          <cell r="AD485" t="str">
            <v>%vte</v>
          </cell>
          <cell r="AE485">
            <v>3.4552889647799151E-2</v>
          </cell>
          <cell r="AF485">
            <v>165396.23548932362</v>
          </cell>
          <cell r="AG485" t="str">
            <v>%vte</v>
          </cell>
          <cell r="AH485">
            <v>5.1085793278118699E-2</v>
          </cell>
          <cell r="AI485">
            <v>283317.627439289</v>
          </cell>
          <cell r="AJ485" t="str">
            <v>%vte</v>
          </cell>
          <cell r="AK485">
            <v>6.6095956803875103E-2</v>
          </cell>
          <cell r="AL485">
            <v>382370.31385884772</v>
          </cell>
          <cell r="AM485" t="str">
            <v>%vte</v>
          </cell>
          <cell r="AN485">
            <v>1.0892272581057729E-2</v>
          </cell>
          <cell r="AO485">
            <v>35724.654164834676</v>
          </cell>
        </row>
        <row r="487">
          <cell r="B487" t="str">
            <v>Budget 2023</v>
          </cell>
          <cell r="C487" t="str">
            <v>CALCUL DU PROFIT NET</v>
          </cell>
        </row>
        <row r="491">
          <cell r="B491" t="str">
            <v>BAIIA OPÉRATIONNEL</v>
          </cell>
          <cell r="C491" t="str">
            <v>%vte</v>
          </cell>
          <cell r="D491">
            <v>4.0737148673548156E-2</v>
          </cell>
          <cell r="E491">
            <v>2376490.8576119388</v>
          </cell>
          <cell r="F491" t="str">
            <v>%vte</v>
          </cell>
          <cell r="G491">
            <v>1.9726060717545343E-2</v>
          </cell>
          <cell r="H491">
            <v>80778.931547859174</v>
          </cell>
          <cell r="I491" t="str">
            <v>%vte</v>
          </cell>
          <cell r="J491">
            <v>1.7566477351254758E-2</v>
          </cell>
          <cell r="K491">
            <v>61493.988793868397</v>
          </cell>
          <cell r="L491" t="str">
            <v>%vte</v>
          </cell>
          <cell r="M491">
            <v>3.5751156098449463E-2</v>
          </cell>
          <cell r="N491">
            <v>178802.46445080853</v>
          </cell>
          <cell r="O491" t="str">
            <v>%vte</v>
          </cell>
          <cell r="P491">
            <v>5.4018811931204162E-2</v>
          </cell>
          <cell r="Q491">
            <v>324146.06380879891</v>
          </cell>
          <cell r="R491" t="str">
            <v>%vte</v>
          </cell>
          <cell r="S491">
            <v>5.0179650428514688E-2</v>
          </cell>
          <cell r="T491">
            <v>308574.58142973151</v>
          </cell>
          <cell r="U491" t="str">
            <v>%vte</v>
          </cell>
          <cell r="V491">
            <v>4.3145790468237473E-2</v>
          </cell>
          <cell r="W491">
            <v>205028.7785532191</v>
          </cell>
          <cell r="X491" t="str">
            <v>%vte</v>
          </cell>
          <cell r="Y491">
            <v>3.3516899670356586E-2</v>
          </cell>
          <cell r="Z491">
            <v>153977.61542029449</v>
          </cell>
          <cell r="AA491" t="str">
            <v>%vte</v>
          </cell>
          <cell r="AB491">
            <v>4.0622236797979341E-2</v>
          </cell>
          <cell r="AC491">
            <v>196879.60265506402</v>
          </cell>
          <cell r="AD491" t="str">
            <v>%vte</v>
          </cell>
          <cell r="AE491">
            <v>3.4552889647799151E-2</v>
          </cell>
          <cell r="AF491">
            <v>165396.23548932362</v>
          </cell>
          <cell r="AG491" t="str">
            <v>%vte</v>
          </cell>
          <cell r="AH491">
            <v>5.1085793278118699E-2</v>
          </cell>
          <cell r="AI491">
            <v>283317.627439289</v>
          </cell>
          <cell r="AJ491" t="str">
            <v>%vte</v>
          </cell>
          <cell r="AK491">
            <v>6.6095956803875103E-2</v>
          </cell>
          <cell r="AL491">
            <v>382370.31385884772</v>
          </cell>
          <cell r="AM491" t="str">
            <v>%vte</v>
          </cell>
          <cell r="AN491">
            <v>1.0892272581057729E-2</v>
          </cell>
          <cell r="AO491">
            <v>35724.654164834676</v>
          </cell>
        </row>
        <row r="493">
          <cell r="A493" t="str">
            <v>Amortissement</v>
          </cell>
          <cell r="B493" t="str">
            <v>Amortissement</v>
          </cell>
          <cell r="E493">
            <v>55968.44999999999</v>
          </cell>
          <cell r="H493">
            <v>4664.0375000000004</v>
          </cell>
          <cell r="K493">
            <v>4664.0375000000004</v>
          </cell>
          <cell r="N493">
            <v>4664.0375000000004</v>
          </cell>
          <cell r="Q493">
            <v>4664.0375000000004</v>
          </cell>
          <cell r="T493">
            <v>4664.0375000000004</v>
          </cell>
          <cell r="W493">
            <v>4664.0375000000004</v>
          </cell>
          <cell r="Z493">
            <v>4664.0375000000004</v>
          </cell>
          <cell r="AC493">
            <v>4664.0375000000004</v>
          </cell>
          <cell r="AF493">
            <v>4664.0375000000004</v>
          </cell>
          <cell r="AI493">
            <v>4664.0375000000004</v>
          </cell>
          <cell r="AL493">
            <v>4664.0375000000004</v>
          </cell>
          <cell r="AO493">
            <v>4664.0375000000004</v>
          </cell>
        </row>
        <row r="494">
          <cell r="A494" t="str">
            <v>Intérêts sur marge</v>
          </cell>
          <cell r="B494" t="str">
            <v>Intérêts sur marge</v>
          </cell>
          <cell r="E494">
            <v>0</v>
          </cell>
          <cell r="H494">
            <v>0</v>
          </cell>
          <cell r="K494">
            <v>0</v>
          </cell>
          <cell r="N494">
            <v>0</v>
          </cell>
          <cell r="Q494">
            <v>0</v>
          </cell>
          <cell r="T494">
            <v>0</v>
          </cell>
          <cell r="W494">
            <v>0</v>
          </cell>
          <cell r="Z494">
            <v>0</v>
          </cell>
          <cell r="AC494">
            <v>0</v>
          </cell>
          <cell r="AF494">
            <v>0</v>
          </cell>
          <cell r="AI494">
            <v>0</v>
          </cell>
          <cell r="AL494">
            <v>0</v>
          </cell>
          <cell r="AO494">
            <v>0</v>
          </cell>
        </row>
        <row r="495">
          <cell r="A495" t="str">
            <v>Intérêts sur prêt</v>
          </cell>
          <cell r="B495" t="str">
            <v>Intérêts sur prêt</v>
          </cell>
          <cell r="E495">
            <v>5121</v>
          </cell>
          <cell r="H495">
            <v>450.06</v>
          </cell>
          <cell r="K495">
            <v>432.5</v>
          </cell>
          <cell r="N495">
            <v>442.84000000000003</v>
          </cell>
          <cell r="Q495">
            <v>434.49</v>
          </cell>
          <cell r="T495">
            <v>435.12</v>
          </cell>
          <cell r="W495">
            <v>427.02</v>
          </cell>
          <cell r="Z495">
            <v>427.39</v>
          </cell>
          <cell r="AC495">
            <v>423.53</v>
          </cell>
          <cell r="AF495">
            <v>415.81</v>
          </cell>
          <cell r="AI495">
            <v>415.81</v>
          </cell>
          <cell r="AL495">
            <v>408.34000000000003</v>
          </cell>
          <cell r="AO495">
            <v>408.09000000000003</v>
          </cell>
        </row>
        <row r="496">
          <cell r="A496" t="str">
            <v>Intérêts sur avance</v>
          </cell>
          <cell r="B496" t="str">
            <v>Intérêts sur avance</v>
          </cell>
          <cell r="E496">
            <v>0</v>
          </cell>
        </row>
        <row r="497">
          <cell r="A497" t="str">
            <v>[...]</v>
          </cell>
          <cell r="B497" t="str">
            <v>[...]</v>
          </cell>
        </row>
        <row r="498">
          <cell r="A498" t="str">
            <v>[...]</v>
          </cell>
          <cell r="B498" t="str">
            <v>[...]</v>
          </cell>
        </row>
        <row r="499">
          <cell r="A499" t="str">
            <v>[...]</v>
          </cell>
          <cell r="B499" t="str">
            <v>[...]</v>
          </cell>
        </row>
        <row r="500">
          <cell r="B500" t="str">
            <v>Profit Net</v>
          </cell>
          <cell r="C500" t="str">
            <v>%vte</v>
          </cell>
          <cell r="D500">
            <v>3.9689970225937371E-2</v>
          </cell>
          <cell r="E500">
            <v>2315401.4076119387</v>
          </cell>
          <cell r="F500" t="str">
            <v>%vte</v>
          </cell>
          <cell r="G500">
            <v>1.8477207880952945E-2</v>
          </cell>
          <cell r="H500">
            <v>75664.834047859171</v>
          </cell>
          <cell r="I500" t="str">
            <v>%vte</v>
          </cell>
          <cell r="J500">
            <v>1.6110591787160445E-2</v>
          </cell>
          <cell r="K500">
            <v>56397.451293868398</v>
          </cell>
          <cell r="L500" t="str">
            <v>%vte</v>
          </cell>
          <cell r="M500">
            <v>3.4730047271795739E-2</v>
          </cell>
          <cell r="N500">
            <v>173695.58695080853</v>
          </cell>
          <cell r="O500" t="str">
            <v>%vte</v>
          </cell>
          <cell r="P500">
            <v>5.3169144361861015E-2</v>
          </cell>
          <cell r="Q500">
            <v>319047.53630879894</v>
          </cell>
          <cell r="R500" t="str">
            <v>%vte</v>
          </cell>
          <cell r="S500">
            <v>4.9350437796533184E-2</v>
          </cell>
          <cell r="T500">
            <v>303475.42392973154</v>
          </cell>
          <cell r="U500" t="str">
            <v>%vte</v>
          </cell>
          <cell r="V500">
            <v>4.207443989147084E-2</v>
          </cell>
          <cell r="W500">
            <v>199937.72105321911</v>
          </cell>
          <cell r="X500" t="str">
            <v>%vte</v>
          </cell>
          <cell r="Y500">
            <v>3.2408629067317334E-2</v>
          </cell>
          <cell r="Z500">
            <v>148886.18792029447</v>
          </cell>
          <cell r="AA500" t="str">
            <v>%vte</v>
          </cell>
          <cell r="AB500">
            <v>3.9572517228640358E-2</v>
          </cell>
          <cell r="AC500">
            <v>191792.03515506402</v>
          </cell>
          <cell r="AD500" t="str">
            <v>%vte</v>
          </cell>
          <cell r="AE500">
            <v>3.3491659870858559E-2</v>
          </cell>
          <cell r="AF500">
            <v>160316.38798932362</v>
          </cell>
          <cell r="AG500" t="str">
            <v>%vte</v>
          </cell>
          <cell r="AH500">
            <v>5.0169831777188173E-2</v>
          </cell>
          <cell r="AI500">
            <v>278237.77993928903</v>
          </cell>
          <cell r="AJ500" t="str">
            <v>%vte</v>
          </cell>
          <cell r="AK500">
            <v>6.5219153265573454E-2</v>
          </cell>
          <cell r="AL500">
            <v>377297.93635884771</v>
          </cell>
          <cell r="AM500" t="str">
            <v>%vte</v>
          </cell>
          <cell r="AN500">
            <v>9.3458056778102545E-3</v>
          </cell>
          <cell r="AO500">
            <v>30652.526664834677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 t="str">
            <v>$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C75">
            <v>81126.84</v>
          </cell>
          <cell r="O75">
            <v>1184137.92</v>
          </cell>
          <cell r="U75" t="str">
            <v>Bilan</v>
          </cell>
          <cell r="V75" t="str">
            <v>Encaisse</v>
          </cell>
          <cell r="W75" t="str">
            <v>$</v>
          </cell>
          <cell r="X75">
            <v>0</v>
          </cell>
        </row>
        <row r="76">
          <cell r="C76">
            <v>1500000</v>
          </cell>
          <cell r="O76">
            <v>-700000</v>
          </cell>
          <cell r="U76" t="str">
            <v>Bilan</v>
          </cell>
          <cell r="V76" t="str">
            <v>Encaisse</v>
          </cell>
          <cell r="W76" t="str">
            <v>$</v>
          </cell>
          <cell r="X76">
            <v>0</v>
          </cell>
        </row>
        <row r="77">
          <cell r="C77">
            <v>198.85</v>
          </cell>
          <cell r="O77">
            <v>0</v>
          </cell>
          <cell r="U77" t="str">
            <v>Bilan</v>
          </cell>
          <cell r="V77" t="str">
            <v>Encaisse</v>
          </cell>
          <cell r="W77" t="str">
            <v>$</v>
          </cell>
          <cell r="X77">
            <v>0</v>
          </cell>
        </row>
        <row r="78">
          <cell r="C78">
            <v>1402582.36</v>
          </cell>
          <cell r="O78">
            <v>-574239.57999999996</v>
          </cell>
          <cell r="U78" t="str">
            <v>Bilan</v>
          </cell>
          <cell r="V78" t="str">
            <v>Recevables Contrats en Transit</v>
          </cell>
          <cell r="W78" t="str">
            <v>$</v>
          </cell>
          <cell r="X78">
            <v>0</v>
          </cell>
        </row>
        <row r="79">
          <cell r="C79">
            <v>-171311.15</v>
          </cell>
          <cell r="O79">
            <v>17826.82</v>
          </cell>
          <cell r="U79" t="str">
            <v>Bilan</v>
          </cell>
          <cell r="V79" t="str">
            <v>Recevables Véhicules</v>
          </cell>
          <cell r="W79" t="str">
            <v>$</v>
          </cell>
          <cell r="X79">
            <v>0</v>
          </cell>
        </row>
        <row r="80">
          <cell r="C80">
            <v>259857.73</v>
          </cell>
          <cell r="O80">
            <v>59881.97</v>
          </cell>
          <cell r="U80" t="str">
            <v>Bilan</v>
          </cell>
          <cell r="V80" t="str">
            <v>Recevables Véhicules</v>
          </cell>
          <cell r="W80" t="str">
            <v>$</v>
          </cell>
          <cell r="X80">
            <v>0</v>
          </cell>
        </row>
        <row r="81">
          <cell r="C81">
            <v>129456.37</v>
          </cell>
          <cell r="O81">
            <v>33759.17</v>
          </cell>
          <cell r="U81" t="str">
            <v>Bilan</v>
          </cell>
          <cell r="V81" t="str">
            <v>Recevables Pièces et Service</v>
          </cell>
          <cell r="W81" t="str">
            <v>$</v>
          </cell>
          <cell r="X81">
            <v>0</v>
          </cell>
        </row>
        <row r="82">
          <cell r="C82">
            <v>40021.440000000002</v>
          </cell>
          <cell r="O82">
            <v>22209.3</v>
          </cell>
          <cell r="U82" t="str">
            <v>Bilan</v>
          </cell>
          <cell r="V82" t="str">
            <v>Recevables Carrosserie</v>
          </cell>
          <cell r="W82" t="str">
            <v>$</v>
          </cell>
          <cell r="X82">
            <v>0</v>
          </cell>
        </row>
        <row r="83">
          <cell r="C83">
            <v>23990.03</v>
          </cell>
          <cell r="O83">
            <v>-2504.4899999999998</v>
          </cell>
          <cell r="U83" t="str">
            <v>Bilan</v>
          </cell>
          <cell r="V83" t="str">
            <v>Recevables Intercos</v>
          </cell>
          <cell r="W83" t="str">
            <v>$</v>
          </cell>
          <cell r="X83">
            <v>0</v>
          </cell>
        </row>
        <row r="84">
          <cell r="C84">
            <v>110750</v>
          </cell>
          <cell r="O84">
            <v>-148245</v>
          </cell>
          <cell r="U84" t="str">
            <v>Bilan</v>
          </cell>
          <cell r="V84" t="str">
            <v>Recevables Intercos</v>
          </cell>
          <cell r="W84" t="str">
            <v>$</v>
          </cell>
          <cell r="X84">
            <v>0</v>
          </cell>
        </row>
        <row r="85">
          <cell r="C85">
            <v>104516.78</v>
          </cell>
          <cell r="O85">
            <v>-90706.04</v>
          </cell>
          <cell r="U85" t="str">
            <v>Bilan</v>
          </cell>
          <cell r="V85" t="str">
            <v>Recevables Garantie Manufacturier</v>
          </cell>
          <cell r="W85" t="str">
            <v>$</v>
          </cell>
          <cell r="X85">
            <v>0</v>
          </cell>
        </row>
        <row r="86">
          <cell r="C86">
            <v>22009.06</v>
          </cell>
          <cell r="O86">
            <v>4753.2299999999996</v>
          </cell>
          <cell r="U86" t="str">
            <v>Bilan</v>
          </cell>
          <cell r="V86" t="str">
            <v>recevables Autres</v>
          </cell>
          <cell r="W86" t="str">
            <v>$</v>
          </cell>
          <cell r="X86">
            <v>0</v>
          </cell>
        </row>
        <row r="87">
          <cell r="C87">
            <v>-57279.01</v>
          </cell>
          <cell r="O87">
            <v>0</v>
          </cell>
          <cell r="U87" t="str">
            <v>Bilan</v>
          </cell>
          <cell r="V87" t="str">
            <v>Recevables Manufacturier</v>
          </cell>
          <cell r="W87" t="str">
            <v>$</v>
          </cell>
          <cell r="X87">
            <v>0</v>
          </cell>
        </row>
        <row r="88">
          <cell r="C88">
            <v>-507.16</v>
          </cell>
          <cell r="O88">
            <v>-126.79</v>
          </cell>
          <cell r="U88" t="str">
            <v>Bilan</v>
          </cell>
          <cell r="V88" t="str">
            <v>Recevables Autres</v>
          </cell>
          <cell r="W88" t="str">
            <v>$</v>
          </cell>
          <cell r="X88">
            <v>0</v>
          </cell>
        </row>
        <row r="89">
          <cell r="C89">
            <v>-2655.24</v>
          </cell>
          <cell r="O89">
            <v>0</v>
          </cell>
          <cell r="U89" t="str">
            <v>Bilan</v>
          </cell>
          <cell r="V89" t="str">
            <v>Recevables Pièces et Service</v>
          </cell>
          <cell r="W89" t="str">
            <v>$</v>
          </cell>
          <cell r="X89">
            <v>0</v>
          </cell>
        </row>
        <row r="90">
          <cell r="C90">
            <v>1009355.47</v>
          </cell>
          <cell r="O90">
            <v>-440370.96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C91">
            <v>-28305.74</v>
          </cell>
          <cell r="O91">
            <v>825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-15658</v>
          </cell>
          <cell r="O92">
            <v>-100</v>
          </cell>
          <cell r="U92" t="str">
            <v>Bilan</v>
          </cell>
          <cell r="V92" t="str">
            <v>Inventaire Véhicules Usagés</v>
          </cell>
          <cell r="W92" t="str">
            <v>$</v>
          </cell>
          <cell r="X92">
            <v>0</v>
          </cell>
        </row>
        <row r="93">
          <cell r="C93">
            <v>2322044.42</v>
          </cell>
          <cell r="O93">
            <v>-195456.64000000001</v>
          </cell>
          <cell r="U93" t="str">
            <v>Bilan</v>
          </cell>
          <cell r="V93" t="str">
            <v>Inventaire Véhicules Usagés</v>
          </cell>
          <cell r="W93" t="str">
            <v>$</v>
          </cell>
          <cell r="X93">
            <v>0</v>
          </cell>
        </row>
        <row r="94">
          <cell r="C94">
            <v>0</v>
          </cell>
          <cell r="O94">
            <v>-454.37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0</v>
          </cell>
          <cell r="O95">
            <v>-631.72</v>
          </cell>
          <cell r="U95" t="str">
            <v>Bilan</v>
          </cell>
          <cell r="V95" t="str">
            <v>Inventaire Véhicules Neufs</v>
          </cell>
          <cell r="W95" t="str">
            <v>$</v>
          </cell>
          <cell r="X95">
            <v>0</v>
          </cell>
        </row>
        <row r="96">
          <cell r="C96">
            <v>60963.65</v>
          </cell>
          <cell r="O96">
            <v>1228.3499999999999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-54224.27</v>
          </cell>
          <cell r="O97">
            <v>-6885.15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263873.65999999997</v>
          </cell>
          <cell r="O98">
            <v>25713.77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130797.38</v>
          </cell>
          <cell r="O99">
            <v>11043.92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9636.23</v>
          </cell>
          <cell r="O100">
            <v>1389.06</v>
          </cell>
          <cell r="U100" t="str">
            <v>Bilan</v>
          </cell>
          <cell r="V100" t="str">
            <v>Travaux en Cours</v>
          </cell>
          <cell r="W100" t="str">
            <v>$</v>
          </cell>
          <cell r="X100">
            <v>0</v>
          </cell>
        </row>
        <row r="101">
          <cell r="C101">
            <v>17394.7</v>
          </cell>
          <cell r="O101">
            <v>1015.46</v>
          </cell>
          <cell r="U101" t="str">
            <v>Bilan</v>
          </cell>
          <cell r="V101" t="str">
            <v>Sous-Traitance</v>
          </cell>
          <cell r="W101" t="str">
            <v>$</v>
          </cell>
          <cell r="X101">
            <v>0</v>
          </cell>
        </row>
        <row r="102">
          <cell r="C102">
            <v>-2505.98</v>
          </cell>
          <cell r="O102">
            <v>5647.18</v>
          </cell>
          <cell r="U102" t="str">
            <v>Bilan</v>
          </cell>
          <cell r="V102" t="str">
            <v>Inventaire Pièces, Pneus, Huile</v>
          </cell>
          <cell r="W102" t="str">
            <v>$</v>
          </cell>
          <cell r="X102">
            <v>0</v>
          </cell>
        </row>
        <row r="103">
          <cell r="C103">
            <v>47.1</v>
          </cell>
          <cell r="O103">
            <v>0</v>
          </cell>
          <cell r="U103" t="str">
            <v>Bilan</v>
          </cell>
          <cell r="V103" t="str">
            <v>Inventaire Pièces, Pneus, Huile</v>
          </cell>
          <cell r="W103" t="str">
            <v>$</v>
          </cell>
          <cell r="X103">
            <v>0</v>
          </cell>
        </row>
        <row r="104">
          <cell r="C104">
            <v>2681.57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204.27</v>
          </cell>
          <cell r="O105">
            <v>105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-13370.82</v>
          </cell>
          <cell r="O106">
            <v>2640.45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1766</v>
          </cell>
          <cell r="O107">
            <v>0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13815.08</v>
          </cell>
          <cell r="O108">
            <v>0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4199.5</v>
          </cell>
          <cell r="O109">
            <v>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-130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2270.86</v>
          </cell>
          <cell r="O111">
            <v>1593.2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1834.58</v>
          </cell>
          <cell r="O112">
            <v>0</v>
          </cell>
          <cell r="U112" t="str">
            <v>Bilan</v>
          </cell>
          <cell r="V112" t="str">
            <v>Autres Courus</v>
          </cell>
          <cell r="W112" t="str">
            <v>$</v>
          </cell>
          <cell r="X112">
            <v>0</v>
          </cell>
        </row>
        <row r="113">
          <cell r="C113">
            <v>5453.5</v>
          </cell>
          <cell r="O113">
            <v>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-29952</v>
          </cell>
          <cell r="O114">
            <v>0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22392.78</v>
          </cell>
          <cell r="O115">
            <v>-7906.21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-2.7</v>
          </cell>
          <cell r="O116">
            <v>-303.79000000000002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2042</v>
          </cell>
          <cell r="O117">
            <v>-510.5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94758.37</v>
          </cell>
          <cell r="O118">
            <v>3330.31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144370.28</v>
          </cell>
          <cell r="O119">
            <v>0</v>
          </cell>
          <cell r="U119" t="str">
            <v>Bilan</v>
          </cell>
          <cell r="V119" t="str">
            <v>Améliorations Locatives</v>
          </cell>
          <cell r="W119" t="str">
            <v>$</v>
          </cell>
          <cell r="X119">
            <v>0</v>
          </cell>
        </row>
        <row r="120">
          <cell r="C120">
            <v>-103150.02</v>
          </cell>
          <cell r="O120">
            <v>-225</v>
          </cell>
          <cell r="U120" t="str">
            <v>Bilan</v>
          </cell>
          <cell r="V120" t="str">
            <v>Améliorations Locatives</v>
          </cell>
          <cell r="W120" t="str">
            <v>$</v>
          </cell>
          <cell r="X120">
            <v>0</v>
          </cell>
        </row>
        <row r="121">
          <cell r="C121">
            <v>10527.65</v>
          </cell>
          <cell r="O121">
            <v>0</v>
          </cell>
          <cell r="U121" t="str">
            <v>Bilan</v>
          </cell>
          <cell r="V121" t="str">
            <v>Améliorations Locatives</v>
          </cell>
          <cell r="W121" t="str">
            <v>$</v>
          </cell>
          <cell r="X121">
            <v>0</v>
          </cell>
        </row>
        <row r="122">
          <cell r="C122">
            <v>87962.6</v>
          </cell>
          <cell r="O122">
            <v>2362</v>
          </cell>
          <cell r="U122" t="str">
            <v>Bilan</v>
          </cell>
          <cell r="V122" t="str">
            <v>Améliorations Locatives</v>
          </cell>
          <cell r="W122" t="str">
            <v>$</v>
          </cell>
          <cell r="X122">
            <v>0</v>
          </cell>
        </row>
        <row r="123">
          <cell r="C123">
            <v>981974.53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-832205.08</v>
          </cell>
          <cell r="O124">
            <v>-2612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47461.59</v>
          </cell>
          <cell r="O125">
            <v>0</v>
          </cell>
          <cell r="U125" t="str">
            <v>Bilan</v>
          </cell>
          <cell r="V125" t="str">
            <v>Équipements Service</v>
          </cell>
          <cell r="W125" t="str">
            <v>$</v>
          </cell>
          <cell r="X125">
            <v>0</v>
          </cell>
        </row>
        <row r="126">
          <cell r="C126">
            <v>-47554.01</v>
          </cell>
          <cell r="O126">
            <v>-8.5</v>
          </cell>
          <cell r="U126" t="str">
            <v>Bilan</v>
          </cell>
          <cell r="V126" t="str">
            <v>Équipements Service</v>
          </cell>
          <cell r="W126" t="str">
            <v>$</v>
          </cell>
          <cell r="X126">
            <v>0</v>
          </cell>
        </row>
        <row r="127">
          <cell r="C127">
            <v>440156.49</v>
          </cell>
          <cell r="O127">
            <v>0</v>
          </cell>
          <cell r="U127" t="str">
            <v>Bilan</v>
          </cell>
          <cell r="V127" t="str">
            <v>Mobilier</v>
          </cell>
          <cell r="W127" t="str">
            <v>$</v>
          </cell>
          <cell r="X127">
            <v>0</v>
          </cell>
        </row>
        <row r="128">
          <cell r="C128">
            <v>-411372.7</v>
          </cell>
          <cell r="O128">
            <v>-497</v>
          </cell>
          <cell r="U128" t="str">
            <v>Bilan</v>
          </cell>
          <cell r="V128" t="str">
            <v>Mobilier</v>
          </cell>
          <cell r="W128" t="str">
            <v>$</v>
          </cell>
          <cell r="X128">
            <v>0</v>
          </cell>
        </row>
        <row r="129">
          <cell r="C129">
            <v>3987.88</v>
          </cell>
          <cell r="O129">
            <v>0</v>
          </cell>
          <cell r="U129" t="str">
            <v>Bilan</v>
          </cell>
          <cell r="V129" t="str">
            <v>Équipements Service</v>
          </cell>
          <cell r="W129" t="str">
            <v>$</v>
          </cell>
          <cell r="X129">
            <v>0</v>
          </cell>
        </row>
        <row r="130">
          <cell r="C130">
            <v>-3987.88</v>
          </cell>
          <cell r="O130">
            <v>0</v>
          </cell>
          <cell r="U130" t="str">
            <v>Bilan</v>
          </cell>
          <cell r="V130" t="str">
            <v>Équipements Service</v>
          </cell>
          <cell r="W130" t="str">
            <v>$</v>
          </cell>
          <cell r="X130">
            <v>0</v>
          </cell>
        </row>
        <row r="131">
          <cell r="C131">
            <v>137876.67000000001</v>
          </cell>
          <cell r="O131">
            <v>0</v>
          </cell>
          <cell r="U131" t="str">
            <v>Bilan</v>
          </cell>
          <cell r="V131" t="str">
            <v>Équipements Informatique</v>
          </cell>
          <cell r="W131" t="str">
            <v>$</v>
          </cell>
          <cell r="X131">
            <v>0</v>
          </cell>
        </row>
        <row r="132">
          <cell r="C132">
            <v>-119731.43</v>
          </cell>
          <cell r="O132">
            <v>-972</v>
          </cell>
          <cell r="U132" t="str">
            <v>Bilan</v>
          </cell>
          <cell r="V132" t="str">
            <v>Équipements Informatique</v>
          </cell>
          <cell r="W132" t="str">
            <v>$</v>
          </cell>
          <cell r="X132">
            <v>0</v>
          </cell>
        </row>
        <row r="133">
          <cell r="C133">
            <v>119393.66</v>
          </cell>
          <cell r="O133">
            <v>0</v>
          </cell>
          <cell r="U133" t="str">
            <v>Bilan</v>
          </cell>
          <cell r="V133" t="str">
            <v>Enseigne</v>
          </cell>
          <cell r="W133" t="str">
            <v>$</v>
          </cell>
          <cell r="X133">
            <v>0</v>
          </cell>
        </row>
        <row r="134">
          <cell r="C134">
            <v>-119393.65</v>
          </cell>
          <cell r="O134">
            <v>0</v>
          </cell>
          <cell r="U134" t="str">
            <v>Bilan</v>
          </cell>
          <cell r="V134" t="str">
            <v>Enseigne</v>
          </cell>
          <cell r="W134" t="str">
            <v>$</v>
          </cell>
          <cell r="X134">
            <v>0</v>
          </cell>
        </row>
        <row r="135">
          <cell r="C135">
            <v>7173600</v>
          </cell>
          <cell r="O135">
            <v>0</v>
          </cell>
          <cell r="U135" t="str">
            <v>Bilan</v>
          </cell>
          <cell r="V135" t="str">
            <v>Avances à Recevoir Long Terme</v>
          </cell>
          <cell r="W135" t="str">
            <v>$</v>
          </cell>
          <cell r="X135">
            <v>0</v>
          </cell>
        </row>
        <row r="136">
          <cell r="C136">
            <v>9954.27</v>
          </cell>
          <cell r="O136">
            <v>-3187.83</v>
          </cell>
          <cell r="U136" t="str">
            <v>Bilan</v>
          </cell>
          <cell r="V136" t="str">
            <v>Recevables Autres</v>
          </cell>
          <cell r="W136" t="str">
            <v>$</v>
          </cell>
          <cell r="X136">
            <v>0</v>
          </cell>
        </row>
        <row r="137">
          <cell r="C137">
            <v>-1838926.84</v>
          </cell>
          <cell r="O137">
            <v>643882.18999999994</v>
          </cell>
          <cell r="U137" t="str">
            <v>Bilan</v>
          </cell>
          <cell r="V137" t="str">
            <v>Effet à Payer Véhicules Neufs</v>
          </cell>
          <cell r="W137" t="str">
            <v>$</v>
          </cell>
          <cell r="X137">
            <v>0</v>
          </cell>
        </row>
        <row r="138">
          <cell r="C138">
            <v>-684356.17</v>
          </cell>
          <cell r="O138">
            <v>-82230.89</v>
          </cell>
          <cell r="U138" t="str">
            <v>Bilan</v>
          </cell>
          <cell r="V138" t="str">
            <v>Effet à Payer Véhicules Usagés</v>
          </cell>
          <cell r="W138" t="str">
            <v>$</v>
          </cell>
          <cell r="X138">
            <v>0</v>
          </cell>
        </row>
        <row r="139">
          <cell r="C139">
            <v>-1054.52</v>
          </cell>
          <cell r="O139">
            <v>424.41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-81089.289999999994</v>
          </cell>
          <cell r="O140">
            <v>-29027.3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58141.64</v>
          </cell>
          <cell r="O141">
            <v>-2041.53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-267793.68</v>
          </cell>
          <cell r="O142">
            <v>46707.16</v>
          </cell>
          <cell r="U142" t="str">
            <v>Bilan</v>
          </cell>
          <cell r="V142" t="str">
            <v>Taxes de Vente à Payer</v>
          </cell>
          <cell r="W142" t="str">
            <v>$</v>
          </cell>
          <cell r="X142">
            <v>0</v>
          </cell>
        </row>
        <row r="143">
          <cell r="C143">
            <v>202866.9</v>
          </cell>
          <cell r="O143">
            <v>-45182.8</v>
          </cell>
          <cell r="U143" t="str">
            <v>Bilan</v>
          </cell>
          <cell r="V143" t="str">
            <v>Taxes de Vente à Payer</v>
          </cell>
          <cell r="W143" t="str">
            <v>$</v>
          </cell>
          <cell r="X143">
            <v>0</v>
          </cell>
        </row>
        <row r="144">
          <cell r="C144">
            <v>-914.61</v>
          </cell>
          <cell r="O144">
            <v>109.11</v>
          </cell>
          <cell r="U144" t="str">
            <v>Bilan</v>
          </cell>
          <cell r="V144" t="str">
            <v>Taxes de Vente à Payer</v>
          </cell>
          <cell r="W144" t="str">
            <v>$</v>
          </cell>
          <cell r="X144">
            <v>0</v>
          </cell>
        </row>
        <row r="145">
          <cell r="C145">
            <v>-368573.23</v>
          </cell>
          <cell r="O145">
            <v>185022.41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-12846.23</v>
          </cell>
          <cell r="O146">
            <v>-23.94</v>
          </cell>
          <cell r="U146" t="str">
            <v>Bilan</v>
          </cell>
          <cell r="V146" t="str">
            <v>Autres Comptes à Payer</v>
          </cell>
          <cell r="W146" t="str">
            <v>$</v>
          </cell>
          <cell r="X146">
            <v>0</v>
          </cell>
        </row>
        <row r="147">
          <cell r="C147">
            <v>-44457.19</v>
          </cell>
          <cell r="O147">
            <v>-15074.82</v>
          </cell>
          <cell r="U147" t="str">
            <v>Bilan</v>
          </cell>
          <cell r="V147" t="str">
            <v>Autres Comptes à Payer</v>
          </cell>
          <cell r="W147" t="str">
            <v>$</v>
          </cell>
          <cell r="X147">
            <v>0</v>
          </cell>
        </row>
        <row r="148">
          <cell r="C148">
            <v>-13161.26</v>
          </cell>
          <cell r="O148">
            <v>5113.09</v>
          </cell>
          <cell r="U148" t="str">
            <v>Bilan</v>
          </cell>
          <cell r="V148" t="str">
            <v>Autres Comptes à Payer</v>
          </cell>
          <cell r="W148" t="str">
            <v>$</v>
          </cell>
          <cell r="X148">
            <v>0</v>
          </cell>
        </row>
        <row r="149">
          <cell r="C149">
            <v>-349369.95</v>
          </cell>
          <cell r="O149">
            <v>111125.22</v>
          </cell>
          <cell r="U149" t="str">
            <v>Bilan</v>
          </cell>
          <cell r="V149" t="str">
            <v>Comptes à Payer Fournisseurs</v>
          </cell>
          <cell r="W149" t="str">
            <v>$</v>
          </cell>
          <cell r="X149">
            <v>0</v>
          </cell>
        </row>
        <row r="150">
          <cell r="C150">
            <v>-131957.49</v>
          </cell>
          <cell r="O150">
            <v>89395.74</v>
          </cell>
          <cell r="U150" t="str">
            <v>Bilan</v>
          </cell>
          <cell r="V150" t="str">
            <v>Autres Comptes à Payer</v>
          </cell>
          <cell r="W150" t="str">
            <v>$</v>
          </cell>
          <cell r="X150">
            <v>0</v>
          </cell>
        </row>
        <row r="151">
          <cell r="C151">
            <v>-15090.01</v>
          </cell>
          <cell r="O151">
            <v>6535.41</v>
          </cell>
          <cell r="U151" t="str">
            <v>Bilan</v>
          </cell>
          <cell r="V151" t="str">
            <v>Autres Courus</v>
          </cell>
          <cell r="W151" t="str">
            <v>$</v>
          </cell>
          <cell r="X151">
            <v>0</v>
          </cell>
        </row>
        <row r="152">
          <cell r="C152">
            <v>-798.45</v>
          </cell>
          <cell r="O152">
            <v>62.69</v>
          </cell>
          <cell r="U152" t="str">
            <v>Bilan</v>
          </cell>
          <cell r="V152" t="str">
            <v>Autres Courus</v>
          </cell>
          <cell r="W152" t="str">
            <v>$</v>
          </cell>
          <cell r="X152">
            <v>0</v>
          </cell>
        </row>
        <row r="153">
          <cell r="C153">
            <v>-103879.6</v>
          </cell>
          <cell r="O153">
            <v>13101.61</v>
          </cell>
          <cell r="U153" t="str">
            <v>Bilan</v>
          </cell>
          <cell r="V153" t="str">
            <v>Payables Intercos</v>
          </cell>
          <cell r="W153" t="str">
            <v>$</v>
          </cell>
          <cell r="X153">
            <v>0</v>
          </cell>
        </row>
        <row r="154">
          <cell r="C154">
            <v>-7300</v>
          </cell>
          <cell r="O154">
            <v>300</v>
          </cell>
          <cell r="U154" t="str">
            <v>Bilan</v>
          </cell>
          <cell r="V154" t="str">
            <v>Autres Courus</v>
          </cell>
          <cell r="W154" t="str">
            <v>$</v>
          </cell>
          <cell r="X154">
            <v>0</v>
          </cell>
        </row>
        <row r="155">
          <cell r="C155">
            <v>27.79</v>
          </cell>
          <cell r="O155">
            <v>0</v>
          </cell>
          <cell r="U155" t="str">
            <v>Bilan</v>
          </cell>
          <cell r="V155" t="str">
            <v>DAS à Payer</v>
          </cell>
          <cell r="W155" t="str">
            <v>$</v>
          </cell>
          <cell r="X155">
            <v>0</v>
          </cell>
        </row>
        <row r="156">
          <cell r="C156">
            <v>19002.46</v>
          </cell>
          <cell r="O156">
            <v>2331.7399999999998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52.35</v>
          </cell>
          <cell r="O157">
            <v>0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-37178.94</v>
          </cell>
          <cell r="O158">
            <v>5528.58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-809.66</v>
          </cell>
          <cell r="O159">
            <v>182.06</v>
          </cell>
          <cell r="U159" t="str">
            <v>Bilan</v>
          </cell>
          <cell r="V159" t="str">
            <v>DAS à Payer</v>
          </cell>
          <cell r="W159" t="str">
            <v>$</v>
          </cell>
          <cell r="X159">
            <v>0</v>
          </cell>
        </row>
        <row r="160">
          <cell r="C160">
            <v>-1565.76</v>
          </cell>
          <cell r="O160">
            <v>1087.76</v>
          </cell>
          <cell r="U160" t="str">
            <v>Bilan</v>
          </cell>
          <cell r="V160" t="str">
            <v>DAS à Payer</v>
          </cell>
          <cell r="W160" t="str">
            <v>$</v>
          </cell>
          <cell r="X160">
            <v>0</v>
          </cell>
        </row>
        <row r="161">
          <cell r="C161">
            <v>-23450</v>
          </cell>
          <cell r="O161">
            <v>-3400</v>
          </cell>
          <cell r="U161" t="str">
            <v>Bilan</v>
          </cell>
          <cell r="V161" t="str">
            <v>Dépôts de Client</v>
          </cell>
          <cell r="W161" t="str">
            <v>$</v>
          </cell>
          <cell r="X161">
            <v>0</v>
          </cell>
        </row>
        <row r="162">
          <cell r="C162">
            <v>-20763.349999999999</v>
          </cell>
          <cell r="O162">
            <v>-7735.16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-3161.83</v>
          </cell>
          <cell r="O163">
            <v>-6813.73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-240075.56</v>
          </cell>
          <cell r="O164">
            <v>-614.04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-30302.33</v>
          </cell>
          <cell r="O165">
            <v>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-247496.54</v>
          </cell>
          <cell r="O166">
            <v>16612.25</v>
          </cell>
          <cell r="U166" t="str">
            <v>Bilan</v>
          </cell>
          <cell r="V166" t="str">
            <v>Salaires à Payer</v>
          </cell>
          <cell r="W166" t="str">
            <v>$</v>
          </cell>
          <cell r="X166">
            <v>0</v>
          </cell>
        </row>
        <row r="167">
          <cell r="C167">
            <v>24601.83</v>
          </cell>
          <cell r="O167">
            <v>0</v>
          </cell>
          <cell r="U167" t="str">
            <v>Bilan</v>
          </cell>
          <cell r="V167" t="str">
            <v>Salaires à Payer</v>
          </cell>
          <cell r="W167" t="str">
            <v>$</v>
          </cell>
          <cell r="X167">
            <v>0</v>
          </cell>
        </row>
        <row r="168">
          <cell r="C168">
            <v>-27844.85</v>
          </cell>
          <cell r="O168">
            <v>12386.85</v>
          </cell>
          <cell r="U168" t="str">
            <v>Bilan</v>
          </cell>
          <cell r="V168" t="str">
            <v>Autres Courus</v>
          </cell>
          <cell r="W168" t="str">
            <v>$</v>
          </cell>
          <cell r="X168">
            <v>0</v>
          </cell>
        </row>
        <row r="169">
          <cell r="C169">
            <v>-242566.15</v>
          </cell>
          <cell r="O169">
            <v>0</v>
          </cell>
          <cell r="U169" t="str">
            <v>Bilan</v>
          </cell>
          <cell r="V169" t="str">
            <v>Autres Courus</v>
          </cell>
          <cell r="W169" t="str">
            <v>$</v>
          </cell>
          <cell r="X169">
            <v>0</v>
          </cell>
        </row>
        <row r="170">
          <cell r="C170">
            <v>-2350000</v>
          </cell>
          <cell r="O170">
            <v>0</v>
          </cell>
          <cell r="U170" t="str">
            <v>Bilan</v>
          </cell>
          <cell r="V170" t="str">
            <v>Capital Actions</v>
          </cell>
          <cell r="W170" t="str">
            <v>$</v>
          </cell>
          <cell r="X170">
            <v>0</v>
          </cell>
        </row>
        <row r="171">
          <cell r="C171">
            <v>-1723617</v>
          </cell>
          <cell r="O171">
            <v>0</v>
          </cell>
          <cell r="U171" t="str">
            <v>Bilan</v>
          </cell>
          <cell r="V171" t="str">
            <v>Apport</v>
          </cell>
          <cell r="W171" t="str">
            <v>$</v>
          </cell>
          <cell r="X171">
            <v>0</v>
          </cell>
        </row>
        <row r="172">
          <cell r="C172">
            <v>-347547.5</v>
          </cell>
          <cell r="O172">
            <v>0</v>
          </cell>
          <cell r="U172" t="str">
            <v>Bilan</v>
          </cell>
          <cell r="V172" t="str">
            <v>Capital Actions</v>
          </cell>
          <cell r="W172">
            <v>0</v>
          </cell>
          <cell r="X172">
            <v>0</v>
          </cell>
        </row>
        <row r="173">
          <cell r="C173">
            <v>-5180315.78</v>
          </cell>
          <cell r="O173">
            <v>0</v>
          </cell>
          <cell r="U173" t="str">
            <v>Bilan</v>
          </cell>
          <cell r="V173" t="str">
            <v>Bénéfices non répartis</v>
          </cell>
          <cell r="W173" t="str">
            <v>$</v>
          </cell>
          <cell r="X173">
            <v>0</v>
          </cell>
        </row>
        <row r="174">
          <cell r="C174">
            <v>-1625057.5</v>
          </cell>
          <cell r="O174">
            <v>-295608.87</v>
          </cell>
          <cell r="U174" t="str">
            <v>Véhicules neufs</v>
          </cell>
          <cell r="V174" t="str">
            <v>Rachat bail</v>
          </cell>
          <cell r="W174" t="str">
            <v>$</v>
          </cell>
          <cell r="X174" t="str">
            <v>Oui</v>
          </cell>
        </row>
        <row r="175">
          <cell r="C175">
            <v>-108775.95</v>
          </cell>
          <cell r="O175">
            <v>-53280.95</v>
          </cell>
          <cell r="U175" t="str">
            <v>Véhicules neufs</v>
          </cell>
          <cell r="V175" t="str">
            <v>Autos détail</v>
          </cell>
          <cell r="W175" t="str">
            <v>$</v>
          </cell>
          <cell r="X175" t="str">
            <v>Oui</v>
          </cell>
        </row>
        <row r="176">
          <cell r="C176">
            <v>-1275391.68</v>
          </cell>
          <cell r="O176">
            <v>-115978.06</v>
          </cell>
          <cell r="U176" t="str">
            <v>Véhicules neufs</v>
          </cell>
          <cell r="V176" t="str">
            <v>Autos détail</v>
          </cell>
          <cell r="W176" t="str">
            <v>$</v>
          </cell>
          <cell r="X176" t="str">
            <v>Oui</v>
          </cell>
        </row>
        <row r="177">
          <cell r="C177">
            <v>-1834657.52</v>
          </cell>
          <cell r="O177">
            <v>-157711.85</v>
          </cell>
          <cell r="U177" t="str">
            <v>Véhicules neufs</v>
          </cell>
          <cell r="V177" t="str">
            <v>Camions détail</v>
          </cell>
          <cell r="W177" t="str">
            <v>$</v>
          </cell>
          <cell r="X177" t="str">
            <v>Oui</v>
          </cell>
        </row>
        <row r="178">
          <cell r="C178">
            <v>-1657276.29</v>
          </cell>
          <cell r="O178">
            <v>-472179.39</v>
          </cell>
          <cell r="U178" t="str">
            <v>Véhicules neufs</v>
          </cell>
          <cell r="V178" t="str">
            <v>Camions détail</v>
          </cell>
          <cell r="W178" t="str">
            <v>$</v>
          </cell>
          <cell r="X178" t="str">
            <v>Oui</v>
          </cell>
        </row>
        <row r="179">
          <cell r="C179">
            <v>-761255.49</v>
          </cell>
          <cell r="O179">
            <v>-127586.85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C180">
            <v>-3724240.58</v>
          </cell>
          <cell r="O180">
            <v>-506179.98</v>
          </cell>
          <cell r="U180" t="str">
            <v>Véhicules neufs</v>
          </cell>
          <cell r="V180" t="str">
            <v>Camions détail</v>
          </cell>
          <cell r="W180" t="str">
            <v>$</v>
          </cell>
          <cell r="X180" t="str">
            <v>Oui</v>
          </cell>
        </row>
        <row r="181">
          <cell r="C181">
            <v>-456485.38</v>
          </cell>
          <cell r="O181">
            <v>-61000</v>
          </cell>
          <cell r="U181" t="str">
            <v>Véhicules neufs</v>
          </cell>
          <cell r="V181" t="str">
            <v>Flottes</v>
          </cell>
          <cell r="W181" t="str">
            <v>$</v>
          </cell>
          <cell r="X181" t="str">
            <v>Oui</v>
          </cell>
        </row>
        <row r="182">
          <cell r="C182">
            <v>-1246953.8600000001</v>
          </cell>
          <cell r="O182">
            <v>-135740.75</v>
          </cell>
          <cell r="U182" t="str">
            <v>Véhicules neufs</v>
          </cell>
          <cell r="V182" t="str">
            <v>Ex-Démos et courtoisies</v>
          </cell>
          <cell r="W182" t="str">
            <v>$</v>
          </cell>
          <cell r="X182" t="str">
            <v>Oui</v>
          </cell>
        </row>
        <row r="183">
          <cell r="C183">
            <v>-71509.899999999994</v>
          </cell>
          <cell r="O183">
            <v>-143946.14000000001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C184">
            <v>-3672064.18</v>
          </cell>
          <cell r="O184">
            <v>-996185.18</v>
          </cell>
          <cell r="U184" t="str">
            <v>Véhicules usagés</v>
          </cell>
          <cell r="V184" t="str">
            <v>Certifié</v>
          </cell>
          <cell r="W184" t="str">
            <v>$</v>
          </cell>
          <cell r="X184" t="str">
            <v>Oui</v>
          </cell>
        </row>
        <row r="185">
          <cell r="C185">
            <v>-621955.34</v>
          </cell>
          <cell r="O185">
            <v>-23639</v>
          </cell>
          <cell r="U185" t="str">
            <v>Véhicules usagés</v>
          </cell>
          <cell r="V185" t="str">
            <v>Non Certifié</v>
          </cell>
          <cell r="W185" t="str">
            <v>$</v>
          </cell>
          <cell r="X185" t="str">
            <v>Oui</v>
          </cell>
        </row>
        <row r="186">
          <cell r="C186">
            <v>-148035</v>
          </cell>
          <cell r="O186">
            <v>-85134.399999999994</v>
          </cell>
          <cell r="U186" t="str">
            <v>Véhicules usagés</v>
          </cell>
          <cell r="V186" t="str">
            <v>Non Certifié</v>
          </cell>
          <cell r="W186" t="str">
            <v>$</v>
          </cell>
          <cell r="X186" t="str">
            <v>Oui</v>
          </cell>
        </row>
        <row r="187">
          <cell r="C187">
            <v>-3896792.16</v>
          </cell>
          <cell r="O187">
            <v>-567476.9</v>
          </cell>
          <cell r="U187" t="str">
            <v>Véhicules usagés</v>
          </cell>
          <cell r="V187" t="str">
            <v>Ventes au Gros</v>
          </cell>
          <cell r="W187" t="str">
            <v>$</v>
          </cell>
          <cell r="X187" t="str">
            <v>Oui</v>
          </cell>
        </row>
        <row r="188">
          <cell r="C188">
            <v>-875619.46</v>
          </cell>
          <cell r="O188">
            <v>-134077.04999999999</v>
          </cell>
          <cell r="U188" t="str">
            <v>Service</v>
          </cell>
          <cell r="V188" t="str">
            <v>M/O Client</v>
          </cell>
          <cell r="W188" t="str">
            <v>$</v>
          </cell>
          <cell r="X188" t="str">
            <v>Oui</v>
          </cell>
        </row>
        <row r="189">
          <cell r="C189">
            <v>-37675.81</v>
          </cell>
          <cell r="O189">
            <v>-12357.23</v>
          </cell>
          <cell r="U189" t="str">
            <v>Service</v>
          </cell>
          <cell r="V189" t="str">
            <v>M/O Esthétique</v>
          </cell>
          <cell r="W189" t="str">
            <v>$</v>
          </cell>
          <cell r="X189" t="str">
            <v>Oui</v>
          </cell>
        </row>
        <row r="190">
          <cell r="C190">
            <v>-138386.39000000001</v>
          </cell>
          <cell r="O190">
            <v>-31627.03</v>
          </cell>
          <cell r="U190" t="str">
            <v>Service</v>
          </cell>
          <cell r="V190" t="str">
            <v>M/O Garantie</v>
          </cell>
          <cell r="W190" t="str">
            <v>$</v>
          </cell>
          <cell r="X190" t="str">
            <v>Oui</v>
          </cell>
        </row>
        <row r="191">
          <cell r="C191">
            <v>-301561.21000000002</v>
          </cell>
          <cell r="O191">
            <v>-71244.95</v>
          </cell>
          <cell r="U191" t="str">
            <v>Service</v>
          </cell>
          <cell r="V191" t="str">
            <v>M/O Interne</v>
          </cell>
          <cell r="W191" t="str">
            <v>$</v>
          </cell>
          <cell r="X191" t="str">
            <v>Oui</v>
          </cell>
        </row>
        <row r="192">
          <cell r="C192">
            <v>-124576.43</v>
          </cell>
          <cell r="O192">
            <v>-23063.49</v>
          </cell>
          <cell r="U192" t="str">
            <v>Pièces</v>
          </cell>
          <cell r="V192" t="str">
            <v>Huiles et Graisse</v>
          </cell>
          <cell r="W192" t="str">
            <v>$</v>
          </cell>
          <cell r="X192" t="str">
            <v>Oui</v>
          </cell>
        </row>
        <row r="193">
          <cell r="C193">
            <v>-16395.79</v>
          </cell>
          <cell r="O193">
            <v>-5210</v>
          </cell>
          <cell r="U193" t="str">
            <v>Service</v>
          </cell>
          <cell r="V193" t="str">
            <v>Sous-traitement</v>
          </cell>
          <cell r="W193" t="str">
            <v>$</v>
          </cell>
          <cell r="X193" t="str">
            <v>Oui</v>
          </cell>
        </row>
        <row r="194">
          <cell r="C194">
            <v>-4507</v>
          </cell>
          <cell r="O194">
            <v>-758.62</v>
          </cell>
          <cell r="U194" t="str">
            <v>Service</v>
          </cell>
          <cell r="V194" t="str">
            <v>Sous-traitement</v>
          </cell>
          <cell r="W194" t="str">
            <v>$</v>
          </cell>
          <cell r="X194" t="str">
            <v>Oui</v>
          </cell>
        </row>
        <row r="195">
          <cell r="C195">
            <v>-55209.57</v>
          </cell>
          <cell r="O195">
            <v>-7345.13</v>
          </cell>
          <cell r="U195" t="str">
            <v>Service</v>
          </cell>
          <cell r="V195" t="str">
            <v>Sous-traitement</v>
          </cell>
          <cell r="W195" t="str">
            <v>$</v>
          </cell>
          <cell r="X195" t="str">
            <v>Oui</v>
          </cell>
        </row>
        <row r="196">
          <cell r="C196">
            <v>0</v>
          </cell>
          <cell r="O196">
            <v>-6269.36</v>
          </cell>
          <cell r="U196" t="str">
            <v>Service</v>
          </cell>
          <cell r="V196" t="str">
            <v>M.O. Recond. MCPA</v>
          </cell>
          <cell r="W196" t="str">
            <v>$</v>
          </cell>
          <cell r="X196" t="str">
            <v>Oui</v>
          </cell>
        </row>
        <row r="197">
          <cell r="C197">
            <v>-154506.89000000001</v>
          </cell>
          <cell r="O197">
            <v>-33321.83</v>
          </cell>
          <cell r="U197" t="str">
            <v>Carrosserie</v>
          </cell>
          <cell r="V197" t="str">
            <v>M/O Sous-traitement</v>
          </cell>
          <cell r="W197" t="str">
            <v>$</v>
          </cell>
          <cell r="X197" t="str">
            <v>Oui</v>
          </cell>
        </row>
        <row r="198">
          <cell r="C198">
            <v>-290742.84999999998</v>
          </cell>
          <cell r="O198">
            <v>-49805.47</v>
          </cell>
          <cell r="U198" t="str">
            <v>Carrosserie</v>
          </cell>
          <cell r="V198" t="str">
            <v>M/O Sous-traitement</v>
          </cell>
          <cell r="W198" t="str">
            <v>$</v>
          </cell>
          <cell r="X198" t="str">
            <v>Oui</v>
          </cell>
        </row>
        <row r="199">
          <cell r="C199">
            <v>-24646.94</v>
          </cell>
          <cell r="O199">
            <v>-10071.65</v>
          </cell>
          <cell r="U199" t="str">
            <v>Carrosserie</v>
          </cell>
          <cell r="V199" t="str">
            <v>M/O Sous-traitement</v>
          </cell>
          <cell r="W199" t="str">
            <v>$</v>
          </cell>
          <cell r="X199" t="str">
            <v>Oui</v>
          </cell>
        </row>
        <row r="200">
          <cell r="C200">
            <v>-537324.07999999996</v>
          </cell>
          <cell r="O200">
            <v>-97991.87</v>
          </cell>
          <cell r="U200" t="str">
            <v>Pièces</v>
          </cell>
          <cell r="V200" t="str">
            <v>Pièces Ro Clients</v>
          </cell>
          <cell r="W200" t="str">
            <v>$</v>
          </cell>
          <cell r="X200" t="str">
            <v>Oui</v>
          </cell>
        </row>
        <row r="201">
          <cell r="C201">
            <v>-4302.3900000000003</v>
          </cell>
          <cell r="O201">
            <v>-598.71</v>
          </cell>
          <cell r="U201" t="str">
            <v>Service</v>
          </cell>
          <cell r="V201" t="str">
            <v>M/O Client</v>
          </cell>
          <cell r="W201" t="str">
            <v>$</v>
          </cell>
          <cell r="X201" t="str">
            <v>Oui</v>
          </cell>
        </row>
        <row r="202">
          <cell r="C202">
            <v>-189225.12</v>
          </cell>
          <cell r="O202">
            <v>-47223.46</v>
          </cell>
          <cell r="U202" t="str">
            <v>Pièces</v>
          </cell>
          <cell r="V202" t="str">
            <v>P/A Garantie</v>
          </cell>
          <cell r="W202" t="str">
            <v>$</v>
          </cell>
          <cell r="X202" t="str">
            <v>Oui</v>
          </cell>
        </row>
        <row r="203">
          <cell r="C203">
            <v>-6.59</v>
          </cell>
          <cell r="O203">
            <v>0</v>
          </cell>
          <cell r="U203" t="str">
            <v>Service</v>
          </cell>
          <cell r="V203" t="str">
            <v>M/O Interne</v>
          </cell>
          <cell r="W203" t="str">
            <v>$</v>
          </cell>
          <cell r="X203" t="str">
            <v>Oui</v>
          </cell>
        </row>
        <row r="204">
          <cell r="C204">
            <v>-184156.7</v>
          </cell>
          <cell r="O204">
            <v>-49052.26</v>
          </cell>
          <cell r="U204" t="str">
            <v>Pièces</v>
          </cell>
          <cell r="V204" t="str">
            <v>Ventes Internes</v>
          </cell>
          <cell r="W204" t="str">
            <v>$</v>
          </cell>
          <cell r="X204" t="str">
            <v>Oui</v>
          </cell>
        </row>
        <row r="205">
          <cell r="C205">
            <v>-984.85</v>
          </cell>
          <cell r="O205">
            <v>-225</v>
          </cell>
          <cell r="U205" t="str">
            <v>Service</v>
          </cell>
          <cell r="V205" t="str">
            <v>M/O Interne</v>
          </cell>
          <cell r="W205" t="str">
            <v>$</v>
          </cell>
          <cell r="X205" t="str">
            <v>Oui</v>
          </cell>
        </row>
        <row r="206">
          <cell r="C206">
            <v>-10037.89</v>
          </cell>
          <cell r="O206">
            <v>-1377.84</v>
          </cell>
          <cell r="U206" t="str">
            <v>Pièces</v>
          </cell>
          <cell r="V206" t="str">
            <v>Pièces Ro Clients</v>
          </cell>
          <cell r="W206" t="str">
            <v>$</v>
          </cell>
          <cell r="X206" t="str">
            <v>Oui</v>
          </cell>
        </row>
        <row r="207">
          <cell r="C207">
            <v>-45246.38</v>
          </cell>
          <cell r="O207">
            <v>-11430.96</v>
          </cell>
          <cell r="U207" t="str">
            <v>Pièces</v>
          </cell>
          <cell r="V207" t="str">
            <v>Pièces Ro Carrosserie</v>
          </cell>
          <cell r="W207" t="str">
            <v>$</v>
          </cell>
          <cell r="X207" t="str">
            <v>Oui</v>
          </cell>
        </row>
        <row r="208">
          <cell r="C208">
            <v>-201326.82</v>
          </cell>
          <cell r="O208">
            <v>-36296.76</v>
          </cell>
          <cell r="U208" t="str">
            <v>Pièces</v>
          </cell>
          <cell r="V208" t="str">
            <v>Pièces Ro Carrosserie</v>
          </cell>
          <cell r="W208" t="str">
            <v>$</v>
          </cell>
          <cell r="X208" t="str">
            <v>Oui</v>
          </cell>
        </row>
        <row r="209">
          <cell r="C209">
            <v>-9382.08</v>
          </cell>
          <cell r="O209">
            <v>-2825.75</v>
          </cell>
          <cell r="U209" t="str">
            <v>Pièces</v>
          </cell>
          <cell r="V209" t="str">
            <v>Pièces Ro Carrosserie</v>
          </cell>
          <cell r="W209" t="str">
            <v>$</v>
          </cell>
          <cell r="X209" t="str">
            <v>Oui</v>
          </cell>
        </row>
        <row r="210">
          <cell r="C210">
            <v>-107621.26</v>
          </cell>
          <cell r="O210">
            <v>-18843.27</v>
          </cell>
          <cell r="U210" t="str">
            <v>Pièces</v>
          </cell>
          <cell r="V210" t="str">
            <v>Ventes Détails</v>
          </cell>
          <cell r="W210" t="str">
            <v>$</v>
          </cell>
          <cell r="X210" t="str">
            <v>Oui</v>
          </cell>
        </row>
        <row r="211">
          <cell r="C211">
            <v>-744020.34</v>
          </cell>
          <cell r="O211">
            <v>-133684.29999999999</v>
          </cell>
          <cell r="U211" t="str">
            <v>Pièces</v>
          </cell>
          <cell r="V211" t="str">
            <v>Ventes de Gros</v>
          </cell>
          <cell r="W211" t="str">
            <v>$</v>
          </cell>
          <cell r="X211" t="str">
            <v>Oui</v>
          </cell>
        </row>
        <row r="212">
          <cell r="C212">
            <v>-198465.48</v>
          </cell>
          <cell r="O212">
            <v>-17144.36</v>
          </cell>
          <cell r="U212" t="str">
            <v>Pièces</v>
          </cell>
          <cell r="V212" t="str">
            <v>Ventes Pneus</v>
          </cell>
          <cell r="W212" t="str">
            <v>$</v>
          </cell>
          <cell r="X212" t="str">
            <v>Oui</v>
          </cell>
        </row>
        <row r="213">
          <cell r="C213">
            <v>-1360.79</v>
          </cell>
          <cell r="O213">
            <v>0</v>
          </cell>
          <cell r="U213" t="str">
            <v>Pièces</v>
          </cell>
          <cell r="V213" t="str">
            <v>Ventes Pneus</v>
          </cell>
          <cell r="W213" t="str">
            <v>$</v>
          </cell>
          <cell r="X213" t="str">
            <v>Oui</v>
          </cell>
        </row>
        <row r="214">
          <cell r="C214">
            <v>1568958.93</v>
          </cell>
          <cell r="O214">
            <v>285637.87</v>
          </cell>
          <cell r="U214" t="str">
            <v>Véhicules neufs</v>
          </cell>
          <cell r="V214" t="str">
            <v>Rachat bail</v>
          </cell>
          <cell r="W214" t="str">
            <v>$</v>
          </cell>
          <cell r="X214">
            <v>0</v>
          </cell>
        </row>
        <row r="215">
          <cell r="C215">
            <v>101095.6</v>
          </cell>
          <cell r="O215">
            <v>49665.27</v>
          </cell>
          <cell r="U215" t="str">
            <v>Véhicules neufs</v>
          </cell>
          <cell r="V215" t="str">
            <v>Autos détail</v>
          </cell>
          <cell r="W215" t="str">
            <v>$</v>
          </cell>
          <cell r="X215">
            <v>0</v>
          </cell>
        </row>
        <row r="216">
          <cell r="C216">
            <v>1194795.6299999999</v>
          </cell>
          <cell r="O216">
            <v>113253.43</v>
          </cell>
          <cell r="U216" t="str">
            <v>Véhicules neufs</v>
          </cell>
          <cell r="V216" t="str">
            <v>Autos détail</v>
          </cell>
          <cell r="W216" t="str">
            <v>$</v>
          </cell>
          <cell r="X216">
            <v>0</v>
          </cell>
        </row>
        <row r="217">
          <cell r="C217">
            <v>1734675.7</v>
          </cell>
          <cell r="O217">
            <v>148732.19</v>
          </cell>
          <cell r="U217" t="str">
            <v>Véhicules neufs</v>
          </cell>
          <cell r="V217" t="str">
            <v>Camions détail</v>
          </cell>
          <cell r="W217" t="str">
            <v>$</v>
          </cell>
          <cell r="X217">
            <v>0</v>
          </cell>
        </row>
        <row r="218">
          <cell r="C218">
            <v>1556257.01</v>
          </cell>
          <cell r="O218">
            <v>444128.58</v>
          </cell>
          <cell r="U218" t="str">
            <v>Véhicules neufs</v>
          </cell>
          <cell r="V218" t="str">
            <v>Camions détail</v>
          </cell>
          <cell r="W218" t="str">
            <v>$</v>
          </cell>
          <cell r="X218">
            <v>0</v>
          </cell>
        </row>
        <row r="219">
          <cell r="C219">
            <v>714561.08</v>
          </cell>
          <cell r="O219">
            <v>119330.67</v>
          </cell>
          <cell r="U219" t="str">
            <v>Véhicules neufs</v>
          </cell>
          <cell r="V219" t="str">
            <v>Autos détail</v>
          </cell>
          <cell r="W219" t="str">
            <v>$</v>
          </cell>
          <cell r="X219">
            <v>0</v>
          </cell>
        </row>
        <row r="220">
          <cell r="C220">
            <v>3516257.57</v>
          </cell>
          <cell r="O220">
            <v>481361.98</v>
          </cell>
          <cell r="U220" t="str">
            <v>Véhicules neufs</v>
          </cell>
          <cell r="V220" t="str">
            <v>Camions détail</v>
          </cell>
          <cell r="W220" t="str">
            <v>$</v>
          </cell>
          <cell r="X220">
            <v>0</v>
          </cell>
        </row>
        <row r="221">
          <cell r="C221">
            <v>432139.83</v>
          </cell>
          <cell r="O221">
            <v>56720.95</v>
          </cell>
          <cell r="U221" t="str">
            <v>Véhicules neufs</v>
          </cell>
          <cell r="V221" t="str">
            <v>Flottes</v>
          </cell>
          <cell r="W221" t="str">
            <v>$</v>
          </cell>
          <cell r="X221">
            <v>0</v>
          </cell>
        </row>
        <row r="222">
          <cell r="C222">
            <v>1161647.5900000001</v>
          </cell>
          <cell r="O222">
            <v>133187.21</v>
          </cell>
          <cell r="U222" t="str">
            <v>Véhicules neufs</v>
          </cell>
          <cell r="V222" t="str">
            <v>Ex-Démos et courtoisies</v>
          </cell>
          <cell r="W222" t="str">
            <v>$</v>
          </cell>
          <cell r="X222">
            <v>0</v>
          </cell>
        </row>
        <row r="223">
          <cell r="C223">
            <v>67619.91</v>
          </cell>
          <cell r="O223">
            <v>135956.29999999999</v>
          </cell>
          <cell r="U223" t="str">
            <v>Véhicules neufs</v>
          </cell>
          <cell r="V223" t="str">
            <v>Autos détail</v>
          </cell>
          <cell r="W223" t="str">
            <v>$</v>
          </cell>
          <cell r="X223">
            <v>0</v>
          </cell>
        </row>
        <row r="224">
          <cell r="C224">
            <v>3212991.98</v>
          </cell>
          <cell r="O224">
            <v>871471.61</v>
          </cell>
          <cell r="U224" t="str">
            <v>Véhicules usagés</v>
          </cell>
          <cell r="V224" t="str">
            <v>Certifié</v>
          </cell>
          <cell r="W224" t="str">
            <v>$</v>
          </cell>
          <cell r="X224">
            <v>0</v>
          </cell>
        </row>
        <row r="225">
          <cell r="C225">
            <v>236928.44</v>
          </cell>
          <cell r="O225">
            <v>66998.03</v>
          </cell>
          <cell r="U225" t="str">
            <v>Véhicules usagés</v>
          </cell>
          <cell r="V225" t="str">
            <v>Certifié</v>
          </cell>
          <cell r="W225" t="str">
            <v>$</v>
          </cell>
          <cell r="X225">
            <v>0</v>
          </cell>
        </row>
        <row r="226">
          <cell r="C226">
            <v>540533.31999999995</v>
          </cell>
          <cell r="O226">
            <v>23139</v>
          </cell>
          <cell r="U226" t="str">
            <v>Véhicules usagés</v>
          </cell>
          <cell r="V226" t="str">
            <v>Non Certifié</v>
          </cell>
          <cell r="W226" t="str">
            <v>$</v>
          </cell>
          <cell r="X226">
            <v>0</v>
          </cell>
        </row>
        <row r="227">
          <cell r="C227">
            <v>38496.71</v>
          </cell>
          <cell r="O227">
            <v>0</v>
          </cell>
          <cell r="U227" t="str">
            <v>Véhicules usagés</v>
          </cell>
          <cell r="V227" t="str">
            <v>Non Certifié</v>
          </cell>
          <cell r="W227" t="str">
            <v>$</v>
          </cell>
          <cell r="X227">
            <v>0</v>
          </cell>
        </row>
        <row r="228">
          <cell r="C228">
            <v>140150</v>
          </cell>
          <cell r="O228">
            <v>74449</v>
          </cell>
          <cell r="U228" t="str">
            <v>Véhicules usagés</v>
          </cell>
          <cell r="V228" t="str">
            <v>Non Certifié</v>
          </cell>
          <cell r="W228" t="str">
            <v>$</v>
          </cell>
          <cell r="X228">
            <v>0</v>
          </cell>
        </row>
        <row r="229">
          <cell r="C229">
            <v>3579.76</v>
          </cell>
          <cell r="O229">
            <v>4988.01</v>
          </cell>
          <cell r="U229" t="str">
            <v>Véhicules usagés</v>
          </cell>
          <cell r="V229" t="str">
            <v>Non Certifié</v>
          </cell>
          <cell r="W229" t="str">
            <v>$</v>
          </cell>
          <cell r="X229">
            <v>0</v>
          </cell>
        </row>
        <row r="230">
          <cell r="C230">
            <v>3773497.79</v>
          </cell>
          <cell r="O230">
            <v>550221.56999999995</v>
          </cell>
          <cell r="U230" t="str">
            <v>Véhicules usagés</v>
          </cell>
          <cell r="V230" t="str">
            <v>Ventes au Gros</v>
          </cell>
          <cell r="W230" t="str">
            <v>$</v>
          </cell>
          <cell r="X230">
            <v>0</v>
          </cell>
        </row>
        <row r="231">
          <cell r="C231">
            <v>196917.66</v>
          </cell>
          <cell r="O231">
            <v>36110.11</v>
          </cell>
          <cell r="U231" t="str">
            <v>Service</v>
          </cell>
          <cell r="V231" t="str">
            <v>M/O Client</v>
          </cell>
          <cell r="W231" t="str">
            <v>$</v>
          </cell>
          <cell r="X231">
            <v>0</v>
          </cell>
        </row>
        <row r="232">
          <cell r="C232">
            <v>8098.7</v>
          </cell>
          <cell r="O232">
            <v>3160.69</v>
          </cell>
          <cell r="U232" t="str">
            <v>Service</v>
          </cell>
          <cell r="V232" t="str">
            <v>M/O Esthétique</v>
          </cell>
          <cell r="W232" t="str">
            <v>$</v>
          </cell>
          <cell r="X232">
            <v>0</v>
          </cell>
        </row>
        <row r="233">
          <cell r="C233">
            <v>54948.05</v>
          </cell>
          <cell r="O233">
            <v>11467.44</v>
          </cell>
          <cell r="U233" t="str">
            <v>Service</v>
          </cell>
          <cell r="V233" t="str">
            <v>M/O Garantie</v>
          </cell>
          <cell r="W233" t="str">
            <v>$</v>
          </cell>
          <cell r="X233">
            <v>0</v>
          </cell>
        </row>
        <row r="234">
          <cell r="C234">
            <v>94784.25</v>
          </cell>
          <cell r="O234">
            <v>24211.47</v>
          </cell>
          <cell r="U234" t="str">
            <v>Service</v>
          </cell>
          <cell r="V234" t="str">
            <v>M/O Interne</v>
          </cell>
          <cell r="W234" t="str">
            <v>$</v>
          </cell>
          <cell r="X234">
            <v>0</v>
          </cell>
        </row>
        <row r="235">
          <cell r="C235">
            <v>12736.39</v>
          </cell>
          <cell r="O235">
            <v>1305.82</v>
          </cell>
          <cell r="U235" t="str">
            <v>Service</v>
          </cell>
          <cell r="V235" t="str">
            <v>Ajustement M/O</v>
          </cell>
          <cell r="W235" t="str">
            <v>$</v>
          </cell>
          <cell r="X235">
            <v>0</v>
          </cell>
        </row>
        <row r="236">
          <cell r="C236">
            <v>91495.38</v>
          </cell>
          <cell r="O236">
            <v>17138.830000000002</v>
          </cell>
          <cell r="U236" t="str">
            <v>Pièces</v>
          </cell>
          <cell r="V236" t="str">
            <v>Huiles et Graisse</v>
          </cell>
          <cell r="W236" t="str">
            <v>$</v>
          </cell>
          <cell r="X236">
            <v>0</v>
          </cell>
        </row>
        <row r="237">
          <cell r="C237">
            <v>14110.01</v>
          </cell>
          <cell r="O237">
            <v>4169</v>
          </cell>
          <cell r="U237" t="str">
            <v>Service</v>
          </cell>
          <cell r="V237" t="str">
            <v>Sous-traitement</v>
          </cell>
          <cell r="W237" t="str">
            <v>$</v>
          </cell>
          <cell r="X237">
            <v>0</v>
          </cell>
        </row>
        <row r="238">
          <cell r="C238">
            <v>5413.6</v>
          </cell>
          <cell r="O238">
            <v>758.62</v>
          </cell>
          <cell r="U238" t="str">
            <v>Service</v>
          </cell>
          <cell r="V238" t="str">
            <v>Sous-traitement</v>
          </cell>
          <cell r="W238" t="str">
            <v>$</v>
          </cell>
          <cell r="X238">
            <v>0</v>
          </cell>
        </row>
        <row r="239">
          <cell r="C239">
            <v>43196.55</v>
          </cell>
          <cell r="O239">
            <v>5698.35</v>
          </cell>
          <cell r="U239" t="str">
            <v>Service</v>
          </cell>
          <cell r="V239" t="str">
            <v>Sous-traitement</v>
          </cell>
          <cell r="W239" t="str">
            <v>$</v>
          </cell>
          <cell r="X239">
            <v>0</v>
          </cell>
        </row>
        <row r="240">
          <cell r="C240">
            <v>0</v>
          </cell>
          <cell r="O240">
            <v>1867.7</v>
          </cell>
          <cell r="U240" t="str">
            <v>Service</v>
          </cell>
          <cell r="V240" t="str">
            <v>M.O. Recond. MCPA</v>
          </cell>
          <cell r="W240" t="str">
            <v>$</v>
          </cell>
          <cell r="X240">
            <v>0</v>
          </cell>
        </row>
        <row r="241">
          <cell r="C241">
            <v>62484.55</v>
          </cell>
          <cell r="O241">
            <v>12442.83</v>
          </cell>
          <cell r="U241" t="str">
            <v>Carrosserie</v>
          </cell>
          <cell r="V241" t="str">
            <v>M/O Sous-traitement</v>
          </cell>
          <cell r="W241" t="str">
            <v>$</v>
          </cell>
          <cell r="X241">
            <v>0</v>
          </cell>
        </row>
        <row r="242">
          <cell r="C242">
            <v>290753.07</v>
          </cell>
          <cell r="O242">
            <v>49805.47</v>
          </cell>
          <cell r="U242" t="str">
            <v>Carrosserie</v>
          </cell>
          <cell r="V242" t="str">
            <v>M/O Sous-traitement</v>
          </cell>
          <cell r="W242" t="str">
            <v>$</v>
          </cell>
          <cell r="X242">
            <v>0</v>
          </cell>
        </row>
        <row r="243">
          <cell r="C243">
            <v>20581.89</v>
          </cell>
          <cell r="O243">
            <v>7803.99</v>
          </cell>
          <cell r="U243" t="str">
            <v>Carrosserie</v>
          </cell>
          <cell r="V243" t="str">
            <v>M/O Sous-traitement</v>
          </cell>
          <cell r="W243" t="str">
            <v>$</v>
          </cell>
          <cell r="X243">
            <v>0</v>
          </cell>
        </row>
        <row r="244">
          <cell r="C244">
            <v>352009.02</v>
          </cell>
          <cell r="O244">
            <v>65994.789999999994</v>
          </cell>
          <cell r="U244" t="str">
            <v>Pièces</v>
          </cell>
          <cell r="V244" t="str">
            <v>Pièces Ro Clients</v>
          </cell>
          <cell r="W244" t="str">
            <v>$</v>
          </cell>
          <cell r="X244">
            <v>0</v>
          </cell>
        </row>
        <row r="245">
          <cell r="C245">
            <v>2923.88</v>
          </cell>
          <cell r="O245">
            <v>407.77</v>
          </cell>
          <cell r="U245" t="str">
            <v>Service</v>
          </cell>
          <cell r="V245" t="str">
            <v>M/O Client</v>
          </cell>
          <cell r="W245" t="str">
            <v>$</v>
          </cell>
          <cell r="X245">
            <v>0</v>
          </cell>
        </row>
        <row r="246">
          <cell r="C246">
            <v>142780.67000000001</v>
          </cell>
          <cell r="O246">
            <v>36287.24</v>
          </cell>
          <cell r="U246" t="str">
            <v>Pièces</v>
          </cell>
          <cell r="V246" t="str">
            <v>P/A Garantie</v>
          </cell>
          <cell r="W246" t="str">
            <v>$</v>
          </cell>
          <cell r="X246">
            <v>0</v>
          </cell>
        </row>
        <row r="247">
          <cell r="C247">
            <v>5.05</v>
          </cell>
          <cell r="O247">
            <v>0</v>
          </cell>
          <cell r="U247" t="str">
            <v>Service</v>
          </cell>
          <cell r="V247" t="str">
            <v>M/O Interne</v>
          </cell>
          <cell r="W247" t="str">
            <v>$</v>
          </cell>
          <cell r="X247">
            <v>0</v>
          </cell>
        </row>
        <row r="248">
          <cell r="C248">
            <v>125880.45</v>
          </cell>
          <cell r="O248">
            <v>33844.54</v>
          </cell>
          <cell r="U248" t="str">
            <v>Pièces</v>
          </cell>
          <cell r="V248" t="str">
            <v>Ventes Internes</v>
          </cell>
          <cell r="W248" t="str">
            <v>$</v>
          </cell>
          <cell r="X248">
            <v>0</v>
          </cell>
        </row>
        <row r="249">
          <cell r="C249">
            <v>697.8</v>
          </cell>
          <cell r="O249">
            <v>151.80000000000001</v>
          </cell>
          <cell r="U249" t="str">
            <v>Service</v>
          </cell>
          <cell r="V249" t="str">
            <v>M/O Interne</v>
          </cell>
          <cell r="W249" t="str">
            <v>$</v>
          </cell>
          <cell r="X249">
            <v>0</v>
          </cell>
        </row>
        <row r="250">
          <cell r="C250">
            <v>7395.38</v>
          </cell>
          <cell r="O250">
            <v>1103.8800000000001</v>
          </cell>
          <cell r="U250" t="str">
            <v>Pièces</v>
          </cell>
          <cell r="V250" t="str">
            <v>Pièces Ro Clients</v>
          </cell>
          <cell r="W250" t="str">
            <v>$</v>
          </cell>
          <cell r="X250">
            <v>0</v>
          </cell>
        </row>
        <row r="251">
          <cell r="C251">
            <v>29660.78</v>
          </cell>
          <cell r="O251">
            <v>6689.13</v>
          </cell>
          <cell r="U251" t="str">
            <v>Pièces</v>
          </cell>
          <cell r="V251" t="str">
            <v>Pièces Ro Carrosserie</v>
          </cell>
          <cell r="W251" t="str">
            <v>$</v>
          </cell>
          <cell r="X251">
            <v>0</v>
          </cell>
        </row>
        <row r="252">
          <cell r="C252">
            <v>152617.57999999999</v>
          </cell>
          <cell r="O252">
            <v>26867</v>
          </cell>
          <cell r="U252" t="str">
            <v>Pièces</v>
          </cell>
          <cell r="V252" t="str">
            <v>Pièces Ro Carrosserie</v>
          </cell>
          <cell r="W252" t="str">
            <v>$</v>
          </cell>
          <cell r="X252">
            <v>0</v>
          </cell>
        </row>
        <row r="253">
          <cell r="C253">
            <v>6131.17</v>
          </cell>
          <cell r="O253">
            <v>2497.98</v>
          </cell>
          <cell r="U253" t="str">
            <v>Pièces</v>
          </cell>
          <cell r="V253" t="str">
            <v>Pièces Ro Carrosserie</v>
          </cell>
          <cell r="W253" t="str">
            <v>$</v>
          </cell>
          <cell r="X253">
            <v>0</v>
          </cell>
        </row>
        <row r="254">
          <cell r="C254">
            <v>78546.45</v>
          </cell>
          <cell r="O254">
            <v>14702.29</v>
          </cell>
          <cell r="U254" t="str">
            <v>Pièces</v>
          </cell>
          <cell r="V254" t="str">
            <v>Ventes Détails</v>
          </cell>
          <cell r="W254" t="str">
            <v>$</v>
          </cell>
          <cell r="X254">
            <v>0</v>
          </cell>
        </row>
        <row r="255">
          <cell r="C255">
            <v>605925.56999999995</v>
          </cell>
          <cell r="O255">
            <v>109217.85</v>
          </cell>
          <cell r="U255" t="str">
            <v>Pièces</v>
          </cell>
          <cell r="V255" t="str">
            <v>Ventes de Gros</v>
          </cell>
          <cell r="W255" t="str">
            <v>$</v>
          </cell>
          <cell r="X255">
            <v>0</v>
          </cell>
        </row>
        <row r="256">
          <cell r="C256">
            <v>162223.70000000001</v>
          </cell>
          <cell r="O256">
            <v>13702.32</v>
          </cell>
          <cell r="U256" t="str">
            <v>Pièces</v>
          </cell>
          <cell r="V256" t="str">
            <v>Ventes Pneus</v>
          </cell>
          <cell r="W256" t="str">
            <v>$</v>
          </cell>
          <cell r="X256">
            <v>0</v>
          </cell>
        </row>
        <row r="257">
          <cell r="C257">
            <v>1392.29</v>
          </cell>
          <cell r="O257">
            <v>0</v>
          </cell>
          <cell r="U257" t="str">
            <v>Pièces</v>
          </cell>
          <cell r="V257" t="str">
            <v>Ventes Pneus</v>
          </cell>
          <cell r="W257" t="str">
            <v>$</v>
          </cell>
          <cell r="X257">
            <v>0</v>
          </cell>
        </row>
        <row r="258">
          <cell r="C258">
            <v>-2360.34</v>
          </cell>
          <cell r="O258">
            <v>747.63</v>
          </cell>
          <cell r="U258" t="str">
            <v>Pièces</v>
          </cell>
          <cell r="V258" t="str">
            <v>Escomptes</v>
          </cell>
          <cell r="W258" t="str">
            <v>$</v>
          </cell>
          <cell r="X258">
            <v>0</v>
          </cell>
        </row>
        <row r="259">
          <cell r="C259">
            <v>209138.06</v>
          </cell>
          <cell r="O259">
            <v>32796.07</v>
          </cell>
          <cell r="U259" t="str">
            <v>Véhicules neufs</v>
          </cell>
          <cell r="V259" t="str">
            <v>Comm. vendeurs</v>
          </cell>
          <cell r="W259" t="str">
            <v>$</v>
          </cell>
          <cell r="X259">
            <v>0</v>
          </cell>
        </row>
        <row r="260">
          <cell r="C260">
            <v>89249.13</v>
          </cell>
          <cell r="O260">
            <v>15931.34</v>
          </cell>
          <cell r="U260" t="str">
            <v>Véhicules neufs</v>
          </cell>
          <cell r="V260" t="str">
            <v>Comm. F&amp;I</v>
          </cell>
          <cell r="W260" t="str">
            <v>$</v>
          </cell>
          <cell r="X260">
            <v>0</v>
          </cell>
        </row>
        <row r="261">
          <cell r="C261">
            <v>289.85000000000002</v>
          </cell>
          <cell r="O261">
            <v>40</v>
          </cell>
          <cell r="U261" t="str">
            <v>Véhicules neufs</v>
          </cell>
          <cell r="V261" t="str">
            <v>Service gratuit 1</v>
          </cell>
          <cell r="W261" t="str">
            <v>$</v>
          </cell>
          <cell r="X261">
            <v>0</v>
          </cell>
        </row>
        <row r="262">
          <cell r="C262">
            <v>18467.439999999999</v>
          </cell>
          <cell r="O262">
            <v>4605.03</v>
          </cell>
          <cell r="U262" t="str">
            <v>Véhicules neufs</v>
          </cell>
          <cell r="V262" t="str">
            <v>Entretien stock</v>
          </cell>
          <cell r="W262" t="str">
            <v>$</v>
          </cell>
          <cell r="X262">
            <v>0</v>
          </cell>
        </row>
        <row r="263">
          <cell r="C263">
            <v>27824.799999999999</v>
          </cell>
          <cell r="O263">
            <v>3528.82</v>
          </cell>
          <cell r="U263" t="str">
            <v>Véhicules neufs</v>
          </cell>
          <cell r="V263" t="str">
            <v>Intérêt de gros</v>
          </cell>
          <cell r="W263" t="str">
            <v>$</v>
          </cell>
          <cell r="X263">
            <v>0</v>
          </cell>
        </row>
        <row r="264">
          <cell r="C264">
            <v>26472.49</v>
          </cell>
          <cell r="O264">
            <v>6568.37</v>
          </cell>
          <cell r="U264" t="str">
            <v>Véhicules neufs</v>
          </cell>
          <cell r="V264" t="str">
            <v>Frais de livraison</v>
          </cell>
          <cell r="W264" t="str">
            <v>$</v>
          </cell>
          <cell r="X264">
            <v>0</v>
          </cell>
        </row>
        <row r="265">
          <cell r="C265">
            <v>67298.39</v>
          </cell>
          <cell r="O265">
            <v>12028.89</v>
          </cell>
          <cell r="U265" t="str">
            <v>Véhicules neufs</v>
          </cell>
          <cell r="V265" t="str">
            <v>Publicité 1</v>
          </cell>
          <cell r="W265" t="str">
            <v>$</v>
          </cell>
          <cell r="X265">
            <v>0</v>
          </cell>
        </row>
        <row r="266">
          <cell r="C266">
            <v>-40350</v>
          </cell>
          <cell r="O266">
            <v>-6000</v>
          </cell>
          <cell r="U266" t="str">
            <v>Véhicules neufs</v>
          </cell>
          <cell r="V266" t="str">
            <v>Publicité 1</v>
          </cell>
          <cell r="W266" t="str">
            <v>$</v>
          </cell>
          <cell r="X266">
            <v>0</v>
          </cell>
        </row>
        <row r="267">
          <cell r="C267">
            <v>50836.05</v>
          </cell>
          <cell r="O267">
            <v>5884.65</v>
          </cell>
          <cell r="U267" t="str">
            <v>Véhicules neufs</v>
          </cell>
          <cell r="V267" t="str">
            <v>Salaires propriétaire</v>
          </cell>
          <cell r="W267" t="str">
            <v>$</v>
          </cell>
          <cell r="X267">
            <v>0</v>
          </cell>
        </row>
        <row r="268">
          <cell r="C268">
            <v>76937.259999999995</v>
          </cell>
          <cell r="O268">
            <v>17842.099999999999</v>
          </cell>
          <cell r="U268" t="str">
            <v>Véhicules neufs</v>
          </cell>
          <cell r="V268" t="str">
            <v>Salaires cadres</v>
          </cell>
          <cell r="W268" t="str">
            <v>$</v>
          </cell>
          <cell r="X268">
            <v>0</v>
          </cell>
        </row>
        <row r="269">
          <cell r="C269">
            <v>75258.52</v>
          </cell>
          <cell r="O269">
            <v>9643.58</v>
          </cell>
          <cell r="U269" t="str">
            <v>Véhicules neufs</v>
          </cell>
          <cell r="V269" t="str">
            <v>Salaires commis</v>
          </cell>
          <cell r="W269" t="str">
            <v>$</v>
          </cell>
          <cell r="X269">
            <v>0</v>
          </cell>
        </row>
        <row r="270">
          <cell r="C270">
            <v>73675.11</v>
          </cell>
          <cell r="O270">
            <v>12343.13</v>
          </cell>
          <cell r="U270" t="str">
            <v>Véhicules neufs</v>
          </cell>
          <cell r="V270" t="str">
            <v>Salaires autres</v>
          </cell>
          <cell r="W270" t="str">
            <v>$</v>
          </cell>
          <cell r="X270">
            <v>0</v>
          </cell>
        </row>
        <row r="271">
          <cell r="C271">
            <v>71485.06</v>
          </cell>
          <cell r="O271">
            <v>10139.23</v>
          </cell>
          <cell r="U271" t="str">
            <v>Véhicules neufs</v>
          </cell>
          <cell r="V271" t="str">
            <v>Salaires en absences</v>
          </cell>
          <cell r="W271" t="str">
            <v>$</v>
          </cell>
          <cell r="X271">
            <v>0</v>
          </cell>
        </row>
        <row r="272">
          <cell r="C272">
            <v>15859.5</v>
          </cell>
          <cell r="O272">
            <v>2311.3000000000002</v>
          </cell>
          <cell r="U272" t="str">
            <v>Véhicules neufs</v>
          </cell>
          <cell r="V272" t="str">
            <v>Csst</v>
          </cell>
          <cell r="W272" t="str">
            <v>$</v>
          </cell>
          <cell r="X272">
            <v>0</v>
          </cell>
        </row>
        <row r="273">
          <cell r="C273">
            <v>88907.06</v>
          </cell>
          <cell r="O273">
            <v>14378.55</v>
          </cell>
          <cell r="U273" t="str">
            <v>Véhicules neufs</v>
          </cell>
          <cell r="V273" t="str">
            <v>Déduction à la source</v>
          </cell>
          <cell r="W273" t="str">
            <v>$</v>
          </cell>
          <cell r="X273">
            <v>0</v>
          </cell>
        </row>
        <row r="274">
          <cell r="C274">
            <v>26411.01</v>
          </cell>
          <cell r="O274">
            <v>5145.25</v>
          </cell>
          <cell r="U274" t="str">
            <v>Véhicules neufs</v>
          </cell>
          <cell r="V274" t="str">
            <v>Bénéfices marginaux</v>
          </cell>
          <cell r="W274" t="str">
            <v>$</v>
          </cell>
          <cell r="X274">
            <v>0</v>
          </cell>
        </row>
        <row r="275">
          <cell r="C275">
            <v>13250.99</v>
          </cell>
          <cell r="O275">
            <v>1943.5</v>
          </cell>
          <cell r="U275" t="str">
            <v>Véhicules neufs</v>
          </cell>
          <cell r="V275" t="str">
            <v>Bénéfices marginaux</v>
          </cell>
          <cell r="W275" t="str">
            <v>$</v>
          </cell>
          <cell r="X275">
            <v>0</v>
          </cell>
        </row>
        <row r="276">
          <cell r="C276">
            <v>8.23</v>
          </cell>
          <cell r="O276">
            <v>0</v>
          </cell>
          <cell r="U276" t="str">
            <v>Véhicules neufs</v>
          </cell>
          <cell r="V276" t="str">
            <v>Fournitures autres</v>
          </cell>
          <cell r="W276" t="str">
            <v>$</v>
          </cell>
          <cell r="X276">
            <v>0</v>
          </cell>
        </row>
        <row r="277">
          <cell r="C277">
            <v>14184.15</v>
          </cell>
          <cell r="O277">
            <v>177.08</v>
          </cell>
          <cell r="U277" t="str">
            <v>Véhicules neufs</v>
          </cell>
          <cell r="V277" t="str">
            <v>Formation</v>
          </cell>
          <cell r="W277" t="str">
            <v>$</v>
          </cell>
          <cell r="X277">
            <v>0</v>
          </cell>
        </row>
        <row r="278">
          <cell r="C278">
            <v>41861.410000000003</v>
          </cell>
          <cell r="O278">
            <v>7279.84</v>
          </cell>
          <cell r="U278" t="str">
            <v>Véhicules neufs</v>
          </cell>
          <cell r="V278" t="str">
            <v>Frais véhicules de cie</v>
          </cell>
          <cell r="W278" t="str">
            <v>$</v>
          </cell>
          <cell r="X278">
            <v>0</v>
          </cell>
        </row>
        <row r="279">
          <cell r="C279">
            <v>602.28</v>
          </cell>
          <cell r="O279">
            <v>130.12</v>
          </cell>
          <cell r="U279" t="str">
            <v>Véhicules neufs</v>
          </cell>
          <cell r="V279" t="str">
            <v>Frais postaux</v>
          </cell>
          <cell r="W279" t="str">
            <v>$</v>
          </cell>
          <cell r="X279">
            <v>0</v>
          </cell>
        </row>
        <row r="280">
          <cell r="C280">
            <v>43897.93</v>
          </cell>
          <cell r="O280">
            <v>7196.92</v>
          </cell>
          <cell r="U280" t="str">
            <v>Véhicules neufs</v>
          </cell>
          <cell r="V280" t="str">
            <v>Informatique</v>
          </cell>
          <cell r="W280" t="str">
            <v>$</v>
          </cell>
          <cell r="X280">
            <v>0</v>
          </cell>
        </row>
        <row r="281">
          <cell r="C281">
            <v>4257.43</v>
          </cell>
          <cell r="O281">
            <v>479.83</v>
          </cell>
          <cell r="U281" t="str">
            <v>Véhicules neufs</v>
          </cell>
          <cell r="V281" t="str">
            <v>Papeterie</v>
          </cell>
          <cell r="W281" t="str">
            <v>$</v>
          </cell>
          <cell r="X281">
            <v>0</v>
          </cell>
        </row>
        <row r="282">
          <cell r="C282">
            <v>1773.76</v>
          </cell>
          <cell r="O282">
            <v>233.9</v>
          </cell>
          <cell r="U282" t="str">
            <v>Véhicules neufs</v>
          </cell>
          <cell r="V282" t="str">
            <v>Téléphone</v>
          </cell>
          <cell r="W282" t="str">
            <v>$</v>
          </cell>
          <cell r="X282">
            <v>0</v>
          </cell>
        </row>
        <row r="283">
          <cell r="C283">
            <v>1223.45</v>
          </cell>
          <cell r="O283">
            <v>106.21</v>
          </cell>
          <cell r="U283" t="str">
            <v>Véhicules neufs</v>
          </cell>
          <cell r="V283" t="str">
            <v>Divers</v>
          </cell>
          <cell r="W283" t="str">
            <v>$</v>
          </cell>
          <cell r="X283">
            <v>0</v>
          </cell>
        </row>
        <row r="284">
          <cell r="C284">
            <v>10057.1</v>
          </cell>
          <cell r="O284">
            <v>818.1</v>
          </cell>
          <cell r="U284" t="str">
            <v>Véhicules neufs</v>
          </cell>
          <cell r="V284" t="str">
            <v>Frais de déplacement</v>
          </cell>
          <cell r="W284" t="str">
            <v>$</v>
          </cell>
          <cell r="X284">
            <v>0</v>
          </cell>
        </row>
        <row r="285">
          <cell r="C285">
            <v>20291.73</v>
          </cell>
          <cell r="O285">
            <v>3406.43</v>
          </cell>
          <cell r="U285" t="str">
            <v>Véhicules neufs</v>
          </cell>
          <cell r="V285" t="str">
            <v>Frais bancaires</v>
          </cell>
          <cell r="W285" t="str">
            <v>$</v>
          </cell>
          <cell r="X285">
            <v>0</v>
          </cell>
        </row>
        <row r="286">
          <cell r="C286">
            <v>39269.43</v>
          </cell>
          <cell r="O286">
            <v>5967.65</v>
          </cell>
          <cell r="U286" t="str">
            <v>Véhicules neufs</v>
          </cell>
          <cell r="V286" t="str">
            <v>Services extérieurs</v>
          </cell>
          <cell r="W286" t="str">
            <v>$</v>
          </cell>
          <cell r="X286">
            <v>0</v>
          </cell>
        </row>
        <row r="287">
          <cell r="C287">
            <v>8283.84</v>
          </cell>
          <cell r="O287">
            <v>1380.64</v>
          </cell>
          <cell r="U287" t="str">
            <v>Véhicules neufs</v>
          </cell>
          <cell r="V287" t="str">
            <v>Amortissement</v>
          </cell>
          <cell r="W287" t="str">
            <v>$</v>
          </cell>
          <cell r="X287">
            <v>0</v>
          </cell>
        </row>
        <row r="288">
          <cell r="C288">
            <v>5105.3500000000004</v>
          </cell>
          <cell r="O288">
            <v>1161.42</v>
          </cell>
          <cell r="U288" t="str">
            <v>Véhicules neufs</v>
          </cell>
          <cell r="V288" t="str">
            <v>Chauffage, éclairage</v>
          </cell>
          <cell r="W288" t="str">
            <v>$</v>
          </cell>
          <cell r="X288">
            <v>0</v>
          </cell>
        </row>
        <row r="289">
          <cell r="C289">
            <v>49920</v>
          </cell>
          <cell r="O289">
            <v>8320</v>
          </cell>
          <cell r="U289" t="str">
            <v>Véhicules neufs</v>
          </cell>
          <cell r="V289" t="str">
            <v>Loyer</v>
          </cell>
          <cell r="W289" t="str">
            <v>$</v>
          </cell>
          <cell r="X289">
            <v>0</v>
          </cell>
        </row>
        <row r="290">
          <cell r="C290">
            <v>8200.32</v>
          </cell>
          <cell r="O290">
            <v>1366.72</v>
          </cell>
          <cell r="U290" t="str">
            <v>Véhicules neufs</v>
          </cell>
          <cell r="V290" t="str">
            <v>Assurances</v>
          </cell>
          <cell r="W290" t="str">
            <v>$</v>
          </cell>
          <cell r="X290">
            <v>0</v>
          </cell>
        </row>
        <row r="291">
          <cell r="C291">
            <v>9678.9599999999991</v>
          </cell>
          <cell r="O291">
            <v>1577.6</v>
          </cell>
          <cell r="U291" t="str">
            <v>Véhicules neufs</v>
          </cell>
          <cell r="V291" t="str">
            <v>Taxes foncières</v>
          </cell>
          <cell r="W291" t="str">
            <v>$</v>
          </cell>
          <cell r="X291">
            <v>0</v>
          </cell>
        </row>
        <row r="292">
          <cell r="C292">
            <v>6610.1</v>
          </cell>
          <cell r="O292">
            <v>1049.5999999999999</v>
          </cell>
          <cell r="U292" t="str">
            <v>Véhicules neufs</v>
          </cell>
          <cell r="V292" t="str">
            <v>Taxes d`affaires</v>
          </cell>
          <cell r="W292" t="str">
            <v>$</v>
          </cell>
          <cell r="X292">
            <v>0</v>
          </cell>
        </row>
        <row r="293">
          <cell r="C293">
            <v>12806.64</v>
          </cell>
          <cell r="O293">
            <v>2096.04</v>
          </cell>
          <cell r="U293" t="str">
            <v>Véhicules neufs</v>
          </cell>
          <cell r="V293" t="str">
            <v>Honoraires</v>
          </cell>
          <cell r="W293" t="str">
            <v>$</v>
          </cell>
          <cell r="X293">
            <v>0</v>
          </cell>
        </row>
        <row r="294">
          <cell r="C294">
            <v>128032.48</v>
          </cell>
          <cell r="O294">
            <v>34211.14</v>
          </cell>
          <cell r="U294" t="str">
            <v>Véhicules usagés</v>
          </cell>
          <cell r="V294" t="str">
            <v>Comm. vendeurs</v>
          </cell>
          <cell r="W294" t="str">
            <v>$</v>
          </cell>
          <cell r="X294">
            <v>0</v>
          </cell>
        </row>
        <row r="295">
          <cell r="C295">
            <v>103590.85</v>
          </cell>
          <cell r="O295">
            <v>15684.05</v>
          </cell>
          <cell r="U295" t="str">
            <v>Véhicules usagés</v>
          </cell>
          <cell r="V295" t="str">
            <v>Comm. F&amp;I</v>
          </cell>
          <cell r="W295" t="str">
            <v>$</v>
          </cell>
          <cell r="X295">
            <v>0</v>
          </cell>
        </row>
        <row r="296">
          <cell r="C296">
            <v>-1063.45</v>
          </cell>
          <cell r="O296">
            <v>620.27</v>
          </cell>
          <cell r="U296" t="str">
            <v>Véhicules usagés</v>
          </cell>
          <cell r="V296" t="str">
            <v>Service gratuit 1</v>
          </cell>
          <cell r="W296" t="str">
            <v>$</v>
          </cell>
          <cell r="X296">
            <v>0</v>
          </cell>
        </row>
        <row r="297">
          <cell r="C297">
            <v>25737.61</v>
          </cell>
          <cell r="O297">
            <v>4270.55</v>
          </cell>
          <cell r="U297" t="str">
            <v>Véhicules usagés</v>
          </cell>
          <cell r="V297" t="str">
            <v>Entretien stock</v>
          </cell>
          <cell r="W297" t="str">
            <v>$</v>
          </cell>
          <cell r="X297">
            <v>0</v>
          </cell>
        </row>
        <row r="298">
          <cell r="C298">
            <v>18370.009999999998</v>
          </cell>
          <cell r="O298">
            <v>2335.86</v>
          </cell>
          <cell r="U298" t="str">
            <v>Véhicules usagés</v>
          </cell>
          <cell r="V298" t="str">
            <v>Intérêt de gros</v>
          </cell>
          <cell r="W298" t="str">
            <v>$</v>
          </cell>
          <cell r="X298">
            <v>0</v>
          </cell>
        </row>
        <row r="299">
          <cell r="C299">
            <v>-929.35</v>
          </cell>
          <cell r="O299">
            <v>-1717.07</v>
          </cell>
          <cell r="U299" t="str">
            <v>Véhicules usagés</v>
          </cell>
          <cell r="V299" t="str">
            <v>Frais de livraison</v>
          </cell>
          <cell r="W299" t="str">
            <v>$</v>
          </cell>
          <cell r="X299">
            <v>0</v>
          </cell>
        </row>
        <row r="300">
          <cell r="C300">
            <v>83033.539999999994</v>
          </cell>
          <cell r="O300">
            <v>16350.6</v>
          </cell>
          <cell r="U300" t="str">
            <v>Véhicules usagés</v>
          </cell>
          <cell r="V300" t="str">
            <v>Publicité 1</v>
          </cell>
          <cell r="W300" t="str">
            <v>$</v>
          </cell>
          <cell r="X300">
            <v>0</v>
          </cell>
        </row>
        <row r="301">
          <cell r="C301">
            <v>-15200</v>
          </cell>
          <cell r="O301">
            <v>-3500</v>
          </cell>
          <cell r="U301" t="str">
            <v>Véhicules usagés</v>
          </cell>
          <cell r="V301" t="str">
            <v>Publicité 1</v>
          </cell>
          <cell r="W301" t="str">
            <v>$</v>
          </cell>
          <cell r="X301">
            <v>0</v>
          </cell>
        </row>
        <row r="302">
          <cell r="C302">
            <v>11296.88</v>
          </cell>
          <cell r="O302">
            <v>1307.7</v>
          </cell>
          <cell r="U302" t="str">
            <v>Véhicules usagés</v>
          </cell>
          <cell r="V302" t="str">
            <v>Salaires propriétaire</v>
          </cell>
          <cell r="W302" t="str">
            <v>$</v>
          </cell>
          <cell r="X302">
            <v>0</v>
          </cell>
        </row>
        <row r="303">
          <cell r="C303">
            <v>42103.47</v>
          </cell>
          <cell r="O303">
            <v>4280.84</v>
          </cell>
          <cell r="U303" t="str">
            <v>Véhicules usagés</v>
          </cell>
          <cell r="V303" t="str">
            <v>Salaires cadres</v>
          </cell>
          <cell r="W303" t="str">
            <v>$</v>
          </cell>
          <cell r="X303">
            <v>0</v>
          </cell>
        </row>
        <row r="304">
          <cell r="C304">
            <v>28715</v>
          </cell>
          <cell r="O304">
            <v>3874.42</v>
          </cell>
          <cell r="U304" t="str">
            <v>Véhicules usagés</v>
          </cell>
          <cell r="V304" t="str">
            <v>Salaires commis</v>
          </cell>
          <cell r="W304" t="str">
            <v>$</v>
          </cell>
          <cell r="X304">
            <v>0</v>
          </cell>
        </row>
        <row r="305">
          <cell r="C305">
            <v>73276.53</v>
          </cell>
          <cell r="O305">
            <v>13291.11</v>
          </cell>
          <cell r="U305" t="str">
            <v>Véhicules usagés</v>
          </cell>
          <cell r="V305" t="str">
            <v>Salaires autres</v>
          </cell>
          <cell r="W305" t="str">
            <v>$</v>
          </cell>
          <cell r="X305">
            <v>0</v>
          </cell>
        </row>
        <row r="306">
          <cell r="C306">
            <v>27184.06</v>
          </cell>
          <cell r="O306">
            <v>3725.02</v>
          </cell>
          <cell r="U306" t="str">
            <v>Véhicules usagés</v>
          </cell>
          <cell r="V306" t="str">
            <v>Salaires en absences</v>
          </cell>
          <cell r="W306" t="str">
            <v>$</v>
          </cell>
          <cell r="X306">
            <v>0</v>
          </cell>
        </row>
        <row r="307">
          <cell r="C307">
            <v>7447.05</v>
          </cell>
          <cell r="O307">
            <v>1223.1400000000001</v>
          </cell>
          <cell r="U307" t="str">
            <v>Véhicules usagés</v>
          </cell>
          <cell r="V307" t="str">
            <v>Csst</v>
          </cell>
          <cell r="W307" t="str">
            <v>$</v>
          </cell>
          <cell r="X307">
            <v>0</v>
          </cell>
        </row>
        <row r="308">
          <cell r="C308">
            <v>42447.3</v>
          </cell>
          <cell r="O308">
            <v>5997.26</v>
          </cell>
          <cell r="U308" t="str">
            <v>Véhicules usagés</v>
          </cell>
          <cell r="V308" t="str">
            <v>Déduction à la source</v>
          </cell>
          <cell r="W308" t="str">
            <v>$</v>
          </cell>
          <cell r="X308">
            <v>0</v>
          </cell>
        </row>
        <row r="309">
          <cell r="C309">
            <v>6362.53</v>
          </cell>
          <cell r="O309">
            <v>1331.6</v>
          </cell>
          <cell r="U309" t="str">
            <v>Véhicules usagés</v>
          </cell>
          <cell r="V309" t="str">
            <v>Bénéfices marginaux</v>
          </cell>
          <cell r="W309" t="str">
            <v>$</v>
          </cell>
          <cell r="X309">
            <v>0</v>
          </cell>
        </row>
        <row r="310">
          <cell r="C310">
            <v>3766.43</v>
          </cell>
          <cell r="O310">
            <v>906.16</v>
          </cell>
          <cell r="U310" t="str">
            <v>Véhicules usagés</v>
          </cell>
          <cell r="V310" t="str">
            <v>Bénéfices marginaux</v>
          </cell>
          <cell r="W310" t="str">
            <v>$</v>
          </cell>
          <cell r="X310">
            <v>0</v>
          </cell>
        </row>
        <row r="311">
          <cell r="C311">
            <v>3.09</v>
          </cell>
          <cell r="O311">
            <v>0</v>
          </cell>
          <cell r="U311" t="str">
            <v>Véhicules usagés</v>
          </cell>
          <cell r="V311" t="str">
            <v>Fournitures autres</v>
          </cell>
          <cell r="W311" t="str">
            <v>$</v>
          </cell>
          <cell r="X311">
            <v>0</v>
          </cell>
        </row>
        <row r="312">
          <cell r="C312">
            <v>210</v>
          </cell>
          <cell r="O312">
            <v>0</v>
          </cell>
          <cell r="U312" t="str">
            <v>Véhicules usagés</v>
          </cell>
          <cell r="V312" t="str">
            <v>Uniformes</v>
          </cell>
          <cell r="W312" t="str">
            <v>$</v>
          </cell>
          <cell r="X312">
            <v>0</v>
          </cell>
        </row>
        <row r="313">
          <cell r="C313">
            <v>4519.96</v>
          </cell>
          <cell r="O313">
            <v>113.28</v>
          </cell>
          <cell r="U313" t="str">
            <v>Véhicules usagés</v>
          </cell>
          <cell r="V313" t="str">
            <v>Formation</v>
          </cell>
          <cell r="W313" t="str">
            <v>$</v>
          </cell>
          <cell r="X313">
            <v>0</v>
          </cell>
        </row>
        <row r="314">
          <cell r="C314">
            <v>5558.12</v>
          </cell>
          <cell r="O314">
            <v>1692.94</v>
          </cell>
          <cell r="U314" t="str">
            <v>Véhicules usagés</v>
          </cell>
          <cell r="V314" t="str">
            <v>Frais véhicules de cie</v>
          </cell>
          <cell r="W314" t="str">
            <v>$</v>
          </cell>
          <cell r="X314">
            <v>0</v>
          </cell>
        </row>
        <row r="315">
          <cell r="C315">
            <v>375.45</v>
          </cell>
          <cell r="O315">
            <v>92.28</v>
          </cell>
          <cell r="U315" t="str">
            <v>Véhicules usagés</v>
          </cell>
          <cell r="V315" t="str">
            <v>Frais postaux</v>
          </cell>
          <cell r="W315" t="str">
            <v>$</v>
          </cell>
          <cell r="X315">
            <v>0</v>
          </cell>
        </row>
        <row r="316">
          <cell r="C316">
            <v>21444.37</v>
          </cell>
          <cell r="O316">
            <v>3593.59</v>
          </cell>
          <cell r="U316" t="str">
            <v>Véhicules usagés</v>
          </cell>
          <cell r="V316" t="str">
            <v>Informatique</v>
          </cell>
          <cell r="W316" t="str">
            <v>$</v>
          </cell>
          <cell r="X316">
            <v>0</v>
          </cell>
        </row>
        <row r="317">
          <cell r="C317">
            <v>1866.3</v>
          </cell>
          <cell r="O317">
            <v>179.94</v>
          </cell>
          <cell r="U317" t="str">
            <v>Véhicules usagés</v>
          </cell>
          <cell r="V317" t="str">
            <v>Papeterie</v>
          </cell>
          <cell r="W317" t="str">
            <v>$</v>
          </cell>
          <cell r="X317">
            <v>0</v>
          </cell>
        </row>
        <row r="318">
          <cell r="C318">
            <v>400.9</v>
          </cell>
          <cell r="O318">
            <v>36.340000000000003</v>
          </cell>
          <cell r="U318" t="str">
            <v>Véhicules usagés</v>
          </cell>
          <cell r="V318" t="str">
            <v>Téléphone</v>
          </cell>
          <cell r="W318" t="str">
            <v>$</v>
          </cell>
          <cell r="X318">
            <v>0</v>
          </cell>
        </row>
        <row r="319">
          <cell r="C319">
            <v>458.78</v>
          </cell>
          <cell r="O319">
            <v>29.04</v>
          </cell>
          <cell r="U319" t="str">
            <v>Véhicules usagés</v>
          </cell>
          <cell r="V319" t="str">
            <v>Divers</v>
          </cell>
          <cell r="W319" t="str">
            <v>$</v>
          </cell>
          <cell r="X319">
            <v>0</v>
          </cell>
        </row>
        <row r="320">
          <cell r="C320">
            <v>5049.03</v>
          </cell>
          <cell r="O320">
            <v>430.47</v>
          </cell>
          <cell r="U320" t="str">
            <v>Véhicules usagés</v>
          </cell>
          <cell r="V320" t="str">
            <v>Frais de déplacement</v>
          </cell>
          <cell r="W320" t="str">
            <v>$</v>
          </cell>
          <cell r="X320">
            <v>0</v>
          </cell>
        </row>
        <row r="321">
          <cell r="C321">
            <v>4506.0200000000004</v>
          </cell>
          <cell r="O321">
            <v>756.99</v>
          </cell>
          <cell r="U321" t="str">
            <v>Véhicules usagés</v>
          </cell>
          <cell r="V321" t="str">
            <v>Frais bancaires</v>
          </cell>
          <cell r="W321" t="str">
            <v>$</v>
          </cell>
          <cell r="X321">
            <v>0</v>
          </cell>
        </row>
        <row r="322">
          <cell r="C322">
            <v>9181.07</v>
          </cell>
          <cell r="O322">
            <v>1241.24</v>
          </cell>
          <cell r="U322" t="str">
            <v>Véhicules usagés</v>
          </cell>
          <cell r="V322" t="str">
            <v>Services extérieurs</v>
          </cell>
          <cell r="W322" t="str">
            <v>$</v>
          </cell>
          <cell r="X322">
            <v>0</v>
          </cell>
        </row>
        <row r="323">
          <cell r="C323">
            <v>3106.44</v>
          </cell>
          <cell r="O323">
            <v>517.74</v>
          </cell>
          <cell r="U323" t="str">
            <v>Véhicules usagés</v>
          </cell>
          <cell r="V323" t="str">
            <v>Amortissement</v>
          </cell>
          <cell r="W323" t="str">
            <v>$</v>
          </cell>
          <cell r="X323">
            <v>0</v>
          </cell>
        </row>
        <row r="324">
          <cell r="C324">
            <v>1914.52</v>
          </cell>
          <cell r="O324">
            <v>435.53</v>
          </cell>
          <cell r="U324" t="str">
            <v>Véhicules usagés</v>
          </cell>
          <cell r="V324" t="str">
            <v>Chauffage, éclairage</v>
          </cell>
          <cell r="W324" t="str">
            <v>$</v>
          </cell>
          <cell r="X324">
            <v>0</v>
          </cell>
        </row>
        <row r="325">
          <cell r="C325">
            <v>18720</v>
          </cell>
          <cell r="O325">
            <v>3120</v>
          </cell>
          <cell r="U325" t="str">
            <v>Véhicules usagés</v>
          </cell>
          <cell r="V325" t="str">
            <v>Loyer</v>
          </cell>
          <cell r="W325" t="str">
            <v>$</v>
          </cell>
          <cell r="X325">
            <v>0</v>
          </cell>
        </row>
        <row r="326">
          <cell r="C326">
            <v>3075.12</v>
          </cell>
          <cell r="O326">
            <v>512.52</v>
          </cell>
          <cell r="U326" t="str">
            <v>Véhicules usagés</v>
          </cell>
          <cell r="V326" t="str">
            <v>Assurances</v>
          </cell>
          <cell r="W326" t="str">
            <v>$</v>
          </cell>
          <cell r="X326">
            <v>0</v>
          </cell>
        </row>
        <row r="327">
          <cell r="C327">
            <v>3629.61</v>
          </cell>
          <cell r="O327">
            <v>591.6</v>
          </cell>
          <cell r="U327" t="str">
            <v>Véhicules usagés</v>
          </cell>
          <cell r="V327" t="str">
            <v>Taxes foncières</v>
          </cell>
          <cell r="W327" t="str">
            <v>$</v>
          </cell>
          <cell r="X327">
            <v>0</v>
          </cell>
        </row>
        <row r="328">
          <cell r="C328">
            <v>2674.1</v>
          </cell>
          <cell r="O328">
            <v>393.6</v>
          </cell>
          <cell r="U328" t="str">
            <v>Véhicules usagés</v>
          </cell>
          <cell r="V328" t="str">
            <v>Taxes d`affaires</v>
          </cell>
          <cell r="W328" t="str">
            <v>$</v>
          </cell>
          <cell r="X328">
            <v>0</v>
          </cell>
        </row>
        <row r="329">
          <cell r="C329">
            <v>5080.91</v>
          </cell>
          <cell r="O329">
            <v>786.01</v>
          </cell>
          <cell r="U329" t="str">
            <v>Véhicules usagés</v>
          </cell>
          <cell r="V329" t="str">
            <v>Honoraires</v>
          </cell>
          <cell r="W329" t="str">
            <v>$</v>
          </cell>
          <cell r="X329">
            <v>0</v>
          </cell>
        </row>
        <row r="330">
          <cell r="C330">
            <v>1115</v>
          </cell>
          <cell r="O330">
            <v>0</v>
          </cell>
          <cell r="U330" t="str">
            <v>Véhicules usagés</v>
          </cell>
          <cell r="V330" t="str">
            <v>Divers</v>
          </cell>
          <cell r="W330" t="str">
            <v>$</v>
          </cell>
          <cell r="X330">
            <v>0</v>
          </cell>
        </row>
        <row r="331">
          <cell r="C331">
            <v>9917.4599999999991</v>
          </cell>
          <cell r="O331">
            <v>3758.65</v>
          </cell>
          <cell r="U331" t="str">
            <v>Service</v>
          </cell>
          <cell r="V331" t="str">
            <v>Service gratuit 2</v>
          </cell>
          <cell r="W331" t="str">
            <v>$</v>
          </cell>
          <cell r="X331">
            <v>0</v>
          </cell>
        </row>
        <row r="332">
          <cell r="C332">
            <v>379.01</v>
          </cell>
          <cell r="O332">
            <v>558.52</v>
          </cell>
          <cell r="U332" t="str">
            <v>Service</v>
          </cell>
          <cell r="V332" t="str">
            <v>Service gratuit 2</v>
          </cell>
          <cell r="W332" t="str">
            <v>$</v>
          </cell>
          <cell r="X332">
            <v>0</v>
          </cell>
        </row>
        <row r="333">
          <cell r="C333">
            <v>64199.82</v>
          </cell>
          <cell r="O333">
            <v>12593.62</v>
          </cell>
          <cell r="U333" t="str">
            <v>Service</v>
          </cell>
          <cell r="V333" t="str">
            <v>Publicité 2</v>
          </cell>
          <cell r="W333" t="str">
            <v>$</v>
          </cell>
          <cell r="X333">
            <v>0</v>
          </cell>
        </row>
        <row r="334">
          <cell r="C334">
            <v>25418.03</v>
          </cell>
          <cell r="O334">
            <v>2942.32</v>
          </cell>
          <cell r="U334" t="str">
            <v>Service</v>
          </cell>
          <cell r="V334" t="str">
            <v>Salaires propriétaire</v>
          </cell>
          <cell r="W334" t="str">
            <v>$</v>
          </cell>
          <cell r="X334">
            <v>0</v>
          </cell>
        </row>
        <row r="335">
          <cell r="C335">
            <v>54915.6</v>
          </cell>
          <cell r="O335">
            <v>15471.14</v>
          </cell>
          <cell r="U335" t="str">
            <v>Service</v>
          </cell>
          <cell r="V335" t="str">
            <v>Salaires cadres</v>
          </cell>
          <cell r="W335" t="str">
            <v>$</v>
          </cell>
          <cell r="X335">
            <v>0</v>
          </cell>
        </row>
        <row r="336">
          <cell r="C336">
            <v>36909.46</v>
          </cell>
          <cell r="O336">
            <v>7065.61</v>
          </cell>
          <cell r="U336" t="str">
            <v>Service</v>
          </cell>
          <cell r="V336" t="str">
            <v>Salaires commis</v>
          </cell>
          <cell r="W336" t="str">
            <v>$</v>
          </cell>
          <cell r="X336">
            <v>0</v>
          </cell>
        </row>
        <row r="337">
          <cell r="C337">
            <v>48888.25</v>
          </cell>
          <cell r="O337">
            <v>5232</v>
          </cell>
          <cell r="U337" t="str">
            <v>Service</v>
          </cell>
          <cell r="V337" t="str">
            <v>Salaires autres</v>
          </cell>
          <cell r="W337" t="str">
            <v>$</v>
          </cell>
          <cell r="X337">
            <v>0</v>
          </cell>
        </row>
        <row r="338">
          <cell r="C338">
            <v>170433.73</v>
          </cell>
          <cell r="O338">
            <v>23983.360000000001</v>
          </cell>
          <cell r="U338" t="str">
            <v>Service</v>
          </cell>
          <cell r="V338" t="str">
            <v>Salaires spécialistes</v>
          </cell>
          <cell r="W338" t="str">
            <v>$</v>
          </cell>
          <cell r="X338">
            <v>0</v>
          </cell>
        </row>
        <row r="339">
          <cell r="C339">
            <v>102126.91</v>
          </cell>
          <cell r="O339">
            <v>16870.189999999999</v>
          </cell>
          <cell r="U339" t="str">
            <v>Service</v>
          </cell>
          <cell r="V339" t="str">
            <v>Salaires en absences</v>
          </cell>
          <cell r="W339" t="str">
            <v>$</v>
          </cell>
          <cell r="X339">
            <v>0</v>
          </cell>
        </row>
        <row r="340">
          <cell r="C340">
            <v>21785.5</v>
          </cell>
          <cell r="O340">
            <v>3934.27</v>
          </cell>
          <cell r="U340" t="str">
            <v>Service</v>
          </cell>
          <cell r="V340" t="str">
            <v>Csst</v>
          </cell>
          <cell r="W340" t="str">
            <v>$</v>
          </cell>
          <cell r="X340">
            <v>0</v>
          </cell>
        </row>
        <row r="341">
          <cell r="C341">
            <v>112191.05</v>
          </cell>
          <cell r="O341">
            <v>20788.66</v>
          </cell>
          <cell r="U341" t="str">
            <v>Service</v>
          </cell>
          <cell r="V341" t="str">
            <v>Déduction à la source</v>
          </cell>
          <cell r="W341" t="str">
            <v>$</v>
          </cell>
          <cell r="X341">
            <v>0</v>
          </cell>
        </row>
        <row r="342">
          <cell r="C342">
            <v>36351.29</v>
          </cell>
          <cell r="O342">
            <v>5589.3</v>
          </cell>
          <cell r="U342" t="str">
            <v>Service</v>
          </cell>
          <cell r="V342" t="str">
            <v>Bénéfices marginaux</v>
          </cell>
          <cell r="W342" t="str">
            <v>$</v>
          </cell>
          <cell r="X342">
            <v>0</v>
          </cell>
        </row>
        <row r="343">
          <cell r="C343">
            <v>28883.08</v>
          </cell>
          <cell r="O343">
            <v>4460.6400000000003</v>
          </cell>
          <cell r="U343" t="str">
            <v>Service</v>
          </cell>
          <cell r="V343" t="str">
            <v>Bénéfices marginaux</v>
          </cell>
          <cell r="W343" t="str">
            <v>$</v>
          </cell>
          <cell r="X343">
            <v>0</v>
          </cell>
        </row>
        <row r="344">
          <cell r="C344">
            <v>6128.34</v>
          </cell>
          <cell r="O344">
            <v>530.26</v>
          </cell>
          <cell r="U344" t="str">
            <v>Service</v>
          </cell>
          <cell r="V344" t="str">
            <v>Service gratuit 2</v>
          </cell>
          <cell r="W344" t="str">
            <v>$</v>
          </cell>
          <cell r="X344">
            <v>0</v>
          </cell>
        </row>
        <row r="345">
          <cell r="C345">
            <v>27257.69</v>
          </cell>
          <cell r="O345">
            <v>8929.44</v>
          </cell>
          <cell r="U345" t="str">
            <v>Service</v>
          </cell>
          <cell r="V345" t="str">
            <v>Fournitures autres</v>
          </cell>
          <cell r="W345" t="str">
            <v>$</v>
          </cell>
          <cell r="X345">
            <v>0</v>
          </cell>
        </row>
        <row r="346">
          <cell r="C346">
            <v>9304.67</v>
          </cell>
          <cell r="O346">
            <v>1535.27</v>
          </cell>
          <cell r="U346" t="str">
            <v>Service</v>
          </cell>
          <cell r="V346" t="str">
            <v>Uniformes</v>
          </cell>
          <cell r="W346" t="str">
            <v>$</v>
          </cell>
          <cell r="X346">
            <v>0</v>
          </cell>
        </row>
        <row r="347">
          <cell r="C347">
            <v>30248.15</v>
          </cell>
          <cell r="O347">
            <v>5450.1</v>
          </cell>
          <cell r="U347" t="str">
            <v>Service</v>
          </cell>
          <cell r="V347" t="str">
            <v>Formation</v>
          </cell>
          <cell r="W347" t="str">
            <v>$</v>
          </cell>
          <cell r="X347">
            <v>0</v>
          </cell>
        </row>
        <row r="348">
          <cell r="C348">
            <v>74600.570000000007</v>
          </cell>
          <cell r="O348">
            <v>14517.16</v>
          </cell>
          <cell r="U348" t="str">
            <v>Service</v>
          </cell>
          <cell r="V348" t="str">
            <v>Frais véhicules de cie</v>
          </cell>
          <cell r="W348" t="str">
            <v>$</v>
          </cell>
          <cell r="X348">
            <v>0</v>
          </cell>
        </row>
        <row r="349">
          <cell r="C349">
            <v>674.45</v>
          </cell>
          <cell r="O349">
            <v>97.59</v>
          </cell>
          <cell r="U349" t="str">
            <v>Service</v>
          </cell>
          <cell r="V349" t="str">
            <v>Frais postaux</v>
          </cell>
          <cell r="W349" t="str">
            <v>$</v>
          </cell>
          <cell r="X349">
            <v>0</v>
          </cell>
        </row>
        <row r="350">
          <cell r="C350">
            <v>25304.58</v>
          </cell>
          <cell r="O350">
            <v>4994.3100000000004</v>
          </cell>
          <cell r="U350" t="str">
            <v>Service</v>
          </cell>
          <cell r="V350" t="str">
            <v>Informatique</v>
          </cell>
          <cell r="W350" t="str">
            <v>$</v>
          </cell>
          <cell r="X350">
            <v>0</v>
          </cell>
        </row>
        <row r="351">
          <cell r="C351">
            <v>5169.6099999999997</v>
          </cell>
          <cell r="O351">
            <v>359.87</v>
          </cell>
          <cell r="U351" t="str">
            <v>Service</v>
          </cell>
          <cell r="V351" t="str">
            <v>Papeterie</v>
          </cell>
          <cell r="W351" t="str">
            <v>$</v>
          </cell>
          <cell r="X351">
            <v>0</v>
          </cell>
        </row>
        <row r="352">
          <cell r="C352">
            <v>1294.48</v>
          </cell>
          <cell r="O352">
            <v>248.63</v>
          </cell>
          <cell r="U352" t="str">
            <v>Service</v>
          </cell>
          <cell r="V352" t="str">
            <v>Téléphone</v>
          </cell>
          <cell r="W352" t="str">
            <v>$</v>
          </cell>
          <cell r="X352">
            <v>0</v>
          </cell>
        </row>
        <row r="353">
          <cell r="C353">
            <v>993.58</v>
          </cell>
          <cell r="O353">
            <v>58.08</v>
          </cell>
          <cell r="U353" t="str">
            <v>Service</v>
          </cell>
          <cell r="V353" t="str">
            <v>Divers</v>
          </cell>
          <cell r="W353" t="str">
            <v>$</v>
          </cell>
          <cell r="X353">
            <v>0</v>
          </cell>
        </row>
        <row r="354">
          <cell r="C354">
            <v>10262.17</v>
          </cell>
          <cell r="O354">
            <v>1758.01</v>
          </cell>
          <cell r="U354" t="str">
            <v>Service</v>
          </cell>
          <cell r="V354" t="str">
            <v>Frais de déplacement</v>
          </cell>
          <cell r="W354" t="str">
            <v>$</v>
          </cell>
          <cell r="X354">
            <v>0</v>
          </cell>
        </row>
        <row r="355">
          <cell r="C355">
            <v>10138.469999999999</v>
          </cell>
          <cell r="O355">
            <v>1703.22</v>
          </cell>
          <cell r="U355" t="str">
            <v>Service</v>
          </cell>
          <cell r="V355" t="str">
            <v>Frais bancaires</v>
          </cell>
          <cell r="W355" t="str">
            <v>$</v>
          </cell>
          <cell r="X355">
            <v>0</v>
          </cell>
        </row>
        <row r="356">
          <cell r="C356">
            <v>20371.55</v>
          </cell>
          <cell r="O356">
            <v>2838</v>
          </cell>
          <cell r="U356" t="str">
            <v>Service</v>
          </cell>
          <cell r="V356" t="str">
            <v>Services extérieurs</v>
          </cell>
          <cell r="W356" t="str">
            <v>$</v>
          </cell>
          <cell r="X356">
            <v>0</v>
          </cell>
        </row>
        <row r="357">
          <cell r="C357">
            <v>6212.88</v>
          </cell>
          <cell r="O357">
            <v>1035.48</v>
          </cell>
          <cell r="U357" t="str">
            <v>Service</v>
          </cell>
          <cell r="V357" t="str">
            <v>Amortissement</v>
          </cell>
          <cell r="W357" t="str">
            <v>$</v>
          </cell>
          <cell r="X357">
            <v>0</v>
          </cell>
        </row>
        <row r="358">
          <cell r="C358">
            <v>2226.88</v>
          </cell>
          <cell r="O358">
            <v>561.12</v>
          </cell>
          <cell r="U358" t="str">
            <v>Service</v>
          </cell>
          <cell r="V358" t="str">
            <v>Location équipement</v>
          </cell>
          <cell r="W358" t="str">
            <v>$</v>
          </cell>
          <cell r="X358">
            <v>0</v>
          </cell>
        </row>
        <row r="359">
          <cell r="C359">
            <v>10589.28</v>
          </cell>
          <cell r="O359">
            <v>448.8</v>
          </cell>
          <cell r="U359" t="str">
            <v>Service</v>
          </cell>
          <cell r="V359" t="str">
            <v>Réparation équipement</v>
          </cell>
          <cell r="W359" t="str">
            <v>$</v>
          </cell>
          <cell r="X359">
            <v>0</v>
          </cell>
        </row>
        <row r="360">
          <cell r="C360">
            <v>3829</v>
          </cell>
          <cell r="O360">
            <v>871.05</v>
          </cell>
          <cell r="U360" t="str">
            <v>Service</v>
          </cell>
          <cell r="V360" t="str">
            <v>Chauffage, éclairage</v>
          </cell>
          <cell r="W360" t="str">
            <v>$</v>
          </cell>
          <cell r="X360">
            <v>0</v>
          </cell>
        </row>
        <row r="361">
          <cell r="C361">
            <v>37440</v>
          </cell>
          <cell r="O361">
            <v>6240</v>
          </cell>
          <cell r="U361" t="str">
            <v>Service</v>
          </cell>
          <cell r="V361" t="str">
            <v>Loyer</v>
          </cell>
          <cell r="W361" t="str">
            <v>$</v>
          </cell>
          <cell r="X361">
            <v>0</v>
          </cell>
        </row>
        <row r="362">
          <cell r="C362">
            <v>6150.24</v>
          </cell>
          <cell r="O362">
            <v>1025.04</v>
          </cell>
          <cell r="U362" t="str">
            <v>Service</v>
          </cell>
          <cell r="V362" t="str">
            <v>Assurances</v>
          </cell>
          <cell r="W362" t="str">
            <v>$</v>
          </cell>
          <cell r="X362">
            <v>0</v>
          </cell>
        </row>
        <row r="363">
          <cell r="C363">
            <v>7259.22</v>
          </cell>
          <cell r="O363">
            <v>1183.2</v>
          </cell>
          <cell r="U363" t="str">
            <v>Service</v>
          </cell>
          <cell r="V363" t="str">
            <v>Taxes foncières</v>
          </cell>
          <cell r="W363" t="str">
            <v>$</v>
          </cell>
          <cell r="X363">
            <v>0</v>
          </cell>
        </row>
        <row r="364">
          <cell r="C364">
            <v>4723.2</v>
          </cell>
          <cell r="O364">
            <v>787.2</v>
          </cell>
          <cell r="U364" t="str">
            <v>Service</v>
          </cell>
          <cell r="V364" t="str">
            <v>Taxes d`affaires</v>
          </cell>
          <cell r="W364" t="str">
            <v>$</v>
          </cell>
          <cell r="X364">
            <v>0</v>
          </cell>
        </row>
        <row r="365">
          <cell r="C365">
            <v>9604.98</v>
          </cell>
          <cell r="O365">
            <v>1572.03</v>
          </cell>
          <cell r="U365" t="str">
            <v>Service</v>
          </cell>
          <cell r="V365" t="str">
            <v>Honoraires</v>
          </cell>
          <cell r="W365" t="str">
            <v>$</v>
          </cell>
          <cell r="X365">
            <v>0</v>
          </cell>
        </row>
        <row r="366">
          <cell r="C366">
            <v>5743.1</v>
          </cell>
          <cell r="O366">
            <v>1009.17</v>
          </cell>
          <cell r="U366" t="str">
            <v>Carrosserie</v>
          </cell>
          <cell r="V366" t="str">
            <v>Service gratuit 2</v>
          </cell>
          <cell r="W366" t="str">
            <v>$</v>
          </cell>
          <cell r="X366">
            <v>0</v>
          </cell>
        </row>
        <row r="367">
          <cell r="C367">
            <v>447.41</v>
          </cell>
          <cell r="O367">
            <v>24.55</v>
          </cell>
          <cell r="U367" t="str">
            <v>Carrosserie</v>
          </cell>
          <cell r="V367" t="str">
            <v>Publicité 2</v>
          </cell>
          <cell r="W367" t="str">
            <v>$</v>
          </cell>
          <cell r="X367">
            <v>0</v>
          </cell>
        </row>
        <row r="368">
          <cell r="C368">
            <v>2824.26</v>
          </cell>
          <cell r="O368">
            <v>326.92</v>
          </cell>
          <cell r="U368" t="str">
            <v>Carrosserie</v>
          </cell>
          <cell r="V368" t="str">
            <v>Salaires propriétaire</v>
          </cell>
          <cell r="W368" t="str">
            <v>$</v>
          </cell>
          <cell r="X368">
            <v>0</v>
          </cell>
        </row>
        <row r="369">
          <cell r="C369">
            <v>6161.28</v>
          </cell>
          <cell r="O369">
            <v>651.88</v>
          </cell>
          <cell r="U369" t="str">
            <v>Carrosserie</v>
          </cell>
          <cell r="V369" t="str">
            <v>Salaires cadres</v>
          </cell>
          <cell r="W369" t="str">
            <v>$</v>
          </cell>
          <cell r="X369">
            <v>0</v>
          </cell>
        </row>
        <row r="370">
          <cell r="C370">
            <v>25391.74</v>
          </cell>
          <cell r="O370">
            <v>4550.6000000000004</v>
          </cell>
          <cell r="U370" t="str">
            <v>Carrosserie</v>
          </cell>
          <cell r="V370" t="str">
            <v>Salaires spécialistes</v>
          </cell>
          <cell r="W370" t="str">
            <v>$</v>
          </cell>
          <cell r="X370">
            <v>0</v>
          </cell>
        </row>
        <row r="371">
          <cell r="C371">
            <v>0.61</v>
          </cell>
          <cell r="O371">
            <v>-0.02</v>
          </cell>
          <cell r="U371" t="str">
            <v>Carrosserie</v>
          </cell>
          <cell r="V371" t="str">
            <v>Salaires autres</v>
          </cell>
          <cell r="W371" t="str">
            <v>$</v>
          </cell>
          <cell r="X371">
            <v>0</v>
          </cell>
        </row>
        <row r="372">
          <cell r="C372">
            <v>2268.7399999999998</v>
          </cell>
          <cell r="O372">
            <v>382.81</v>
          </cell>
          <cell r="U372" t="str">
            <v>Carrosserie</v>
          </cell>
          <cell r="V372" t="str">
            <v>Salaires en absences</v>
          </cell>
          <cell r="W372" t="str">
            <v>$</v>
          </cell>
          <cell r="X372">
            <v>0</v>
          </cell>
        </row>
        <row r="373">
          <cell r="C373">
            <v>1004.19</v>
          </cell>
          <cell r="O373">
            <v>170.57</v>
          </cell>
          <cell r="U373" t="str">
            <v>Carrosserie</v>
          </cell>
          <cell r="V373" t="str">
            <v>Csst</v>
          </cell>
          <cell r="W373" t="str">
            <v>$</v>
          </cell>
          <cell r="X373">
            <v>0</v>
          </cell>
        </row>
        <row r="374">
          <cell r="C374">
            <v>7741.36</v>
          </cell>
          <cell r="O374">
            <v>1298.79</v>
          </cell>
          <cell r="U374" t="str">
            <v>Carrosserie</v>
          </cell>
          <cell r="V374" t="str">
            <v>Déduction à la source</v>
          </cell>
          <cell r="W374" t="str">
            <v>$</v>
          </cell>
          <cell r="X374">
            <v>0</v>
          </cell>
        </row>
        <row r="375">
          <cell r="C375">
            <v>329.67</v>
          </cell>
          <cell r="O375">
            <v>0</v>
          </cell>
          <cell r="U375" t="str">
            <v>Carrosserie</v>
          </cell>
          <cell r="V375" t="str">
            <v>Bénéfices marginaux</v>
          </cell>
          <cell r="W375" t="str">
            <v>$</v>
          </cell>
          <cell r="X375">
            <v>0</v>
          </cell>
        </row>
        <row r="376">
          <cell r="C376">
            <v>794.53</v>
          </cell>
          <cell r="O376">
            <v>46.81</v>
          </cell>
          <cell r="U376" t="str">
            <v>Carrosserie</v>
          </cell>
          <cell r="V376" t="str">
            <v>Bénéfices marginaux</v>
          </cell>
          <cell r="W376" t="str">
            <v>$</v>
          </cell>
          <cell r="X376">
            <v>0</v>
          </cell>
        </row>
        <row r="377">
          <cell r="C377">
            <v>1.8</v>
          </cell>
          <cell r="O377">
            <v>0</v>
          </cell>
          <cell r="U377" t="str">
            <v>Carrosserie</v>
          </cell>
          <cell r="V377" t="str">
            <v>Fournitures autres</v>
          </cell>
          <cell r="W377" t="str">
            <v>$</v>
          </cell>
          <cell r="X377">
            <v>0</v>
          </cell>
        </row>
        <row r="378">
          <cell r="C378">
            <v>2209.37</v>
          </cell>
          <cell r="O378">
            <v>22.33</v>
          </cell>
          <cell r="U378" t="str">
            <v>Carrosserie</v>
          </cell>
          <cell r="V378" t="str">
            <v>Formation</v>
          </cell>
          <cell r="W378" t="str">
            <v>$</v>
          </cell>
          <cell r="X378">
            <v>0</v>
          </cell>
        </row>
        <row r="379">
          <cell r="C379">
            <v>3713.47</v>
          </cell>
          <cell r="O379">
            <v>149.79</v>
          </cell>
          <cell r="U379" t="str">
            <v>Carrosserie</v>
          </cell>
          <cell r="V379" t="str">
            <v>Frais véhicules de cie</v>
          </cell>
          <cell r="W379" t="str">
            <v>$</v>
          </cell>
          <cell r="X379">
            <v>0</v>
          </cell>
        </row>
        <row r="380">
          <cell r="C380">
            <v>131.74</v>
          </cell>
          <cell r="O380">
            <v>28.46</v>
          </cell>
          <cell r="U380" t="str">
            <v>Carrosserie</v>
          </cell>
          <cell r="V380" t="str">
            <v>Frais postaux</v>
          </cell>
          <cell r="W380" t="str">
            <v>$</v>
          </cell>
          <cell r="X380">
            <v>0</v>
          </cell>
        </row>
        <row r="381">
          <cell r="C381">
            <v>9427.66</v>
          </cell>
          <cell r="O381">
            <v>1466.11</v>
          </cell>
          <cell r="U381" t="str">
            <v>Carrosserie</v>
          </cell>
          <cell r="V381" t="str">
            <v>Informatique</v>
          </cell>
          <cell r="W381" t="str">
            <v>$</v>
          </cell>
          <cell r="X381">
            <v>0</v>
          </cell>
        </row>
        <row r="382">
          <cell r="C382">
            <v>836.9</v>
          </cell>
          <cell r="O382">
            <v>104.97</v>
          </cell>
          <cell r="U382" t="str">
            <v>Carrosserie</v>
          </cell>
          <cell r="V382" t="str">
            <v>Papeterie</v>
          </cell>
          <cell r="W382" t="str">
            <v>$</v>
          </cell>
          <cell r="X382">
            <v>0</v>
          </cell>
        </row>
        <row r="383">
          <cell r="C383">
            <v>131.22999999999999</v>
          </cell>
          <cell r="O383">
            <v>21.2</v>
          </cell>
          <cell r="U383" t="str">
            <v>Carrosserie</v>
          </cell>
          <cell r="V383" t="str">
            <v>Téléphone</v>
          </cell>
          <cell r="W383" t="str">
            <v>$</v>
          </cell>
          <cell r="X383">
            <v>0</v>
          </cell>
        </row>
        <row r="384">
          <cell r="C384">
            <v>267.64</v>
          </cell>
          <cell r="O384">
            <v>16.940000000000001</v>
          </cell>
          <cell r="U384" t="str">
            <v>Carrosserie</v>
          </cell>
          <cell r="V384" t="str">
            <v>Divers</v>
          </cell>
          <cell r="W384" t="str">
            <v>$</v>
          </cell>
          <cell r="X384">
            <v>0</v>
          </cell>
        </row>
        <row r="385">
          <cell r="C385">
            <v>1375.4</v>
          </cell>
          <cell r="O385">
            <v>169.45</v>
          </cell>
          <cell r="U385" t="str">
            <v>Carrosserie</v>
          </cell>
          <cell r="V385" t="str">
            <v>Frais de déplacement</v>
          </cell>
          <cell r="W385" t="str">
            <v>$</v>
          </cell>
          <cell r="X385">
            <v>0</v>
          </cell>
        </row>
        <row r="386">
          <cell r="C386">
            <v>1126.51</v>
          </cell>
          <cell r="O386">
            <v>189.25</v>
          </cell>
          <cell r="U386" t="str">
            <v>Carrosserie</v>
          </cell>
          <cell r="V386" t="str">
            <v>Frais bancaires</v>
          </cell>
          <cell r="W386" t="str">
            <v>$</v>
          </cell>
          <cell r="X386">
            <v>0</v>
          </cell>
        </row>
        <row r="387">
          <cell r="C387">
            <v>3400.22</v>
          </cell>
          <cell r="O387">
            <v>447.02</v>
          </cell>
          <cell r="U387" t="str">
            <v>Carrosserie</v>
          </cell>
          <cell r="V387" t="str">
            <v>Services extérieurs</v>
          </cell>
          <cell r="W387" t="str">
            <v>$</v>
          </cell>
          <cell r="X387">
            <v>0</v>
          </cell>
        </row>
        <row r="388">
          <cell r="C388">
            <v>1812.12</v>
          </cell>
          <cell r="O388">
            <v>302.02</v>
          </cell>
          <cell r="U388" t="str">
            <v>Carrosserie</v>
          </cell>
          <cell r="V388" t="str">
            <v>Amortissement</v>
          </cell>
          <cell r="W388" t="str">
            <v>$</v>
          </cell>
          <cell r="X388">
            <v>0</v>
          </cell>
        </row>
        <row r="389">
          <cell r="O389">
            <v>254.06</v>
          </cell>
          <cell r="U389" t="str">
            <v>Carrosserie</v>
          </cell>
          <cell r="V389" t="str">
            <v>Chauffage, éclairage</v>
          </cell>
          <cell r="W389" t="str">
            <v>$</v>
          </cell>
          <cell r="X389">
            <v>0</v>
          </cell>
        </row>
        <row r="390">
          <cell r="O390">
            <v>1820</v>
          </cell>
          <cell r="U390" t="str">
            <v>Carrosserie</v>
          </cell>
          <cell r="V390" t="str">
            <v>Loyer</v>
          </cell>
          <cell r="W390" t="str">
            <v>$</v>
          </cell>
          <cell r="X390">
            <v>0</v>
          </cell>
        </row>
        <row r="391">
          <cell r="O391">
            <v>298.97000000000003</v>
          </cell>
          <cell r="U391" t="str">
            <v>Carrosserie</v>
          </cell>
          <cell r="V391" t="str">
            <v>Assurances</v>
          </cell>
          <cell r="W391" t="str">
            <v>$</v>
          </cell>
          <cell r="X391">
            <v>0</v>
          </cell>
        </row>
        <row r="392">
          <cell r="O392">
            <v>345.1</v>
          </cell>
          <cell r="U392" t="str">
            <v>Carrosserie</v>
          </cell>
          <cell r="V392" t="str">
            <v>Taxes foncières</v>
          </cell>
          <cell r="W392" t="str">
            <v>$</v>
          </cell>
          <cell r="X392">
            <v>0</v>
          </cell>
        </row>
        <row r="393">
          <cell r="O393">
            <v>229.6</v>
          </cell>
          <cell r="U393" t="str">
            <v>Carrosserie</v>
          </cell>
          <cell r="V393" t="str">
            <v>Taxes d`affaires</v>
          </cell>
          <cell r="W393" t="str">
            <v>$</v>
          </cell>
          <cell r="X393">
            <v>0</v>
          </cell>
        </row>
        <row r="394">
          <cell r="O394">
            <v>458.51</v>
          </cell>
          <cell r="U394" t="str">
            <v>Carrosserie</v>
          </cell>
          <cell r="V394" t="str">
            <v>Honoraires</v>
          </cell>
          <cell r="W394" t="str">
            <v>$</v>
          </cell>
          <cell r="X394">
            <v>0</v>
          </cell>
        </row>
        <row r="395">
          <cell r="O395">
            <v>0</v>
          </cell>
          <cell r="U395" t="str">
            <v>Carrosserie</v>
          </cell>
          <cell r="V395" t="str">
            <v>Divers</v>
          </cell>
          <cell r="W395" t="str">
            <v>$</v>
          </cell>
          <cell r="X395">
            <v>0</v>
          </cell>
        </row>
        <row r="396">
          <cell r="O396">
            <v>184.1</v>
          </cell>
          <cell r="U396" t="str">
            <v>Pièces</v>
          </cell>
          <cell r="V396" t="str">
            <v>Service gratuit 2</v>
          </cell>
          <cell r="W396" t="str">
            <v>$</v>
          </cell>
          <cell r="X396">
            <v>0</v>
          </cell>
        </row>
        <row r="397">
          <cell r="O397">
            <v>5963.31</v>
          </cell>
          <cell r="U397" t="str">
            <v>Pièces</v>
          </cell>
          <cell r="V397" t="str">
            <v>Publicité 2</v>
          </cell>
          <cell r="W397" t="str">
            <v>$</v>
          </cell>
          <cell r="X397">
            <v>0</v>
          </cell>
        </row>
        <row r="398">
          <cell r="O398">
            <v>2615.41</v>
          </cell>
          <cell r="U398" t="str">
            <v>Pièces</v>
          </cell>
          <cell r="V398" t="str">
            <v>Salaires propriétaire</v>
          </cell>
          <cell r="W398" t="str">
            <v>$</v>
          </cell>
          <cell r="X398">
            <v>0</v>
          </cell>
        </row>
        <row r="399">
          <cell r="O399">
            <v>7410.88</v>
          </cell>
          <cell r="U399" t="str">
            <v>Pièces</v>
          </cell>
          <cell r="V399" t="str">
            <v>Salaires cadres</v>
          </cell>
          <cell r="W399" t="str">
            <v>$</v>
          </cell>
          <cell r="X399">
            <v>0</v>
          </cell>
        </row>
        <row r="400">
          <cell r="O400">
            <v>21961.89</v>
          </cell>
          <cell r="U400" t="str">
            <v>Pièces</v>
          </cell>
          <cell r="V400" t="str">
            <v>Salaires commis</v>
          </cell>
          <cell r="W400" t="str">
            <v>$</v>
          </cell>
          <cell r="X400">
            <v>0</v>
          </cell>
        </row>
        <row r="401">
          <cell r="O401">
            <v>248.16</v>
          </cell>
          <cell r="U401" t="str">
            <v>Pièces</v>
          </cell>
          <cell r="V401" t="str">
            <v>Salaires autres</v>
          </cell>
          <cell r="W401" t="str">
            <v>$</v>
          </cell>
          <cell r="X401">
            <v>0</v>
          </cell>
        </row>
        <row r="402">
          <cell r="O402">
            <v>2525.11</v>
          </cell>
          <cell r="U402" t="str">
            <v>Pièces</v>
          </cell>
          <cell r="V402" t="str">
            <v>Salaires en absences</v>
          </cell>
          <cell r="W402" t="str">
            <v>$</v>
          </cell>
          <cell r="X402">
            <v>0</v>
          </cell>
        </row>
        <row r="403">
          <cell r="O403">
            <v>916.61</v>
          </cell>
          <cell r="U403" t="str">
            <v>Pièces</v>
          </cell>
          <cell r="V403" t="str">
            <v>Csst</v>
          </cell>
          <cell r="W403" t="str">
            <v>$</v>
          </cell>
          <cell r="X403">
            <v>0</v>
          </cell>
        </row>
        <row r="404">
          <cell r="O404">
            <v>6293.33</v>
          </cell>
          <cell r="U404" t="str">
            <v>Pièces</v>
          </cell>
          <cell r="V404" t="str">
            <v>Déduction à la source</v>
          </cell>
          <cell r="W404" t="str">
            <v>$</v>
          </cell>
          <cell r="X404">
            <v>0</v>
          </cell>
        </row>
        <row r="405">
          <cell r="O405">
            <v>842.67</v>
          </cell>
          <cell r="U405" t="str">
            <v>Pièces</v>
          </cell>
          <cell r="V405" t="str">
            <v>Déduction à la source</v>
          </cell>
          <cell r="W405" t="str">
            <v>$</v>
          </cell>
          <cell r="X405">
            <v>0</v>
          </cell>
        </row>
        <row r="406">
          <cell r="O406">
            <v>1124.96</v>
          </cell>
          <cell r="U406" t="str">
            <v>Pièces</v>
          </cell>
          <cell r="V406" t="str">
            <v>Bénéfices marginaux</v>
          </cell>
          <cell r="W406" t="str">
            <v>$</v>
          </cell>
          <cell r="X406">
            <v>0</v>
          </cell>
        </row>
        <row r="407">
          <cell r="O407">
            <v>428.39</v>
          </cell>
          <cell r="U407" t="str">
            <v>Pièces</v>
          </cell>
          <cell r="V407" t="str">
            <v>Fournitures autres</v>
          </cell>
          <cell r="W407" t="str">
            <v>$</v>
          </cell>
          <cell r="X407">
            <v>0</v>
          </cell>
        </row>
        <row r="408">
          <cell r="O408">
            <v>79.75</v>
          </cell>
          <cell r="U408" t="str">
            <v>Pièces</v>
          </cell>
          <cell r="V408" t="str">
            <v>Formation</v>
          </cell>
          <cell r="W408" t="str">
            <v>$</v>
          </cell>
          <cell r="X408">
            <v>0</v>
          </cell>
        </row>
        <row r="409">
          <cell r="O409">
            <v>959.29</v>
          </cell>
          <cell r="U409" t="str">
            <v>Pièces</v>
          </cell>
          <cell r="V409" t="str">
            <v>Frais véhicules de cie</v>
          </cell>
          <cell r="W409" t="str">
            <v>$</v>
          </cell>
          <cell r="X409">
            <v>0</v>
          </cell>
        </row>
        <row r="410">
          <cell r="O410">
            <v>1025.6199999999999</v>
          </cell>
          <cell r="U410" t="str">
            <v>Pièces</v>
          </cell>
          <cell r="V410" t="str">
            <v>Frais postaux</v>
          </cell>
          <cell r="W410" t="str">
            <v>$</v>
          </cell>
          <cell r="X410">
            <v>0</v>
          </cell>
        </row>
        <row r="411">
          <cell r="O411">
            <v>4034.99</v>
          </cell>
          <cell r="U411" t="str">
            <v>Pièces</v>
          </cell>
          <cell r="V411" t="str">
            <v>Informatique</v>
          </cell>
          <cell r="W411" t="str">
            <v>$</v>
          </cell>
          <cell r="X411">
            <v>0</v>
          </cell>
        </row>
        <row r="412">
          <cell r="O412">
            <v>374.87</v>
          </cell>
          <cell r="U412" t="str">
            <v>Pièces</v>
          </cell>
          <cell r="V412" t="str">
            <v>Papeterie</v>
          </cell>
          <cell r="W412" t="str">
            <v>$</v>
          </cell>
          <cell r="X412">
            <v>0</v>
          </cell>
        </row>
        <row r="413">
          <cell r="O413">
            <v>75.7</v>
          </cell>
          <cell r="U413" t="str">
            <v>Pièces</v>
          </cell>
          <cell r="V413" t="str">
            <v>Téléphone</v>
          </cell>
          <cell r="W413" t="str">
            <v>$</v>
          </cell>
          <cell r="X413">
            <v>0</v>
          </cell>
        </row>
        <row r="414">
          <cell r="O414">
            <v>60.49</v>
          </cell>
          <cell r="U414" t="str">
            <v>Pièces</v>
          </cell>
          <cell r="V414" t="str">
            <v>Divers</v>
          </cell>
          <cell r="W414" t="str">
            <v>$</v>
          </cell>
          <cell r="X414">
            <v>0</v>
          </cell>
        </row>
        <row r="415">
          <cell r="O415">
            <v>605.16999999999996</v>
          </cell>
          <cell r="U415" t="str">
            <v>Pièces</v>
          </cell>
          <cell r="V415" t="str">
            <v>Frais de déplacement</v>
          </cell>
          <cell r="W415" t="str">
            <v>$</v>
          </cell>
          <cell r="X415">
            <v>0</v>
          </cell>
        </row>
        <row r="416">
          <cell r="O416">
            <v>1513.96</v>
          </cell>
          <cell r="U416" t="str">
            <v>Pièces</v>
          </cell>
          <cell r="V416" t="str">
            <v>Frais bancaires</v>
          </cell>
          <cell r="W416" t="str">
            <v>$</v>
          </cell>
          <cell r="X416">
            <v>0</v>
          </cell>
        </row>
        <row r="417">
          <cell r="O417">
            <v>18820.55</v>
          </cell>
          <cell r="U417" t="str">
            <v>Pièces</v>
          </cell>
          <cell r="V417" t="str">
            <v>Services extérieurs</v>
          </cell>
          <cell r="W417" t="str">
            <v>$</v>
          </cell>
          <cell r="X417">
            <v>0</v>
          </cell>
        </row>
        <row r="418">
          <cell r="O418">
            <v>1078.6199999999999</v>
          </cell>
          <cell r="U418" t="str">
            <v>Pièces</v>
          </cell>
          <cell r="V418" t="str">
            <v>Amortissement</v>
          </cell>
          <cell r="W418" t="str">
            <v>$</v>
          </cell>
          <cell r="X418">
            <v>0</v>
          </cell>
        </row>
        <row r="419">
          <cell r="O419">
            <v>907.36</v>
          </cell>
          <cell r="U419" t="str">
            <v>Pièces</v>
          </cell>
          <cell r="V419" t="str">
            <v>Chauffage, éclairage</v>
          </cell>
          <cell r="W419" t="str">
            <v>$</v>
          </cell>
          <cell r="X419">
            <v>0</v>
          </cell>
        </row>
        <row r="420">
          <cell r="O420">
            <v>6500</v>
          </cell>
          <cell r="U420" t="str">
            <v>Pièces</v>
          </cell>
          <cell r="V420" t="str">
            <v>Loyer</v>
          </cell>
          <cell r="W420" t="str">
            <v>$</v>
          </cell>
          <cell r="X420">
            <v>0</v>
          </cell>
        </row>
        <row r="421">
          <cell r="O421">
            <v>1067.75</v>
          </cell>
          <cell r="U421" t="str">
            <v>Pièces</v>
          </cell>
          <cell r="V421" t="str">
            <v>Assurances</v>
          </cell>
          <cell r="W421" t="str">
            <v>$</v>
          </cell>
          <cell r="X421">
            <v>0</v>
          </cell>
        </row>
        <row r="422">
          <cell r="O422">
            <v>1232.5</v>
          </cell>
          <cell r="U422" t="str">
            <v>Pièces</v>
          </cell>
          <cell r="V422" t="str">
            <v>Taxes foncières</v>
          </cell>
          <cell r="W422" t="str">
            <v>$</v>
          </cell>
          <cell r="X422">
            <v>0</v>
          </cell>
        </row>
        <row r="423">
          <cell r="O423">
            <v>820</v>
          </cell>
          <cell r="U423" t="str">
            <v>Pièces</v>
          </cell>
          <cell r="V423" t="str">
            <v>Taxes d`affaires</v>
          </cell>
          <cell r="W423" t="str">
            <v>$</v>
          </cell>
          <cell r="X423">
            <v>0</v>
          </cell>
        </row>
        <row r="424">
          <cell r="O424">
            <v>1637.53</v>
          </cell>
          <cell r="U424" t="str">
            <v>Pièces</v>
          </cell>
          <cell r="V424" t="str">
            <v>Honoraires</v>
          </cell>
          <cell r="W424" t="str">
            <v>$</v>
          </cell>
          <cell r="X424">
            <v>0</v>
          </cell>
        </row>
        <row r="425">
          <cell r="O425">
            <v>-42698.55</v>
          </cell>
          <cell r="U425" t="str">
            <v>Véhicules neufs</v>
          </cell>
          <cell r="V425" t="str">
            <v>Holdbacks</v>
          </cell>
          <cell r="W425" t="str">
            <v>$</v>
          </cell>
          <cell r="X425">
            <v>0</v>
          </cell>
        </row>
        <row r="426">
          <cell r="O426">
            <v>-7879.2</v>
          </cell>
          <cell r="U426" t="str">
            <v>Pièces</v>
          </cell>
          <cell r="V426" t="str">
            <v>Escomptes</v>
          </cell>
          <cell r="W426" t="str">
            <v>$</v>
          </cell>
          <cell r="X426">
            <v>0</v>
          </cell>
        </row>
        <row r="427">
          <cell r="O427">
            <v>-9667.5499999999993</v>
          </cell>
          <cell r="U427" t="str">
            <v>Véhicules neufs</v>
          </cell>
          <cell r="V427" t="str">
            <v>Rev. Finances</v>
          </cell>
          <cell r="W427" t="str">
            <v>$</v>
          </cell>
          <cell r="X427" t="str">
            <v>Oui</v>
          </cell>
        </row>
        <row r="428">
          <cell r="O428">
            <v>-18626.150000000001</v>
          </cell>
          <cell r="U428" t="str">
            <v>Véhicules usagés</v>
          </cell>
          <cell r="V428" t="str">
            <v>Rev. Finances</v>
          </cell>
          <cell r="W428" t="str">
            <v>$</v>
          </cell>
          <cell r="X428" t="str">
            <v>Oui</v>
          </cell>
        </row>
        <row r="429">
          <cell r="O429">
            <v>0</v>
          </cell>
          <cell r="U429" t="str">
            <v>Véhicules neufs</v>
          </cell>
          <cell r="V429" t="str">
            <v>Rev. Autres</v>
          </cell>
          <cell r="W429" t="str">
            <v>$</v>
          </cell>
          <cell r="X429" t="str">
            <v>Oui</v>
          </cell>
        </row>
        <row r="430">
          <cell r="O430">
            <v>-909.14</v>
          </cell>
          <cell r="U430" t="str">
            <v>Véhicules usagés</v>
          </cell>
          <cell r="V430" t="str">
            <v>Rev. Autres</v>
          </cell>
          <cell r="W430" t="str">
            <v>$</v>
          </cell>
          <cell r="X430" t="str">
            <v>Oui</v>
          </cell>
        </row>
        <row r="431">
          <cell r="O431">
            <v>-4500</v>
          </cell>
          <cell r="U431" t="str">
            <v>Véhicules neufs</v>
          </cell>
          <cell r="V431" t="str">
            <v>Rev. Protections</v>
          </cell>
          <cell r="W431" t="str">
            <v>$</v>
          </cell>
          <cell r="X431" t="str">
            <v>Oui</v>
          </cell>
        </row>
        <row r="432">
          <cell r="O432">
            <v>-38806.519999999997</v>
          </cell>
          <cell r="U432" t="str">
            <v>Véhicules neufs</v>
          </cell>
          <cell r="V432" t="str">
            <v>Rev. Protections</v>
          </cell>
          <cell r="W432" t="str">
            <v>$</v>
          </cell>
          <cell r="X432" t="str">
            <v>Oui</v>
          </cell>
        </row>
        <row r="433">
          <cell r="O433">
            <v>-23638</v>
          </cell>
          <cell r="U433" t="str">
            <v>Véhicules usagés</v>
          </cell>
          <cell r="V433" t="str">
            <v>Rev. Protections</v>
          </cell>
          <cell r="W433" t="str">
            <v>$</v>
          </cell>
          <cell r="X433" t="str">
            <v>Oui</v>
          </cell>
        </row>
        <row r="434">
          <cell r="O434">
            <v>-12257.98</v>
          </cell>
          <cell r="U434" t="str">
            <v>Véhicules usagés</v>
          </cell>
          <cell r="V434" t="str">
            <v>Rev. Protections</v>
          </cell>
          <cell r="W434" t="str">
            <v>$</v>
          </cell>
          <cell r="X434" t="str">
            <v>Oui</v>
          </cell>
        </row>
        <row r="435">
          <cell r="O435">
            <v>-19446</v>
          </cell>
          <cell r="U435" t="str">
            <v>Véhicules neufs</v>
          </cell>
          <cell r="V435" t="str">
            <v>Frais administration</v>
          </cell>
          <cell r="W435" t="str">
            <v>$</v>
          </cell>
          <cell r="X435">
            <v>0</v>
          </cell>
        </row>
        <row r="436">
          <cell r="O436">
            <v>-14460</v>
          </cell>
          <cell r="U436" t="str">
            <v>Véhicules usagés</v>
          </cell>
          <cell r="V436" t="str">
            <v>Frais administration</v>
          </cell>
          <cell r="W436" t="str">
            <v>$</v>
          </cell>
          <cell r="X436">
            <v>0</v>
          </cell>
        </row>
        <row r="437">
          <cell r="O437">
            <v>-58975.7</v>
          </cell>
          <cell r="U437" t="str">
            <v>TOTAL  DES  REVENUS  ET  DÉPENSES</v>
          </cell>
          <cell r="V437" t="str">
            <v>Revenus autres</v>
          </cell>
          <cell r="W437" t="str">
            <v>$</v>
          </cell>
          <cell r="X437">
            <v>0</v>
          </cell>
        </row>
        <row r="438">
          <cell r="O438">
            <v>-1</v>
          </cell>
          <cell r="U438" t="str">
            <v>Véhicules usagés</v>
          </cell>
          <cell r="V438">
            <v>0</v>
          </cell>
          <cell r="W438" t="str">
            <v>NB</v>
          </cell>
          <cell r="X438">
            <v>0</v>
          </cell>
        </row>
        <row r="439">
          <cell r="O439">
            <v>-3</v>
          </cell>
          <cell r="U439">
            <v>0</v>
          </cell>
          <cell r="V439">
            <v>0</v>
          </cell>
          <cell r="W439" t="str">
            <v>NB</v>
          </cell>
          <cell r="X439">
            <v>0</v>
          </cell>
        </row>
        <row r="440">
          <cell r="O440">
            <v>-16</v>
          </cell>
          <cell r="U440" t="str">
            <v>Véhicules usagés</v>
          </cell>
          <cell r="V440">
            <v>0</v>
          </cell>
          <cell r="W440" t="str">
            <v>NB</v>
          </cell>
          <cell r="X440">
            <v>0</v>
          </cell>
        </row>
        <row r="441">
          <cell r="O441">
            <v>-11</v>
          </cell>
          <cell r="U441" t="str">
            <v>Bilan</v>
          </cell>
          <cell r="V441">
            <v>0</v>
          </cell>
          <cell r="W441" t="str">
            <v>NB</v>
          </cell>
          <cell r="X441">
            <v>0</v>
          </cell>
        </row>
        <row r="442">
          <cell r="O442">
            <v>-8</v>
          </cell>
          <cell r="U442" t="str">
            <v>Bilan</v>
          </cell>
          <cell r="V442">
            <v>0</v>
          </cell>
          <cell r="W442" t="str">
            <v>NB</v>
          </cell>
          <cell r="X442">
            <v>0</v>
          </cell>
        </row>
        <row r="443">
          <cell r="O443">
            <v>-17</v>
          </cell>
          <cell r="U443" t="str">
            <v>Véhicules neufs</v>
          </cell>
          <cell r="V443" t="str">
            <v>Rachat bail</v>
          </cell>
          <cell r="W443" t="str">
            <v>NB</v>
          </cell>
          <cell r="X443">
            <v>0</v>
          </cell>
        </row>
        <row r="444">
          <cell r="O444">
            <v>-1</v>
          </cell>
          <cell r="U444" t="str">
            <v>Véhicules neufs</v>
          </cell>
          <cell r="V444" t="str">
            <v>Autos détail</v>
          </cell>
          <cell r="W444" t="str">
            <v>NB</v>
          </cell>
          <cell r="X444">
            <v>0</v>
          </cell>
        </row>
        <row r="445">
          <cell r="O445">
            <v>-4</v>
          </cell>
          <cell r="U445" t="str">
            <v>Véhicules neufs</v>
          </cell>
          <cell r="V445" t="str">
            <v>Autos détail</v>
          </cell>
          <cell r="W445" t="str">
            <v>NB</v>
          </cell>
          <cell r="X445">
            <v>0</v>
          </cell>
        </row>
        <row r="446">
          <cell r="O446">
            <v>-4</v>
          </cell>
          <cell r="U446" t="str">
            <v>Véhicules neufs</v>
          </cell>
          <cell r="V446" t="str">
            <v>Camions détail</v>
          </cell>
          <cell r="W446" t="str">
            <v>NB</v>
          </cell>
          <cell r="X446">
            <v>0</v>
          </cell>
        </row>
        <row r="447">
          <cell r="O447">
            <v>-8</v>
          </cell>
          <cell r="U447" t="str">
            <v>Véhicules neufs</v>
          </cell>
          <cell r="V447" t="str">
            <v>Camions détail</v>
          </cell>
          <cell r="W447" t="str">
            <v>NB</v>
          </cell>
          <cell r="X447">
            <v>0</v>
          </cell>
        </row>
        <row r="448">
          <cell r="O448">
            <v>-3</v>
          </cell>
          <cell r="U448" t="str">
            <v>Véhicules neufs</v>
          </cell>
          <cell r="V448" t="str">
            <v>Autos détail</v>
          </cell>
          <cell r="W448" t="str">
            <v>NB</v>
          </cell>
          <cell r="X448">
            <v>0</v>
          </cell>
        </row>
        <row r="449">
          <cell r="O449">
            <v>-12</v>
          </cell>
          <cell r="U449" t="str">
            <v>Véhicules neufs</v>
          </cell>
          <cell r="V449" t="str">
            <v>Camions détail</v>
          </cell>
          <cell r="W449" t="str">
            <v>NB</v>
          </cell>
          <cell r="X449">
            <v>0</v>
          </cell>
        </row>
        <row r="450">
          <cell r="O450">
            <v>-1</v>
          </cell>
          <cell r="U450" t="str">
            <v>Véhicules neufs</v>
          </cell>
          <cell r="V450" t="str">
            <v>Flottes</v>
          </cell>
          <cell r="W450" t="str">
            <v>NB</v>
          </cell>
          <cell r="X450">
            <v>0</v>
          </cell>
        </row>
        <row r="451">
          <cell r="O451">
            <v>-3</v>
          </cell>
          <cell r="U451" t="str">
            <v>Véhicules neufs</v>
          </cell>
          <cell r="V451" t="str">
            <v>Ex-Démos et courtoisies</v>
          </cell>
          <cell r="W451" t="str">
            <v>NB</v>
          </cell>
          <cell r="X451">
            <v>0</v>
          </cell>
        </row>
        <row r="452">
          <cell r="O452">
            <v>-4</v>
          </cell>
          <cell r="U452" t="str">
            <v>Véhicules neufs</v>
          </cell>
          <cell r="V452" t="str">
            <v>Autos détail</v>
          </cell>
          <cell r="W452" t="str">
            <v>NB</v>
          </cell>
          <cell r="X452">
            <v>0</v>
          </cell>
        </row>
        <row r="453">
          <cell r="O453">
            <v>-32</v>
          </cell>
          <cell r="U453" t="str">
            <v>Véhicules usagés</v>
          </cell>
          <cell r="V453" t="str">
            <v>Certifié</v>
          </cell>
          <cell r="W453" t="str">
            <v>NB</v>
          </cell>
          <cell r="X453">
            <v>0</v>
          </cell>
        </row>
        <row r="454">
          <cell r="O454">
            <v>-1</v>
          </cell>
          <cell r="U454" t="str">
            <v>Véhicules usagés</v>
          </cell>
          <cell r="V454" t="str">
            <v>Non Certifié</v>
          </cell>
          <cell r="W454" t="str">
            <v>NB</v>
          </cell>
          <cell r="X454">
            <v>0</v>
          </cell>
        </row>
        <row r="455">
          <cell r="O455">
            <v>-3</v>
          </cell>
          <cell r="U455" t="str">
            <v>Véhicules usagés</v>
          </cell>
          <cell r="V455" t="str">
            <v>Non Certifié</v>
          </cell>
          <cell r="W455" t="str">
            <v>NB</v>
          </cell>
          <cell r="X455">
            <v>0</v>
          </cell>
        </row>
        <row r="456">
          <cell r="O456">
            <v>-28</v>
          </cell>
          <cell r="U456" t="str">
            <v>Véhicules usagés</v>
          </cell>
          <cell r="V456" t="str">
            <v>Ventes au Gros</v>
          </cell>
          <cell r="W456" t="str">
            <v>NB</v>
          </cell>
          <cell r="X456">
            <v>0</v>
          </cell>
        </row>
        <row r="457">
          <cell r="O457">
            <v>-376</v>
          </cell>
          <cell r="U457" t="str">
            <v>Service</v>
          </cell>
          <cell r="V457" t="str">
            <v>M/O Client</v>
          </cell>
          <cell r="W457" t="str">
            <v>NB</v>
          </cell>
          <cell r="X457">
            <v>0</v>
          </cell>
        </row>
        <row r="458">
          <cell r="O458">
            <v>-127</v>
          </cell>
          <cell r="U458" t="str">
            <v>Service</v>
          </cell>
          <cell r="V458" t="str">
            <v>M/O Garantie</v>
          </cell>
          <cell r="W458" t="str">
            <v>NB</v>
          </cell>
          <cell r="X458">
            <v>0</v>
          </cell>
        </row>
        <row r="459">
          <cell r="O459">
            <v>-205</v>
          </cell>
          <cell r="U459" t="str">
            <v>Service</v>
          </cell>
          <cell r="V459" t="str">
            <v>M/O Interne</v>
          </cell>
          <cell r="W459" t="str">
            <v>NB</v>
          </cell>
          <cell r="X459">
            <v>0</v>
          </cell>
        </row>
        <row r="460">
          <cell r="O460">
            <v>-315</v>
          </cell>
          <cell r="U460" t="str">
            <v>Pièces</v>
          </cell>
          <cell r="V460" t="str">
            <v>Huiles et Graisse</v>
          </cell>
          <cell r="W460" t="str">
            <v>NB</v>
          </cell>
          <cell r="X460">
            <v>0</v>
          </cell>
        </row>
        <row r="461">
          <cell r="O461">
            <v>-78</v>
          </cell>
          <cell r="U461" t="str">
            <v>Service</v>
          </cell>
          <cell r="V461" t="str">
            <v>Sous-traitement</v>
          </cell>
          <cell r="W461" t="str">
            <v>NB</v>
          </cell>
          <cell r="X461">
            <v>0</v>
          </cell>
        </row>
        <row r="462">
          <cell r="O462">
            <v>-2</v>
          </cell>
          <cell r="U462" t="str">
            <v>Service</v>
          </cell>
          <cell r="V462" t="str">
            <v>Sous-traitement</v>
          </cell>
          <cell r="W462" t="str">
            <v>NB</v>
          </cell>
          <cell r="X462">
            <v>0</v>
          </cell>
        </row>
        <row r="463">
          <cell r="O463">
            <v>-65</v>
          </cell>
          <cell r="U463" t="str">
            <v>Service</v>
          </cell>
          <cell r="V463" t="str">
            <v>Sous-traitement</v>
          </cell>
          <cell r="W463" t="str">
            <v>NB</v>
          </cell>
          <cell r="X463">
            <v>0</v>
          </cell>
        </row>
        <row r="464">
          <cell r="O464">
            <v>-37</v>
          </cell>
          <cell r="U464" t="str">
            <v>Service</v>
          </cell>
          <cell r="V464" t="str">
            <v>M.O. Recond. MCPA</v>
          </cell>
          <cell r="W464" t="str">
            <v>NB</v>
          </cell>
          <cell r="X464">
            <v>0</v>
          </cell>
        </row>
        <row r="465">
          <cell r="O465">
            <v>-11</v>
          </cell>
          <cell r="U465" t="str">
            <v>Carrosserie</v>
          </cell>
          <cell r="V465" t="str">
            <v>M/O Sous-traitement</v>
          </cell>
          <cell r="W465" t="str">
            <v>NB</v>
          </cell>
          <cell r="X465">
            <v>0</v>
          </cell>
        </row>
        <row r="466">
          <cell r="O466">
            <v>-24</v>
          </cell>
          <cell r="U466" t="str">
            <v>Carrosserie</v>
          </cell>
          <cell r="V466" t="str">
            <v>M/O Sous-traitement</v>
          </cell>
          <cell r="W466" t="str">
            <v>NB</v>
          </cell>
          <cell r="X466">
            <v>0</v>
          </cell>
        </row>
        <row r="467">
          <cell r="O467">
            <v>-8</v>
          </cell>
          <cell r="U467" t="str">
            <v>Carrosserie</v>
          </cell>
          <cell r="V467" t="str">
            <v>M/O Sous-traitement</v>
          </cell>
          <cell r="W467" t="str">
            <v>NB</v>
          </cell>
          <cell r="X467">
            <v>0</v>
          </cell>
        </row>
        <row r="468">
          <cell r="O468">
            <v>-339</v>
          </cell>
          <cell r="U468" t="str">
            <v>Pièces</v>
          </cell>
          <cell r="V468" t="str">
            <v>Pièces Ro Clients</v>
          </cell>
          <cell r="W468" t="str">
            <v>NB</v>
          </cell>
          <cell r="X468">
            <v>0</v>
          </cell>
        </row>
        <row r="469">
          <cell r="O469">
            <v>-96</v>
          </cell>
          <cell r="U469" t="str">
            <v>Pièces</v>
          </cell>
          <cell r="V469" t="str">
            <v>P/A Garantie</v>
          </cell>
          <cell r="W469" t="str">
            <v>NB</v>
          </cell>
          <cell r="X469">
            <v>0</v>
          </cell>
        </row>
        <row r="470">
          <cell r="O470">
            <v>-205</v>
          </cell>
          <cell r="U470" t="str">
            <v>Pièces</v>
          </cell>
          <cell r="V470" t="str">
            <v>Ventes Internes</v>
          </cell>
          <cell r="W470" t="str">
            <v>NB</v>
          </cell>
          <cell r="X470">
            <v>0</v>
          </cell>
        </row>
        <row r="471">
          <cell r="O471">
            <v>-101</v>
          </cell>
          <cell r="U471" t="str">
            <v>Pièces</v>
          </cell>
          <cell r="V471" t="str">
            <v>Pièces Ro Clients</v>
          </cell>
          <cell r="W471" t="str">
            <v>NB</v>
          </cell>
          <cell r="X471">
            <v>0</v>
          </cell>
        </row>
        <row r="472">
          <cell r="O472">
            <v>-7</v>
          </cell>
          <cell r="U472" t="str">
            <v>Pièces</v>
          </cell>
          <cell r="V472" t="str">
            <v>Pièces Ro Carrosserie</v>
          </cell>
          <cell r="W472" t="str">
            <v>NB</v>
          </cell>
          <cell r="X472">
            <v>0</v>
          </cell>
        </row>
        <row r="473">
          <cell r="O473">
            <v>-20</v>
          </cell>
          <cell r="U473" t="str">
            <v>Pièces</v>
          </cell>
          <cell r="V473" t="str">
            <v>Pièces Ro Carrosserie</v>
          </cell>
          <cell r="W473" t="str">
            <v>NB</v>
          </cell>
          <cell r="X473">
            <v>0</v>
          </cell>
        </row>
        <row r="474">
          <cell r="O474">
            <v>-6</v>
          </cell>
          <cell r="U474" t="str">
            <v>Pièces</v>
          </cell>
          <cell r="V474" t="str">
            <v>Pièces Ro Carrosserie</v>
          </cell>
          <cell r="W474" t="str">
            <v>NB</v>
          </cell>
          <cell r="X474">
            <v>0</v>
          </cell>
        </row>
        <row r="475">
          <cell r="O475">
            <v>-122</v>
          </cell>
          <cell r="U475" t="str">
            <v>Pièces</v>
          </cell>
          <cell r="V475" t="str">
            <v>Ventes Détails</v>
          </cell>
          <cell r="W475" t="str">
            <v>NB</v>
          </cell>
          <cell r="X475">
            <v>0</v>
          </cell>
        </row>
        <row r="476">
          <cell r="O476">
            <v>-339</v>
          </cell>
          <cell r="U476" t="str">
            <v>Pièces</v>
          </cell>
          <cell r="V476" t="str">
            <v>Ventes de Gros</v>
          </cell>
          <cell r="W476" t="str">
            <v>NB</v>
          </cell>
          <cell r="X476">
            <v>0</v>
          </cell>
        </row>
        <row r="477">
          <cell r="O477">
            <v>-15</v>
          </cell>
          <cell r="U477" t="str">
            <v>Pièces</v>
          </cell>
          <cell r="V477" t="str">
            <v>Ventes Pneus</v>
          </cell>
          <cell r="W477" t="str">
            <v>NB</v>
          </cell>
          <cell r="X477">
            <v>0</v>
          </cell>
        </row>
        <row r="478">
          <cell r="O478">
            <v>0</v>
          </cell>
          <cell r="U478" t="str">
            <v>Véhicules neufs</v>
          </cell>
          <cell r="V478">
            <v>0</v>
          </cell>
          <cell r="W478" t="str">
            <v>NB</v>
          </cell>
          <cell r="X478">
            <v>0</v>
          </cell>
        </row>
        <row r="479">
          <cell r="O479">
            <v>-17</v>
          </cell>
          <cell r="U479" t="str">
            <v>Véhicules usagés</v>
          </cell>
          <cell r="V479">
            <v>0</v>
          </cell>
          <cell r="W479" t="str">
            <v>NB</v>
          </cell>
          <cell r="X479">
            <v>0</v>
          </cell>
        </row>
        <row r="480">
          <cell r="O480">
            <v>-37</v>
          </cell>
          <cell r="U480">
            <v>0</v>
          </cell>
          <cell r="V480">
            <v>0</v>
          </cell>
          <cell r="W480" t="str">
            <v>NB</v>
          </cell>
          <cell r="X480">
            <v>0</v>
          </cell>
        </row>
        <row r="481">
          <cell r="O481">
            <v>-32</v>
          </cell>
          <cell r="U481" t="str">
            <v>Véhicules usagés</v>
          </cell>
          <cell r="V481">
            <v>0</v>
          </cell>
          <cell r="W481" t="str">
            <v>NB</v>
          </cell>
          <cell r="X481">
            <v>0</v>
          </cell>
        </row>
        <row r="482">
          <cell r="O482">
            <v>-32</v>
          </cell>
          <cell r="U482" t="str">
            <v>Véhicules usagés</v>
          </cell>
          <cell r="V482">
            <v>0</v>
          </cell>
          <cell r="W482" t="str">
            <v>NB</v>
          </cell>
          <cell r="X482">
            <v>0</v>
          </cell>
        </row>
        <row r="483">
          <cell r="O483">
            <v>-32</v>
          </cell>
          <cell r="U483" t="str">
            <v>Véhicules usagés</v>
          </cell>
          <cell r="V483">
            <v>0</v>
          </cell>
          <cell r="W483" t="str">
            <v>NB</v>
          </cell>
          <cell r="X483">
            <v>0</v>
          </cell>
        </row>
      </sheetData>
      <sheetData sheetId="15" refreshError="1"/>
      <sheetData sheetId="16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247076.44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0.4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7.65</v>
          </cell>
          <cell r="U10">
            <v>0</v>
          </cell>
          <cell r="V10">
            <v>0</v>
          </cell>
          <cell r="W10" t="str">
            <v>$</v>
          </cell>
          <cell r="X10">
            <v>0</v>
          </cell>
        </row>
        <row r="11">
          <cell r="O11">
            <v>17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16.59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19.34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820.9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397.5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440.75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-36148.68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32654.82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13370.24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15070.74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-15506.29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28289.95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149353.34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0.19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584557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0.55000000000000004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0.39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C78">
            <v>868572.08</v>
          </cell>
          <cell r="O78">
            <v>893972.41</v>
          </cell>
          <cell r="U78" t="str">
            <v>Bilan</v>
          </cell>
          <cell r="V78" t="str">
            <v>Encaisse</v>
          </cell>
          <cell r="W78" t="str">
            <v>$</v>
          </cell>
          <cell r="X78">
            <v>0</v>
          </cell>
        </row>
        <row r="79">
          <cell r="C79">
            <v>600000</v>
          </cell>
          <cell r="O79">
            <v>0</v>
          </cell>
          <cell r="U79" t="str">
            <v>Bilan</v>
          </cell>
          <cell r="V79" t="str">
            <v>Encaisse</v>
          </cell>
          <cell r="W79" t="str">
            <v>$</v>
          </cell>
          <cell r="X79">
            <v>0</v>
          </cell>
        </row>
        <row r="80">
          <cell r="C80">
            <v>220.1</v>
          </cell>
          <cell r="O80">
            <v>0.75</v>
          </cell>
          <cell r="U80" t="str">
            <v>Bilan</v>
          </cell>
          <cell r="V80" t="str">
            <v>Encaisse</v>
          </cell>
          <cell r="W80" t="str">
            <v>$</v>
          </cell>
          <cell r="X80">
            <v>0</v>
          </cell>
        </row>
        <row r="81">
          <cell r="C81">
            <v>1541083.99</v>
          </cell>
          <cell r="O81">
            <v>-454583.57</v>
          </cell>
          <cell r="U81" t="str">
            <v>Bilan</v>
          </cell>
          <cell r="V81" t="str">
            <v>Recevables Contrats en Transit</v>
          </cell>
          <cell r="W81" t="str">
            <v>$</v>
          </cell>
          <cell r="X81">
            <v>0</v>
          </cell>
        </row>
        <row r="82">
          <cell r="C82">
            <v>-84583.13</v>
          </cell>
          <cell r="O82">
            <v>134151.85999999999</v>
          </cell>
          <cell r="U82" t="str">
            <v>Bilan</v>
          </cell>
          <cell r="V82" t="str">
            <v>Recevables Véhicules</v>
          </cell>
          <cell r="W82" t="str">
            <v>$</v>
          </cell>
          <cell r="X82">
            <v>0</v>
          </cell>
        </row>
        <row r="83">
          <cell r="C83">
            <v>130058.09</v>
          </cell>
          <cell r="O83">
            <v>57198.59</v>
          </cell>
          <cell r="U83" t="str">
            <v>Bilan</v>
          </cell>
          <cell r="V83" t="str">
            <v>Recevables Véhicules</v>
          </cell>
          <cell r="W83" t="str">
            <v>$</v>
          </cell>
          <cell r="X83">
            <v>0</v>
          </cell>
        </row>
        <row r="84">
          <cell r="C84">
            <v>119692.36</v>
          </cell>
          <cell r="O84">
            <v>-16617.150000000001</v>
          </cell>
          <cell r="U84" t="str">
            <v>Bilan</v>
          </cell>
          <cell r="V84" t="str">
            <v>Recevables Pièces et Service</v>
          </cell>
          <cell r="W84" t="str">
            <v>$</v>
          </cell>
          <cell r="X84">
            <v>0</v>
          </cell>
        </row>
        <row r="85">
          <cell r="C85">
            <v>57895.07</v>
          </cell>
          <cell r="O85">
            <v>2718.24</v>
          </cell>
          <cell r="U85" t="str">
            <v>Bilan</v>
          </cell>
          <cell r="V85" t="str">
            <v>Recevables Carrosserie</v>
          </cell>
          <cell r="W85" t="str">
            <v>$</v>
          </cell>
          <cell r="X85">
            <v>0</v>
          </cell>
        </row>
        <row r="86">
          <cell r="C86">
            <v>3391.06</v>
          </cell>
          <cell r="O86">
            <v>2350.62</v>
          </cell>
          <cell r="U86" t="str">
            <v>Bilan</v>
          </cell>
          <cell r="V86" t="str">
            <v>Recevables Intercos</v>
          </cell>
          <cell r="W86" t="str">
            <v>$</v>
          </cell>
          <cell r="X86">
            <v>0</v>
          </cell>
        </row>
        <row r="87">
          <cell r="C87">
            <v>183160</v>
          </cell>
          <cell r="O87">
            <v>-130560</v>
          </cell>
          <cell r="U87" t="str">
            <v>Bilan</v>
          </cell>
          <cell r="V87" t="str">
            <v>Recevables Intercos</v>
          </cell>
          <cell r="W87" t="str">
            <v>$</v>
          </cell>
          <cell r="X87">
            <v>0</v>
          </cell>
        </row>
        <row r="88">
          <cell r="C88">
            <v>52595</v>
          </cell>
          <cell r="O88">
            <v>164505</v>
          </cell>
          <cell r="U88" t="str">
            <v>Bilan</v>
          </cell>
          <cell r="V88" t="str">
            <v>Recevables Manufacturier</v>
          </cell>
          <cell r="W88" t="str">
            <v>$</v>
          </cell>
          <cell r="X88">
            <v>0</v>
          </cell>
        </row>
        <row r="89">
          <cell r="C89">
            <v>130357.96</v>
          </cell>
          <cell r="O89">
            <v>-46335.67</v>
          </cell>
          <cell r="U89" t="str">
            <v>Bilan</v>
          </cell>
          <cell r="V89" t="str">
            <v>Recevables Garantie Manufacturier</v>
          </cell>
          <cell r="W89" t="str">
            <v>$</v>
          </cell>
          <cell r="X89">
            <v>0</v>
          </cell>
        </row>
        <row r="90">
          <cell r="C90">
            <v>-1690.43</v>
          </cell>
          <cell r="O90">
            <v>8332.5300000000007</v>
          </cell>
          <cell r="U90" t="str">
            <v>Bilan</v>
          </cell>
          <cell r="V90" t="str">
            <v>recevables Autres</v>
          </cell>
          <cell r="W90" t="str">
            <v>$</v>
          </cell>
          <cell r="X90">
            <v>0</v>
          </cell>
        </row>
        <row r="91">
          <cell r="C91">
            <v>-33274.26</v>
          </cell>
          <cell r="O91">
            <v>-4150</v>
          </cell>
          <cell r="U91" t="str">
            <v>Bilan</v>
          </cell>
          <cell r="V91" t="str">
            <v>Recevables Manufacturier</v>
          </cell>
          <cell r="W91" t="str">
            <v>$</v>
          </cell>
          <cell r="X91">
            <v>0</v>
          </cell>
        </row>
        <row r="92">
          <cell r="C92">
            <v>-5812.21</v>
          </cell>
          <cell r="O92">
            <v>3156.97</v>
          </cell>
          <cell r="U92" t="str">
            <v>Bilan</v>
          </cell>
          <cell r="V92" t="str">
            <v>Recevables Pièces et Service</v>
          </cell>
          <cell r="W92" t="str">
            <v>$</v>
          </cell>
          <cell r="X92">
            <v>0</v>
          </cell>
        </row>
        <row r="93">
          <cell r="C93">
            <v>1030185.18</v>
          </cell>
          <cell r="O93">
            <v>1018488.01</v>
          </cell>
          <cell r="U93" t="str">
            <v>Bilan</v>
          </cell>
          <cell r="V93" t="str">
            <v>Inventaire Véhicules Neufs</v>
          </cell>
          <cell r="W93" t="str">
            <v>$</v>
          </cell>
          <cell r="X93">
            <v>0</v>
          </cell>
        </row>
        <row r="94">
          <cell r="C94">
            <v>-33250</v>
          </cell>
          <cell r="O94">
            <v>-5850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-83200</v>
          </cell>
          <cell r="O95">
            <v>-8100</v>
          </cell>
          <cell r="U95" t="str">
            <v>Bilan</v>
          </cell>
          <cell r="V95" t="str">
            <v>Inventaire Véhicules Usagés</v>
          </cell>
          <cell r="W95" t="str">
            <v>$</v>
          </cell>
          <cell r="X95">
            <v>0</v>
          </cell>
        </row>
        <row r="96">
          <cell r="C96">
            <v>3013741.49</v>
          </cell>
          <cell r="O96">
            <v>-392087.27</v>
          </cell>
          <cell r="U96" t="str">
            <v>Bilan</v>
          </cell>
          <cell r="V96" t="str">
            <v>Inventaire Véhicules Usagés</v>
          </cell>
          <cell r="W96" t="str">
            <v>$</v>
          </cell>
          <cell r="X96">
            <v>0</v>
          </cell>
        </row>
        <row r="97">
          <cell r="C97">
            <v>-9530.31</v>
          </cell>
          <cell r="O97">
            <v>3787.08</v>
          </cell>
          <cell r="U97" t="str">
            <v>Bilan</v>
          </cell>
          <cell r="V97" t="str">
            <v>Inventaire Véhicules Neufs</v>
          </cell>
          <cell r="W97" t="str">
            <v>$</v>
          </cell>
          <cell r="X97">
            <v>0</v>
          </cell>
        </row>
        <row r="98">
          <cell r="C98">
            <v>-34355.86</v>
          </cell>
          <cell r="O98">
            <v>-4674.0600000000004</v>
          </cell>
          <cell r="U98" t="str">
            <v>Bilan</v>
          </cell>
          <cell r="V98" t="str">
            <v>Inventaire Véhicules Neufs</v>
          </cell>
          <cell r="W98" t="str">
            <v>$</v>
          </cell>
          <cell r="X98">
            <v>0</v>
          </cell>
        </row>
        <row r="99">
          <cell r="C99">
            <v>0</v>
          </cell>
          <cell r="O99">
            <v>1057.3399999999999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306516.07</v>
          </cell>
          <cell r="O100">
            <v>-7947.71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56718.13</v>
          </cell>
          <cell r="O101">
            <v>7361.73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11899.2</v>
          </cell>
          <cell r="O102">
            <v>-5503.38</v>
          </cell>
          <cell r="U102" t="str">
            <v>Bilan</v>
          </cell>
          <cell r="V102" t="str">
            <v>Travaux en Cours</v>
          </cell>
          <cell r="W102" t="str">
            <v>$</v>
          </cell>
          <cell r="X102">
            <v>0</v>
          </cell>
        </row>
        <row r="103">
          <cell r="C103">
            <v>-332.57</v>
          </cell>
          <cell r="O103">
            <v>4607.24</v>
          </cell>
          <cell r="U103" t="str">
            <v>Bilan</v>
          </cell>
          <cell r="V103" t="str">
            <v>Sous-Traitance</v>
          </cell>
          <cell r="W103" t="str">
            <v>$</v>
          </cell>
          <cell r="X103">
            <v>0</v>
          </cell>
        </row>
        <row r="104">
          <cell r="C104">
            <v>-1772.13</v>
          </cell>
          <cell r="O104">
            <v>1772.13</v>
          </cell>
          <cell r="U104" t="str">
            <v>Bilan</v>
          </cell>
          <cell r="V104" t="str">
            <v>Inventaire Pièces, Pneus, Huile</v>
          </cell>
          <cell r="W104" t="str">
            <v>$</v>
          </cell>
          <cell r="X104">
            <v>0</v>
          </cell>
        </row>
        <row r="105">
          <cell r="C105">
            <v>47.1</v>
          </cell>
          <cell r="O105">
            <v>0</v>
          </cell>
          <cell r="U105" t="str">
            <v>Bilan</v>
          </cell>
          <cell r="V105" t="str">
            <v>Inventaire Pièces, Pneus, Huile</v>
          </cell>
          <cell r="W105" t="str">
            <v>$</v>
          </cell>
          <cell r="X105">
            <v>0</v>
          </cell>
        </row>
        <row r="106">
          <cell r="C106">
            <v>-16082.18</v>
          </cell>
          <cell r="O106">
            <v>4680.6499999999996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1358</v>
          </cell>
          <cell r="O107">
            <v>-215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8399.36</v>
          </cell>
          <cell r="O108">
            <v>0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1873</v>
          </cell>
          <cell r="O109">
            <v>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125.21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-3525.13</v>
          </cell>
          <cell r="O111">
            <v>0</v>
          </cell>
          <cell r="U111" t="str">
            <v>Bilan</v>
          </cell>
          <cell r="V111" t="str">
            <v>Autres Courus</v>
          </cell>
          <cell r="W111" t="str">
            <v>$</v>
          </cell>
          <cell r="X111">
            <v>0</v>
          </cell>
        </row>
        <row r="112">
          <cell r="C112">
            <v>1834.58</v>
          </cell>
          <cell r="O112">
            <v>0</v>
          </cell>
          <cell r="U112" t="str">
            <v>Bilan</v>
          </cell>
          <cell r="V112" t="str">
            <v>Autres Courus</v>
          </cell>
          <cell r="W112" t="str">
            <v>$</v>
          </cell>
          <cell r="X112">
            <v>0</v>
          </cell>
        </row>
        <row r="113">
          <cell r="C113">
            <v>28590</v>
          </cell>
          <cell r="O113">
            <v>-10000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-29952</v>
          </cell>
          <cell r="O114">
            <v>0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19738.23</v>
          </cell>
          <cell r="O115">
            <v>-7906.21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0</v>
          </cell>
          <cell r="O116">
            <v>-303.79000000000002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2988.64</v>
          </cell>
          <cell r="O117">
            <v>-1530.16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-18689.77</v>
          </cell>
          <cell r="O118">
            <v>13435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144370.28</v>
          </cell>
          <cell r="O119">
            <v>0</v>
          </cell>
          <cell r="U119" t="str">
            <v>Bilan</v>
          </cell>
          <cell r="V119" t="str">
            <v>Améliorations Locatives</v>
          </cell>
          <cell r="W119" t="str">
            <v>$</v>
          </cell>
          <cell r="X119">
            <v>0</v>
          </cell>
        </row>
        <row r="120">
          <cell r="C120">
            <v>-100450.02</v>
          </cell>
          <cell r="O120">
            <v>-225</v>
          </cell>
          <cell r="U120" t="str">
            <v>Bilan</v>
          </cell>
          <cell r="V120" t="str">
            <v>Améliorations Locatives</v>
          </cell>
          <cell r="W120" t="str">
            <v>$</v>
          </cell>
          <cell r="X120">
            <v>0</v>
          </cell>
        </row>
        <row r="121">
          <cell r="C121">
            <v>955377.21</v>
          </cell>
          <cell r="O121">
            <v>0</v>
          </cell>
          <cell r="U121" t="str">
            <v>Bilan</v>
          </cell>
          <cell r="V121" t="str">
            <v>Équipements Service</v>
          </cell>
          <cell r="W121" t="str">
            <v>$</v>
          </cell>
          <cell r="X121">
            <v>0</v>
          </cell>
        </row>
        <row r="122">
          <cell r="C122">
            <v>-800861.08</v>
          </cell>
          <cell r="O122">
            <v>-2612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47461.59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-47452.01</v>
          </cell>
          <cell r="O124">
            <v>-8.5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440156.49</v>
          </cell>
          <cell r="O125">
            <v>0</v>
          </cell>
          <cell r="U125" t="str">
            <v>Bilan</v>
          </cell>
          <cell r="V125" t="str">
            <v>Mobilier</v>
          </cell>
          <cell r="W125" t="str">
            <v>$</v>
          </cell>
          <cell r="X125">
            <v>0</v>
          </cell>
        </row>
        <row r="126">
          <cell r="C126">
            <v>-405408.7</v>
          </cell>
          <cell r="O126">
            <v>-497</v>
          </cell>
          <cell r="U126" t="str">
            <v>Bilan</v>
          </cell>
          <cell r="V126" t="str">
            <v>Mobilier</v>
          </cell>
          <cell r="W126" t="str">
            <v>$</v>
          </cell>
          <cell r="X126">
            <v>0</v>
          </cell>
        </row>
        <row r="127">
          <cell r="C127">
            <v>3987.88</v>
          </cell>
          <cell r="O127">
            <v>0</v>
          </cell>
          <cell r="U127" t="str">
            <v>Bilan</v>
          </cell>
          <cell r="V127" t="str">
            <v>Équipements Service</v>
          </cell>
          <cell r="W127" t="str">
            <v>$</v>
          </cell>
          <cell r="X127">
            <v>0</v>
          </cell>
        </row>
        <row r="128">
          <cell r="C128">
            <v>-3987.88</v>
          </cell>
          <cell r="O128">
            <v>0</v>
          </cell>
          <cell r="U128" t="str">
            <v>Bilan</v>
          </cell>
          <cell r="V128" t="str">
            <v>Équipements Service</v>
          </cell>
          <cell r="W128" t="str">
            <v>$</v>
          </cell>
          <cell r="X128">
            <v>0</v>
          </cell>
        </row>
        <row r="129">
          <cell r="C129">
            <v>126635.16</v>
          </cell>
          <cell r="O129">
            <v>1854</v>
          </cell>
          <cell r="U129" t="str">
            <v>Bilan</v>
          </cell>
          <cell r="V129" t="str">
            <v>Équipements Informatique</v>
          </cell>
          <cell r="W129" t="str">
            <v>$</v>
          </cell>
          <cell r="X129">
            <v>0</v>
          </cell>
        </row>
        <row r="130">
          <cell r="C130">
            <v>-108067.43</v>
          </cell>
          <cell r="O130">
            <v>-972</v>
          </cell>
          <cell r="U130" t="str">
            <v>Bilan</v>
          </cell>
          <cell r="V130" t="str">
            <v>Équipements Informatique</v>
          </cell>
          <cell r="W130" t="str">
            <v>$</v>
          </cell>
          <cell r="X130">
            <v>0</v>
          </cell>
        </row>
        <row r="131">
          <cell r="C131">
            <v>119393.66</v>
          </cell>
          <cell r="O131">
            <v>0</v>
          </cell>
          <cell r="U131" t="str">
            <v>Bilan</v>
          </cell>
          <cell r="V131" t="str">
            <v>Enseigne</v>
          </cell>
          <cell r="W131" t="str">
            <v>$</v>
          </cell>
          <cell r="X131">
            <v>0</v>
          </cell>
        </row>
        <row r="132">
          <cell r="C132">
            <v>-119393.65</v>
          </cell>
          <cell r="O132">
            <v>0</v>
          </cell>
          <cell r="U132" t="str">
            <v>Bilan</v>
          </cell>
          <cell r="V132" t="str">
            <v>Enseigne</v>
          </cell>
          <cell r="W132" t="str">
            <v>$</v>
          </cell>
          <cell r="X132">
            <v>0</v>
          </cell>
        </row>
        <row r="133">
          <cell r="C133">
            <v>6173600</v>
          </cell>
          <cell r="O133">
            <v>0</v>
          </cell>
          <cell r="U133" t="str">
            <v>Bilan</v>
          </cell>
          <cell r="V133" t="str">
            <v>Avances à Recevoir Long Terme</v>
          </cell>
          <cell r="W133" t="str">
            <v>$</v>
          </cell>
          <cell r="X133">
            <v>0</v>
          </cell>
        </row>
        <row r="134">
          <cell r="C134">
            <v>12780.04</v>
          </cell>
          <cell r="O134">
            <v>-8815.93</v>
          </cell>
          <cell r="U134" t="str">
            <v>Bilan</v>
          </cell>
          <cell r="V134" t="str">
            <v>Recevables Autres</v>
          </cell>
          <cell r="W134" t="str">
            <v>$</v>
          </cell>
          <cell r="X134">
            <v>0</v>
          </cell>
        </row>
        <row r="135">
          <cell r="C135">
            <v>-2247868</v>
          </cell>
          <cell r="O135">
            <v>-1555383.32</v>
          </cell>
          <cell r="U135" t="str">
            <v>Bilan</v>
          </cell>
          <cell r="V135" t="str">
            <v>Effet à Payer Véhicules Neufs</v>
          </cell>
          <cell r="W135" t="str">
            <v>$</v>
          </cell>
          <cell r="X135">
            <v>0</v>
          </cell>
        </row>
        <row r="136">
          <cell r="C136">
            <v>-2007525.69</v>
          </cell>
          <cell r="O136">
            <v>541147.99</v>
          </cell>
          <cell r="U136" t="str">
            <v>Bilan</v>
          </cell>
          <cell r="V136" t="str">
            <v>Effet à Payer Véhicules Usagés</v>
          </cell>
          <cell r="W136" t="str">
            <v>$</v>
          </cell>
          <cell r="X136">
            <v>0</v>
          </cell>
        </row>
        <row r="137">
          <cell r="C137">
            <v>-15810</v>
          </cell>
          <cell r="O137">
            <v>0</v>
          </cell>
          <cell r="U137" t="str">
            <v>Bilan</v>
          </cell>
          <cell r="V137" t="str">
            <v>Portion Court Terme de la Dette Long Terme</v>
          </cell>
          <cell r="W137" t="str">
            <v>$</v>
          </cell>
          <cell r="X137">
            <v>0</v>
          </cell>
        </row>
        <row r="138">
          <cell r="C138">
            <v>-1133.6600000000001</v>
          </cell>
          <cell r="O138">
            <v>523.41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-98406.83</v>
          </cell>
          <cell r="O139">
            <v>-6109.92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56948.12</v>
          </cell>
          <cell r="O140">
            <v>-6019.37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-226636.3</v>
          </cell>
          <cell r="O141">
            <v>-30932.84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184105.32</v>
          </cell>
          <cell r="O142">
            <v>70562.09</v>
          </cell>
          <cell r="U142" t="str">
            <v>Bilan</v>
          </cell>
          <cell r="V142" t="str">
            <v>Taxes de Vente à Payer</v>
          </cell>
          <cell r="W142" t="str">
            <v>$</v>
          </cell>
          <cell r="X142">
            <v>0</v>
          </cell>
        </row>
        <row r="143">
          <cell r="C143">
            <v>-1194</v>
          </cell>
          <cell r="O143">
            <v>-54</v>
          </cell>
          <cell r="U143" t="str">
            <v>Bilan</v>
          </cell>
          <cell r="V143" t="str">
            <v>Taxes de Vente à Payer</v>
          </cell>
          <cell r="W143" t="str">
            <v>$</v>
          </cell>
          <cell r="X143">
            <v>0</v>
          </cell>
        </row>
        <row r="144">
          <cell r="C144">
            <v>-189937.7</v>
          </cell>
          <cell r="O144">
            <v>-25829.14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-3660</v>
          </cell>
          <cell r="O145">
            <v>-850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-83618.17</v>
          </cell>
          <cell r="O146">
            <v>5458.7</v>
          </cell>
          <cell r="U146" t="str">
            <v>Bilan</v>
          </cell>
          <cell r="V146" t="str">
            <v>Autres Comptes à Payer</v>
          </cell>
          <cell r="W146" t="str">
            <v>$</v>
          </cell>
          <cell r="X146">
            <v>0</v>
          </cell>
        </row>
        <row r="147">
          <cell r="C147">
            <v>-15204.87</v>
          </cell>
          <cell r="O147">
            <v>-59.55</v>
          </cell>
          <cell r="U147" t="str">
            <v>Bilan</v>
          </cell>
          <cell r="V147" t="str">
            <v>Autres Comptes à Payer</v>
          </cell>
          <cell r="W147" t="str">
            <v>$</v>
          </cell>
          <cell r="X147">
            <v>0</v>
          </cell>
        </row>
        <row r="148">
          <cell r="C148">
            <v>-123399.69</v>
          </cell>
          <cell r="O148">
            <v>50194.84</v>
          </cell>
          <cell r="U148" t="str">
            <v>Bilan</v>
          </cell>
          <cell r="V148" t="str">
            <v>Comptes à Payer Fournisseurs</v>
          </cell>
          <cell r="W148" t="str">
            <v>$</v>
          </cell>
          <cell r="X148">
            <v>0</v>
          </cell>
        </row>
        <row r="149">
          <cell r="C149">
            <v>-25470</v>
          </cell>
          <cell r="O149">
            <v>25589.25</v>
          </cell>
          <cell r="U149" t="str">
            <v>Bilan</v>
          </cell>
          <cell r="V149" t="str">
            <v>Autres Comptes à Payer</v>
          </cell>
          <cell r="W149" t="str">
            <v>$</v>
          </cell>
          <cell r="X149">
            <v>0</v>
          </cell>
        </row>
        <row r="150">
          <cell r="C150">
            <v>-6543.1</v>
          </cell>
          <cell r="O150">
            <v>-2717.41</v>
          </cell>
          <cell r="U150" t="str">
            <v>Bilan</v>
          </cell>
          <cell r="V150" t="str">
            <v>Autres Courus</v>
          </cell>
          <cell r="W150" t="str">
            <v>$</v>
          </cell>
          <cell r="X150">
            <v>0</v>
          </cell>
        </row>
        <row r="151">
          <cell r="C151">
            <v>-189.97</v>
          </cell>
          <cell r="O151">
            <v>-25.11</v>
          </cell>
          <cell r="U151" t="str">
            <v>Bilan</v>
          </cell>
          <cell r="V151" t="str">
            <v>Autres Courus</v>
          </cell>
          <cell r="W151" t="str">
            <v>$</v>
          </cell>
          <cell r="X151">
            <v>0</v>
          </cell>
        </row>
        <row r="152">
          <cell r="C152">
            <v>-97956.12</v>
          </cell>
          <cell r="O152">
            <v>-2485.9499999999998</v>
          </cell>
          <cell r="U152" t="str">
            <v>Bilan</v>
          </cell>
          <cell r="V152" t="str">
            <v>Payables Intercos</v>
          </cell>
          <cell r="W152" t="str">
            <v>$</v>
          </cell>
          <cell r="X152">
            <v>0</v>
          </cell>
        </row>
        <row r="153">
          <cell r="C153">
            <v>-14050</v>
          </cell>
          <cell r="O153">
            <v>-3900</v>
          </cell>
          <cell r="U153" t="str">
            <v>Bilan</v>
          </cell>
          <cell r="V153" t="str">
            <v>Autres Courus</v>
          </cell>
          <cell r="W153" t="str">
            <v>$</v>
          </cell>
          <cell r="X153">
            <v>0</v>
          </cell>
        </row>
        <row r="154">
          <cell r="C154">
            <v>1988.53</v>
          </cell>
          <cell r="O154">
            <v>497.39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52.35</v>
          </cell>
          <cell r="O155">
            <v>0</v>
          </cell>
          <cell r="U155" t="str">
            <v>Bilan</v>
          </cell>
          <cell r="V155" t="str">
            <v>DAS à Payer</v>
          </cell>
          <cell r="W155" t="str">
            <v>$</v>
          </cell>
          <cell r="X155">
            <v>0</v>
          </cell>
        </row>
        <row r="156">
          <cell r="C156">
            <v>-39099.32</v>
          </cell>
          <cell r="O156">
            <v>5973.08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-770.14</v>
          </cell>
          <cell r="O157">
            <v>-42.68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-1899.18</v>
          </cell>
          <cell r="O158">
            <v>1325.74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-23420</v>
          </cell>
          <cell r="O159">
            <v>-150</v>
          </cell>
          <cell r="U159" t="str">
            <v>Bilan</v>
          </cell>
          <cell r="V159" t="str">
            <v>Dépôts de Client</v>
          </cell>
          <cell r="W159" t="str">
            <v>$</v>
          </cell>
          <cell r="X159">
            <v>0</v>
          </cell>
        </row>
        <row r="160">
          <cell r="C160">
            <v>-41239.279999999999</v>
          </cell>
          <cell r="O160">
            <v>345.39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-7626.09</v>
          </cell>
          <cell r="O161">
            <v>-5770.36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-183218.92</v>
          </cell>
          <cell r="O162">
            <v>-16938.53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11808</v>
          </cell>
          <cell r="O163">
            <v>-11808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-237331.14</v>
          </cell>
          <cell r="O164">
            <v>34407.49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-9454</v>
          </cell>
          <cell r="O165">
            <v>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-28342</v>
          </cell>
          <cell r="O166">
            <v>-35126</v>
          </cell>
          <cell r="U166" t="str">
            <v>Bilan</v>
          </cell>
          <cell r="V166" t="str">
            <v>Autres Courus</v>
          </cell>
          <cell r="W166" t="str">
            <v>$</v>
          </cell>
          <cell r="X166">
            <v>0</v>
          </cell>
        </row>
        <row r="167">
          <cell r="C167">
            <v>-242566.15</v>
          </cell>
          <cell r="O167">
            <v>0</v>
          </cell>
          <cell r="U167" t="str">
            <v>Bilan</v>
          </cell>
          <cell r="V167" t="str">
            <v>Autres Courus</v>
          </cell>
          <cell r="W167" t="str">
            <v>$</v>
          </cell>
          <cell r="X167">
            <v>0</v>
          </cell>
        </row>
        <row r="168">
          <cell r="C168">
            <v>-4443.75</v>
          </cell>
          <cell r="O168">
            <v>1317.5</v>
          </cell>
          <cell r="U168" t="str">
            <v>Bilan</v>
          </cell>
          <cell r="V168" t="str">
            <v>Dette à Long Terme</v>
          </cell>
          <cell r="W168" t="str">
            <v>$</v>
          </cell>
          <cell r="X168">
            <v>0</v>
          </cell>
        </row>
        <row r="169">
          <cell r="C169">
            <v>-19122.599999999999</v>
          </cell>
          <cell r="O169">
            <v>0</v>
          </cell>
          <cell r="U169" t="str">
            <v>Bilan</v>
          </cell>
          <cell r="V169" t="str">
            <v>Autres Courus</v>
          </cell>
          <cell r="W169" t="str">
            <v>$</v>
          </cell>
          <cell r="X169">
            <v>0</v>
          </cell>
        </row>
        <row r="170">
          <cell r="C170">
            <v>-2350000</v>
          </cell>
          <cell r="O170">
            <v>0</v>
          </cell>
          <cell r="U170" t="str">
            <v>Bilan</v>
          </cell>
          <cell r="V170" t="str">
            <v>Capital Actions</v>
          </cell>
          <cell r="W170" t="str">
            <v>$</v>
          </cell>
          <cell r="X170">
            <v>0</v>
          </cell>
        </row>
        <row r="171">
          <cell r="C171">
            <v>-1723617</v>
          </cell>
          <cell r="O171">
            <v>0</v>
          </cell>
          <cell r="U171" t="str">
            <v>Bilan</v>
          </cell>
          <cell r="V171" t="str">
            <v>Apport</v>
          </cell>
          <cell r="W171" t="str">
            <v>$</v>
          </cell>
          <cell r="X171">
            <v>0</v>
          </cell>
        </row>
        <row r="172">
          <cell r="C172">
            <v>-347547.5</v>
          </cell>
          <cell r="O172">
            <v>0</v>
          </cell>
          <cell r="U172" t="str">
            <v>Bilan</v>
          </cell>
          <cell r="V172" t="str">
            <v>Capital Actions</v>
          </cell>
          <cell r="W172">
            <v>0</v>
          </cell>
          <cell r="X172">
            <v>0</v>
          </cell>
        </row>
        <row r="173">
          <cell r="C173">
            <v>-3068758.8</v>
          </cell>
          <cell r="O173">
            <v>0</v>
          </cell>
          <cell r="U173" t="str">
            <v>Bilan</v>
          </cell>
          <cell r="V173" t="str">
            <v>Bénéfices non répartis</v>
          </cell>
          <cell r="W173" t="str">
            <v>$</v>
          </cell>
          <cell r="X173">
            <v>0</v>
          </cell>
        </row>
        <row r="174">
          <cell r="C174">
            <v>-2192057.2799999998</v>
          </cell>
          <cell r="O174">
            <v>-387809.58</v>
          </cell>
          <cell r="U174" t="str">
            <v>Véhicules neufs</v>
          </cell>
          <cell r="V174" t="str">
            <v>Rachat bail</v>
          </cell>
          <cell r="W174" t="str">
            <v>$</v>
          </cell>
          <cell r="X174" t="str">
            <v>Oui</v>
          </cell>
        </row>
        <row r="175">
          <cell r="C175">
            <v>-343139.26</v>
          </cell>
          <cell r="O175">
            <v>0</v>
          </cell>
          <cell r="U175" t="str">
            <v>Véhicules neufs</v>
          </cell>
          <cell r="V175" t="str">
            <v>Autos détail</v>
          </cell>
          <cell r="W175" t="str">
            <v>$</v>
          </cell>
          <cell r="X175" t="str">
            <v>Oui</v>
          </cell>
        </row>
        <row r="176">
          <cell r="C176">
            <v>-365969.85</v>
          </cell>
          <cell r="O176">
            <v>-166422.57999999999</v>
          </cell>
          <cell r="U176" t="str">
            <v>Véhicules neufs</v>
          </cell>
          <cell r="V176" t="str">
            <v>Autos détail</v>
          </cell>
          <cell r="W176" t="str">
            <v>$</v>
          </cell>
          <cell r="X176" t="str">
            <v>Oui</v>
          </cell>
        </row>
        <row r="177">
          <cell r="C177">
            <v>-1829078.56</v>
          </cell>
          <cell r="O177">
            <v>-394058.94</v>
          </cell>
          <cell r="U177" t="str">
            <v>Véhicules neufs</v>
          </cell>
          <cell r="V177" t="str">
            <v>Camions détail</v>
          </cell>
          <cell r="W177" t="str">
            <v>$</v>
          </cell>
          <cell r="X177" t="str">
            <v>Oui</v>
          </cell>
        </row>
        <row r="178">
          <cell r="C178">
            <v>-2053775.3600000001</v>
          </cell>
          <cell r="O178">
            <v>-534956.16</v>
          </cell>
          <cell r="U178" t="str">
            <v>Véhicules neufs</v>
          </cell>
          <cell r="V178" t="str">
            <v>Camions détail</v>
          </cell>
          <cell r="W178" t="str">
            <v>$</v>
          </cell>
          <cell r="X178" t="str">
            <v>Oui</v>
          </cell>
        </row>
        <row r="179">
          <cell r="C179">
            <v>-136159.35</v>
          </cell>
          <cell r="O179">
            <v>0</v>
          </cell>
          <cell r="U179" t="str">
            <v>Véhicules neufs</v>
          </cell>
          <cell r="V179" t="str">
            <v>Camions détail</v>
          </cell>
          <cell r="W179" t="str">
            <v>$</v>
          </cell>
          <cell r="X179" t="str">
            <v>oui</v>
          </cell>
        </row>
        <row r="180">
          <cell r="C180">
            <v>-386362.1</v>
          </cell>
          <cell r="O180">
            <v>-117886.75</v>
          </cell>
          <cell r="U180" t="str">
            <v>Véhicules neufs</v>
          </cell>
          <cell r="V180" t="str">
            <v>Autos détail</v>
          </cell>
          <cell r="W180" t="str">
            <v>$</v>
          </cell>
          <cell r="X180" t="str">
            <v>Oui</v>
          </cell>
        </row>
        <row r="181">
          <cell r="C181">
            <v>-3657093.17</v>
          </cell>
          <cell r="O181">
            <v>-657601.17000000004</v>
          </cell>
          <cell r="U181" t="str">
            <v>Véhicules neufs</v>
          </cell>
          <cell r="V181" t="str">
            <v>Camions détail</v>
          </cell>
          <cell r="W181" t="str">
            <v>$</v>
          </cell>
          <cell r="X181" t="str">
            <v>Oui</v>
          </cell>
        </row>
        <row r="182">
          <cell r="C182">
            <v>-70053</v>
          </cell>
          <cell r="O182">
            <v>-82973.95</v>
          </cell>
          <cell r="U182" t="str">
            <v>Véhicules neufs</v>
          </cell>
          <cell r="V182" t="str">
            <v>Flottes</v>
          </cell>
          <cell r="W182" t="str">
            <v>$</v>
          </cell>
          <cell r="X182" t="str">
            <v>Oui</v>
          </cell>
        </row>
        <row r="183">
          <cell r="C183">
            <v>-1026092.36</v>
          </cell>
          <cell r="O183">
            <v>-110767</v>
          </cell>
          <cell r="U183" t="str">
            <v>Véhicules neufs</v>
          </cell>
          <cell r="V183" t="str">
            <v>Ex-Démos et courtoisies</v>
          </cell>
          <cell r="W183" t="str">
            <v>$</v>
          </cell>
          <cell r="X183" t="str">
            <v>Oui</v>
          </cell>
        </row>
        <row r="184">
          <cell r="C184">
            <v>-103230.86</v>
          </cell>
          <cell r="O184">
            <v>-136784.67000000001</v>
          </cell>
          <cell r="U184" t="str">
            <v>Véhicules neufs</v>
          </cell>
          <cell r="V184" t="str">
            <v>Autos détail</v>
          </cell>
          <cell r="W184" t="str">
            <v>$</v>
          </cell>
          <cell r="X184" t="str">
            <v>Oui</v>
          </cell>
        </row>
        <row r="185">
          <cell r="C185">
            <v>-4900494</v>
          </cell>
          <cell r="O185">
            <v>-1083688.08</v>
          </cell>
          <cell r="U185" t="str">
            <v>Véhicules usagés</v>
          </cell>
          <cell r="V185" t="str">
            <v>Certifié</v>
          </cell>
          <cell r="W185" t="str">
            <v>$</v>
          </cell>
          <cell r="X185" t="str">
            <v>Oui</v>
          </cell>
        </row>
        <row r="186">
          <cell r="C186">
            <v>-184645</v>
          </cell>
          <cell r="O186">
            <v>0</v>
          </cell>
          <cell r="U186" t="str">
            <v>Véhicules usagés</v>
          </cell>
          <cell r="V186" t="str">
            <v>Non Certifié</v>
          </cell>
          <cell r="W186" t="str">
            <v>$</v>
          </cell>
          <cell r="X186" t="str">
            <v>Oui</v>
          </cell>
        </row>
        <row r="187">
          <cell r="C187">
            <v>-2827156</v>
          </cell>
          <cell r="O187">
            <v>-574410</v>
          </cell>
          <cell r="U187" t="str">
            <v>Véhicules usagés</v>
          </cell>
          <cell r="V187" t="str">
            <v>Ventes au Gros</v>
          </cell>
          <cell r="W187" t="str">
            <v>$</v>
          </cell>
          <cell r="X187" t="str">
            <v>Oui</v>
          </cell>
        </row>
        <row r="188">
          <cell r="C188">
            <v>-732675.89</v>
          </cell>
          <cell r="O188">
            <v>-107769.45</v>
          </cell>
          <cell r="U188" t="str">
            <v>Service</v>
          </cell>
          <cell r="V188" t="str">
            <v>M/O Client</v>
          </cell>
          <cell r="W188" t="str">
            <v>$</v>
          </cell>
          <cell r="X188" t="str">
            <v>Oui</v>
          </cell>
        </row>
        <row r="189">
          <cell r="C189">
            <v>-5778.7</v>
          </cell>
          <cell r="O189">
            <v>-469.91</v>
          </cell>
          <cell r="U189" t="str">
            <v>Service</v>
          </cell>
          <cell r="V189" t="str">
            <v>M/O Esthétique</v>
          </cell>
          <cell r="W189" t="str">
            <v>$</v>
          </cell>
          <cell r="X189" t="str">
            <v>Oui</v>
          </cell>
        </row>
        <row r="190">
          <cell r="C190">
            <v>-242747.34</v>
          </cell>
          <cell r="O190">
            <v>-44677.89</v>
          </cell>
          <cell r="U190" t="str">
            <v>Service</v>
          </cell>
          <cell r="V190" t="str">
            <v>M/O Garantie</v>
          </cell>
          <cell r="W190" t="str">
            <v>$</v>
          </cell>
          <cell r="X190" t="str">
            <v>Oui</v>
          </cell>
        </row>
        <row r="191">
          <cell r="C191">
            <v>-272816.23</v>
          </cell>
          <cell r="O191">
            <v>-53568.639999999999</v>
          </cell>
          <cell r="U191" t="str">
            <v>Service</v>
          </cell>
          <cell r="V191" t="str">
            <v>M/O Interne</v>
          </cell>
          <cell r="W191" t="str">
            <v>$</v>
          </cell>
          <cell r="X191" t="str">
            <v>Oui</v>
          </cell>
        </row>
        <row r="192">
          <cell r="C192">
            <v>-135527.20000000001</v>
          </cell>
          <cell r="O192">
            <v>-24986.639999999999</v>
          </cell>
          <cell r="U192" t="str">
            <v>Pièces</v>
          </cell>
          <cell r="V192" t="str">
            <v>Huiles et Graisse</v>
          </cell>
          <cell r="W192" t="str">
            <v>$</v>
          </cell>
          <cell r="X192" t="str">
            <v>Oui</v>
          </cell>
        </row>
        <row r="193">
          <cell r="C193">
            <v>-7080.24</v>
          </cell>
          <cell r="O193">
            <v>-1858.84</v>
          </cell>
          <cell r="U193" t="str">
            <v>Service</v>
          </cell>
          <cell r="V193" t="str">
            <v>Sous-traitement</v>
          </cell>
          <cell r="W193" t="str">
            <v>$</v>
          </cell>
          <cell r="X193" t="str">
            <v>Oui</v>
          </cell>
        </row>
        <row r="194">
          <cell r="C194">
            <v>-10311.61</v>
          </cell>
          <cell r="O194">
            <v>-2070</v>
          </cell>
          <cell r="U194" t="str">
            <v>Service</v>
          </cell>
          <cell r="V194" t="str">
            <v>Sous-traitement</v>
          </cell>
          <cell r="W194" t="str">
            <v>$</v>
          </cell>
          <cell r="X194" t="str">
            <v>Oui</v>
          </cell>
        </row>
        <row r="195">
          <cell r="C195">
            <v>-114763.42</v>
          </cell>
          <cell r="O195">
            <v>-24357.439999999999</v>
          </cell>
          <cell r="U195" t="str">
            <v>Service</v>
          </cell>
          <cell r="V195" t="str">
            <v>Sous-traitement</v>
          </cell>
          <cell r="W195" t="str">
            <v>$</v>
          </cell>
          <cell r="X195" t="str">
            <v>Oui</v>
          </cell>
        </row>
        <row r="196">
          <cell r="C196">
            <v>-5600</v>
          </cell>
          <cell r="O196">
            <v>0</v>
          </cell>
          <cell r="U196" t="str">
            <v>Carrosserie</v>
          </cell>
          <cell r="V196" t="str">
            <v>M/O Sous-traitement</v>
          </cell>
          <cell r="W196" t="str">
            <v>$</v>
          </cell>
          <cell r="X196" t="str">
            <v>Oui</v>
          </cell>
        </row>
        <row r="197">
          <cell r="C197">
            <v>-203767.63</v>
          </cell>
          <cell r="O197">
            <v>-32857.57</v>
          </cell>
          <cell r="U197" t="str">
            <v>Carrosserie</v>
          </cell>
          <cell r="V197" t="str">
            <v>M/O Sous-traitement</v>
          </cell>
          <cell r="W197" t="str">
            <v>$</v>
          </cell>
          <cell r="X197" t="str">
            <v>Oui</v>
          </cell>
        </row>
        <row r="198">
          <cell r="C198">
            <v>-396563.19</v>
          </cell>
          <cell r="O198">
            <v>-46221.87</v>
          </cell>
          <cell r="U198" t="str">
            <v>Carrosserie</v>
          </cell>
          <cell r="V198" t="str">
            <v>M/O Sous-traitement</v>
          </cell>
          <cell r="W198" t="str">
            <v>$</v>
          </cell>
          <cell r="X198" t="str">
            <v>Oui</v>
          </cell>
        </row>
        <row r="199">
          <cell r="C199">
            <v>-34245.5</v>
          </cell>
          <cell r="O199">
            <v>-4199.24</v>
          </cell>
          <cell r="U199" t="str">
            <v>Carrosserie</v>
          </cell>
          <cell r="V199" t="str">
            <v>M/O Sous-traitement</v>
          </cell>
          <cell r="W199" t="str">
            <v>$</v>
          </cell>
          <cell r="X199" t="str">
            <v>Oui</v>
          </cell>
        </row>
        <row r="200">
          <cell r="C200">
            <v>-402361.57</v>
          </cell>
          <cell r="O200">
            <v>-69415.759999999995</v>
          </cell>
          <cell r="U200" t="str">
            <v>Pièces</v>
          </cell>
          <cell r="V200" t="str">
            <v>Pièces Ro Clients</v>
          </cell>
          <cell r="W200" t="str">
            <v>$</v>
          </cell>
          <cell r="X200" t="str">
            <v>Oui</v>
          </cell>
        </row>
        <row r="201">
          <cell r="C201">
            <v>-3461.1</v>
          </cell>
          <cell r="O201">
            <v>-409.05</v>
          </cell>
          <cell r="U201" t="str">
            <v>Service</v>
          </cell>
          <cell r="V201" t="str">
            <v>M/O Client</v>
          </cell>
          <cell r="W201" t="str">
            <v>$</v>
          </cell>
          <cell r="X201" t="str">
            <v>Oui</v>
          </cell>
        </row>
        <row r="202">
          <cell r="C202">
            <v>-334856.94</v>
          </cell>
          <cell r="O202">
            <v>-70082.789999999994</v>
          </cell>
          <cell r="U202" t="str">
            <v>Pièces</v>
          </cell>
          <cell r="V202" t="str">
            <v>P/A Garantie</v>
          </cell>
          <cell r="W202" t="str">
            <v>$</v>
          </cell>
          <cell r="X202" t="str">
            <v>Oui</v>
          </cell>
        </row>
        <row r="203">
          <cell r="C203">
            <v>-257161.62</v>
          </cell>
          <cell r="O203">
            <v>-49676.78</v>
          </cell>
          <cell r="U203" t="str">
            <v>Pièces</v>
          </cell>
          <cell r="V203" t="str">
            <v>Ventes Internes</v>
          </cell>
          <cell r="W203" t="str">
            <v>$</v>
          </cell>
          <cell r="X203" t="str">
            <v>Oui</v>
          </cell>
        </row>
        <row r="204">
          <cell r="C204">
            <v>-4942.93</v>
          </cell>
          <cell r="O204">
            <v>-392.73</v>
          </cell>
          <cell r="U204" t="str">
            <v>Service</v>
          </cell>
          <cell r="V204" t="str">
            <v>M/O Interne</v>
          </cell>
          <cell r="W204" t="str">
            <v>$</v>
          </cell>
          <cell r="X204" t="str">
            <v>Oui</v>
          </cell>
        </row>
        <row r="205">
          <cell r="C205">
            <v>-12229.04</v>
          </cell>
          <cell r="O205">
            <v>-2382.1799999999998</v>
          </cell>
          <cell r="U205" t="str">
            <v>Pièces</v>
          </cell>
          <cell r="V205" t="str">
            <v>Pièces Ro Clients</v>
          </cell>
          <cell r="W205" t="str">
            <v>$</v>
          </cell>
          <cell r="X205" t="str">
            <v>Oui</v>
          </cell>
        </row>
        <row r="206">
          <cell r="C206">
            <v>-247.19</v>
          </cell>
          <cell r="O206">
            <v>0</v>
          </cell>
          <cell r="U206" t="str">
            <v>Pièces</v>
          </cell>
          <cell r="V206" t="str">
            <v>Ventes Internes</v>
          </cell>
          <cell r="W206" t="str">
            <v>$</v>
          </cell>
          <cell r="X206" t="str">
            <v>Oui</v>
          </cell>
        </row>
        <row r="207">
          <cell r="C207">
            <v>-42316.22</v>
          </cell>
          <cell r="O207">
            <v>-5180.3100000000004</v>
          </cell>
          <cell r="U207" t="str">
            <v>Pièces</v>
          </cell>
          <cell r="V207" t="str">
            <v>Pièces Ro Carrosserie</v>
          </cell>
          <cell r="W207" t="str">
            <v>$</v>
          </cell>
          <cell r="X207" t="str">
            <v>Oui</v>
          </cell>
        </row>
        <row r="208">
          <cell r="C208">
            <v>-305004.76</v>
          </cell>
          <cell r="O208">
            <v>-36072.160000000003</v>
          </cell>
          <cell r="U208" t="str">
            <v>Pièces</v>
          </cell>
          <cell r="V208" t="str">
            <v>Pièces Ro Carrosserie</v>
          </cell>
          <cell r="W208" t="str">
            <v>$</v>
          </cell>
          <cell r="X208" t="str">
            <v>Oui</v>
          </cell>
        </row>
        <row r="209">
          <cell r="C209">
            <v>-7923.58</v>
          </cell>
          <cell r="O209">
            <v>-1885.13</v>
          </cell>
          <cell r="U209" t="str">
            <v>Pièces</v>
          </cell>
          <cell r="V209" t="str">
            <v>Pièces Ro Carrosserie</v>
          </cell>
          <cell r="W209" t="str">
            <v>$</v>
          </cell>
          <cell r="X209" t="str">
            <v>Oui</v>
          </cell>
        </row>
        <row r="210">
          <cell r="C210">
            <v>-98711.72</v>
          </cell>
          <cell r="O210">
            <v>-17580.88</v>
          </cell>
          <cell r="U210" t="str">
            <v>Pièces</v>
          </cell>
          <cell r="V210" t="str">
            <v>Ventes Détails</v>
          </cell>
          <cell r="W210" t="str">
            <v>$</v>
          </cell>
          <cell r="X210" t="str">
            <v>Oui</v>
          </cell>
        </row>
        <row r="211">
          <cell r="C211">
            <v>-453475.4</v>
          </cell>
          <cell r="O211">
            <v>-68251.39</v>
          </cell>
          <cell r="U211" t="str">
            <v>Pièces</v>
          </cell>
          <cell r="V211" t="str">
            <v>Ventes de Gros</v>
          </cell>
          <cell r="W211" t="str">
            <v>$</v>
          </cell>
          <cell r="X211" t="str">
            <v>Oui</v>
          </cell>
        </row>
        <row r="212">
          <cell r="C212">
            <v>-180630.31</v>
          </cell>
          <cell r="O212">
            <v>-29798.17</v>
          </cell>
          <cell r="U212" t="str">
            <v>Pièces</v>
          </cell>
          <cell r="V212" t="str">
            <v>Ventes Pneus</v>
          </cell>
          <cell r="W212" t="str">
            <v>$</v>
          </cell>
          <cell r="X212" t="str">
            <v>Oui</v>
          </cell>
        </row>
        <row r="213">
          <cell r="C213">
            <v>-568.38</v>
          </cell>
          <cell r="O213">
            <v>0</v>
          </cell>
          <cell r="U213" t="str">
            <v>Pièces</v>
          </cell>
          <cell r="V213" t="str">
            <v>Ventes Pneus</v>
          </cell>
          <cell r="W213" t="str">
            <v>$</v>
          </cell>
          <cell r="X213" t="str">
            <v>Oui</v>
          </cell>
        </row>
        <row r="214">
          <cell r="C214">
            <v>2125385.3199999998</v>
          </cell>
          <cell r="O214">
            <v>373841.25</v>
          </cell>
          <cell r="U214" t="str">
            <v>Véhicules neufs</v>
          </cell>
          <cell r="V214" t="str">
            <v>Rachat bail</v>
          </cell>
          <cell r="W214" t="str">
            <v>$</v>
          </cell>
          <cell r="X214">
            <v>0</v>
          </cell>
        </row>
        <row r="215">
          <cell r="C215">
            <v>308625.91999999998</v>
          </cell>
          <cell r="O215">
            <v>0</v>
          </cell>
          <cell r="U215" t="str">
            <v>Véhicules neufs</v>
          </cell>
          <cell r="V215" t="str">
            <v>Autos détail</v>
          </cell>
          <cell r="W215" t="str">
            <v>$</v>
          </cell>
          <cell r="X215">
            <v>0</v>
          </cell>
        </row>
        <row r="216">
          <cell r="C216">
            <v>335620.52</v>
          </cell>
          <cell r="O216">
            <v>153988.6</v>
          </cell>
          <cell r="U216" t="str">
            <v>Véhicules neufs</v>
          </cell>
          <cell r="V216" t="str">
            <v>Autos détail</v>
          </cell>
          <cell r="W216" t="str">
            <v>$</v>
          </cell>
          <cell r="X216">
            <v>0</v>
          </cell>
        </row>
        <row r="217">
          <cell r="C217">
            <v>1696189</v>
          </cell>
          <cell r="O217">
            <v>363493.39</v>
          </cell>
          <cell r="U217" t="str">
            <v>Véhicules neufs</v>
          </cell>
          <cell r="V217" t="str">
            <v>Camions détail</v>
          </cell>
          <cell r="W217" t="str">
            <v>$</v>
          </cell>
          <cell r="X217">
            <v>0</v>
          </cell>
        </row>
        <row r="218">
          <cell r="C218">
            <v>1875641.95</v>
          </cell>
          <cell r="O218">
            <v>494763.11</v>
          </cell>
          <cell r="U218" t="str">
            <v>Véhicules neufs</v>
          </cell>
          <cell r="V218" t="str">
            <v>Camions détail</v>
          </cell>
          <cell r="W218" t="str">
            <v>$</v>
          </cell>
          <cell r="X218">
            <v>0</v>
          </cell>
        </row>
        <row r="219">
          <cell r="C219">
            <v>126137.85</v>
          </cell>
          <cell r="O219">
            <v>0</v>
          </cell>
          <cell r="U219" t="str">
            <v>Véhicules neufs</v>
          </cell>
          <cell r="V219" t="str">
            <v>Camions détail</v>
          </cell>
          <cell r="W219" t="str">
            <v>$</v>
          </cell>
          <cell r="X219">
            <v>0</v>
          </cell>
        </row>
        <row r="220">
          <cell r="C220">
            <v>362545.31</v>
          </cell>
          <cell r="O220">
            <v>110668.35</v>
          </cell>
          <cell r="U220" t="str">
            <v>Véhicules neufs</v>
          </cell>
          <cell r="V220" t="str">
            <v>Autos détail</v>
          </cell>
          <cell r="W220" t="str">
            <v>$</v>
          </cell>
          <cell r="X220">
            <v>0</v>
          </cell>
        </row>
        <row r="221">
          <cell r="C221">
            <v>3382060.68</v>
          </cell>
          <cell r="O221">
            <v>607053.18000000005</v>
          </cell>
          <cell r="U221" t="str">
            <v>Véhicules neufs</v>
          </cell>
          <cell r="V221" t="str">
            <v>Camions détail</v>
          </cell>
          <cell r="W221" t="str">
            <v>$</v>
          </cell>
          <cell r="X221">
            <v>0</v>
          </cell>
        </row>
        <row r="222">
          <cell r="C222">
            <v>67839.39</v>
          </cell>
          <cell r="O222">
            <v>74592.350000000006</v>
          </cell>
          <cell r="U222" t="str">
            <v>Véhicules neufs</v>
          </cell>
          <cell r="V222" t="str">
            <v>Flottes</v>
          </cell>
          <cell r="W222" t="str">
            <v>$</v>
          </cell>
          <cell r="X222">
            <v>0</v>
          </cell>
        </row>
        <row r="223">
          <cell r="C223">
            <v>941326.2</v>
          </cell>
          <cell r="O223">
            <v>101789.2</v>
          </cell>
          <cell r="U223" t="str">
            <v>Véhicules neufs</v>
          </cell>
          <cell r="V223" t="str">
            <v>Ex-Démos et courtoisies</v>
          </cell>
          <cell r="W223" t="str">
            <v>$</v>
          </cell>
          <cell r="X223">
            <v>0</v>
          </cell>
        </row>
        <row r="224">
          <cell r="C224">
            <v>93368.7</v>
          </cell>
          <cell r="O224">
            <v>119787.29</v>
          </cell>
          <cell r="U224" t="str">
            <v>Véhicules neufs</v>
          </cell>
          <cell r="V224" t="str">
            <v>Autos détail</v>
          </cell>
          <cell r="W224" t="str">
            <v>$</v>
          </cell>
          <cell r="X224">
            <v>0</v>
          </cell>
        </row>
        <row r="225">
          <cell r="C225">
            <v>4101485.85</v>
          </cell>
          <cell r="O225">
            <v>936600.63</v>
          </cell>
          <cell r="U225" t="str">
            <v>Véhicules usagés</v>
          </cell>
          <cell r="V225" t="str">
            <v>Certifié</v>
          </cell>
          <cell r="W225" t="str">
            <v>$</v>
          </cell>
          <cell r="X225">
            <v>0</v>
          </cell>
        </row>
        <row r="226">
          <cell r="C226">
            <v>373313.74</v>
          </cell>
          <cell r="O226">
            <v>74308.52</v>
          </cell>
          <cell r="U226" t="str">
            <v>Véhicules usagés</v>
          </cell>
          <cell r="V226" t="str">
            <v>Certifié</v>
          </cell>
          <cell r="W226" t="str">
            <v>$</v>
          </cell>
          <cell r="X226">
            <v>0</v>
          </cell>
        </row>
        <row r="227">
          <cell r="C227">
            <v>155147.42000000001</v>
          </cell>
          <cell r="O227">
            <v>0</v>
          </cell>
          <cell r="U227" t="str">
            <v>Véhicules usagés</v>
          </cell>
          <cell r="V227" t="str">
            <v>Non Certifié</v>
          </cell>
          <cell r="W227" t="str">
            <v>$</v>
          </cell>
          <cell r="X227">
            <v>0</v>
          </cell>
        </row>
        <row r="228">
          <cell r="C228">
            <v>12858.82</v>
          </cell>
          <cell r="O228">
            <v>0</v>
          </cell>
          <cell r="U228" t="str">
            <v>Véhicules usagés</v>
          </cell>
          <cell r="V228" t="str">
            <v>Non Certifié</v>
          </cell>
          <cell r="W228" t="str">
            <v>$</v>
          </cell>
          <cell r="X228">
            <v>0</v>
          </cell>
        </row>
        <row r="229">
          <cell r="C229">
            <v>2767523.79</v>
          </cell>
          <cell r="O229">
            <v>558139.89</v>
          </cell>
          <cell r="U229" t="str">
            <v>Véhicules usagés</v>
          </cell>
          <cell r="V229" t="str">
            <v>Ventes au Gros</v>
          </cell>
          <cell r="W229" t="str">
            <v>$</v>
          </cell>
          <cell r="X229">
            <v>0</v>
          </cell>
        </row>
        <row r="230">
          <cell r="C230">
            <v>162344.57</v>
          </cell>
          <cell r="O230">
            <v>23259.4</v>
          </cell>
          <cell r="U230" t="str">
            <v>Service</v>
          </cell>
          <cell r="V230" t="str">
            <v>M/O Client</v>
          </cell>
          <cell r="W230" t="str">
            <v>$</v>
          </cell>
          <cell r="X230">
            <v>0</v>
          </cell>
        </row>
        <row r="231">
          <cell r="C231">
            <v>767.36</v>
          </cell>
          <cell r="O231">
            <v>90</v>
          </cell>
          <cell r="U231" t="str">
            <v>Service</v>
          </cell>
          <cell r="V231" t="str">
            <v>M/O Esthétique</v>
          </cell>
          <cell r="W231" t="str">
            <v>$</v>
          </cell>
          <cell r="X231">
            <v>0</v>
          </cell>
        </row>
        <row r="232">
          <cell r="C232">
            <v>71424.7</v>
          </cell>
          <cell r="O232">
            <v>16743.54</v>
          </cell>
          <cell r="U232" t="str">
            <v>Service</v>
          </cell>
          <cell r="V232" t="str">
            <v>M/O Garantie</v>
          </cell>
          <cell r="W232" t="str">
            <v>$</v>
          </cell>
          <cell r="X232">
            <v>0</v>
          </cell>
        </row>
        <row r="233">
          <cell r="C233">
            <v>78195.460000000006</v>
          </cell>
          <cell r="O233">
            <v>13167.18</v>
          </cell>
          <cell r="U233" t="str">
            <v>Service</v>
          </cell>
          <cell r="V233" t="str">
            <v>M/O Interne</v>
          </cell>
          <cell r="W233" t="str">
            <v>$</v>
          </cell>
          <cell r="X233">
            <v>0</v>
          </cell>
        </row>
        <row r="234">
          <cell r="C234">
            <v>13595.38</v>
          </cell>
          <cell r="O234">
            <v>1076.94</v>
          </cell>
          <cell r="U234" t="str">
            <v>Service</v>
          </cell>
          <cell r="V234" t="str">
            <v>Ajustement M/O</v>
          </cell>
          <cell r="W234" t="str">
            <v>$</v>
          </cell>
          <cell r="X234">
            <v>0</v>
          </cell>
        </row>
        <row r="235">
          <cell r="C235">
            <v>93580.97</v>
          </cell>
          <cell r="O235">
            <v>16728.259999999998</v>
          </cell>
          <cell r="U235" t="str">
            <v>Pièces</v>
          </cell>
          <cell r="V235" t="str">
            <v>Huiles et Graisse</v>
          </cell>
          <cell r="W235" t="str">
            <v>$</v>
          </cell>
          <cell r="X235">
            <v>0</v>
          </cell>
        </row>
        <row r="236">
          <cell r="C236">
            <v>5049.37</v>
          </cell>
          <cell r="O236">
            <v>1407.9</v>
          </cell>
          <cell r="U236" t="str">
            <v>Service</v>
          </cell>
          <cell r="V236" t="str">
            <v>Sous-traitement</v>
          </cell>
          <cell r="W236" t="str">
            <v>$</v>
          </cell>
          <cell r="X236">
            <v>0</v>
          </cell>
        </row>
        <row r="237">
          <cell r="C237">
            <v>11331.25</v>
          </cell>
          <cell r="O237">
            <v>2104</v>
          </cell>
          <cell r="U237" t="str">
            <v>Service</v>
          </cell>
          <cell r="V237" t="str">
            <v>Sous-traitement</v>
          </cell>
          <cell r="W237" t="str">
            <v>$</v>
          </cell>
          <cell r="X237">
            <v>0</v>
          </cell>
        </row>
        <row r="238">
          <cell r="C238">
            <v>86753.62</v>
          </cell>
          <cell r="O238">
            <v>17919.45</v>
          </cell>
          <cell r="U238" t="str">
            <v>Service</v>
          </cell>
          <cell r="V238" t="str">
            <v>Sous-traitement</v>
          </cell>
          <cell r="W238" t="str">
            <v>$</v>
          </cell>
          <cell r="X238">
            <v>0</v>
          </cell>
        </row>
        <row r="239">
          <cell r="C239">
            <v>75494.149999999994</v>
          </cell>
          <cell r="O239">
            <v>12485.48</v>
          </cell>
          <cell r="U239" t="str">
            <v>Carrosserie</v>
          </cell>
          <cell r="V239" t="str">
            <v>M/O Sous-traitement</v>
          </cell>
          <cell r="W239" t="str">
            <v>$</v>
          </cell>
          <cell r="X239">
            <v>0</v>
          </cell>
        </row>
        <row r="240">
          <cell r="C240">
            <v>396675.58</v>
          </cell>
          <cell r="O240">
            <v>46221.87</v>
          </cell>
          <cell r="U240" t="str">
            <v>Carrosserie</v>
          </cell>
          <cell r="V240" t="str">
            <v>M/O Sous-traitement</v>
          </cell>
          <cell r="W240" t="str">
            <v>$</v>
          </cell>
          <cell r="X240">
            <v>0</v>
          </cell>
        </row>
        <row r="241">
          <cell r="C241">
            <v>27480.18</v>
          </cell>
          <cell r="O241">
            <v>3925.2</v>
          </cell>
          <cell r="U241" t="str">
            <v>Carrosserie</v>
          </cell>
          <cell r="V241" t="str">
            <v>M/O Sous-traitement</v>
          </cell>
          <cell r="W241" t="str">
            <v>$</v>
          </cell>
          <cell r="X241">
            <v>0</v>
          </cell>
        </row>
        <row r="242">
          <cell r="C242">
            <v>258716.4</v>
          </cell>
          <cell r="O242">
            <v>43074.34</v>
          </cell>
          <cell r="U242" t="str">
            <v>Pièces</v>
          </cell>
          <cell r="V242" t="str">
            <v>Pièces Ro Clients</v>
          </cell>
          <cell r="W242" t="str">
            <v>$</v>
          </cell>
          <cell r="X242">
            <v>0</v>
          </cell>
        </row>
        <row r="243">
          <cell r="C243">
            <v>2360.96</v>
          </cell>
          <cell r="O243">
            <v>278.43</v>
          </cell>
          <cell r="U243" t="str">
            <v>Service</v>
          </cell>
          <cell r="V243" t="str">
            <v>M/O Client</v>
          </cell>
          <cell r="W243" t="str">
            <v>$</v>
          </cell>
          <cell r="X243">
            <v>0</v>
          </cell>
        </row>
        <row r="244">
          <cell r="C244">
            <v>253645.21</v>
          </cell>
          <cell r="O244">
            <v>53509.72</v>
          </cell>
          <cell r="U244" t="str">
            <v>Pièces</v>
          </cell>
          <cell r="V244" t="str">
            <v>P/A Garantie</v>
          </cell>
          <cell r="W244" t="str">
            <v>$</v>
          </cell>
          <cell r="X244">
            <v>0</v>
          </cell>
        </row>
        <row r="245">
          <cell r="C245">
            <v>174406.08</v>
          </cell>
          <cell r="O245">
            <v>34012.519999999997</v>
          </cell>
          <cell r="U245" t="str">
            <v>Pièces</v>
          </cell>
          <cell r="V245" t="str">
            <v>Ventes Internes</v>
          </cell>
          <cell r="W245" t="str">
            <v>$</v>
          </cell>
          <cell r="X245">
            <v>0</v>
          </cell>
        </row>
        <row r="246">
          <cell r="C246">
            <v>3866.55</v>
          </cell>
          <cell r="O246">
            <v>294.70999999999998</v>
          </cell>
          <cell r="U246" t="str">
            <v>Service</v>
          </cell>
          <cell r="V246" t="str">
            <v>M/O Interne</v>
          </cell>
          <cell r="W246" t="str">
            <v>$</v>
          </cell>
          <cell r="X246">
            <v>0</v>
          </cell>
        </row>
        <row r="247">
          <cell r="C247">
            <v>8266.2999999999993</v>
          </cell>
          <cell r="O247">
            <v>1649.2</v>
          </cell>
          <cell r="U247" t="str">
            <v>Pièces</v>
          </cell>
          <cell r="V247" t="str">
            <v>Pièces Ro Clients</v>
          </cell>
          <cell r="W247" t="str">
            <v>$</v>
          </cell>
          <cell r="X247">
            <v>0</v>
          </cell>
        </row>
        <row r="248">
          <cell r="C248">
            <v>189.83</v>
          </cell>
          <cell r="O248">
            <v>0</v>
          </cell>
          <cell r="U248" t="str">
            <v>Pièces</v>
          </cell>
          <cell r="V248" t="str">
            <v>Ventes Internes</v>
          </cell>
          <cell r="W248" t="str">
            <v>$</v>
          </cell>
          <cell r="X248">
            <v>0</v>
          </cell>
        </row>
        <row r="249">
          <cell r="C249">
            <v>28106.45</v>
          </cell>
          <cell r="O249">
            <v>3433.74</v>
          </cell>
          <cell r="U249" t="str">
            <v>Pièces</v>
          </cell>
          <cell r="V249" t="str">
            <v>Pièces Ro Carrosserie</v>
          </cell>
          <cell r="W249" t="str">
            <v>$</v>
          </cell>
          <cell r="X249">
            <v>0</v>
          </cell>
        </row>
        <row r="250">
          <cell r="C250">
            <v>234010.4</v>
          </cell>
          <cell r="O250">
            <v>27747.88</v>
          </cell>
          <cell r="U250" t="str">
            <v>Pièces</v>
          </cell>
          <cell r="V250" t="str">
            <v>Pièces Ro Carrosserie</v>
          </cell>
          <cell r="W250" t="str">
            <v>$</v>
          </cell>
          <cell r="X250">
            <v>0</v>
          </cell>
        </row>
        <row r="251">
          <cell r="C251">
            <v>5487.04</v>
          </cell>
          <cell r="O251">
            <v>1170.3</v>
          </cell>
          <cell r="U251" t="str">
            <v>Pièces</v>
          </cell>
          <cell r="V251" t="str">
            <v>Pièces Ro Carrosserie</v>
          </cell>
          <cell r="W251" t="str">
            <v>$</v>
          </cell>
          <cell r="X251">
            <v>0</v>
          </cell>
        </row>
        <row r="252">
          <cell r="C252">
            <v>67985.88</v>
          </cell>
          <cell r="O252">
            <v>13375.35</v>
          </cell>
          <cell r="U252" t="str">
            <v>Pièces</v>
          </cell>
          <cell r="V252" t="str">
            <v>Ventes Détails</v>
          </cell>
          <cell r="W252" t="str">
            <v>$</v>
          </cell>
          <cell r="X252">
            <v>0</v>
          </cell>
        </row>
        <row r="253">
          <cell r="C253">
            <v>374621.24</v>
          </cell>
          <cell r="O253">
            <v>55979.360000000001</v>
          </cell>
          <cell r="U253" t="str">
            <v>Pièces</v>
          </cell>
          <cell r="V253" t="str">
            <v>Ventes de Gros</v>
          </cell>
          <cell r="W253" t="str">
            <v>$</v>
          </cell>
          <cell r="X253">
            <v>0</v>
          </cell>
        </row>
        <row r="254">
          <cell r="C254">
            <v>147989.6</v>
          </cell>
          <cell r="O254">
            <v>24045.62</v>
          </cell>
          <cell r="U254" t="str">
            <v>Pièces</v>
          </cell>
          <cell r="V254" t="str">
            <v>Ventes Pneus</v>
          </cell>
          <cell r="W254" t="str">
            <v>$</v>
          </cell>
          <cell r="X254">
            <v>0</v>
          </cell>
        </row>
        <row r="255">
          <cell r="C255">
            <v>1089.3399999999999</v>
          </cell>
          <cell r="O255">
            <v>0</v>
          </cell>
          <cell r="U255" t="str">
            <v>Pièces</v>
          </cell>
          <cell r="V255" t="str">
            <v>Ventes Pneus</v>
          </cell>
          <cell r="W255" t="str">
            <v>$</v>
          </cell>
          <cell r="X255">
            <v>0</v>
          </cell>
        </row>
        <row r="256">
          <cell r="C256">
            <v>-14607.23</v>
          </cell>
          <cell r="O256">
            <v>-397.94</v>
          </cell>
          <cell r="U256" t="str">
            <v>Pièces</v>
          </cell>
          <cell r="V256" t="str">
            <v>Escomptes</v>
          </cell>
          <cell r="W256" t="str">
            <v>$</v>
          </cell>
          <cell r="X256">
            <v>0</v>
          </cell>
        </row>
        <row r="257">
          <cell r="C257">
            <v>252407.93</v>
          </cell>
          <cell r="O257">
            <v>56585.919999999998</v>
          </cell>
          <cell r="U257" t="str">
            <v>Véhicules neufs</v>
          </cell>
          <cell r="V257" t="str">
            <v>Comm. vendeurs</v>
          </cell>
          <cell r="W257" t="str">
            <v>$</v>
          </cell>
          <cell r="X257">
            <v>0</v>
          </cell>
        </row>
        <row r="258">
          <cell r="C258">
            <v>91718.94</v>
          </cell>
          <cell r="O258">
            <v>22470.69</v>
          </cell>
          <cell r="U258" t="str">
            <v>Véhicules neufs</v>
          </cell>
          <cell r="V258" t="str">
            <v>Comm. F&amp;I</v>
          </cell>
          <cell r="W258" t="str">
            <v>$</v>
          </cell>
          <cell r="X258">
            <v>0</v>
          </cell>
        </row>
        <row r="259">
          <cell r="C259">
            <v>836.27</v>
          </cell>
          <cell r="O259">
            <v>190.39</v>
          </cell>
          <cell r="U259" t="str">
            <v>Véhicules neufs</v>
          </cell>
          <cell r="V259" t="str">
            <v>Service gratuit 1</v>
          </cell>
          <cell r="W259" t="str">
            <v>$</v>
          </cell>
          <cell r="X259">
            <v>0</v>
          </cell>
        </row>
        <row r="260">
          <cell r="C260">
            <v>24602.99</v>
          </cell>
          <cell r="O260">
            <v>9340.7000000000007</v>
          </cell>
          <cell r="U260" t="str">
            <v>Véhicules neufs</v>
          </cell>
          <cell r="V260" t="str">
            <v>Entretien stock</v>
          </cell>
          <cell r="W260" t="str">
            <v>$</v>
          </cell>
          <cell r="X260">
            <v>0</v>
          </cell>
        </row>
        <row r="261">
          <cell r="C261">
            <v>3959.15</v>
          </cell>
          <cell r="O261">
            <v>1131.3</v>
          </cell>
          <cell r="U261" t="str">
            <v>Véhicules neufs</v>
          </cell>
          <cell r="V261" t="str">
            <v>Intérêt de gros</v>
          </cell>
          <cell r="W261" t="str">
            <v>$</v>
          </cell>
          <cell r="X261">
            <v>0</v>
          </cell>
        </row>
        <row r="262">
          <cell r="C262">
            <v>26853.98</v>
          </cell>
          <cell r="O262">
            <v>7730.99</v>
          </cell>
          <cell r="U262" t="str">
            <v>Véhicules neufs</v>
          </cell>
          <cell r="V262" t="str">
            <v>Frais de livraison</v>
          </cell>
          <cell r="W262" t="str">
            <v>$</v>
          </cell>
          <cell r="X262">
            <v>0</v>
          </cell>
        </row>
        <row r="263">
          <cell r="C263">
            <v>100148.15</v>
          </cell>
          <cell r="O263">
            <v>18105.23</v>
          </cell>
          <cell r="U263" t="str">
            <v>Véhicules neufs</v>
          </cell>
          <cell r="V263" t="str">
            <v>Publicité 1</v>
          </cell>
          <cell r="W263" t="str">
            <v>$</v>
          </cell>
          <cell r="X263">
            <v>0</v>
          </cell>
        </row>
        <row r="264">
          <cell r="C264">
            <v>-24850</v>
          </cell>
          <cell r="O264">
            <v>-8250</v>
          </cell>
          <cell r="U264" t="str">
            <v>Véhicules neufs</v>
          </cell>
          <cell r="V264" t="str">
            <v>Publicité 1</v>
          </cell>
          <cell r="W264" t="str">
            <v>$</v>
          </cell>
          <cell r="X264">
            <v>0</v>
          </cell>
        </row>
        <row r="265">
          <cell r="C265">
            <v>43928.36</v>
          </cell>
          <cell r="O265">
            <v>6675.4</v>
          </cell>
          <cell r="U265" t="str">
            <v>Véhicules neufs</v>
          </cell>
          <cell r="V265" t="str">
            <v>Salaires propriétaire</v>
          </cell>
          <cell r="W265" t="str">
            <v>$</v>
          </cell>
          <cell r="X265">
            <v>0</v>
          </cell>
        </row>
        <row r="266">
          <cell r="C266">
            <v>86935.49</v>
          </cell>
          <cell r="O266">
            <v>15898.03</v>
          </cell>
          <cell r="U266" t="str">
            <v>Véhicules neufs</v>
          </cell>
          <cell r="V266" t="str">
            <v>Salaires cadres</v>
          </cell>
          <cell r="W266" t="str">
            <v>$</v>
          </cell>
          <cell r="X266">
            <v>0</v>
          </cell>
        </row>
        <row r="267">
          <cell r="C267">
            <v>48053.46</v>
          </cell>
          <cell r="O267">
            <v>7132.73</v>
          </cell>
          <cell r="U267" t="str">
            <v>Véhicules neufs</v>
          </cell>
          <cell r="V267" t="str">
            <v>Salaires commis</v>
          </cell>
          <cell r="W267" t="str">
            <v>$</v>
          </cell>
          <cell r="X267">
            <v>0</v>
          </cell>
        </row>
        <row r="268">
          <cell r="C268">
            <v>20985.67</v>
          </cell>
          <cell r="O268">
            <v>3509.01</v>
          </cell>
          <cell r="U268" t="str">
            <v>Véhicules neufs</v>
          </cell>
          <cell r="V268" t="str">
            <v>Salaires autres</v>
          </cell>
          <cell r="W268" t="str">
            <v>$</v>
          </cell>
          <cell r="X268">
            <v>0</v>
          </cell>
        </row>
        <row r="269">
          <cell r="C269">
            <v>77253.929999999993</v>
          </cell>
          <cell r="O269">
            <v>20543.52</v>
          </cell>
          <cell r="U269" t="str">
            <v>Véhicules neufs</v>
          </cell>
          <cell r="V269" t="str">
            <v>Salaires en absences</v>
          </cell>
          <cell r="W269" t="str">
            <v>$</v>
          </cell>
          <cell r="X269">
            <v>0</v>
          </cell>
        </row>
        <row r="270">
          <cell r="C270">
            <v>18900.669999999998</v>
          </cell>
          <cell r="O270">
            <v>5097.38</v>
          </cell>
          <cell r="U270" t="str">
            <v>Véhicules neufs</v>
          </cell>
          <cell r="V270" t="str">
            <v>Csst</v>
          </cell>
          <cell r="W270" t="str">
            <v>$</v>
          </cell>
          <cell r="X270">
            <v>0</v>
          </cell>
        </row>
        <row r="271">
          <cell r="C271">
            <v>97706.01</v>
          </cell>
          <cell r="O271">
            <v>17936.939999999999</v>
          </cell>
          <cell r="U271" t="str">
            <v>Véhicules neufs</v>
          </cell>
          <cell r="V271" t="str">
            <v>Déduction à la source</v>
          </cell>
          <cell r="W271" t="str">
            <v>$</v>
          </cell>
          <cell r="X271">
            <v>0</v>
          </cell>
        </row>
        <row r="272">
          <cell r="C272">
            <v>39051.31</v>
          </cell>
          <cell r="O272">
            <v>7345.74</v>
          </cell>
          <cell r="U272" t="str">
            <v>Véhicules neufs</v>
          </cell>
          <cell r="V272" t="str">
            <v>Bénéfices marginaux</v>
          </cell>
          <cell r="W272" t="str">
            <v>$</v>
          </cell>
          <cell r="X272">
            <v>0</v>
          </cell>
        </row>
        <row r="273">
          <cell r="C273">
            <v>28.03</v>
          </cell>
          <cell r="O273">
            <v>0</v>
          </cell>
          <cell r="U273" t="str">
            <v>Véhicules neufs</v>
          </cell>
          <cell r="V273" t="str">
            <v>Fournitures autres</v>
          </cell>
          <cell r="W273" t="str">
            <v>$</v>
          </cell>
          <cell r="X273">
            <v>0</v>
          </cell>
        </row>
        <row r="274">
          <cell r="C274">
            <v>4712.01</v>
          </cell>
          <cell r="O274">
            <v>1388.34</v>
          </cell>
          <cell r="U274" t="str">
            <v>Véhicules neufs</v>
          </cell>
          <cell r="V274" t="str">
            <v>Formation</v>
          </cell>
          <cell r="W274" t="str">
            <v>$</v>
          </cell>
          <cell r="X274">
            <v>0</v>
          </cell>
        </row>
        <row r="275">
          <cell r="C275">
            <v>49760.99</v>
          </cell>
          <cell r="O275">
            <v>6354.05</v>
          </cell>
          <cell r="U275" t="str">
            <v>Véhicules neufs</v>
          </cell>
          <cell r="V275" t="str">
            <v>Frais véhicules de cie</v>
          </cell>
          <cell r="W275" t="str">
            <v>$</v>
          </cell>
          <cell r="X275">
            <v>0</v>
          </cell>
        </row>
        <row r="276">
          <cell r="C276">
            <v>710.93</v>
          </cell>
          <cell r="O276">
            <v>200.99</v>
          </cell>
          <cell r="U276" t="str">
            <v>Véhicules neufs</v>
          </cell>
          <cell r="V276" t="str">
            <v>Frais postaux</v>
          </cell>
          <cell r="W276" t="str">
            <v>$</v>
          </cell>
          <cell r="X276">
            <v>0</v>
          </cell>
        </row>
        <row r="277">
          <cell r="C277">
            <v>41970.66</v>
          </cell>
          <cell r="O277">
            <v>7289.36</v>
          </cell>
          <cell r="U277" t="str">
            <v>Véhicules neufs</v>
          </cell>
          <cell r="V277" t="str">
            <v>Informatique</v>
          </cell>
          <cell r="W277" t="str">
            <v>$</v>
          </cell>
          <cell r="X277">
            <v>0</v>
          </cell>
        </row>
        <row r="278">
          <cell r="C278">
            <v>3610.54</v>
          </cell>
          <cell r="O278">
            <v>984.46</v>
          </cell>
          <cell r="U278" t="str">
            <v>Véhicules neufs</v>
          </cell>
          <cell r="V278" t="str">
            <v>Papeterie</v>
          </cell>
          <cell r="W278" t="str">
            <v>$</v>
          </cell>
          <cell r="X278">
            <v>0</v>
          </cell>
        </row>
        <row r="279">
          <cell r="C279">
            <v>1658.37</v>
          </cell>
          <cell r="O279">
            <v>261.12</v>
          </cell>
          <cell r="U279" t="str">
            <v>Véhicules neufs</v>
          </cell>
          <cell r="V279" t="str">
            <v>Téléphone</v>
          </cell>
          <cell r="W279" t="str">
            <v>$</v>
          </cell>
          <cell r="X279">
            <v>0</v>
          </cell>
        </row>
        <row r="280">
          <cell r="C280">
            <v>2170.02</v>
          </cell>
          <cell r="O280">
            <v>140.21</v>
          </cell>
          <cell r="U280" t="str">
            <v>Véhicules neufs</v>
          </cell>
          <cell r="V280" t="str">
            <v>Divers</v>
          </cell>
          <cell r="W280" t="str">
            <v>$</v>
          </cell>
          <cell r="X280">
            <v>0</v>
          </cell>
        </row>
        <row r="281">
          <cell r="C281">
            <v>6378.87</v>
          </cell>
          <cell r="O281">
            <v>966.86</v>
          </cell>
          <cell r="U281" t="str">
            <v>Véhicules neufs</v>
          </cell>
          <cell r="V281" t="str">
            <v>Frais de déplacement</v>
          </cell>
          <cell r="W281" t="str">
            <v>$</v>
          </cell>
          <cell r="X281">
            <v>0</v>
          </cell>
        </row>
        <row r="282">
          <cell r="C282">
            <v>0</v>
          </cell>
          <cell r="O282">
            <v>23304.54</v>
          </cell>
          <cell r="U282" t="str">
            <v>Véhicules neufs</v>
          </cell>
          <cell r="V282" t="str">
            <v>Frais bancaires</v>
          </cell>
          <cell r="W282" t="str">
            <v>$</v>
          </cell>
          <cell r="X282">
            <v>0</v>
          </cell>
        </row>
        <row r="283">
          <cell r="C283">
            <v>40417.519999999997</v>
          </cell>
          <cell r="O283">
            <v>6513.05</v>
          </cell>
          <cell r="U283" t="str">
            <v>Véhicules neufs</v>
          </cell>
          <cell r="V283" t="str">
            <v>Services extérieurs</v>
          </cell>
          <cell r="W283" t="str">
            <v>$</v>
          </cell>
          <cell r="X283">
            <v>0</v>
          </cell>
        </row>
        <row r="284">
          <cell r="C284">
            <v>8283.84</v>
          </cell>
          <cell r="O284">
            <v>1380.64</v>
          </cell>
          <cell r="U284" t="str">
            <v>Véhicules neufs</v>
          </cell>
          <cell r="V284" t="str">
            <v>Amortissement</v>
          </cell>
          <cell r="W284" t="str">
            <v>$</v>
          </cell>
          <cell r="X284">
            <v>0</v>
          </cell>
        </row>
        <row r="285">
          <cell r="C285">
            <v>3786.47</v>
          </cell>
          <cell r="O285">
            <v>618.33000000000004</v>
          </cell>
          <cell r="U285" t="str">
            <v>Véhicules neufs</v>
          </cell>
          <cell r="V285" t="str">
            <v>Chauffage, éclairage</v>
          </cell>
          <cell r="W285" t="str">
            <v>$</v>
          </cell>
          <cell r="X285">
            <v>0</v>
          </cell>
        </row>
        <row r="286">
          <cell r="C286">
            <v>49920</v>
          </cell>
          <cell r="O286">
            <v>8320</v>
          </cell>
          <cell r="U286" t="str">
            <v>Véhicules neufs</v>
          </cell>
          <cell r="V286" t="str">
            <v>Loyer</v>
          </cell>
          <cell r="W286" t="str">
            <v>$</v>
          </cell>
          <cell r="X286">
            <v>0</v>
          </cell>
        </row>
        <row r="287">
          <cell r="C287">
            <v>8200.32</v>
          </cell>
          <cell r="O287">
            <v>1366.72</v>
          </cell>
          <cell r="U287" t="str">
            <v>Véhicules neufs</v>
          </cell>
          <cell r="V287" t="str">
            <v>Assurances</v>
          </cell>
          <cell r="W287" t="str">
            <v>$</v>
          </cell>
          <cell r="X287">
            <v>0</v>
          </cell>
        </row>
        <row r="288">
          <cell r="C288">
            <v>9465.6</v>
          </cell>
          <cell r="O288">
            <v>1577.6</v>
          </cell>
          <cell r="U288" t="str">
            <v>Véhicules neufs</v>
          </cell>
          <cell r="V288" t="str">
            <v>Taxes foncières</v>
          </cell>
          <cell r="W288" t="str">
            <v>$</v>
          </cell>
          <cell r="X288">
            <v>0</v>
          </cell>
        </row>
        <row r="289">
          <cell r="C289">
            <v>6297.6</v>
          </cell>
          <cell r="O289">
            <v>1049.5999999999999</v>
          </cell>
          <cell r="U289" t="str">
            <v>Véhicules neufs</v>
          </cell>
          <cell r="V289" t="str">
            <v>Taxes d`affaires</v>
          </cell>
          <cell r="W289" t="str">
            <v>$</v>
          </cell>
          <cell r="X289">
            <v>0</v>
          </cell>
        </row>
        <row r="290">
          <cell r="C290">
            <v>11756.82</v>
          </cell>
          <cell r="O290">
            <v>1959.47</v>
          </cell>
          <cell r="U290" t="str">
            <v>Véhicules neufs</v>
          </cell>
          <cell r="V290" t="str">
            <v>Honoraires</v>
          </cell>
          <cell r="W290" t="str">
            <v>$</v>
          </cell>
          <cell r="X290">
            <v>0</v>
          </cell>
        </row>
        <row r="291">
          <cell r="C291">
            <v>161108.56</v>
          </cell>
          <cell r="O291">
            <v>29177.63</v>
          </cell>
          <cell r="U291" t="str">
            <v>Véhicules usagés</v>
          </cell>
          <cell r="V291" t="str">
            <v>Comm. vendeurs</v>
          </cell>
          <cell r="W291" t="str">
            <v>$</v>
          </cell>
          <cell r="X291">
            <v>0</v>
          </cell>
        </row>
        <row r="292">
          <cell r="C292">
            <v>156925.16</v>
          </cell>
          <cell r="O292">
            <v>17001.400000000001</v>
          </cell>
          <cell r="U292" t="str">
            <v>Véhicules usagés</v>
          </cell>
          <cell r="V292" t="str">
            <v>Comm. F&amp;I</v>
          </cell>
          <cell r="W292" t="str">
            <v>$</v>
          </cell>
          <cell r="X292">
            <v>0</v>
          </cell>
        </row>
        <row r="293">
          <cell r="C293">
            <v>1343.13</v>
          </cell>
          <cell r="O293">
            <v>0</v>
          </cell>
          <cell r="U293" t="str">
            <v>Véhicules usagés</v>
          </cell>
          <cell r="V293" t="str">
            <v>Service gratuit 1</v>
          </cell>
          <cell r="W293" t="str">
            <v>$</v>
          </cell>
          <cell r="X293">
            <v>0</v>
          </cell>
        </row>
        <row r="294">
          <cell r="C294">
            <v>26613.29</v>
          </cell>
          <cell r="O294">
            <v>4738.3500000000004</v>
          </cell>
          <cell r="U294" t="str">
            <v>Véhicules usagés</v>
          </cell>
          <cell r="V294" t="str">
            <v>Entretien stock</v>
          </cell>
          <cell r="W294" t="str">
            <v>$</v>
          </cell>
          <cell r="X294">
            <v>0</v>
          </cell>
        </row>
        <row r="295">
          <cell r="C295">
            <v>9656.27</v>
          </cell>
          <cell r="O295">
            <v>4893</v>
          </cell>
          <cell r="U295" t="str">
            <v>Véhicules usagés</v>
          </cell>
          <cell r="V295" t="str">
            <v>Intérêt de gros</v>
          </cell>
          <cell r="W295" t="str">
            <v>$</v>
          </cell>
          <cell r="X295">
            <v>0</v>
          </cell>
        </row>
        <row r="296">
          <cell r="C296">
            <v>5732.3</v>
          </cell>
          <cell r="O296">
            <v>1356.17</v>
          </cell>
          <cell r="U296" t="str">
            <v>Véhicules usagés</v>
          </cell>
          <cell r="V296" t="str">
            <v>Frais de livraison</v>
          </cell>
          <cell r="W296" t="str">
            <v>$</v>
          </cell>
          <cell r="X296">
            <v>0</v>
          </cell>
        </row>
        <row r="297">
          <cell r="C297">
            <v>42271.83</v>
          </cell>
          <cell r="O297">
            <v>10107.57</v>
          </cell>
          <cell r="U297" t="str">
            <v>Véhicules usagés</v>
          </cell>
          <cell r="V297" t="str">
            <v>Publicité 1</v>
          </cell>
          <cell r="W297" t="str">
            <v>$</v>
          </cell>
          <cell r="X297">
            <v>0</v>
          </cell>
        </row>
        <row r="298">
          <cell r="C298">
            <v>-19100</v>
          </cell>
          <cell r="O298">
            <v>-3900</v>
          </cell>
          <cell r="U298" t="str">
            <v>Véhicules usagés</v>
          </cell>
          <cell r="V298" t="str">
            <v>Publicité 1</v>
          </cell>
          <cell r="W298" t="str">
            <v>$</v>
          </cell>
          <cell r="X298">
            <v>0</v>
          </cell>
        </row>
        <row r="299">
          <cell r="C299">
            <v>9761.7800000000007</v>
          </cell>
          <cell r="O299">
            <v>1483.41</v>
          </cell>
          <cell r="U299" t="str">
            <v>Véhicules usagés</v>
          </cell>
          <cell r="V299" t="str">
            <v>Salaires propriétaire</v>
          </cell>
          <cell r="W299" t="str">
            <v>$</v>
          </cell>
          <cell r="X299">
            <v>0</v>
          </cell>
        </row>
        <row r="300">
          <cell r="C300">
            <v>59637.48</v>
          </cell>
          <cell r="O300">
            <v>9642.11</v>
          </cell>
          <cell r="U300" t="str">
            <v>Véhicules usagés</v>
          </cell>
          <cell r="V300" t="str">
            <v>Salaires cadres</v>
          </cell>
          <cell r="W300" t="str">
            <v>$</v>
          </cell>
          <cell r="X300">
            <v>0</v>
          </cell>
        </row>
        <row r="301">
          <cell r="C301">
            <v>10678.55</v>
          </cell>
          <cell r="O301">
            <v>1585.05</v>
          </cell>
          <cell r="U301" t="str">
            <v>Véhicules usagés</v>
          </cell>
          <cell r="V301" t="str">
            <v>Salaires commis</v>
          </cell>
          <cell r="W301" t="str">
            <v>$</v>
          </cell>
          <cell r="X301">
            <v>0</v>
          </cell>
        </row>
        <row r="302">
          <cell r="C302">
            <v>42273.67</v>
          </cell>
          <cell r="O302">
            <v>7057.01</v>
          </cell>
          <cell r="U302" t="str">
            <v>Véhicules usagés</v>
          </cell>
          <cell r="V302" t="str">
            <v>Salaires autres</v>
          </cell>
          <cell r="W302" t="str">
            <v>$</v>
          </cell>
          <cell r="X302">
            <v>0</v>
          </cell>
        </row>
        <row r="303">
          <cell r="C303">
            <v>23084.61</v>
          </cell>
          <cell r="O303">
            <v>6326.55</v>
          </cell>
          <cell r="U303" t="str">
            <v>Véhicules usagés</v>
          </cell>
          <cell r="V303" t="str">
            <v>Salaires en absences</v>
          </cell>
          <cell r="W303" t="str">
            <v>$</v>
          </cell>
          <cell r="X303">
            <v>0</v>
          </cell>
        </row>
        <row r="304">
          <cell r="C304">
            <v>11217.72</v>
          </cell>
          <cell r="O304">
            <v>2150.25</v>
          </cell>
          <cell r="U304" t="str">
            <v>Véhicules usagés</v>
          </cell>
          <cell r="V304" t="str">
            <v>Csst</v>
          </cell>
          <cell r="W304" t="str">
            <v>$</v>
          </cell>
          <cell r="X304">
            <v>0</v>
          </cell>
        </row>
        <row r="305">
          <cell r="C305">
            <v>32513.56</v>
          </cell>
          <cell r="O305">
            <v>3325.6</v>
          </cell>
          <cell r="U305" t="str">
            <v>Véhicules usagés</v>
          </cell>
          <cell r="V305" t="str">
            <v>Déduction à la source</v>
          </cell>
          <cell r="W305" t="str">
            <v>$</v>
          </cell>
          <cell r="X305">
            <v>0</v>
          </cell>
        </row>
        <row r="306">
          <cell r="C306">
            <v>19854.38</v>
          </cell>
          <cell r="O306">
            <v>2754.64</v>
          </cell>
          <cell r="U306" t="str">
            <v>Véhicules usagés</v>
          </cell>
          <cell r="V306" t="str">
            <v>Bénéfices marginaux</v>
          </cell>
          <cell r="W306" t="str">
            <v>$</v>
          </cell>
          <cell r="X306">
            <v>0</v>
          </cell>
        </row>
        <row r="307">
          <cell r="C307">
            <v>397.05</v>
          </cell>
          <cell r="O307">
            <v>579.89</v>
          </cell>
          <cell r="U307" t="str">
            <v>Véhicules usagés</v>
          </cell>
          <cell r="V307" t="str">
            <v>Fournitures autres</v>
          </cell>
          <cell r="W307" t="str">
            <v>$</v>
          </cell>
          <cell r="X307">
            <v>0</v>
          </cell>
        </row>
        <row r="308">
          <cell r="C308">
            <v>381.15</v>
          </cell>
          <cell r="O308">
            <v>138.30000000000001</v>
          </cell>
          <cell r="U308" t="str">
            <v>Véhicules usagés</v>
          </cell>
          <cell r="V308" t="str">
            <v>Formation</v>
          </cell>
          <cell r="W308" t="str">
            <v>$</v>
          </cell>
          <cell r="X308">
            <v>0</v>
          </cell>
        </row>
        <row r="309">
          <cell r="C309">
            <v>1343.99</v>
          </cell>
          <cell r="O309">
            <v>132.36000000000001</v>
          </cell>
          <cell r="U309" t="str">
            <v>Véhicules usagés</v>
          </cell>
          <cell r="V309" t="str">
            <v>Frais véhicules de cie</v>
          </cell>
          <cell r="W309" t="str">
            <v>$</v>
          </cell>
          <cell r="X309">
            <v>0</v>
          </cell>
        </row>
        <row r="310">
          <cell r="C310">
            <v>340.82</v>
          </cell>
          <cell r="O310">
            <v>100.82</v>
          </cell>
          <cell r="U310" t="str">
            <v>Véhicules usagés</v>
          </cell>
          <cell r="V310" t="str">
            <v>Frais postaux</v>
          </cell>
          <cell r="W310" t="str">
            <v>$</v>
          </cell>
          <cell r="X310">
            <v>0</v>
          </cell>
        </row>
        <row r="311">
          <cell r="C311">
            <v>16133.69</v>
          </cell>
          <cell r="O311">
            <v>2804.25</v>
          </cell>
          <cell r="U311" t="str">
            <v>Véhicules usagés</v>
          </cell>
          <cell r="V311" t="str">
            <v>Informatique</v>
          </cell>
          <cell r="W311" t="str">
            <v>$</v>
          </cell>
          <cell r="X311">
            <v>0</v>
          </cell>
        </row>
        <row r="312">
          <cell r="C312">
            <v>1353.98</v>
          </cell>
          <cell r="O312">
            <v>369.17</v>
          </cell>
          <cell r="U312" t="str">
            <v>Véhicules usagés</v>
          </cell>
          <cell r="V312" t="str">
            <v>Papeterie</v>
          </cell>
          <cell r="W312" t="str">
            <v>$</v>
          </cell>
          <cell r="X312">
            <v>0</v>
          </cell>
        </row>
        <row r="313">
          <cell r="C313">
            <v>274.07</v>
          </cell>
          <cell r="O313">
            <v>46.55</v>
          </cell>
          <cell r="U313" t="str">
            <v>Véhicules usagés</v>
          </cell>
          <cell r="V313" t="str">
            <v>Téléphone</v>
          </cell>
          <cell r="W313" t="str">
            <v>$</v>
          </cell>
          <cell r="X313">
            <v>0</v>
          </cell>
        </row>
        <row r="314">
          <cell r="C314">
            <v>813.75</v>
          </cell>
          <cell r="O314">
            <v>52.58</v>
          </cell>
          <cell r="U314" t="str">
            <v>Véhicules usagés</v>
          </cell>
          <cell r="V314" t="str">
            <v>Divers</v>
          </cell>
          <cell r="W314" t="str">
            <v>$</v>
          </cell>
          <cell r="X314">
            <v>0</v>
          </cell>
        </row>
        <row r="315">
          <cell r="C315">
            <v>2106.15</v>
          </cell>
          <cell r="O315">
            <v>120.55</v>
          </cell>
          <cell r="U315" t="str">
            <v>Véhicules usagés</v>
          </cell>
          <cell r="V315" t="str">
            <v>Frais de déplacement</v>
          </cell>
          <cell r="W315" t="str">
            <v>$</v>
          </cell>
          <cell r="X315">
            <v>0</v>
          </cell>
        </row>
        <row r="316">
          <cell r="C316">
            <v>0</v>
          </cell>
          <cell r="O316">
            <v>5193.71</v>
          </cell>
          <cell r="U316" t="str">
            <v>Véhicules usagés</v>
          </cell>
          <cell r="V316" t="str">
            <v>Frais bancaires</v>
          </cell>
          <cell r="W316" t="str">
            <v>$</v>
          </cell>
          <cell r="X316">
            <v>0</v>
          </cell>
        </row>
        <row r="317">
          <cell r="C317">
            <v>6116.46</v>
          </cell>
          <cell r="O317">
            <v>1365.76</v>
          </cell>
          <cell r="U317" t="str">
            <v>Véhicules usagés</v>
          </cell>
          <cell r="V317" t="str">
            <v>Services extérieurs</v>
          </cell>
          <cell r="W317" t="str">
            <v>$</v>
          </cell>
          <cell r="X317">
            <v>0</v>
          </cell>
        </row>
        <row r="318">
          <cell r="C318">
            <v>3106.44</v>
          </cell>
          <cell r="O318">
            <v>517.74</v>
          </cell>
          <cell r="U318" t="str">
            <v>Véhicules usagés</v>
          </cell>
          <cell r="V318" t="str">
            <v>Amortissement</v>
          </cell>
          <cell r="W318" t="str">
            <v>$</v>
          </cell>
          <cell r="X318">
            <v>0</v>
          </cell>
        </row>
        <row r="319">
          <cell r="C319">
            <v>1419.92</v>
          </cell>
          <cell r="O319">
            <v>231.87</v>
          </cell>
          <cell r="U319" t="str">
            <v>Véhicules usagés</v>
          </cell>
          <cell r="V319" t="str">
            <v>Chauffage, éclairage</v>
          </cell>
          <cell r="W319" t="str">
            <v>$</v>
          </cell>
          <cell r="X319">
            <v>0</v>
          </cell>
        </row>
        <row r="320">
          <cell r="C320">
            <v>18720</v>
          </cell>
          <cell r="O320">
            <v>3120</v>
          </cell>
          <cell r="U320" t="str">
            <v>Véhicules usagés</v>
          </cell>
          <cell r="V320" t="str">
            <v>Loyer</v>
          </cell>
          <cell r="W320" t="str">
            <v>$</v>
          </cell>
          <cell r="X320">
            <v>0</v>
          </cell>
        </row>
        <row r="321">
          <cell r="C321">
            <v>3075.12</v>
          </cell>
          <cell r="O321">
            <v>512.52</v>
          </cell>
          <cell r="U321" t="str">
            <v>Véhicules usagés</v>
          </cell>
          <cell r="V321" t="str">
            <v>Assurances</v>
          </cell>
          <cell r="W321" t="str">
            <v>$</v>
          </cell>
          <cell r="X321">
            <v>0</v>
          </cell>
        </row>
        <row r="322">
          <cell r="C322">
            <v>3549.6</v>
          </cell>
          <cell r="O322">
            <v>591.6</v>
          </cell>
          <cell r="U322" t="str">
            <v>Véhicules usagés</v>
          </cell>
          <cell r="V322" t="str">
            <v>Taxes foncières</v>
          </cell>
          <cell r="W322" t="str">
            <v>$</v>
          </cell>
          <cell r="X322">
            <v>0</v>
          </cell>
        </row>
        <row r="323">
          <cell r="C323">
            <v>2361.6</v>
          </cell>
          <cell r="O323">
            <v>393.6</v>
          </cell>
          <cell r="U323" t="str">
            <v>Véhicules usagés</v>
          </cell>
          <cell r="V323" t="str">
            <v>Taxes d`affaires</v>
          </cell>
          <cell r="W323" t="str">
            <v>$</v>
          </cell>
          <cell r="X323">
            <v>0</v>
          </cell>
        </row>
        <row r="324">
          <cell r="C324">
            <v>4408.8</v>
          </cell>
          <cell r="O324">
            <v>734.8</v>
          </cell>
          <cell r="U324" t="str">
            <v>Véhicules usagés</v>
          </cell>
          <cell r="V324" t="str">
            <v>Honoraires</v>
          </cell>
          <cell r="W324" t="str">
            <v>$</v>
          </cell>
          <cell r="X324">
            <v>0</v>
          </cell>
        </row>
        <row r="325">
          <cell r="C325">
            <v>14946.5</v>
          </cell>
          <cell r="O325">
            <v>1408.04</v>
          </cell>
          <cell r="U325" t="str">
            <v>Service</v>
          </cell>
          <cell r="V325" t="str">
            <v>Service gratuit 2</v>
          </cell>
          <cell r="W325" t="str">
            <v>$</v>
          </cell>
          <cell r="X325">
            <v>0</v>
          </cell>
        </row>
        <row r="326">
          <cell r="C326">
            <v>265.43</v>
          </cell>
          <cell r="O326">
            <v>-0.36</v>
          </cell>
          <cell r="U326" t="str">
            <v>Service</v>
          </cell>
          <cell r="V326" t="str">
            <v>Service gratuit 2</v>
          </cell>
          <cell r="W326" t="str">
            <v>$</v>
          </cell>
          <cell r="X326">
            <v>0</v>
          </cell>
        </row>
        <row r="327">
          <cell r="C327">
            <v>62038.66</v>
          </cell>
          <cell r="O327">
            <v>9723.5400000000009</v>
          </cell>
          <cell r="U327" t="str">
            <v>Service</v>
          </cell>
          <cell r="V327" t="str">
            <v>Publicité 2</v>
          </cell>
          <cell r="W327" t="str">
            <v>$</v>
          </cell>
          <cell r="X327">
            <v>0</v>
          </cell>
        </row>
        <row r="328">
          <cell r="C328">
            <v>21964.34</v>
          </cell>
          <cell r="O328">
            <v>3337.72</v>
          </cell>
          <cell r="U328" t="str">
            <v>Service</v>
          </cell>
          <cell r="V328" t="str">
            <v>Salaires propriétaire</v>
          </cell>
          <cell r="W328" t="str">
            <v>$</v>
          </cell>
          <cell r="X328">
            <v>0</v>
          </cell>
        </row>
        <row r="329">
          <cell r="C329">
            <v>55266.84</v>
          </cell>
          <cell r="O329">
            <v>9063.5499999999993</v>
          </cell>
          <cell r="U329" t="str">
            <v>Service</v>
          </cell>
          <cell r="V329" t="str">
            <v>Salaires cadres</v>
          </cell>
          <cell r="W329" t="str">
            <v>$</v>
          </cell>
          <cell r="X329">
            <v>0</v>
          </cell>
        </row>
        <row r="330">
          <cell r="C330">
            <v>48850.42</v>
          </cell>
          <cell r="O330">
            <v>5560.81</v>
          </cell>
          <cell r="U330" t="str">
            <v>Service</v>
          </cell>
          <cell r="V330" t="str">
            <v>Salaires commis</v>
          </cell>
          <cell r="W330" t="str">
            <v>$</v>
          </cell>
          <cell r="X330">
            <v>0</v>
          </cell>
        </row>
        <row r="331">
          <cell r="C331">
            <v>113549.84</v>
          </cell>
          <cell r="O331">
            <v>17561.88</v>
          </cell>
          <cell r="U331" t="str">
            <v>Service</v>
          </cell>
          <cell r="V331" t="str">
            <v>Salaires autres</v>
          </cell>
          <cell r="W331" t="str">
            <v>$</v>
          </cell>
          <cell r="X331">
            <v>0</v>
          </cell>
        </row>
        <row r="332">
          <cell r="C332">
            <v>167958.5</v>
          </cell>
          <cell r="O332">
            <v>24792.86</v>
          </cell>
          <cell r="U332" t="str">
            <v>Service</v>
          </cell>
          <cell r="V332" t="str">
            <v>Salaires spécialistes</v>
          </cell>
          <cell r="W332" t="str">
            <v>$</v>
          </cell>
          <cell r="X332">
            <v>0</v>
          </cell>
        </row>
        <row r="333">
          <cell r="C333">
            <v>90098.22</v>
          </cell>
          <cell r="O333">
            <v>19707.28</v>
          </cell>
          <cell r="U333" t="str">
            <v>Service</v>
          </cell>
          <cell r="V333" t="str">
            <v>Salaires en absences</v>
          </cell>
          <cell r="W333" t="str">
            <v>$</v>
          </cell>
          <cell r="X333">
            <v>0</v>
          </cell>
        </row>
        <row r="334">
          <cell r="C334">
            <v>28539.26</v>
          </cell>
          <cell r="O334">
            <v>7273.93</v>
          </cell>
          <cell r="U334" t="str">
            <v>Service</v>
          </cell>
          <cell r="V334" t="str">
            <v>Csst</v>
          </cell>
          <cell r="W334" t="str">
            <v>$</v>
          </cell>
          <cell r="X334">
            <v>0</v>
          </cell>
        </row>
        <row r="335">
          <cell r="C335">
            <v>106149.24</v>
          </cell>
          <cell r="O335">
            <v>16808.12</v>
          </cell>
          <cell r="U335" t="str">
            <v>Service</v>
          </cell>
          <cell r="V335" t="str">
            <v>Déduction à la source</v>
          </cell>
          <cell r="W335" t="str">
            <v>$</v>
          </cell>
          <cell r="X335">
            <v>0</v>
          </cell>
        </row>
        <row r="336">
          <cell r="C336">
            <v>1673.44</v>
          </cell>
          <cell r="O336">
            <v>330.97</v>
          </cell>
          <cell r="U336" t="str">
            <v>Service</v>
          </cell>
          <cell r="V336" t="str">
            <v>Bénéfices marginaux</v>
          </cell>
          <cell r="W336" t="str">
            <v>$</v>
          </cell>
          <cell r="X336">
            <v>0</v>
          </cell>
        </row>
        <row r="337">
          <cell r="C337">
            <v>37798.75</v>
          </cell>
          <cell r="O337">
            <v>5509.3</v>
          </cell>
          <cell r="U337" t="str">
            <v>Service</v>
          </cell>
          <cell r="V337" t="str">
            <v>Bénéfices marginaux</v>
          </cell>
          <cell r="W337" t="str">
            <v>$</v>
          </cell>
          <cell r="X337">
            <v>0</v>
          </cell>
        </row>
        <row r="338">
          <cell r="C338">
            <v>3744.42</v>
          </cell>
          <cell r="O338">
            <v>734.64</v>
          </cell>
          <cell r="U338" t="str">
            <v>Service</v>
          </cell>
          <cell r="V338" t="str">
            <v>Service gratuit 2</v>
          </cell>
          <cell r="W338" t="str">
            <v>$</v>
          </cell>
          <cell r="X338">
            <v>0</v>
          </cell>
        </row>
        <row r="339">
          <cell r="C339">
            <v>15405.14</v>
          </cell>
          <cell r="O339">
            <v>700.67</v>
          </cell>
          <cell r="U339" t="str">
            <v>Service</v>
          </cell>
          <cell r="V339" t="str">
            <v>Fournitures autres</v>
          </cell>
          <cell r="W339" t="str">
            <v>$</v>
          </cell>
          <cell r="X339">
            <v>0</v>
          </cell>
        </row>
        <row r="340">
          <cell r="C340">
            <v>9194.73</v>
          </cell>
          <cell r="O340">
            <v>325.68</v>
          </cell>
          <cell r="U340" t="str">
            <v>Service</v>
          </cell>
          <cell r="V340" t="str">
            <v>Uniformes</v>
          </cell>
          <cell r="W340" t="str">
            <v>$</v>
          </cell>
          <cell r="X340">
            <v>0</v>
          </cell>
        </row>
        <row r="341">
          <cell r="C341">
            <v>7319.41</v>
          </cell>
          <cell r="O341">
            <v>2563.9299999999998</v>
          </cell>
          <cell r="U341" t="str">
            <v>Service</v>
          </cell>
          <cell r="V341" t="str">
            <v>Formation</v>
          </cell>
          <cell r="W341" t="str">
            <v>$</v>
          </cell>
          <cell r="X341">
            <v>0</v>
          </cell>
        </row>
        <row r="342">
          <cell r="C342">
            <v>70292.59</v>
          </cell>
          <cell r="O342">
            <v>15595.63</v>
          </cell>
          <cell r="U342" t="str">
            <v>Service</v>
          </cell>
          <cell r="V342" t="str">
            <v>Frais véhicules de cie</v>
          </cell>
          <cell r="W342" t="str">
            <v>$</v>
          </cell>
          <cell r="X342">
            <v>0</v>
          </cell>
        </row>
        <row r="343">
          <cell r="C343">
            <v>533.17999999999995</v>
          </cell>
          <cell r="O343">
            <v>150.72999999999999</v>
          </cell>
          <cell r="U343" t="str">
            <v>Service</v>
          </cell>
          <cell r="V343" t="str">
            <v>Frais postaux</v>
          </cell>
          <cell r="W343" t="str">
            <v>$</v>
          </cell>
          <cell r="X343">
            <v>0</v>
          </cell>
        </row>
        <row r="344">
          <cell r="C344">
            <v>27308.68</v>
          </cell>
          <cell r="O344">
            <v>4091.51</v>
          </cell>
          <cell r="U344" t="str">
            <v>Service</v>
          </cell>
          <cell r="V344" t="str">
            <v>Informatique</v>
          </cell>
          <cell r="W344" t="str">
            <v>$</v>
          </cell>
          <cell r="X344">
            <v>0</v>
          </cell>
        </row>
        <row r="345">
          <cell r="C345">
            <v>4669.53</v>
          </cell>
          <cell r="O345">
            <v>738.32</v>
          </cell>
          <cell r="U345" t="str">
            <v>Service</v>
          </cell>
          <cell r="V345" t="str">
            <v>Papeterie</v>
          </cell>
          <cell r="W345" t="str">
            <v>$</v>
          </cell>
          <cell r="X345">
            <v>0</v>
          </cell>
        </row>
        <row r="346">
          <cell r="C346">
            <v>1381.22</v>
          </cell>
          <cell r="O346">
            <v>198.67</v>
          </cell>
          <cell r="U346" t="str">
            <v>Service</v>
          </cell>
          <cell r="V346" t="str">
            <v>Téléphone</v>
          </cell>
          <cell r="W346" t="str">
            <v>$</v>
          </cell>
          <cell r="X346">
            <v>0</v>
          </cell>
        </row>
        <row r="347">
          <cell r="C347">
            <v>1627.48</v>
          </cell>
          <cell r="O347">
            <v>105.15</v>
          </cell>
          <cell r="U347" t="str">
            <v>Service</v>
          </cell>
          <cell r="V347" t="str">
            <v>Divers</v>
          </cell>
          <cell r="W347" t="str">
            <v>$</v>
          </cell>
          <cell r="X347">
            <v>0</v>
          </cell>
        </row>
        <row r="348">
          <cell r="C348">
            <v>6373.36</v>
          </cell>
          <cell r="O348">
            <v>901.28</v>
          </cell>
          <cell r="U348" t="str">
            <v>Service</v>
          </cell>
          <cell r="V348" t="str">
            <v>Frais de déplacement</v>
          </cell>
          <cell r="W348" t="str">
            <v>$</v>
          </cell>
          <cell r="X348">
            <v>0</v>
          </cell>
        </row>
        <row r="349">
          <cell r="C349">
            <v>0</v>
          </cell>
          <cell r="O349">
            <v>11652.26</v>
          </cell>
          <cell r="U349" t="str">
            <v>Service</v>
          </cell>
          <cell r="V349" t="str">
            <v>Frais bancaires</v>
          </cell>
          <cell r="W349" t="str">
            <v>$</v>
          </cell>
          <cell r="X349">
            <v>0</v>
          </cell>
        </row>
        <row r="350">
          <cell r="C350">
            <v>13709.96</v>
          </cell>
          <cell r="O350">
            <v>1941.65</v>
          </cell>
          <cell r="U350" t="str">
            <v>Service</v>
          </cell>
          <cell r="V350" t="str">
            <v>Services extérieurs</v>
          </cell>
          <cell r="W350" t="str">
            <v>$</v>
          </cell>
          <cell r="X350">
            <v>0</v>
          </cell>
        </row>
        <row r="351">
          <cell r="C351">
            <v>6212.88</v>
          </cell>
          <cell r="O351">
            <v>1035.48</v>
          </cell>
          <cell r="U351" t="str">
            <v>Service</v>
          </cell>
          <cell r="V351" t="str">
            <v>Amortissement</v>
          </cell>
          <cell r="W351" t="str">
            <v>$</v>
          </cell>
          <cell r="X351">
            <v>0</v>
          </cell>
        </row>
        <row r="352">
          <cell r="C352">
            <v>9437.64</v>
          </cell>
          <cell r="O352">
            <v>1440.6</v>
          </cell>
          <cell r="U352" t="str">
            <v>Service</v>
          </cell>
          <cell r="V352" t="str">
            <v>Réparation équipement</v>
          </cell>
          <cell r="W352" t="str">
            <v>$</v>
          </cell>
          <cell r="X352">
            <v>0</v>
          </cell>
        </row>
        <row r="353">
          <cell r="C353">
            <v>2839.86</v>
          </cell>
          <cell r="O353">
            <v>463.74</v>
          </cell>
          <cell r="U353" t="str">
            <v>Service</v>
          </cell>
          <cell r="V353" t="str">
            <v>Chauffage, éclairage</v>
          </cell>
          <cell r="W353" t="str">
            <v>$</v>
          </cell>
          <cell r="X353">
            <v>0</v>
          </cell>
        </row>
        <row r="354">
          <cell r="C354">
            <v>37440</v>
          </cell>
          <cell r="O354">
            <v>6240</v>
          </cell>
          <cell r="U354" t="str">
            <v>Service</v>
          </cell>
          <cell r="V354" t="str">
            <v>Loyer</v>
          </cell>
          <cell r="W354" t="str">
            <v>$</v>
          </cell>
          <cell r="X354">
            <v>0</v>
          </cell>
        </row>
        <row r="355">
          <cell r="C355">
            <v>6150.24</v>
          </cell>
          <cell r="O355">
            <v>1025.04</v>
          </cell>
          <cell r="U355" t="str">
            <v>Service</v>
          </cell>
          <cell r="V355" t="str">
            <v>Assurances</v>
          </cell>
          <cell r="W355" t="str">
            <v>$</v>
          </cell>
          <cell r="X355">
            <v>0</v>
          </cell>
        </row>
        <row r="356">
          <cell r="C356">
            <v>7099.2</v>
          </cell>
          <cell r="O356">
            <v>1183.2</v>
          </cell>
          <cell r="U356" t="str">
            <v>Service</v>
          </cell>
          <cell r="V356" t="str">
            <v>Taxes foncières</v>
          </cell>
          <cell r="W356" t="str">
            <v>$</v>
          </cell>
          <cell r="X356">
            <v>0</v>
          </cell>
        </row>
        <row r="357">
          <cell r="C357">
            <v>4723.2</v>
          </cell>
          <cell r="O357">
            <v>787.2</v>
          </cell>
          <cell r="U357" t="str">
            <v>Service</v>
          </cell>
          <cell r="V357" t="str">
            <v>Taxes d`affaires</v>
          </cell>
          <cell r="W357" t="str">
            <v>$</v>
          </cell>
          <cell r="X357">
            <v>0</v>
          </cell>
        </row>
        <row r="358">
          <cell r="C358">
            <v>8817.6</v>
          </cell>
          <cell r="O358">
            <v>1469.6</v>
          </cell>
          <cell r="U358" t="str">
            <v>Service</v>
          </cell>
          <cell r="V358" t="str">
            <v>Honoraires</v>
          </cell>
          <cell r="W358" t="str">
            <v>$</v>
          </cell>
          <cell r="X358">
            <v>0</v>
          </cell>
        </row>
        <row r="359">
          <cell r="C359">
            <v>1809.38</v>
          </cell>
          <cell r="O359">
            <v>15.15</v>
          </cell>
          <cell r="U359" t="str">
            <v>Carrosserie</v>
          </cell>
          <cell r="V359" t="str">
            <v>Service gratuit 2</v>
          </cell>
          <cell r="W359" t="str">
            <v>$</v>
          </cell>
          <cell r="X359">
            <v>0</v>
          </cell>
        </row>
        <row r="360">
          <cell r="C360">
            <v>61.02</v>
          </cell>
          <cell r="O360">
            <v>0.06</v>
          </cell>
          <cell r="U360" t="str">
            <v>Carrosserie</v>
          </cell>
          <cell r="V360" t="str">
            <v>Publicité 2</v>
          </cell>
          <cell r="W360" t="str">
            <v>$</v>
          </cell>
          <cell r="X360">
            <v>0</v>
          </cell>
        </row>
        <row r="361">
          <cell r="C361">
            <v>2440.54</v>
          </cell>
          <cell r="O361">
            <v>370.87</v>
          </cell>
          <cell r="U361" t="str">
            <v>Carrosserie</v>
          </cell>
          <cell r="V361" t="str">
            <v>Salaires propriétaire</v>
          </cell>
          <cell r="W361" t="str">
            <v>$</v>
          </cell>
          <cell r="X361">
            <v>0</v>
          </cell>
        </row>
        <row r="362">
          <cell r="C362">
            <v>6911.28</v>
          </cell>
          <cell r="O362">
            <v>901.88</v>
          </cell>
          <cell r="U362" t="str">
            <v>Carrosserie</v>
          </cell>
          <cell r="V362" t="str">
            <v>Salaires cadres</v>
          </cell>
          <cell r="W362" t="str">
            <v>$</v>
          </cell>
          <cell r="X362">
            <v>0</v>
          </cell>
        </row>
        <row r="363">
          <cell r="C363">
            <v>2669.64</v>
          </cell>
          <cell r="O363">
            <v>396.27</v>
          </cell>
          <cell r="U363" t="str">
            <v>Carrosserie</v>
          </cell>
          <cell r="V363" t="str">
            <v>Salaires spécialistes</v>
          </cell>
          <cell r="W363" t="str">
            <v>$</v>
          </cell>
          <cell r="X363">
            <v>0</v>
          </cell>
        </row>
        <row r="364">
          <cell r="C364">
            <v>4791.3</v>
          </cell>
          <cell r="O364">
            <v>1.23</v>
          </cell>
          <cell r="U364" t="str">
            <v>Carrosserie</v>
          </cell>
          <cell r="V364" t="str">
            <v>Salaires autres</v>
          </cell>
          <cell r="W364" t="str">
            <v>$</v>
          </cell>
          <cell r="X364">
            <v>0</v>
          </cell>
        </row>
        <row r="365">
          <cell r="C365">
            <v>21250.28</v>
          </cell>
          <cell r="O365">
            <v>2753.05</v>
          </cell>
          <cell r="U365" t="str">
            <v>Carrosserie</v>
          </cell>
          <cell r="V365" t="str">
            <v>Salaires spécialistes</v>
          </cell>
          <cell r="W365" t="str">
            <v>$</v>
          </cell>
          <cell r="X365">
            <v>0</v>
          </cell>
        </row>
        <row r="366">
          <cell r="C366">
            <v>3756.36</v>
          </cell>
          <cell r="O366">
            <v>924.62</v>
          </cell>
          <cell r="U366" t="str">
            <v>Carrosserie</v>
          </cell>
          <cell r="V366" t="str">
            <v>Salaires en absences</v>
          </cell>
          <cell r="W366" t="str">
            <v>$</v>
          </cell>
          <cell r="X366">
            <v>0</v>
          </cell>
        </row>
        <row r="367">
          <cell r="C367">
            <v>1698.87</v>
          </cell>
          <cell r="O367">
            <v>466.12</v>
          </cell>
          <cell r="U367" t="str">
            <v>Carrosserie</v>
          </cell>
          <cell r="V367" t="str">
            <v>Csst</v>
          </cell>
          <cell r="W367" t="str">
            <v>$</v>
          </cell>
          <cell r="X367">
            <v>0</v>
          </cell>
        </row>
        <row r="368">
          <cell r="C368">
            <v>9163.0499999999993</v>
          </cell>
          <cell r="O368">
            <v>1758.56</v>
          </cell>
          <cell r="U368" t="str">
            <v>Carrosserie</v>
          </cell>
          <cell r="V368" t="str">
            <v>Déduction à la source</v>
          </cell>
          <cell r="W368" t="str">
            <v>$</v>
          </cell>
          <cell r="X368">
            <v>0</v>
          </cell>
        </row>
        <row r="369">
          <cell r="C369">
            <v>7151.65</v>
          </cell>
          <cell r="O369">
            <v>1606.88</v>
          </cell>
          <cell r="U369" t="str">
            <v>Carrosserie</v>
          </cell>
          <cell r="V369" t="str">
            <v>Bénéfices marginaux</v>
          </cell>
          <cell r="W369" t="str">
            <v>$</v>
          </cell>
          <cell r="X369">
            <v>0</v>
          </cell>
        </row>
        <row r="370">
          <cell r="C370">
            <v>2.8</v>
          </cell>
          <cell r="O370">
            <v>0</v>
          </cell>
          <cell r="U370" t="str">
            <v>Carrosserie</v>
          </cell>
          <cell r="V370" t="str">
            <v>Fournitures autres</v>
          </cell>
          <cell r="W370" t="str">
            <v>$</v>
          </cell>
          <cell r="X370">
            <v>0</v>
          </cell>
        </row>
        <row r="371">
          <cell r="C371">
            <v>222.34</v>
          </cell>
          <cell r="O371">
            <v>80.680000000000007</v>
          </cell>
          <cell r="U371" t="str">
            <v>Carrosserie</v>
          </cell>
          <cell r="V371" t="str">
            <v>Formation</v>
          </cell>
          <cell r="W371" t="str">
            <v>$</v>
          </cell>
          <cell r="X371">
            <v>0</v>
          </cell>
        </row>
        <row r="372">
          <cell r="C372">
            <v>2651.91</v>
          </cell>
          <cell r="O372">
            <v>901.54</v>
          </cell>
          <cell r="U372" t="str">
            <v>Carrosserie</v>
          </cell>
          <cell r="V372" t="str">
            <v>Frais véhicules de cie</v>
          </cell>
          <cell r="W372" t="str">
            <v>$</v>
          </cell>
          <cell r="X372">
            <v>0</v>
          </cell>
        </row>
        <row r="373">
          <cell r="C373">
            <v>155.52000000000001</v>
          </cell>
          <cell r="O373">
            <v>43.97</v>
          </cell>
          <cell r="U373" t="str">
            <v>Carrosserie</v>
          </cell>
          <cell r="V373" t="str">
            <v>Frais postaux</v>
          </cell>
          <cell r="W373" t="str">
            <v>$</v>
          </cell>
          <cell r="X373">
            <v>0</v>
          </cell>
        </row>
        <row r="374">
          <cell r="C374">
            <v>8282.83</v>
          </cell>
          <cell r="O374">
            <v>1475.24</v>
          </cell>
          <cell r="U374" t="str">
            <v>Carrosserie</v>
          </cell>
          <cell r="V374" t="str">
            <v>Informatique</v>
          </cell>
          <cell r="W374" t="str">
            <v>$</v>
          </cell>
          <cell r="X374">
            <v>0</v>
          </cell>
        </row>
        <row r="375">
          <cell r="C375">
            <v>789.82</v>
          </cell>
          <cell r="O375">
            <v>215.36</v>
          </cell>
          <cell r="U375" t="str">
            <v>Carrosserie</v>
          </cell>
          <cell r="V375" t="str">
            <v>Papeterie</v>
          </cell>
          <cell r="W375" t="str">
            <v>$</v>
          </cell>
          <cell r="X375">
            <v>0</v>
          </cell>
        </row>
        <row r="376">
          <cell r="C376">
            <v>194.35</v>
          </cell>
          <cell r="O376">
            <v>27.16</v>
          </cell>
          <cell r="U376" t="str">
            <v>Carrosserie</v>
          </cell>
          <cell r="V376" t="str">
            <v>Téléphone</v>
          </cell>
          <cell r="W376" t="str">
            <v>$</v>
          </cell>
          <cell r="X376">
            <v>0</v>
          </cell>
        </row>
        <row r="377">
          <cell r="C377">
            <v>474.71</v>
          </cell>
          <cell r="O377">
            <v>30.67</v>
          </cell>
          <cell r="U377" t="str">
            <v>Carrosserie</v>
          </cell>
          <cell r="V377" t="str">
            <v>Divers</v>
          </cell>
          <cell r="W377" t="str">
            <v>$</v>
          </cell>
          <cell r="X377">
            <v>0</v>
          </cell>
        </row>
        <row r="378">
          <cell r="C378">
            <v>1174.94</v>
          </cell>
          <cell r="O378">
            <v>111.16</v>
          </cell>
          <cell r="U378" t="str">
            <v>Carrosserie</v>
          </cell>
          <cell r="V378" t="str">
            <v>Frais de déplacement</v>
          </cell>
          <cell r="W378" t="str">
            <v>$</v>
          </cell>
          <cell r="X378">
            <v>0</v>
          </cell>
        </row>
        <row r="379">
          <cell r="C379">
            <v>0</v>
          </cell>
          <cell r="O379">
            <v>1294.48</v>
          </cell>
          <cell r="U379" t="str">
            <v>Carrosserie</v>
          </cell>
          <cell r="V379" t="str">
            <v>Frais bancaires</v>
          </cell>
          <cell r="W379" t="str">
            <v>$</v>
          </cell>
          <cell r="X379">
            <v>0</v>
          </cell>
        </row>
        <row r="380">
          <cell r="C380">
            <v>3563.01</v>
          </cell>
          <cell r="O380">
            <v>566.32000000000005</v>
          </cell>
          <cell r="U380" t="str">
            <v>Carrosserie</v>
          </cell>
          <cell r="V380" t="str">
            <v>Services extérieurs</v>
          </cell>
          <cell r="W380" t="str">
            <v>$</v>
          </cell>
          <cell r="X380">
            <v>0</v>
          </cell>
        </row>
        <row r="381">
          <cell r="C381">
            <v>1812.12</v>
          </cell>
          <cell r="O381">
            <v>302.02</v>
          </cell>
          <cell r="U381" t="str">
            <v>Carrosserie</v>
          </cell>
          <cell r="V381" t="str">
            <v>Amortissement</v>
          </cell>
          <cell r="W381" t="str">
            <v>$</v>
          </cell>
          <cell r="X381">
            <v>0</v>
          </cell>
        </row>
        <row r="382">
          <cell r="C382">
            <v>828.3</v>
          </cell>
          <cell r="O382">
            <v>135.26</v>
          </cell>
          <cell r="U382" t="str">
            <v>Carrosserie</v>
          </cell>
          <cell r="V382" t="str">
            <v>Chauffage, éclairage</v>
          </cell>
          <cell r="W382" t="str">
            <v>$</v>
          </cell>
          <cell r="X382">
            <v>0</v>
          </cell>
        </row>
        <row r="383">
          <cell r="C383">
            <v>10920</v>
          </cell>
          <cell r="O383">
            <v>1820</v>
          </cell>
          <cell r="U383" t="str">
            <v>Carrosserie</v>
          </cell>
          <cell r="V383" t="str">
            <v>Loyer</v>
          </cell>
          <cell r="W383" t="str">
            <v>$</v>
          </cell>
          <cell r="X383">
            <v>0</v>
          </cell>
        </row>
        <row r="384">
          <cell r="C384">
            <v>1793.82</v>
          </cell>
          <cell r="O384">
            <v>298.97000000000003</v>
          </cell>
          <cell r="U384" t="str">
            <v>Carrosserie</v>
          </cell>
          <cell r="V384" t="str">
            <v>Assurances</v>
          </cell>
          <cell r="W384" t="str">
            <v>$</v>
          </cell>
          <cell r="X384">
            <v>0</v>
          </cell>
        </row>
        <row r="385">
          <cell r="C385">
            <v>2070.6</v>
          </cell>
          <cell r="O385">
            <v>345.1</v>
          </cell>
          <cell r="U385" t="str">
            <v>Carrosserie</v>
          </cell>
          <cell r="V385" t="str">
            <v>Taxes foncières</v>
          </cell>
          <cell r="W385" t="str">
            <v>$</v>
          </cell>
          <cell r="X385">
            <v>0</v>
          </cell>
        </row>
        <row r="386">
          <cell r="C386">
            <v>1377.6</v>
          </cell>
          <cell r="O386">
            <v>229.6</v>
          </cell>
          <cell r="U386" t="str">
            <v>Carrosserie</v>
          </cell>
          <cell r="V386" t="str">
            <v>Taxes d`affaires</v>
          </cell>
          <cell r="W386" t="str">
            <v>$</v>
          </cell>
          <cell r="X386">
            <v>0</v>
          </cell>
        </row>
        <row r="387">
          <cell r="C387">
            <v>2571.7800000000002</v>
          </cell>
          <cell r="O387">
            <v>428.63</v>
          </cell>
          <cell r="U387" t="str">
            <v>Carrosserie</v>
          </cell>
          <cell r="V387" t="str">
            <v>Honoraires</v>
          </cell>
          <cell r="W387" t="str">
            <v>$</v>
          </cell>
          <cell r="X387">
            <v>0</v>
          </cell>
        </row>
        <row r="388">
          <cell r="C388">
            <v>5615.41</v>
          </cell>
          <cell r="O388">
            <v>1163.6400000000001</v>
          </cell>
          <cell r="U388" t="str">
            <v>Pièces</v>
          </cell>
          <cell r="V388" t="str">
            <v>Service gratuit 2</v>
          </cell>
          <cell r="W388" t="str">
            <v>$</v>
          </cell>
          <cell r="X388">
            <v>0</v>
          </cell>
        </row>
        <row r="389">
          <cell r="C389">
            <v>23604.71</v>
          </cell>
          <cell r="O389">
            <v>1697.44</v>
          </cell>
          <cell r="U389" t="str">
            <v>Pièces</v>
          </cell>
          <cell r="V389" t="str">
            <v>Publicité 2</v>
          </cell>
          <cell r="W389" t="str">
            <v>$</v>
          </cell>
          <cell r="X389">
            <v>0</v>
          </cell>
        </row>
        <row r="390">
          <cell r="C390">
            <v>19523.73</v>
          </cell>
          <cell r="O390">
            <v>2966.84</v>
          </cell>
          <cell r="U390" t="str">
            <v>Pièces</v>
          </cell>
          <cell r="V390" t="str">
            <v>Salaires propriétaire</v>
          </cell>
          <cell r="W390" t="str">
            <v>$</v>
          </cell>
          <cell r="X390">
            <v>0</v>
          </cell>
        </row>
        <row r="391">
          <cell r="C391">
            <v>16004</v>
          </cell>
          <cell r="O391">
            <v>15959.67</v>
          </cell>
          <cell r="U391" t="str">
            <v>Pièces</v>
          </cell>
          <cell r="V391" t="str">
            <v>Salaires cadres</v>
          </cell>
          <cell r="W391" t="str">
            <v>$</v>
          </cell>
          <cell r="X391">
            <v>0</v>
          </cell>
        </row>
        <row r="392">
          <cell r="C392">
            <v>21357.040000000001</v>
          </cell>
          <cell r="O392">
            <v>3170.08</v>
          </cell>
          <cell r="U392" t="str">
            <v>Pièces</v>
          </cell>
          <cell r="V392" t="str">
            <v>Salaires commis</v>
          </cell>
          <cell r="W392" t="str">
            <v>$</v>
          </cell>
          <cell r="X392">
            <v>0</v>
          </cell>
        </row>
        <row r="393">
          <cell r="C393">
            <v>126062.39</v>
          </cell>
          <cell r="O393">
            <v>24289.83</v>
          </cell>
          <cell r="U393" t="str">
            <v>Pièces</v>
          </cell>
          <cell r="V393" t="str">
            <v>Salaires autres</v>
          </cell>
          <cell r="W393" t="str">
            <v>$</v>
          </cell>
          <cell r="X393">
            <v>0</v>
          </cell>
        </row>
        <row r="394">
          <cell r="C394">
            <v>18686.349999999999</v>
          </cell>
          <cell r="O394">
            <v>4682.1899999999996</v>
          </cell>
          <cell r="U394" t="str">
            <v>Pièces</v>
          </cell>
          <cell r="V394" t="str">
            <v>Salaires en absences</v>
          </cell>
          <cell r="W394" t="str">
            <v>$</v>
          </cell>
          <cell r="X394">
            <v>0</v>
          </cell>
        </row>
        <row r="395">
          <cell r="C395">
            <v>-5966.53</v>
          </cell>
          <cell r="O395">
            <v>1740.92</v>
          </cell>
          <cell r="U395" t="str">
            <v>Pièces</v>
          </cell>
          <cell r="V395" t="str">
            <v>Csst</v>
          </cell>
          <cell r="W395" t="str">
            <v>$</v>
          </cell>
          <cell r="X395">
            <v>0</v>
          </cell>
        </row>
        <row r="396">
          <cell r="C396">
            <v>44168.87</v>
          </cell>
          <cell r="O396">
            <v>6021.48</v>
          </cell>
          <cell r="U396" t="str">
            <v>Pièces</v>
          </cell>
          <cell r="V396" t="str">
            <v>Déduction à la source</v>
          </cell>
          <cell r="W396" t="str">
            <v>$</v>
          </cell>
          <cell r="X396">
            <v>0</v>
          </cell>
        </row>
        <row r="397">
          <cell r="C397">
            <v>295.3</v>
          </cell>
          <cell r="O397">
            <v>58.41</v>
          </cell>
          <cell r="U397" t="str">
            <v>Pièces</v>
          </cell>
          <cell r="V397" t="str">
            <v>Déduction à la source</v>
          </cell>
          <cell r="W397" t="str">
            <v>$</v>
          </cell>
          <cell r="X397">
            <v>0</v>
          </cell>
        </row>
        <row r="398">
          <cell r="C398">
            <v>25737.73</v>
          </cell>
          <cell r="O398">
            <v>5738.85</v>
          </cell>
          <cell r="U398" t="str">
            <v>Pièces</v>
          </cell>
          <cell r="V398" t="str">
            <v>Bénéfices marginaux</v>
          </cell>
          <cell r="W398" t="str">
            <v>$</v>
          </cell>
          <cell r="X398">
            <v>0</v>
          </cell>
        </row>
        <row r="399">
          <cell r="C399">
            <v>514.79999999999995</v>
          </cell>
          <cell r="O399">
            <v>0</v>
          </cell>
          <cell r="U399" t="str">
            <v>Pièces</v>
          </cell>
          <cell r="V399" t="str">
            <v>Fournitures autres</v>
          </cell>
          <cell r="W399" t="str">
            <v>$</v>
          </cell>
          <cell r="X399">
            <v>0</v>
          </cell>
        </row>
        <row r="400">
          <cell r="C400">
            <v>794.07</v>
          </cell>
          <cell r="O400">
            <v>288.13</v>
          </cell>
          <cell r="U400" t="str">
            <v>Pièces</v>
          </cell>
          <cell r="V400" t="str">
            <v>Formation</v>
          </cell>
          <cell r="W400" t="str">
            <v>$</v>
          </cell>
          <cell r="X400">
            <v>0</v>
          </cell>
        </row>
        <row r="401">
          <cell r="C401">
            <v>3285.29</v>
          </cell>
          <cell r="O401">
            <v>275.75</v>
          </cell>
          <cell r="U401" t="str">
            <v>Pièces</v>
          </cell>
          <cell r="V401" t="str">
            <v>Frais véhicules de cie</v>
          </cell>
          <cell r="W401" t="str">
            <v>$</v>
          </cell>
          <cell r="X401">
            <v>0</v>
          </cell>
        </row>
        <row r="402">
          <cell r="C402">
            <v>-32.29</v>
          </cell>
          <cell r="O402">
            <v>95.92</v>
          </cell>
          <cell r="U402" t="str">
            <v>Pièces</v>
          </cell>
          <cell r="V402" t="str">
            <v>Frais postaux</v>
          </cell>
          <cell r="W402" t="str">
            <v>$</v>
          </cell>
          <cell r="X402">
            <v>0</v>
          </cell>
        </row>
        <row r="403">
          <cell r="C403">
            <v>22748.59</v>
          </cell>
          <cell r="O403">
            <v>4009.01</v>
          </cell>
          <cell r="U403" t="str">
            <v>Pièces</v>
          </cell>
          <cell r="V403" t="str">
            <v>Informatique</v>
          </cell>
          <cell r="W403" t="str">
            <v>$</v>
          </cell>
          <cell r="X403">
            <v>0</v>
          </cell>
        </row>
        <row r="404">
          <cell r="C404">
            <v>3383.16</v>
          </cell>
          <cell r="O404">
            <v>769.1</v>
          </cell>
          <cell r="U404" t="str">
            <v>Pièces</v>
          </cell>
          <cell r="V404" t="str">
            <v>Papeterie</v>
          </cell>
          <cell r="W404" t="str">
            <v>$</v>
          </cell>
          <cell r="X404">
            <v>0</v>
          </cell>
        </row>
        <row r="405">
          <cell r="C405">
            <v>570.88</v>
          </cell>
          <cell r="O405">
            <v>96.95</v>
          </cell>
          <cell r="U405" t="str">
            <v>Pièces</v>
          </cell>
          <cell r="V405" t="str">
            <v>Téléphone</v>
          </cell>
          <cell r="W405" t="str">
            <v>$</v>
          </cell>
          <cell r="X405">
            <v>0</v>
          </cell>
        </row>
        <row r="406">
          <cell r="C406">
            <v>1695.26</v>
          </cell>
          <cell r="O406">
            <v>109.54</v>
          </cell>
          <cell r="U406" t="str">
            <v>Pièces</v>
          </cell>
          <cell r="V406" t="str">
            <v>Divers</v>
          </cell>
          <cell r="W406" t="str">
            <v>$</v>
          </cell>
          <cell r="X406">
            <v>0</v>
          </cell>
        </row>
        <row r="407">
          <cell r="C407">
            <v>4497.1499999999996</v>
          </cell>
          <cell r="O407">
            <v>396.96</v>
          </cell>
          <cell r="U407" t="str">
            <v>Pièces</v>
          </cell>
          <cell r="V407" t="str">
            <v>Frais de déplacement</v>
          </cell>
          <cell r="W407" t="str">
            <v>$</v>
          </cell>
          <cell r="X407">
            <v>0</v>
          </cell>
        </row>
        <row r="408">
          <cell r="C408">
            <v>0</v>
          </cell>
          <cell r="O408">
            <v>10357.52</v>
          </cell>
          <cell r="U408" t="str">
            <v>Pièces</v>
          </cell>
          <cell r="V408" t="str">
            <v>Frais bancaires</v>
          </cell>
          <cell r="W408" t="str">
            <v>$</v>
          </cell>
          <cell r="X408">
            <v>0</v>
          </cell>
        </row>
        <row r="409">
          <cell r="C409">
            <v>52056.65</v>
          </cell>
          <cell r="O409">
            <v>9872.31</v>
          </cell>
          <cell r="U409" t="str">
            <v>Pièces</v>
          </cell>
          <cell r="V409" t="str">
            <v>Services extérieurs</v>
          </cell>
          <cell r="W409" t="str">
            <v>$</v>
          </cell>
          <cell r="X409">
            <v>0</v>
          </cell>
        </row>
        <row r="410">
          <cell r="C410">
            <v>6471.72</v>
          </cell>
          <cell r="O410">
            <v>1078.6199999999999</v>
          </cell>
          <cell r="U410" t="str">
            <v>Pièces</v>
          </cell>
          <cell r="V410" t="str">
            <v>Amortissement</v>
          </cell>
          <cell r="W410" t="str">
            <v>$</v>
          </cell>
          <cell r="X410">
            <v>0</v>
          </cell>
        </row>
        <row r="411">
          <cell r="C411">
            <v>2958.18</v>
          </cell>
          <cell r="O411">
            <v>483.07</v>
          </cell>
          <cell r="U411" t="str">
            <v>Pièces</v>
          </cell>
          <cell r="V411" t="str">
            <v>Chauffage, éclairage</v>
          </cell>
          <cell r="W411" t="str">
            <v>$</v>
          </cell>
          <cell r="X411">
            <v>0</v>
          </cell>
        </row>
        <row r="412">
          <cell r="C412">
            <v>39000</v>
          </cell>
          <cell r="O412">
            <v>6500</v>
          </cell>
          <cell r="U412" t="str">
            <v>Pièces</v>
          </cell>
          <cell r="V412" t="str">
            <v>Loyer</v>
          </cell>
          <cell r="W412" t="str">
            <v>$</v>
          </cell>
          <cell r="X412">
            <v>0</v>
          </cell>
        </row>
        <row r="413">
          <cell r="C413">
            <v>6406.5</v>
          </cell>
          <cell r="O413">
            <v>1067.75</v>
          </cell>
          <cell r="U413" t="str">
            <v>Pièces</v>
          </cell>
          <cell r="V413" t="str">
            <v>Assurances</v>
          </cell>
          <cell r="W413" t="str">
            <v>$</v>
          </cell>
          <cell r="X413">
            <v>0</v>
          </cell>
        </row>
        <row r="414">
          <cell r="C414">
            <v>7395</v>
          </cell>
          <cell r="O414">
            <v>1232.5</v>
          </cell>
          <cell r="U414" t="str">
            <v>Pièces</v>
          </cell>
          <cell r="V414" t="str">
            <v>Taxes foncières</v>
          </cell>
          <cell r="W414" t="str">
            <v>$</v>
          </cell>
          <cell r="X414">
            <v>0</v>
          </cell>
        </row>
        <row r="415">
          <cell r="C415">
            <v>4920</v>
          </cell>
          <cell r="O415">
            <v>820</v>
          </cell>
          <cell r="U415" t="str">
            <v>Pièces</v>
          </cell>
          <cell r="V415" t="str">
            <v>Taxes d`affaires</v>
          </cell>
          <cell r="W415" t="str">
            <v>$</v>
          </cell>
          <cell r="X415">
            <v>0</v>
          </cell>
        </row>
        <row r="416">
          <cell r="C416">
            <v>9184.98</v>
          </cell>
          <cell r="O416">
            <v>1530.83</v>
          </cell>
          <cell r="U416" t="str">
            <v>Pièces</v>
          </cell>
          <cell r="V416" t="str">
            <v>Honoraires</v>
          </cell>
          <cell r="W416" t="str">
            <v>$</v>
          </cell>
          <cell r="X416">
            <v>0</v>
          </cell>
        </row>
        <row r="417">
          <cell r="C417">
            <v>-269859.84999999998</v>
          </cell>
          <cell r="O417">
            <v>-69130</v>
          </cell>
          <cell r="U417" t="str">
            <v>Véhicules neufs</v>
          </cell>
          <cell r="V417" t="str">
            <v>Holdbacks</v>
          </cell>
          <cell r="W417" t="str">
            <v>$</v>
          </cell>
          <cell r="X417">
            <v>0</v>
          </cell>
        </row>
        <row r="418">
          <cell r="C418">
            <v>-29317.14</v>
          </cell>
          <cell r="O418">
            <v>-7457.71</v>
          </cell>
          <cell r="U418" t="str">
            <v>Pièces</v>
          </cell>
          <cell r="V418" t="str">
            <v>Escomptes</v>
          </cell>
          <cell r="W418" t="str">
            <v>$</v>
          </cell>
          <cell r="X418">
            <v>0</v>
          </cell>
        </row>
        <row r="419">
          <cell r="C419">
            <v>-22000</v>
          </cell>
          <cell r="O419">
            <v>0</v>
          </cell>
          <cell r="U419" t="str">
            <v>Véhicules neufs</v>
          </cell>
          <cell r="V419" t="str">
            <v>Programme neuf 1</v>
          </cell>
          <cell r="W419" t="str">
            <v>$</v>
          </cell>
          <cell r="X419">
            <v>0</v>
          </cell>
        </row>
        <row r="420">
          <cell r="C420">
            <v>-50356.42</v>
          </cell>
          <cell r="O420">
            <v>-11062</v>
          </cell>
          <cell r="U420" t="str">
            <v>Véhicules neufs</v>
          </cell>
          <cell r="V420" t="str">
            <v>Rev. Finances</v>
          </cell>
          <cell r="W420" t="str">
            <v>$</v>
          </cell>
          <cell r="X420" t="str">
            <v>Oui</v>
          </cell>
        </row>
        <row r="421">
          <cell r="C421">
            <v>-246260.67</v>
          </cell>
          <cell r="O421">
            <v>-22117.82</v>
          </cell>
          <cell r="U421" t="str">
            <v>Véhicules usagés</v>
          </cell>
          <cell r="V421" t="str">
            <v>Rev. Finances</v>
          </cell>
          <cell r="W421" t="str">
            <v>$</v>
          </cell>
          <cell r="X421" t="str">
            <v>Oui</v>
          </cell>
        </row>
        <row r="422">
          <cell r="C422">
            <v>-3874.97</v>
          </cell>
          <cell r="O422">
            <v>-1430.94</v>
          </cell>
          <cell r="U422" t="str">
            <v>Véhicules neufs</v>
          </cell>
          <cell r="V422" t="str">
            <v>Rev. Autres</v>
          </cell>
          <cell r="W422" t="str">
            <v>$</v>
          </cell>
          <cell r="X422" t="str">
            <v>Oui</v>
          </cell>
        </row>
        <row r="423">
          <cell r="C423">
            <v>-13309.02</v>
          </cell>
          <cell r="O423">
            <v>-1632.6</v>
          </cell>
          <cell r="U423" t="str">
            <v>Véhicules usagés</v>
          </cell>
          <cell r="V423" t="str">
            <v>Rev. Autres</v>
          </cell>
          <cell r="W423" t="str">
            <v>$</v>
          </cell>
          <cell r="X423" t="str">
            <v>Oui</v>
          </cell>
        </row>
        <row r="424">
          <cell r="C424">
            <v>-35935</v>
          </cell>
          <cell r="O424">
            <v>-8101</v>
          </cell>
          <cell r="U424" t="str">
            <v>Véhicules neufs</v>
          </cell>
          <cell r="V424" t="str">
            <v>Rev. Protections</v>
          </cell>
          <cell r="W424" t="str">
            <v>$</v>
          </cell>
          <cell r="X424" t="str">
            <v>Oui</v>
          </cell>
        </row>
        <row r="425">
          <cell r="C425">
            <v>-178380.25</v>
          </cell>
          <cell r="O425">
            <v>-47212.3</v>
          </cell>
          <cell r="U425" t="str">
            <v>Véhicules neufs</v>
          </cell>
          <cell r="V425" t="str">
            <v>Rev. Protections</v>
          </cell>
          <cell r="W425" t="str">
            <v>$</v>
          </cell>
          <cell r="X425" t="str">
            <v>Oui</v>
          </cell>
        </row>
        <row r="426">
          <cell r="C426">
            <v>-160795.45000000001</v>
          </cell>
          <cell r="O426">
            <v>-23488</v>
          </cell>
          <cell r="U426" t="str">
            <v>Véhicules usagés</v>
          </cell>
          <cell r="V426" t="str">
            <v>Rev. Protections</v>
          </cell>
          <cell r="W426" t="str">
            <v>$</v>
          </cell>
          <cell r="X426" t="str">
            <v>Oui</v>
          </cell>
        </row>
        <row r="427">
          <cell r="C427">
            <v>-96999.08</v>
          </cell>
          <cell r="O427">
            <v>-17590.5</v>
          </cell>
          <cell r="U427" t="str">
            <v>Véhicules usagés</v>
          </cell>
          <cell r="V427" t="str">
            <v>Rev. Protections</v>
          </cell>
          <cell r="W427" t="str">
            <v>$</v>
          </cell>
          <cell r="X427" t="str">
            <v>Oui</v>
          </cell>
        </row>
        <row r="428">
          <cell r="C428">
            <v>-82955</v>
          </cell>
          <cell r="O428">
            <v>-20382</v>
          </cell>
          <cell r="U428" t="str">
            <v>Véhicules neufs</v>
          </cell>
          <cell r="V428" t="str">
            <v>Frais administration</v>
          </cell>
          <cell r="W428" t="str">
            <v>$</v>
          </cell>
          <cell r="X428">
            <v>0</v>
          </cell>
        </row>
        <row r="429">
          <cell r="C429">
            <v>-59958.49</v>
          </cell>
          <cell r="O429">
            <v>-14183</v>
          </cell>
          <cell r="U429" t="str">
            <v>Véhicules usagés</v>
          </cell>
          <cell r="V429" t="str">
            <v>Frais administration</v>
          </cell>
          <cell r="W429" t="str">
            <v>$</v>
          </cell>
          <cell r="X429">
            <v>0</v>
          </cell>
        </row>
        <row r="430">
          <cell r="C430">
            <v>-141849.5</v>
          </cell>
          <cell r="O430">
            <v>-69252.02</v>
          </cell>
          <cell r="U430" t="str">
            <v>TOTAL  DES  REVENUS  ET  DÉPENSES</v>
          </cell>
          <cell r="V430" t="str">
            <v>Revenus autres</v>
          </cell>
          <cell r="W430" t="str">
            <v>$</v>
          </cell>
          <cell r="X430">
            <v>0</v>
          </cell>
        </row>
        <row r="431">
          <cell r="C431">
            <v>1800</v>
          </cell>
          <cell r="O431">
            <v>300</v>
          </cell>
          <cell r="U431" t="str">
            <v>TOTAL  DES  REVENUS  ET  DÉPENSES</v>
          </cell>
          <cell r="V431" t="str">
            <v>Intérêts sur prêt</v>
          </cell>
          <cell r="W431" t="str">
            <v>$</v>
          </cell>
          <cell r="X431">
            <v>0</v>
          </cell>
        </row>
        <row r="432">
          <cell r="C432">
            <v>760.74</v>
          </cell>
          <cell r="O432">
            <v>126.79</v>
          </cell>
          <cell r="U432" t="str">
            <v>TOTAL  DES  REVENUS  ET  DÉPENSES</v>
          </cell>
          <cell r="V432" t="str">
            <v>Intérêts sur prêt</v>
          </cell>
          <cell r="W432" t="str">
            <v>$</v>
          </cell>
          <cell r="X432">
            <v>0</v>
          </cell>
        </row>
        <row r="433">
          <cell r="C433">
            <v>43488.75</v>
          </cell>
          <cell r="O433">
            <v>-43488.75</v>
          </cell>
          <cell r="U433" t="str">
            <v>TOTAL  DES  REVENUS  ET  DÉPENSES</v>
          </cell>
          <cell r="V433" t="str">
            <v>Frais bancaires</v>
          </cell>
          <cell r="W433" t="str">
            <v>$</v>
          </cell>
          <cell r="X433">
            <v>0</v>
          </cell>
        </row>
        <row r="434">
          <cell r="O434">
            <v>-3</v>
          </cell>
          <cell r="U434" t="str">
            <v>Véhicules usagés</v>
          </cell>
          <cell r="V434">
            <v>0</v>
          </cell>
          <cell r="W434" t="str">
            <v>NB</v>
          </cell>
          <cell r="X434">
            <v>0</v>
          </cell>
        </row>
        <row r="435">
          <cell r="O435">
            <v>-18</v>
          </cell>
          <cell r="U435" t="str">
            <v>Véhicules usagés</v>
          </cell>
          <cell r="V435">
            <v>0</v>
          </cell>
          <cell r="W435" t="str">
            <v>NB</v>
          </cell>
          <cell r="X435">
            <v>0</v>
          </cell>
        </row>
        <row r="436">
          <cell r="O436">
            <v>23</v>
          </cell>
          <cell r="U436" t="str">
            <v>Bilan</v>
          </cell>
          <cell r="V436">
            <v>0</v>
          </cell>
          <cell r="W436" t="str">
            <v>NB</v>
          </cell>
          <cell r="X436">
            <v>0</v>
          </cell>
        </row>
        <row r="437">
          <cell r="O437">
            <v>-12</v>
          </cell>
          <cell r="U437" t="str">
            <v>Bilan</v>
          </cell>
          <cell r="V437">
            <v>0</v>
          </cell>
          <cell r="W437" t="str">
            <v>NB</v>
          </cell>
          <cell r="X437">
            <v>0</v>
          </cell>
        </row>
        <row r="438">
          <cell r="O438">
            <v>-24</v>
          </cell>
          <cell r="U438" t="str">
            <v>Véhicules neufs</v>
          </cell>
          <cell r="V438" t="str">
            <v>Rachat bail</v>
          </cell>
          <cell r="W438" t="str">
            <v>NB</v>
          </cell>
          <cell r="X438">
            <v>0</v>
          </cell>
        </row>
        <row r="439">
          <cell r="O439">
            <v>0</v>
          </cell>
          <cell r="U439" t="str">
            <v>Véhicules neufs</v>
          </cell>
          <cell r="V439" t="str">
            <v>Autos détail</v>
          </cell>
          <cell r="W439" t="str">
            <v>NB</v>
          </cell>
          <cell r="X439">
            <v>0</v>
          </cell>
        </row>
        <row r="440">
          <cell r="O440">
            <v>-6</v>
          </cell>
          <cell r="U440" t="str">
            <v>Véhicules neufs</v>
          </cell>
          <cell r="V440" t="str">
            <v>Autos détail</v>
          </cell>
          <cell r="W440" t="str">
            <v>NB</v>
          </cell>
          <cell r="X440">
            <v>0</v>
          </cell>
        </row>
        <row r="441">
          <cell r="O441">
            <v>-11</v>
          </cell>
          <cell r="U441" t="str">
            <v>Véhicules neufs</v>
          </cell>
          <cell r="V441" t="str">
            <v>Camions détail</v>
          </cell>
          <cell r="W441" t="str">
            <v>NB</v>
          </cell>
          <cell r="X441">
            <v>0</v>
          </cell>
        </row>
        <row r="442">
          <cell r="O442">
            <v>-10</v>
          </cell>
          <cell r="U442" t="str">
            <v>Véhicules neufs</v>
          </cell>
          <cell r="V442" t="str">
            <v>Camions détail</v>
          </cell>
          <cell r="W442" t="str">
            <v>NB</v>
          </cell>
          <cell r="X442">
            <v>0</v>
          </cell>
        </row>
        <row r="443">
          <cell r="O443">
            <v>0</v>
          </cell>
          <cell r="U443" t="str">
            <v>Véhicules neufs</v>
          </cell>
          <cell r="V443" t="str">
            <v>Camions détail</v>
          </cell>
          <cell r="W443" t="str">
            <v>NB</v>
          </cell>
          <cell r="X443">
            <v>0</v>
          </cell>
        </row>
        <row r="444">
          <cell r="O444">
            <v>-3</v>
          </cell>
          <cell r="U444" t="str">
            <v>Véhicules neufs</v>
          </cell>
          <cell r="V444" t="str">
            <v>Autos détail</v>
          </cell>
          <cell r="W444" t="str">
            <v>NB</v>
          </cell>
          <cell r="X444">
            <v>0</v>
          </cell>
        </row>
        <row r="445">
          <cell r="O445">
            <v>-16</v>
          </cell>
          <cell r="U445" t="str">
            <v>Véhicules neufs</v>
          </cell>
          <cell r="V445" t="str">
            <v>Camions détail</v>
          </cell>
          <cell r="W445" t="str">
            <v>NB</v>
          </cell>
          <cell r="X445">
            <v>0</v>
          </cell>
        </row>
        <row r="446">
          <cell r="O446">
            <v>-2</v>
          </cell>
          <cell r="U446" t="str">
            <v>Véhicules neufs</v>
          </cell>
          <cell r="V446" t="str">
            <v>Flottes</v>
          </cell>
          <cell r="W446" t="str">
            <v>NB</v>
          </cell>
          <cell r="X446">
            <v>0</v>
          </cell>
        </row>
        <row r="447">
          <cell r="O447">
            <v>-3</v>
          </cell>
          <cell r="U447" t="str">
            <v>Véhicules neufs</v>
          </cell>
          <cell r="V447" t="str">
            <v>Ex-Démos et courtoisies</v>
          </cell>
          <cell r="W447" t="str">
            <v>NB</v>
          </cell>
          <cell r="X447">
            <v>0</v>
          </cell>
        </row>
        <row r="448">
          <cell r="O448">
            <v>-4</v>
          </cell>
          <cell r="U448" t="str">
            <v>Véhicules neufs</v>
          </cell>
          <cell r="V448" t="str">
            <v>Autos détail</v>
          </cell>
          <cell r="W448" t="str">
            <v>NB</v>
          </cell>
          <cell r="X448">
            <v>0</v>
          </cell>
        </row>
        <row r="449">
          <cell r="O449">
            <v>-39</v>
          </cell>
          <cell r="U449" t="str">
            <v>Véhicules usagés</v>
          </cell>
          <cell r="V449" t="str">
            <v>Certifié</v>
          </cell>
          <cell r="W449" t="str">
            <v>NB</v>
          </cell>
          <cell r="X449">
            <v>0</v>
          </cell>
        </row>
        <row r="450">
          <cell r="O450">
            <v>0</v>
          </cell>
          <cell r="U450" t="str">
            <v>Véhicules usagés</v>
          </cell>
          <cell r="V450" t="str">
            <v>Non Certifié</v>
          </cell>
          <cell r="W450" t="str">
            <v>NB</v>
          </cell>
          <cell r="X450">
            <v>0</v>
          </cell>
        </row>
        <row r="451">
          <cell r="O451">
            <v>-39</v>
          </cell>
          <cell r="U451" t="str">
            <v>Véhicules usagés</v>
          </cell>
          <cell r="V451" t="str">
            <v>Ventes au Gros</v>
          </cell>
          <cell r="W451" t="str">
            <v>NB</v>
          </cell>
          <cell r="X451">
            <v>0</v>
          </cell>
        </row>
        <row r="452">
          <cell r="O452">
            <v>-357</v>
          </cell>
          <cell r="U452" t="str">
            <v>Service</v>
          </cell>
          <cell r="V452" t="str">
            <v>M/O Client</v>
          </cell>
          <cell r="W452" t="str">
            <v>NB</v>
          </cell>
          <cell r="X452">
            <v>0</v>
          </cell>
        </row>
        <row r="453">
          <cell r="O453">
            <v>-185</v>
          </cell>
          <cell r="U453" t="str">
            <v>Service</v>
          </cell>
          <cell r="V453" t="str">
            <v>M/O Garantie</v>
          </cell>
          <cell r="W453" t="str">
            <v>NB</v>
          </cell>
          <cell r="X453">
            <v>0</v>
          </cell>
        </row>
        <row r="454">
          <cell r="O454">
            <v>-223</v>
          </cell>
          <cell r="U454" t="str">
            <v>Service</v>
          </cell>
          <cell r="V454" t="str">
            <v>M/O Interne</v>
          </cell>
          <cell r="W454" t="str">
            <v>NB</v>
          </cell>
          <cell r="X454">
            <v>0</v>
          </cell>
        </row>
        <row r="455">
          <cell r="O455">
            <v>-384</v>
          </cell>
          <cell r="U455" t="str">
            <v>Pièces</v>
          </cell>
          <cell r="V455" t="str">
            <v>Huiles et Graisse</v>
          </cell>
          <cell r="W455" t="str">
            <v>NB</v>
          </cell>
          <cell r="X455">
            <v>0</v>
          </cell>
        </row>
        <row r="456">
          <cell r="O456">
            <v>-14</v>
          </cell>
          <cell r="U456" t="str">
            <v>Service</v>
          </cell>
          <cell r="V456" t="str">
            <v>Sous-traitement</v>
          </cell>
          <cell r="W456" t="str">
            <v>NB</v>
          </cell>
          <cell r="X456">
            <v>0</v>
          </cell>
        </row>
        <row r="457">
          <cell r="O457">
            <v>-4</v>
          </cell>
          <cell r="U457" t="str">
            <v>Service</v>
          </cell>
          <cell r="V457" t="str">
            <v>Sous-traitement</v>
          </cell>
          <cell r="W457" t="str">
            <v>NB</v>
          </cell>
          <cell r="X457">
            <v>0</v>
          </cell>
        </row>
        <row r="458">
          <cell r="O458">
            <v>-114</v>
          </cell>
          <cell r="U458" t="str">
            <v>Service</v>
          </cell>
          <cell r="V458" t="str">
            <v>Sous-traitement</v>
          </cell>
          <cell r="W458" t="str">
            <v>NB</v>
          </cell>
          <cell r="X458">
            <v>0</v>
          </cell>
        </row>
        <row r="459">
          <cell r="O459">
            <v>0</v>
          </cell>
          <cell r="U459" t="str">
            <v>Carrosserie</v>
          </cell>
          <cell r="V459" t="str">
            <v>M/O Sous-traitement</v>
          </cell>
          <cell r="W459" t="str">
            <v>NB</v>
          </cell>
          <cell r="X459">
            <v>0</v>
          </cell>
        </row>
        <row r="460">
          <cell r="O460">
            <v>-19</v>
          </cell>
          <cell r="U460" t="str">
            <v>Carrosserie</v>
          </cell>
          <cell r="V460" t="str">
            <v>M/O Sous-traitement</v>
          </cell>
          <cell r="W460" t="str">
            <v>NB</v>
          </cell>
          <cell r="X460">
            <v>0</v>
          </cell>
        </row>
        <row r="461">
          <cell r="O461">
            <v>-15</v>
          </cell>
          <cell r="U461" t="str">
            <v>Carrosserie</v>
          </cell>
          <cell r="V461" t="str">
            <v>M/O Sous-traitement</v>
          </cell>
          <cell r="W461" t="str">
            <v>NB</v>
          </cell>
          <cell r="X461">
            <v>0</v>
          </cell>
        </row>
        <row r="462">
          <cell r="O462">
            <v>-6</v>
          </cell>
          <cell r="U462" t="str">
            <v>Carrosserie</v>
          </cell>
          <cell r="V462" t="str">
            <v>M/O Sous-traitement</v>
          </cell>
          <cell r="W462" t="str">
            <v>NB</v>
          </cell>
          <cell r="X462">
            <v>0</v>
          </cell>
        </row>
        <row r="463">
          <cell r="O463">
            <v>-329</v>
          </cell>
          <cell r="U463" t="str">
            <v>Pièces</v>
          </cell>
          <cell r="V463" t="str">
            <v>Pièces Ro Clients</v>
          </cell>
          <cell r="W463" t="str">
            <v>NB</v>
          </cell>
          <cell r="X463">
            <v>0</v>
          </cell>
        </row>
        <row r="464">
          <cell r="O464">
            <v>-135</v>
          </cell>
          <cell r="U464" t="str">
            <v>Pièces</v>
          </cell>
          <cell r="V464" t="str">
            <v>P/A Garantie</v>
          </cell>
          <cell r="W464" t="str">
            <v>NB</v>
          </cell>
          <cell r="X464">
            <v>0</v>
          </cell>
        </row>
        <row r="465">
          <cell r="O465">
            <v>-257</v>
          </cell>
          <cell r="U465" t="str">
            <v>Pièces</v>
          </cell>
          <cell r="V465" t="str">
            <v>Ventes Internes</v>
          </cell>
          <cell r="W465" t="str">
            <v>NB</v>
          </cell>
          <cell r="X465">
            <v>0</v>
          </cell>
        </row>
        <row r="466">
          <cell r="O466">
            <v>-202</v>
          </cell>
          <cell r="U466" t="str">
            <v>Pièces</v>
          </cell>
          <cell r="V466" t="str">
            <v>Pièces Ro Clients</v>
          </cell>
          <cell r="W466" t="str">
            <v>NB</v>
          </cell>
          <cell r="X466">
            <v>0</v>
          </cell>
        </row>
        <row r="467">
          <cell r="O467">
            <v>0</v>
          </cell>
          <cell r="U467" t="str">
            <v>Pièces</v>
          </cell>
          <cell r="V467" t="str">
            <v>Ventes Internes</v>
          </cell>
          <cell r="W467" t="str">
            <v>NB</v>
          </cell>
          <cell r="X467">
            <v>0</v>
          </cell>
        </row>
        <row r="468">
          <cell r="O468">
            <v>-7</v>
          </cell>
          <cell r="U468" t="str">
            <v>Pièces</v>
          </cell>
          <cell r="V468" t="str">
            <v>Pièces Ro Carrosserie</v>
          </cell>
          <cell r="W468" t="str">
            <v>NB</v>
          </cell>
          <cell r="X468">
            <v>0</v>
          </cell>
        </row>
        <row r="469">
          <cell r="O469">
            <v>-13</v>
          </cell>
          <cell r="U469" t="str">
            <v>Pièces</v>
          </cell>
          <cell r="V469" t="str">
            <v>Pièces Ro Carrosserie</v>
          </cell>
          <cell r="W469" t="str">
            <v>NB</v>
          </cell>
          <cell r="X469">
            <v>0</v>
          </cell>
        </row>
        <row r="470">
          <cell r="O470">
            <v>-4</v>
          </cell>
          <cell r="U470" t="str">
            <v>Pièces</v>
          </cell>
          <cell r="V470" t="str">
            <v>Pièces Ro Carrosserie</v>
          </cell>
          <cell r="W470" t="str">
            <v>NB</v>
          </cell>
          <cell r="X470">
            <v>0</v>
          </cell>
        </row>
        <row r="471">
          <cell r="O471">
            <v>-137</v>
          </cell>
          <cell r="U471" t="str">
            <v>Pièces</v>
          </cell>
          <cell r="V471" t="str">
            <v>Ventes Détails</v>
          </cell>
          <cell r="W471" t="str">
            <v>NB</v>
          </cell>
          <cell r="X471">
            <v>0</v>
          </cell>
        </row>
        <row r="472">
          <cell r="O472">
            <v>-255</v>
          </cell>
          <cell r="U472" t="str">
            <v>Pièces</v>
          </cell>
          <cell r="V472" t="str">
            <v>Ventes de Gros</v>
          </cell>
          <cell r="W472" t="str">
            <v>NB</v>
          </cell>
          <cell r="X472">
            <v>0</v>
          </cell>
        </row>
        <row r="473">
          <cell r="O473">
            <v>-33</v>
          </cell>
          <cell r="U473" t="str">
            <v>Pièces</v>
          </cell>
          <cell r="V473" t="str">
            <v>Ventes Pneus</v>
          </cell>
          <cell r="W473" t="str">
            <v>NB</v>
          </cell>
          <cell r="X473">
            <v>0</v>
          </cell>
        </row>
        <row r="474">
          <cell r="O474">
            <v>0</v>
          </cell>
          <cell r="U474" t="str">
            <v>Véhicules neufs</v>
          </cell>
          <cell r="V474">
            <v>0</v>
          </cell>
          <cell r="W474" t="str">
            <v>NB</v>
          </cell>
          <cell r="X474">
            <v>0</v>
          </cell>
        </row>
        <row r="475">
          <cell r="O475">
            <v>-18</v>
          </cell>
          <cell r="U475" t="str">
            <v>Véhicules usagés</v>
          </cell>
          <cell r="V475">
            <v>0</v>
          </cell>
          <cell r="W475" t="str">
            <v>NB</v>
          </cell>
          <cell r="X475">
            <v>0</v>
          </cell>
        </row>
        <row r="476">
          <cell r="O476">
            <v>-37</v>
          </cell>
          <cell r="U476" t="str">
            <v>Véhicules usagés</v>
          </cell>
          <cell r="V476">
            <v>0</v>
          </cell>
          <cell r="W476" t="str">
            <v>NB</v>
          </cell>
          <cell r="X476">
            <v>0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Capex"/>
      <sheetName val="Inventaire_Used"/>
      <sheetName val="Inventaire_Neuf"/>
      <sheetName val="2pager"/>
      <sheetName val="Chart1"/>
      <sheetName val="Print_Mois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Juin</v>
          </cell>
        </row>
        <row r="4">
          <cell r="B4">
            <v>2023</v>
          </cell>
        </row>
      </sheetData>
      <sheetData sheetId="1" refreshError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>X</v>
          </cell>
          <cell r="V2" t="str">
            <v>O</v>
          </cell>
          <cell r="W2" t="str">
            <v>U</v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2023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29441341.037888002</v>
          </cell>
          <cell r="H8">
            <v>2058973.8726521598</v>
          </cell>
          <cell r="K8">
            <v>1513988.9676628113</v>
          </cell>
          <cell r="N8">
            <v>2694522.6091783307</v>
          </cell>
          <cell r="Q8">
            <v>2946054.1037888005</v>
          </cell>
          <cell r="T8">
            <v>3239507.5141676795</v>
          </cell>
          <cell r="W8">
            <v>2275303.4514942169</v>
          </cell>
          <cell r="Z8">
            <v>2357227.2830310399</v>
          </cell>
          <cell r="AC8">
            <v>2438191.1145678628</v>
          </cell>
          <cell r="AF8">
            <v>2522034.9461046858</v>
          </cell>
          <cell r="AI8">
            <v>2898372.1880203886</v>
          </cell>
          <cell r="AL8">
            <v>3024137.9353256226</v>
          </cell>
          <cell r="AO8">
            <v>1473027.0518944003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125.6</v>
          </cell>
          <cell r="D9">
            <v>1988.434</v>
          </cell>
          <cell r="E9">
            <v>249747.31039999999</v>
          </cell>
          <cell r="F9">
            <v>8.7919999999999998</v>
          </cell>
          <cell r="G9">
            <v>1988.4340000000002</v>
          </cell>
          <cell r="H9">
            <v>17482.311728000001</v>
          </cell>
          <cell r="I9">
            <v>6.4594285714285711</v>
          </cell>
          <cell r="J9">
            <v>1988.4340000000002</v>
          </cell>
          <cell r="K9">
            <v>12844.147392000001</v>
          </cell>
          <cell r="L9">
            <v>11.48342857142857</v>
          </cell>
          <cell r="M9">
            <v>1988.4340000000004</v>
          </cell>
          <cell r="N9">
            <v>22834.039808000001</v>
          </cell>
          <cell r="O9">
            <v>12.56</v>
          </cell>
          <cell r="P9">
            <v>1988.4340000000002</v>
          </cell>
          <cell r="Q9">
            <v>24974.731040000002</v>
          </cell>
          <cell r="R9">
            <v>13.815999999999999</v>
          </cell>
          <cell r="S9">
            <v>1988.4340000000002</v>
          </cell>
          <cell r="T9">
            <v>27472.204143999999</v>
          </cell>
          <cell r="U9">
            <v>9.6891428571428566</v>
          </cell>
          <cell r="V9">
            <v>1988.4340000000004</v>
          </cell>
          <cell r="W9">
            <v>19266.221088000002</v>
          </cell>
          <cell r="X9">
            <v>10.048</v>
          </cell>
          <cell r="Y9">
            <v>1988.4340000000002</v>
          </cell>
          <cell r="Z9">
            <v>19979.784832000001</v>
          </cell>
          <cell r="AA9">
            <v>10.406857142857142</v>
          </cell>
          <cell r="AB9">
            <v>1988.4340000000002</v>
          </cell>
          <cell r="AC9">
            <v>20693.348576</v>
          </cell>
          <cell r="AD9">
            <v>10.765714285714285</v>
          </cell>
          <cell r="AE9">
            <v>1988.434</v>
          </cell>
          <cell r="AF9">
            <v>21406.912319999999</v>
          </cell>
          <cell r="AG9">
            <v>12.380571428571429</v>
          </cell>
          <cell r="AH9">
            <v>1988.4340000000002</v>
          </cell>
          <cell r="AI9">
            <v>24617.949168000003</v>
          </cell>
          <cell r="AJ9">
            <v>12.918857142857142</v>
          </cell>
          <cell r="AK9">
            <v>1988.4340000000002</v>
          </cell>
          <cell r="AL9">
            <v>25688.294784000002</v>
          </cell>
          <cell r="AM9">
            <v>6.28</v>
          </cell>
          <cell r="AN9">
            <v>1988.4340000000002</v>
          </cell>
          <cell r="AO9">
            <v>12487.365520000001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502.34976</v>
          </cell>
          <cell r="D10">
            <v>2556.333633363336</v>
          </cell>
          <cell r="E10">
            <v>1284173.5872</v>
          </cell>
          <cell r="F10">
            <v>35.164483200000006</v>
          </cell>
          <cell r="G10">
            <v>2556.333633363336</v>
          </cell>
          <cell r="H10">
            <v>89892.151104000004</v>
          </cell>
          <cell r="I10">
            <v>25.835130514285716</v>
          </cell>
          <cell r="J10">
            <v>2556.333633363336</v>
          </cell>
          <cell r="K10">
            <v>66043.213055999993</v>
          </cell>
          <cell r="L10">
            <v>45.929120914285718</v>
          </cell>
          <cell r="M10">
            <v>2556.333633363336</v>
          </cell>
          <cell r="N10">
            <v>117410.156544</v>
          </cell>
          <cell r="O10">
            <v>50.23497600000001</v>
          </cell>
          <cell r="P10">
            <v>2556.333633363336</v>
          </cell>
          <cell r="Q10">
            <v>128417.35872000002</v>
          </cell>
          <cell r="R10">
            <v>55.258473600000009</v>
          </cell>
          <cell r="S10">
            <v>2556.333633363336</v>
          </cell>
          <cell r="T10">
            <v>141259.09459200001</v>
          </cell>
          <cell r="U10">
            <v>38.752695771428577</v>
          </cell>
          <cell r="V10">
            <v>2556.333633363336</v>
          </cell>
          <cell r="W10">
            <v>99064.819583999997</v>
          </cell>
          <cell r="X10">
            <v>40.187980800000005</v>
          </cell>
          <cell r="Y10">
            <v>2556.333633363336</v>
          </cell>
          <cell r="Z10">
            <v>102733.88697600001</v>
          </cell>
          <cell r="AA10">
            <v>41.623265828571434</v>
          </cell>
          <cell r="AB10">
            <v>2556.333633363336</v>
          </cell>
          <cell r="AC10">
            <v>106402.95436800001</v>
          </cell>
          <cell r="AD10">
            <v>43.058550857142862</v>
          </cell>
          <cell r="AE10">
            <v>2556.333633363336</v>
          </cell>
          <cell r="AF10">
            <v>110072.02176</v>
          </cell>
          <cell r="AG10">
            <v>49.517333485714296</v>
          </cell>
          <cell r="AH10">
            <v>2556.333633363336</v>
          </cell>
          <cell r="AI10">
            <v>126582.82502400002</v>
          </cell>
          <cell r="AJ10">
            <v>51.670261028571431</v>
          </cell>
          <cell r="AK10">
            <v>2556.333633363336</v>
          </cell>
          <cell r="AL10">
            <v>132086.42611199999</v>
          </cell>
          <cell r="AM10">
            <v>25.117488000000005</v>
          </cell>
          <cell r="AN10">
            <v>2556.333633363336</v>
          </cell>
          <cell r="AO10">
            <v>64208.679360000009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627.94975999999997</v>
          </cell>
          <cell r="D16">
            <v>2442.7446195695657</v>
          </cell>
          <cell r="E16">
            <v>1533920.8976</v>
          </cell>
          <cell r="F16">
            <v>43.956483200000008</v>
          </cell>
          <cell r="G16">
            <v>2442.7446195695652</v>
          </cell>
          <cell r="H16">
            <v>107374.462832</v>
          </cell>
          <cell r="I16">
            <v>32.294559085714283</v>
          </cell>
          <cell r="J16">
            <v>2442.7446195695657</v>
          </cell>
          <cell r="K16">
            <v>78887.360447999992</v>
          </cell>
          <cell r="L16">
            <v>57.412549485714287</v>
          </cell>
          <cell r="M16">
            <v>2442.7446195695657</v>
          </cell>
          <cell r="N16">
            <v>140244.196352</v>
          </cell>
          <cell r="O16">
            <v>62.794976000000013</v>
          </cell>
          <cell r="P16">
            <v>2442.7446195695657</v>
          </cell>
          <cell r="Q16">
            <v>153392.08976000003</v>
          </cell>
          <cell r="R16">
            <v>69.074473600000005</v>
          </cell>
          <cell r="S16">
            <v>2442.7446195695652</v>
          </cell>
          <cell r="T16">
            <v>168731.298736</v>
          </cell>
          <cell r="U16">
            <v>48.441838628571432</v>
          </cell>
          <cell r="V16">
            <v>2442.7446195695657</v>
          </cell>
          <cell r="W16">
            <v>118331.040672</v>
          </cell>
          <cell r="X16">
            <v>50.235980800000007</v>
          </cell>
          <cell r="Y16">
            <v>2442.7446195695657</v>
          </cell>
          <cell r="Z16">
            <v>122713.67180800001</v>
          </cell>
          <cell r="AA16">
            <v>52.030122971428575</v>
          </cell>
          <cell r="AB16">
            <v>2442.7446195695657</v>
          </cell>
          <cell r="AC16">
            <v>127096.30294400001</v>
          </cell>
          <cell r="AD16">
            <v>53.824265142857143</v>
          </cell>
          <cell r="AE16">
            <v>2442.7446195695657</v>
          </cell>
          <cell r="AF16">
            <v>131478.93408000001</v>
          </cell>
          <cell r="AG16">
            <v>61.897904914285725</v>
          </cell>
          <cell r="AH16">
            <v>2442.7446195695652</v>
          </cell>
          <cell r="AI16">
            <v>151200.77419200001</v>
          </cell>
          <cell r="AJ16">
            <v>64.589118171428566</v>
          </cell>
          <cell r="AK16">
            <v>2442.7446195695657</v>
          </cell>
          <cell r="AL16">
            <v>157774.72089599998</v>
          </cell>
          <cell r="AM16">
            <v>31.397488000000006</v>
          </cell>
          <cell r="AN16">
            <v>2442.7446195695657</v>
          </cell>
          <cell r="AO16">
            <v>76696.044880000016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30.000000000000004</v>
          </cell>
          <cell r="D18">
            <v>2442.5491999999995</v>
          </cell>
          <cell r="E18">
            <v>73276.475999999995</v>
          </cell>
          <cell r="F18">
            <v>2.1</v>
          </cell>
          <cell r="G18">
            <v>2442.5491999999999</v>
          </cell>
          <cell r="H18">
            <v>5129.3533200000002</v>
          </cell>
          <cell r="I18">
            <v>1.5428571428571429</v>
          </cell>
          <cell r="J18">
            <v>2442.5491999999999</v>
          </cell>
          <cell r="K18">
            <v>3768.5044800000001</v>
          </cell>
          <cell r="L18">
            <v>2.7428571428571429</v>
          </cell>
          <cell r="M18">
            <v>2442.5491999999999</v>
          </cell>
          <cell r="N18">
            <v>6699.5635199999997</v>
          </cell>
          <cell r="O18">
            <v>3</v>
          </cell>
          <cell r="P18">
            <v>2442.5491999999999</v>
          </cell>
          <cell r="Q18">
            <v>7327.6476000000002</v>
          </cell>
          <cell r="R18">
            <v>3.3</v>
          </cell>
          <cell r="S18">
            <v>2442.5491999999999</v>
          </cell>
          <cell r="T18">
            <v>8060.4123599999994</v>
          </cell>
          <cell r="U18">
            <v>2.3142857142857141</v>
          </cell>
          <cell r="V18">
            <v>2442.5491999999999</v>
          </cell>
          <cell r="W18">
            <v>5652.7567199999994</v>
          </cell>
          <cell r="X18">
            <v>2.4</v>
          </cell>
          <cell r="Y18">
            <v>2442.5491999999999</v>
          </cell>
          <cell r="Z18">
            <v>5862.1180799999993</v>
          </cell>
          <cell r="AA18">
            <v>2.4857142857142858</v>
          </cell>
          <cell r="AB18">
            <v>2442.5491999999999</v>
          </cell>
          <cell r="AC18">
            <v>6071.4794400000001</v>
          </cell>
          <cell r="AD18">
            <v>2.5714285714285716</v>
          </cell>
          <cell r="AE18">
            <v>2442.5491999999999</v>
          </cell>
          <cell r="AF18">
            <v>6280.8407999999999</v>
          </cell>
          <cell r="AG18">
            <v>2.9571428571428573</v>
          </cell>
          <cell r="AH18">
            <v>2442.5491999999999</v>
          </cell>
          <cell r="AI18">
            <v>7222.9669199999998</v>
          </cell>
          <cell r="AJ18">
            <v>3.0857142857142859</v>
          </cell>
          <cell r="AK18">
            <v>2442.5491999999999</v>
          </cell>
          <cell r="AL18">
            <v>7537.0089600000001</v>
          </cell>
          <cell r="AM18">
            <v>1.5</v>
          </cell>
          <cell r="AN18">
            <v>2442.5491999999999</v>
          </cell>
          <cell r="AO18">
            <v>3663.8238000000001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24</v>
          </cell>
          <cell r="D20">
            <v>2442.5491999999999</v>
          </cell>
          <cell r="E20">
            <v>58621.180800000002</v>
          </cell>
          <cell r="F20">
            <v>1.6800000000000002</v>
          </cell>
          <cell r="G20">
            <v>2442.5491999999999</v>
          </cell>
          <cell r="H20">
            <v>4103.4826560000001</v>
          </cell>
          <cell r="I20">
            <v>1.2342857142857142</v>
          </cell>
          <cell r="J20">
            <v>2442.5491999999999</v>
          </cell>
          <cell r="K20">
            <v>3014.8035839999998</v>
          </cell>
          <cell r="L20">
            <v>2.1942857142857144</v>
          </cell>
          <cell r="M20">
            <v>2442.5491999999999</v>
          </cell>
          <cell r="N20">
            <v>5359.6508160000003</v>
          </cell>
          <cell r="O20">
            <v>2.4000000000000004</v>
          </cell>
          <cell r="P20">
            <v>2442.5491999999999</v>
          </cell>
          <cell r="Q20">
            <v>5862.1180800000011</v>
          </cell>
          <cell r="R20">
            <v>2.64</v>
          </cell>
          <cell r="S20">
            <v>2442.5491999999999</v>
          </cell>
          <cell r="T20">
            <v>6448.3298880000002</v>
          </cell>
          <cell r="U20">
            <v>1.8514285714285714</v>
          </cell>
          <cell r="V20">
            <v>2442.5491999999999</v>
          </cell>
          <cell r="W20">
            <v>4522.2053759999999</v>
          </cell>
          <cell r="X20">
            <v>1.92</v>
          </cell>
          <cell r="Y20">
            <v>2442.5491999999995</v>
          </cell>
          <cell r="Z20">
            <v>4689.6944639999992</v>
          </cell>
          <cell r="AA20">
            <v>1.9885714285714284</v>
          </cell>
          <cell r="AB20">
            <v>2442.5491999999999</v>
          </cell>
          <cell r="AC20">
            <v>4857.1835519999995</v>
          </cell>
          <cell r="AD20">
            <v>2.0571428571428569</v>
          </cell>
          <cell r="AE20">
            <v>2442.5491999999999</v>
          </cell>
          <cell r="AF20">
            <v>5024.6726399999998</v>
          </cell>
          <cell r="AG20">
            <v>2.3657142857142857</v>
          </cell>
          <cell r="AH20">
            <v>2442.5491999999999</v>
          </cell>
          <cell r="AI20">
            <v>5778.3735360000001</v>
          </cell>
          <cell r="AJ20">
            <v>2.4685714285714284</v>
          </cell>
          <cell r="AK20">
            <v>2442.5491999999999</v>
          </cell>
          <cell r="AL20">
            <v>6029.6071679999995</v>
          </cell>
          <cell r="AM20">
            <v>1.2000000000000002</v>
          </cell>
          <cell r="AN20">
            <v>2442.5491999999999</v>
          </cell>
          <cell r="AO20">
            <v>2931.0590400000006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96000</v>
          </cell>
          <cell r="H22">
            <v>4800</v>
          </cell>
          <cell r="K22">
            <v>4800</v>
          </cell>
          <cell r="N22">
            <v>11520</v>
          </cell>
          <cell r="Q22">
            <v>11520</v>
          </cell>
          <cell r="T22">
            <v>11520</v>
          </cell>
          <cell r="W22">
            <v>11520</v>
          </cell>
          <cell r="Z22">
            <v>9600</v>
          </cell>
          <cell r="AC22">
            <v>6720.0000000000009</v>
          </cell>
          <cell r="AF22">
            <v>6720.0000000000009</v>
          </cell>
          <cell r="AI22">
            <v>5760</v>
          </cell>
          <cell r="AL22">
            <v>5760</v>
          </cell>
          <cell r="AO22">
            <v>5760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172</v>
          </cell>
          <cell r="E24">
            <v>113167.35872</v>
          </cell>
          <cell r="G24">
            <v>172</v>
          </cell>
          <cell r="H24">
            <v>7921.7151104000013</v>
          </cell>
          <cell r="J24">
            <v>172</v>
          </cell>
          <cell r="K24">
            <v>5820.0355913142857</v>
          </cell>
          <cell r="M24">
            <v>171.99999999999997</v>
          </cell>
          <cell r="N24">
            <v>10346.729940114285</v>
          </cell>
          <cell r="P24">
            <v>172</v>
          </cell>
          <cell r="Q24">
            <v>11316.735872000003</v>
          </cell>
          <cell r="S24">
            <v>172</v>
          </cell>
          <cell r="T24">
            <v>12448.4094592</v>
          </cell>
          <cell r="V24">
            <v>172</v>
          </cell>
          <cell r="W24">
            <v>8730.0533869714291</v>
          </cell>
          <cell r="Y24">
            <v>172</v>
          </cell>
          <cell r="Z24">
            <v>9053.3886976000013</v>
          </cell>
          <cell r="AB24">
            <v>171.99999999999997</v>
          </cell>
          <cell r="AC24">
            <v>9376.7240082285716</v>
          </cell>
          <cell r="AE24">
            <v>172</v>
          </cell>
          <cell r="AF24">
            <v>9700.059318857142</v>
          </cell>
          <cell r="AH24">
            <v>172</v>
          </cell>
          <cell r="AI24">
            <v>11155.068216685717</v>
          </cell>
          <cell r="AK24">
            <v>172</v>
          </cell>
          <cell r="AL24">
            <v>11640.071182628571</v>
          </cell>
          <cell r="AN24">
            <v>172</v>
          </cell>
          <cell r="AO24">
            <v>5658.3679360000015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946.00000000000011</v>
          </cell>
          <cell r="E25">
            <v>622420.47296000004</v>
          </cell>
          <cell r="G25">
            <v>945.99999999999989</v>
          </cell>
          <cell r="H25">
            <v>43569.433107200006</v>
          </cell>
          <cell r="J25">
            <v>946</v>
          </cell>
          <cell r="K25">
            <v>32010.19575222857</v>
          </cell>
          <cell r="M25">
            <v>946</v>
          </cell>
          <cell r="N25">
            <v>56907.014670628567</v>
          </cell>
          <cell r="P25">
            <v>946</v>
          </cell>
          <cell r="Q25">
            <v>62242.047296000019</v>
          </cell>
          <cell r="S25">
            <v>946</v>
          </cell>
          <cell r="T25">
            <v>68466.252025599999</v>
          </cell>
          <cell r="V25">
            <v>946</v>
          </cell>
          <cell r="W25">
            <v>48015.293628342864</v>
          </cell>
          <cell r="Y25">
            <v>946</v>
          </cell>
          <cell r="Z25">
            <v>49793.637836800008</v>
          </cell>
          <cell r="AB25">
            <v>946</v>
          </cell>
          <cell r="AC25">
            <v>51571.982045257151</v>
          </cell>
          <cell r="AE25">
            <v>946</v>
          </cell>
          <cell r="AF25">
            <v>53350.326253714287</v>
          </cell>
          <cell r="AH25">
            <v>946</v>
          </cell>
          <cell r="AI25">
            <v>61352.875191771447</v>
          </cell>
          <cell r="AK25">
            <v>946</v>
          </cell>
          <cell r="AL25">
            <v>64020.39150445714</v>
          </cell>
          <cell r="AN25">
            <v>946</v>
          </cell>
          <cell r="AO25">
            <v>31121.023648000009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29.000000000000004</v>
          </cell>
          <cell r="E26">
            <v>19080.54304</v>
          </cell>
          <cell r="G26">
            <v>29</v>
          </cell>
          <cell r="H26">
            <v>1335.6380128000003</v>
          </cell>
          <cell r="J26">
            <v>29</v>
          </cell>
          <cell r="K26">
            <v>981.28507062857136</v>
          </cell>
          <cell r="M26">
            <v>29</v>
          </cell>
          <cell r="N26">
            <v>1744.5067922285714</v>
          </cell>
          <cell r="P26">
            <v>29</v>
          </cell>
          <cell r="Q26">
            <v>1908.0543040000007</v>
          </cell>
          <cell r="S26">
            <v>29</v>
          </cell>
          <cell r="T26">
            <v>2098.8597344</v>
          </cell>
          <cell r="V26">
            <v>29</v>
          </cell>
          <cell r="W26">
            <v>1471.9276059428573</v>
          </cell>
          <cell r="Y26">
            <v>29.000000000000004</v>
          </cell>
          <cell r="Z26">
            <v>1526.4434432000003</v>
          </cell>
          <cell r="AB26">
            <v>29</v>
          </cell>
          <cell r="AC26">
            <v>1580.959280457143</v>
          </cell>
          <cell r="AE26">
            <v>29</v>
          </cell>
          <cell r="AF26">
            <v>1635.4751177142857</v>
          </cell>
          <cell r="AH26">
            <v>29</v>
          </cell>
          <cell r="AI26">
            <v>1880.7963853714291</v>
          </cell>
          <cell r="AK26">
            <v>29</v>
          </cell>
          <cell r="AL26">
            <v>1962.5701412571427</v>
          </cell>
          <cell r="AN26">
            <v>29</v>
          </cell>
          <cell r="AO26">
            <v>954.02715200000034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657.94975999999997</v>
          </cell>
          <cell r="D27">
            <v>1147.0000000000002</v>
          </cell>
          <cell r="E27">
            <v>754668.37472000008</v>
          </cell>
          <cell r="F27">
            <v>46.05648320000001</v>
          </cell>
          <cell r="G27">
            <v>1147</v>
          </cell>
          <cell r="H27">
            <v>52826.786230400008</v>
          </cell>
          <cell r="I27">
            <v>33.837416228571428</v>
          </cell>
          <cell r="J27">
            <v>1147</v>
          </cell>
          <cell r="K27">
            <v>38811.516414171427</v>
          </cell>
          <cell r="L27">
            <v>60.155406628571427</v>
          </cell>
          <cell r="M27">
            <v>1147</v>
          </cell>
          <cell r="N27">
            <v>68998.251402971422</v>
          </cell>
          <cell r="O27">
            <v>65.79497600000002</v>
          </cell>
          <cell r="P27">
            <v>1147</v>
          </cell>
          <cell r="Q27">
            <v>75466.837472000028</v>
          </cell>
          <cell r="R27">
            <v>72.374473600000002</v>
          </cell>
          <cell r="S27">
            <v>1147</v>
          </cell>
          <cell r="T27">
            <v>83013.521219200004</v>
          </cell>
          <cell r="U27">
            <v>50.756124342857149</v>
          </cell>
          <cell r="V27">
            <v>1147</v>
          </cell>
          <cell r="W27">
            <v>58217.274621257151</v>
          </cell>
          <cell r="X27">
            <v>52.635980800000006</v>
          </cell>
          <cell r="Y27">
            <v>1147</v>
          </cell>
          <cell r="Z27">
            <v>60373.469977600005</v>
          </cell>
          <cell r="AA27">
            <v>54.515837257142863</v>
          </cell>
          <cell r="AB27">
            <v>1147</v>
          </cell>
          <cell r="AC27">
            <v>62529.665333942867</v>
          </cell>
          <cell r="AD27">
            <v>56.395693714285713</v>
          </cell>
          <cell r="AE27">
            <v>1147</v>
          </cell>
          <cell r="AF27">
            <v>64685.860690285714</v>
          </cell>
          <cell r="AG27">
            <v>64.855047771428588</v>
          </cell>
          <cell r="AH27">
            <v>1147.0000000000002</v>
          </cell>
          <cell r="AI27">
            <v>74388.739793828601</v>
          </cell>
          <cell r="AJ27">
            <v>67.674832457142855</v>
          </cell>
          <cell r="AK27">
            <v>1147</v>
          </cell>
          <cell r="AL27">
            <v>77623.032828342853</v>
          </cell>
          <cell r="AM27">
            <v>32.89748800000001</v>
          </cell>
          <cell r="AN27">
            <v>1147</v>
          </cell>
          <cell r="AO27">
            <v>37733.418736000014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681.94975999999997</v>
          </cell>
          <cell r="D30">
            <v>3690.1353687990154</v>
          </cell>
          <cell r="E30">
            <v>2516486.92912</v>
          </cell>
          <cell r="F30">
            <v>47.736483200000009</v>
          </cell>
          <cell r="G30">
            <v>3649.9145592359005</v>
          </cell>
          <cell r="H30">
            <v>174234.08503839999</v>
          </cell>
          <cell r="I30">
            <v>35.071701942857139</v>
          </cell>
          <cell r="J30">
            <v>3686.2250123137123</v>
          </cell>
          <cell r="K30">
            <v>129282.18492617141</v>
          </cell>
          <cell r="L30">
            <v>62.349692342857139</v>
          </cell>
          <cell r="M30">
            <v>3734.1268792586716</v>
          </cell>
          <cell r="N30">
            <v>232821.66209097143</v>
          </cell>
          <cell r="O30">
            <v>68.194976000000025</v>
          </cell>
          <cell r="P30">
            <v>3718.2899354931951</v>
          </cell>
          <cell r="Q30">
            <v>253568.69291200009</v>
          </cell>
          <cell r="R30">
            <v>75.014473600000002</v>
          </cell>
          <cell r="S30">
            <v>3702.9328991145517</v>
          </cell>
          <cell r="T30">
            <v>277773.56220320001</v>
          </cell>
          <cell r="U30">
            <v>52.607552914285719</v>
          </cell>
          <cell r="V30">
            <v>3768.3424985050706</v>
          </cell>
          <cell r="W30">
            <v>198243.27738925716</v>
          </cell>
          <cell r="X30">
            <v>54.555980800000007</v>
          </cell>
          <cell r="Y30">
            <v>3725.3285771667397</v>
          </cell>
          <cell r="Z30">
            <v>203238.9543296</v>
          </cell>
          <cell r="AA30">
            <v>56.504408685714289</v>
          </cell>
          <cell r="AB30">
            <v>3668.2913084328411</v>
          </cell>
          <cell r="AC30">
            <v>207274.63126994285</v>
          </cell>
          <cell r="AD30">
            <v>58.45283657142857</v>
          </cell>
          <cell r="AE30">
            <v>3664.3270159960175</v>
          </cell>
          <cell r="AF30">
            <v>214190.30821028573</v>
          </cell>
          <cell r="AG30">
            <v>67.220762057142878</v>
          </cell>
          <cell r="AH30">
            <v>3635.0503470060544</v>
          </cell>
          <cell r="AI30">
            <v>244350.85444182862</v>
          </cell>
          <cell r="AJ30">
            <v>70.143403885714278</v>
          </cell>
          <cell r="AK30">
            <v>3631.4800215194737</v>
          </cell>
          <cell r="AL30">
            <v>254724.36985234282</v>
          </cell>
          <cell r="AM30">
            <v>34.097488000000013</v>
          </cell>
          <cell r="AN30">
            <v>3718.2899354931951</v>
          </cell>
          <cell r="AO30">
            <v>126784.34645600004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0.31414749742221704</v>
          </cell>
          <cell r="D34">
            <v>767.37930990354039</v>
          </cell>
          <cell r="E34">
            <v>504897.03278000001</v>
          </cell>
          <cell r="F34">
            <v>0.32509823706944363</v>
          </cell>
          <cell r="G34">
            <v>794.12907268178014</v>
          </cell>
          <cell r="H34">
            <v>36574.792294599996</v>
          </cell>
          <cell r="I34">
            <v>0.34960604770670273</v>
          </cell>
          <cell r="J34">
            <v>853.99517687929381</v>
          </cell>
          <cell r="K34">
            <v>28896.990257257145</v>
          </cell>
          <cell r="L34">
            <v>0.3105737297603558</v>
          </cell>
          <cell r="M34">
            <v>758.64954001959063</v>
          </cell>
          <cell r="N34">
            <v>45636.871568457143</v>
          </cell>
          <cell r="O34">
            <v>0.30232567621214285</v>
          </cell>
          <cell r="P34">
            <v>738.50172508612195</v>
          </cell>
          <cell r="Q34">
            <v>48589.703278000008</v>
          </cell>
          <cell r="R34">
            <v>0.298852662708322</v>
          </cell>
          <cell r="S34">
            <v>730.01807098186612</v>
          </cell>
          <cell r="T34">
            <v>52834.673605799995</v>
          </cell>
          <cell r="U34">
            <v>0.32000540570993796</v>
          </cell>
          <cell r="V34">
            <v>781.6886316590718</v>
          </cell>
          <cell r="W34">
            <v>39675.48538588571</v>
          </cell>
          <cell r="X34">
            <v>0.31560967004556834</v>
          </cell>
          <cell r="Y34">
            <v>770.95101118358946</v>
          </cell>
          <cell r="Z34">
            <v>40579.762622400005</v>
          </cell>
          <cell r="AA34">
            <v>0.3169238017136573</v>
          </cell>
          <cell r="AB34">
            <v>774.16108753579783</v>
          </cell>
          <cell r="AC34">
            <v>42204.039858914286</v>
          </cell>
          <cell r="AD34">
            <v>0.31292383522678829</v>
          </cell>
          <cell r="AE34">
            <v>764.39022656279008</v>
          </cell>
          <cell r="AF34">
            <v>43108.317095428574</v>
          </cell>
          <cell r="AG34">
            <v>0.303095762811182</v>
          </cell>
          <cell r="AH34">
            <v>740.38284312075768</v>
          </cell>
          <cell r="AI34">
            <v>48017.564659742857</v>
          </cell>
          <cell r="AJ34">
            <v>0.30230147950206382</v>
          </cell>
          <cell r="AK34">
            <v>738.4426189183672</v>
          </cell>
          <cell r="AL34">
            <v>49973.980514514289</v>
          </cell>
          <cell r="AM34">
            <v>0.35844821690417922</v>
          </cell>
          <cell r="AN34">
            <v>875.59425932460238</v>
          </cell>
          <cell r="AO34">
            <v>28804.851639000004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0.30000000000000004</v>
          </cell>
          <cell r="D35">
            <v>344.10000000000008</v>
          </cell>
          <cell r="E35">
            <v>226400.51241600004</v>
          </cell>
          <cell r="F35">
            <v>0.3</v>
          </cell>
          <cell r="G35">
            <v>344.09999999999997</v>
          </cell>
          <cell r="H35">
            <v>15848.035869120002</v>
          </cell>
          <cell r="I35">
            <v>0.3</v>
          </cell>
          <cell r="J35">
            <v>344.09999999999997</v>
          </cell>
          <cell r="K35">
            <v>11643.454924251428</v>
          </cell>
          <cell r="L35">
            <v>0.3</v>
          </cell>
          <cell r="M35">
            <v>344.09999999999997</v>
          </cell>
          <cell r="N35">
            <v>20699.475420891427</v>
          </cell>
          <cell r="O35">
            <v>0.3</v>
          </cell>
          <cell r="P35">
            <v>344.1</v>
          </cell>
          <cell r="Q35">
            <v>22640.051241600009</v>
          </cell>
          <cell r="R35">
            <v>0.3</v>
          </cell>
          <cell r="S35">
            <v>344.09999999999997</v>
          </cell>
          <cell r="T35">
            <v>24904.05636576</v>
          </cell>
          <cell r="U35">
            <v>0.3</v>
          </cell>
          <cell r="V35">
            <v>344.1</v>
          </cell>
          <cell r="W35">
            <v>17465.182386377146</v>
          </cell>
          <cell r="X35">
            <v>0.3</v>
          </cell>
          <cell r="Y35">
            <v>344.09999999999997</v>
          </cell>
          <cell r="Z35">
            <v>18112.040993279999</v>
          </cell>
          <cell r="AA35">
            <v>0.3</v>
          </cell>
          <cell r="AB35">
            <v>344.1</v>
          </cell>
          <cell r="AC35">
            <v>18758.89960018286</v>
          </cell>
          <cell r="AD35">
            <v>0.3</v>
          </cell>
          <cell r="AE35">
            <v>344.09999999999997</v>
          </cell>
          <cell r="AF35">
            <v>19405.758207085713</v>
          </cell>
          <cell r="AG35">
            <v>0.3</v>
          </cell>
          <cell r="AH35">
            <v>344.1</v>
          </cell>
          <cell r="AI35">
            <v>22316.621938148579</v>
          </cell>
          <cell r="AJ35">
            <v>0.3</v>
          </cell>
          <cell r="AK35">
            <v>344.09999999999997</v>
          </cell>
          <cell r="AL35">
            <v>23286.909848502855</v>
          </cell>
          <cell r="AM35">
            <v>0.3</v>
          </cell>
          <cell r="AN35">
            <v>344.1</v>
          </cell>
          <cell r="AO35">
            <v>11320.025620800005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113.25897667238425</v>
          </cell>
          <cell r="E36">
            <v>74518.716519440815</v>
          </cell>
          <cell r="G36">
            <v>113.25897667238421</v>
          </cell>
          <cell r="H36">
            <v>5216.3101563608561</v>
          </cell>
          <cell r="J36">
            <v>113.25897667238421</v>
          </cell>
          <cell r="K36">
            <v>3832.3911352855262</v>
          </cell>
          <cell r="M36">
            <v>113.25897667238421</v>
          </cell>
          <cell r="N36">
            <v>6813.1397960631575</v>
          </cell>
          <cell r="P36">
            <v>113.25897667238421</v>
          </cell>
          <cell r="Q36">
            <v>7451.8716519440813</v>
          </cell>
          <cell r="S36">
            <v>113.25897667238419</v>
          </cell>
          <cell r="T36">
            <v>8197.0588171384861</v>
          </cell>
          <cell r="V36">
            <v>113.25897667238421</v>
          </cell>
          <cell r="W36">
            <v>5748.5867029282899</v>
          </cell>
          <cell r="Y36">
            <v>113.25897667238421</v>
          </cell>
          <cell r="Z36">
            <v>5961.4973215552636</v>
          </cell>
          <cell r="AB36">
            <v>113.25897667238421</v>
          </cell>
          <cell r="AC36">
            <v>6174.4079401822373</v>
          </cell>
          <cell r="AE36">
            <v>113.25897667238421</v>
          </cell>
          <cell r="AF36">
            <v>6387.3185588092101</v>
          </cell>
          <cell r="AH36">
            <v>113.25897667238421</v>
          </cell>
          <cell r="AI36">
            <v>7345.416342630594</v>
          </cell>
          <cell r="AK36">
            <v>113.25897667238421</v>
          </cell>
          <cell r="AL36">
            <v>7664.7822705710523</v>
          </cell>
          <cell r="AN36">
            <v>113.25897667238421</v>
          </cell>
          <cell r="AO36">
            <v>3725.9358259720407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5.1177856446126118</v>
          </cell>
          <cell r="E37">
            <v>3367.2458366043129</v>
          </cell>
          <cell r="G37">
            <v>5.1177856446126109</v>
          </cell>
          <cell r="H37">
            <v>235.70720856230193</v>
          </cell>
          <cell r="J37">
            <v>5.1177856446126109</v>
          </cell>
          <cell r="K37">
            <v>173.17264302536464</v>
          </cell>
          <cell r="M37">
            <v>5.1177856446126109</v>
          </cell>
          <cell r="N37">
            <v>307.86247648953713</v>
          </cell>
          <cell r="P37">
            <v>5.1177856446126109</v>
          </cell>
          <cell r="Q37">
            <v>336.72458366043134</v>
          </cell>
          <cell r="S37">
            <v>5.1177856446126109</v>
          </cell>
          <cell r="T37">
            <v>370.39704202647442</v>
          </cell>
          <cell r="V37">
            <v>5.1177856446126109</v>
          </cell>
          <cell r="W37">
            <v>259.758964538047</v>
          </cell>
          <cell r="Y37">
            <v>5.1177856446126109</v>
          </cell>
          <cell r="Z37">
            <v>269.37966692834505</v>
          </cell>
          <cell r="AB37">
            <v>5.1177856446126109</v>
          </cell>
          <cell r="AC37">
            <v>279.0003693186431</v>
          </cell>
          <cell r="AE37">
            <v>5.1177856446126109</v>
          </cell>
          <cell r="AF37">
            <v>288.62107170894109</v>
          </cell>
          <cell r="AH37">
            <v>5.1177856446126109</v>
          </cell>
          <cell r="AI37">
            <v>331.91423246528234</v>
          </cell>
          <cell r="AK37">
            <v>5.1177856446126109</v>
          </cell>
          <cell r="AL37">
            <v>346.34528605072927</v>
          </cell>
          <cell r="AN37">
            <v>5.1177856446126109</v>
          </cell>
          <cell r="AO37">
            <v>168.36229183021567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105.01044339622645</v>
          </cell>
          <cell r="E38">
            <v>69091.596030040775</v>
          </cell>
          <cell r="G38">
            <v>105.01044339622641</v>
          </cell>
          <cell r="H38">
            <v>4836.4117221028537</v>
          </cell>
          <cell r="J38">
            <v>105.01044339622642</v>
          </cell>
          <cell r="K38">
            <v>3553.2820815449531</v>
          </cell>
          <cell r="M38">
            <v>105.01044339622642</v>
          </cell>
          <cell r="N38">
            <v>6316.9459227465832</v>
          </cell>
          <cell r="P38">
            <v>105.01044339622642</v>
          </cell>
          <cell r="Q38">
            <v>6909.1596030040782</v>
          </cell>
          <cell r="S38">
            <v>105.01044339622642</v>
          </cell>
          <cell r="T38">
            <v>7600.0755633044837</v>
          </cell>
          <cell r="V38">
            <v>105.01044339622641</v>
          </cell>
          <cell r="W38">
            <v>5329.9231223174302</v>
          </cell>
          <cell r="Y38">
            <v>105.01044339622642</v>
          </cell>
          <cell r="Z38">
            <v>5527.327682403261</v>
          </cell>
          <cell r="AB38">
            <v>105.01044339622642</v>
          </cell>
          <cell r="AC38">
            <v>5724.7322424890917</v>
          </cell>
          <cell r="AE38">
            <v>105.01044339622641</v>
          </cell>
          <cell r="AF38">
            <v>5922.1368025749216</v>
          </cell>
          <cell r="AH38">
            <v>105.01044339622642</v>
          </cell>
          <cell r="AI38">
            <v>6810.4573229611624</v>
          </cell>
          <cell r="AK38">
            <v>105.01044339622642</v>
          </cell>
          <cell r="AL38">
            <v>7106.5641630899063</v>
          </cell>
          <cell r="AN38">
            <v>105.01044339622642</v>
          </cell>
          <cell r="AO38">
            <v>3454.5798015020391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300.75552273170518</v>
          </cell>
          <cell r="E39">
            <v>197882.02399999995</v>
          </cell>
          <cell r="G39">
            <v>300.75552273170507</v>
          </cell>
          <cell r="H39">
            <v>13851.741679999996</v>
          </cell>
          <cell r="J39">
            <v>300.75552273170513</v>
          </cell>
          <cell r="K39">
            <v>10176.789805714281</v>
          </cell>
          <cell r="M39">
            <v>300.75552273170513</v>
          </cell>
          <cell r="N39">
            <v>18092.070765714278</v>
          </cell>
          <cell r="P39">
            <v>300.75552273170507</v>
          </cell>
          <cell r="Q39">
            <v>19788.202399999995</v>
          </cell>
          <cell r="S39">
            <v>300.75552273170507</v>
          </cell>
          <cell r="T39">
            <v>21767.022639999988</v>
          </cell>
          <cell r="V39">
            <v>300.75552273170507</v>
          </cell>
          <cell r="W39">
            <v>15265.184708571423</v>
          </cell>
          <cell r="Y39">
            <v>300.75552273170513</v>
          </cell>
          <cell r="Z39">
            <v>15830.561919999996</v>
          </cell>
          <cell r="AB39">
            <v>300.75552273170507</v>
          </cell>
          <cell r="AC39">
            <v>16395.939131428564</v>
          </cell>
          <cell r="AE39">
            <v>300.75552273170513</v>
          </cell>
          <cell r="AF39">
            <v>16961.316342857135</v>
          </cell>
          <cell r="AH39">
            <v>300.75552273170513</v>
          </cell>
          <cell r="AI39">
            <v>19505.513794285711</v>
          </cell>
          <cell r="AK39">
            <v>300.75552273170513</v>
          </cell>
          <cell r="AL39">
            <v>20353.579611428562</v>
          </cell>
          <cell r="AN39">
            <v>300.75552273170507</v>
          </cell>
          <cell r="AO39">
            <v>9894.1011999999973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52.641606781565208</v>
          </cell>
          <cell r="E40">
            <v>34635.5325479452</v>
          </cell>
          <cell r="G40">
            <v>37.116021586674982</v>
          </cell>
          <cell r="H40">
            <v>1709.433424657534</v>
          </cell>
          <cell r="J40">
            <v>45.756141029875018</v>
          </cell>
          <cell r="K40">
            <v>1548.269589041096</v>
          </cell>
          <cell r="M40">
            <v>67.038106546332187</v>
          </cell>
          <cell r="N40">
            <v>4032.704558904109</v>
          </cell>
          <cell r="P40">
            <v>72.303114733716669</v>
          </cell>
          <cell r="Q40">
            <v>4757.1816986301365</v>
          </cell>
          <cell r="S40">
            <v>52.849132163469648</v>
          </cell>
          <cell r="T40">
            <v>3824.9281205479451</v>
          </cell>
          <cell r="V40">
            <v>45.737233533581673</v>
          </cell>
          <cell r="W40">
            <v>2321.4447123287669</v>
          </cell>
          <cell r="Y40">
            <v>50.687592283766755</v>
          </cell>
          <cell r="Z40">
            <v>2667.9911342465753</v>
          </cell>
          <cell r="AB40">
            <v>53.963736146211183</v>
          </cell>
          <cell r="AC40">
            <v>2941.8782575342466</v>
          </cell>
          <cell r="AE40">
            <v>63.366312970399001</v>
          </cell>
          <cell r="AF40">
            <v>3573.5871780821922</v>
          </cell>
          <cell r="AH40">
            <v>69.534231855948377</v>
          </cell>
          <cell r="AI40">
            <v>4509.6459287671232</v>
          </cell>
          <cell r="AK40">
            <v>31.332422428958097</v>
          </cell>
          <cell r="AL40">
            <v>2120.4164383561642</v>
          </cell>
          <cell r="AN40">
            <v>19.091169114472049</v>
          </cell>
          <cell r="AO40">
            <v>628.05150684931505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0.44140609167339023</v>
          </cell>
          <cell r="E44">
            <v>1110792.6601300309</v>
          </cell>
          <cell r="F44" t="str">
            <v>% brut</v>
          </cell>
          <cell r="G44">
            <v>0.44923719912870569</v>
          </cell>
          <cell r="H44">
            <v>78272.432355403536</v>
          </cell>
          <cell r="I44" t="str">
            <v>% brut</v>
          </cell>
          <cell r="J44">
            <v>0.46274241474402228</v>
          </cell>
          <cell r="K44">
            <v>59824.350436119792</v>
          </cell>
          <cell r="L44" t="str">
            <v>% brut</v>
          </cell>
          <cell r="M44">
            <v>0.43767005867972358</v>
          </cell>
          <cell r="N44">
            <v>101899.07050926624</v>
          </cell>
          <cell r="O44" t="str">
            <v>% brut</v>
          </cell>
          <cell r="P44">
            <v>0.43567245304678792</v>
          </cell>
          <cell r="Q44">
            <v>110472.89445683874</v>
          </cell>
          <cell r="R44" t="str">
            <v>% brut</v>
          </cell>
          <cell r="S44">
            <v>0.43020009250254249</v>
          </cell>
          <cell r="T44">
            <v>119498.21215457738</v>
          </cell>
          <cell r="U44" t="str">
            <v>% brut</v>
          </cell>
          <cell r="V44">
            <v>0.43414115785603297</v>
          </cell>
          <cell r="W44">
            <v>86065.56598294682</v>
          </cell>
          <cell r="X44" t="str">
            <v>% brut</v>
          </cell>
          <cell r="Y44">
            <v>0.4376550825810801</v>
          </cell>
          <cell r="Z44">
            <v>88948.561340813452</v>
          </cell>
          <cell r="AA44" t="str">
            <v>% brut</v>
          </cell>
          <cell r="AB44">
            <v>0.44616602057591215</v>
          </cell>
          <cell r="AC44">
            <v>92478.897400049929</v>
          </cell>
          <cell r="AD44" t="str">
            <v>% brut</v>
          </cell>
          <cell r="AE44">
            <v>0.44655174202673648</v>
          </cell>
          <cell r="AF44">
            <v>95647.055256546693</v>
          </cell>
          <cell r="AG44" t="str">
            <v>% brut</v>
          </cell>
          <cell r="AH44">
            <v>0.4454133564116986</v>
          </cell>
          <cell r="AI44">
            <v>108837.13421900129</v>
          </cell>
          <cell r="AJ44" t="str">
            <v>% brut</v>
          </cell>
          <cell r="AK44">
            <v>0.43518638674725918</v>
          </cell>
          <cell r="AL44">
            <v>110852.57813251355</v>
          </cell>
          <cell r="AM44" t="str">
            <v>% brut</v>
          </cell>
          <cell r="AN44">
            <v>0.45743744797454816</v>
          </cell>
          <cell r="AO44">
            <v>57995.907885953609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205874.05</v>
          </cell>
          <cell r="H45">
            <v>16747.193678160918</v>
          </cell>
          <cell r="K45">
            <v>16201.8908045977</v>
          </cell>
          <cell r="N45">
            <v>17837.799425287358</v>
          </cell>
          <cell r="Q45">
            <v>16747.193678160918</v>
          </cell>
          <cell r="T45">
            <v>17292.496551724136</v>
          </cell>
          <cell r="W45">
            <v>17292.496551724136</v>
          </cell>
          <cell r="Z45">
            <v>17292.496551724136</v>
          </cell>
          <cell r="AC45">
            <v>17292.496551724136</v>
          </cell>
          <cell r="AF45">
            <v>17292.496551724136</v>
          </cell>
          <cell r="AI45">
            <v>16747.193678160918</v>
          </cell>
          <cell r="AL45">
            <v>17292.496551724136</v>
          </cell>
          <cell r="AO45">
            <v>17837.799425287358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121332.06000000003</v>
          </cell>
          <cell r="H46">
            <v>9770.1082758620687</v>
          </cell>
          <cell r="K46">
            <v>9315.5793103448268</v>
          </cell>
          <cell r="N46">
            <v>10679.166206896551</v>
          </cell>
          <cell r="Q46">
            <v>9770.1082758620687</v>
          </cell>
          <cell r="T46">
            <v>10224.637241379311</v>
          </cell>
          <cell r="W46">
            <v>10224.637241379311</v>
          </cell>
          <cell r="Z46">
            <v>10224.637241379311</v>
          </cell>
          <cell r="AC46">
            <v>10224.637241379311</v>
          </cell>
          <cell r="AF46">
            <v>10224.637241379311</v>
          </cell>
          <cell r="AI46">
            <v>9770.1082758620687</v>
          </cell>
          <cell r="AL46">
            <v>10224.637241379311</v>
          </cell>
          <cell r="AO46">
            <v>10679.166206896551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97388.400000000009</v>
          </cell>
          <cell r="H47">
            <v>7835.8482758620694</v>
          </cell>
          <cell r="K47">
            <v>7462.7126436781609</v>
          </cell>
          <cell r="N47">
            <v>8582.1195402298854</v>
          </cell>
          <cell r="Q47">
            <v>7835.8482758620694</v>
          </cell>
          <cell r="T47">
            <v>8208.9839080459769</v>
          </cell>
          <cell r="W47">
            <v>8208.9839080459769</v>
          </cell>
          <cell r="Z47">
            <v>8208.9839080459769</v>
          </cell>
          <cell r="AC47">
            <v>8208.9839080459769</v>
          </cell>
          <cell r="AF47">
            <v>8208.9839080459769</v>
          </cell>
          <cell r="AI47">
            <v>7835.8482758620694</v>
          </cell>
          <cell r="AL47">
            <v>8208.9839080459769</v>
          </cell>
          <cell r="AO47">
            <v>8582.1195402298854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139965.49177322051</v>
          </cell>
          <cell r="H52">
            <v>10568.729282578315</v>
          </cell>
          <cell r="K52">
            <v>9049.4864189607961</v>
          </cell>
          <cell r="N52">
            <v>12495.424113397115</v>
          </cell>
          <cell r="Q52">
            <v>12691.239175736595</v>
          </cell>
          <cell r="T52">
            <v>13604.05064130889</v>
          </cell>
          <cell r="W52">
            <v>11279.396948802207</v>
          </cell>
          <cell r="Z52">
            <v>11454.454856244693</v>
          </cell>
          <cell r="AC52">
            <v>11710.770439404941</v>
          </cell>
          <cell r="AF52">
            <v>11885.828346847427</v>
          </cell>
          <cell r="AI52">
            <v>12590.167276062391</v>
          </cell>
          <cell r="AL52">
            <v>13098.691142937871</v>
          </cell>
          <cell r="AO52">
            <v>9537.2531309392871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139139.47944615514</v>
          </cell>
          <cell r="H53">
            <v>10506.357475369068</v>
          </cell>
          <cell r="K53">
            <v>8996.0804883919682</v>
          </cell>
          <cell r="N53">
            <v>12421.681834362369</v>
          </cell>
          <cell r="Q53">
            <v>12616.341285748975</v>
          </cell>
          <cell r="T53">
            <v>13523.765755474671</v>
          </cell>
          <cell r="W53">
            <v>11212.831106010968</v>
          </cell>
          <cell r="Z53">
            <v>11386.855901736661</v>
          </cell>
          <cell r="AC53">
            <v>11641.658827536678</v>
          </cell>
          <cell r="AF53">
            <v>11815.68362326237</v>
          </cell>
          <cell r="AI53">
            <v>12515.865866207074</v>
          </cell>
          <cell r="AL53">
            <v>13021.38865776517</v>
          </cell>
          <cell r="AO53">
            <v>9480.9686242891548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97433.538318725201</v>
          </cell>
          <cell r="H54">
            <v>7357.1612294463321</v>
          </cell>
          <cell r="K54">
            <v>6299.5776358590947</v>
          </cell>
          <cell r="N54">
            <v>8698.3824994093211</v>
          </cell>
          <cell r="Q54">
            <v>8834.6943441228032</v>
          </cell>
          <cell r="T54">
            <v>9470.1256192310466</v>
          </cell>
          <cell r="W54">
            <v>7851.8750650615802</v>
          </cell>
          <cell r="Z54">
            <v>7973.7373263711697</v>
          </cell>
          <cell r="AC54">
            <v>8152.1651222309829</v>
          </cell>
          <cell r="AF54">
            <v>8274.0273835405715</v>
          </cell>
          <cell r="AI54">
            <v>8764.3356243763046</v>
          </cell>
          <cell r="AL54">
            <v>9118.3320204985539</v>
          </cell>
          <cell r="AO54">
            <v>6639.124448577455</v>
          </cell>
        </row>
        <row r="55">
          <cell r="A55" t="str">
            <v>Véhicules neufsCsst</v>
          </cell>
          <cell r="B55" t="str">
            <v>Csst</v>
          </cell>
          <cell r="E55">
            <v>46546.809633222103</v>
          </cell>
          <cell r="H55">
            <v>3514.7279786527738</v>
          </cell>
          <cell r="K55">
            <v>3009.4898127053166</v>
          </cell>
          <cell r="N55">
            <v>4155.468038043573</v>
          </cell>
          <cell r="Q55">
            <v>4220.5881352515416</v>
          </cell>
          <cell r="T55">
            <v>4524.1519707422076</v>
          </cell>
          <cell r="W55">
            <v>3751.0670373245107</v>
          </cell>
          <cell r="Z55">
            <v>3809.2841520524616</v>
          </cell>
          <cell r="AC55">
            <v>3894.5242530533505</v>
          </cell>
          <cell r="AF55">
            <v>3952.7413677813015</v>
          </cell>
          <cell r="AI55">
            <v>4186.9757468420767</v>
          </cell>
          <cell r="AL55">
            <v>4356.0900286948827</v>
          </cell>
          <cell r="AO55">
            <v>3171.7011120781058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0.33685047967554965</v>
          </cell>
          <cell r="E57">
            <v>847679.82917132287</v>
          </cell>
          <cell r="F57" t="str">
            <v>% brut</v>
          </cell>
          <cell r="G57">
            <v>0.38052328384150241</v>
          </cell>
          <cell r="H57">
            <v>66300.126195931545</v>
          </cell>
          <cell r="I57" t="str">
            <v>% brut</v>
          </cell>
          <cell r="J57">
            <v>0.46669088358146943</v>
          </cell>
          <cell r="K57">
            <v>60334.817114537866</v>
          </cell>
          <cell r="L57" t="str">
            <v>% brut</v>
          </cell>
          <cell r="M57">
            <v>0.32157678536102824</v>
          </cell>
          <cell r="N57">
            <v>74870.041657626163</v>
          </cell>
          <cell r="O57" t="str">
            <v>% brut</v>
          </cell>
          <cell r="P57">
            <v>0.28677046971244496</v>
          </cell>
          <cell r="Q57">
            <v>72716.013170744976</v>
          </cell>
          <cell r="R57" t="str">
            <v>% brut</v>
          </cell>
          <cell r="S57">
            <v>0.27665776065358366</v>
          </cell>
          <cell r="T57">
            <v>76848.211687906238</v>
          </cell>
          <cell r="U57" t="str">
            <v>% brut</v>
          </cell>
          <cell r="V57">
            <v>0.35220002805569195</v>
          </cell>
          <cell r="W57">
            <v>69821.287858348689</v>
          </cell>
          <cell r="X57" t="str">
            <v>% brut</v>
          </cell>
          <cell r="Y57">
            <v>0.34614648638402523</v>
          </cell>
          <cell r="Z57">
            <v>70350.449937554411</v>
          </cell>
          <cell r="AA57" t="str">
            <v>% brut</v>
          </cell>
          <cell r="AB57">
            <v>0.34314491796512164</v>
          </cell>
          <cell r="AC57">
            <v>71125.236343375378</v>
          </cell>
          <cell r="AD57" t="str">
            <v>% brut</v>
          </cell>
          <cell r="AE57">
            <v>0.33453613761194512</v>
          </cell>
          <cell r="AF57">
            <v>71654.398422581085</v>
          </cell>
          <cell r="AG57" t="str">
            <v>% brut</v>
          </cell>
          <cell r="AH57">
            <v>0.29633820969761043</v>
          </cell>
          <cell r="AI57">
            <v>72410.494743372896</v>
          </cell>
          <cell r="AJ57" t="str">
            <v>% brut</v>
          </cell>
          <cell r="AK57">
            <v>0.29569459567102802</v>
          </cell>
          <cell r="AL57">
            <v>75320.619551045907</v>
          </cell>
          <cell r="AM57" t="str">
            <v>% brut</v>
          </cell>
          <cell r="AN57">
            <v>0.52000214798739264</v>
          </cell>
          <cell r="AO57">
            <v>65928.132488297793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95349.999999999985</v>
          </cell>
          <cell r="H60">
            <v>7945.833333333333</v>
          </cell>
          <cell r="K60">
            <v>7945.833333333333</v>
          </cell>
          <cell r="N60">
            <v>7945.833333333333</v>
          </cell>
          <cell r="Q60">
            <v>7945.833333333333</v>
          </cell>
          <cell r="T60">
            <v>7945.833333333333</v>
          </cell>
          <cell r="W60">
            <v>7945.833333333333</v>
          </cell>
          <cell r="Z60">
            <v>7945.833333333333</v>
          </cell>
          <cell r="AC60">
            <v>7945.833333333333</v>
          </cell>
          <cell r="AF60">
            <v>7945.833333333333</v>
          </cell>
          <cell r="AI60">
            <v>7945.833333333333</v>
          </cell>
          <cell r="AL60">
            <v>7945.833333333333</v>
          </cell>
          <cell r="AO60">
            <v>7945.833333333333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75130.355584000004</v>
          </cell>
          <cell r="H61">
            <v>6260.856098666668</v>
          </cell>
          <cell r="K61">
            <v>6260.856098666668</v>
          </cell>
          <cell r="N61">
            <v>6260.856098666668</v>
          </cell>
          <cell r="Q61">
            <v>6260.856098666668</v>
          </cell>
          <cell r="T61">
            <v>6260.866398666667</v>
          </cell>
          <cell r="W61">
            <v>6260.866398666667</v>
          </cell>
          <cell r="Z61">
            <v>6260.866398666667</v>
          </cell>
          <cell r="AC61">
            <v>6260.866398666667</v>
          </cell>
          <cell r="AF61">
            <v>6260.866398666667</v>
          </cell>
          <cell r="AI61">
            <v>6260.866398666667</v>
          </cell>
          <cell r="AL61">
            <v>6260.866398666667</v>
          </cell>
          <cell r="AO61">
            <v>6260.866398666667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12001.056536000002</v>
          </cell>
          <cell r="H62">
            <v>1000.0880446666665</v>
          </cell>
          <cell r="K62">
            <v>1000.0880446666665</v>
          </cell>
          <cell r="N62">
            <v>1000.0880446666665</v>
          </cell>
          <cell r="Q62">
            <v>1000.0880446666665</v>
          </cell>
          <cell r="T62">
            <v>1000.0880446666665</v>
          </cell>
          <cell r="W62">
            <v>1000.0880446666665</v>
          </cell>
          <cell r="Z62">
            <v>1000.0880446666665</v>
          </cell>
          <cell r="AC62">
            <v>1000.0880446666665</v>
          </cell>
          <cell r="AF62">
            <v>1000.0880446666665</v>
          </cell>
          <cell r="AI62">
            <v>1000.0880446666665</v>
          </cell>
          <cell r="AL62">
            <v>1000.0880446666665</v>
          </cell>
          <cell r="AO62">
            <v>1000.0880446666665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81031.464885333335</v>
          </cell>
          <cell r="H63">
            <v>6832.0762737777786</v>
          </cell>
          <cell r="K63">
            <v>6989.7569137777782</v>
          </cell>
          <cell r="N63">
            <v>6667.727825777778</v>
          </cell>
          <cell r="Q63">
            <v>6691.3008177777774</v>
          </cell>
          <cell r="T63">
            <v>6579.7114417777775</v>
          </cell>
          <cell r="W63">
            <v>6901.1637297777779</v>
          </cell>
          <cell r="Z63">
            <v>6796.8453297777778</v>
          </cell>
          <cell r="AC63">
            <v>6506.5764977777781</v>
          </cell>
          <cell r="AF63">
            <v>6527.9741297777782</v>
          </cell>
          <cell r="AI63">
            <v>6690.5328497777782</v>
          </cell>
          <cell r="AL63">
            <v>7157.2662257777783</v>
          </cell>
          <cell r="AO63">
            <v>6690.5328497777782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1487.4891764646707</v>
          </cell>
          <cell r="H64">
            <v>104.43468843875556</v>
          </cell>
          <cell r="K64">
            <v>88.052472712833207</v>
          </cell>
          <cell r="N64">
            <v>129.80487184201826</v>
          </cell>
          <cell r="Q64">
            <v>155.47524951475347</v>
          </cell>
          <cell r="T64">
            <v>161.70939187937071</v>
          </cell>
          <cell r="W64">
            <v>119.79021815603429</v>
          </cell>
          <cell r="Z64">
            <v>117.13645759980204</v>
          </cell>
          <cell r="AC64">
            <v>124.83089991785656</v>
          </cell>
          <cell r="AF64">
            <v>124.76419008019599</v>
          </cell>
          <cell r="AI64">
            <v>139.98630012215364</v>
          </cell>
          <cell r="AL64">
            <v>141.17976072494864</v>
          </cell>
          <cell r="AO64">
            <v>80.324675475948425</v>
          </cell>
        </row>
        <row r="65">
          <cell r="A65" t="str">
            <v>Véhicules neufsUniformes</v>
          </cell>
          <cell r="B65" t="str">
            <v>Uniformes</v>
          </cell>
          <cell r="E65">
            <v>768.12245104065926</v>
          </cell>
          <cell r="H65">
            <v>53.928882392207292</v>
          </cell>
          <cell r="K65">
            <v>45.469292974030999</v>
          </cell>
          <cell r="N65">
            <v>67.029755842178261</v>
          </cell>
          <cell r="Q65">
            <v>80.285646190224185</v>
          </cell>
          <cell r="T65">
            <v>83.504886228412076</v>
          </cell>
          <cell r="W65">
            <v>61.858302861334295</v>
          </cell>
          <cell r="Z65">
            <v>60.487931167085833</v>
          </cell>
          <cell r="AC65">
            <v>64.46125345154239</v>
          </cell>
          <cell r="AF65">
            <v>64.42680525197018</v>
          </cell>
          <cell r="AI65">
            <v>72.287329321952768</v>
          </cell>
          <cell r="AL65">
            <v>72.903618769932578</v>
          </cell>
          <cell r="AO65">
            <v>41.478746589788344</v>
          </cell>
        </row>
        <row r="66">
          <cell r="A66" t="str">
            <v>Véhicules neufsPapeterie</v>
          </cell>
          <cell r="B66" t="str">
            <v>Papeterie</v>
          </cell>
          <cell r="E66">
            <v>9161.412422399997</v>
          </cell>
          <cell r="H66">
            <v>763.45103519999975</v>
          </cell>
          <cell r="K66">
            <v>763.45103519999975</v>
          </cell>
          <cell r="N66">
            <v>763.45103519999975</v>
          </cell>
          <cell r="Q66">
            <v>763.45103519999975</v>
          </cell>
          <cell r="T66">
            <v>763.45103519999975</v>
          </cell>
          <cell r="W66">
            <v>763.45103519999975</v>
          </cell>
          <cell r="Z66">
            <v>763.45103519999975</v>
          </cell>
          <cell r="AC66">
            <v>763.45103519999975</v>
          </cell>
          <cell r="AF66">
            <v>763.45103519999975</v>
          </cell>
          <cell r="AI66">
            <v>763.45103519999975</v>
          </cell>
          <cell r="AL66">
            <v>763.45103519999975</v>
          </cell>
          <cell r="AO66">
            <v>763.45103519999975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3104.6430018666674</v>
          </cell>
          <cell r="H67">
            <v>258.72025015555556</v>
          </cell>
          <cell r="K67">
            <v>258.72025015555556</v>
          </cell>
          <cell r="N67">
            <v>258.72025015555556</v>
          </cell>
          <cell r="Q67">
            <v>258.72025015555556</v>
          </cell>
          <cell r="T67">
            <v>258.72025015555556</v>
          </cell>
          <cell r="W67">
            <v>258.72025015555556</v>
          </cell>
          <cell r="Z67">
            <v>258.72025015555556</v>
          </cell>
          <cell r="AC67">
            <v>258.72025015555556</v>
          </cell>
          <cell r="AF67">
            <v>258.72025015555556</v>
          </cell>
          <cell r="AI67">
            <v>258.72025015555556</v>
          </cell>
          <cell r="AL67">
            <v>258.72025015555556</v>
          </cell>
          <cell r="AO67">
            <v>258.72025015555556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1484.9315261333331</v>
          </cell>
          <cell r="H68">
            <v>123.74429384444443</v>
          </cell>
          <cell r="K68">
            <v>123.74429384444443</v>
          </cell>
          <cell r="N68">
            <v>123.74429384444443</v>
          </cell>
          <cell r="Q68">
            <v>123.74429384444443</v>
          </cell>
          <cell r="T68">
            <v>123.74429384444443</v>
          </cell>
          <cell r="W68">
            <v>123.74429384444443</v>
          </cell>
          <cell r="Z68">
            <v>123.74429384444443</v>
          </cell>
          <cell r="AC68">
            <v>123.74429384444443</v>
          </cell>
          <cell r="AF68">
            <v>123.74429384444443</v>
          </cell>
          <cell r="AI68">
            <v>123.74429384444443</v>
          </cell>
          <cell r="AL68">
            <v>123.74429384444443</v>
          </cell>
          <cell r="AO68">
            <v>123.74429384444443</v>
          </cell>
        </row>
        <row r="69">
          <cell r="A69" t="str">
            <v>Véhicules neufsDivers</v>
          </cell>
          <cell r="B69" t="str">
            <v>Divers</v>
          </cell>
          <cell r="E69">
            <v>5642.1883565333328</v>
          </cell>
          <cell r="H69">
            <v>470.18236304444446</v>
          </cell>
          <cell r="K69">
            <v>470.18236304444446</v>
          </cell>
          <cell r="N69">
            <v>470.18236304444446</v>
          </cell>
          <cell r="Q69">
            <v>470.18236304444446</v>
          </cell>
          <cell r="T69">
            <v>470.18236304444446</v>
          </cell>
          <cell r="W69">
            <v>470.18236304444446</v>
          </cell>
          <cell r="Z69">
            <v>470.18236304444446</v>
          </cell>
          <cell r="AC69">
            <v>470.18236304444446</v>
          </cell>
          <cell r="AF69">
            <v>470.18236304444446</v>
          </cell>
          <cell r="AI69">
            <v>470.18236304444446</v>
          </cell>
          <cell r="AL69">
            <v>470.18236304444446</v>
          </cell>
          <cell r="AO69">
            <v>470.18236304444446</v>
          </cell>
        </row>
        <row r="70">
          <cell r="A70" t="str">
            <v>Véhicules neufsFormation</v>
          </cell>
          <cell r="B70" t="str">
            <v>Formation</v>
          </cell>
          <cell r="E70">
            <v>7352.8836240364881</v>
          </cell>
          <cell r="H70">
            <v>612.74030200304071</v>
          </cell>
          <cell r="K70">
            <v>612.74030200304071</v>
          </cell>
          <cell r="N70">
            <v>612.74030200304071</v>
          </cell>
          <cell r="Q70">
            <v>612.74030200304071</v>
          </cell>
          <cell r="T70">
            <v>612.74030200304071</v>
          </cell>
          <cell r="W70">
            <v>612.74030200304071</v>
          </cell>
          <cell r="Z70">
            <v>612.74030200304071</v>
          </cell>
          <cell r="AC70">
            <v>612.74030200304071</v>
          </cell>
          <cell r="AF70">
            <v>612.74030200304071</v>
          </cell>
          <cell r="AI70">
            <v>612.74030200304071</v>
          </cell>
          <cell r="AL70">
            <v>612.74030200304071</v>
          </cell>
          <cell r="AO70">
            <v>612.74030200304071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17027.814278281883</v>
          </cell>
          <cell r="H71">
            <v>1024.7589613033638</v>
          </cell>
          <cell r="K71">
            <v>872.07988972026953</v>
          </cell>
          <cell r="N71">
            <v>1022.4390943337119</v>
          </cell>
          <cell r="Q71">
            <v>2044.9975931513438</v>
          </cell>
          <cell r="T71">
            <v>1867.0949048486443</v>
          </cell>
          <cell r="W71">
            <v>1204.8888227830162</v>
          </cell>
          <cell r="Z71">
            <v>1131.0253593673358</v>
          </cell>
          <cell r="AC71">
            <v>1255.4359527195961</v>
          </cell>
          <cell r="AF71">
            <v>929.83857394744143</v>
          </cell>
          <cell r="AI71">
            <v>1818.3447712304574</v>
          </cell>
          <cell r="AL71">
            <v>2685.2134438861531</v>
          </cell>
          <cell r="AO71">
            <v>1171.6969109905506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0.12300574990482285</v>
          </cell>
          <cell r="E75">
            <v>309542.36184209038</v>
          </cell>
          <cell r="F75" t="str">
            <v>% brut</v>
          </cell>
          <cell r="G75">
            <v>0.14607253524026068</v>
          </cell>
          <cell r="H75">
            <v>25450.814526826256</v>
          </cell>
          <cell r="I75" t="str">
            <v>% brut</v>
          </cell>
          <cell r="J75">
            <v>0.19670903848524693</v>
          </cell>
          <cell r="K75">
            <v>25430.97429009906</v>
          </cell>
          <cell r="L75" t="str">
            <v>% brut</v>
          </cell>
          <cell r="M75">
            <v>0.10876400864630638</v>
          </cell>
          <cell r="N75">
            <v>25322.617268709837</v>
          </cell>
          <cell r="O75" t="str">
            <v>% brut</v>
          </cell>
          <cell r="P75">
            <v>0.10414406733055534</v>
          </cell>
          <cell r="Q75">
            <v>26407.675027548248</v>
          </cell>
          <cell r="R75" t="str">
            <v>% brut</v>
          </cell>
          <cell r="S75">
            <v>9.4060955399834514E-2</v>
          </cell>
          <cell r="T75">
            <v>26127.646645648354</v>
          </cell>
          <cell r="U75" t="str">
            <v>% brut</v>
          </cell>
          <cell r="V75">
            <v>0.12975636517541891</v>
          </cell>
          <cell r="W75">
            <v>25723.327094492317</v>
          </cell>
          <cell r="X75" t="str">
            <v>% brut</v>
          </cell>
          <cell r="Y75">
            <v>0.12567040203033708</v>
          </cell>
          <cell r="Z75">
            <v>25541.121098826152</v>
          </cell>
          <cell r="AA75" t="str">
            <v>% brut</v>
          </cell>
          <cell r="AB75">
            <v>0.12247968055347018</v>
          </cell>
          <cell r="AC75">
            <v>25386.930624780922</v>
          </cell>
          <cell r="AD75" t="str">
            <v>% brut</v>
          </cell>
          <cell r="AE75">
            <v>0.1171044102301125</v>
          </cell>
          <cell r="AF75">
            <v>25082.629719971534</v>
          </cell>
          <cell r="AG75" t="str">
            <v>% brut</v>
          </cell>
          <cell r="AH75">
            <v>0.10704598243012695</v>
          </cell>
          <cell r="AI75">
            <v>26156.777271366493</v>
          </cell>
          <cell r="AJ75" t="str">
            <v>% brut</v>
          </cell>
          <cell r="AK75">
            <v>0.10792916706795459</v>
          </cell>
          <cell r="AL75">
            <v>27492.189070072964</v>
          </cell>
          <cell r="AM75" t="str">
            <v>% brut</v>
          </cell>
          <cell r="AN75">
            <v>0.20049524972367153</v>
          </cell>
          <cell r="AO75">
            <v>25419.659203748219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0.9012623212537626</v>
          </cell>
          <cell r="E77">
            <v>2268014.851143444</v>
          </cell>
          <cell r="F77" t="str">
            <v>% brut</v>
          </cell>
          <cell r="G77">
            <v>0.97583301821046864</v>
          </cell>
          <cell r="H77">
            <v>170023.37307816133</v>
          </cell>
          <cell r="I77" t="str">
            <v>% brut</v>
          </cell>
          <cell r="J77">
            <v>1.1261423368107386</v>
          </cell>
          <cell r="K77">
            <v>145590.14184075673</v>
          </cell>
          <cell r="L77" t="str">
            <v>% brut</v>
          </cell>
          <cell r="M77">
            <v>0.86801085268705813</v>
          </cell>
          <cell r="N77">
            <v>202091.72943560223</v>
          </cell>
          <cell r="O77" t="str">
            <v>% brut</v>
          </cell>
          <cell r="P77">
            <v>0.8265869900897882</v>
          </cell>
          <cell r="Q77">
            <v>209596.58265513196</v>
          </cell>
          <cell r="R77" t="str">
            <v>% brut</v>
          </cell>
          <cell r="S77">
            <v>0.80091880855596054</v>
          </cell>
          <cell r="T77">
            <v>222474.07048813195</v>
          </cell>
          <cell r="U77" t="str">
            <v>% brut</v>
          </cell>
          <cell r="V77">
            <v>0.91609755108714397</v>
          </cell>
          <cell r="W77">
            <v>181610.18093578785</v>
          </cell>
          <cell r="X77" t="str">
            <v>% brut</v>
          </cell>
          <cell r="Y77">
            <v>0.9094719709954423</v>
          </cell>
          <cell r="Z77">
            <v>184840.13237719401</v>
          </cell>
          <cell r="AA77" t="str">
            <v>% brut</v>
          </cell>
          <cell r="AB77">
            <v>0.91179061909450398</v>
          </cell>
          <cell r="AC77">
            <v>188991.06436820622</v>
          </cell>
          <cell r="AD77" t="str">
            <v>% brut</v>
          </cell>
          <cell r="AE77">
            <v>0.89819228986879418</v>
          </cell>
          <cell r="AF77">
            <v>192384.08339909933</v>
          </cell>
          <cell r="AG77" t="str">
            <v>% brut</v>
          </cell>
          <cell r="AH77">
            <v>0.84879754853943601</v>
          </cell>
          <cell r="AI77">
            <v>207404.40623374068</v>
          </cell>
          <cell r="AJ77" t="str">
            <v>% brut</v>
          </cell>
          <cell r="AK77">
            <v>0.83881014948624166</v>
          </cell>
          <cell r="AL77">
            <v>213665.3867536324</v>
          </cell>
          <cell r="AM77" t="str">
            <v>% brut</v>
          </cell>
          <cell r="AN77">
            <v>1.1779348456856122</v>
          </cell>
          <cell r="AO77">
            <v>149343.69957799962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54624.175776000004</v>
          </cell>
          <cell r="H78">
            <v>0</v>
          </cell>
          <cell r="K78">
            <v>0</v>
          </cell>
          <cell r="N78">
            <v>10069.275775575905</v>
          </cell>
          <cell r="Q78">
            <v>0</v>
          </cell>
          <cell r="T78">
            <v>0</v>
          </cell>
          <cell r="W78">
            <v>16584.689512713256</v>
          </cell>
          <cell r="Z78">
            <v>0</v>
          </cell>
          <cell r="AC78">
            <v>0</v>
          </cell>
          <cell r="AF78">
            <v>15729.130133089158</v>
          </cell>
          <cell r="AI78">
            <v>0</v>
          </cell>
          <cell r="AL78">
            <v>0</v>
          </cell>
          <cell r="AO78">
            <v>12241.080354621687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777263.49903074617</v>
          </cell>
          <cell r="H81">
            <v>54408.444932152241</v>
          </cell>
          <cell r="K81">
            <v>39973.551378724093</v>
          </cell>
          <cell r="N81">
            <v>71064.091339953928</v>
          </cell>
          <cell r="Q81">
            <v>77726.349903074617</v>
          </cell>
          <cell r="T81">
            <v>85498.984893382076</v>
          </cell>
          <cell r="W81">
            <v>59960.327068086131</v>
          </cell>
          <cell r="Z81">
            <v>62181.079922459692</v>
          </cell>
          <cell r="AC81">
            <v>64401.832776833246</v>
          </cell>
          <cell r="AF81">
            <v>66622.585631206806</v>
          </cell>
          <cell r="AI81">
            <v>76615.973475887848</v>
          </cell>
          <cell r="AL81">
            <v>79947.102757448185</v>
          </cell>
          <cell r="AO81">
            <v>38863.174951537309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244888.15881600004</v>
          </cell>
          <cell r="H85">
            <v>17142.171117120004</v>
          </cell>
          <cell r="K85">
            <v>12594.248167680002</v>
          </cell>
          <cell r="N85">
            <v>22389.774520319999</v>
          </cell>
          <cell r="Q85">
            <v>24488.815881600003</v>
          </cell>
          <cell r="T85">
            <v>26937.697469760002</v>
          </cell>
          <cell r="W85">
            <v>18891.372251520002</v>
          </cell>
          <cell r="Z85">
            <v>19591.052705280003</v>
          </cell>
          <cell r="AC85">
            <v>20290.733159040003</v>
          </cell>
          <cell r="AF85">
            <v>20990.413612800003</v>
          </cell>
          <cell r="AI85">
            <v>24138.975654720009</v>
          </cell>
          <cell r="AL85">
            <v>25188.496335360003</v>
          </cell>
          <cell r="AO85">
            <v>12244.407940800002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1076775.8336227462</v>
          </cell>
          <cell r="H86">
            <v>71550.616049272241</v>
          </cell>
          <cell r="K86">
            <v>52567.799546404094</v>
          </cell>
          <cell r="N86">
            <v>103523.14163584984</v>
          </cell>
          <cell r="Q86">
            <v>102215.16578467462</v>
          </cell>
          <cell r="T86">
            <v>112436.68236314208</v>
          </cell>
          <cell r="W86">
            <v>95436.388832319397</v>
          </cell>
          <cell r="Z86">
            <v>81772.132627739687</v>
          </cell>
          <cell r="AC86">
            <v>84692.565935873252</v>
          </cell>
          <cell r="AF86">
            <v>103342.12937709596</v>
          </cell>
          <cell r="AI86">
            <v>100754.94913060786</v>
          </cell>
          <cell r="AL86">
            <v>105135.59909280819</v>
          </cell>
          <cell r="AO86">
            <v>63348.663246958997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1325247.9115993022</v>
          </cell>
          <cell r="H88">
            <v>75761.328009510908</v>
          </cell>
          <cell r="K88">
            <v>36259.842631818778</v>
          </cell>
          <cell r="N88">
            <v>134253.07429121903</v>
          </cell>
          <cell r="Q88">
            <v>146187.27604154276</v>
          </cell>
          <cell r="T88">
            <v>167736.17407821014</v>
          </cell>
          <cell r="W88">
            <v>112069.4852857887</v>
          </cell>
          <cell r="Z88">
            <v>100170.95458014568</v>
          </cell>
          <cell r="AC88">
            <v>102976.13283760988</v>
          </cell>
          <cell r="AF88">
            <v>125148.35418828236</v>
          </cell>
          <cell r="AI88">
            <v>137701.3973386958</v>
          </cell>
          <cell r="AL88">
            <v>146194.58219151862</v>
          </cell>
          <cell r="AO88">
            <v>40789.310124959418</v>
          </cell>
        </row>
        <row r="92">
          <cell r="B92" t="str">
            <v>Budget 2023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19554920.812632091</v>
          </cell>
          <cell r="H96">
            <v>1378872.6214035451</v>
          </cell>
          <cell r="K96">
            <v>1378872.6214035451</v>
          </cell>
          <cell r="N96">
            <v>1587792.7155555976</v>
          </cell>
          <cell r="Q96">
            <v>2172768.9791813437</v>
          </cell>
          <cell r="T96">
            <v>2089200.941520523</v>
          </cell>
          <cell r="W96">
            <v>1671360.7532164184</v>
          </cell>
          <cell r="Z96">
            <v>1504224.6778947767</v>
          </cell>
          <cell r="AC96">
            <v>1671360.7532164184</v>
          </cell>
          <cell r="AF96">
            <v>1587792.7155555976</v>
          </cell>
          <cell r="AI96">
            <v>1713144.7720468286</v>
          </cell>
          <cell r="AL96">
            <v>1629576.734386008</v>
          </cell>
          <cell r="AO96">
            <v>1169952.527251493</v>
          </cell>
        </row>
        <row r="97">
          <cell r="A97" t="str">
            <v>Véhicules usagésCertifié</v>
          </cell>
          <cell r="B97" t="str">
            <v>Certifié</v>
          </cell>
          <cell r="C97">
            <v>468</v>
          </cell>
          <cell r="D97">
            <v>1858</v>
          </cell>
          <cell r="E97">
            <v>869544</v>
          </cell>
          <cell r="F97">
            <v>33</v>
          </cell>
          <cell r="G97">
            <v>1858</v>
          </cell>
          <cell r="H97">
            <v>61314</v>
          </cell>
          <cell r="I97">
            <v>33</v>
          </cell>
          <cell r="J97">
            <v>1858</v>
          </cell>
          <cell r="K97">
            <v>61314</v>
          </cell>
          <cell r="L97">
            <v>38</v>
          </cell>
          <cell r="M97">
            <v>1858</v>
          </cell>
          <cell r="N97">
            <v>70604</v>
          </cell>
          <cell r="O97">
            <v>52</v>
          </cell>
          <cell r="P97">
            <v>1858</v>
          </cell>
          <cell r="Q97">
            <v>96616</v>
          </cell>
          <cell r="R97">
            <v>50</v>
          </cell>
          <cell r="S97">
            <v>1858</v>
          </cell>
          <cell r="T97">
            <v>92900</v>
          </cell>
          <cell r="U97">
            <v>40</v>
          </cell>
          <cell r="V97">
            <v>1858</v>
          </cell>
          <cell r="W97">
            <v>74320</v>
          </cell>
          <cell r="X97">
            <v>36</v>
          </cell>
          <cell r="Y97">
            <v>1858</v>
          </cell>
          <cell r="Z97">
            <v>66888</v>
          </cell>
          <cell r="AA97">
            <v>40</v>
          </cell>
          <cell r="AB97">
            <v>1858</v>
          </cell>
          <cell r="AC97">
            <v>74320</v>
          </cell>
          <cell r="AD97">
            <v>38</v>
          </cell>
          <cell r="AE97">
            <v>1858</v>
          </cell>
          <cell r="AF97">
            <v>70604</v>
          </cell>
          <cell r="AG97">
            <v>41</v>
          </cell>
          <cell r="AH97">
            <v>1858</v>
          </cell>
          <cell r="AI97">
            <v>76178</v>
          </cell>
          <cell r="AJ97">
            <v>39</v>
          </cell>
          <cell r="AK97">
            <v>1858</v>
          </cell>
          <cell r="AL97">
            <v>72462</v>
          </cell>
          <cell r="AM97">
            <v>28</v>
          </cell>
          <cell r="AN97">
            <v>1858</v>
          </cell>
          <cell r="AO97">
            <v>52024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468</v>
          </cell>
          <cell r="D99">
            <v>1858</v>
          </cell>
          <cell r="E99">
            <v>869544</v>
          </cell>
          <cell r="F99">
            <v>33</v>
          </cell>
          <cell r="G99">
            <v>1858</v>
          </cell>
          <cell r="H99">
            <v>61314</v>
          </cell>
          <cell r="I99">
            <v>33</v>
          </cell>
          <cell r="J99">
            <v>1858</v>
          </cell>
          <cell r="K99">
            <v>61314</v>
          </cell>
          <cell r="L99">
            <v>38</v>
          </cell>
          <cell r="M99">
            <v>1858</v>
          </cell>
          <cell r="N99">
            <v>70604</v>
          </cell>
          <cell r="O99">
            <v>52</v>
          </cell>
          <cell r="P99">
            <v>1858</v>
          </cell>
          <cell r="Q99">
            <v>96616</v>
          </cell>
          <cell r="R99">
            <v>50</v>
          </cell>
          <cell r="S99">
            <v>1858</v>
          </cell>
          <cell r="T99">
            <v>92900</v>
          </cell>
          <cell r="U99">
            <v>40</v>
          </cell>
          <cell r="V99">
            <v>1858</v>
          </cell>
          <cell r="W99">
            <v>74320</v>
          </cell>
          <cell r="X99">
            <v>36</v>
          </cell>
          <cell r="Y99">
            <v>1858</v>
          </cell>
          <cell r="Z99">
            <v>66888</v>
          </cell>
          <cell r="AA99">
            <v>40</v>
          </cell>
          <cell r="AB99">
            <v>1858</v>
          </cell>
          <cell r="AC99">
            <v>74320</v>
          </cell>
          <cell r="AD99">
            <v>38</v>
          </cell>
          <cell r="AE99">
            <v>1858</v>
          </cell>
          <cell r="AF99">
            <v>70604</v>
          </cell>
          <cell r="AG99">
            <v>41</v>
          </cell>
          <cell r="AH99">
            <v>1858</v>
          </cell>
          <cell r="AI99">
            <v>76178</v>
          </cell>
          <cell r="AJ99">
            <v>39</v>
          </cell>
          <cell r="AK99">
            <v>1858</v>
          </cell>
          <cell r="AL99">
            <v>72462</v>
          </cell>
          <cell r="AM99">
            <v>28</v>
          </cell>
          <cell r="AN99">
            <v>1858</v>
          </cell>
          <cell r="AO99">
            <v>52024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395.99999999999994</v>
          </cell>
          <cell r="D102">
            <v>399.00000000000011</v>
          </cell>
          <cell r="E102">
            <v>158004.00000000003</v>
          </cell>
          <cell r="F102">
            <v>27.923076923076923</v>
          </cell>
          <cell r="G102">
            <v>399.00000000000006</v>
          </cell>
          <cell r="H102">
            <v>11141.307692307693</v>
          </cell>
          <cell r="I102">
            <v>27.923076923076923</v>
          </cell>
          <cell r="J102">
            <v>399.00000000000006</v>
          </cell>
          <cell r="K102">
            <v>11141.307692307693</v>
          </cell>
          <cell r="L102">
            <v>32.153846153846153</v>
          </cell>
          <cell r="M102">
            <v>399</v>
          </cell>
          <cell r="N102">
            <v>12829.384615384615</v>
          </cell>
          <cell r="O102">
            <v>44</v>
          </cell>
          <cell r="P102">
            <v>399</v>
          </cell>
          <cell r="Q102">
            <v>17556</v>
          </cell>
          <cell r="R102">
            <v>42.307692307692307</v>
          </cell>
          <cell r="S102">
            <v>399</v>
          </cell>
          <cell r="T102">
            <v>16880.76923076923</v>
          </cell>
          <cell r="U102">
            <v>33.846153846153847</v>
          </cell>
          <cell r="V102">
            <v>399</v>
          </cell>
          <cell r="W102">
            <v>13504.615384615385</v>
          </cell>
          <cell r="X102">
            <v>30.46153846153846</v>
          </cell>
          <cell r="Y102">
            <v>399</v>
          </cell>
          <cell r="Z102">
            <v>12154.153846153846</v>
          </cell>
          <cell r="AA102">
            <v>33.846153846153847</v>
          </cell>
          <cell r="AB102">
            <v>399</v>
          </cell>
          <cell r="AC102">
            <v>13504.615384615385</v>
          </cell>
          <cell r="AD102">
            <v>32.153846153846153</v>
          </cell>
          <cell r="AE102">
            <v>399</v>
          </cell>
          <cell r="AF102">
            <v>12829.384615384615</v>
          </cell>
          <cell r="AG102">
            <v>34.692307692307693</v>
          </cell>
          <cell r="AH102">
            <v>399</v>
          </cell>
          <cell r="AI102">
            <v>13842.23076923077</v>
          </cell>
          <cell r="AJ102">
            <v>33</v>
          </cell>
          <cell r="AK102">
            <v>399</v>
          </cell>
          <cell r="AL102">
            <v>13167</v>
          </cell>
          <cell r="AM102">
            <v>23.692307692307693</v>
          </cell>
          <cell r="AN102">
            <v>399</v>
          </cell>
          <cell r="AO102">
            <v>9453.2307692307695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500</v>
          </cell>
          <cell r="E104">
            <v>234000</v>
          </cell>
          <cell r="G104">
            <v>500</v>
          </cell>
          <cell r="H104">
            <v>16500</v>
          </cell>
          <cell r="J104">
            <v>500</v>
          </cell>
          <cell r="K104">
            <v>16500</v>
          </cell>
          <cell r="M104">
            <v>500</v>
          </cell>
          <cell r="N104">
            <v>19000</v>
          </cell>
          <cell r="P104">
            <v>500</v>
          </cell>
          <cell r="Q104">
            <v>26000</v>
          </cell>
          <cell r="S104">
            <v>500</v>
          </cell>
          <cell r="T104">
            <v>25000</v>
          </cell>
          <cell r="V104">
            <v>500</v>
          </cell>
          <cell r="W104">
            <v>20000</v>
          </cell>
          <cell r="Y104">
            <v>500</v>
          </cell>
          <cell r="Z104">
            <v>18000</v>
          </cell>
          <cell r="AB104">
            <v>500</v>
          </cell>
          <cell r="AC104">
            <v>20000</v>
          </cell>
          <cell r="AE104">
            <v>500</v>
          </cell>
          <cell r="AF104">
            <v>19000</v>
          </cell>
          <cell r="AH104">
            <v>500</v>
          </cell>
          <cell r="AI104">
            <v>20500</v>
          </cell>
          <cell r="AK104">
            <v>500</v>
          </cell>
          <cell r="AL104">
            <v>19500</v>
          </cell>
          <cell r="AN104">
            <v>500</v>
          </cell>
          <cell r="AO104">
            <v>14000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1250</v>
          </cell>
          <cell r="E105">
            <v>585000</v>
          </cell>
          <cell r="G105">
            <v>1250</v>
          </cell>
          <cell r="H105">
            <v>41250</v>
          </cell>
          <cell r="J105">
            <v>1250</v>
          </cell>
          <cell r="K105">
            <v>41250</v>
          </cell>
          <cell r="M105">
            <v>1250</v>
          </cell>
          <cell r="N105">
            <v>47500</v>
          </cell>
          <cell r="P105">
            <v>1250</v>
          </cell>
          <cell r="Q105">
            <v>65000</v>
          </cell>
          <cell r="S105">
            <v>1250</v>
          </cell>
          <cell r="T105">
            <v>62500</v>
          </cell>
          <cell r="V105">
            <v>1250</v>
          </cell>
          <cell r="W105">
            <v>50000</v>
          </cell>
          <cell r="Y105">
            <v>1250</v>
          </cell>
          <cell r="Z105">
            <v>45000</v>
          </cell>
          <cell r="AB105">
            <v>1250</v>
          </cell>
          <cell r="AC105">
            <v>50000</v>
          </cell>
          <cell r="AE105">
            <v>1250</v>
          </cell>
          <cell r="AF105">
            <v>47500</v>
          </cell>
          <cell r="AH105">
            <v>1250</v>
          </cell>
          <cell r="AI105">
            <v>51250</v>
          </cell>
          <cell r="AK105">
            <v>1250</v>
          </cell>
          <cell r="AL105">
            <v>48750</v>
          </cell>
          <cell r="AN105">
            <v>1250</v>
          </cell>
          <cell r="AO105">
            <v>35000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350</v>
          </cell>
          <cell r="E106">
            <v>163800</v>
          </cell>
          <cell r="G106">
            <v>350</v>
          </cell>
          <cell r="H106">
            <v>11550</v>
          </cell>
          <cell r="J106">
            <v>350</v>
          </cell>
          <cell r="K106">
            <v>11550</v>
          </cell>
          <cell r="M106">
            <v>350</v>
          </cell>
          <cell r="N106">
            <v>13300</v>
          </cell>
          <cell r="P106">
            <v>350</v>
          </cell>
          <cell r="Q106">
            <v>18200</v>
          </cell>
          <cell r="S106">
            <v>350</v>
          </cell>
          <cell r="T106">
            <v>17500</v>
          </cell>
          <cell r="V106">
            <v>350</v>
          </cell>
          <cell r="W106">
            <v>14000</v>
          </cell>
          <cell r="Y106">
            <v>350</v>
          </cell>
          <cell r="Z106">
            <v>12600</v>
          </cell>
          <cell r="AB106">
            <v>350</v>
          </cell>
          <cell r="AC106">
            <v>14000</v>
          </cell>
          <cell r="AE106">
            <v>350</v>
          </cell>
          <cell r="AF106">
            <v>13300</v>
          </cell>
          <cell r="AH106">
            <v>350</v>
          </cell>
          <cell r="AI106">
            <v>14350</v>
          </cell>
          <cell r="AK106">
            <v>350</v>
          </cell>
          <cell r="AL106">
            <v>13650</v>
          </cell>
          <cell r="AN106">
            <v>350</v>
          </cell>
          <cell r="AO106">
            <v>9800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468</v>
          </cell>
          <cell r="D107">
            <v>2100</v>
          </cell>
          <cell r="E107">
            <v>982800</v>
          </cell>
          <cell r="F107">
            <v>33</v>
          </cell>
          <cell r="G107">
            <v>2100</v>
          </cell>
          <cell r="H107">
            <v>69300</v>
          </cell>
          <cell r="I107">
            <v>33</v>
          </cell>
          <cell r="J107">
            <v>2100</v>
          </cell>
          <cell r="K107">
            <v>69300</v>
          </cell>
          <cell r="L107">
            <v>38</v>
          </cell>
          <cell r="M107">
            <v>2100</v>
          </cell>
          <cell r="N107">
            <v>79800</v>
          </cell>
          <cell r="O107">
            <v>52</v>
          </cell>
          <cell r="P107">
            <v>2100</v>
          </cell>
          <cell r="Q107">
            <v>109200</v>
          </cell>
          <cell r="R107">
            <v>50</v>
          </cell>
          <cell r="S107">
            <v>2100</v>
          </cell>
          <cell r="T107">
            <v>105000</v>
          </cell>
          <cell r="U107">
            <v>40</v>
          </cell>
          <cell r="V107">
            <v>2100</v>
          </cell>
          <cell r="W107">
            <v>84000</v>
          </cell>
          <cell r="X107">
            <v>36</v>
          </cell>
          <cell r="Y107">
            <v>2100</v>
          </cell>
          <cell r="Z107">
            <v>75600</v>
          </cell>
          <cell r="AA107">
            <v>40</v>
          </cell>
          <cell r="AB107">
            <v>2100</v>
          </cell>
          <cell r="AC107">
            <v>84000</v>
          </cell>
          <cell r="AD107">
            <v>38</v>
          </cell>
          <cell r="AE107">
            <v>2100</v>
          </cell>
          <cell r="AF107">
            <v>79800</v>
          </cell>
          <cell r="AG107">
            <v>41</v>
          </cell>
          <cell r="AH107">
            <v>2100</v>
          </cell>
          <cell r="AI107">
            <v>86100</v>
          </cell>
          <cell r="AJ107">
            <v>39</v>
          </cell>
          <cell r="AK107">
            <v>2100</v>
          </cell>
          <cell r="AL107">
            <v>81900</v>
          </cell>
          <cell r="AM107">
            <v>28</v>
          </cell>
          <cell r="AN107">
            <v>2100</v>
          </cell>
          <cell r="AO107">
            <v>58800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864</v>
          </cell>
          <cell r="D110">
            <v>2326.7916666666665</v>
          </cell>
          <cell r="E110">
            <v>2010348</v>
          </cell>
          <cell r="F110">
            <v>60.92307692307692</v>
          </cell>
          <cell r="G110">
            <v>2326.7916666666665</v>
          </cell>
          <cell r="H110">
            <v>141755.30769230769</v>
          </cell>
          <cell r="I110">
            <v>60.92307692307692</v>
          </cell>
          <cell r="J110">
            <v>2326.7916666666665</v>
          </cell>
          <cell r="K110">
            <v>141755.30769230769</v>
          </cell>
          <cell r="L110">
            <v>70.15384615384616</v>
          </cell>
          <cell r="M110">
            <v>2326.7916666666665</v>
          </cell>
          <cell r="N110">
            <v>163233.38461538462</v>
          </cell>
          <cell r="O110">
            <v>96</v>
          </cell>
          <cell r="P110">
            <v>2326.7916666666665</v>
          </cell>
          <cell r="Q110">
            <v>223372</v>
          </cell>
          <cell r="R110">
            <v>92.307692307692307</v>
          </cell>
          <cell r="S110">
            <v>2326.7916666666665</v>
          </cell>
          <cell r="T110">
            <v>214780.76923076922</v>
          </cell>
          <cell r="U110">
            <v>73.84615384615384</v>
          </cell>
          <cell r="V110">
            <v>2326.791666666667</v>
          </cell>
          <cell r="W110">
            <v>171824.61538461538</v>
          </cell>
          <cell r="X110">
            <v>66.461538461538453</v>
          </cell>
          <cell r="Y110">
            <v>2326.791666666667</v>
          </cell>
          <cell r="Z110">
            <v>154642.15384615384</v>
          </cell>
          <cell r="AA110">
            <v>73.84615384615384</v>
          </cell>
          <cell r="AB110">
            <v>2326.791666666667</v>
          </cell>
          <cell r="AC110">
            <v>171824.61538461538</v>
          </cell>
          <cell r="AD110">
            <v>70.15384615384616</v>
          </cell>
          <cell r="AE110">
            <v>2326.7916666666665</v>
          </cell>
          <cell r="AF110">
            <v>163233.38461538462</v>
          </cell>
          <cell r="AG110">
            <v>75.692307692307693</v>
          </cell>
          <cell r="AH110">
            <v>2326.791666666667</v>
          </cell>
          <cell r="AI110">
            <v>176120.23076923078</v>
          </cell>
          <cell r="AJ110">
            <v>72</v>
          </cell>
          <cell r="AK110">
            <v>2326.7916666666665</v>
          </cell>
          <cell r="AL110">
            <v>167529</v>
          </cell>
          <cell r="AM110">
            <v>51.692307692307693</v>
          </cell>
          <cell r="AN110">
            <v>2326.7916666666665</v>
          </cell>
          <cell r="AO110">
            <v>120277.23076923077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0.31318484171013772</v>
          </cell>
          <cell r="D114">
            <v>581.89743589743591</v>
          </cell>
          <cell r="E114">
            <v>272328</v>
          </cell>
          <cell r="G114">
            <v>608.0454545454545</v>
          </cell>
          <cell r="H114">
            <v>20065.5</v>
          </cell>
          <cell r="J114">
            <v>604.10606060606062</v>
          </cell>
          <cell r="K114">
            <v>19935.5</v>
          </cell>
          <cell r="M114">
            <v>589.81578947368416</v>
          </cell>
          <cell r="N114">
            <v>22413</v>
          </cell>
          <cell r="P114">
            <v>547.92307692307691</v>
          </cell>
          <cell r="Q114">
            <v>28492</v>
          </cell>
          <cell r="S114">
            <v>549.5</v>
          </cell>
          <cell r="T114">
            <v>27475</v>
          </cell>
          <cell r="V114">
            <v>579.25</v>
          </cell>
          <cell r="W114">
            <v>23170</v>
          </cell>
          <cell r="Y114">
            <v>597.94444444444446</v>
          </cell>
          <cell r="Z114">
            <v>21526</v>
          </cell>
          <cell r="AB114">
            <v>579.25</v>
          </cell>
          <cell r="AC114">
            <v>23170</v>
          </cell>
          <cell r="AE114">
            <v>586.39473684210532</v>
          </cell>
          <cell r="AF114">
            <v>22283</v>
          </cell>
          <cell r="AH114">
            <v>575.93902439024396</v>
          </cell>
          <cell r="AI114">
            <v>23613.5</v>
          </cell>
          <cell r="AK114">
            <v>582.73076923076928</v>
          </cell>
          <cell r="AL114">
            <v>22726.5</v>
          </cell>
          <cell r="AN114">
            <v>623.5</v>
          </cell>
          <cell r="AO114">
            <v>17458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630</v>
          </cell>
          <cell r="E115">
            <v>294840</v>
          </cell>
          <cell r="G115">
            <v>630</v>
          </cell>
          <cell r="H115">
            <v>20790</v>
          </cell>
          <cell r="J115">
            <v>630</v>
          </cell>
          <cell r="K115">
            <v>20790</v>
          </cell>
          <cell r="M115">
            <v>630</v>
          </cell>
          <cell r="N115">
            <v>23940</v>
          </cell>
          <cell r="P115">
            <v>630</v>
          </cell>
          <cell r="Q115">
            <v>32760</v>
          </cell>
          <cell r="S115">
            <v>630</v>
          </cell>
          <cell r="T115">
            <v>31500</v>
          </cell>
          <cell r="V115">
            <v>630</v>
          </cell>
          <cell r="W115">
            <v>25200</v>
          </cell>
          <cell r="Y115">
            <v>630</v>
          </cell>
          <cell r="Z115">
            <v>22680</v>
          </cell>
          <cell r="AB115">
            <v>630</v>
          </cell>
          <cell r="AC115">
            <v>25200</v>
          </cell>
          <cell r="AE115">
            <v>630</v>
          </cell>
          <cell r="AF115">
            <v>23940</v>
          </cell>
          <cell r="AH115">
            <v>630</v>
          </cell>
          <cell r="AI115">
            <v>25830</v>
          </cell>
          <cell r="AK115">
            <v>630</v>
          </cell>
          <cell r="AL115">
            <v>24570</v>
          </cell>
          <cell r="AN115">
            <v>630</v>
          </cell>
          <cell r="AO115">
            <v>17640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43.638219139208317</v>
          </cell>
          <cell r="E116">
            <v>20422.686557149493</v>
          </cell>
          <cell r="G116">
            <v>43.638219139208324</v>
          </cell>
          <cell r="H116">
            <v>1440.0612315938747</v>
          </cell>
          <cell r="J116">
            <v>43.638219139208324</v>
          </cell>
          <cell r="K116">
            <v>1440.0612315938747</v>
          </cell>
          <cell r="M116">
            <v>43.638219139208324</v>
          </cell>
          <cell r="N116">
            <v>1658.2523272899164</v>
          </cell>
          <cell r="P116">
            <v>43.638219139208324</v>
          </cell>
          <cell r="Q116">
            <v>2269.1873952388328</v>
          </cell>
          <cell r="S116">
            <v>43.638219139208324</v>
          </cell>
          <cell r="T116">
            <v>2181.9109569604161</v>
          </cell>
          <cell r="V116">
            <v>43.638219139208324</v>
          </cell>
          <cell r="W116">
            <v>1745.528765568333</v>
          </cell>
          <cell r="Y116">
            <v>43.638219139208324</v>
          </cell>
          <cell r="Z116">
            <v>1570.9758890114997</v>
          </cell>
          <cell r="AB116">
            <v>43.638219139208324</v>
          </cell>
          <cell r="AC116">
            <v>1745.528765568333</v>
          </cell>
          <cell r="AE116">
            <v>43.638219139208324</v>
          </cell>
          <cell r="AF116">
            <v>1658.2523272899164</v>
          </cell>
          <cell r="AH116">
            <v>43.638219139208324</v>
          </cell>
          <cell r="AI116">
            <v>1789.1669847075414</v>
          </cell>
          <cell r="AK116">
            <v>43.638219139208324</v>
          </cell>
          <cell r="AL116">
            <v>1701.8905464291247</v>
          </cell>
          <cell r="AN116">
            <v>43.638219139208324</v>
          </cell>
          <cell r="AO116">
            <v>1221.8701358978331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15.731566240051016</v>
          </cell>
          <cell r="E117">
            <v>7362.3730003438759</v>
          </cell>
          <cell r="G117">
            <v>15.731566240051018</v>
          </cell>
          <cell r="H117">
            <v>519.14168592168357</v>
          </cell>
          <cell r="J117">
            <v>15.731566240051018</v>
          </cell>
          <cell r="K117">
            <v>519.14168592168357</v>
          </cell>
          <cell r="M117">
            <v>15.731566240051016</v>
          </cell>
          <cell r="N117">
            <v>597.79951712193861</v>
          </cell>
          <cell r="P117">
            <v>15.731566240051016</v>
          </cell>
          <cell r="Q117">
            <v>818.04144448265288</v>
          </cell>
          <cell r="S117">
            <v>15.731566240051016</v>
          </cell>
          <cell r="T117">
            <v>786.57831200255077</v>
          </cell>
          <cell r="V117">
            <v>15.731566240051018</v>
          </cell>
          <cell r="W117">
            <v>629.26264960204071</v>
          </cell>
          <cell r="Y117">
            <v>15.731566240051016</v>
          </cell>
          <cell r="Z117">
            <v>566.33638464183662</v>
          </cell>
          <cell r="AB117">
            <v>15.731566240051018</v>
          </cell>
          <cell r="AC117">
            <v>629.26264960204071</v>
          </cell>
          <cell r="AE117">
            <v>15.731566240051016</v>
          </cell>
          <cell r="AF117">
            <v>597.79951712193861</v>
          </cell>
          <cell r="AH117">
            <v>15.731566240051016</v>
          </cell>
          <cell r="AI117">
            <v>644.99421584209165</v>
          </cell>
          <cell r="AK117">
            <v>15.731566240051016</v>
          </cell>
          <cell r="AL117">
            <v>613.53108336198966</v>
          </cell>
          <cell r="AN117">
            <v>15.731566240051015</v>
          </cell>
          <cell r="AO117">
            <v>440.48385472142843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125.42456696334295</v>
          </cell>
          <cell r="E118">
            <v>58698.697338844504</v>
          </cell>
          <cell r="G118">
            <v>125.42456696334298</v>
          </cell>
          <cell r="H118">
            <v>4139.0107097903183</v>
          </cell>
          <cell r="J118">
            <v>125.42456696334298</v>
          </cell>
          <cell r="K118">
            <v>4139.0107097903183</v>
          </cell>
          <cell r="M118">
            <v>125.42456696334295</v>
          </cell>
          <cell r="N118">
            <v>4766.1335446070325</v>
          </cell>
          <cell r="P118">
            <v>125.42456696334297</v>
          </cell>
          <cell r="Q118">
            <v>6522.0774820938341</v>
          </cell>
          <cell r="S118">
            <v>125.42456696334297</v>
          </cell>
          <cell r="T118">
            <v>6271.2283481671484</v>
          </cell>
          <cell r="V118">
            <v>125.42456696334298</v>
          </cell>
          <cell r="W118">
            <v>5016.9826785337191</v>
          </cell>
          <cell r="Y118">
            <v>125.42456696334297</v>
          </cell>
          <cell r="Z118">
            <v>4515.2844106803468</v>
          </cell>
          <cell r="AB118">
            <v>125.42456696334298</v>
          </cell>
          <cell r="AC118">
            <v>5016.9826785337191</v>
          </cell>
          <cell r="AE118">
            <v>125.42456696334295</v>
          </cell>
          <cell r="AF118">
            <v>4766.1335446070325</v>
          </cell>
          <cell r="AH118">
            <v>125.42456696334297</v>
          </cell>
          <cell r="AI118">
            <v>5142.4072454970619</v>
          </cell>
          <cell r="AK118">
            <v>125.42456696334295</v>
          </cell>
          <cell r="AL118">
            <v>4891.5581115703753</v>
          </cell>
          <cell r="AN118">
            <v>125.42456696334297</v>
          </cell>
          <cell r="AO118">
            <v>3511.8878749736032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69.006410256410263</v>
          </cell>
          <cell r="E119">
            <v>32295</v>
          </cell>
          <cell r="G119">
            <v>69.006410256410248</v>
          </cell>
          <cell r="H119">
            <v>2277.2115384615381</v>
          </cell>
          <cell r="J119">
            <v>69.006410256410248</v>
          </cell>
          <cell r="K119">
            <v>2277.2115384615381</v>
          </cell>
          <cell r="M119">
            <v>69.006410256410263</v>
          </cell>
          <cell r="N119">
            <v>2622.2435897435898</v>
          </cell>
          <cell r="P119">
            <v>69.006410256410234</v>
          </cell>
          <cell r="Q119">
            <v>3588.3333333333321</v>
          </cell>
          <cell r="S119">
            <v>69.006410256410234</v>
          </cell>
          <cell r="T119">
            <v>3450.3205128205118</v>
          </cell>
          <cell r="V119">
            <v>69.006410256410248</v>
          </cell>
          <cell r="W119">
            <v>2760.2564102564102</v>
          </cell>
          <cell r="Y119">
            <v>69.006410256410234</v>
          </cell>
          <cell r="Z119">
            <v>2484.2307692307686</v>
          </cell>
          <cell r="AB119">
            <v>69.006410256410248</v>
          </cell>
          <cell r="AC119">
            <v>2760.2564102564102</v>
          </cell>
          <cell r="AE119">
            <v>69.006410256410263</v>
          </cell>
          <cell r="AF119">
            <v>2622.2435897435898</v>
          </cell>
          <cell r="AH119">
            <v>69.006410256410248</v>
          </cell>
          <cell r="AI119">
            <v>2829.2628205128203</v>
          </cell>
          <cell r="AK119">
            <v>69.006410256410263</v>
          </cell>
          <cell r="AL119">
            <v>2691.25</v>
          </cell>
          <cell r="AN119">
            <v>69.006410256410263</v>
          </cell>
          <cell r="AO119">
            <v>1932.1794871794873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173.8335204308629</v>
          </cell>
          <cell r="E120">
            <v>81354.087561643842</v>
          </cell>
          <cell r="G120">
            <v>240.97487754254877</v>
          </cell>
          <cell r="H120">
            <v>7952.1709589041093</v>
          </cell>
          <cell r="J120">
            <v>180.17261934412616</v>
          </cell>
          <cell r="K120">
            <v>5945.6964383561635</v>
          </cell>
          <cell r="M120">
            <v>190.71441384282625</v>
          </cell>
          <cell r="N120">
            <v>7247.1477260273969</v>
          </cell>
          <cell r="P120">
            <v>140.14539515279239</v>
          </cell>
          <cell r="Q120">
            <v>7287.5605479452042</v>
          </cell>
          <cell r="S120">
            <v>141.97741808219178</v>
          </cell>
          <cell r="T120">
            <v>7098.870904109589</v>
          </cell>
          <cell r="V120">
            <v>161.77315068493147</v>
          </cell>
          <cell r="W120">
            <v>6470.9260273972586</v>
          </cell>
          <cell r="Y120">
            <v>187.14308371385081</v>
          </cell>
          <cell r="Z120">
            <v>6737.151013698629</v>
          </cell>
          <cell r="AB120">
            <v>169.13710410958902</v>
          </cell>
          <cell r="AC120">
            <v>6765.4841643835607</v>
          </cell>
          <cell r="AE120">
            <v>173.81113193943762</v>
          </cell>
          <cell r="AF120">
            <v>6604.8230136986294</v>
          </cell>
          <cell r="AH120">
            <v>166.54364183093884</v>
          </cell>
          <cell r="AI120">
            <v>6828.2893150684922</v>
          </cell>
          <cell r="AK120">
            <v>157.71886195995782</v>
          </cell>
          <cell r="AL120">
            <v>6151.0356164383547</v>
          </cell>
          <cell r="AN120">
            <v>223.74756555772993</v>
          </cell>
          <cell r="AO120">
            <v>6264.9318356164376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0.38167563250640274</v>
          </cell>
          <cell r="E124">
            <v>767300.84445798176</v>
          </cell>
          <cell r="F124" t="str">
            <v>% brut</v>
          </cell>
          <cell r="G124">
            <v>0.40339298087372116</v>
          </cell>
          <cell r="H124">
            <v>57183.096124671531</v>
          </cell>
          <cell r="I124" t="str">
            <v>% brut</v>
          </cell>
          <cell r="J124">
            <v>0.38832141455759173</v>
          </cell>
          <cell r="K124">
            <v>55046.621604123582</v>
          </cell>
          <cell r="L124" t="str">
            <v>% brut</v>
          </cell>
          <cell r="M124">
            <v>0.38744878600544019</v>
          </cell>
          <cell r="N124">
            <v>63244.57670478987</v>
          </cell>
          <cell r="O124" t="str">
            <v>% brut</v>
          </cell>
          <cell r="P124">
            <v>0.36592410957100202</v>
          </cell>
          <cell r="Q124">
            <v>81737.20020309386</v>
          </cell>
          <cell r="R124" t="str">
            <v>% brut</v>
          </cell>
          <cell r="S124">
            <v>0.36671769691556078</v>
          </cell>
          <cell r="T124">
            <v>78763.909034060227</v>
          </cell>
          <cell r="U124" t="str">
            <v>% brut</v>
          </cell>
          <cell r="V124">
            <v>0.37825172130242418</v>
          </cell>
          <cell r="W124">
            <v>64992.956531357762</v>
          </cell>
          <cell r="X124" t="str">
            <v>% brut</v>
          </cell>
          <cell r="Y124">
            <v>0.38850971079356411</v>
          </cell>
          <cell r="Z124">
            <v>60079.978467263078</v>
          </cell>
          <cell r="AA124" t="str">
            <v>% brut</v>
          </cell>
          <cell r="AB124">
            <v>0.37996601663971885</v>
          </cell>
          <cell r="AC124">
            <v>65287.514668344062</v>
          </cell>
          <cell r="AD124" t="str">
            <v>% brut</v>
          </cell>
          <cell r="AE124">
            <v>0.38271737206001144</v>
          </cell>
          <cell r="AF124">
            <v>62472.251992461104</v>
          </cell>
          <cell r="AG124" t="str">
            <v>% brut</v>
          </cell>
          <cell r="AH124">
            <v>0.37859148997479602</v>
          </cell>
          <cell r="AI124">
            <v>66677.620581627998</v>
          </cell>
          <cell r="AJ124" t="str">
            <v>% brut</v>
          </cell>
          <cell r="AK124">
            <v>0.37811820853583467</v>
          </cell>
          <cell r="AL124">
            <v>63345.765357799843</v>
          </cell>
          <cell r="AM124" t="str">
            <v>% brut</v>
          </cell>
          <cell r="AN124">
            <v>0.40298028877455822</v>
          </cell>
          <cell r="AO124">
            <v>48469.353188388792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119960.89999999998</v>
          </cell>
          <cell r="H125">
            <v>9813.6643678160926</v>
          </cell>
          <cell r="K125">
            <v>9569.5613026819919</v>
          </cell>
          <cell r="N125">
            <v>10301.87049808429</v>
          </cell>
          <cell r="Q125">
            <v>9813.6643678160926</v>
          </cell>
          <cell r="T125">
            <v>10057.767432950193</v>
          </cell>
          <cell r="W125">
            <v>10057.767432950193</v>
          </cell>
          <cell r="Z125">
            <v>10057.767432950193</v>
          </cell>
          <cell r="AC125">
            <v>10057.767432950193</v>
          </cell>
          <cell r="AF125">
            <v>10057.767432950193</v>
          </cell>
          <cell r="AI125">
            <v>9813.6643678160926</v>
          </cell>
          <cell r="AL125">
            <v>10057.767432950193</v>
          </cell>
          <cell r="AO125">
            <v>10301.87049808429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26962.68</v>
          </cell>
          <cell r="H126">
            <v>2171.135172413793</v>
          </cell>
          <cell r="K126">
            <v>2070.1287356321841</v>
          </cell>
          <cell r="N126">
            <v>2373.1480459770119</v>
          </cell>
          <cell r="Q126">
            <v>2171.135172413793</v>
          </cell>
          <cell r="T126">
            <v>2272.1416091954025</v>
          </cell>
          <cell r="W126">
            <v>2272.1416091954025</v>
          </cell>
          <cell r="Z126">
            <v>2272.1416091954025</v>
          </cell>
          <cell r="AC126">
            <v>2272.1416091954025</v>
          </cell>
          <cell r="AF126">
            <v>2272.1416091954025</v>
          </cell>
          <cell r="AI126">
            <v>2171.135172413793</v>
          </cell>
          <cell r="AL126">
            <v>2272.1416091954025</v>
          </cell>
          <cell r="AO126">
            <v>2373.1480459770119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92290.4</v>
          </cell>
          <cell r="H127">
            <v>7425.6643678160917</v>
          </cell>
          <cell r="K127">
            <v>7072.0613026819929</v>
          </cell>
          <cell r="N127">
            <v>8132.8704980842904</v>
          </cell>
          <cell r="Q127">
            <v>7425.6643678160917</v>
          </cell>
          <cell r="T127">
            <v>7779.2674329501933</v>
          </cell>
          <cell r="W127">
            <v>7779.2674329501933</v>
          </cell>
          <cell r="Z127">
            <v>7779.2674329501933</v>
          </cell>
          <cell r="AC127">
            <v>7779.2674329501933</v>
          </cell>
          <cell r="AF127">
            <v>7779.2674329501933</v>
          </cell>
          <cell r="AI127">
            <v>7425.6643678160917</v>
          </cell>
          <cell r="AL127">
            <v>7779.2674329501933</v>
          </cell>
          <cell r="AO127">
            <v>8132.8704980842904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93120.776774864091</v>
          </cell>
          <cell r="H132">
            <v>6973.7948936173398</v>
          </cell>
          <cell r="K132">
            <v>6875.0965757792765</v>
          </cell>
          <cell r="N132">
            <v>7762.2846911987281</v>
          </cell>
          <cell r="Q132">
            <v>9275.7007030303484</v>
          </cell>
          <cell r="T132">
            <v>9102.7500966286116</v>
          </cell>
          <cell r="W132">
            <v>7905.8922480357178</v>
          </cell>
          <cell r="Z132">
            <v>7435.9520234679849</v>
          </cell>
          <cell r="AC132">
            <v>7905.8922480357178</v>
          </cell>
          <cell r="AF132">
            <v>7663.5863733606639</v>
          </cell>
          <cell r="AI132">
            <v>7943.0183923175546</v>
          </cell>
          <cell r="AL132">
            <v>7784.7393106981908</v>
          </cell>
          <cell r="AO132">
            <v>6492.0692186939632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92571.220533911721</v>
          </cell>
          <cell r="H133">
            <v>6932.6387452297995</v>
          </cell>
          <cell r="K133">
            <v>6834.5228997294671</v>
          </cell>
          <cell r="N133">
            <v>7716.4752365975191</v>
          </cell>
          <cell r="Q133">
            <v>9220.959759203377</v>
          </cell>
          <cell r="T133">
            <v>9049.0298281913474</v>
          </cell>
          <cell r="W133">
            <v>7859.2352873049313</v>
          </cell>
          <cell r="Z133">
            <v>7392.0684350417505</v>
          </cell>
          <cell r="AC133">
            <v>7859.2352873049313</v>
          </cell>
          <cell r="AF133">
            <v>7618.3593910971867</v>
          </cell>
          <cell r="AI133">
            <v>7896.1423300607803</v>
          </cell>
          <cell r="AL133">
            <v>7738.797339201059</v>
          </cell>
          <cell r="AO133">
            <v>6453.755994949559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64823.740889389162</v>
          </cell>
          <cell r="H134">
            <v>4854.6359776674599</v>
          </cell>
          <cell r="K134">
            <v>4785.9295686002179</v>
          </cell>
          <cell r="N134">
            <v>5403.5237780336147</v>
          </cell>
          <cell r="Q134">
            <v>6457.0511519086476</v>
          </cell>
          <cell r="T134">
            <v>6336.6558364447928</v>
          </cell>
          <cell r="W134">
            <v>5503.4926504654441</v>
          </cell>
          <cell r="Z134">
            <v>5176.3553089833122</v>
          </cell>
          <cell r="AC134">
            <v>5503.4926504654441</v>
          </cell>
          <cell r="AF134">
            <v>5334.8173689663718</v>
          </cell>
          <cell r="AI134">
            <v>5529.33710366375</v>
          </cell>
          <cell r="AL134">
            <v>5419.1550097159079</v>
          </cell>
          <cell r="AO134">
            <v>4519.2944844742015</v>
          </cell>
        </row>
        <row r="135">
          <cell r="A135" t="str">
            <v>Véhicules usagésCsst</v>
          </cell>
          <cell r="B135" t="str">
            <v>Csst</v>
          </cell>
          <cell r="E135">
            <v>30968.169471803198</v>
          </cell>
          <cell r="H135">
            <v>2319.1995342701293</v>
          </cell>
          <cell r="K135">
            <v>2286.376502297569</v>
          </cell>
          <cell r="N135">
            <v>2581.4190573881901</v>
          </cell>
          <cell r="Q135">
            <v>3084.7194502645634</v>
          </cell>
          <cell r="T135">
            <v>3027.2031378496754</v>
          </cell>
          <cell r="W135">
            <v>2629.177069204517</v>
          </cell>
          <cell r="Z135">
            <v>2472.8941319260221</v>
          </cell>
          <cell r="AC135">
            <v>2629.177069204517</v>
          </cell>
          <cell r="AF135">
            <v>2548.5960254156294</v>
          </cell>
          <cell r="AI135">
            <v>2641.5237094256809</v>
          </cell>
          <cell r="AL135">
            <v>2588.8865473100732</v>
          </cell>
          <cell r="AO135">
            <v>2158.9972372466286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0.25900883213750464</v>
          </cell>
          <cell r="E137">
            <v>520697.88766996813</v>
          </cell>
          <cell r="F137" t="str">
            <v>% brut</v>
          </cell>
          <cell r="G137">
            <v>0.28563821501992281</v>
          </cell>
          <cell r="H137">
            <v>40490.733058830701</v>
          </cell>
          <cell r="I137" t="str">
            <v>% brut</v>
          </cell>
          <cell r="J137">
            <v>0.27860457241662639</v>
          </cell>
          <cell r="K137">
            <v>39493.676887402697</v>
          </cell>
          <cell r="L137" t="str">
            <v>% brut</v>
          </cell>
          <cell r="M137">
            <v>0.27121652785475042</v>
          </cell>
          <cell r="N137">
            <v>44271.591805363656</v>
          </cell>
          <cell r="O137" t="str">
            <v>% brut</v>
          </cell>
          <cell r="P137">
            <v>0.21242096132215729</v>
          </cell>
          <cell r="Q137">
            <v>47448.894972452916</v>
          </cell>
          <cell r="R137" t="str">
            <v>% brut</v>
          </cell>
          <cell r="S137">
            <v>0.22173686938908468</v>
          </cell>
          <cell r="T137">
            <v>47624.815374210215</v>
          </cell>
          <cell r="U137" t="str">
            <v>% brut</v>
          </cell>
          <cell r="V137">
            <v>0.25611565392770047</v>
          </cell>
          <cell r="W137">
            <v>44006.973730106394</v>
          </cell>
          <cell r="X137" t="str">
            <v>% brut</v>
          </cell>
          <cell r="Y137">
            <v>0.27538704884362963</v>
          </cell>
          <cell r="Z137">
            <v>42586.446374514853</v>
          </cell>
          <cell r="AA137" t="str">
            <v>% brut</v>
          </cell>
          <cell r="AB137">
            <v>0.25611565392770047</v>
          </cell>
          <cell r="AC137">
            <v>44006.973730106394</v>
          </cell>
          <cell r="AD137" t="str">
            <v>% brut</v>
          </cell>
          <cell r="AE137">
            <v>0.26510836454136144</v>
          </cell>
          <cell r="AF137">
            <v>43274.535633935644</v>
          </cell>
          <cell r="AG137" t="str">
            <v>% brut</v>
          </cell>
          <cell r="AH137">
            <v>0.24653888570250243</v>
          </cell>
          <cell r="AI137">
            <v>43420.485443513739</v>
          </cell>
          <cell r="AJ137" t="str">
            <v>% brut</v>
          </cell>
          <cell r="AK137">
            <v>0.26049671807281738</v>
          </cell>
          <cell r="AL137">
            <v>43640.754682021019</v>
          </cell>
          <cell r="AM137" t="str">
            <v>% brut</v>
          </cell>
          <cell r="AN137">
            <v>0.33615677480207862</v>
          </cell>
          <cell r="AO137">
            <v>40432.005977509951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2160</v>
          </cell>
          <cell r="H140">
            <v>180</v>
          </cell>
          <cell r="K140">
            <v>180</v>
          </cell>
          <cell r="N140">
            <v>180</v>
          </cell>
          <cell r="Q140">
            <v>180</v>
          </cell>
          <cell r="T140">
            <v>180</v>
          </cell>
          <cell r="W140">
            <v>180</v>
          </cell>
          <cell r="Z140">
            <v>180</v>
          </cell>
          <cell r="AC140">
            <v>180</v>
          </cell>
          <cell r="AF140">
            <v>180</v>
          </cell>
          <cell r="AI140">
            <v>180</v>
          </cell>
          <cell r="AL140">
            <v>180</v>
          </cell>
          <cell r="AO140">
            <v>180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33052.375344000007</v>
          </cell>
          <cell r="H141">
            <v>2754.3646119999999</v>
          </cell>
          <cell r="K141">
            <v>2754.3646119999999</v>
          </cell>
          <cell r="N141">
            <v>2754.3646119999999</v>
          </cell>
          <cell r="Q141">
            <v>2754.3646119999999</v>
          </cell>
          <cell r="T141">
            <v>2754.3646119999999</v>
          </cell>
          <cell r="W141">
            <v>2754.3646119999999</v>
          </cell>
          <cell r="Z141">
            <v>2754.3646119999999</v>
          </cell>
          <cell r="AC141">
            <v>2754.3646119999999</v>
          </cell>
          <cell r="AF141">
            <v>2754.3646119999999</v>
          </cell>
          <cell r="AI141">
            <v>2754.3646119999999</v>
          </cell>
          <cell r="AL141">
            <v>2754.3646119999999</v>
          </cell>
          <cell r="AO141">
            <v>2754.3646119999999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4500.3962009999996</v>
          </cell>
          <cell r="H142">
            <v>375.03301674999994</v>
          </cell>
          <cell r="K142">
            <v>375.03301674999994</v>
          </cell>
          <cell r="N142">
            <v>375.03301674999994</v>
          </cell>
          <cell r="Q142">
            <v>375.03301674999994</v>
          </cell>
          <cell r="T142">
            <v>375.03301674999994</v>
          </cell>
          <cell r="W142">
            <v>375.03301674999994</v>
          </cell>
          <cell r="Z142">
            <v>375.03301674999994</v>
          </cell>
          <cell r="AC142">
            <v>375.03301674999994</v>
          </cell>
          <cell r="AF142">
            <v>375.03301674999994</v>
          </cell>
          <cell r="AI142">
            <v>375.03301674999994</v>
          </cell>
          <cell r="AL142">
            <v>375.03301674999994</v>
          </cell>
          <cell r="AO142">
            <v>375.03301674999994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18349.299331999999</v>
          </cell>
          <cell r="H143">
            <v>1558.9036026666665</v>
          </cell>
          <cell r="K143">
            <v>1618.0338426666667</v>
          </cell>
          <cell r="N143">
            <v>1497.2729346666665</v>
          </cell>
          <cell r="Q143">
            <v>1506.1128066666665</v>
          </cell>
          <cell r="T143">
            <v>1464.2667906666666</v>
          </cell>
          <cell r="W143">
            <v>1584.8113986666665</v>
          </cell>
          <cell r="Z143">
            <v>1545.6919986666667</v>
          </cell>
          <cell r="AC143">
            <v>1436.8411866666665</v>
          </cell>
          <cell r="AF143">
            <v>1444.8652986666666</v>
          </cell>
          <cell r="AI143">
            <v>1505.8248186666665</v>
          </cell>
          <cell r="AL143">
            <v>1680.8498346666665</v>
          </cell>
          <cell r="AO143">
            <v>1505.8248186666665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1487.4891764646707</v>
          </cell>
          <cell r="H144">
            <v>104.43468843875556</v>
          </cell>
          <cell r="K144">
            <v>88.052472712833207</v>
          </cell>
          <cell r="N144">
            <v>129.80487184201826</v>
          </cell>
          <cell r="Q144">
            <v>155.47524951475347</v>
          </cell>
          <cell r="T144">
            <v>161.70939187937071</v>
          </cell>
          <cell r="W144">
            <v>119.79021815603429</v>
          </cell>
          <cell r="Z144">
            <v>117.13645759980204</v>
          </cell>
          <cell r="AC144">
            <v>124.83089991785656</v>
          </cell>
          <cell r="AF144">
            <v>124.76419008019599</v>
          </cell>
          <cell r="AI144">
            <v>139.98630012215364</v>
          </cell>
          <cell r="AL144">
            <v>141.17976072494864</v>
          </cell>
          <cell r="AO144">
            <v>80.324675475948425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768.12245104065926</v>
          </cell>
          <cell r="H145">
            <v>53.928882392207292</v>
          </cell>
          <cell r="K145">
            <v>45.469292974030999</v>
          </cell>
          <cell r="N145">
            <v>67.029755842178261</v>
          </cell>
          <cell r="Q145">
            <v>80.285646190224185</v>
          </cell>
          <cell r="T145">
            <v>83.504886228412076</v>
          </cell>
          <cell r="W145">
            <v>61.858302861334295</v>
          </cell>
          <cell r="Z145">
            <v>60.487931167085833</v>
          </cell>
          <cell r="AC145">
            <v>64.46125345154239</v>
          </cell>
          <cell r="AF145">
            <v>64.42680525197018</v>
          </cell>
          <cell r="AI145">
            <v>72.287329321952768</v>
          </cell>
          <cell r="AL145">
            <v>72.903618769932578</v>
          </cell>
          <cell r="AO145">
            <v>41.478746589788344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3435.5296583999989</v>
          </cell>
          <cell r="H146">
            <v>286.29413819999991</v>
          </cell>
          <cell r="K146">
            <v>286.29413819999991</v>
          </cell>
          <cell r="N146">
            <v>286.29413819999991</v>
          </cell>
          <cell r="Q146">
            <v>286.29413819999991</v>
          </cell>
          <cell r="T146">
            <v>286.29413819999991</v>
          </cell>
          <cell r="W146">
            <v>286.29413819999991</v>
          </cell>
          <cell r="Z146">
            <v>286.29413819999991</v>
          </cell>
          <cell r="AC146">
            <v>286.29413819999991</v>
          </cell>
          <cell r="AF146">
            <v>286.29413819999991</v>
          </cell>
          <cell r="AI146">
            <v>286.29413819999991</v>
          </cell>
          <cell r="AL146">
            <v>286.29413819999991</v>
          </cell>
          <cell r="AO146">
            <v>286.29413819999991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1164.2411256999997</v>
          </cell>
          <cell r="H147">
            <v>97.020093808333328</v>
          </cell>
          <cell r="K147">
            <v>97.020093808333328</v>
          </cell>
          <cell r="N147">
            <v>97.020093808333328</v>
          </cell>
          <cell r="Q147">
            <v>97.020093808333328</v>
          </cell>
          <cell r="T147">
            <v>97.020093808333328</v>
          </cell>
          <cell r="W147">
            <v>97.020093808333328</v>
          </cell>
          <cell r="Z147">
            <v>97.020093808333328</v>
          </cell>
          <cell r="AC147">
            <v>97.020093808333328</v>
          </cell>
          <cell r="AF147">
            <v>97.020093808333328</v>
          </cell>
          <cell r="AI147">
            <v>97.020093808333328</v>
          </cell>
          <cell r="AL147">
            <v>97.020093808333328</v>
          </cell>
          <cell r="AO147">
            <v>97.020093808333328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556.8493222999997</v>
          </cell>
          <cell r="H148">
            <v>46.404110191666653</v>
          </cell>
          <cell r="K148">
            <v>46.404110191666653</v>
          </cell>
          <cell r="N148">
            <v>46.404110191666653</v>
          </cell>
          <cell r="Q148">
            <v>46.404110191666653</v>
          </cell>
          <cell r="T148">
            <v>46.404110191666653</v>
          </cell>
          <cell r="W148">
            <v>46.404110191666653</v>
          </cell>
          <cell r="Z148">
            <v>46.404110191666653</v>
          </cell>
          <cell r="AC148">
            <v>46.404110191666653</v>
          </cell>
          <cell r="AF148">
            <v>46.404110191666653</v>
          </cell>
          <cell r="AI148">
            <v>46.404110191666653</v>
          </cell>
          <cell r="AL148">
            <v>46.404110191666653</v>
          </cell>
          <cell r="AO148">
            <v>46.404110191666653</v>
          </cell>
        </row>
        <row r="149">
          <cell r="A149" t="str">
            <v>Véhicules usagésDivers</v>
          </cell>
          <cell r="B149" t="str">
            <v>Divers</v>
          </cell>
          <cell r="E149">
            <v>2115.8206336999997</v>
          </cell>
          <cell r="H149">
            <v>176.31838614166665</v>
          </cell>
          <cell r="K149">
            <v>176.31838614166665</v>
          </cell>
          <cell r="N149">
            <v>176.31838614166665</v>
          </cell>
          <cell r="Q149">
            <v>176.31838614166665</v>
          </cell>
          <cell r="T149">
            <v>176.31838614166665</v>
          </cell>
          <cell r="W149">
            <v>176.31838614166665</v>
          </cell>
          <cell r="Z149">
            <v>176.31838614166665</v>
          </cell>
          <cell r="AC149">
            <v>176.31838614166665</v>
          </cell>
          <cell r="AF149">
            <v>176.31838614166665</v>
          </cell>
          <cell r="AI149">
            <v>176.31838614166665</v>
          </cell>
          <cell r="AL149">
            <v>176.31838614166665</v>
          </cell>
          <cell r="AO149">
            <v>176.31838614166665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3727.0117090925201</v>
          </cell>
          <cell r="H150">
            <v>310.58430909104328</v>
          </cell>
          <cell r="K150">
            <v>310.58430909104328</v>
          </cell>
          <cell r="N150">
            <v>310.58430909104328</v>
          </cell>
          <cell r="Q150">
            <v>310.58430909104328</v>
          </cell>
          <cell r="T150">
            <v>310.58430909104328</v>
          </cell>
          <cell r="W150">
            <v>310.58430909104328</v>
          </cell>
          <cell r="Z150">
            <v>310.58430909104328</v>
          </cell>
          <cell r="AC150">
            <v>310.58430909104328</v>
          </cell>
          <cell r="AF150">
            <v>310.58430909104328</v>
          </cell>
          <cell r="AI150">
            <v>310.58430909104328</v>
          </cell>
          <cell r="AL150">
            <v>310.58430909104328</v>
          </cell>
          <cell r="AO150">
            <v>310.58430909104328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8631.0169506763323</v>
          </cell>
          <cell r="H151">
            <v>519.42732172312856</v>
          </cell>
          <cell r="K151">
            <v>442.03772648142052</v>
          </cell>
          <cell r="N151">
            <v>518.2514332144126</v>
          </cell>
          <cell r="Q151">
            <v>1036.563389882268</v>
          </cell>
          <cell r="T151">
            <v>946.3885093475468</v>
          </cell>
          <cell r="W151">
            <v>610.7311063631106</v>
          </cell>
          <cell r="Z151">
            <v>573.29137426610737</v>
          </cell>
          <cell r="AC151">
            <v>636.35231224195923</v>
          </cell>
          <cell r="AF151">
            <v>471.31430740169247</v>
          </cell>
          <cell r="AI151">
            <v>921.67816057759512</v>
          </cell>
          <cell r="AL151">
            <v>1361.0744380695608</v>
          </cell>
          <cell r="AO151">
            <v>593.9068711075314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3.9768314691970827E-2</v>
          </cell>
          <cell r="E155">
            <v>79948.151904374172</v>
          </cell>
          <cell r="F155" t="str">
            <v>% brut</v>
          </cell>
          <cell r="G155">
            <v>4.5590625611221215E-2</v>
          </cell>
          <cell r="H155">
            <v>6462.713161403467</v>
          </cell>
          <cell r="I155" t="str">
            <v>% brut</v>
          </cell>
          <cell r="J155">
            <v>4.5286572372669046E-2</v>
          </cell>
          <cell r="K155">
            <v>6419.612001017661</v>
          </cell>
          <cell r="L155" t="str">
            <v>% brut</v>
          </cell>
          <cell r="M155">
            <v>3.9442774999233661E-2</v>
          </cell>
          <cell r="N155">
            <v>6438.3776617479853</v>
          </cell>
          <cell r="O155" t="str">
            <v>% brut</v>
          </cell>
          <cell r="P155">
            <v>3.1357805626652496E-2</v>
          </cell>
          <cell r="Q155">
            <v>7004.4557584366212</v>
          </cell>
          <cell r="R155" t="str">
            <v>% brut</v>
          </cell>
          <cell r="S155">
            <v>3.2041454497774534E-2</v>
          </cell>
          <cell r="T155">
            <v>6881.888244304705</v>
          </cell>
          <cell r="U155" t="str">
            <v>% brut</v>
          </cell>
          <cell r="V155">
            <v>3.842994018900673E-2</v>
          </cell>
          <cell r="W155">
            <v>6603.2096922298542</v>
          </cell>
          <cell r="X155" t="str">
            <v>% brut</v>
          </cell>
          <cell r="Y155">
            <v>4.2178838470986531E-2</v>
          </cell>
          <cell r="Z155">
            <v>6522.626427882371</v>
          </cell>
          <cell r="AA155" t="str">
            <v>% brut</v>
          </cell>
          <cell r="AB155">
            <v>3.776236777214223E-2</v>
          </cell>
          <cell r="AC155">
            <v>6488.5043184607339</v>
          </cell>
          <cell r="AD155" t="str">
            <v>% brut</v>
          </cell>
          <cell r="AE155">
            <v>3.8787342935401627E-2</v>
          </cell>
          <cell r="AF155">
            <v>6331.3892675832349</v>
          </cell>
          <cell r="AG155" t="str">
            <v>% brut</v>
          </cell>
          <cell r="AH155">
            <v>3.8983569604035359E-2</v>
          </cell>
          <cell r="AI155">
            <v>6865.7952748710777</v>
          </cell>
          <cell r="AJ155" t="str">
            <v>% brut</v>
          </cell>
          <cell r="AK155">
            <v>4.4661081474931606E-2</v>
          </cell>
          <cell r="AL155">
            <v>7482.0263184138175</v>
          </cell>
          <cell r="AM155" t="str">
            <v>% brut</v>
          </cell>
          <cell r="AN155">
            <v>5.3605771739068442E-2</v>
          </cell>
          <cell r="AO155">
            <v>6447.5537780226441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0.68045277933587811</v>
          </cell>
          <cell r="E157">
            <v>1367946.884032324</v>
          </cell>
          <cell r="F157" t="str">
            <v>% brut</v>
          </cell>
          <cell r="G157">
            <v>0.73462182150486521</v>
          </cell>
          <cell r="H157">
            <v>104136.54234490571</v>
          </cell>
          <cell r="I157" t="str">
            <v>% brut</v>
          </cell>
          <cell r="J157">
            <v>0.71221255934688721</v>
          </cell>
          <cell r="K157">
            <v>100959.91049254395</v>
          </cell>
          <cell r="L157" t="str">
            <v>% brut</v>
          </cell>
          <cell r="M157">
            <v>0.69810808885942433</v>
          </cell>
          <cell r="N157">
            <v>113954.54617190151</v>
          </cell>
          <cell r="O157" t="str">
            <v>% brut</v>
          </cell>
          <cell r="P157">
            <v>0.6097028765198117</v>
          </cell>
          <cell r="Q157">
            <v>136190.55093398338</v>
          </cell>
          <cell r="R157" t="str">
            <v>% brut</v>
          </cell>
          <cell r="S157">
            <v>0.62049602080242006</v>
          </cell>
          <cell r="T157">
            <v>133270.61265257516</v>
          </cell>
          <cell r="U157" t="str">
            <v>% brut</v>
          </cell>
          <cell r="V157">
            <v>0.67279731541913135</v>
          </cell>
          <cell r="W157">
            <v>115603.139953694</v>
          </cell>
          <cell r="X157" t="str">
            <v>% brut</v>
          </cell>
          <cell r="Y157">
            <v>0.70607559810818021</v>
          </cell>
          <cell r="Z157">
            <v>109189.0512696603</v>
          </cell>
          <cell r="AA157" t="str">
            <v>% brut</v>
          </cell>
          <cell r="AB157">
            <v>0.67384403833956164</v>
          </cell>
          <cell r="AC157">
            <v>115782.99271691119</v>
          </cell>
          <cell r="AD157" t="str">
            <v>% brut</v>
          </cell>
          <cell r="AE157">
            <v>0.68661307953677442</v>
          </cell>
          <cell r="AF157">
            <v>112078.17689397998</v>
          </cell>
          <cell r="AG157" t="str">
            <v>% brut</v>
          </cell>
          <cell r="AH157">
            <v>0.66411394528133383</v>
          </cell>
          <cell r="AI157">
            <v>116963.90130001282</v>
          </cell>
          <cell r="AJ157" t="str">
            <v>% brut</v>
          </cell>
          <cell r="AK157">
            <v>0.68327600808358369</v>
          </cell>
          <cell r="AL157">
            <v>114468.54635823469</v>
          </cell>
          <cell r="AM157" t="str">
            <v>% brut</v>
          </cell>
          <cell r="AN157">
            <v>0.79274283531570533</v>
          </cell>
          <cell r="AO157">
            <v>95348.912943921387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0</v>
          </cell>
          <cell r="H158">
            <v>0</v>
          </cell>
          <cell r="K158">
            <v>0</v>
          </cell>
          <cell r="N158">
            <v>0</v>
          </cell>
          <cell r="Q158">
            <v>0</v>
          </cell>
          <cell r="T158">
            <v>0</v>
          </cell>
          <cell r="W158">
            <v>0</v>
          </cell>
          <cell r="Z158">
            <v>0</v>
          </cell>
          <cell r="AC158">
            <v>0</v>
          </cell>
          <cell r="AF158">
            <v>0</v>
          </cell>
          <cell r="AI158">
            <v>0</v>
          </cell>
          <cell r="AL158">
            <v>0</v>
          </cell>
          <cell r="AO158">
            <v>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168058.8</v>
          </cell>
          <cell r="H164">
            <v>11850.300000000001</v>
          </cell>
          <cell r="K164">
            <v>11850.300000000001</v>
          </cell>
          <cell r="N164">
            <v>13645.800000000001</v>
          </cell>
          <cell r="Q164">
            <v>18673.2</v>
          </cell>
          <cell r="T164">
            <v>17955</v>
          </cell>
          <cell r="W164">
            <v>14364</v>
          </cell>
          <cell r="Z164">
            <v>12927.6</v>
          </cell>
          <cell r="AC164">
            <v>14364</v>
          </cell>
          <cell r="AF164">
            <v>13645.800000000001</v>
          </cell>
          <cell r="AI164">
            <v>14723.1</v>
          </cell>
          <cell r="AL164">
            <v>14004.9</v>
          </cell>
          <cell r="AO164">
            <v>10054.800000000001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168058.8</v>
          </cell>
          <cell r="H165">
            <v>11850.300000000001</v>
          </cell>
          <cell r="K165">
            <v>11850.300000000001</v>
          </cell>
          <cell r="N165">
            <v>13645.800000000001</v>
          </cell>
          <cell r="Q165">
            <v>18673.2</v>
          </cell>
          <cell r="T165">
            <v>17955</v>
          </cell>
          <cell r="W165">
            <v>14364</v>
          </cell>
          <cell r="Z165">
            <v>12927.6</v>
          </cell>
          <cell r="AC165">
            <v>14364</v>
          </cell>
          <cell r="AF165">
            <v>13645.800000000001</v>
          </cell>
          <cell r="AI165">
            <v>14723.1</v>
          </cell>
          <cell r="AL165">
            <v>14004.9</v>
          </cell>
          <cell r="AO165">
            <v>10054.800000000001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810459.91596767609</v>
          </cell>
          <cell r="H167">
            <v>49469.065347401978</v>
          </cell>
          <cell r="K167">
            <v>52645.697199763745</v>
          </cell>
          <cell r="N167">
            <v>62924.638443483112</v>
          </cell>
          <cell r="Q167">
            <v>105854.64906601662</v>
          </cell>
          <cell r="T167">
            <v>99465.156578194059</v>
          </cell>
          <cell r="W167">
            <v>70585.475430921375</v>
          </cell>
          <cell r="Z167">
            <v>58380.702576493546</v>
          </cell>
          <cell r="AC167">
            <v>70405.622667704185</v>
          </cell>
          <cell r="AF167">
            <v>64801.007721404647</v>
          </cell>
          <cell r="AI167">
            <v>73879.429469217968</v>
          </cell>
          <cell r="AL167">
            <v>67065.353641765309</v>
          </cell>
          <cell r="AO167">
            <v>34983.117825309382</v>
          </cell>
        </row>
        <row r="170">
          <cell r="B170" t="str">
            <v>Budget 2023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5899.9999999999991</v>
          </cell>
          <cell r="D174">
            <v>1740500</v>
          </cell>
          <cell r="E174">
            <v>1322780</v>
          </cell>
          <cell r="F174">
            <v>276.36253854937519</v>
          </cell>
          <cell r="G174">
            <v>81526.948872065681</v>
          </cell>
          <cell r="H174">
            <v>61960.481142769917</v>
          </cell>
          <cell r="I174">
            <v>278.68747325275763</v>
          </cell>
          <cell r="J174">
            <v>82212.804609563507</v>
          </cell>
          <cell r="K174">
            <v>62481.731503268267</v>
          </cell>
          <cell r="L174">
            <v>393.90589283244373</v>
          </cell>
          <cell r="M174">
            <v>116202.2383855709</v>
          </cell>
          <cell r="N174">
            <v>88313.701173033885</v>
          </cell>
          <cell r="O174">
            <v>789.59086662624793</v>
          </cell>
          <cell r="P174">
            <v>232929.30565474313</v>
          </cell>
          <cell r="Q174">
            <v>177026.2722976048</v>
          </cell>
          <cell r="R174">
            <v>612.58947242029183</v>
          </cell>
          <cell r="S174">
            <v>180713.8943639861</v>
          </cell>
          <cell r="T174">
            <v>137342.55971662945</v>
          </cell>
          <cell r="U174">
            <v>410.56469169076877</v>
          </cell>
          <cell r="V174">
            <v>121116.5840487768</v>
          </cell>
          <cell r="W174">
            <v>92048.603877070374</v>
          </cell>
          <cell r="X174">
            <v>375.24620189691194</v>
          </cell>
          <cell r="Y174">
            <v>110697.62955958901</v>
          </cell>
          <cell r="Z174">
            <v>84130.198465287656</v>
          </cell>
          <cell r="AA174">
            <v>371.28867871346142</v>
          </cell>
          <cell r="AB174">
            <v>109530.16022047112</v>
          </cell>
          <cell r="AC174">
            <v>83242.921767558058</v>
          </cell>
          <cell r="AD174">
            <v>310.19784194161605</v>
          </cell>
          <cell r="AE174">
            <v>91508.36337277673</v>
          </cell>
          <cell r="AF174">
            <v>69546.356163310309</v>
          </cell>
          <cell r="AG174">
            <v>616.42613532030066</v>
          </cell>
          <cell r="AH174">
            <v>181845.7099194887</v>
          </cell>
          <cell r="AI174">
            <v>138202.73953881141</v>
          </cell>
          <cell r="AJ174">
            <v>1084.8420746435856</v>
          </cell>
          <cell r="AK174">
            <v>320028.41201985779</v>
          </cell>
          <cell r="AL174">
            <v>243221.59313509191</v>
          </cell>
          <cell r="AM174">
            <v>380.29813211223887</v>
          </cell>
          <cell r="AN174">
            <v>112187.94897311047</v>
          </cell>
          <cell r="AO174">
            <v>85262.841219563954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0.76</v>
          </cell>
          <cell r="H175">
            <v>0.76</v>
          </cell>
          <cell r="K175">
            <v>0.76</v>
          </cell>
          <cell r="N175">
            <v>0.76</v>
          </cell>
          <cell r="Q175">
            <v>0.76</v>
          </cell>
          <cell r="T175">
            <v>0.76000000000000012</v>
          </cell>
          <cell r="W175">
            <v>0.76</v>
          </cell>
          <cell r="Z175">
            <v>0.76000000000000012</v>
          </cell>
          <cell r="AC175">
            <v>0.76</v>
          </cell>
          <cell r="AF175">
            <v>0.7599999999999999</v>
          </cell>
          <cell r="AI175">
            <v>0.76</v>
          </cell>
          <cell r="AL175">
            <v>0.76</v>
          </cell>
          <cell r="AO175">
            <v>0.76</v>
          </cell>
        </row>
        <row r="176">
          <cell r="A176" t="str">
            <v>Service</v>
          </cell>
          <cell r="D176">
            <v>295.00000000000006</v>
          </cell>
          <cell r="G176">
            <v>295</v>
          </cell>
          <cell r="J176">
            <v>295</v>
          </cell>
          <cell r="M176">
            <v>295</v>
          </cell>
          <cell r="P176">
            <v>295</v>
          </cell>
          <cell r="S176">
            <v>295</v>
          </cell>
          <cell r="V176">
            <v>295.00000000000006</v>
          </cell>
          <cell r="Y176">
            <v>294.99999999999994</v>
          </cell>
          <cell r="AB176">
            <v>295</v>
          </cell>
          <cell r="AE176">
            <v>295</v>
          </cell>
          <cell r="AH176">
            <v>295</v>
          </cell>
          <cell r="AK176">
            <v>295</v>
          </cell>
          <cell r="AN176">
            <v>295</v>
          </cell>
        </row>
        <row r="177">
          <cell r="A177" t="str">
            <v>ServiceM/O Garantie</v>
          </cell>
          <cell r="B177" t="str">
            <v>M/O Garantie</v>
          </cell>
          <cell r="C177">
            <v>2965</v>
          </cell>
          <cell r="D177">
            <v>504050</v>
          </cell>
          <cell r="E177">
            <v>342754</v>
          </cell>
          <cell r="F177">
            <v>246.23938494793785</v>
          </cell>
          <cell r="G177">
            <v>41860.695441149437</v>
          </cell>
          <cell r="H177">
            <v>28465.272899981621</v>
          </cell>
          <cell r="I177">
            <v>209.65514528950908</v>
          </cell>
          <cell r="J177">
            <v>35641.374699216547</v>
          </cell>
          <cell r="K177">
            <v>24236.134795467253</v>
          </cell>
          <cell r="L177">
            <v>206.4588669416346</v>
          </cell>
          <cell r="M177">
            <v>35098.007380077877</v>
          </cell>
          <cell r="N177">
            <v>23866.645018452957</v>
          </cell>
          <cell r="O177">
            <v>243.47512765231369</v>
          </cell>
          <cell r="P177">
            <v>41390.771700893325</v>
          </cell>
          <cell r="Q177">
            <v>28145.724756607462</v>
          </cell>
          <cell r="R177">
            <v>295.77510451095162</v>
          </cell>
          <cell r="S177">
            <v>50281.767766861776</v>
          </cell>
          <cell r="T177">
            <v>34191.602081466008</v>
          </cell>
          <cell r="U177">
            <v>286.0513448826847</v>
          </cell>
          <cell r="V177">
            <v>48628.728630056401</v>
          </cell>
          <cell r="W177">
            <v>33067.535468438356</v>
          </cell>
          <cell r="X177">
            <v>247.89532427287932</v>
          </cell>
          <cell r="Y177">
            <v>42142.205126389483</v>
          </cell>
          <cell r="Z177">
            <v>28656.69948594485</v>
          </cell>
          <cell r="AA177">
            <v>289.65507910197891</v>
          </cell>
          <cell r="AB177">
            <v>49241.363447336415</v>
          </cell>
          <cell r="AC177">
            <v>33484.127144188766</v>
          </cell>
          <cell r="AD177">
            <v>252.23946016632686</v>
          </cell>
          <cell r="AE177">
            <v>42880.708228275565</v>
          </cell>
          <cell r="AF177">
            <v>29158.881595227387</v>
          </cell>
          <cell r="AG177">
            <v>238.28692240519212</v>
          </cell>
          <cell r="AH177">
            <v>40508.776808882656</v>
          </cell>
          <cell r="AI177">
            <v>27545.968230040209</v>
          </cell>
          <cell r="AJ177">
            <v>234.95853491510547</v>
          </cell>
          <cell r="AK177">
            <v>39942.950935567926</v>
          </cell>
          <cell r="AL177">
            <v>27161.206636186191</v>
          </cell>
          <cell r="AM177">
            <v>214.30970491348577</v>
          </cell>
          <cell r="AN177">
            <v>36432.649835292577</v>
          </cell>
          <cell r="AO177">
            <v>24774.201887998955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0.68</v>
          </cell>
          <cell r="H178">
            <v>0.68</v>
          </cell>
          <cell r="K178">
            <v>0.68</v>
          </cell>
          <cell r="N178">
            <v>0.68</v>
          </cell>
          <cell r="Q178">
            <v>0.68</v>
          </cell>
          <cell r="T178">
            <v>0.68</v>
          </cell>
          <cell r="W178">
            <v>0.68</v>
          </cell>
          <cell r="Z178">
            <v>0.68</v>
          </cell>
          <cell r="AC178">
            <v>0.68</v>
          </cell>
          <cell r="AF178">
            <v>0.68</v>
          </cell>
          <cell r="AI178">
            <v>0.68</v>
          </cell>
          <cell r="AL178">
            <v>0.68</v>
          </cell>
          <cell r="AO178">
            <v>0.68</v>
          </cell>
        </row>
        <row r="179">
          <cell r="A179" t="str">
            <v>Service</v>
          </cell>
          <cell r="D179">
            <v>170</v>
          </cell>
          <cell r="G179">
            <v>170</v>
          </cell>
          <cell r="J179">
            <v>170.00000000000003</v>
          </cell>
          <cell r="M179">
            <v>169.99999999999997</v>
          </cell>
          <cell r="P179">
            <v>170</v>
          </cell>
          <cell r="S179">
            <v>170</v>
          </cell>
          <cell r="V179">
            <v>170</v>
          </cell>
          <cell r="Y179">
            <v>170</v>
          </cell>
          <cell r="AB179">
            <v>170</v>
          </cell>
          <cell r="AE179">
            <v>170</v>
          </cell>
          <cell r="AH179">
            <v>169.99999999999997</v>
          </cell>
          <cell r="AK179">
            <v>169.99999999999997</v>
          </cell>
          <cell r="AN179">
            <v>169.99999999999997</v>
          </cell>
        </row>
        <row r="180">
          <cell r="A180" t="str">
            <v>ServiceM/O Interne</v>
          </cell>
          <cell r="B180" t="str">
            <v>M/O Interne</v>
          </cell>
          <cell r="C180">
            <v>2625</v>
          </cell>
          <cell r="D180">
            <v>590625</v>
          </cell>
          <cell r="E180">
            <v>437062.50000000006</v>
          </cell>
          <cell r="F180">
            <v>148.02998723612012</v>
          </cell>
          <cell r="G180">
            <v>33306.747128127026</v>
          </cell>
          <cell r="H180">
            <v>24646.992874814001</v>
          </cell>
          <cell r="I180">
            <v>185.41436642306826</v>
          </cell>
          <cell r="J180">
            <v>41718.232445190362</v>
          </cell>
          <cell r="K180">
            <v>30871.492009440866</v>
          </cell>
          <cell r="L180">
            <v>230.5059660503799</v>
          </cell>
          <cell r="M180">
            <v>51863.842361335475</v>
          </cell>
          <cell r="N180">
            <v>38379.243347388248</v>
          </cell>
          <cell r="O180">
            <v>205.38028696887247</v>
          </cell>
          <cell r="P180">
            <v>46210.564567996305</v>
          </cell>
          <cell r="Q180">
            <v>34195.817780317266</v>
          </cell>
          <cell r="R180">
            <v>214.64049880161156</v>
          </cell>
          <cell r="S180">
            <v>48294.112230362603</v>
          </cell>
          <cell r="T180">
            <v>35737.643050468323</v>
          </cell>
          <cell r="U180">
            <v>258.93185185339246</v>
          </cell>
          <cell r="V180">
            <v>58259.666667013298</v>
          </cell>
          <cell r="W180">
            <v>43112.153333589842</v>
          </cell>
          <cell r="X180">
            <v>218.02822647784825</v>
          </cell>
          <cell r="Y180">
            <v>49056.350957515861</v>
          </cell>
          <cell r="Z180">
            <v>36301.699708561733</v>
          </cell>
          <cell r="AA180">
            <v>211.39475113008589</v>
          </cell>
          <cell r="AB180">
            <v>47563.819004269331</v>
          </cell>
          <cell r="AC180">
            <v>35197.226063159302</v>
          </cell>
          <cell r="AD180">
            <v>236.29481844886917</v>
          </cell>
          <cell r="AE180">
            <v>53166.334150995557</v>
          </cell>
          <cell r="AF180">
            <v>39343.087271736709</v>
          </cell>
          <cell r="AG180">
            <v>282.72465484857707</v>
          </cell>
          <cell r="AH180">
            <v>63613.047340929843</v>
          </cell>
          <cell r="AI180">
            <v>47073.655032288087</v>
          </cell>
          <cell r="AJ180">
            <v>225.81781405214369</v>
          </cell>
          <cell r="AK180">
            <v>50809.00816173233</v>
          </cell>
          <cell r="AL180">
            <v>37598.666039681921</v>
          </cell>
          <cell r="AM180">
            <v>207.83677770903117</v>
          </cell>
          <cell r="AN180">
            <v>46763.274984532014</v>
          </cell>
          <cell r="AO180">
            <v>34604.823488553688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0.7400000000000001</v>
          </cell>
          <cell r="H181">
            <v>0.74</v>
          </cell>
          <cell r="K181">
            <v>0.74</v>
          </cell>
          <cell r="N181">
            <v>0.73999999999999988</v>
          </cell>
          <cell r="Q181">
            <v>0.74</v>
          </cell>
          <cell r="T181">
            <v>0.73999999999999988</v>
          </cell>
          <cell r="W181">
            <v>0.74</v>
          </cell>
          <cell r="Z181">
            <v>0.73999999999999988</v>
          </cell>
          <cell r="AC181">
            <v>0.73999999999999988</v>
          </cell>
          <cell r="AF181">
            <v>0.74</v>
          </cell>
          <cell r="AI181">
            <v>0.74</v>
          </cell>
          <cell r="AL181">
            <v>0.73999999999999988</v>
          </cell>
          <cell r="AO181">
            <v>0.74</v>
          </cell>
        </row>
        <row r="182">
          <cell r="A182" t="str">
            <v>Service</v>
          </cell>
          <cell r="D182">
            <v>225</v>
          </cell>
          <cell r="G182">
            <v>225</v>
          </cell>
          <cell r="J182">
            <v>225.00000000000003</v>
          </cell>
          <cell r="M182">
            <v>225</v>
          </cell>
          <cell r="P182">
            <v>225</v>
          </cell>
          <cell r="S182">
            <v>225.00000000000003</v>
          </cell>
          <cell r="V182">
            <v>224.99999999999997</v>
          </cell>
          <cell r="Y182">
            <v>225.00000000000003</v>
          </cell>
          <cell r="AB182">
            <v>225.00000000000003</v>
          </cell>
          <cell r="AE182">
            <v>224.99999999999997</v>
          </cell>
          <cell r="AH182">
            <v>225</v>
          </cell>
          <cell r="AK182">
            <v>225</v>
          </cell>
          <cell r="AN182">
            <v>225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80</v>
          </cell>
          <cell r="D183">
            <v>8000.0000000000009</v>
          </cell>
          <cell r="E183">
            <v>5600</v>
          </cell>
          <cell r="F183">
            <v>0</v>
          </cell>
          <cell r="G183">
            <v>0</v>
          </cell>
          <cell r="H183">
            <v>0</v>
          </cell>
          <cell r="I183">
            <v>1.048767697954903</v>
          </cell>
          <cell r="J183">
            <v>104.87676979549029</v>
          </cell>
          <cell r="K183">
            <v>73.413738856843196</v>
          </cell>
          <cell r="L183">
            <v>5.3296063358956438</v>
          </cell>
          <cell r="M183">
            <v>532.9606335895644</v>
          </cell>
          <cell r="N183">
            <v>373.07244351269503</v>
          </cell>
          <cell r="O183">
            <v>16.116640166532484</v>
          </cell>
          <cell r="P183">
            <v>1611.6640166532486</v>
          </cell>
          <cell r="Q183">
            <v>1128.164811657274</v>
          </cell>
          <cell r="R183">
            <v>4.7053342650826933</v>
          </cell>
          <cell r="S183">
            <v>470.53342650826932</v>
          </cell>
          <cell r="T183">
            <v>329.37339855578853</v>
          </cell>
          <cell r="U183">
            <v>9.8102556191094603</v>
          </cell>
          <cell r="V183">
            <v>981.02556191094607</v>
          </cell>
          <cell r="W183">
            <v>686.71789333766219</v>
          </cell>
          <cell r="X183">
            <v>2.097535395909806</v>
          </cell>
          <cell r="Y183">
            <v>209.75353959098058</v>
          </cell>
          <cell r="Z183">
            <v>146.82747771368639</v>
          </cell>
          <cell r="AA183">
            <v>5.1391913593072509</v>
          </cell>
          <cell r="AB183">
            <v>513.91913593072513</v>
          </cell>
          <cell r="AC183">
            <v>359.74339515150757</v>
          </cell>
          <cell r="AD183">
            <v>3.6228682171962969</v>
          </cell>
          <cell r="AE183">
            <v>362.28682171962964</v>
          </cell>
          <cell r="AF183">
            <v>253.60077520374074</v>
          </cell>
          <cell r="AG183">
            <v>6.9647067560745413</v>
          </cell>
          <cell r="AH183">
            <v>696.47067560745415</v>
          </cell>
          <cell r="AI183">
            <v>487.52947292521787</v>
          </cell>
          <cell r="AJ183">
            <v>22.089002096191763</v>
          </cell>
          <cell r="AK183">
            <v>2208.9002096191762</v>
          </cell>
          <cell r="AL183">
            <v>1546.2301467334232</v>
          </cell>
          <cell r="AM183">
            <v>3.0760920907451563</v>
          </cell>
          <cell r="AN183">
            <v>307.6092090745156</v>
          </cell>
          <cell r="AO183">
            <v>215.3264463521609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</v>
          </cell>
          <cell r="G184">
            <v>0</v>
          </cell>
          <cell r="H184">
            <v>0</v>
          </cell>
          <cell r="J184">
            <v>0</v>
          </cell>
          <cell r="K184">
            <v>0.7</v>
          </cell>
          <cell r="M184">
            <v>0</v>
          </cell>
          <cell r="N184">
            <v>0.7</v>
          </cell>
          <cell r="P184">
            <v>0</v>
          </cell>
          <cell r="Q184">
            <v>0.7</v>
          </cell>
          <cell r="S184">
            <v>0</v>
          </cell>
          <cell r="T184">
            <v>0.70000000000000007</v>
          </cell>
          <cell r="V184">
            <v>0</v>
          </cell>
          <cell r="W184">
            <v>0.7</v>
          </cell>
          <cell r="Y184">
            <v>0</v>
          </cell>
          <cell r="Z184">
            <v>0.7</v>
          </cell>
          <cell r="AB184">
            <v>0</v>
          </cell>
          <cell r="AC184">
            <v>0.7</v>
          </cell>
          <cell r="AE184">
            <v>0</v>
          </cell>
          <cell r="AF184">
            <v>0.7</v>
          </cell>
          <cell r="AH184">
            <v>0</v>
          </cell>
          <cell r="AI184">
            <v>0.7</v>
          </cell>
          <cell r="AK184">
            <v>0</v>
          </cell>
          <cell r="AL184">
            <v>0.7</v>
          </cell>
          <cell r="AN184">
            <v>0</v>
          </cell>
          <cell r="AO184">
            <v>0.7</v>
          </cell>
        </row>
        <row r="185">
          <cell r="A185" t="str">
            <v>Service</v>
          </cell>
          <cell r="D185">
            <v>100.00000000000001</v>
          </cell>
          <cell r="G185">
            <v>0</v>
          </cell>
          <cell r="J185">
            <v>99.999999999999986</v>
          </cell>
          <cell r="M185">
            <v>100</v>
          </cell>
          <cell r="P185">
            <v>100.00000000000001</v>
          </cell>
          <cell r="S185">
            <v>100</v>
          </cell>
          <cell r="V185">
            <v>100</v>
          </cell>
          <cell r="Y185">
            <v>99.999999999999986</v>
          </cell>
          <cell r="AB185">
            <v>100.00000000000001</v>
          </cell>
          <cell r="AE185">
            <v>99.999999999999986</v>
          </cell>
          <cell r="AH185">
            <v>100</v>
          </cell>
          <cell r="AK185">
            <v>100</v>
          </cell>
          <cell r="AN185">
            <v>99.999999999999986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-35000</v>
          </cell>
          <cell r="H186">
            <v>-1982.0410506323392</v>
          </cell>
          <cell r="K186">
            <v>-2000.7497861306749</v>
          </cell>
          <cell r="N186">
            <v>-2512.6633462564023</v>
          </cell>
          <cell r="Q186">
            <v>-3888.0340313267293</v>
          </cell>
          <cell r="T186">
            <v>-3436.2495418858789</v>
          </cell>
          <cell r="W186">
            <v>-2860.6072174032893</v>
          </cell>
          <cell r="Z186">
            <v>-2517.7171734890326</v>
          </cell>
          <cell r="AC186">
            <v>-2598.4209338480641</v>
          </cell>
          <cell r="AF186">
            <v>-2362.7246741096883</v>
          </cell>
          <cell r="AI186">
            <v>-3493.1551555311216</v>
          </cell>
          <cell r="AL186">
            <v>-4926.8858040309105</v>
          </cell>
          <cell r="AO186">
            <v>-2420.7512853558692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11570</v>
          </cell>
          <cell r="D187">
            <v>2843175</v>
          </cell>
          <cell r="E187">
            <v>2073196.5</v>
          </cell>
          <cell r="F187">
            <v>670.63191073343319</v>
          </cell>
          <cell r="G187">
            <v>156694.39144134213</v>
          </cell>
          <cell r="H187">
            <v>113090.70586693319</v>
          </cell>
          <cell r="I187">
            <v>674.80575266328981</v>
          </cell>
          <cell r="J187">
            <v>159677.28852376592</v>
          </cell>
          <cell r="K187">
            <v>115662.02226090257</v>
          </cell>
          <cell r="L187">
            <v>836.20033216035381</v>
          </cell>
          <cell r="M187">
            <v>203697.04876057382</v>
          </cell>
          <cell r="N187">
            <v>148419.99863613141</v>
          </cell>
          <cell r="O187">
            <v>1254.5629214139667</v>
          </cell>
          <cell r="P187">
            <v>322142.30594028602</v>
          </cell>
          <cell r="Q187">
            <v>236607.94561486007</v>
          </cell>
          <cell r="R187">
            <v>1127.7104099979376</v>
          </cell>
          <cell r="S187">
            <v>279760.30778771872</v>
          </cell>
          <cell r="T187">
            <v>204164.92870523367</v>
          </cell>
          <cell r="U187">
            <v>965.35814404595544</v>
          </cell>
          <cell r="V187">
            <v>228986.00490775745</v>
          </cell>
          <cell r="W187">
            <v>166054.40335503293</v>
          </cell>
          <cell r="X187">
            <v>843.26728804354946</v>
          </cell>
          <cell r="Y187">
            <v>202105.93918308531</v>
          </cell>
          <cell r="Z187">
            <v>146717.70796401889</v>
          </cell>
          <cell r="AA187">
            <v>877.47770030483343</v>
          </cell>
          <cell r="AB187">
            <v>206849.26180800761</v>
          </cell>
          <cell r="AC187">
            <v>149685.59743620956</v>
          </cell>
          <cell r="AD187">
            <v>802.35498877400835</v>
          </cell>
          <cell r="AE187">
            <v>187917.6925737675</v>
          </cell>
          <cell r="AF187">
            <v>135939.20113136846</v>
          </cell>
          <cell r="AG187">
            <v>1144.4024193301443</v>
          </cell>
          <cell r="AH187">
            <v>286664.00474490866</v>
          </cell>
          <cell r="AI187">
            <v>209816.73711853378</v>
          </cell>
          <cell r="AJ187">
            <v>1567.7074257070265</v>
          </cell>
          <cell r="AK187">
            <v>412989.27132677723</v>
          </cell>
          <cell r="AL187">
            <v>304600.81015366252</v>
          </cell>
          <cell r="AM187">
            <v>805.52070682550095</v>
          </cell>
          <cell r="AN187">
            <v>195691.48300200957</v>
          </cell>
          <cell r="AO187">
            <v>142436.44175711289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245.73681936041487</v>
          </cell>
          <cell r="E188">
            <v>0.72918357118362398</v>
          </cell>
          <cell r="G188">
            <v>233.65185720132837</v>
          </cell>
          <cell r="H188">
            <v>0.72172784760626363</v>
          </cell>
          <cell r="J188">
            <v>236.62704103152578</v>
          </cell>
          <cell r="K188">
            <v>0.72434861169181086</v>
          </cell>
          <cell r="M188">
            <v>243.59838297877153</v>
          </cell>
          <cell r="N188">
            <v>0.72863107020556184</v>
          </cell>
          <cell r="P188">
            <v>256.77652387272258</v>
          </cell>
          <cell r="Q188">
            <v>0.73448268436595521</v>
          </cell>
          <cell r="S188">
            <v>248.07814604480802</v>
          </cell>
          <cell r="T188">
            <v>0.72978518761193745</v>
          </cell>
          <cell r="V188">
            <v>237.2031627019212</v>
          </cell>
          <cell r="W188">
            <v>0.72517271709214159</v>
          </cell>
          <cell r="Y188">
            <v>239.67008094430886</v>
          </cell>
          <cell r="Z188">
            <v>0.72594456430649024</v>
          </cell>
          <cell r="AB188">
            <v>235.73164507331492</v>
          </cell>
          <cell r="AC188">
            <v>0.72364578982710626</v>
          </cell>
          <cell r="AE188">
            <v>234.20767017464945</v>
          </cell>
          <cell r="AF188">
            <v>0.72339756448427672</v>
          </cell>
          <cell r="AH188">
            <v>250.49230926364376</v>
          </cell>
          <cell r="AI188">
            <v>0.73192564690932049</v>
          </cell>
          <cell r="AK188">
            <v>263.43516944210529</v>
          </cell>
          <cell r="AL188">
            <v>0.737551387654929</v>
          </cell>
          <cell r="AN188">
            <v>242.93786782119557</v>
          </cell>
          <cell r="AO188">
            <v>0.72786224301672953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286672</v>
          </cell>
          <cell r="E190">
            <v>63067.840000000004</v>
          </cell>
          <cell r="F190">
            <v>0</v>
          </cell>
          <cell r="G190">
            <v>14155.857363507066</v>
          </cell>
          <cell r="H190">
            <v>3114.2886199715545</v>
          </cell>
          <cell r="I190">
            <v>0</v>
          </cell>
          <cell r="J190">
            <v>19616.992331310972</v>
          </cell>
          <cell r="K190">
            <v>4315.7383128884139</v>
          </cell>
          <cell r="L190">
            <v>0</v>
          </cell>
          <cell r="M190">
            <v>24550.189602047183</v>
          </cell>
          <cell r="N190">
            <v>5401.0417124503801</v>
          </cell>
          <cell r="O190">
            <v>0</v>
          </cell>
          <cell r="P190">
            <v>34790.585672912515</v>
          </cell>
          <cell r="Q190">
            <v>7653.9288480407531</v>
          </cell>
          <cell r="R190">
            <v>0</v>
          </cell>
          <cell r="S190">
            <v>35279.220392408053</v>
          </cell>
          <cell r="T190">
            <v>7761.4284863297717</v>
          </cell>
          <cell r="U190">
            <v>0</v>
          </cell>
          <cell r="V190">
            <v>28934.69773899654</v>
          </cell>
          <cell r="W190">
            <v>6365.6335025792387</v>
          </cell>
          <cell r="X190">
            <v>0</v>
          </cell>
          <cell r="Y190">
            <v>24681.880087236714</v>
          </cell>
          <cell r="Z190">
            <v>5430.0136191920774</v>
          </cell>
          <cell r="AA190">
            <v>0</v>
          </cell>
          <cell r="AB190">
            <v>19669.068665404768</v>
          </cell>
          <cell r="AC190">
            <v>4327.1951063890492</v>
          </cell>
          <cell r="AD190">
            <v>0</v>
          </cell>
          <cell r="AE190">
            <v>27614.678327403479</v>
          </cell>
          <cell r="AF190">
            <v>6075.2292320287652</v>
          </cell>
          <cell r="AG190">
            <v>0</v>
          </cell>
          <cell r="AH190">
            <v>24591.134360575528</v>
          </cell>
          <cell r="AI190">
            <v>5410.049559326616</v>
          </cell>
          <cell r="AJ190">
            <v>0</v>
          </cell>
          <cell r="AK190">
            <v>18225.053313291264</v>
          </cell>
          <cell r="AL190">
            <v>4009.5117289240779</v>
          </cell>
          <cell r="AM190">
            <v>0</v>
          </cell>
          <cell r="AN190">
            <v>14562.642144905916</v>
          </cell>
          <cell r="AO190">
            <v>3203.7812718793016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0.22</v>
          </cell>
          <cell r="H191">
            <v>0.22</v>
          </cell>
          <cell r="K191">
            <v>0.22</v>
          </cell>
          <cell r="N191">
            <v>0.22</v>
          </cell>
          <cell r="Q191">
            <v>0.22</v>
          </cell>
          <cell r="T191">
            <v>0.22</v>
          </cell>
          <cell r="W191">
            <v>0.22</v>
          </cell>
          <cell r="Z191">
            <v>0.22</v>
          </cell>
          <cell r="AC191">
            <v>0.22000000000000003</v>
          </cell>
          <cell r="AF191">
            <v>0.22</v>
          </cell>
          <cell r="AI191">
            <v>0.22</v>
          </cell>
          <cell r="AL191">
            <v>0.22</v>
          </cell>
          <cell r="AO191">
            <v>0.22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3129847</v>
          </cell>
          <cell r="E196">
            <v>2136264.34</v>
          </cell>
          <cell r="G196">
            <v>170850.24880484919</v>
          </cell>
          <cell r="H196">
            <v>116204.99448690475</v>
          </cell>
          <cell r="J196">
            <v>179294.28085507688</v>
          </cell>
          <cell r="K196">
            <v>119977.76057379098</v>
          </cell>
          <cell r="M196">
            <v>228247.23836262099</v>
          </cell>
          <cell r="N196">
            <v>153821.0403485818</v>
          </cell>
          <cell r="P196">
            <v>356932.89161319856</v>
          </cell>
          <cell r="Q196">
            <v>244261.87446290083</v>
          </cell>
          <cell r="S196">
            <v>315039.5281801268</v>
          </cell>
          <cell r="T196">
            <v>211926.35719156344</v>
          </cell>
          <cell r="V196">
            <v>257920.70264675398</v>
          </cell>
          <cell r="W196">
            <v>172420.03685761217</v>
          </cell>
          <cell r="Y196">
            <v>226787.81927032204</v>
          </cell>
          <cell r="Z196">
            <v>152147.72158321098</v>
          </cell>
          <cell r="AB196">
            <v>226518.33047341238</v>
          </cell>
          <cell r="AC196">
            <v>154012.79254259862</v>
          </cell>
          <cell r="AE196">
            <v>215532.37090117097</v>
          </cell>
          <cell r="AF196">
            <v>142014.43036339723</v>
          </cell>
          <cell r="AH196">
            <v>311255.13910548418</v>
          </cell>
          <cell r="AI196">
            <v>215226.78667786039</v>
          </cell>
          <cell r="AK196">
            <v>431214.32464006852</v>
          </cell>
          <cell r="AL196">
            <v>308610.32188258658</v>
          </cell>
          <cell r="AN196">
            <v>210254.1251469155</v>
          </cell>
          <cell r="AO196">
            <v>145640.22302899219</v>
          </cell>
        </row>
        <row r="197">
          <cell r="A197" t="str">
            <v>Service</v>
          </cell>
          <cell r="E197">
            <v>0.68254593275645736</v>
          </cell>
          <cell r="H197">
            <v>0.68015701059726252</v>
          </cell>
          <cell r="K197">
            <v>0.66916669065851964</v>
          </cell>
          <cell r="N197">
            <v>0.67392289804708705</v>
          </cell>
          <cell r="Q197">
            <v>0.68433557176233228</v>
          </cell>
          <cell r="T197">
            <v>0.67269767198988617</v>
          </cell>
          <cell r="W197">
            <v>0.66850018276259582</v>
          </cell>
          <cell r="Z197">
            <v>0.67088136423172251</v>
          </cell>
          <cell r="AC197">
            <v>0.67991315413953168</v>
          </cell>
          <cell r="AF197">
            <v>0.65890070141025703</v>
          </cell>
          <cell r="AI197">
            <v>0.69148026694884601</v>
          </cell>
          <cell r="AL197">
            <v>0.71567734244492309</v>
          </cell>
          <cell r="AO197">
            <v>0.69268663778760953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151454.02499999999</v>
          </cell>
          <cell r="H200">
            <v>12320.056609195402</v>
          </cell>
          <cell r="K200">
            <v>11918.573754789271</v>
          </cell>
          <cell r="N200">
            <v>13123.022318007663</v>
          </cell>
          <cell r="Q200">
            <v>12320.056609195402</v>
          </cell>
          <cell r="T200">
            <v>12721.539463601532</v>
          </cell>
          <cell r="W200">
            <v>12721.539463601532</v>
          </cell>
          <cell r="Z200">
            <v>12721.539463601532</v>
          </cell>
          <cell r="AC200">
            <v>12721.539463601532</v>
          </cell>
          <cell r="AF200">
            <v>12721.539463601532</v>
          </cell>
          <cell r="AI200">
            <v>12320.056609195402</v>
          </cell>
          <cell r="AL200">
            <v>12721.539463601532</v>
          </cell>
          <cell r="AO200">
            <v>13123.022318007663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119746.35000000003</v>
          </cell>
          <cell r="H201">
            <v>9656.5741379310348</v>
          </cell>
          <cell r="K201">
            <v>9226.8563218390809</v>
          </cell>
          <cell r="N201">
            <v>10516.009770114943</v>
          </cell>
          <cell r="Q201">
            <v>9656.5741379310348</v>
          </cell>
          <cell r="T201">
            <v>10086.291954022989</v>
          </cell>
          <cell r="W201">
            <v>10086.291954022989</v>
          </cell>
          <cell r="Z201">
            <v>10086.291954022989</v>
          </cell>
          <cell r="AC201">
            <v>10086.291954022989</v>
          </cell>
          <cell r="AF201">
            <v>10086.291954022989</v>
          </cell>
          <cell r="AI201">
            <v>9656.5741379310348</v>
          </cell>
          <cell r="AL201">
            <v>10086.291954022989</v>
          </cell>
          <cell r="AO201">
            <v>10516.009770114943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154097.00000000003</v>
          </cell>
          <cell r="H202">
            <v>12420.850574712644</v>
          </cell>
          <cell r="K202">
            <v>11860.095785440612</v>
          </cell>
          <cell r="N202">
            <v>13542.360153256705</v>
          </cell>
          <cell r="Q202">
            <v>12420.850574712644</v>
          </cell>
          <cell r="T202">
            <v>12981.605363984674</v>
          </cell>
          <cell r="W202">
            <v>12981.605363984674</v>
          </cell>
          <cell r="Z202">
            <v>12981.605363984674</v>
          </cell>
          <cell r="AC202">
            <v>12981.605363984674</v>
          </cell>
          <cell r="AF202">
            <v>12981.605363984674</v>
          </cell>
          <cell r="AI202">
            <v>12420.850574712644</v>
          </cell>
          <cell r="AL202">
            <v>12981.605363984674</v>
          </cell>
          <cell r="AO202">
            <v>13542.360153256705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401182.15000000008</v>
          </cell>
          <cell r="H203">
            <v>27181.005795600668</v>
          </cell>
          <cell r="K203">
            <v>26370.048204613409</v>
          </cell>
          <cell r="N203">
            <v>31979.594782412489</v>
          </cell>
          <cell r="Q203">
            <v>40523.472230896899</v>
          </cell>
          <cell r="T203">
            <v>36793.342219252096</v>
          </cell>
          <cell r="W203">
            <v>31541.276601436075</v>
          </cell>
          <cell r="Z203">
            <v>30623.097033317408</v>
          </cell>
          <cell r="AC203">
            <v>30520.212766503933</v>
          </cell>
          <cell r="AF203">
            <v>28932.025999442976</v>
          </cell>
          <cell r="AI203">
            <v>36021.685231172625</v>
          </cell>
          <cell r="AL203">
            <v>49070.557153502217</v>
          </cell>
          <cell r="AO203">
            <v>31625.831981849224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184929.85366375395</v>
          </cell>
          <cell r="H207">
            <v>12258.325368628664</v>
          </cell>
          <cell r="K207">
            <v>12044.52335367848</v>
          </cell>
          <cell r="N207">
            <v>14454.77353917443</v>
          </cell>
          <cell r="Q207">
            <v>18496.335066433676</v>
          </cell>
          <cell r="T207">
            <v>17122.397291786165</v>
          </cell>
          <cell r="W207">
            <v>15100.453163041591</v>
          </cell>
          <cell r="Z207">
            <v>14145.500554724578</v>
          </cell>
          <cell r="AC207">
            <v>14334.260881105194</v>
          </cell>
          <cell r="AF207">
            <v>13569.833845362537</v>
          </cell>
          <cell r="AI207">
            <v>17007.86602526189</v>
          </cell>
          <cell r="AL207">
            <v>22208.935597551404</v>
          </cell>
          <cell r="AO207">
            <v>14186.648977005345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183838.48223474371</v>
          </cell>
          <cell r="H208">
            <v>12185.982337961706</v>
          </cell>
          <cell r="K208">
            <v>11973.442084733379</v>
          </cell>
          <cell r="N208">
            <v>14369.46807582749</v>
          </cell>
          <cell r="Q208">
            <v>18387.178155134705</v>
          </cell>
          <cell r="T208">
            <v>17021.348732939659</v>
          </cell>
          <cell r="W208">
            <v>15011.337193820009</v>
          </cell>
          <cell r="Z208">
            <v>14062.020279103181</v>
          </cell>
          <cell r="AC208">
            <v>14249.666628356463</v>
          </cell>
          <cell r="AF208">
            <v>13489.750891410858</v>
          </cell>
          <cell r="AI208">
            <v>16907.493377575949</v>
          </cell>
          <cell r="AL208">
            <v>22077.86861566774</v>
          </cell>
          <cell r="AO208">
            <v>14102.925862212573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128734.37413000294</v>
          </cell>
          <cell r="H209">
            <v>8533.3320334619821</v>
          </cell>
          <cell r="K209">
            <v>8384.4990136057622</v>
          </cell>
          <cell r="N209">
            <v>10062.335463369629</v>
          </cell>
          <cell r="Q209">
            <v>12875.769224397871</v>
          </cell>
          <cell r="T209">
            <v>11919.3361985306</v>
          </cell>
          <cell r="W209">
            <v>10511.809469974149</v>
          </cell>
          <cell r="Z209">
            <v>9847.0426736999798</v>
          </cell>
          <cell r="AC209">
            <v>9978.4435373018441</v>
          </cell>
          <cell r="AF209">
            <v>9446.3064373973939</v>
          </cell>
          <cell r="AI209">
            <v>11839.608071231438</v>
          </cell>
          <cell r="AL209">
            <v>15460.204870127434</v>
          </cell>
          <cell r="AO209">
            <v>9875.6871369048404</v>
          </cell>
        </row>
        <row r="210">
          <cell r="A210" t="str">
            <v>ServiceCsst</v>
          </cell>
          <cell r="B210" t="str">
            <v>Csst</v>
          </cell>
          <cell r="E210">
            <v>61500.121100802055</v>
          </cell>
          <cell r="H210">
            <v>4076.6186731237226</v>
          </cell>
          <cell r="K210">
            <v>4005.5168496456185</v>
          </cell>
          <cell r="N210">
            <v>4807.0676828645201</v>
          </cell>
          <cell r="Q210">
            <v>6151.126083595861</v>
          </cell>
          <cell r="T210">
            <v>5694.2104593645008</v>
          </cell>
          <cell r="W210">
            <v>5021.7943712463311</v>
          </cell>
          <cell r="Z210">
            <v>4704.2161117414726</v>
          </cell>
          <cell r="AC210">
            <v>4766.9900917206187</v>
          </cell>
          <cell r="AF210">
            <v>4512.7728610274053</v>
          </cell>
          <cell r="AI210">
            <v>5656.122034907743</v>
          </cell>
          <cell r="AL210">
            <v>7385.7854841153239</v>
          </cell>
          <cell r="AO210">
            <v>4717.900397448936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0.6485538002892014</v>
          </cell>
          <cell r="E212">
            <v>1385482.3561293026</v>
          </cell>
          <cell r="F212" t="str">
            <v>%brut</v>
          </cell>
          <cell r="G212">
            <v>0.8487823261480455</v>
          </cell>
          <cell r="H212">
            <v>98632.745530615808</v>
          </cell>
          <cell r="I212" t="str">
            <v>%brut</v>
          </cell>
          <cell r="J212">
            <v>0.79834425071999082</v>
          </cell>
          <cell r="K212">
            <v>95783.555368345609</v>
          </cell>
          <cell r="L212" t="str">
            <v>%brut</v>
          </cell>
          <cell r="M212">
            <v>0.7336748700261172</v>
          </cell>
          <cell r="N212">
            <v>112854.63178502787</v>
          </cell>
          <cell r="O212" t="str">
            <v>%brut</v>
          </cell>
          <cell r="P212">
            <v>0.53561925032295254</v>
          </cell>
          <cell r="Q212">
            <v>130831.36208229809</v>
          </cell>
          <cell r="R212" t="str">
            <v>%brut</v>
          </cell>
          <cell r="S212">
            <v>0.58671357980776939</v>
          </cell>
          <cell r="T212">
            <v>124340.07168348221</v>
          </cell>
          <cell r="U212" t="str">
            <v>%brut</v>
          </cell>
          <cell r="V212">
            <v>0.65523769534062459</v>
          </cell>
          <cell r="W212">
            <v>112976.10758112735</v>
          </cell>
          <cell r="X212" t="str">
            <v>%brut</v>
          </cell>
          <cell r="Y212">
            <v>0.71753498703882357</v>
          </cell>
          <cell r="Z212">
            <v>109171.31343419582</v>
          </cell>
          <cell r="AA212" t="str">
            <v>%brut</v>
          </cell>
          <cell r="AB212">
            <v>0.71188249285378069</v>
          </cell>
          <cell r="AC212">
            <v>109639.01068659726</v>
          </cell>
          <cell r="AD212" t="str">
            <v>%brut</v>
          </cell>
          <cell r="AE212">
            <v>0.74457311518044011</v>
          </cell>
          <cell r="AF212">
            <v>105740.12681625035</v>
          </cell>
          <cell r="AG212" t="str">
            <v>%brut</v>
          </cell>
          <cell r="AH212">
            <v>0.56605526636578718</v>
          </cell>
          <cell r="AI212">
            <v>121830.25606198872</v>
          </cell>
          <cell r="AJ212" t="str">
            <v>%brut</v>
          </cell>
          <cell r="AK212">
            <v>0.49250714485304958</v>
          </cell>
          <cell r="AL212">
            <v>151992.78850257333</v>
          </cell>
          <cell r="AM212" t="str">
            <v>%brut</v>
          </cell>
          <cell r="AN212">
            <v>0.76689244409194801</v>
          </cell>
          <cell r="AO212">
            <v>111690.38659680024</v>
          </cell>
        </row>
        <row r="213">
          <cell r="A213" t="str">
            <v>ServicePublicité 2</v>
          </cell>
          <cell r="B213" t="str">
            <v>Publicité 2</v>
          </cell>
          <cell r="E213">
            <v>101155.123225</v>
          </cell>
          <cell r="H213">
            <v>8429.5936020833342</v>
          </cell>
          <cell r="K213">
            <v>8429.5936020833342</v>
          </cell>
          <cell r="N213">
            <v>8429.5936020833342</v>
          </cell>
          <cell r="Q213">
            <v>8429.5936020833342</v>
          </cell>
          <cell r="T213">
            <v>8429.5936020833342</v>
          </cell>
          <cell r="W213">
            <v>8429.5936020833342</v>
          </cell>
          <cell r="Z213">
            <v>8429.5936020833342</v>
          </cell>
          <cell r="AC213">
            <v>8429.5936020833342</v>
          </cell>
          <cell r="AF213">
            <v>8429.5936020833342</v>
          </cell>
          <cell r="AI213">
            <v>8429.5936020833342</v>
          </cell>
          <cell r="AL213">
            <v>8429.5936020833342</v>
          </cell>
          <cell r="AO213">
            <v>8429.5936020833342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36095.440731547555</v>
          </cell>
          <cell r="H214">
            <v>1690.750445869322</v>
          </cell>
          <cell r="K214">
            <v>1704.9740971897725</v>
          </cell>
          <cell r="N214">
            <v>2409.8655607696264</v>
          </cell>
          <cell r="Q214">
            <v>4830.6153099116955</v>
          </cell>
          <cell r="T214">
            <v>3747.743558392649</v>
          </cell>
          <cell r="W214">
            <v>2511.7819483712269</v>
          </cell>
          <cell r="Z214">
            <v>2295.7079729336124</v>
          </cell>
          <cell r="AC214">
            <v>2271.4963553892117</v>
          </cell>
          <cell r="AF214">
            <v>1897.7504777724673</v>
          </cell>
          <cell r="AI214">
            <v>3771.2157682764109</v>
          </cell>
          <cell r="AL214">
            <v>6636.9242048112947</v>
          </cell>
          <cell r="AO214">
            <v>2326.6150318602645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158780</v>
          </cell>
          <cell r="H215">
            <v>13231.666666666666</v>
          </cell>
          <cell r="K215">
            <v>13231.666666666666</v>
          </cell>
          <cell r="N215">
            <v>13231.666666666666</v>
          </cell>
          <cell r="Q215">
            <v>13231.666666666666</v>
          </cell>
          <cell r="T215">
            <v>13231.666666666666</v>
          </cell>
          <cell r="W215">
            <v>13231.666666666666</v>
          </cell>
          <cell r="Z215">
            <v>13231.666666666666</v>
          </cell>
          <cell r="AC215">
            <v>13231.666666666666</v>
          </cell>
          <cell r="AF215">
            <v>13231.666666666666</v>
          </cell>
          <cell r="AI215">
            <v>13231.666666666666</v>
          </cell>
          <cell r="AL215">
            <v>13231.666666666666</v>
          </cell>
          <cell r="AO215">
            <v>13231.666666666666</v>
          </cell>
        </row>
        <row r="216">
          <cell r="A216" t="str">
            <v>ServiceInformatique</v>
          </cell>
          <cell r="B216" t="str">
            <v>Informatique</v>
          </cell>
          <cell r="E216">
            <v>72036.067487999986</v>
          </cell>
          <cell r="H216">
            <v>6003.0056239999994</v>
          </cell>
          <cell r="K216">
            <v>6003.0056239999994</v>
          </cell>
          <cell r="N216">
            <v>6003.0056239999994</v>
          </cell>
          <cell r="Q216">
            <v>6003.0056239999994</v>
          </cell>
          <cell r="T216">
            <v>6003.0056239999994</v>
          </cell>
          <cell r="W216">
            <v>6003.0056239999994</v>
          </cell>
          <cell r="Z216">
            <v>6003.0056239999994</v>
          </cell>
          <cell r="AC216">
            <v>6003.0056239999994</v>
          </cell>
          <cell r="AF216">
            <v>6003.0056239999994</v>
          </cell>
          <cell r="AI216">
            <v>6003.0056239999994</v>
          </cell>
          <cell r="AL216">
            <v>6003.0056239999994</v>
          </cell>
          <cell r="AO216">
            <v>6003.0056239999994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9000.7924019999991</v>
          </cell>
          <cell r="H217">
            <v>750.06603349999989</v>
          </cell>
          <cell r="K217">
            <v>750.06603349999989</v>
          </cell>
          <cell r="N217">
            <v>750.06603349999989</v>
          </cell>
          <cell r="Q217">
            <v>750.06603349999989</v>
          </cell>
          <cell r="T217">
            <v>750.06603349999989</v>
          </cell>
          <cell r="W217">
            <v>750.06603349999989</v>
          </cell>
          <cell r="Z217">
            <v>750.06603349999989</v>
          </cell>
          <cell r="AC217">
            <v>750.06603349999989</v>
          </cell>
          <cell r="AF217">
            <v>750.06603349999989</v>
          </cell>
          <cell r="AI217">
            <v>750.06603349999989</v>
          </cell>
          <cell r="AL217">
            <v>750.06603349999989</v>
          </cell>
          <cell r="AO217">
            <v>750.06603349999989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47144.198664000003</v>
          </cell>
          <cell r="H218">
            <v>3117.8072053333331</v>
          </cell>
          <cell r="K218">
            <v>3236.0676853333334</v>
          </cell>
          <cell r="N218">
            <v>2994.545869333333</v>
          </cell>
          <cell r="Q218">
            <v>3012.2256133333331</v>
          </cell>
          <cell r="T218">
            <v>8151.3335813333324</v>
          </cell>
          <cell r="W218">
            <v>3169.622797333333</v>
          </cell>
          <cell r="Z218">
            <v>3091.3839973333334</v>
          </cell>
          <cell r="AC218">
            <v>2873.6823733333331</v>
          </cell>
          <cell r="AF218">
            <v>2889.7305973333332</v>
          </cell>
          <cell r="AI218">
            <v>3011.649637333333</v>
          </cell>
          <cell r="AL218">
            <v>8584.4996693333323</v>
          </cell>
          <cell r="AO218">
            <v>3011.649637333333</v>
          </cell>
        </row>
        <row r="219">
          <cell r="B219" t="str">
            <v>Fournitures d'atelier</v>
          </cell>
        </row>
        <row r="220">
          <cell r="A220" t="str">
            <v>ServiceFournitures autres</v>
          </cell>
          <cell r="B220" t="str">
            <v>Fournitures autres</v>
          </cell>
          <cell r="E220">
            <v>19919.420276135592</v>
          </cell>
          <cell r="H220">
            <v>1398.5166973537703</v>
          </cell>
          <cell r="K220">
            <v>1179.1374606762015</v>
          </cell>
          <cell r="N220">
            <v>1738.2565446670271</v>
          </cell>
          <cell r="Q220">
            <v>2082.0163848062639</v>
          </cell>
          <cell r="T220">
            <v>2165.4996825585299</v>
          </cell>
          <cell r="W220">
            <v>1604.1472692199377</v>
          </cell>
          <cell r="Z220">
            <v>1568.6099539451754</v>
          </cell>
          <cell r="AC220">
            <v>1671.6485728130358</v>
          </cell>
          <cell r="AF220">
            <v>1670.755241073929</v>
          </cell>
          <cell r="AI220">
            <v>1874.5991494618836</v>
          </cell>
          <cell r="AL220">
            <v>1890.5811436210513</v>
          </cell>
          <cell r="AO220">
            <v>1075.6521759387879</v>
          </cell>
        </row>
        <row r="221">
          <cell r="A221" t="str">
            <v>ServiceUniformes</v>
          </cell>
          <cell r="B221" t="str">
            <v>Uniformes</v>
          </cell>
          <cell r="E221">
            <v>10286.16151828361</v>
          </cell>
          <cell r="H221">
            <v>722.17807725216733</v>
          </cell>
          <cell r="K221">
            <v>608.89314069571947</v>
          </cell>
          <cell r="N221">
            <v>897.61586084308294</v>
          </cell>
          <cell r="Q221">
            <v>1075.129522895176</v>
          </cell>
          <cell r="T221">
            <v>1118.2393460152575</v>
          </cell>
          <cell r="W221">
            <v>828.36336005612884</v>
          </cell>
          <cell r="Z221">
            <v>810.01229562880167</v>
          </cell>
          <cell r="AC221">
            <v>863.22026361195901</v>
          </cell>
          <cell r="AF221">
            <v>862.75895728725288</v>
          </cell>
          <cell r="AI221">
            <v>968.02162744180248</v>
          </cell>
          <cell r="AL221">
            <v>976.27454700605381</v>
          </cell>
          <cell r="AO221">
            <v>555.45451955020917</v>
          </cell>
        </row>
        <row r="222">
          <cell r="A222" t="str">
            <v>ServicePapeterie</v>
          </cell>
          <cell r="B222" t="str">
            <v>Papeterie</v>
          </cell>
          <cell r="E222">
            <v>6871.0593167999978</v>
          </cell>
          <cell r="H222">
            <v>572.58827639999981</v>
          </cell>
          <cell r="K222">
            <v>572.58827639999981</v>
          </cell>
          <cell r="N222">
            <v>572.58827639999981</v>
          </cell>
          <cell r="Q222">
            <v>572.58827639999981</v>
          </cell>
          <cell r="T222">
            <v>572.58827639999981</v>
          </cell>
          <cell r="W222">
            <v>572.58827639999981</v>
          </cell>
          <cell r="Z222">
            <v>572.58827639999981</v>
          </cell>
          <cell r="AC222">
            <v>572.58827639999981</v>
          </cell>
          <cell r="AF222">
            <v>572.58827639999981</v>
          </cell>
          <cell r="AI222">
            <v>572.58827639999981</v>
          </cell>
          <cell r="AL222">
            <v>572.58827639999981</v>
          </cell>
          <cell r="AO222">
            <v>572.58827639999981</v>
          </cell>
        </row>
        <row r="223">
          <cell r="A223" t="str">
            <v>ServiceTéléphone</v>
          </cell>
          <cell r="B223" t="str">
            <v>Téléphone</v>
          </cell>
          <cell r="E223">
            <v>2328.4822513999993</v>
          </cell>
          <cell r="H223">
            <v>194.04018761666666</v>
          </cell>
          <cell r="K223">
            <v>194.04018761666666</v>
          </cell>
          <cell r="N223">
            <v>194.04018761666666</v>
          </cell>
          <cell r="Q223">
            <v>194.04018761666666</v>
          </cell>
          <cell r="T223">
            <v>194.04018761666666</v>
          </cell>
          <cell r="W223">
            <v>194.04018761666666</v>
          </cell>
          <cell r="Z223">
            <v>194.04018761666666</v>
          </cell>
          <cell r="AC223">
            <v>194.04018761666666</v>
          </cell>
          <cell r="AF223">
            <v>194.04018761666666</v>
          </cell>
          <cell r="AI223">
            <v>194.04018761666666</v>
          </cell>
          <cell r="AL223">
            <v>194.04018761666666</v>
          </cell>
          <cell r="AO223">
            <v>194.04018761666666</v>
          </cell>
        </row>
        <row r="224">
          <cell r="A224" t="str">
            <v>ServiceFrais postaux</v>
          </cell>
          <cell r="B224" t="str">
            <v>Frais postaux</v>
          </cell>
          <cell r="E224">
            <v>1113.6986445999994</v>
          </cell>
          <cell r="H224">
            <v>92.808220383333307</v>
          </cell>
          <cell r="K224">
            <v>92.808220383333307</v>
          </cell>
          <cell r="N224">
            <v>92.808220383333307</v>
          </cell>
          <cell r="Q224">
            <v>92.808220383333307</v>
          </cell>
          <cell r="T224">
            <v>92.808220383333307</v>
          </cell>
          <cell r="W224">
            <v>92.808220383333307</v>
          </cell>
          <cell r="Z224">
            <v>92.808220383333307</v>
          </cell>
          <cell r="AC224">
            <v>92.808220383333307</v>
          </cell>
          <cell r="AF224">
            <v>92.808220383333307</v>
          </cell>
          <cell r="AI224">
            <v>92.808220383333307</v>
          </cell>
          <cell r="AL224">
            <v>92.808220383333307</v>
          </cell>
          <cell r="AO224">
            <v>92.808220383333307</v>
          </cell>
        </row>
        <row r="225">
          <cell r="A225" t="str">
            <v>ServiceDivers</v>
          </cell>
          <cell r="B225" t="str">
            <v>Divers</v>
          </cell>
          <cell r="E225">
            <v>4231.6412673999994</v>
          </cell>
          <cell r="H225">
            <v>352.6367722833333</v>
          </cell>
          <cell r="K225">
            <v>352.6367722833333</v>
          </cell>
          <cell r="N225">
            <v>352.6367722833333</v>
          </cell>
          <cell r="Q225">
            <v>352.6367722833333</v>
          </cell>
          <cell r="T225">
            <v>352.6367722833333</v>
          </cell>
          <cell r="W225">
            <v>352.6367722833333</v>
          </cell>
          <cell r="Z225">
            <v>352.6367722833333</v>
          </cell>
          <cell r="AC225">
            <v>352.6367722833333</v>
          </cell>
          <cell r="AF225">
            <v>352.6367722833333</v>
          </cell>
          <cell r="AI225">
            <v>352.6367722833333</v>
          </cell>
          <cell r="AL225">
            <v>352.6367722833333</v>
          </cell>
          <cell r="AO225">
            <v>352.6367722833333</v>
          </cell>
        </row>
        <row r="226">
          <cell r="A226" t="str">
            <v>ServiceFormation</v>
          </cell>
          <cell r="B226" t="str">
            <v>Formation</v>
          </cell>
          <cell r="E226">
            <v>23675.803996145565</v>
          </cell>
          <cell r="H226">
            <v>1972.9836663454639</v>
          </cell>
          <cell r="K226">
            <v>1972.9836663454639</v>
          </cell>
          <cell r="N226">
            <v>1972.9836663454639</v>
          </cell>
          <cell r="Q226">
            <v>1972.9836663454639</v>
          </cell>
          <cell r="T226">
            <v>1972.9836663454639</v>
          </cell>
          <cell r="W226">
            <v>1972.9836663454639</v>
          </cell>
          <cell r="Z226">
            <v>1972.9836663454639</v>
          </cell>
          <cell r="AC226">
            <v>1972.9836663454639</v>
          </cell>
          <cell r="AF226">
            <v>1972.9836663454639</v>
          </cell>
          <cell r="AI226">
            <v>1972.9836663454639</v>
          </cell>
          <cell r="AL226">
            <v>1972.9836663454639</v>
          </cell>
          <cell r="AO226">
            <v>1972.9836663454639</v>
          </cell>
        </row>
        <row r="227">
          <cell r="A227" t="str">
            <v>ServiceFrais bancaires</v>
          </cell>
          <cell r="B227" t="str">
            <v>Frais bancaires</v>
          </cell>
          <cell r="E227">
            <v>54828.447443053141</v>
          </cell>
          <cell r="H227">
            <v>3299.6567811572586</v>
          </cell>
          <cell r="K227">
            <v>2808.0401640659611</v>
          </cell>
          <cell r="N227">
            <v>3292.1869613587974</v>
          </cell>
          <cell r="Q227">
            <v>6584.7583973403543</v>
          </cell>
          <cell r="T227">
            <v>6011.9233853903288</v>
          </cell>
          <cell r="W227">
            <v>3879.6631449604047</v>
          </cell>
          <cell r="Z227">
            <v>3641.8276273970109</v>
          </cell>
          <cell r="AC227">
            <v>4042.4215948607985</v>
          </cell>
          <cell r="AF227">
            <v>2994.0193467593331</v>
          </cell>
          <cell r="AI227">
            <v>5854.951146015148</v>
          </cell>
          <cell r="AL227">
            <v>8646.2115322264872</v>
          </cell>
          <cell r="AO227">
            <v>3772.7873615212588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ServiceTOTAL SEMI-FIXES</v>
          </cell>
          <cell r="B231" t="str">
            <v>TOTAL SEMI-FIXES</v>
          </cell>
          <cell r="C231" t="str">
            <v>%brut</v>
          </cell>
          <cell r="D231">
            <v>0.25627275004008421</v>
          </cell>
          <cell r="E231">
            <v>547466.33722436544</v>
          </cell>
          <cell r="F231" t="str">
            <v>%brut</v>
          </cell>
          <cell r="G231">
            <v>0.35995267192201719</v>
          </cell>
          <cell r="H231">
            <v>41828.298256244641</v>
          </cell>
          <cell r="I231" t="str">
            <v>%brut</v>
          </cell>
          <cell r="J231">
            <v>0.34286772315556963</v>
          </cell>
          <cell r="K231">
            <v>41136.501597239781</v>
          </cell>
          <cell r="L231" t="str">
            <v>%brut</v>
          </cell>
          <cell r="M231">
            <v>0.27910264908468019</v>
          </cell>
          <cell r="N231">
            <v>42931.859846250656</v>
          </cell>
          <cell r="O231" t="str">
            <v>%brut</v>
          </cell>
          <cell r="P231">
            <v>0.20135821190152964</v>
          </cell>
          <cell r="Q231">
            <v>49184.134277565616</v>
          </cell>
          <cell r="R231" t="str">
            <v>%brut</v>
          </cell>
          <cell r="S231">
            <v>0.24911544416935116</v>
          </cell>
          <cell r="T231">
            <v>52794.128602968893</v>
          </cell>
          <cell r="U231" t="str">
            <v>%brut</v>
          </cell>
          <cell r="V231">
            <v>0.2528300559709295</v>
          </cell>
          <cell r="W231">
            <v>43592.967569219814</v>
          </cell>
          <cell r="X231" t="str">
            <v>%brut</v>
          </cell>
          <cell r="Y231">
            <v>0.28266562554468383</v>
          </cell>
          <cell r="Z231">
            <v>43006.930896516722</v>
          </cell>
          <cell r="AA231" t="str">
            <v>%brut</v>
          </cell>
          <cell r="AB231">
            <v>0.28128740148195597</v>
          </cell>
          <cell r="AC231">
            <v>43321.858209287129</v>
          </cell>
          <cell r="AD231" t="str">
            <v>%brut</v>
          </cell>
          <cell r="AE231">
            <v>0.29514186383912799</v>
          </cell>
          <cell r="AF231">
            <v>41914.403669505111</v>
          </cell>
          <cell r="AG231" t="str">
            <v>%brut</v>
          </cell>
          <cell r="AH231">
            <v>0.21874519944524315</v>
          </cell>
          <cell r="AI231">
            <v>47079.826377807374</v>
          </cell>
          <cell r="AJ231" t="str">
            <v>%brut</v>
          </cell>
          <cell r="AK231">
            <v>0.18902115713573128</v>
          </cell>
          <cell r="AL231">
            <v>58333.880146277006</v>
          </cell>
          <cell r="AM231" t="str">
            <v>%brut</v>
          </cell>
          <cell r="AN231">
            <v>0.29072701822939279</v>
          </cell>
          <cell r="AO231">
            <v>42341.547775482642</v>
          </cell>
        </row>
        <row r="232">
          <cell r="A232" t="str">
            <v>Service</v>
          </cell>
        </row>
        <row r="233">
          <cell r="A233" t="str">
            <v>ServiceTOTAL DES DÉPENSES</v>
          </cell>
          <cell r="B233" t="str">
            <v>TOTAL DES DÉPENSES</v>
          </cell>
          <cell r="C233" t="str">
            <v>% brut</v>
          </cell>
          <cell r="D233">
            <v>0.90482655032928572</v>
          </cell>
          <cell r="E233">
            <v>1932948.6933536681</v>
          </cell>
          <cell r="F233" t="str">
            <v>% brut</v>
          </cell>
          <cell r="G233">
            <v>1.2087349980700626</v>
          </cell>
          <cell r="H233">
            <v>140461.04378686045</v>
          </cell>
          <cell r="I233" t="str">
            <v>% brut</v>
          </cell>
          <cell r="J233">
            <v>1.1412119738755604</v>
          </cell>
          <cell r="K233">
            <v>136920.05696558539</v>
          </cell>
          <cell r="L233" t="str">
            <v>% brut</v>
          </cell>
          <cell r="M233">
            <v>1.0127775191107975</v>
          </cell>
          <cell r="N233">
            <v>155786.49163127854</v>
          </cell>
          <cell r="O233" t="str">
            <v>% brut</v>
          </cell>
          <cell r="P233">
            <v>0.73697746222448213</v>
          </cell>
          <cell r="Q233">
            <v>180015.4963598637</v>
          </cell>
          <cell r="R233" t="str">
            <v>% brut</v>
          </cell>
          <cell r="S233">
            <v>0.83582902397712056</v>
          </cell>
          <cell r="T233">
            <v>177134.20028645109</v>
          </cell>
          <cell r="U233" t="str">
            <v>% brut</v>
          </cell>
          <cell r="V233">
            <v>0.90806775131155415</v>
          </cell>
          <cell r="W233">
            <v>156569.07515034717</v>
          </cell>
          <cell r="X233" t="str">
            <v>% brut</v>
          </cell>
          <cell r="Y233">
            <v>1.0002006125835072</v>
          </cell>
          <cell r="Z233">
            <v>152178.24433071254</v>
          </cell>
          <cell r="AA233" t="str">
            <v>% brut</v>
          </cell>
          <cell r="AB233">
            <v>0.99316989433573666</v>
          </cell>
          <cell r="AC233">
            <v>152960.8688958844</v>
          </cell>
          <cell r="AD233" t="str">
            <v>% brut</v>
          </cell>
          <cell r="AE233">
            <v>1.0397149790195681</v>
          </cell>
          <cell r="AF233">
            <v>147654.53048575547</v>
          </cell>
          <cell r="AG233" t="str">
            <v>% brut</v>
          </cell>
          <cell r="AH233">
            <v>0.78480046581103036</v>
          </cell>
          <cell r="AI233">
            <v>168910.0824397961</v>
          </cell>
          <cell r="AJ233" t="str">
            <v>% brut</v>
          </cell>
          <cell r="AK233">
            <v>0.68152830198878089</v>
          </cell>
          <cell r="AL233">
            <v>210326.66864885035</v>
          </cell>
          <cell r="AM233" t="str">
            <v>% brut</v>
          </cell>
          <cell r="AN233">
            <v>1.0576194623213409</v>
          </cell>
          <cell r="AO233">
            <v>154031.93437228288</v>
          </cell>
        </row>
        <row r="234">
          <cell r="A234" t="str">
            <v>Service</v>
          </cell>
        </row>
        <row r="235">
          <cell r="A235" t="str">
            <v>ServicePROFIT DÉPARTEMENTAL</v>
          </cell>
          <cell r="B235" t="str">
            <v>PROFIT DÉPARTEMENTAL</v>
          </cell>
          <cell r="E235">
            <v>203315.64664633176</v>
          </cell>
          <cell r="H235">
            <v>-24256.049299955703</v>
          </cell>
          <cell r="K235">
            <v>-16942.296391794414</v>
          </cell>
          <cell r="N235">
            <v>-1965.4512826967402</v>
          </cell>
          <cell r="Q235">
            <v>64246.378103037132</v>
          </cell>
          <cell r="T235">
            <v>34792.156905112352</v>
          </cell>
          <cell r="W235">
            <v>15850.961707265</v>
          </cell>
          <cell r="Z235">
            <v>-30.522747501556296</v>
          </cell>
          <cell r="AC235">
            <v>1051.9236467142182</v>
          </cell>
          <cell r="AF235">
            <v>-5640.1001223582425</v>
          </cell>
          <cell r="AI235">
            <v>46316.704238064296</v>
          </cell>
          <cell r="AL235">
            <v>98283.65323373623</v>
          </cell>
          <cell r="AO235">
            <v>-8391.7113432906917</v>
          </cell>
        </row>
        <row r="238">
          <cell r="B238" t="str">
            <v>Budget 2023</v>
          </cell>
          <cell r="C238" t="str">
            <v>Carrosserie</v>
          </cell>
        </row>
        <row r="240">
          <cell r="B240" t="str">
            <v>Mois</v>
          </cell>
          <cell r="C240">
            <v>2021</v>
          </cell>
          <cell r="F240" t="str">
            <v>Janvier</v>
          </cell>
          <cell r="I240" t="str">
            <v>Février</v>
          </cell>
          <cell r="L240" t="str">
            <v>Mars</v>
          </cell>
          <cell r="O240" t="str">
            <v>Avril</v>
          </cell>
          <cell r="R240" t="str">
            <v>Mai</v>
          </cell>
          <cell r="U240" t="str">
            <v>Juin</v>
          </cell>
          <cell r="X240" t="str">
            <v>Juillet</v>
          </cell>
          <cell r="AA240" t="str">
            <v>Août</v>
          </cell>
          <cell r="AD240" t="str">
            <v>Septembre</v>
          </cell>
          <cell r="AG240" t="str">
            <v>Octobre</v>
          </cell>
          <cell r="AJ240" t="str">
            <v>Novembre</v>
          </cell>
          <cell r="AM240" t="str">
            <v>Décembre</v>
          </cell>
        </row>
        <row r="241">
          <cell r="A241" t="str">
            <v>Carrosserie</v>
          </cell>
          <cell r="C241" t="str">
            <v>#</v>
          </cell>
          <cell r="D241" t="str">
            <v>$VENTES</v>
          </cell>
          <cell r="E241" t="str">
            <v>$PROFITS</v>
          </cell>
          <cell r="F241" t="str">
            <v>#</v>
          </cell>
          <cell r="G241" t="str">
            <v>$VENTES</v>
          </cell>
          <cell r="H241" t="str">
            <v>$PROFITS</v>
          </cell>
          <cell r="I241" t="str">
            <v>#</v>
          </cell>
          <cell r="J241" t="str">
            <v>$VENTES</v>
          </cell>
          <cell r="K241" t="str">
            <v>$PROFITS</v>
          </cell>
          <cell r="L241" t="str">
            <v>#</v>
          </cell>
          <cell r="M241" t="str">
            <v>$VENTES</v>
          </cell>
          <cell r="N241" t="str">
            <v>$PROFITS</v>
          </cell>
          <cell r="O241" t="str">
            <v>#</v>
          </cell>
          <cell r="P241" t="str">
            <v>$VENTES</v>
          </cell>
          <cell r="Q241" t="str">
            <v>$PROFITS</v>
          </cell>
          <cell r="R241" t="str">
            <v>#</v>
          </cell>
          <cell r="S241" t="str">
            <v>$VENTES</v>
          </cell>
          <cell r="T241" t="str">
            <v>$PROFITS</v>
          </cell>
          <cell r="U241" t="str">
            <v>#</v>
          </cell>
          <cell r="V241" t="str">
            <v>$VENTES</v>
          </cell>
          <cell r="W241" t="str">
            <v>$PROFITS</v>
          </cell>
          <cell r="X241" t="str">
            <v>#</v>
          </cell>
          <cell r="Y241" t="str">
            <v>$VENTES</v>
          </cell>
          <cell r="Z241" t="str">
            <v>$PROFITS</v>
          </cell>
          <cell r="AA241" t="str">
            <v>#</v>
          </cell>
          <cell r="AB241" t="str">
            <v>$VENTES</v>
          </cell>
          <cell r="AC241" t="str">
            <v>$PROFITS</v>
          </cell>
          <cell r="AD241" t="str">
            <v>#</v>
          </cell>
          <cell r="AE241" t="str">
            <v>$VENTES</v>
          </cell>
          <cell r="AF241" t="str">
            <v>$PROFITS</v>
          </cell>
          <cell r="AG241" t="str">
            <v>#</v>
          </cell>
          <cell r="AH241" t="str">
            <v>$VENTES</v>
          </cell>
          <cell r="AI241" t="str">
            <v>$PROFITS</v>
          </cell>
          <cell r="AJ241" t="str">
            <v>#</v>
          </cell>
          <cell r="AK241" t="str">
            <v>$VENTES</v>
          </cell>
          <cell r="AL241" t="str">
            <v>$PROFITS</v>
          </cell>
          <cell r="AM241" t="str">
            <v>#</v>
          </cell>
          <cell r="AN241" t="str">
            <v>$VENTES</v>
          </cell>
          <cell r="AO241" t="str">
            <v>$PROFITS</v>
          </cell>
        </row>
        <row r="242">
          <cell r="A242" t="str">
            <v>Carrosserie</v>
          </cell>
        </row>
        <row r="243">
          <cell r="A243" t="str">
            <v>CarrosserieM/O Sous-traitement</v>
          </cell>
          <cell r="B243" t="str">
            <v>M/O Sous-traitement</v>
          </cell>
          <cell r="C243">
            <v>0</v>
          </cell>
          <cell r="D243">
            <v>1187551</v>
          </cell>
          <cell r="E243">
            <v>279186.10938241996</v>
          </cell>
          <cell r="G243">
            <v>114273.79910049828</v>
          </cell>
          <cell r="H243">
            <v>26865.084004995493</v>
          </cell>
          <cell r="J243">
            <v>87661.944450869094</v>
          </cell>
          <cell r="K243">
            <v>20608.796769263776</v>
          </cell>
          <cell r="M243">
            <v>127718.26555916485</v>
          </cell>
          <cell r="N243">
            <v>30025.797341363836</v>
          </cell>
          <cell r="P243">
            <v>111937.99023890575</v>
          </cell>
          <cell r="Q243">
            <v>26315.949367132362</v>
          </cell>
          <cell r="S243">
            <v>93531.939296992714</v>
          </cell>
          <cell r="T243">
            <v>21988.797310869239</v>
          </cell>
          <cell r="V243">
            <v>109434.21769626775</v>
          </cell>
          <cell r="W243">
            <v>25727.327476402927</v>
          </cell>
          <cell r="Y243">
            <v>102279.60711969429</v>
          </cell>
          <cell r="Z243">
            <v>24045.321490116985</v>
          </cell>
          <cell r="AB243">
            <v>99362.912856790354</v>
          </cell>
          <cell r="AC243">
            <v>23359.624182365002</v>
          </cell>
          <cell r="AE243">
            <v>65414.584168287191</v>
          </cell>
          <cell r="AF243">
            <v>15378.575952370002</v>
          </cell>
          <cell r="AH243">
            <v>105347.5803785967</v>
          </cell>
          <cell r="AI243">
            <v>24766.583581464864</v>
          </cell>
          <cell r="AK243">
            <v>108565.13624085431</v>
          </cell>
          <cell r="AL243">
            <v>25523.011644684295</v>
          </cell>
          <cell r="AN243">
            <v>62023.022893078683</v>
          </cell>
          <cell r="AO243">
            <v>14581.24026139122</v>
          </cell>
        </row>
        <row r="244">
          <cell r="A244" t="str">
            <v>Carrosserie% profit / ventes</v>
          </cell>
          <cell r="B244" t="str">
            <v>% profit / ventes</v>
          </cell>
          <cell r="E244">
            <v>0.23509399544307569</v>
          </cell>
          <cell r="H244">
            <v>0.23509399544307574</v>
          </cell>
          <cell r="K244">
            <v>0.23509399544307572</v>
          </cell>
          <cell r="N244">
            <v>0.23509399544307572</v>
          </cell>
          <cell r="Q244">
            <v>0.23509399544307572</v>
          </cell>
          <cell r="T244">
            <v>0.23509399544307572</v>
          </cell>
          <cell r="W244">
            <v>0.23509399544307572</v>
          </cell>
          <cell r="Z244">
            <v>0.23509399544307572</v>
          </cell>
          <cell r="AC244">
            <v>0.23509399544307572</v>
          </cell>
          <cell r="AF244">
            <v>0.23509399544307572</v>
          </cell>
          <cell r="AI244">
            <v>0.23509399544307569</v>
          </cell>
          <cell r="AL244">
            <v>0.23509399544307569</v>
          </cell>
          <cell r="AO244">
            <v>0.23509399544307572</v>
          </cell>
        </row>
        <row r="245">
          <cell r="A245" t="str">
            <v>Carrosserie</v>
          </cell>
        </row>
        <row r="246">
          <cell r="A246" t="str">
            <v>CarrosserieM/O Carrosserie</v>
          </cell>
          <cell r="B246" t="str">
            <v>M/O Carrosserie</v>
          </cell>
          <cell r="C246">
            <v>0</v>
          </cell>
          <cell r="D246">
            <v>0</v>
          </cell>
          <cell r="E246">
            <v>0</v>
          </cell>
        </row>
        <row r="247">
          <cell r="A247" t="str">
            <v>Carrosserie% profit / ventes</v>
          </cell>
          <cell r="B247" t="str">
            <v>% profit / ventes</v>
          </cell>
          <cell r="E247">
            <v>0</v>
          </cell>
          <cell r="H247">
            <v>0</v>
          </cell>
          <cell r="K247">
            <v>0</v>
          </cell>
          <cell r="N247">
            <v>0</v>
          </cell>
          <cell r="Q247">
            <v>0</v>
          </cell>
          <cell r="T247">
            <v>0</v>
          </cell>
          <cell r="W247">
            <v>0</v>
          </cell>
          <cell r="Z247">
            <v>0</v>
          </cell>
          <cell r="AC247">
            <v>0</v>
          </cell>
          <cell r="AF247">
            <v>0</v>
          </cell>
          <cell r="AI247">
            <v>0</v>
          </cell>
          <cell r="AL247">
            <v>0</v>
          </cell>
          <cell r="AO247">
            <v>0</v>
          </cell>
        </row>
        <row r="248">
          <cell r="A248" t="str">
            <v>Carrosserie</v>
          </cell>
        </row>
        <row r="249">
          <cell r="A249" t="str">
            <v>CarrosserieM/O Esthétique Carr.</v>
          </cell>
          <cell r="B249" t="str">
            <v>M/O Esthétique Carr.</v>
          </cell>
          <cell r="C249">
            <v>0</v>
          </cell>
          <cell r="D249">
            <v>0</v>
          </cell>
          <cell r="E249">
            <v>0</v>
          </cell>
        </row>
        <row r="250">
          <cell r="A250" t="str">
            <v>Carrosserie% profit / ventes</v>
          </cell>
          <cell r="B250" t="str">
            <v>% profit / ventes</v>
          </cell>
          <cell r="E250">
            <v>0</v>
          </cell>
          <cell r="H250">
            <v>0</v>
          </cell>
          <cell r="K250">
            <v>0</v>
          </cell>
          <cell r="N250">
            <v>0</v>
          </cell>
          <cell r="Q250">
            <v>0</v>
          </cell>
          <cell r="T250">
            <v>0</v>
          </cell>
          <cell r="W250">
            <v>0</v>
          </cell>
          <cell r="Z250">
            <v>0</v>
          </cell>
          <cell r="AC250">
            <v>0</v>
          </cell>
          <cell r="AF250">
            <v>0</v>
          </cell>
          <cell r="AI250">
            <v>0</v>
          </cell>
          <cell r="AL250">
            <v>0</v>
          </cell>
          <cell r="AO250">
            <v>0</v>
          </cell>
        </row>
        <row r="251">
          <cell r="A251" t="str">
            <v>Carrosserie</v>
          </cell>
        </row>
        <row r="252">
          <cell r="A252" t="str">
            <v>CarrosserieTotal Mécanique</v>
          </cell>
          <cell r="B252" t="str">
            <v>Total Mécanique</v>
          </cell>
          <cell r="D252">
            <v>1187551</v>
          </cell>
          <cell r="E252">
            <v>279186.10938241996</v>
          </cell>
          <cell r="G252">
            <v>114273.79910049828</v>
          </cell>
          <cell r="H252">
            <v>26865.084004995493</v>
          </cell>
          <cell r="J252">
            <v>87661.944450869094</v>
          </cell>
          <cell r="K252">
            <v>20608.796769263776</v>
          </cell>
          <cell r="M252">
            <v>127718.26555916485</v>
          </cell>
          <cell r="N252">
            <v>30025.797341363836</v>
          </cell>
          <cell r="P252">
            <v>111937.99023890575</v>
          </cell>
          <cell r="Q252">
            <v>26315.949367132362</v>
          </cell>
          <cell r="S252">
            <v>93531.939296992714</v>
          </cell>
          <cell r="T252">
            <v>21988.797310869239</v>
          </cell>
          <cell r="V252">
            <v>109434.21769626775</v>
          </cell>
          <cell r="W252">
            <v>25727.327476402927</v>
          </cell>
          <cell r="Y252">
            <v>102279.60711969429</v>
          </cell>
          <cell r="Z252">
            <v>24045.321490116985</v>
          </cell>
          <cell r="AB252">
            <v>99362.912856790354</v>
          </cell>
          <cell r="AC252">
            <v>23359.624182365002</v>
          </cell>
          <cell r="AE252">
            <v>65414.584168287191</v>
          </cell>
          <cell r="AF252">
            <v>15378.575952370002</v>
          </cell>
          <cell r="AH252">
            <v>105347.5803785967</v>
          </cell>
          <cell r="AI252">
            <v>24766.583581464864</v>
          </cell>
          <cell r="AK252">
            <v>108565.13624085431</v>
          </cell>
          <cell r="AL252">
            <v>25523.011644684295</v>
          </cell>
          <cell r="AN252">
            <v>62023.022893078683</v>
          </cell>
          <cell r="AO252">
            <v>14581.24026139122</v>
          </cell>
        </row>
        <row r="253">
          <cell r="A253" t="str">
            <v>Carrosserie</v>
          </cell>
          <cell r="E253">
            <v>0.23509399544307569</v>
          </cell>
          <cell r="H253">
            <v>0.23509399544307574</v>
          </cell>
          <cell r="K253">
            <v>0.23509399544307572</v>
          </cell>
          <cell r="N253">
            <v>0.23509399544307572</v>
          </cell>
          <cell r="Q253">
            <v>0.23509399544307572</v>
          </cell>
          <cell r="T253">
            <v>0.23509399544307572</v>
          </cell>
          <cell r="W253">
            <v>0.23509399544307572</v>
          </cell>
          <cell r="Z253">
            <v>0.23509399544307572</v>
          </cell>
          <cell r="AC253">
            <v>0.23509399544307572</v>
          </cell>
          <cell r="AF253">
            <v>0.23509399544307572</v>
          </cell>
          <cell r="AI253">
            <v>0.23509399544307569</v>
          </cell>
          <cell r="AL253">
            <v>0.23509399544307569</v>
          </cell>
          <cell r="AO253">
            <v>0.23509399544307572</v>
          </cell>
        </row>
        <row r="254">
          <cell r="A254" t="str">
            <v>Carrosserie</v>
          </cell>
        </row>
        <row r="255">
          <cell r="A255" t="str">
            <v>CarrosserieDEPENSES</v>
          </cell>
          <cell r="B255" t="str">
            <v>DEPENSES</v>
          </cell>
        </row>
        <row r="256">
          <cell r="A256" t="str">
            <v>CarrosserieSalaires cadres</v>
          </cell>
          <cell r="B256" t="str">
            <v>Salaires cadres</v>
          </cell>
          <cell r="E256">
            <v>3865.2249999999995</v>
          </cell>
          <cell r="H256">
            <v>310.99511494252874</v>
          </cell>
          <cell r="K256">
            <v>296.18582375478928</v>
          </cell>
          <cell r="N256">
            <v>340.61369731800767</v>
          </cell>
          <cell r="Q256">
            <v>310.99511494252874</v>
          </cell>
          <cell r="T256">
            <v>325.80440613026821</v>
          </cell>
          <cell r="W256">
            <v>325.80440613026821</v>
          </cell>
          <cell r="Z256">
            <v>325.80440613026821</v>
          </cell>
          <cell r="AC256">
            <v>325.80440613026821</v>
          </cell>
          <cell r="AF256">
            <v>325.80440613026821</v>
          </cell>
          <cell r="AI256">
            <v>310.99511494252874</v>
          </cell>
          <cell r="AL256">
            <v>325.80440613026821</v>
          </cell>
          <cell r="AO256">
            <v>340.61369731800767</v>
          </cell>
        </row>
        <row r="257">
          <cell r="A257" t="str">
            <v>CarrosserieSalaires commis</v>
          </cell>
          <cell r="B257" t="str">
            <v>Salaires commis</v>
          </cell>
          <cell r="E257">
            <v>6740.67</v>
          </cell>
          <cell r="H257">
            <v>542.78379310344826</v>
          </cell>
          <cell r="K257">
            <v>517.53218390804602</v>
          </cell>
          <cell r="N257">
            <v>593.28701149425297</v>
          </cell>
          <cell r="Q257">
            <v>542.78379310344826</v>
          </cell>
          <cell r="T257">
            <v>568.03540229885061</v>
          </cell>
          <cell r="W257">
            <v>568.03540229885061</v>
          </cell>
          <cell r="Z257">
            <v>568.03540229885061</v>
          </cell>
          <cell r="AC257">
            <v>568.03540229885061</v>
          </cell>
          <cell r="AF257">
            <v>568.03540229885061</v>
          </cell>
          <cell r="AI257">
            <v>542.78379310344826</v>
          </cell>
          <cell r="AL257">
            <v>568.03540229885061</v>
          </cell>
          <cell r="AO257">
            <v>593.28701149425297</v>
          </cell>
        </row>
        <row r="258">
          <cell r="A258" t="str">
            <v>CarrosserieSalaires autres</v>
          </cell>
          <cell r="B258" t="str">
            <v>Salaires autres</v>
          </cell>
          <cell r="E258">
            <v>4404.9999999999991</v>
          </cell>
          <cell r="H258">
            <v>354.42528735632186</v>
          </cell>
          <cell r="K258">
            <v>337.54789272030655</v>
          </cell>
          <cell r="N258">
            <v>388.18007662835248</v>
          </cell>
          <cell r="Q258">
            <v>354.42528735632186</v>
          </cell>
          <cell r="T258">
            <v>371.30268199233717</v>
          </cell>
          <cell r="W258">
            <v>371.30268199233717</v>
          </cell>
          <cell r="Z258">
            <v>371.30268199233717</v>
          </cell>
          <cell r="AC258">
            <v>371.30268199233717</v>
          </cell>
          <cell r="AF258">
            <v>371.30268199233717</v>
          </cell>
          <cell r="AI258">
            <v>354.42528735632186</v>
          </cell>
          <cell r="AL258">
            <v>371.30268199233717</v>
          </cell>
          <cell r="AO258">
            <v>388.18007662835248</v>
          </cell>
        </row>
        <row r="259">
          <cell r="A259" t="str">
            <v>CarrosserieSalaires spécialistes</v>
          </cell>
          <cell r="B259" t="str">
            <v>Salaires spécialistes</v>
          </cell>
          <cell r="E259">
            <v>53618.467432950187</v>
          </cell>
          <cell r="H259">
            <v>8601.6475095785427</v>
          </cell>
          <cell r="K259">
            <v>8458.1992337164738</v>
          </cell>
          <cell r="N259">
            <v>3799.3103448275861</v>
          </cell>
          <cell r="Q259">
            <v>3512.4137931034479</v>
          </cell>
          <cell r="T259">
            <v>3655.8620689655172</v>
          </cell>
          <cell r="W259">
            <v>3655.8620689655172</v>
          </cell>
          <cell r="Z259">
            <v>3655.8620689655172</v>
          </cell>
          <cell r="AC259">
            <v>3655.8620689655172</v>
          </cell>
          <cell r="AF259">
            <v>3655.8620689655172</v>
          </cell>
          <cell r="AI259">
            <v>3512.4137931034479</v>
          </cell>
          <cell r="AL259">
            <v>3655.8620689655172</v>
          </cell>
          <cell r="AO259">
            <v>3799.3103448275861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</row>
        <row r="263">
          <cell r="A263" t="str">
            <v>CarrosserieSalaires en absences</v>
          </cell>
          <cell r="B263" t="str">
            <v>Salaires en absences</v>
          </cell>
          <cell r="E263">
            <v>8273.9179693014285</v>
          </cell>
          <cell r="H263">
            <v>1150.1955437766571</v>
          </cell>
          <cell r="K263">
            <v>1126.2874466286423</v>
          </cell>
          <cell r="N263">
            <v>623.65159503762766</v>
          </cell>
          <cell r="Q263">
            <v>575.83540074159828</v>
          </cell>
          <cell r="T263">
            <v>599.74349788961297</v>
          </cell>
          <cell r="W263">
            <v>599.74349788961297</v>
          </cell>
          <cell r="Z263">
            <v>599.74349788961297</v>
          </cell>
          <cell r="AC263">
            <v>599.74349788961297</v>
          </cell>
          <cell r="AF263">
            <v>599.74349788961297</v>
          </cell>
          <cell r="AI263">
            <v>575.83540074159828</v>
          </cell>
          <cell r="AL263">
            <v>599.74349788961297</v>
          </cell>
          <cell r="AO263">
            <v>623.65159503762766</v>
          </cell>
        </row>
        <row r="264">
          <cell r="A264" t="str">
            <v>CarrosserieDéduction à la source</v>
          </cell>
          <cell r="B264" t="str">
            <v>Déduction à la source</v>
          </cell>
          <cell r="E264">
            <v>8225.0890890596893</v>
          </cell>
          <cell r="H264">
            <v>1143.4076156548128</v>
          </cell>
          <cell r="K264">
            <v>1119.6406131631361</v>
          </cell>
          <cell r="N264">
            <v>619.97108851585051</v>
          </cell>
          <cell r="Q264">
            <v>572.43708353249735</v>
          </cell>
          <cell r="T264">
            <v>596.20408602417399</v>
          </cell>
          <cell r="W264">
            <v>596.20408602417399</v>
          </cell>
          <cell r="Z264">
            <v>596.20408602417399</v>
          </cell>
          <cell r="AC264">
            <v>596.20408602417399</v>
          </cell>
          <cell r="AF264">
            <v>596.20408602417399</v>
          </cell>
          <cell r="AI264">
            <v>572.43708353249735</v>
          </cell>
          <cell r="AL264">
            <v>596.20408602417399</v>
          </cell>
          <cell r="AO264">
            <v>619.97108851585051</v>
          </cell>
        </row>
        <row r="265">
          <cell r="A265" t="str">
            <v>CarrosserieBénéfices marginaux</v>
          </cell>
          <cell r="B265" t="str">
            <v>Bénéfices marginaux</v>
          </cell>
          <cell r="E265">
            <v>5759.684714387301</v>
          </cell>
          <cell r="H265">
            <v>800.68036891670249</v>
          </cell>
          <cell r="K265">
            <v>784.03733447952004</v>
          </cell>
          <cell r="N265">
            <v>434.13973553629046</v>
          </cell>
          <cell r="Q265">
            <v>400.85366666192539</v>
          </cell>
          <cell r="T265">
            <v>417.4967010991079</v>
          </cell>
          <cell r="W265">
            <v>417.4967010991079</v>
          </cell>
          <cell r="Z265">
            <v>417.4967010991079</v>
          </cell>
          <cell r="AC265">
            <v>417.4967010991079</v>
          </cell>
          <cell r="AF265">
            <v>417.4967010991079</v>
          </cell>
          <cell r="AI265">
            <v>400.85366666192539</v>
          </cell>
          <cell r="AL265">
            <v>417.4967010991079</v>
          </cell>
          <cell r="AO265">
            <v>434.13973553629046</v>
          </cell>
        </row>
        <row r="266">
          <cell r="A266" t="str">
            <v>CarrosserieCsst</v>
          </cell>
          <cell r="B266" t="str">
            <v>Csst</v>
          </cell>
          <cell r="E266">
            <v>2751.56740249924</v>
          </cell>
          <cell r="H266">
            <v>382.50809066492917</v>
          </cell>
          <cell r="K266">
            <v>374.55723340330991</v>
          </cell>
          <cell r="N266">
            <v>207.40106510471938</v>
          </cell>
          <cell r="Q266">
            <v>191.49935058148088</v>
          </cell>
          <cell r="T266">
            <v>199.45020784310012</v>
          </cell>
          <cell r="W266">
            <v>199.45020784310012</v>
          </cell>
          <cell r="Z266">
            <v>199.45020784310012</v>
          </cell>
          <cell r="AC266">
            <v>199.45020784310012</v>
          </cell>
          <cell r="AF266">
            <v>199.45020784310012</v>
          </cell>
          <cell r="AI266">
            <v>191.49935058148088</v>
          </cell>
          <cell r="AL266">
            <v>199.45020784310012</v>
          </cell>
          <cell r="AO266">
            <v>207.40106510471938</v>
          </cell>
        </row>
        <row r="267">
          <cell r="A267" t="str">
            <v>Carrosserie[...]</v>
          </cell>
          <cell r="B267" t="str">
            <v>[...]</v>
          </cell>
          <cell r="E267">
            <v>0</v>
          </cell>
        </row>
        <row r="268">
          <cell r="A268" t="str">
            <v>CarrosserieTOTAL PERSONNEL</v>
          </cell>
          <cell r="B268" t="str">
            <v>TOTAL PERSONNEL</v>
          </cell>
          <cell r="C268" t="str">
            <v>% brut</v>
          </cell>
          <cell r="D268">
            <v>0</v>
          </cell>
          <cell r="E268">
            <v>93639.621608197849</v>
          </cell>
          <cell r="F268" t="str">
            <v>% brut</v>
          </cell>
          <cell r="G268">
            <v>0</v>
          </cell>
          <cell r="H268">
            <v>13286.643323993943</v>
          </cell>
          <cell r="I268" t="str">
            <v>% brut</v>
          </cell>
          <cell r="J268">
            <v>0</v>
          </cell>
          <cell r="K268">
            <v>13013.987761774224</v>
          </cell>
          <cell r="L268" t="str">
            <v>% brut</v>
          </cell>
          <cell r="M268">
            <v>0</v>
          </cell>
          <cell r="N268">
            <v>7006.5546144626869</v>
          </cell>
          <cell r="O268" t="str">
            <v>% brut</v>
          </cell>
          <cell r="P268">
            <v>0</v>
          </cell>
          <cell r="Q268">
            <v>6461.2434900232483</v>
          </cell>
          <cell r="R268" t="str">
            <v>% brut</v>
          </cell>
          <cell r="S268">
            <v>0</v>
          </cell>
          <cell r="T268">
            <v>6733.8990522429676</v>
          </cell>
          <cell r="U268" t="str">
            <v>% brut</v>
          </cell>
          <cell r="V268">
            <v>0</v>
          </cell>
          <cell r="W268">
            <v>6733.8990522429676</v>
          </cell>
          <cell r="X268" t="str">
            <v>% brut</v>
          </cell>
          <cell r="Y268">
            <v>0</v>
          </cell>
          <cell r="Z268">
            <v>6733.8990522429676</v>
          </cell>
          <cell r="AA268" t="str">
            <v>% brut</v>
          </cell>
          <cell r="AB268">
            <v>0</v>
          </cell>
          <cell r="AC268">
            <v>6733.8990522429676</v>
          </cell>
          <cell r="AD268" t="str">
            <v>% brut</v>
          </cell>
          <cell r="AE268">
            <v>0</v>
          </cell>
          <cell r="AF268">
            <v>6733.8990522429676</v>
          </cell>
          <cell r="AG268" t="str">
            <v>% brut</v>
          </cell>
          <cell r="AH268">
            <v>0</v>
          </cell>
          <cell r="AI268">
            <v>6461.2434900232483</v>
          </cell>
          <cell r="AJ268" t="str">
            <v>% brut</v>
          </cell>
          <cell r="AK268">
            <v>0</v>
          </cell>
          <cell r="AL268">
            <v>6733.8990522429676</v>
          </cell>
          <cell r="AM268" t="str">
            <v>% brut</v>
          </cell>
          <cell r="AN268">
            <v>0</v>
          </cell>
          <cell r="AO268">
            <v>7006.5546144626869</v>
          </cell>
        </row>
        <row r="269">
          <cell r="A269" t="str">
            <v>CarrosseriePublicité 2</v>
          </cell>
          <cell r="B269" t="str">
            <v>Publicité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CarrosserieService gratuit 2</v>
          </cell>
          <cell r="B270" t="str">
            <v>Service gratuit 2</v>
          </cell>
          <cell r="E270">
            <v>3611.1482210524841</v>
          </cell>
          <cell r="H270">
            <v>347.48791953749628</v>
          </cell>
          <cell r="K270">
            <v>266.56562518810358</v>
          </cell>
          <cell r="N270">
            <v>388.37034154313108</v>
          </cell>
          <cell r="Q270">
            <v>340.38510709806553</v>
          </cell>
          <cell r="T270">
            <v>284.41531875593063</v>
          </cell>
          <cell r="W270">
            <v>332.7715445956826</v>
          </cell>
          <cell r="Z270">
            <v>311.01554484837368</v>
          </cell>
          <cell r="AC270">
            <v>302.14635497876844</v>
          </cell>
          <cell r="AF270">
            <v>198.91504385933595</v>
          </cell>
          <cell r="AI270">
            <v>320.34474938453423</v>
          </cell>
          <cell r="AL270">
            <v>330.12881013487549</v>
          </cell>
          <cell r="AO270">
            <v>188.60186112818613</v>
          </cell>
        </row>
        <row r="271">
          <cell r="A271" t="str">
            <v>CarrosserieFrais véhicules de cie</v>
          </cell>
          <cell r="B271" t="str">
            <v>Frais véhicules de cie</v>
          </cell>
          <cell r="E271">
            <v>5499.9999999999991</v>
          </cell>
          <cell r="H271">
            <v>458.33333333333331</v>
          </cell>
          <cell r="K271">
            <v>458.33333333333331</v>
          </cell>
          <cell r="N271">
            <v>458.33333333333331</v>
          </cell>
          <cell r="Q271">
            <v>458.33333333333331</v>
          </cell>
          <cell r="T271">
            <v>458.33333333333331</v>
          </cell>
          <cell r="W271">
            <v>458.33333333333331</v>
          </cell>
          <cell r="Z271">
            <v>458.33333333333331</v>
          </cell>
          <cell r="AC271">
            <v>458.33333333333331</v>
          </cell>
          <cell r="AF271">
            <v>458.33333333333331</v>
          </cell>
          <cell r="AI271">
            <v>458.33333333333331</v>
          </cell>
          <cell r="AL271">
            <v>458.33333333333331</v>
          </cell>
          <cell r="AO271">
            <v>458.33333333333331</v>
          </cell>
        </row>
        <row r="272">
          <cell r="A272" t="str">
            <v>CarrosserieInformatique</v>
          </cell>
          <cell r="B272" t="str">
            <v>Informatique</v>
          </cell>
          <cell r="E272">
            <v>15899.721484000003</v>
          </cell>
          <cell r="H272">
            <v>1324.9767903333334</v>
          </cell>
          <cell r="K272">
            <v>1324.9767903333334</v>
          </cell>
          <cell r="N272">
            <v>1324.9767903333334</v>
          </cell>
          <cell r="Q272">
            <v>1324.9767903333334</v>
          </cell>
          <cell r="T272">
            <v>1324.9767903333334</v>
          </cell>
          <cell r="W272">
            <v>1324.9767903333334</v>
          </cell>
          <cell r="Z272">
            <v>1324.9767903333334</v>
          </cell>
          <cell r="AC272">
            <v>1324.9767903333334</v>
          </cell>
          <cell r="AF272">
            <v>1324.9767903333334</v>
          </cell>
          <cell r="AI272">
            <v>1324.9767903333334</v>
          </cell>
          <cell r="AL272">
            <v>1324.9767903333334</v>
          </cell>
          <cell r="AO272">
            <v>1324.9767903333334</v>
          </cell>
        </row>
        <row r="273">
          <cell r="A273" t="str">
            <v>CarrosserieFrais de déplacement</v>
          </cell>
          <cell r="B273" t="str">
            <v>Frais de déplacement</v>
          </cell>
          <cell r="E273">
            <v>2625.2311172499999</v>
          </cell>
          <cell r="H273">
            <v>218.76925977083332</v>
          </cell>
          <cell r="K273">
            <v>218.76925977083332</v>
          </cell>
          <cell r="N273">
            <v>218.76925977083332</v>
          </cell>
          <cell r="Q273">
            <v>218.76925977083332</v>
          </cell>
          <cell r="T273">
            <v>218.76925977083332</v>
          </cell>
          <cell r="W273">
            <v>218.76925977083332</v>
          </cell>
          <cell r="Z273">
            <v>218.76925977083332</v>
          </cell>
          <cell r="AC273">
            <v>218.76925977083332</v>
          </cell>
          <cell r="AF273">
            <v>218.76925977083332</v>
          </cell>
          <cell r="AI273">
            <v>218.76925977083332</v>
          </cell>
          <cell r="AL273">
            <v>218.76925977083332</v>
          </cell>
          <cell r="AO273">
            <v>218.76925977083332</v>
          </cell>
        </row>
        <row r="274">
          <cell r="A274" t="str">
            <v>CarrosserieServices extérieurs</v>
          </cell>
          <cell r="B274" t="str">
            <v>Services extérieurs</v>
          </cell>
          <cell r="E274">
            <v>10703.757943666669</v>
          </cell>
          <cell r="H274">
            <v>909.3604348888889</v>
          </cell>
          <cell r="K274">
            <v>943.85307488888907</v>
          </cell>
          <cell r="N274">
            <v>873.40921188888899</v>
          </cell>
          <cell r="Q274">
            <v>878.56580388888892</v>
          </cell>
          <cell r="T274">
            <v>854.15562788888883</v>
          </cell>
          <cell r="W274">
            <v>924.47331588888892</v>
          </cell>
          <cell r="Z274">
            <v>901.65366588888901</v>
          </cell>
          <cell r="AC274">
            <v>838.15735888888889</v>
          </cell>
          <cell r="AF274">
            <v>842.83809088888893</v>
          </cell>
          <cell r="AI274">
            <v>878.3978108888889</v>
          </cell>
          <cell r="AL274">
            <v>980.49573688888904</v>
          </cell>
          <cell r="AO274">
            <v>878.3978108888889</v>
          </cell>
        </row>
        <row r="275">
          <cell r="B275" t="str">
            <v>Fournitures d'atelier</v>
          </cell>
        </row>
        <row r="276">
          <cell r="A276" t="str">
            <v>CarrosserieFournitures autres</v>
          </cell>
          <cell r="B276" t="str">
            <v>Fournitures autres</v>
          </cell>
          <cell r="E276">
            <v>1487.4891764646707</v>
          </cell>
          <cell r="H276">
            <v>104.43468843875556</v>
          </cell>
          <cell r="K276">
            <v>88.052472712833207</v>
          </cell>
          <cell r="N276">
            <v>129.80487184201826</v>
          </cell>
          <cell r="Q276">
            <v>155.47524951475347</v>
          </cell>
          <cell r="T276">
            <v>161.70939187937071</v>
          </cell>
          <cell r="W276">
            <v>119.79021815603429</v>
          </cell>
          <cell r="Z276">
            <v>117.13645759980204</v>
          </cell>
          <cell r="AC276">
            <v>124.83089991785656</v>
          </cell>
          <cell r="AF276">
            <v>124.76419008019599</v>
          </cell>
          <cell r="AI276">
            <v>139.98630012215364</v>
          </cell>
          <cell r="AL276">
            <v>141.17976072494864</v>
          </cell>
          <cell r="AO276">
            <v>80.324675475948425</v>
          </cell>
        </row>
        <row r="277">
          <cell r="A277" t="str">
            <v>CarrosserieUniformes</v>
          </cell>
          <cell r="B277" t="str">
            <v>Uniformes</v>
          </cell>
          <cell r="E277">
            <v>768.12245104065926</v>
          </cell>
          <cell r="H277">
            <v>53.928882392207292</v>
          </cell>
          <cell r="K277">
            <v>45.469292974030999</v>
          </cell>
          <cell r="N277">
            <v>67.029755842178261</v>
          </cell>
          <cell r="Q277">
            <v>80.285646190224185</v>
          </cell>
          <cell r="T277">
            <v>83.504886228412076</v>
          </cell>
          <cell r="W277">
            <v>61.858302861334295</v>
          </cell>
          <cell r="Z277">
            <v>60.487931167085833</v>
          </cell>
          <cell r="AC277">
            <v>64.46125345154239</v>
          </cell>
          <cell r="AF277">
            <v>64.42680525197018</v>
          </cell>
          <cell r="AI277">
            <v>72.287329321952768</v>
          </cell>
          <cell r="AL277">
            <v>72.903618769932578</v>
          </cell>
          <cell r="AO277">
            <v>41.478746589788344</v>
          </cell>
        </row>
        <row r="278">
          <cell r="A278" t="str">
            <v>CarrosseriePapeterie</v>
          </cell>
          <cell r="B278" t="str">
            <v>Papeterie</v>
          </cell>
          <cell r="E278">
            <v>2004.0589673999996</v>
          </cell>
          <cell r="H278">
            <v>167.00491394999997</v>
          </cell>
          <cell r="K278">
            <v>167.00491394999997</v>
          </cell>
          <cell r="N278">
            <v>167.00491394999997</v>
          </cell>
          <cell r="Q278">
            <v>167.00491394999997</v>
          </cell>
          <cell r="T278">
            <v>167.00491394999997</v>
          </cell>
          <cell r="W278">
            <v>167.00491394999997</v>
          </cell>
          <cell r="Z278">
            <v>167.00491394999997</v>
          </cell>
          <cell r="AC278">
            <v>167.00491394999997</v>
          </cell>
          <cell r="AF278">
            <v>167.00491394999997</v>
          </cell>
          <cell r="AI278">
            <v>167.00491394999997</v>
          </cell>
          <cell r="AL278">
            <v>167.00491394999997</v>
          </cell>
          <cell r="AO278">
            <v>167.00491394999997</v>
          </cell>
        </row>
        <row r="279">
          <cell r="A279" t="str">
            <v>CarrosserieTéléphone</v>
          </cell>
          <cell r="B279" t="str">
            <v>Téléphone</v>
          </cell>
          <cell r="E279">
            <v>679.14065665833323</v>
          </cell>
          <cell r="H279">
            <v>56.595054721527781</v>
          </cell>
          <cell r="K279">
            <v>56.595054721527781</v>
          </cell>
          <cell r="N279">
            <v>56.595054721527781</v>
          </cell>
          <cell r="Q279">
            <v>56.595054721527781</v>
          </cell>
          <cell r="T279">
            <v>56.595054721527781</v>
          </cell>
          <cell r="W279">
            <v>56.595054721527781</v>
          </cell>
          <cell r="Z279">
            <v>56.595054721527781</v>
          </cell>
          <cell r="AC279">
            <v>56.595054721527781</v>
          </cell>
          <cell r="AF279">
            <v>56.595054721527781</v>
          </cell>
          <cell r="AI279">
            <v>56.595054721527781</v>
          </cell>
          <cell r="AL279">
            <v>56.595054721527781</v>
          </cell>
          <cell r="AO279">
            <v>56.595054721527781</v>
          </cell>
        </row>
        <row r="280">
          <cell r="A280" t="str">
            <v>CarrosserieFrais postaux</v>
          </cell>
          <cell r="B280" t="str">
            <v>Frais postaux</v>
          </cell>
          <cell r="E280">
            <v>324.82877134166665</v>
          </cell>
          <cell r="H280">
            <v>27.069064278472219</v>
          </cell>
          <cell r="K280">
            <v>27.069064278472219</v>
          </cell>
          <cell r="N280">
            <v>27.069064278472219</v>
          </cell>
          <cell r="Q280">
            <v>27.069064278472219</v>
          </cell>
          <cell r="T280">
            <v>27.069064278472219</v>
          </cell>
          <cell r="W280">
            <v>27.069064278472219</v>
          </cell>
          <cell r="Z280">
            <v>27.069064278472219</v>
          </cell>
          <cell r="AC280">
            <v>27.069064278472219</v>
          </cell>
          <cell r="AF280">
            <v>27.069064278472219</v>
          </cell>
          <cell r="AI280">
            <v>27.069064278472219</v>
          </cell>
          <cell r="AL280">
            <v>27.069064278472219</v>
          </cell>
          <cell r="AO280">
            <v>27.069064278472219</v>
          </cell>
        </row>
        <row r="281">
          <cell r="A281" t="str">
            <v>CarrosserieDivers</v>
          </cell>
          <cell r="B281" t="str">
            <v>Divers</v>
          </cell>
          <cell r="E281">
            <v>1234.2287029916668</v>
          </cell>
          <cell r="H281">
            <v>102.85239191597223</v>
          </cell>
          <cell r="K281">
            <v>102.85239191597223</v>
          </cell>
          <cell r="N281">
            <v>102.85239191597223</v>
          </cell>
          <cell r="Q281">
            <v>102.85239191597223</v>
          </cell>
          <cell r="T281">
            <v>102.85239191597223</v>
          </cell>
          <cell r="W281">
            <v>102.85239191597223</v>
          </cell>
          <cell r="Z281">
            <v>102.85239191597223</v>
          </cell>
          <cell r="AC281">
            <v>102.85239191597223</v>
          </cell>
          <cell r="AF281">
            <v>102.85239191597223</v>
          </cell>
          <cell r="AI281">
            <v>102.85239191597223</v>
          </cell>
          <cell r="AL281">
            <v>102.85239191597223</v>
          </cell>
          <cell r="AO281">
            <v>102.85239191597223</v>
          </cell>
        </row>
        <row r="282">
          <cell r="A282" t="str">
            <v>CarrosserieFormation</v>
          </cell>
          <cell r="B282" t="str">
            <v>Formation</v>
          </cell>
          <cell r="E282">
            <v>1059.2754833275574</v>
          </cell>
          <cell r="H282">
            <v>88.272956943963109</v>
          </cell>
          <cell r="K282">
            <v>88.272956943963109</v>
          </cell>
          <cell r="N282">
            <v>88.272956943963109</v>
          </cell>
          <cell r="Q282">
            <v>88.272956943963109</v>
          </cell>
          <cell r="T282">
            <v>88.272956943963109</v>
          </cell>
          <cell r="W282">
            <v>88.272956943963109</v>
          </cell>
          <cell r="Z282">
            <v>88.272956943963109</v>
          </cell>
          <cell r="AC282">
            <v>88.272956943963109</v>
          </cell>
          <cell r="AF282">
            <v>88.272956943963109</v>
          </cell>
          <cell r="AI282">
            <v>88.272956943963109</v>
          </cell>
          <cell r="AL282">
            <v>88.272956943963109</v>
          </cell>
          <cell r="AO282">
            <v>88.272956943963109</v>
          </cell>
        </row>
        <row r="283">
          <cell r="A283" t="str">
            <v>CarrosserieFrais bancaires</v>
          </cell>
          <cell r="B283" t="str">
            <v>Frais bancaires</v>
          </cell>
          <cell r="E283">
            <v>2453.07108365971</v>
          </cell>
          <cell r="H283">
            <v>147.62943350284684</v>
          </cell>
          <cell r="K283">
            <v>125.63409050346982</v>
          </cell>
          <cell r="N283">
            <v>147.29522745101968</v>
          </cell>
          <cell r="Q283">
            <v>294.60765662164806</v>
          </cell>
          <cell r="T283">
            <v>268.97853398449934</v>
          </cell>
          <cell r="W283">
            <v>173.57940848366096</v>
          </cell>
          <cell r="Z283">
            <v>162.93844639171095</v>
          </cell>
          <cell r="AC283">
            <v>180.86135910767996</v>
          </cell>
          <cell r="AF283">
            <v>133.95495634052685</v>
          </cell>
          <cell r="AI283">
            <v>261.9554633103113</v>
          </cell>
          <cell r="AL283">
            <v>386.83881236905648</v>
          </cell>
          <cell r="AO283">
            <v>168.79769559327957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CarrosserieTOTAL SEMI-FIXES</v>
          </cell>
          <cell r="B287" t="str">
            <v>TOTAL SEMI-FIXES</v>
          </cell>
          <cell r="C287" t="str">
            <v>% brut</v>
          </cell>
          <cell r="D287">
            <v>0</v>
          </cell>
          <cell r="E287">
            <v>48350.07405885341</v>
          </cell>
          <cell r="F287" t="str">
            <v>% brut</v>
          </cell>
          <cell r="G287">
            <v>0</v>
          </cell>
          <cell r="H287">
            <v>4006.7151240076305</v>
          </cell>
          <cell r="I287" t="str">
            <v>% brut</v>
          </cell>
          <cell r="J287">
            <v>0</v>
          </cell>
          <cell r="K287">
            <v>3913.4483215147616</v>
          </cell>
          <cell r="L287" t="str">
            <v>% brut</v>
          </cell>
          <cell r="M287">
            <v>0</v>
          </cell>
          <cell r="N287">
            <v>4049.783173814672</v>
          </cell>
          <cell r="O287" t="str">
            <v>% brut</v>
          </cell>
          <cell r="P287">
            <v>0</v>
          </cell>
          <cell r="Q287">
            <v>4193.1932285610164</v>
          </cell>
          <cell r="R287" t="str">
            <v>% brut</v>
          </cell>
          <cell r="S287">
            <v>0</v>
          </cell>
          <cell r="T287">
            <v>4096.6375239845365</v>
          </cell>
          <cell r="U287" t="str">
            <v>% brut</v>
          </cell>
          <cell r="V287">
            <v>0</v>
          </cell>
          <cell r="W287">
            <v>4056.3465552330363</v>
          </cell>
          <cell r="X287" t="str">
            <v>% brut</v>
          </cell>
          <cell r="Y287">
            <v>0</v>
          </cell>
          <cell r="Z287">
            <v>3997.1058111432967</v>
          </cell>
          <cell r="AA287" t="str">
            <v>% brut</v>
          </cell>
          <cell r="AB287">
            <v>0</v>
          </cell>
          <cell r="AC287">
            <v>3954.3309915921714</v>
          </cell>
          <cell r="AD287" t="str">
            <v>% brut</v>
          </cell>
          <cell r="AE287">
            <v>0</v>
          </cell>
          <cell r="AF287">
            <v>3808.7728516683528</v>
          </cell>
          <cell r="AG287" t="str">
            <v>% brut</v>
          </cell>
          <cell r="AH287">
            <v>0</v>
          </cell>
          <cell r="AI287">
            <v>4116.8454182752757</v>
          </cell>
          <cell r="AJ287" t="str">
            <v>% brut</v>
          </cell>
          <cell r="AK287">
            <v>0</v>
          </cell>
          <cell r="AL287">
            <v>4355.420504135137</v>
          </cell>
          <cell r="AM287" t="str">
            <v>% brut</v>
          </cell>
          <cell r="AN287">
            <v>0</v>
          </cell>
          <cell r="AO287">
            <v>3801.4745549235263</v>
          </cell>
        </row>
        <row r="288">
          <cell r="A288" t="str">
            <v>Carrosserie</v>
          </cell>
        </row>
        <row r="289">
          <cell r="A289" t="str">
            <v>CarrosserieTOTAL DES DÉPENSES</v>
          </cell>
          <cell r="B289" t="str">
            <v>TOTAL DES DÉPENSES</v>
          </cell>
          <cell r="C289" t="str">
            <v>% brut</v>
          </cell>
          <cell r="D289">
            <v>0</v>
          </cell>
          <cell r="E289">
            <v>141989.69566705124</v>
          </cell>
          <cell r="F289" t="str">
            <v>% brut</v>
          </cell>
          <cell r="G289">
            <v>0</v>
          </cell>
          <cell r="H289">
            <v>17293.358448001574</v>
          </cell>
          <cell r="I289" t="str">
            <v>% brut</v>
          </cell>
          <cell r="J289">
            <v>0</v>
          </cell>
          <cell r="K289">
            <v>16927.436083288987</v>
          </cell>
          <cell r="L289" t="str">
            <v>% brut</v>
          </cell>
          <cell r="M289">
            <v>0</v>
          </cell>
          <cell r="N289">
            <v>11056.337788277358</v>
          </cell>
          <cell r="O289" t="str">
            <v>% brut</v>
          </cell>
          <cell r="P289">
            <v>0</v>
          </cell>
          <cell r="Q289">
            <v>10654.436718584264</v>
          </cell>
          <cell r="R289" t="str">
            <v>% brut</v>
          </cell>
          <cell r="S289">
            <v>0</v>
          </cell>
          <cell r="T289">
            <v>10830.536576227503</v>
          </cell>
          <cell r="U289" t="str">
            <v>% brut</v>
          </cell>
          <cell r="V289">
            <v>0</v>
          </cell>
          <cell r="W289">
            <v>10790.245607476005</v>
          </cell>
          <cell r="X289" t="str">
            <v>% brut</v>
          </cell>
          <cell r="Y289">
            <v>0</v>
          </cell>
          <cell r="Z289">
            <v>10731.004863386264</v>
          </cell>
          <cell r="AA289" t="str">
            <v>% brut</v>
          </cell>
          <cell r="AB289">
            <v>0</v>
          </cell>
          <cell r="AC289">
            <v>10688.230043835139</v>
          </cell>
          <cell r="AD289" t="str">
            <v>% brut</v>
          </cell>
          <cell r="AE289">
            <v>0</v>
          </cell>
          <cell r="AF289">
            <v>10542.67190391132</v>
          </cell>
          <cell r="AG289" t="str">
            <v>% brut</v>
          </cell>
          <cell r="AH289">
            <v>0</v>
          </cell>
          <cell r="AI289">
            <v>10578.088908298523</v>
          </cell>
          <cell r="AJ289" t="str">
            <v>% brut</v>
          </cell>
          <cell r="AK289">
            <v>0</v>
          </cell>
          <cell r="AL289">
            <v>11089.319556378105</v>
          </cell>
          <cell r="AM289" t="str">
            <v>% brut</v>
          </cell>
          <cell r="AN289">
            <v>0</v>
          </cell>
          <cell r="AO289">
            <v>10808.029169386213</v>
          </cell>
        </row>
        <row r="290">
          <cell r="A290" t="str">
            <v>Carrosserie</v>
          </cell>
        </row>
        <row r="291">
          <cell r="A291" t="str">
            <v>CarrosseriePROFIT DÉPARTEMENTAL</v>
          </cell>
          <cell r="B291" t="str">
            <v>PROFIT DÉPARTEMENTAL</v>
          </cell>
          <cell r="E291">
            <v>137196.41371536872</v>
          </cell>
          <cell r="H291">
            <v>9571.7255569939189</v>
          </cell>
          <cell r="K291">
            <v>3681.3606859747888</v>
          </cell>
          <cell r="N291">
            <v>18969.459553086475</v>
          </cell>
          <cell r="Q291">
            <v>15661.512648548098</v>
          </cell>
          <cell r="T291">
            <v>11158.260734641735</v>
          </cell>
          <cell r="W291">
            <v>14937.081868926922</v>
          </cell>
          <cell r="Z291">
            <v>13314.316626730721</v>
          </cell>
          <cell r="AC291">
            <v>12671.394138529862</v>
          </cell>
          <cell r="AF291">
            <v>4835.9040484586822</v>
          </cell>
          <cell r="AI291">
            <v>14188.49467316634</v>
          </cell>
          <cell r="AL291">
            <v>14433.69208830619</v>
          </cell>
          <cell r="AO291">
            <v>3773.2110920050072</v>
          </cell>
        </row>
        <row r="293">
          <cell r="B293" t="str">
            <v>Budget 2023</v>
          </cell>
          <cell r="C293" t="str">
            <v>Pièces</v>
          </cell>
        </row>
        <row r="295">
          <cell r="B295" t="str">
            <v>Mois</v>
          </cell>
          <cell r="C295">
            <v>2022</v>
          </cell>
          <cell r="F295" t="str">
            <v>Janvier</v>
          </cell>
          <cell r="I295" t="str">
            <v>Février</v>
          </cell>
          <cell r="L295" t="str">
            <v>Mars</v>
          </cell>
          <cell r="O295" t="str">
            <v>Avril</v>
          </cell>
          <cell r="R295" t="str">
            <v>Mai</v>
          </cell>
          <cell r="U295" t="str">
            <v>Juin</v>
          </cell>
          <cell r="X295" t="str">
            <v>Juillet</v>
          </cell>
          <cell r="AA295" t="str">
            <v>Août</v>
          </cell>
          <cell r="AD295" t="str">
            <v>Septembre</v>
          </cell>
          <cell r="AG295" t="str">
            <v>Octobre</v>
          </cell>
          <cell r="AJ295" t="str">
            <v>Novembre</v>
          </cell>
          <cell r="AM295" t="str">
            <v>Décembre</v>
          </cell>
        </row>
        <row r="296">
          <cell r="A296" t="str">
            <v>Pièces</v>
          </cell>
          <cell r="C296" t="str">
            <v>$VENTES</v>
          </cell>
          <cell r="D296" t="str">
            <v>% P. BRUT</v>
          </cell>
          <cell r="E296" t="str">
            <v>$PROFITS</v>
          </cell>
          <cell r="F296" t="str">
            <v>$VENTES</v>
          </cell>
          <cell r="G296" t="str">
            <v>% P. BRUT</v>
          </cell>
          <cell r="H296" t="str">
            <v>$PROFITS</v>
          </cell>
          <cell r="I296" t="str">
            <v>$VENTES</v>
          </cell>
          <cell r="J296" t="str">
            <v>% P. BRUT</v>
          </cell>
          <cell r="K296" t="str">
            <v>$PROFITS</v>
          </cell>
          <cell r="L296" t="str">
            <v>$VENTES</v>
          </cell>
          <cell r="M296" t="str">
            <v>% P. BRUT</v>
          </cell>
          <cell r="N296" t="str">
            <v>$PROFITS</v>
          </cell>
          <cell r="O296" t="str">
            <v>$VENTES</v>
          </cell>
          <cell r="P296" t="str">
            <v>% P. BRUT</v>
          </cell>
          <cell r="Q296" t="str">
            <v>$PROFITS</v>
          </cell>
          <cell r="R296" t="str">
            <v>$VENTES</v>
          </cell>
          <cell r="S296" t="str">
            <v>% P. BRUT</v>
          </cell>
          <cell r="T296" t="str">
            <v>$PROFITS</v>
          </cell>
          <cell r="U296" t="str">
            <v>$VENTES</v>
          </cell>
          <cell r="V296" t="str">
            <v>% P. BRUT</v>
          </cell>
          <cell r="W296" t="str">
            <v>$PROFITS</v>
          </cell>
          <cell r="X296" t="str">
            <v>$VENTES</v>
          </cell>
          <cell r="Y296" t="str">
            <v>% P. BRUT</v>
          </cell>
          <cell r="Z296" t="str">
            <v>$PROFITS</v>
          </cell>
          <cell r="AA296" t="str">
            <v>$VENTES</v>
          </cell>
          <cell r="AB296" t="str">
            <v>% P. BRUT</v>
          </cell>
          <cell r="AC296" t="str">
            <v>$PROFITS</v>
          </cell>
          <cell r="AD296" t="str">
            <v>$VENTES</v>
          </cell>
          <cell r="AE296" t="str">
            <v>% P. BRUT</v>
          </cell>
          <cell r="AF296" t="str">
            <v>$PROFITS</v>
          </cell>
          <cell r="AG296" t="str">
            <v>$VENTES</v>
          </cell>
          <cell r="AH296" t="str">
            <v>% P. BRUT</v>
          </cell>
          <cell r="AI296" t="str">
            <v>$PROFITS</v>
          </cell>
          <cell r="AJ296" t="str">
            <v>$VENTES</v>
          </cell>
          <cell r="AK296" t="str">
            <v>% P. BRUT</v>
          </cell>
          <cell r="AL296" t="str">
            <v>$PROFITS</v>
          </cell>
          <cell r="AM296" t="str">
            <v>$VENTES</v>
          </cell>
          <cell r="AN296" t="str">
            <v>% P. BRUT</v>
          </cell>
          <cell r="AO296" t="str">
            <v>$PROFITS</v>
          </cell>
        </row>
        <row r="297">
          <cell r="A297" t="str">
            <v>PiècesPièces Ro Clients</v>
          </cell>
          <cell r="B297" t="str">
            <v>Pièces Ro Clients</v>
          </cell>
          <cell r="C297">
            <v>1065814</v>
          </cell>
          <cell r="D297">
            <v>0.36099999999999993</v>
          </cell>
          <cell r="E297">
            <v>384758.85399999993</v>
          </cell>
          <cell r="F297">
            <v>62107.523830964019</v>
          </cell>
          <cell r="G297">
            <v>0.36099999999999999</v>
          </cell>
          <cell r="H297">
            <v>22420.816102978009</v>
          </cell>
          <cell r="I297">
            <v>68116.010456300821</v>
          </cell>
          <cell r="J297">
            <v>0.36099999999999999</v>
          </cell>
          <cell r="K297">
            <v>24589.879774724595</v>
          </cell>
          <cell r="L297">
            <v>68635.905327975357</v>
          </cell>
          <cell r="M297">
            <v>0.36099999999999999</v>
          </cell>
          <cell r="N297">
            <v>24777.561823399104</v>
          </cell>
          <cell r="O297">
            <v>115543.77613337603</v>
          </cell>
          <cell r="P297">
            <v>0.36099999999999999</v>
          </cell>
          <cell r="Q297">
            <v>41711.303184148746</v>
          </cell>
          <cell r="R297">
            <v>87602.377236921733</v>
          </cell>
          <cell r="S297">
            <v>0.36099999999999999</v>
          </cell>
          <cell r="T297">
            <v>31624.458182528746</v>
          </cell>
          <cell r="U297">
            <v>80760.73431396317</v>
          </cell>
          <cell r="V297">
            <v>0.36099999999999999</v>
          </cell>
          <cell r="W297">
            <v>29154.625087340704</v>
          </cell>
          <cell r="X297">
            <v>87317.655025456028</v>
          </cell>
          <cell r="Y297">
            <v>0.36099999999999999</v>
          </cell>
          <cell r="Z297">
            <v>31521.673464189626</v>
          </cell>
          <cell r="AA297">
            <v>83021.493679352279</v>
          </cell>
          <cell r="AB297">
            <v>0.36099999999999999</v>
          </cell>
          <cell r="AC297">
            <v>29970.75921824617</v>
          </cell>
          <cell r="AD297">
            <v>72430.556460724954</v>
          </cell>
          <cell r="AE297">
            <v>0.36099999999999999</v>
          </cell>
          <cell r="AF297">
            <v>26147.430882321707</v>
          </cell>
          <cell r="AG297">
            <v>105266.31251338296</v>
          </cell>
          <cell r="AH297">
            <v>0.36099999999999999</v>
          </cell>
          <cell r="AI297">
            <v>38001.138817331244</v>
          </cell>
          <cell r="AJ297">
            <v>164420.45414517701</v>
          </cell>
          <cell r="AK297">
            <v>0.36099999999999999</v>
          </cell>
          <cell r="AL297">
            <v>59355.783946408897</v>
          </cell>
          <cell r="AM297">
            <v>70591.200876405637</v>
          </cell>
          <cell r="AN297">
            <v>0.36099999999999999</v>
          </cell>
          <cell r="AO297">
            <v>25483.423516382434</v>
          </cell>
        </row>
        <row r="298">
          <cell r="A298" t="str">
            <v>PiècesPièces Ro Carrosserie</v>
          </cell>
          <cell r="B298" t="str">
            <v>Pièces Ro Carrosserie</v>
          </cell>
          <cell r="C298">
            <v>710095.99999999988</v>
          </cell>
          <cell r="D298">
            <v>0.24800000000000005</v>
          </cell>
          <cell r="E298">
            <v>176103.80800000002</v>
          </cell>
          <cell r="F298">
            <v>77311.478677311447</v>
          </cell>
          <cell r="G298">
            <v>0.248</v>
          </cell>
          <cell r="H298">
            <v>19173.246711973239</v>
          </cell>
          <cell r="I298">
            <v>62778.957931147255</v>
          </cell>
          <cell r="J298">
            <v>0.248</v>
          </cell>
          <cell r="K298">
            <v>15569.181566924519</v>
          </cell>
          <cell r="L298">
            <v>61315.684533504544</v>
          </cell>
          <cell r="M298">
            <v>0.248</v>
          </cell>
          <cell r="N298">
            <v>15206.289764309127</v>
          </cell>
          <cell r="O298">
            <v>67540.913915572368</v>
          </cell>
          <cell r="P298">
            <v>0.248</v>
          </cell>
          <cell r="Q298">
            <v>16750.146651061947</v>
          </cell>
          <cell r="R298">
            <v>51253.068428494706</v>
          </cell>
          <cell r="S298">
            <v>0.248</v>
          </cell>
          <cell r="T298">
            <v>12710.760970266687</v>
          </cell>
          <cell r="U298">
            <v>66130.940674823782</v>
          </cell>
          <cell r="V298">
            <v>0.248</v>
          </cell>
          <cell r="W298">
            <v>16400.473287356297</v>
          </cell>
          <cell r="X298">
            <v>55923.367985034376</v>
          </cell>
          <cell r="Y298">
            <v>0.24800000000000003</v>
          </cell>
          <cell r="Z298">
            <v>13868.995260288526</v>
          </cell>
          <cell r="AA298">
            <v>57292.53348045599</v>
          </cell>
          <cell r="AB298">
            <v>0.248</v>
          </cell>
          <cell r="AC298">
            <v>14208.548303153086</v>
          </cell>
          <cell r="AD298">
            <v>34326.636867241177</v>
          </cell>
          <cell r="AE298">
            <v>0.248</v>
          </cell>
          <cell r="AF298">
            <v>8513.005943075812</v>
          </cell>
          <cell r="AG298">
            <v>52480.08107250421</v>
          </cell>
          <cell r="AH298">
            <v>0.248</v>
          </cell>
          <cell r="AI298">
            <v>13015.060105981043</v>
          </cell>
          <cell r="AJ298">
            <v>74393.158025585159</v>
          </cell>
          <cell r="AK298">
            <v>0.248</v>
          </cell>
          <cell r="AL298">
            <v>18449.50319034512</v>
          </cell>
          <cell r="AM298">
            <v>49349.178408324966</v>
          </cell>
          <cell r="AN298">
            <v>0.248</v>
          </cell>
          <cell r="AO298">
            <v>12238.596245264591</v>
          </cell>
        </row>
        <row r="299">
          <cell r="A299" t="str">
            <v>PiècesP/A Garantie</v>
          </cell>
          <cell r="B299" t="str">
            <v>P/A Garantie</v>
          </cell>
          <cell r="C299">
            <v>671258.99999999988</v>
          </cell>
          <cell r="D299">
            <v>0.24299999999999999</v>
          </cell>
          <cell r="E299">
            <v>163115.93699999998</v>
          </cell>
          <cell r="F299">
            <v>67867.502572647165</v>
          </cell>
          <cell r="G299">
            <v>0.24299999999999997</v>
          </cell>
          <cell r="H299">
            <v>16491.803125153259</v>
          </cell>
          <cell r="I299">
            <v>50579.54163457809</v>
          </cell>
          <cell r="J299">
            <v>0.24300000000000002</v>
          </cell>
          <cell r="K299">
            <v>12290.828617202476</v>
          </cell>
          <cell r="L299">
            <v>42511.315024728923</v>
          </cell>
          <cell r="M299">
            <v>0.24299999999999999</v>
          </cell>
          <cell r="N299">
            <v>10330.249551009128</v>
          </cell>
          <cell r="O299">
            <v>34391.069247811094</v>
          </cell>
          <cell r="P299">
            <v>0.24299999999999999</v>
          </cell>
          <cell r="Q299">
            <v>8357.0298272180953</v>
          </cell>
          <cell r="R299">
            <v>64503.513370069588</v>
          </cell>
          <cell r="S299">
            <v>0.24299999999999999</v>
          </cell>
          <cell r="T299">
            <v>15674.353748926909</v>
          </cell>
          <cell r="U299">
            <v>76495.505294539747</v>
          </cell>
          <cell r="V299">
            <v>0.24300000000000002</v>
          </cell>
          <cell r="W299">
            <v>18588.40778657316</v>
          </cell>
          <cell r="X299">
            <v>50991.633588193996</v>
          </cell>
          <cell r="Y299">
            <v>0.24299999999999999</v>
          </cell>
          <cell r="Z299">
            <v>12390.966961931141</v>
          </cell>
          <cell r="AA299">
            <v>74699.349025972828</v>
          </cell>
          <cell r="AB299">
            <v>0.24299999999999999</v>
          </cell>
          <cell r="AC299">
            <v>18151.941813311398</v>
          </cell>
          <cell r="AD299">
            <v>63736.359244800435</v>
          </cell>
          <cell r="AE299">
            <v>0.24299999999999999</v>
          </cell>
          <cell r="AF299">
            <v>15487.935296486505</v>
          </cell>
          <cell r="AG299">
            <v>56478.755257997778</v>
          </cell>
          <cell r="AH299">
            <v>0.24299999999999999</v>
          </cell>
          <cell r="AI299">
            <v>13724.33752769346</v>
          </cell>
          <cell r="AJ299">
            <v>36893.79274953148</v>
          </cell>
          <cell r="AK299">
            <v>0.24299999999999999</v>
          </cell>
          <cell r="AL299">
            <v>8965.1916381361498</v>
          </cell>
          <cell r="AM299">
            <v>52110.662989128883</v>
          </cell>
          <cell r="AN299">
            <v>0.24299999999999999</v>
          </cell>
          <cell r="AO299">
            <v>12662.891106358318</v>
          </cell>
        </row>
        <row r="300">
          <cell r="A300" t="str">
            <v>PiècesVentes Internes</v>
          </cell>
          <cell r="B300" t="str">
            <v>Ventes Internes</v>
          </cell>
          <cell r="C300">
            <v>632656.00000000012</v>
          </cell>
          <cell r="D300">
            <v>0.31599999999999989</v>
          </cell>
          <cell r="E300">
            <v>199919.29599999997</v>
          </cell>
          <cell r="F300">
            <v>27787.73830497338</v>
          </cell>
          <cell r="G300">
            <v>0.31600000000000006</v>
          </cell>
          <cell r="H300">
            <v>8780.9253043715889</v>
          </cell>
          <cell r="I300">
            <v>34720.51676643989</v>
          </cell>
          <cell r="J300">
            <v>0.316</v>
          </cell>
          <cell r="K300">
            <v>10971.683298195005</v>
          </cell>
          <cell r="L300">
            <v>47840.780617656012</v>
          </cell>
          <cell r="M300">
            <v>0.316</v>
          </cell>
          <cell r="N300">
            <v>15117.6866751793</v>
          </cell>
          <cell r="O300">
            <v>50065.262281821466</v>
          </cell>
          <cell r="P300">
            <v>0.316</v>
          </cell>
          <cell r="Q300">
            <v>15820.622881055584</v>
          </cell>
          <cell r="R300">
            <v>55284.400234968067</v>
          </cell>
          <cell r="S300">
            <v>0.316</v>
          </cell>
          <cell r="T300">
            <v>17469.87047424991</v>
          </cell>
          <cell r="U300">
            <v>66007.68962688974</v>
          </cell>
          <cell r="V300">
            <v>0.316</v>
          </cell>
          <cell r="W300">
            <v>20858.429922097159</v>
          </cell>
          <cell r="X300">
            <v>57964.743623668997</v>
          </cell>
          <cell r="Y300">
            <v>0.31600000000000006</v>
          </cell>
          <cell r="Z300">
            <v>18316.858985079405</v>
          </cell>
          <cell r="AA300">
            <v>56538.073494016549</v>
          </cell>
          <cell r="AB300">
            <v>0.316</v>
          </cell>
          <cell r="AC300">
            <v>17866.031224109229</v>
          </cell>
          <cell r="AD300">
            <v>58375.995308664365</v>
          </cell>
          <cell r="AE300">
            <v>0.316</v>
          </cell>
          <cell r="AF300">
            <v>18446.81451753794</v>
          </cell>
          <cell r="AG300">
            <v>78817.042560368514</v>
          </cell>
          <cell r="AH300">
            <v>0.316</v>
          </cell>
          <cell r="AI300">
            <v>24906.185449076449</v>
          </cell>
          <cell r="AJ300">
            <v>60719.838112943093</v>
          </cell>
          <cell r="AK300">
            <v>0.316</v>
          </cell>
          <cell r="AL300">
            <v>19187.468843690018</v>
          </cell>
          <cell r="AM300">
            <v>38533.919067589901</v>
          </cell>
          <cell r="AN300">
            <v>0.316</v>
          </cell>
          <cell r="AO300">
            <v>12176.718425358409</v>
          </cell>
        </row>
        <row r="301">
          <cell r="A301" t="str">
            <v>PiècesVentes Détails</v>
          </cell>
          <cell r="B301" t="str">
            <v>Ventes Détails</v>
          </cell>
          <cell r="C301">
            <v>213030</v>
          </cell>
          <cell r="D301">
            <v>0.29799999999999993</v>
          </cell>
          <cell r="E301">
            <v>63482.939999999988</v>
          </cell>
          <cell r="F301">
            <v>12063.064536159261</v>
          </cell>
          <cell r="G301">
            <v>0.29799999999999999</v>
          </cell>
          <cell r="H301">
            <v>3594.7932317754598</v>
          </cell>
          <cell r="I301">
            <v>11694.658743158649</v>
          </cell>
          <cell r="J301">
            <v>0.29799999999999999</v>
          </cell>
          <cell r="K301">
            <v>3485.0083054612769</v>
          </cell>
          <cell r="L301">
            <v>14178.008712393863</v>
          </cell>
          <cell r="M301">
            <v>0.29799999999999999</v>
          </cell>
          <cell r="N301">
            <v>4225.0465962933713</v>
          </cell>
          <cell r="O301">
            <v>22150.496056346208</v>
          </cell>
          <cell r="P301">
            <v>0.29799999999999999</v>
          </cell>
          <cell r="Q301">
            <v>6600.8478247911698</v>
          </cell>
          <cell r="R301">
            <v>18294.643622832536</v>
          </cell>
          <cell r="S301">
            <v>0.29799999999999999</v>
          </cell>
          <cell r="T301">
            <v>5451.8037996040957</v>
          </cell>
          <cell r="U301">
            <v>17575.82906515924</v>
          </cell>
          <cell r="V301">
            <v>0.29799999999999999</v>
          </cell>
          <cell r="W301">
            <v>5237.597061417453</v>
          </cell>
          <cell r="X301">
            <v>19585.622816922783</v>
          </cell>
          <cell r="Y301">
            <v>0.29799999999999999</v>
          </cell>
          <cell r="Z301">
            <v>5836.5155994429888</v>
          </cell>
          <cell r="AA301">
            <v>17874.776975979086</v>
          </cell>
          <cell r="AB301">
            <v>0.29799999999999999</v>
          </cell>
          <cell r="AC301">
            <v>5326.6835388417676</v>
          </cell>
          <cell r="AD301">
            <v>18642.913331149201</v>
          </cell>
          <cell r="AE301">
            <v>0.29799999999999999</v>
          </cell>
          <cell r="AF301">
            <v>5555.5881726824618</v>
          </cell>
          <cell r="AG301">
            <v>20300.369373299269</v>
          </cell>
          <cell r="AH301">
            <v>0.29799999999999999</v>
          </cell>
          <cell r="AI301">
            <v>6049.510073243182</v>
          </cell>
          <cell r="AJ301">
            <v>25589.583518029423</v>
          </cell>
          <cell r="AK301">
            <v>0.29799999999999999</v>
          </cell>
          <cell r="AL301">
            <v>7625.6958883727675</v>
          </cell>
          <cell r="AM301">
            <v>15080.033248570477</v>
          </cell>
          <cell r="AN301">
            <v>0.29799999999999999</v>
          </cell>
          <cell r="AO301">
            <v>4493.8499080740021</v>
          </cell>
        </row>
        <row r="302">
          <cell r="A302" t="str">
            <v>PiècesVentes de Gros</v>
          </cell>
          <cell r="B302" t="str">
            <v>Ventes de Gros</v>
          </cell>
          <cell r="C302">
            <v>957875.99999999988</v>
          </cell>
          <cell r="D302">
            <v>0.17500000000000002</v>
          </cell>
          <cell r="E302">
            <v>167628.29999999999</v>
          </cell>
          <cell r="F302">
            <v>79618.134089792889</v>
          </cell>
          <cell r="G302">
            <v>0.17499999999999999</v>
          </cell>
          <cell r="H302">
            <v>13933.173465713755</v>
          </cell>
          <cell r="I302">
            <v>59286.35047434541</v>
          </cell>
          <cell r="J302">
            <v>0.17499999999999999</v>
          </cell>
          <cell r="K302">
            <v>10375.111333010445</v>
          </cell>
          <cell r="L302">
            <v>79572.17276322309</v>
          </cell>
          <cell r="M302">
            <v>0.17499999999999999</v>
          </cell>
          <cell r="N302">
            <v>13925.130233564039</v>
          </cell>
          <cell r="O302">
            <v>69439.303146741338</v>
          </cell>
          <cell r="P302">
            <v>0.17499999999999999</v>
          </cell>
          <cell r="Q302">
            <v>12151.878050679734</v>
          </cell>
          <cell r="R302">
            <v>71437.654609857113</v>
          </cell>
          <cell r="S302">
            <v>0.17499999999999999</v>
          </cell>
          <cell r="T302">
            <v>12501.589556724994</v>
          </cell>
          <cell r="U302">
            <v>81323.342760073501</v>
          </cell>
          <cell r="V302">
            <v>0.17499999999999999</v>
          </cell>
          <cell r="W302">
            <v>14231.584983012863</v>
          </cell>
          <cell r="X302">
            <v>86752.58567373034</v>
          </cell>
          <cell r="Y302">
            <v>0.17499999999999999</v>
          </cell>
          <cell r="Z302">
            <v>15181.702492902808</v>
          </cell>
          <cell r="AA302">
            <v>75665.392379002631</v>
          </cell>
          <cell r="AB302">
            <v>0.17499999999999999</v>
          </cell>
          <cell r="AC302">
            <v>13241.44366632546</v>
          </cell>
          <cell r="AD302">
            <v>90572.648265078242</v>
          </cell>
          <cell r="AE302">
            <v>0.17499999999999999</v>
          </cell>
          <cell r="AF302">
            <v>15850.21344638869</v>
          </cell>
          <cell r="AG302">
            <v>91097.240466298419</v>
          </cell>
          <cell r="AH302">
            <v>0.17499999999999999</v>
          </cell>
          <cell r="AI302">
            <v>15942.017081602222</v>
          </cell>
          <cell r="AJ302">
            <v>85355.833096973351</v>
          </cell>
          <cell r="AK302">
            <v>0.17499999999999999</v>
          </cell>
          <cell r="AL302">
            <v>14937.270791970335</v>
          </cell>
          <cell r="AM302">
            <v>87755.34227488366</v>
          </cell>
          <cell r="AN302">
            <v>0.17499999999999999</v>
          </cell>
          <cell r="AO302">
            <v>15357.184898104639</v>
          </cell>
        </row>
        <row r="303">
          <cell r="A303" t="str">
            <v>Pièces[...]</v>
          </cell>
          <cell r="B303" t="str">
            <v>[...]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J303">
            <v>0</v>
          </cell>
          <cell r="M303">
            <v>0</v>
          </cell>
          <cell r="P303">
            <v>0</v>
          </cell>
          <cell r="S303">
            <v>0</v>
          </cell>
          <cell r="V303">
            <v>0</v>
          </cell>
          <cell r="Y303">
            <v>0</v>
          </cell>
          <cell r="AB303">
            <v>0</v>
          </cell>
          <cell r="AE303">
            <v>0</v>
          </cell>
          <cell r="AH303">
            <v>0</v>
          </cell>
          <cell r="AK303">
            <v>0</v>
          </cell>
          <cell r="AN303">
            <v>0</v>
          </cell>
        </row>
        <row r="304">
          <cell r="A304" t="str">
            <v>PiècesEscomptes</v>
          </cell>
          <cell r="B304" t="str">
            <v>Escomptes</v>
          </cell>
          <cell r="C304">
            <v>0</v>
          </cell>
          <cell r="D304">
            <v>0</v>
          </cell>
          <cell r="E304">
            <v>72098</v>
          </cell>
          <cell r="G304">
            <v>0</v>
          </cell>
          <cell r="H304">
            <v>5542.2029430162083</v>
          </cell>
          <cell r="J304">
            <v>0</v>
          </cell>
          <cell r="K304">
            <v>4870.8840535800618</v>
          </cell>
          <cell r="M304">
            <v>0</v>
          </cell>
          <cell r="N304">
            <v>5326.767490459094</v>
          </cell>
          <cell r="P304">
            <v>0</v>
          </cell>
          <cell r="Q304">
            <v>6091.3320359996287</v>
          </cell>
          <cell r="S304">
            <v>0</v>
          </cell>
          <cell r="T304">
            <v>5908.910292056039</v>
          </cell>
          <cell r="V304">
            <v>0</v>
          </cell>
          <cell r="W304">
            <v>6585.9786989678751</v>
          </cell>
          <cell r="Y304">
            <v>0</v>
          </cell>
          <cell r="Z304">
            <v>6081.2364548569049</v>
          </cell>
          <cell r="AB304">
            <v>0</v>
          </cell>
          <cell r="AC304">
            <v>6192.4350303911315</v>
          </cell>
          <cell r="AE304">
            <v>0</v>
          </cell>
          <cell r="AF304">
            <v>5734.3690351424757</v>
          </cell>
          <cell r="AH304">
            <v>0</v>
          </cell>
          <cell r="AI304">
            <v>6859.8320594926336</v>
          </cell>
          <cell r="AK304">
            <v>0</v>
          </cell>
          <cell r="AL304">
            <v>7588.0299212814862</v>
          </cell>
          <cell r="AN304">
            <v>0</v>
          </cell>
          <cell r="AO304">
            <v>5316.0219847564613</v>
          </cell>
        </row>
        <row r="305">
          <cell r="A305" t="str">
            <v>PiècesRectif. Inventaire</v>
          </cell>
          <cell r="B305" t="str">
            <v>Rectif. Inventaire</v>
          </cell>
          <cell r="C305">
            <v>0</v>
          </cell>
          <cell r="D305">
            <v>0</v>
          </cell>
          <cell r="E305">
            <v>0</v>
          </cell>
          <cell r="G305">
            <v>0</v>
          </cell>
          <cell r="H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Y305">
            <v>0</v>
          </cell>
          <cell r="Z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</row>
        <row r="306">
          <cell r="A306" t="str">
            <v>PiècesSous-total Pièces</v>
          </cell>
          <cell r="B306" t="str">
            <v>Sous-total Pièces</v>
          </cell>
          <cell r="C306">
            <v>4250731</v>
          </cell>
          <cell r="D306">
            <v>0.28868143738100571</v>
          </cell>
          <cell r="E306">
            <v>1227107.1349999998</v>
          </cell>
          <cell r="F306">
            <v>326755.44201184815</v>
          </cell>
          <cell r="G306">
            <v>0.27524242696995516</v>
          </cell>
          <cell r="H306">
            <v>89936.960884981527</v>
          </cell>
          <cell r="I306">
            <v>287176.03600597009</v>
          </cell>
          <cell r="J306">
            <v>0.28607044686482996</v>
          </cell>
          <cell r="K306">
            <v>82152.576949098366</v>
          </cell>
          <cell r="L306">
            <v>314053.86697948177</v>
          </cell>
          <cell r="M306">
            <v>0.283100262350923</v>
          </cell>
          <cell r="N306">
            <v>88908.732134213162</v>
          </cell>
          <cell r="O306">
            <v>359130.82078166853</v>
          </cell>
          <cell r="P306">
            <v>0.29928692898318143</v>
          </cell>
          <cell r="Q306">
            <v>107483.16045495489</v>
          </cell>
          <cell r="R306">
            <v>348375.65750314377</v>
          </cell>
          <cell r="S306">
            <v>0.29089789955672452</v>
          </cell>
          <cell r="T306">
            <v>101341.74702435738</v>
          </cell>
          <cell r="U306">
            <v>388294.04173544917</v>
          </cell>
          <cell r="V306">
            <v>0.28601287913253753</v>
          </cell>
          <cell r="W306">
            <v>111057.09682676551</v>
          </cell>
          <cell r="X306">
            <v>358535.60871300654</v>
          </cell>
          <cell r="Y306">
            <v>0.28783179888081145</v>
          </cell>
          <cell r="Z306">
            <v>103197.9492186914</v>
          </cell>
          <cell r="AA306">
            <v>365091.61903477937</v>
          </cell>
          <cell r="AB306">
            <v>0.28748357212872572</v>
          </cell>
          <cell r="AC306">
            <v>104957.84279437824</v>
          </cell>
          <cell r="AD306">
            <v>338085.10947765835</v>
          </cell>
          <cell r="AE306">
            <v>0.28316939909464445</v>
          </cell>
          <cell r="AF306">
            <v>95735.357293635592</v>
          </cell>
          <cell r="AG306">
            <v>404439.80124385119</v>
          </cell>
          <cell r="AH306">
            <v>0.29299312468748223</v>
          </cell>
          <cell r="AI306">
            <v>118498.08111442022</v>
          </cell>
          <cell r="AJ306">
            <v>447372.6596482395</v>
          </cell>
          <cell r="AK306">
            <v>0.30424063984425115</v>
          </cell>
          <cell r="AL306">
            <v>136108.94422020478</v>
          </cell>
          <cell r="AM306">
            <v>313420.33686490357</v>
          </cell>
          <cell r="AN306">
            <v>0.27990744621691016</v>
          </cell>
          <cell r="AO306">
            <v>87728.686084298854</v>
          </cell>
        </row>
        <row r="307">
          <cell r="A307" t="str">
            <v>Pièces</v>
          </cell>
        </row>
        <row r="308">
          <cell r="A308" t="str">
            <v>Pièces</v>
          </cell>
        </row>
        <row r="309">
          <cell r="A309" t="str">
            <v>PiècesVentes Pneus</v>
          </cell>
          <cell r="B309" t="str">
            <v>Ventes Pneus</v>
          </cell>
          <cell r="C309">
            <v>509834</v>
          </cell>
          <cell r="D309">
            <v>0.18000000000000002</v>
          </cell>
          <cell r="E309">
            <v>91770.12000000001</v>
          </cell>
          <cell r="F309">
            <v>31292.343915732105</v>
          </cell>
          <cell r="G309">
            <v>0.18</v>
          </cell>
          <cell r="H309">
            <v>5632.6219048317789</v>
          </cell>
          <cell r="I309">
            <v>39040.481671411173</v>
          </cell>
          <cell r="J309">
            <v>0.18</v>
          </cell>
          <cell r="K309">
            <v>7027.2867008540106</v>
          </cell>
          <cell r="L309">
            <v>30401.379187255414</v>
          </cell>
          <cell r="M309">
            <v>0.18</v>
          </cell>
          <cell r="N309">
            <v>5472.2482537059741</v>
          </cell>
          <cell r="O309">
            <v>27666.856132613189</v>
          </cell>
          <cell r="P309">
            <v>0.18</v>
          </cell>
          <cell r="Q309">
            <v>4980.0341038703737</v>
          </cell>
          <cell r="R309">
            <v>40235.746757485904</v>
          </cell>
          <cell r="S309">
            <v>0.18</v>
          </cell>
          <cell r="T309">
            <v>7242.4344163474625</v>
          </cell>
          <cell r="U309">
            <v>26239.690389460717</v>
          </cell>
          <cell r="V309">
            <v>0.18</v>
          </cell>
          <cell r="W309">
            <v>4723.1442701029291</v>
          </cell>
          <cell r="X309">
            <v>22593.354387929827</v>
          </cell>
          <cell r="Y309">
            <v>0.18</v>
          </cell>
          <cell r="Z309">
            <v>4066.8037898273687</v>
          </cell>
          <cell r="AA309">
            <v>24624.103472697949</v>
          </cell>
          <cell r="AB309">
            <v>0.17999999999999997</v>
          </cell>
          <cell r="AC309">
            <v>4432.3386250856302</v>
          </cell>
          <cell r="AD309">
            <v>40120.544385208654</v>
          </cell>
          <cell r="AE309">
            <v>0.18</v>
          </cell>
          <cell r="AF309">
            <v>7221.6979893375574</v>
          </cell>
          <cell r="AG309">
            <v>84297.593876406929</v>
          </cell>
          <cell r="AH309">
            <v>0.18</v>
          </cell>
          <cell r="AI309">
            <v>15173.566897753246</v>
          </cell>
          <cell r="AJ309">
            <v>109688.00993859781</v>
          </cell>
          <cell r="AK309">
            <v>0.18</v>
          </cell>
          <cell r="AL309">
            <v>19743.841788947604</v>
          </cell>
          <cell r="AM309">
            <v>33633.895885200327</v>
          </cell>
          <cell r="AN309">
            <v>0.18</v>
          </cell>
          <cell r="AO309">
            <v>6054.1012593360583</v>
          </cell>
        </row>
        <row r="310">
          <cell r="A310" t="str">
            <v>PiècesHuiles et Graisse</v>
          </cell>
          <cell r="B310" t="str">
            <v>Huiles et Graisse</v>
          </cell>
          <cell r="C310">
            <v>262967</v>
          </cell>
          <cell r="D310">
            <v>0.31299999999999994</v>
          </cell>
          <cell r="E310">
            <v>82308.670999999988</v>
          </cell>
          <cell r="F310">
            <v>14017.812601919959</v>
          </cell>
          <cell r="G310">
            <v>0.313</v>
          </cell>
          <cell r="H310">
            <v>4387.575344400947</v>
          </cell>
          <cell r="I310">
            <v>14609.966989356799</v>
          </cell>
          <cell r="J310">
            <v>0.313</v>
          </cell>
          <cell r="K310">
            <v>4572.9196676686779</v>
          </cell>
          <cell r="L310">
            <v>18569.727944671937</v>
          </cell>
          <cell r="M310">
            <v>0.313</v>
          </cell>
          <cell r="N310">
            <v>5812.3248466823161</v>
          </cell>
          <cell r="O310">
            <v>26122.814975628673</v>
          </cell>
          <cell r="P310">
            <v>0.313</v>
          </cell>
          <cell r="Q310">
            <v>8176.4410873717743</v>
          </cell>
          <cell r="R310">
            <v>23505.465788521749</v>
          </cell>
          <cell r="S310">
            <v>0.313</v>
          </cell>
          <cell r="T310">
            <v>7357.2107918073079</v>
          </cell>
          <cell r="U310">
            <v>23446.731382792485</v>
          </cell>
          <cell r="V310">
            <v>0.313</v>
          </cell>
          <cell r="W310">
            <v>7338.826922814048</v>
          </cell>
          <cell r="X310">
            <v>22380.838878361239</v>
          </cell>
          <cell r="Y310">
            <v>0.313</v>
          </cell>
          <cell r="Z310">
            <v>7005.2025689270677</v>
          </cell>
          <cell r="AA310">
            <v>21447.960990228567</v>
          </cell>
          <cell r="AB310">
            <v>0.313</v>
          </cell>
          <cell r="AC310">
            <v>6713.2117899415416</v>
          </cell>
          <cell r="AD310">
            <v>17775.256230848245</v>
          </cell>
          <cell r="AE310">
            <v>0.313</v>
          </cell>
          <cell r="AF310">
            <v>5563.6552002555009</v>
          </cell>
          <cell r="AG310">
            <v>29061.061450271158</v>
          </cell>
          <cell r="AH310">
            <v>0.313</v>
          </cell>
          <cell r="AI310">
            <v>9096.1122339348731</v>
          </cell>
          <cell r="AJ310">
            <v>34523.930028656614</v>
          </cell>
          <cell r="AK310">
            <v>0.313</v>
          </cell>
          <cell r="AL310">
            <v>10805.99009896952</v>
          </cell>
          <cell r="AM310">
            <v>17505.432738742569</v>
          </cell>
          <cell r="AN310">
            <v>0.313</v>
          </cell>
          <cell r="AO310">
            <v>5479.2004472264243</v>
          </cell>
        </row>
        <row r="311">
          <cell r="A311" t="str">
            <v>PiècesSous-total Pièces et Acc.</v>
          </cell>
          <cell r="B311" t="str">
            <v>Sous-total Pièces et Acc.</v>
          </cell>
          <cell r="C311">
            <v>5023532</v>
          </cell>
          <cell r="D311">
            <v>0.2789244551443088</v>
          </cell>
          <cell r="E311">
            <v>1401185.926</v>
          </cell>
          <cell r="F311">
            <v>372065.59852950025</v>
          </cell>
          <cell r="G311">
            <v>0.26865466339610772</v>
          </cell>
          <cell r="H311">
            <v>99957.158134214245</v>
          </cell>
          <cell r="I311">
            <v>340826.48466673808</v>
          </cell>
          <cell r="J311">
            <v>0.27507481822984803</v>
          </cell>
          <cell r="K311">
            <v>93752.783317621055</v>
          </cell>
          <cell r="L311">
            <v>363024.9741114091</v>
          </cell>
          <cell r="M311">
            <v>0.27599562669165845</v>
          </cell>
          <cell r="N311">
            <v>100193.30523460144</v>
          </cell>
          <cell r="O311">
            <v>412920.49188991042</v>
          </cell>
          <cell r="P311">
            <v>0.29216190045216023</v>
          </cell>
          <cell r="Q311">
            <v>120639.63564619704</v>
          </cell>
          <cell r="R311">
            <v>412116.87004915142</v>
          </cell>
          <cell r="S311">
            <v>0.28133134229298673</v>
          </cell>
          <cell r="T311">
            <v>115941.39223251214</v>
          </cell>
          <cell r="U311">
            <v>437980.46350770234</v>
          </cell>
          <cell r="V311">
            <v>0.28110630102914924</v>
          </cell>
          <cell r="W311">
            <v>123119.06801968248</v>
          </cell>
          <cell r="X311">
            <v>403509.8019792976</v>
          </cell>
          <cell r="Y311">
            <v>0.28319003656646874</v>
          </cell>
          <cell r="Z311">
            <v>114269.95557744584</v>
          </cell>
          <cell r="AA311">
            <v>411163.6834977059</v>
          </cell>
          <cell r="AB311">
            <v>0.28237754906204698</v>
          </cell>
          <cell r="AC311">
            <v>116103.39320940542</v>
          </cell>
          <cell r="AD311">
            <v>395980.91009371524</v>
          </cell>
          <cell r="AE311">
            <v>0.2740554095336199</v>
          </cell>
          <cell r="AF311">
            <v>108520.71048322864</v>
          </cell>
          <cell r="AG311">
            <v>517798.45657052926</v>
          </cell>
          <cell r="AH311">
            <v>0.27572071417841693</v>
          </cell>
          <cell r="AI311">
            <v>142767.76024610832</v>
          </cell>
          <cell r="AJ311">
            <v>591584.59961549391</v>
          </cell>
          <cell r="AK311">
            <v>0.28171588005577458</v>
          </cell>
          <cell r="AL311">
            <v>166658.77610812191</v>
          </cell>
          <cell r="AM311">
            <v>364559.66548884648</v>
          </cell>
          <cell r="AN311">
            <v>0.27227912791108871</v>
          </cell>
          <cell r="AO311">
            <v>99261.987790861342</v>
          </cell>
        </row>
        <row r="312">
          <cell r="A312" t="str">
            <v>Pièces</v>
          </cell>
        </row>
        <row r="313">
          <cell r="A313" t="str">
            <v>Pièces</v>
          </cell>
        </row>
        <row r="314">
          <cell r="A314" t="str">
            <v>PiècesAutostock</v>
          </cell>
          <cell r="B314" t="str">
            <v>Autostock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J314">
            <v>0</v>
          </cell>
          <cell r="M314">
            <v>0</v>
          </cell>
          <cell r="P314">
            <v>0</v>
          </cell>
          <cell r="S314">
            <v>0</v>
          </cell>
          <cell r="V314">
            <v>0</v>
          </cell>
          <cell r="Y314">
            <v>0</v>
          </cell>
          <cell r="AB314">
            <v>0</v>
          </cell>
          <cell r="AE314">
            <v>0</v>
          </cell>
          <cell r="AH314">
            <v>0</v>
          </cell>
          <cell r="AK314">
            <v>0</v>
          </cell>
          <cell r="AN314">
            <v>0</v>
          </cell>
        </row>
        <row r="315">
          <cell r="A315" t="str">
            <v>Pièces</v>
          </cell>
        </row>
        <row r="316">
          <cell r="A316" t="str">
            <v>PiècesTotal Dépt. Pièces</v>
          </cell>
          <cell r="B316" t="str">
            <v>Total Dépt. Pièces</v>
          </cell>
          <cell r="C316">
            <v>5023532</v>
          </cell>
          <cell r="D316">
            <v>0.2789244551443088</v>
          </cell>
          <cell r="E316">
            <v>1401185.926</v>
          </cell>
          <cell r="F316">
            <v>372065.59852950025</v>
          </cell>
          <cell r="G316">
            <v>0.26865466339610772</v>
          </cell>
          <cell r="H316">
            <v>99957.158134214245</v>
          </cell>
          <cell r="I316">
            <v>340826.48466673808</v>
          </cell>
          <cell r="J316">
            <v>0.27507481822984803</v>
          </cell>
          <cell r="K316">
            <v>93752.783317621055</v>
          </cell>
          <cell r="L316">
            <v>363024.9741114091</v>
          </cell>
          <cell r="M316">
            <v>0.27599562669165845</v>
          </cell>
          <cell r="N316">
            <v>100193.30523460144</v>
          </cell>
          <cell r="O316">
            <v>412920.49188991042</v>
          </cell>
          <cell r="P316">
            <v>0.29216190045216023</v>
          </cell>
          <cell r="Q316">
            <v>120639.63564619704</v>
          </cell>
          <cell r="R316">
            <v>412116.87004915142</v>
          </cell>
          <cell r="S316">
            <v>0.28133134229298673</v>
          </cell>
          <cell r="T316">
            <v>115941.39223251214</v>
          </cell>
          <cell r="U316">
            <v>437980.46350770234</v>
          </cell>
          <cell r="V316">
            <v>0.28110630102914924</v>
          </cell>
          <cell r="W316">
            <v>123119.06801968248</v>
          </cell>
          <cell r="X316">
            <v>403509.8019792976</v>
          </cell>
          <cell r="Y316">
            <v>0.28319003656646874</v>
          </cell>
          <cell r="Z316">
            <v>114269.95557744584</v>
          </cell>
          <cell r="AA316">
            <v>411163.6834977059</v>
          </cell>
          <cell r="AB316">
            <v>0.28237754906204698</v>
          </cell>
          <cell r="AC316">
            <v>116103.39320940542</v>
          </cell>
          <cell r="AD316">
            <v>395980.91009371524</v>
          </cell>
          <cell r="AE316">
            <v>0.2740554095336199</v>
          </cell>
          <cell r="AF316">
            <v>108520.71048322864</v>
          </cell>
          <cell r="AG316">
            <v>517798.45657052926</v>
          </cell>
          <cell r="AH316">
            <v>0.27572071417841693</v>
          </cell>
          <cell r="AI316">
            <v>142767.76024610832</v>
          </cell>
          <cell r="AJ316">
            <v>591584.59961549391</v>
          </cell>
          <cell r="AK316">
            <v>0.28171588005577458</v>
          </cell>
          <cell r="AL316">
            <v>166658.77610812191</v>
          </cell>
          <cell r="AM316">
            <v>364559.66548884648</v>
          </cell>
          <cell r="AN316">
            <v>0.27227912791108871</v>
          </cell>
          <cell r="AO316">
            <v>99261.987790861342</v>
          </cell>
        </row>
        <row r="317">
          <cell r="A317" t="str">
            <v>Pièces</v>
          </cell>
        </row>
        <row r="318">
          <cell r="A318" t="str">
            <v>Pièces</v>
          </cell>
        </row>
        <row r="319">
          <cell r="A319" t="str">
            <v>PiècesDEPENSES</v>
          </cell>
          <cell r="B319" t="str">
            <v>DEPENSES</v>
          </cell>
        </row>
        <row r="320">
          <cell r="A320" t="str">
            <v>PiècesSalaires cadres</v>
          </cell>
          <cell r="B320" t="str">
            <v>Salaires cadres</v>
          </cell>
          <cell r="E320">
            <v>30921.799999999996</v>
          </cell>
          <cell r="H320">
            <v>2487.96091954023</v>
          </cell>
          <cell r="K320">
            <v>2369.4865900383143</v>
          </cell>
          <cell r="N320">
            <v>2724.9095785440613</v>
          </cell>
          <cell r="Q320">
            <v>2487.96091954023</v>
          </cell>
          <cell r="T320">
            <v>2606.4352490421456</v>
          </cell>
          <cell r="W320">
            <v>2606.4352490421456</v>
          </cell>
          <cell r="Z320">
            <v>2606.4352490421456</v>
          </cell>
          <cell r="AC320">
            <v>2606.4352490421456</v>
          </cell>
          <cell r="AF320">
            <v>2606.4352490421456</v>
          </cell>
          <cell r="AI320">
            <v>2487.96091954023</v>
          </cell>
          <cell r="AL320">
            <v>2606.4352490421456</v>
          </cell>
          <cell r="AO320">
            <v>2724.9095785440613</v>
          </cell>
        </row>
        <row r="321">
          <cell r="A321" t="str">
            <v>PiècesSalaires commis</v>
          </cell>
          <cell r="B321" t="str">
            <v>Salaires commis</v>
          </cell>
          <cell r="E321">
            <v>343512.12</v>
          </cell>
          <cell r="H321">
            <v>27696.147586206898</v>
          </cell>
          <cell r="K321">
            <v>26456.331034482762</v>
          </cell>
          <cell r="N321">
            <v>30175.780689655174</v>
          </cell>
          <cell r="Q321">
            <v>27696.147586206898</v>
          </cell>
          <cell r="T321">
            <v>28935.964137931038</v>
          </cell>
          <cell r="W321">
            <v>28935.964137931038</v>
          </cell>
          <cell r="Z321">
            <v>28935.964137931038</v>
          </cell>
          <cell r="AC321">
            <v>28935.964137931038</v>
          </cell>
          <cell r="AF321">
            <v>28935.964137931038</v>
          </cell>
          <cell r="AI321">
            <v>27696.147586206898</v>
          </cell>
          <cell r="AL321">
            <v>28935.964137931038</v>
          </cell>
          <cell r="AO321">
            <v>30175.780689655174</v>
          </cell>
        </row>
        <row r="322">
          <cell r="A322" t="str">
            <v>PiècesSalaires autres</v>
          </cell>
          <cell r="B322" t="str">
            <v>Salaires autres</v>
          </cell>
          <cell r="E322">
            <v>27239.999999999993</v>
          </cell>
          <cell r="H322">
            <v>2191.7241379310326</v>
          </cell>
          <cell r="K322">
            <v>2087.3563218390809</v>
          </cell>
          <cell r="N322">
            <v>2400.4597701149432</v>
          </cell>
          <cell r="Q322">
            <v>2191.7241379310326</v>
          </cell>
          <cell r="T322">
            <v>2296.0919540229879</v>
          </cell>
          <cell r="W322">
            <v>2296.0919540229879</v>
          </cell>
          <cell r="Z322">
            <v>2296.0919540229879</v>
          </cell>
          <cell r="AC322">
            <v>2296.0919540229879</v>
          </cell>
          <cell r="AF322">
            <v>2296.0919540229879</v>
          </cell>
          <cell r="AI322">
            <v>2191.7241379310326</v>
          </cell>
          <cell r="AL322">
            <v>2296.0919540229879</v>
          </cell>
          <cell r="AO322">
            <v>2400.4597701149432</v>
          </cell>
        </row>
        <row r="323">
          <cell r="A323" t="str">
            <v>PiècesSalaires spécialistes</v>
          </cell>
          <cell r="B323" t="str">
            <v>Salaires spécialistes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</row>
        <row r="327">
          <cell r="A327" t="str">
            <v>PiècesSalaires en absences</v>
          </cell>
          <cell r="B327" t="str">
            <v>Salaires en absences</v>
          </cell>
          <cell r="E327">
            <v>49560.495583987322</v>
          </cell>
          <cell r="H327">
            <v>3998.479517700915</v>
          </cell>
          <cell r="K327">
            <v>3823.0638097479891</v>
          </cell>
          <cell r="N327">
            <v>4349.3109336067691</v>
          </cell>
          <cell r="Q327">
            <v>3998.479517700915</v>
          </cell>
          <cell r="T327">
            <v>4173.8952256538423</v>
          </cell>
          <cell r="W327">
            <v>4173.8952256538423</v>
          </cell>
          <cell r="Z327">
            <v>4173.8952256538423</v>
          </cell>
          <cell r="AC327">
            <v>4173.8952256538423</v>
          </cell>
          <cell r="AF327">
            <v>4173.8952256538423</v>
          </cell>
          <cell r="AI327">
            <v>3998.479517700915</v>
          </cell>
          <cell r="AL327">
            <v>4173.8952256538423</v>
          </cell>
          <cell r="AO327">
            <v>4349.3109336067691</v>
          </cell>
        </row>
        <row r="328">
          <cell r="A328" t="str">
            <v>PiècesDéduction à la source</v>
          </cell>
          <cell r="B328" t="str">
            <v>Déduction à la source</v>
          </cell>
          <cell r="E328">
            <v>49268.012202768099</v>
          </cell>
          <cell r="H328">
            <v>3974.8823200681527</v>
          </cell>
          <cell r="K328">
            <v>3800.5018354070135</v>
          </cell>
          <cell r="N328">
            <v>4323.643289390433</v>
          </cell>
          <cell r="Q328">
            <v>3974.8823200681527</v>
          </cell>
          <cell r="T328">
            <v>4149.2628047292937</v>
          </cell>
          <cell r="W328">
            <v>4149.2628047292937</v>
          </cell>
          <cell r="Z328">
            <v>4149.2628047292937</v>
          </cell>
          <cell r="AC328">
            <v>4149.2628047292937</v>
          </cell>
          <cell r="AF328">
            <v>4149.2628047292937</v>
          </cell>
          <cell r="AI328">
            <v>3974.8823200681527</v>
          </cell>
          <cell r="AL328">
            <v>4149.2628047292937</v>
          </cell>
          <cell r="AO328">
            <v>4323.643289390433</v>
          </cell>
        </row>
        <row r="329">
          <cell r="A329" t="str">
            <v>PiècesBénéfices marginaux</v>
          </cell>
          <cell r="B329" t="str">
            <v>Bénéfices marginaux</v>
          </cell>
          <cell r="E329">
            <v>34500.321360649425</v>
          </cell>
          <cell r="H329">
            <v>2783.4432785459562</v>
          </cell>
          <cell r="K329">
            <v>2661.3319432017411</v>
          </cell>
          <cell r="N329">
            <v>3027.6659492343883</v>
          </cell>
          <cell r="Q329">
            <v>2783.4432785459562</v>
          </cell>
          <cell r="T329">
            <v>2905.5546138901727</v>
          </cell>
          <cell r="W329">
            <v>2905.5546138901727</v>
          </cell>
          <cell r="Z329">
            <v>2905.5546138901727</v>
          </cell>
          <cell r="AC329">
            <v>2905.5546138901727</v>
          </cell>
          <cell r="AF329">
            <v>2905.5546138901727</v>
          </cell>
          <cell r="AI329">
            <v>2783.4432785459562</v>
          </cell>
          <cell r="AL329">
            <v>2905.5546138901727</v>
          </cell>
          <cell r="AO329">
            <v>3027.6659492343883</v>
          </cell>
        </row>
        <row r="330">
          <cell r="A330" t="str">
            <v>PiècesCsst</v>
          </cell>
          <cell r="B330" t="str">
            <v>Csst</v>
          </cell>
          <cell r="E330">
            <v>16481.797934977691</v>
          </cell>
          <cell r="H330">
            <v>1329.7310828180273</v>
          </cell>
          <cell r="K330">
            <v>1271.3949782445432</v>
          </cell>
          <cell r="N330">
            <v>1446.4032919649965</v>
          </cell>
          <cell r="Q330">
            <v>1329.7310828180273</v>
          </cell>
          <cell r="T330">
            <v>1388.0671873915119</v>
          </cell>
          <cell r="W330">
            <v>1388.0671873915119</v>
          </cell>
          <cell r="Z330">
            <v>1388.0671873915119</v>
          </cell>
          <cell r="AC330">
            <v>1388.0671873915119</v>
          </cell>
          <cell r="AF330">
            <v>1388.0671873915119</v>
          </cell>
          <cell r="AI330">
            <v>1329.7310828180273</v>
          </cell>
          <cell r="AL330">
            <v>1388.0671873915119</v>
          </cell>
          <cell r="AO330">
            <v>1446.4032919649965</v>
          </cell>
        </row>
        <row r="331">
          <cell r="A331" t="str">
            <v>Pièces[...]</v>
          </cell>
          <cell r="B331" t="str">
            <v>[...]</v>
          </cell>
          <cell r="E331">
            <v>0</v>
          </cell>
        </row>
        <row r="332">
          <cell r="A332" t="str">
            <v>PiècesTOTAL PERSONNEL</v>
          </cell>
          <cell r="B332" t="str">
            <v>TOTAL PERSONNEL</v>
          </cell>
          <cell r="C332" t="str">
            <v>% brut</v>
          </cell>
          <cell r="D332">
            <v>0.39358413244751833</v>
          </cell>
          <cell r="E332">
            <v>551484.5470823826</v>
          </cell>
          <cell r="F332" t="str">
            <v>% brut</v>
          </cell>
          <cell r="G332">
            <v>0.44481425515430123</v>
          </cell>
          <cell r="H332">
            <v>44462.368842811215</v>
          </cell>
          <cell r="I332" t="str">
            <v>% brut</v>
          </cell>
          <cell r="J332">
            <v>0.45299419398655016</v>
          </cell>
          <cell r="K332">
            <v>42469.466512961437</v>
          </cell>
          <cell r="L332" t="str">
            <v>% brut</v>
          </cell>
          <cell r="M332">
            <v>0.48354701333656924</v>
          </cell>
          <cell r="N332">
            <v>48448.173502510777</v>
          </cell>
          <cell r="O332" t="str">
            <v>% brut</v>
          </cell>
          <cell r="P332">
            <v>0.36855523149296593</v>
          </cell>
          <cell r="Q332">
            <v>44462.368842811215</v>
          </cell>
          <cell r="R332" t="str">
            <v>% brut</v>
          </cell>
          <cell r="S332">
            <v>0.40067891439062836</v>
          </cell>
          <cell r="T332">
            <v>46455.271172660992</v>
          </cell>
          <cell r="U332" t="str">
            <v>% brut</v>
          </cell>
          <cell r="V332">
            <v>0.37731987351654089</v>
          </cell>
          <cell r="W332">
            <v>46455.271172660992</v>
          </cell>
          <cell r="X332" t="str">
            <v>% brut</v>
          </cell>
          <cell r="Y332">
            <v>0.40653967998767782</v>
          </cell>
          <cell r="Z332">
            <v>46455.271172660992</v>
          </cell>
          <cell r="AA332" t="str">
            <v>% brut</v>
          </cell>
          <cell r="AB332">
            <v>0.40011984050176491</v>
          </cell>
          <cell r="AC332">
            <v>46455.271172660992</v>
          </cell>
          <cell r="AD332" t="str">
            <v>% brut</v>
          </cell>
          <cell r="AE332">
            <v>0.42807746987465983</v>
          </cell>
          <cell r="AF332">
            <v>46455.271172660992</v>
          </cell>
          <cell r="AG332" t="str">
            <v>% brut</v>
          </cell>
          <cell r="AH332">
            <v>0.31143143778515087</v>
          </cell>
          <cell r="AI332">
            <v>44462.368842811215</v>
          </cell>
          <cell r="AJ332" t="str">
            <v>% brut</v>
          </cell>
          <cell r="AK332">
            <v>0.27874482375007104</v>
          </cell>
          <cell r="AL332">
            <v>46455.271172660992</v>
          </cell>
          <cell r="AM332" t="str">
            <v>% brut</v>
          </cell>
          <cell r="AN332">
            <v>0.48808385345443595</v>
          </cell>
          <cell r="AO332">
            <v>48448.173502510777</v>
          </cell>
        </row>
        <row r="333">
          <cell r="A333" t="str">
            <v>PiècesPublicité 2</v>
          </cell>
          <cell r="B333" t="str">
            <v>Publicité 2</v>
          </cell>
          <cell r="E333">
            <v>54468.143274999988</v>
          </cell>
          <cell r="H333">
            <v>4539.0119395833326</v>
          </cell>
          <cell r="K333">
            <v>4539.0119395833326</v>
          </cell>
          <cell r="N333">
            <v>4539.0119395833326</v>
          </cell>
          <cell r="Q333">
            <v>4539.0119395833326</v>
          </cell>
          <cell r="T333">
            <v>4539.0119395833326</v>
          </cell>
          <cell r="W333">
            <v>4539.0119395833326</v>
          </cell>
          <cell r="Z333">
            <v>4539.0119395833326</v>
          </cell>
          <cell r="AC333">
            <v>4539.0119395833326</v>
          </cell>
          <cell r="AF333">
            <v>4539.0119395833326</v>
          </cell>
          <cell r="AI333">
            <v>4539.0119395833326</v>
          </cell>
          <cell r="AL333">
            <v>4539.0119395833326</v>
          </cell>
          <cell r="AO333">
            <v>4539.0119395833326</v>
          </cell>
        </row>
        <row r="334">
          <cell r="A334" t="str">
            <v>PiècesService gratuit 2</v>
          </cell>
          <cell r="B334" t="str">
            <v>Service gratuit 2</v>
          </cell>
          <cell r="E334">
            <v>12553.468657024327</v>
          </cell>
          <cell r="H334">
            <v>731.52055966369198</v>
          </cell>
          <cell r="K334">
            <v>802.29027044560632</v>
          </cell>
          <cell r="N334">
            <v>808.41374412536095</v>
          </cell>
          <cell r="Q334">
            <v>1360.9083500541099</v>
          </cell>
          <cell r="T334">
            <v>1031.8063911006218</v>
          </cell>
          <cell r="W334">
            <v>951.22352204850517</v>
          </cell>
          <cell r="Z334">
            <v>1028.4528497157335</v>
          </cell>
          <cell r="AC334">
            <v>977.85140630831643</v>
          </cell>
          <cell r="AF334">
            <v>853.10825372958277</v>
          </cell>
          <cell r="AI334">
            <v>1239.8573810977155</v>
          </cell>
          <cell r="AL334">
            <v>1936.5921424237106</v>
          </cell>
          <cell r="AO334">
            <v>831.44378631136965</v>
          </cell>
        </row>
        <row r="335">
          <cell r="A335" t="str">
            <v>PiècesFrais véhicules de cie</v>
          </cell>
          <cell r="B335" t="str">
            <v>Frais véhicules de cie</v>
          </cell>
          <cell r="E335">
            <v>5709.9999999999991</v>
          </cell>
          <cell r="H335">
            <v>475.83333333333331</v>
          </cell>
          <cell r="K335">
            <v>475.83333333333331</v>
          </cell>
          <cell r="N335">
            <v>475.83333333333331</v>
          </cell>
          <cell r="Q335">
            <v>475.83333333333331</v>
          </cell>
          <cell r="T335">
            <v>475.83333333333331</v>
          </cell>
          <cell r="W335">
            <v>475.83333333333331</v>
          </cell>
          <cell r="Z335">
            <v>475.83333333333331</v>
          </cell>
          <cell r="AC335">
            <v>475.83333333333331</v>
          </cell>
          <cell r="AF335">
            <v>475.83333333333331</v>
          </cell>
          <cell r="AI335">
            <v>475.83333333333331</v>
          </cell>
          <cell r="AL335">
            <v>475.83333333333331</v>
          </cell>
          <cell r="AO335">
            <v>475.83333333333331</v>
          </cell>
        </row>
        <row r="336">
          <cell r="A336" t="str">
            <v>PiècesInformatique</v>
          </cell>
          <cell r="B336" t="str">
            <v>Informatique</v>
          </cell>
          <cell r="E336">
            <v>42139.885300000002</v>
          </cell>
          <cell r="H336">
            <v>3511.6571083333338</v>
          </cell>
          <cell r="K336">
            <v>3511.6571083333338</v>
          </cell>
          <cell r="N336">
            <v>3511.6571083333338</v>
          </cell>
          <cell r="Q336">
            <v>3511.6571083333338</v>
          </cell>
          <cell r="T336">
            <v>3511.6571083333338</v>
          </cell>
          <cell r="W336">
            <v>3511.6571083333338</v>
          </cell>
          <cell r="Z336">
            <v>3511.6571083333338</v>
          </cell>
          <cell r="AC336">
            <v>3511.6571083333338</v>
          </cell>
          <cell r="AF336">
            <v>3511.6571083333338</v>
          </cell>
          <cell r="AI336">
            <v>3511.6571083333338</v>
          </cell>
          <cell r="AL336">
            <v>3511.6571083333338</v>
          </cell>
          <cell r="AO336">
            <v>3511.6571083333338</v>
          </cell>
        </row>
        <row r="337">
          <cell r="A337" t="str">
            <v>PiècesFrais de déplacement</v>
          </cell>
          <cell r="B337" t="str">
            <v>Frais de déplacement</v>
          </cell>
          <cell r="E337">
            <v>9375.8254187499988</v>
          </cell>
          <cell r="H337">
            <v>781.31878489583323</v>
          </cell>
          <cell r="K337">
            <v>781.31878489583323</v>
          </cell>
          <cell r="N337">
            <v>781.31878489583323</v>
          </cell>
          <cell r="Q337">
            <v>781.31878489583323</v>
          </cell>
          <cell r="T337">
            <v>781.31878489583323</v>
          </cell>
          <cell r="W337">
            <v>781.31878489583323</v>
          </cell>
          <cell r="Z337">
            <v>781.31878489583323</v>
          </cell>
          <cell r="AC337">
            <v>781.31878489583323</v>
          </cell>
          <cell r="AF337">
            <v>781.31878489583323</v>
          </cell>
          <cell r="AI337">
            <v>781.31878489583323</v>
          </cell>
          <cell r="AL337">
            <v>781.31878489583323</v>
          </cell>
          <cell r="AO337">
            <v>781.31878489583323</v>
          </cell>
        </row>
        <row r="338">
          <cell r="A338" t="str">
            <v>PiècesServices extérieurs</v>
          </cell>
          <cell r="B338" t="str">
            <v>Services extérieurs</v>
          </cell>
          <cell r="E338">
            <v>97746.608341666652</v>
          </cell>
          <cell r="H338">
            <v>7913.064638888889</v>
          </cell>
          <cell r="K338">
            <v>7762.5204388888887</v>
          </cell>
          <cell r="N338">
            <v>8385.6881138888875</v>
          </cell>
          <cell r="Q338">
            <v>7654.3163138888885</v>
          </cell>
          <cell r="T338">
            <v>9751.044013888888</v>
          </cell>
          <cell r="W338">
            <v>8270.5249138888885</v>
          </cell>
          <cell r="Z338">
            <v>8189.0261638888878</v>
          </cell>
          <cell r="AC338">
            <v>7462.3948388888884</v>
          </cell>
          <cell r="AF338">
            <v>7752.8439388888892</v>
          </cell>
          <cell r="AI338">
            <v>8117.8709388888892</v>
          </cell>
          <cell r="AL338">
            <v>9059.7242888888886</v>
          </cell>
          <cell r="AO338">
            <v>7427.5897388888898</v>
          </cell>
        </row>
        <row r="339">
          <cell r="B339" t="str">
            <v>Fournitures d'atelier</v>
          </cell>
        </row>
        <row r="340">
          <cell r="A340" t="str">
            <v>PiècesFournitures autres</v>
          </cell>
          <cell r="B340" t="str">
            <v>Fournitures autres</v>
          </cell>
          <cell r="E340">
            <v>1487.4891764646707</v>
          </cell>
          <cell r="H340">
            <v>104.43468843875556</v>
          </cell>
          <cell r="K340">
            <v>88.052472712833207</v>
          </cell>
          <cell r="N340">
            <v>129.80487184201826</v>
          </cell>
          <cell r="Q340">
            <v>155.47524951475347</v>
          </cell>
          <cell r="T340">
            <v>161.70939187937071</v>
          </cell>
          <cell r="W340">
            <v>119.79021815603429</v>
          </cell>
          <cell r="Z340">
            <v>117.13645759980204</v>
          </cell>
          <cell r="AC340">
            <v>124.83089991785656</v>
          </cell>
          <cell r="AF340">
            <v>124.76419008019599</v>
          </cell>
          <cell r="AI340">
            <v>139.98630012215364</v>
          </cell>
          <cell r="AL340">
            <v>141.17976072494864</v>
          </cell>
          <cell r="AO340">
            <v>80.324675475948425</v>
          </cell>
        </row>
        <row r="341">
          <cell r="A341" t="str">
            <v>PiècesUniformes</v>
          </cell>
          <cell r="B341" t="str">
            <v>Uniformes</v>
          </cell>
          <cell r="E341">
            <v>768.12245104065926</v>
          </cell>
          <cell r="H341">
            <v>53.928882392207292</v>
          </cell>
          <cell r="K341">
            <v>45.469292974030999</v>
          </cell>
          <cell r="N341">
            <v>67.029755842178261</v>
          </cell>
          <cell r="Q341">
            <v>80.285646190224185</v>
          </cell>
          <cell r="T341">
            <v>83.504886228412076</v>
          </cell>
          <cell r="W341">
            <v>61.858302861334295</v>
          </cell>
          <cell r="Z341">
            <v>60.487931167085833</v>
          </cell>
          <cell r="AC341">
            <v>64.46125345154239</v>
          </cell>
          <cell r="AF341">
            <v>64.42680525197018</v>
          </cell>
          <cell r="AI341">
            <v>72.287329321952768</v>
          </cell>
          <cell r="AL341">
            <v>72.903618769932578</v>
          </cell>
          <cell r="AO341">
            <v>41.478746589788344</v>
          </cell>
        </row>
        <row r="342">
          <cell r="A342" t="str">
            <v>PiècesPapeterie</v>
          </cell>
          <cell r="B342" t="str">
            <v>Papeterie</v>
          </cell>
          <cell r="E342">
            <v>7157.3534549999995</v>
          </cell>
          <cell r="H342">
            <v>596.44612124999981</v>
          </cell>
          <cell r="K342">
            <v>596.44612124999981</v>
          </cell>
          <cell r="N342">
            <v>596.44612124999981</v>
          </cell>
          <cell r="Q342">
            <v>596.44612124999981</v>
          </cell>
          <cell r="T342">
            <v>596.44612124999981</v>
          </cell>
          <cell r="W342">
            <v>596.44612124999981</v>
          </cell>
          <cell r="Z342">
            <v>596.44612124999981</v>
          </cell>
          <cell r="AC342">
            <v>596.44612124999981</v>
          </cell>
          <cell r="AF342">
            <v>596.44612124999981</v>
          </cell>
          <cell r="AI342">
            <v>596.44612124999981</v>
          </cell>
          <cell r="AL342">
            <v>596.44612124999981</v>
          </cell>
          <cell r="AO342">
            <v>596.44612124999981</v>
          </cell>
        </row>
        <row r="343">
          <cell r="A343" t="str">
            <v>PiècesTéléphone</v>
          </cell>
          <cell r="B343" t="str">
            <v>Téléphone</v>
          </cell>
          <cell r="E343">
            <v>2425.5023452083333</v>
          </cell>
          <cell r="H343">
            <v>202.12519543402777</v>
          </cell>
          <cell r="K343">
            <v>202.12519543402777</v>
          </cell>
          <cell r="N343">
            <v>202.12519543402777</v>
          </cell>
          <cell r="Q343">
            <v>202.12519543402777</v>
          </cell>
          <cell r="T343">
            <v>202.12519543402777</v>
          </cell>
          <cell r="W343">
            <v>202.12519543402777</v>
          </cell>
          <cell r="Z343">
            <v>202.12519543402777</v>
          </cell>
          <cell r="AC343">
            <v>202.12519543402777</v>
          </cell>
          <cell r="AF343">
            <v>202.12519543402777</v>
          </cell>
          <cell r="AI343">
            <v>202.12519543402777</v>
          </cell>
          <cell r="AL343">
            <v>202.12519543402777</v>
          </cell>
          <cell r="AO343">
            <v>202.12519543402777</v>
          </cell>
        </row>
        <row r="344">
          <cell r="A344" t="str">
            <v>PiècesFrais postaux</v>
          </cell>
          <cell r="B344" t="str">
            <v>Frais postaux</v>
          </cell>
          <cell r="E344">
            <v>1160.1027547916665</v>
          </cell>
          <cell r="H344">
            <v>96.675229565972202</v>
          </cell>
          <cell r="K344">
            <v>96.675229565972202</v>
          </cell>
          <cell r="N344">
            <v>96.675229565972202</v>
          </cell>
          <cell r="Q344">
            <v>96.675229565972202</v>
          </cell>
          <cell r="T344">
            <v>96.675229565972202</v>
          </cell>
          <cell r="W344">
            <v>96.675229565972202</v>
          </cell>
          <cell r="Z344">
            <v>96.675229565972202</v>
          </cell>
          <cell r="AC344">
            <v>96.675229565972202</v>
          </cell>
          <cell r="AF344">
            <v>96.675229565972202</v>
          </cell>
          <cell r="AI344">
            <v>96.675229565972202</v>
          </cell>
          <cell r="AL344">
            <v>96.675229565972202</v>
          </cell>
          <cell r="AO344">
            <v>96.675229565972202</v>
          </cell>
        </row>
        <row r="345">
          <cell r="A345" t="str">
            <v>PiècesDivers</v>
          </cell>
          <cell r="B345" t="str">
            <v>Divers</v>
          </cell>
          <cell r="E345">
            <v>4407.9596535416667</v>
          </cell>
          <cell r="H345">
            <v>367.32997112847221</v>
          </cell>
          <cell r="K345">
            <v>367.32997112847221</v>
          </cell>
          <cell r="N345">
            <v>367.32997112847221</v>
          </cell>
          <cell r="Q345">
            <v>367.32997112847221</v>
          </cell>
          <cell r="T345">
            <v>367.32997112847221</v>
          </cell>
          <cell r="W345">
            <v>367.32997112847221</v>
          </cell>
          <cell r="Z345">
            <v>367.32997112847221</v>
          </cell>
          <cell r="AC345">
            <v>367.32997112847221</v>
          </cell>
          <cell r="AF345">
            <v>367.32997112847221</v>
          </cell>
          <cell r="AI345">
            <v>367.32997112847221</v>
          </cell>
          <cell r="AL345">
            <v>367.32997112847221</v>
          </cell>
          <cell r="AO345">
            <v>367.32997112847221</v>
          </cell>
        </row>
        <row r="346">
          <cell r="A346" t="str">
            <v>PiècesFormation</v>
          </cell>
          <cell r="B346" t="str">
            <v>Formation</v>
          </cell>
          <cell r="E346">
            <v>6345.0251873978741</v>
          </cell>
          <cell r="H346">
            <v>528.75209894982299</v>
          </cell>
          <cell r="K346">
            <v>528.75209894982299</v>
          </cell>
          <cell r="N346">
            <v>528.75209894982299</v>
          </cell>
          <cell r="Q346">
            <v>528.75209894982299</v>
          </cell>
          <cell r="T346">
            <v>528.75209894982299</v>
          </cell>
          <cell r="W346">
            <v>528.75209894982299</v>
          </cell>
          <cell r="Z346">
            <v>528.75209894982299</v>
          </cell>
          <cell r="AC346">
            <v>528.75209894982299</v>
          </cell>
          <cell r="AF346">
            <v>528.75209894982299</v>
          </cell>
          <cell r="AI346">
            <v>528.75209894982299</v>
          </cell>
          <cell r="AL346">
            <v>528.75209894982299</v>
          </cell>
          <cell r="AO346">
            <v>528.75209894982299</v>
          </cell>
        </row>
        <row r="347">
          <cell r="A347" t="str">
            <v>PiècesFrais bancaires</v>
          </cell>
          <cell r="B347" t="str">
            <v>Frais bancaires</v>
          </cell>
          <cell r="E347">
            <v>14693.814835970476</v>
          </cell>
          <cell r="H347">
            <v>884.29543468173085</v>
          </cell>
          <cell r="K347">
            <v>752.54405599590268</v>
          </cell>
          <cell r="N347">
            <v>882.29355146060448</v>
          </cell>
          <cell r="Q347">
            <v>1764.6901406539814</v>
          </cell>
          <cell r="T347">
            <v>1611.172541858266</v>
          </cell>
          <cell r="W347">
            <v>1039.7349284273771</v>
          </cell>
          <cell r="Z347">
            <v>975.99591666485287</v>
          </cell>
          <cell r="AC347">
            <v>1083.3535723495838</v>
          </cell>
          <cell r="AF347">
            <v>802.38576775839351</v>
          </cell>
          <cell r="AI347">
            <v>1569.1045802921067</v>
          </cell>
          <cell r="AL347">
            <v>2317.1517198097408</v>
          </cell>
          <cell r="AO347">
            <v>1011.0926260179358</v>
          </cell>
        </row>
        <row r="348">
          <cell r="A348" t="str">
            <v>Pièces[...]</v>
          </cell>
          <cell r="B348" t="str">
            <v>[...]</v>
          </cell>
          <cell r="E348">
            <v>0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PiècesTOTAL SEMI-FIXES</v>
          </cell>
          <cell r="B351" t="str">
            <v>TOTAL SEMI-FIXES</v>
          </cell>
          <cell r="C351" t="str">
            <v>% brut</v>
          </cell>
          <cell r="D351">
            <v>0.18587062289109543</v>
          </cell>
          <cell r="E351">
            <v>260439.30085185633</v>
          </cell>
          <cell r="F351" t="str">
            <v>% brut</v>
          </cell>
          <cell r="G351">
            <v>0.20795303082375691</v>
          </cell>
          <cell r="H351">
            <v>20786.393986539399</v>
          </cell>
          <cell r="I351" t="str">
            <v>% brut</v>
          </cell>
          <cell r="J351">
            <v>0.2191937730944033</v>
          </cell>
          <cell r="K351">
            <v>20550.026313491388</v>
          </cell>
          <cell r="L351" t="str">
            <v>% brut</v>
          </cell>
          <cell r="M351">
            <v>0.2133114559859064</v>
          </cell>
          <cell r="N351">
            <v>21372.37981963317</v>
          </cell>
          <cell r="O351" t="str">
            <v>% brut</v>
          </cell>
          <cell r="P351">
            <v>0.18331309908488783</v>
          </cell>
          <cell r="Q351">
            <v>22114.825482776083</v>
          </cell>
          <cell r="R351" t="str">
            <v>% brut</v>
          </cell>
          <cell r="S351">
            <v>0.20474471239593234</v>
          </cell>
          <cell r="T351">
            <v>23738.387007429683</v>
          </cell>
          <cell r="U351" t="str">
            <v>% brut</v>
          </cell>
          <cell r="V351">
            <v>0.17497112359892458</v>
          </cell>
          <cell r="W351">
            <v>21542.281667856267</v>
          </cell>
          <cell r="X351" t="str">
            <v>% brut</v>
          </cell>
          <cell r="Y351">
            <v>0.18789058762658867</v>
          </cell>
          <cell r="Z351">
            <v>21470.249101510482</v>
          </cell>
          <cell r="AA351" t="str">
            <v>% brut</v>
          </cell>
          <cell r="AB351">
            <v>0.17925437989442289</v>
          </cell>
          <cell r="AC351">
            <v>20812.041753390316</v>
          </cell>
          <cell r="AD351" t="str">
            <v>% brut</v>
          </cell>
          <cell r="AE351">
            <v>0.19071639547901531</v>
          </cell>
          <cell r="AF351">
            <v>20696.678738183156</v>
          </cell>
          <cell r="AG351" t="str">
            <v>% brut</v>
          </cell>
          <cell r="AH351">
            <v>0.15576525312060521</v>
          </cell>
          <cell r="AI351">
            <v>22238.25631219694</v>
          </cell>
          <cell r="AJ351" t="str">
            <v>% brut</v>
          </cell>
          <cell r="AK351">
            <v>0.1477672036731775</v>
          </cell>
          <cell r="AL351">
            <v>24626.70131309134</v>
          </cell>
          <cell r="AM351" t="str">
            <v>% brut</v>
          </cell>
          <cell r="AN351">
            <v>0.20643430392439305</v>
          </cell>
          <cell r="AO351">
            <v>20491.079355758062</v>
          </cell>
        </row>
        <row r="352">
          <cell r="A352" t="str">
            <v>Pièces</v>
          </cell>
        </row>
        <row r="353">
          <cell r="A353" t="str">
            <v>PiècesTOTAL DES DÉPENSES</v>
          </cell>
          <cell r="B353" t="str">
            <v>TOTAL DES DÉPENSES</v>
          </cell>
          <cell r="C353" t="str">
            <v>% brut</v>
          </cell>
          <cell r="D353">
            <v>0.57945475533861379</v>
          </cell>
          <cell r="E353">
            <v>811923.84793423896</v>
          </cell>
          <cell r="F353" t="str">
            <v>% brut</v>
          </cell>
          <cell r="G353">
            <v>0.65276728597805811</v>
          </cell>
          <cell r="H353">
            <v>65248.762829350613</v>
          </cell>
          <cell r="I353" t="str">
            <v>% brut</v>
          </cell>
          <cell r="J353">
            <v>0.67218796708095352</v>
          </cell>
          <cell r="K353">
            <v>63019.492826452828</v>
          </cell>
          <cell r="L353" t="str">
            <v>% brut</v>
          </cell>
          <cell r="M353">
            <v>0.69685846932247553</v>
          </cell>
          <cell r="N353">
            <v>69820.55332214394</v>
          </cell>
          <cell r="O353" t="str">
            <v>% brut</v>
          </cell>
          <cell r="P353">
            <v>0.55186833057785378</v>
          </cell>
          <cell r="Q353">
            <v>66577.194325587305</v>
          </cell>
          <cell r="R353" t="str">
            <v>% brut</v>
          </cell>
          <cell r="S353">
            <v>0.6054236267865607</v>
          </cell>
          <cell r="T353">
            <v>70193.658180090672</v>
          </cell>
          <cell r="U353" t="str">
            <v>% brut</v>
          </cell>
          <cell r="V353">
            <v>0.55229099711546548</v>
          </cell>
          <cell r="W353">
            <v>67997.552840517252</v>
          </cell>
          <cell r="X353" t="str">
            <v>% brut</v>
          </cell>
          <cell r="Y353">
            <v>0.59443026761426643</v>
          </cell>
          <cell r="Z353">
            <v>67925.520274171475</v>
          </cell>
          <cell r="AA353" t="str">
            <v>% brut</v>
          </cell>
          <cell r="AB353">
            <v>0.5793742203961878</v>
          </cell>
          <cell r="AC353">
            <v>67267.312926051309</v>
          </cell>
          <cell r="AD353" t="str">
            <v>% brut</v>
          </cell>
          <cell r="AE353">
            <v>0.6187938653536752</v>
          </cell>
          <cell r="AF353">
            <v>67151.949910844152</v>
          </cell>
          <cell r="AG353" t="str">
            <v>% brut</v>
          </cell>
          <cell r="AH353">
            <v>0.46719669090575605</v>
          </cell>
          <cell r="AI353">
            <v>66700.625155008151</v>
          </cell>
          <cell r="AJ353" t="str">
            <v>% brut</v>
          </cell>
          <cell r="AK353">
            <v>0.42651202742324862</v>
          </cell>
          <cell r="AL353">
            <v>71081.97248575234</v>
          </cell>
          <cell r="AM353" t="str">
            <v>% brut</v>
          </cell>
          <cell r="AN353">
            <v>0.69451815737882894</v>
          </cell>
          <cell r="AO353">
            <v>68939.252858268839</v>
          </cell>
        </row>
        <row r="354">
          <cell r="A354" t="str">
            <v>Pièces</v>
          </cell>
        </row>
        <row r="355">
          <cell r="A355" t="str">
            <v>PiècesPROFIT DÉPARTEMENTAL</v>
          </cell>
          <cell r="B355" t="str">
            <v>PROFIT DÉPARTEMENTAL</v>
          </cell>
          <cell r="E355">
            <v>589262.07806576102</v>
          </cell>
          <cell r="H355">
            <v>34708.395304863632</v>
          </cell>
          <cell r="K355">
            <v>30733.290491168227</v>
          </cell>
          <cell r="N355">
            <v>30372.751912457505</v>
          </cell>
          <cell r="Q355">
            <v>54062.441320609738</v>
          </cell>
          <cell r="T355">
            <v>45747.734052421467</v>
          </cell>
          <cell r="W355">
            <v>55121.515179165232</v>
          </cell>
          <cell r="Z355">
            <v>46344.435303274367</v>
          </cell>
          <cell r="AC355">
            <v>48836.080283354109</v>
          </cell>
          <cell r="AF355">
            <v>41368.76057238449</v>
          </cell>
          <cell r="AI355">
            <v>76067.135091100165</v>
          </cell>
          <cell r="AL355">
            <v>95576.803622369567</v>
          </cell>
          <cell r="AO355">
            <v>30322.734932592502</v>
          </cell>
        </row>
        <row r="358">
          <cell r="B358" t="str">
            <v>Budget 2023</v>
          </cell>
          <cell r="C358" t="str">
            <v>Boutique</v>
          </cell>
        </row>
        <row r="360">
          <cell r="B360" t="str">
            <v>Mois</v>
          </cell>
          <cell r="C360">
            <v>2021</v>
          </cell>
          <cell r="F360" t="str">
            <v>Janvier</v>
          </cell>
          <cell r="I360" t="str">
            <v>Février</v>
          </cell>
          <cell r="L360" t="str">
            <v>Mars</v>
          </cell>
          <cell r="O360" t="str">
            <v>Avril</v>
          </cell>
          <cell r="R360" t="str">
            <v>Mai</v>
          </cell>
          <cell r="U360" t="str">
            <v>Juin</v>
          </cell>
          <cell r="X360" t="str">
            <v>Juillet</v>
          </cell>
          <cell r="AA360" t="str">
            <v>Août</v>
          </cell>
          <cell r="AD360" t="str">
            <v>Septembre</v>
          </cell>
          <cell r="AG360" t="str">
            <v>Octobre</v>
          </cell>
          <cell r="AJ360" t="str">
            <v>Novembre</v>
          </cell>
          <cell r="AM360" t="str">
            <v>Décembre</v>
          </cell>
        </row>
        <row r="361">
          <cell r="C361" t="str">
            <v>$VENTES</v>
          </cell>
          <cell r="D361" t="str">
            <v>% P. BRUT</v>
          </cell>
          <cell r="E361" t="str">
            <v>$PROFITS</v>
          </cell>
          <cell r="F361" t="str">
            <v>$VENTES</v>
          </cell>
          <cell r="G361" t="str">
            <v>% P. BRUT</v>
          </cell>
          <cell r="H361" t="str">
            <v>$PROFITS</v>
          </cell>
          <cell r="I361" t="str">
            <v>$VENTES</v>
          </cell>
          <cell r="J361" t="str">
            <v>% P. BRUT</v>
          </cell>
          <cell r="K361" t="str">
            <v>$PROFITS</v>
          </cell>
          <cell r="L361" t="str">
            <v>$VENTES</v>
          </cell>
          <cell r="M361" t="str">
            <v>% P. BRUT</v>
          </cell>
          <cell r="N361" t="str">
            <v>$PROFITS</v>
          </cell>
          <cell r="O361" t="str">
            <v>$VENTES</v>
          </cell>
          <cell r="P361" t="str">
            <v>% P. BRUT</v>
          </cell>
          <cell r="Q361" t="str">
            <v>$PROFITS</v>
          </cell>
          <cell r="R361" t="str">
            <v>$VENTES</v>
          </cell>
          <cell r="S361" t="str">
            <v>% P. BRUT</v>
          </cell>
          <cell r="T361" t="str">
            <v>$PROFITS</v>
          </cell>
          <cell r="U361" t="str">
            <v>$VENTES</v>
          </cell>
          <cell r="V361" t="str">
            <v>% P. BRUT</v>
          </cell>
          <cell r="W361" t="str">
            <v>$PROFITS</v>
          </cell>
          <cell r="X361" t="str">
            <v>$VENTES</v>
          </cell>
          <cell r="Y361" t="str">
            <v>% P. BRUT</v>
          </cell>
          <cell r="Z361" t="str">
            <v>$PROFITS</v>
          </cell>
          <cell r="AA361" t="str">
            <v>$VENTES</v>
          </cell>
          <cell r="AB361" t="str">
            <v>% P. BRUT</v>
          </cell>
          <cell r="AC361" t="str">
            <v>$PROFITS</v>
          </cell>
          <cell r="AD361" t="str">
            <v>$VENTES</v>
          </cell>
          <cell r="AE361" t="str">
            <v>% P. BRUT</v>
          </cell>
          <cell r="AF361" t="str">
            <v>$PROFITS</v>
          </cell>
          <cell r="AG361" t="str">
            <v>$VENTES</v>
          </cell>
          <cell r="AH361" t="str">
            <v>% P. BRUT</v>
          </cell>
          <cell r="AI361" t="str">
            <v>$PROFITS</v>
          </cell>
          <cell r="AJ361" t="str">
            <v>$VENTES</v>
          </cell>
          <cell r="AK361" t="str">
            <v>% P. BRUT</v>
          </cell>
          <cell r="AL361" t="str">
            <v>$PROFITS</v>
          </cell>
          <cell r="AM361" t="str">
            <v>$VENTES</v>
          </cell>
          <cell r="AN361" t="str">
            <v>% P. BRUT</v>
          </cell>
          <cell r="AO361" t="str">
            <v>$PROFITS</v>
          </cell>
        </row>
        <row r="362">
          <cell r="A362" t="str">
            <v>BoutiqueBoutique</v>
          </cell>
          <cell r="B362" t="str">
            <v>Boutique</v>
          </cell>
          <cell r="C362">
            <v>0</v>
          </cell>
          <cell r="D362">
            <v>0</v>
          </cell>
          <cell r="E362">
            <v>0</v>
          </cell>
          <cell r="G362">
            <v>0</v>
          </cell>
          <cell r="J362">
            <v>0</v>
          </cell>
          <cell r="M362">
            <v>0</v>
          </cell>
          <cell r="P362">
            <v>0</v>
          </cell>
          <cell r="S362">
            <v>0</v>
          </cell>
          <cell r="V362">
            <v>0</v>
          </cell>
          <cell r="Y362">
            <v>0</v>
          </cell>
          <cell r="AB362">
            <v>0</v>
          </cell>
          <cell r="AE362">
            <v>0</v>
          </cell>
          <cell r="AH362">
            <v>0</v>
          </cell>
          <cell r="AK362">
            <v>0</v>
          </cell>
          <cell r="AN362">
            <v>0</v>
          </cell>
        </row>
        <row r="363">
          <cell r="A363" t="str">
            <v>Boutique</v>
          </cell>
        </row>
        <row r="364">
          <cell r="A364" t="str">
            <v>BoutiqueTotal Dépt. Boutique</v>
          </cell>
          <cell r="B364" t="str">
            <v>Total Dépt. Boutique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365" t="str">
            <v>Boutique</v>
          </cell>
        </row>
        <row r="366">
          <cell r="A366" t="str">
            <v>BoutiqueDEPENSES</v>
          </cell>
          <cell r="B366" t="str">
            <v>DEPENSES</v>
          </cell>
        </row>
        <row r="367">
          <cell r="A367" t="str">
            <v>BoutiqueSalaires cadres</v>
          </cell>
          <cell r="B367" t="str">
            <v>Salaires cadres</v>
          </cell>
          <cell r="E367">
            <v>0</v>
          </cell>
        </row>
        <row r="368">
          <cell r="A368" t="str">
            <v>BoutiqueSalaires commis</v>
          </cell>
          <cell r="B368" t="str">
            <v>Salaires commis</v>
          </cell>
          <cell r="E368">
            <v>0</v>
          </cell>
        </row>
        <row r="369">
          <cell r="A369" t="str">
            <v>BoutiqueSalaires autres</v>
          </cell>
          <cell r="B369" t="str">
            <v>Salaires autres</v>
          </cell>
          <cell r="E369">
            <v>0</v>
          </cell>
        </row>
        <row r="370">
          <cell r="A370" t="str">
            <v>BoutiqueSalaires spécialistes</v>
          </cell>
          <cell r="B370" t="str">
            <v>Salaires spécialistes</v>
          </cell>
          <cell r="E370">
            <v>0</v>
          </cell>
        </row>
        <row r="371">
          <cell r="A371" t="str">
            <v>Boutique[...]</v>
          </cell>
          <cell r="B371" t="str">
            <v>[...]</v>
          </cell>
          <cell r="E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</row>
        <row r="374">
          <cell r="A374" t="str">
            <v>BoutiqueSalaires en absences</v>
          </cell>
          <cell r="B374" t="str">
            <v>Salaires en absences</v>
          </cell>
          <cell r="E374">
            <v>0</v>
          </cell>
        </row>
        <row r="375">
          <cell r="A375" t="str">
            <v>BoutiqueDéduction à la source</v>
          </cell>
          <cell r="B375" t="str">
            <v>Déduction à la source</v>
          </cell>
          <cell r="E375">
            <v>0</v>
          </cell>
        </row>
        <row r="376">
          <cell r="A376" t="str">
            <v>BoutiqueBénéfices marginaux</v>
          </cell>
          <cell r="B376" t="str">
            <v>Bénéfices marginaux</v>
          </cell>
          <cell r="E376">
            <v>0</v>
          </cell>
        </row>
        <row r="377">
          <cell r="A377" t="str">
            <v>BoutiqueCsst</v>
          </cell>
          <cell r="B377" t="str">
            <v>Csst</v>
          </cell>
          <cell r="E377">
            <v>0</v>
          </cell>
        </row>
        <row r="378">
          <cell r="A378" t="str">
            <v>Boutique[...]</v>
          </cell>
          <cell r="B378" t="str">
            <v>[...]</v>
          </cell>
          <cell r="E378">
            <v>0</v>
          </cell>
        </row>
        <row r="379">
          <cell r="A379" t="str">
            <v>BoutiqueTOTAL PERSONNEL</v>
          </cell>
          <cell r="B379" t="str">
            <v>TOTAL PERSONNEL</v>
          </cell>
          <cell r="C379" t="str">
            <v>% brut</v>
          </cell>
          <cell r="D379">
            <v>0</v>
          </cell>
          <cell r="E379">
            <v>0</v>
          </cell>
          <cell r="F379" t="str">
            <v>% brut</v>
          </cell>
          <cell r="G379">
            <v>0</v>
          </cell>
          <cell r="H379">
            <v>0</v>
          </cell>
          <cell r="I379" t="str">
            <v>% brut</v>
          </cell>
          <cell r="J379">
            <v>0</v>
          </cell>
          <cell r="K379">
            <v>0</v>
          </cell>
          <cell r="L379" t="str">
            <v>% brut</v>
          </cell>
          <cell r="M379">
            <v>0</v>
          </cell>
          <cell r="N379">
            <v>0</v>
          </cell>
          <cell r="O379" t="str">
            <v>% brut</v>
          </cell>
          <cell r="P379">
            <v>0</v>
          </cell>
          <cell r="Q379">
            <v>0</v>
          </cell>
          <cell r="R379" t="str">
            <v>% brut</v>
          </cell>
          <cell r="S379">
            <v>0</v>
          </cell>
          <cell r="T379">
            <v>0</v>
          </cell>
          <cell r="U379" t="str">
            <v>% brut</v>
          </cell>
          <cell r="V379">
            <v>0</v>
          </cell>
          <cell r="W379">
            <v>0</v>
          </cell>
          <cell r="X379" t="str">
            <v>% brut</v>
          </cell>
          <cell r="Y379">
            <v>0</v>
          </cell>
          <cell r="Z379">
            <v>0</v>
          </cell>
          <cell r="AA379" t="str">
            <v>% brut</v>
          </cell>
          <cell r="AB379">
            <v>0</v>
          </cell>
          <cell r="AC379">
            <v>0</v>
          </cell>
          <cell r="AD379" t="str">
            <v>% brut</v>
          </cell>
          <cell r="AE379">
            <v>0</v>
          </cell>
          <cell r="AF379">
            <v>0</v>
          </cell>
          <cell r="AG379" t="str">
            <v>% brut</v>
          </cell>
          <cell r="AH379">
            <v>0</v>
          </cell>
          <cell r="AI379">
            <v>0</v>
          </cell>
          <cell r="AJ379" t="str">
            <v>% brut</v>
          </cell>
          <cell r="AK379">
            <v>0</v>
          </cell>
          <cell r="AL379">
            <v>0</v>
          </cell>
          <cell r="AM379" t="str">
            <v>% brut</v>
          </cell>
          <cell r="AN379">
            <v>0</v>
          </cell>
          <cell r="AO379">
            <v>0</v>
          </cell>
        </row>
        <row r="380">
          <cell r="A380" t="str">
            <v>BoutiquePublicité 2</v>
          </cell>
          <cell r="B380" t="str">
            <v>Publicité 2</v>
          </cell>
          <cell r="E380">
            <v>0</v>
          </cell>
        </row>
        <row r="381">
          <cell r="A381" t="str">
            <v>BoutiqueService gratuit 2</v>
          </cell>
          <cell r="B381" t="str">
            <v>Service gratuit 2</v>
          </cell>
          <cell r="E381">
            <v>0</v>
          </cell>
        </row>
        <row r="382">
          <cell r="A382" t="str">
            <v>BoutiqueFrais véhicules de cie</v>
          </cell>
          <cell r="B382" t="str">
            <v>Frais véhicules de cie</v>
          </cell>
          <cell r="E382">
            <v>0</v>
          </cell>
        </row>
        <row r="383">
          <cell r="A383" t="str">
            <v>BoutiqueInformatique</v>
          </cell>
          <cell r="B383" t="str">
            <v>Informatique</v>
          </cell>
          <cell r="E383">
            <v>0</v>
          </cell>
        </row>
        <row r="384">
          <cell r="A384" t="str">
            <v>BoutiqueFrais de déplacement</v>
          </cell>
          <cell r="B384" t="str">
            <v>Frais de déplacement</v>
          </cell>
          <cell r="E384">
            <v>0</v>
          </cell>
        </row>
        <row r="385">
          <cell r="A385" t="str">
            <v>BoutiqueServices extérieurs</v>
          </cell>
          <cell r="B385" t="str">
            <v>Services extérieurs</v>
          </cell>
          <cell r="E385">
            <v>0</v>
          </cell>
        </row>
        <row r="386">
          <cell r="A386" t="str">
            <v>BoutiqueFournitures autres</v>
          </cell>
          <cell r="B386" t="str">
            <v>Fournitures autres</v>
          </cell>
          <cell r="E386">
            <v>0</v>
          </cell>
        </row>
        <row r="387">
          <cell r="A387" t="str">
            <v>BoutiqueUniformes</v>
          </cell>
          <cell r="B387" t="str">
            <v>Uniformes</v>
          </cell>
          <cell r="E387">
            <v>0</v>
          </cell>
        </row>
        <row r="388">
          <cell r="A388" t="str">
            <v>BoutiquePapeterie</v>
          </cell>
          <cell r="B388" t="str">
            <v>Papeterie</v>
          </cell>
          <cell r="E388">
            <v>0</v>
          </cell>
        </row>
        <row r="389">
          <cell r="A389" t="str">
            <v>BoutiqueTéléphone</v>
          </cell>
          <cell r="B389" t="str">
            <v>Téléphone</v>
          </cell>
          <cell r="E389">
            <v>0</v>
          </cell>
        </row>
        <row r="390">
          <cell r="A390" t="str">
            <v>BoutiqueFrais postaux</v>
          </cell>
          <cell r="B390" t="str">
            <v>Frais postaux</v>
          </cell>
          <cell r="E390">
            <v>0</v>
          </cell>
        </row>
        <row r="391">
          <cell r="A391" t="str">
            <v>BoutiqueDivers</v>
          </cell>
          <cell r="B391" t="str">
            <v>Divers</v>
          </cell>
          <cell r="E391">
            <v>0</v>
          </cell>
        </row>
        <row r="392">
          <cell r="A392" t="str">
            <v>BoutiqueFormation</v>
          </cell>
          <cell r="B392" t="str">
            <v>Formation</v>
          </cell>
          <cell r="E392">
            <v>0</v>
          </cell>
        </row>
        <row r="393">
          <cell r="A393" t="str">
            <v>BoutiqueFrais bancaires</v>
          </cell>
          <cell r="B393" t="str">
            <v>Frais bancaires</v>
          </cell>
          <cell r="E393">
            <v>0</v>
          </cell>
        </row>
        <row r="394">
          <cell r="A394" t="str">
            <v>Boutique[...]</v>
          </cell>
          <cell r="B394" t="str">
            <v>[...]</v>
          </cell>
          <cell r="E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BoutiqueTOTAL SEMI-FIXES</v>
          </cell>
          <cell r="B397" t="str">
            <v>TOTAL SEMI-FIXES</v>
          </cell>
          <cell r="C397" t="str">
            <v>% brut</v>
          </cell>
          <cell r="D397">
            <v>0</v>
          </cell>
          <cell r="E397">
            <v>0</v>
          </cell>
          <cell r="F397" t="str">
            <v>% brut</v>
          </cell>
          <cell r="G397">
            <v>0</v>
          </cell>
          <cell r="H397">
            <v>0</v>
          </cell>
          <cell r="I397" t="str">
            <v>% brut</v>
          </cell>
          <cell r="J397">
            <v>0</v>
          </cell>
          <cell r="K397">
            <v>0</v>
          </cell>
          <cell r="L397" t="str">
            <v>% brut</v>
          </cell>
          <cell r="M397">
            <v>0</v>
          </cell>
          <cell r="N397">
            <v>0</v>
          </cell>
          <cell r="O397" t="str">
            <v>% brut</v>
          </cell>
          <cell r="P397">
            <v>0</v>
          </cell>
          <cell r="Q397">
            <v>0</v>
          </cell>
          <cell r="R397" t="str">
            <v>% brut</v>
          </cell>
          <cell r="S397">
            <v>0</v>
          </cell>
          <cell r="T397">
            <v>0</v>
          </cell>
          <cell r="U397" t="str">
            <v>% brut</v>
          </cell>
          <cell r="V397">
            <v>0</v>
          </cell>
          <cell r="W397">
            <v>0</v>
          </cell>
          <cell r="X397" t="str">
            <v>% brut</v>
          </cell>
          <cell r="Y397">
            <v>0</v>
          </cell>
          <cell r="Z397">
            <v>0</v>
          </cell>
          <cell r="AA397" t="str">
            <v>% brut</v>
          </cell>
          <cell r="AB397">
            <v>0</v>
          </cell>
          <cell r="AC397">
            <v>0</v>
          </cell>
          <cell r="AD397" t="str">
            <v>% brut</v>
          </cell>
          <cell r="AE397">
            <v>0</v>
          </cell>
          <cell r="AF397">
            <v>0</v>
          </cell>
          <cell r="AG397" t="str">
            <v>% brut</v>
          </cell>
          <cell r="AH397">
            <v>0</v>
          </cell>
          <cell r="AI397">
            <v>0</v>
          </cell>
          <cell r="AJ397" t="str">
            <v>% brut</v>
          </cell>
          <cell r="AK397">
            <v>0</v>
          </cell>
          <cell r="AL397">
            <v>0</v>
          </cell>
          <cell r="AM397" t="str">
            <v>% brut</v>
          </cell>
          <cell r="AN397">
            <v>0</v>
          </cell>
          <cell r="AO397">
            <v>0</v>
          </cell>
        </row>
        <row r="398">
          <cell r="A398" t="str">
            <v>Boutique</v>
          </cell>
        </row>
        <row r="399">
          <cell r="A399" t="str">
            <v>BoutiqueTOTAL DES DÉPENSES</v>
          </cell>
          <cell r="B399" t="str">
            <v>TOTAL DES DÉPENSES</v>
          </cell>
          <cell r="C399" t="str">
            <v>% brut</v>
          </cell>
          <cell r="D399">
            <v>0</v>
          </cell>
          <cell r="E399">
            <v>0</v>
          </cell>
          <cell r="F399" t="str">
            <v>% brut</v>
          </cell>
          <cell r="G399">
            <v>0</v>
          </cell>
          <cell r="H399">
            <v>0</v>
          </cell>
          <cell r="I399" t="str">
            <v>% brut</v>
          </cell>
          <cell r="J399">
            <v>0</v>
          </cell>
          <cell r="K399">
            <v>0</v>
          </cell>
          <cell r="L399" t="str">
            <v>% brut</v>
          </cell>
          <cell r="M399">
            <v>0</v>
          </cell>
          <cell r="N399">
            <v>0</v>
          </cell>
          <cell r="O399" t="str">
            <v>% brut</v>
          </cell>
          <cell r="P399">
            <v>0</v>
          </cell>
          <cell r="Q399">
            <v>0</v>
          </cell>
          <cell r="R399" t="str">
            <v>% brut</v>
          </cell>
          <cell r="S399">
            <v>0</v>
          </cell>
          <cell r="T399">
            <v>0</v>
          </cell>
          <cell r="U399" t="str">
            <v>% brut</v>
          </cell>
          <cell r="V399">
            <v>0</v>
          </cell>
          <cell r="W399">
            <v>0</v>
          </cell>
          <cell r="X399" t="str">
            <v>% brut</v>
          </cell>
          <cell r="Y399">
            <v>0</v>
          </cell>
          <cell r="Z399">
            <v>0</v>
          </cell>
          <cell r="AA399" t="str">
            <v>% brut</v>
          </cell>
          <cell r="AB399">
            <v>0</v>
          </cell>
          <cell r="AC399">
            <v>0</v>
          </cell>
          <cell r="AD399" t="str">
            <v>% brut</v>
          </cell>
          <cell r="AE399">
            <v>0</v>
          </cell>
          <cell r="AF399">
            <v>0</v>
          </cell>
          <cell r="AG399" t="str">
            <v>% brut</v>
          </cell>
          <cell r="AH399">
            <v>0</v>
          </cell>
          <cell r="AI399">
            <v>0</v>
          </cell>
          <cell r="AJ399" t="str">
            <v>% brut</v>
          </cell>
          <cell r="AK399">
            <v>0</v>
          </cell>
          <cell r="AL399">
            <v>0</v>
          </cell>
          <cell r="AM399" t="str">
            <v>% brut</v>
          </cell>
          <cell r="AN399">
            <v>0</v>
          </cell>
          <cell r="AO399">
            <v>0</v>
          </cell>
        </row>
        <row r="400">
          <cell r="A400" t="str">
            <v>Boutique</v>
          </cell>
        </row>
        <row r="401">
          <cell r="A401" t="str">
            <v>BoutiquePROFIT DÉPARTEMENTAL</v>
          </cell>
          <cell r="B401" t="str">
            <v>PROFIT DÉPARTEMENTAL</v>
          </cell>
          <cell r="E401">
            <v>0</v>
          </cell>
          <cell r="H401">
            <v>0</v>
          </cell>
          <cell r="K401">
            <v>0</v>
          </cell>
          <cell r="N401">
            <v>0</v>
          </cell>
          <cell r="Q401">
            <v>0</v>
          </cell>
          <cell r="T401">
            <v>0</v>
          </cell>
          <cell r="W401">
            <v>0</v>
          </cell>
          <cell r="Z401">
            <v>0</v>
          </cell>
          <cell r="AC401">
            <v>0</v>
          </cell>
          <cell r="AF401">
            <v>0</v>
          </cell>
          <cell r="AI401">
            <v>0</v>
          </cell>
          <cell r="AL401">
            <v>0</v>
          </cell>
          <cell r="AO401">
            <v>0</v>
          </cell>
        </row>
        <row r="404">
          <cell r="B404" t="str">
            <v>Budget 2023</v>
          </cell>
          <cell r="C404" t="str">
            <v>TOTAL  DES  REVENUS  ET  DÉPENSES</v>
          </cell>
        </row>
        <row r="406">
          <cell r="B406" t="str">
            <v>Mois</v>
          </cell>
          <cell r="C406">
            <v>2023</v>
          </cell>
          <cell r="F406" t="str">
            <v>Janvier</v>
          </cell>
          <cell r="I406" t="str">
            <v>Février</v>
          </cell>
          <cell r="L406" t="str">
            <v>Mars</v>
          </cell>
          <cell r="O406" t="str">
            <v>Avril</v>
          </cell>
          <cell r="R406" t="str">
            <v>Mai</v>
          </cell>
          <cell r="U406" t="str">
            <v>Juin</v>
          </cell>
          <cell r="X406" t="str">
            <v>Juillet</v>
          </cell>
          <cell r="AA406" t="str">
            <v>Août</v>
          </cell>
          <cell r="AD406" t="str">
            <v>Septembre</v>
          </cell>
          <cell r="AG406" t="str">
            <v>Octobre</v>
          </cell>
          <cell r="AJ406" t="str">
            <v>Novembre</v>
          </cell>
          <cell r="AM406" t="str">
            <v>Décembre</v>
          </cell>
        </row>
        <row r="407">
          <cell r="C407" t="str">
            <v>%P.Brut</v>
          </cell>
          <cell r="D407" t="str">
            <v>$/Unite</v>
          </cell>
          <cell r="E407" t="str">
            <v>$TOTAL</v>
          </cell>
          <cell r="F407" t="str">
            <v>%P.Brut</v>
          </cell>
          <cell r="G407" t="str">
            <v>$/Unite</v>
          </cell>
          <cell r="H407" t="str">
            <v>$TOTAL</v>
          </cell>
          <cell r="I407" t="str">
            <v>%P.Brut</v>
          </cell>
          <cell r="J407" t="str">
            <v>$/Unite</v>
          </cell>
          <cell r="K407" t="str">
            <v>$TOTAL</v>
          </cell>
          <cell r="L407" t="str">
            <v>%P.Brut</v>
          </cell>
          <cell r="M407" t="str">
            <v>$/Unite</v>
          </cell>
          <cell r="N407" t="str">
            <v>$TOTAL</v>
          </cell>
          <cell r="O407" t="str">
            <v>%P.Brut</v>
          </cell>
          <cell r="P407" t="str">
            <v>$/Unite</v>
          </cell>
          <cell r="Q407" t="str">
            <v>$TOTAL</v>
          </cell>
          <cell r="R407" t="str">
            <v>%P.Brut</v>
          </cell>
          <cell r="S407" t="str">
            <v>$/Unite</v>
          </cell>
          <cell r="T407" t="str">
            <v>$TOTAL</v>
          </cell>
          <cell r="U407" t="str">
            <v>%P.Brut</v>
          </cell>
          <cell r="V407" t="str">
            <v>$/Unite</v>
          </cell>
          <cell r="W407" t="str">
            <v>$TOTAL</v>
          </cell>
          <cell r="X407" t="str">
            <v>%P.Brut</v>
          </cell>
          <cell r="Y407" t="str">
            <v>$/Unite</v>
          </cell>
          <cell r="Z407" t="str">
            <v>$TOTAL</v>
          </cell>
          <cell r="AA407" t="str">
            <v>%P.Brut</v>
          </cell>
          <cell r="AB407" t="str">
            <v>$/Unite</v>
          </cell>
          <cell r="AC407" t="str">
            <v>$TOTAL</v>
          </cell>
          <cell r="AD407" t="str">
            <v>%P.Brut</v>
          </cell>
          <cell r="AE407" t="str">
            <v>$/Unite</v>
          </cell>
          <cell r="AF407" t="str">
            <v>$TOTAL</v>
          </cell>
          <cell r="AG407" t="str">
            <v>%P.Brut</v>
          </cell>
          <cell r="AH407" t="str">
            <v>$/Unite</v>
          </cell>
          <cell r="AI407" t="str">
            <v>$TOTAL</v>
          </cell>
          <cell r="AJ407" t="str">
            <v>%P.Brut</v>
          </cell>
          <cell r="AK407" t="str">
            <v>$/Unite</v>
          </cell>
          <cell r="AL407" t="str">
            <v>$TOTAL</v>
          </cell>
          <cell r="AM407" t="str">
            <v>%P.Brut</v>
          </cell>
          <cell r="AN407" t="str">
            <v>$/Unite</v>
          </cell>
          <cell r="AO407" t="str">
            <v>$TOTAL</v>
          </cell>
        </row>
        <row r="408">
          <cell r="A408" t="str">
            <v>Ventes nettes</v>
          </cell>
          <cell r="B408" t="str">
            <v>Ventes nettes</v>
          </cell>
          <cell r="E408">
            <v>58337191.850520089</v>
          </cell>
          <cell r="H408">
            <v>4095036.1404905524</v>
          </cell>
          <cell r="K408">
            <v>3500644.2990390407</v>
          </cell>
          <cell r="N408">
            <v>5001305.8027671231</v>
          </cell>
          <cell r="Q408">
            <v>6000614.4567121584</v>
          </cell>
          <cell r="T408">
            <v>6149396.7932144739</v>
          </cell>
          <cell r="W408">
            <v>4751999.5885613598</v>
          </cell>
          <cell r="Z408">
            <v>4594029.1892951308</v>
          </cell>
          <cell r="AC408">
            <v>4846596.7946121898</v>
          </cell>
          <cell r="AF408">
            <v>4786755.5268234573</v>
          </cell>
          <cell r="AI408">
            <v>5545918.1361218272</v>
          </cell>
          <cell r="AL408">
            <v>5785078.7302080477</v>
          </cell>
          <cell r="AO408">
            <v>3279816.3926747339</v>
          </cell>
        </row>
        <row r="409">
          <cell r="A409" t="str">
            <v>Profit brut</v>
          </cell>
          <cell r="B409" t="str">
            <v>Profit brut</v>
          </cell>
          <cell r="E409">
            <v>8343471.3045024201</v>
          </cell>
          <cell r="H409">
            <v>559016.62935682212</v>
          </cell>
          <cell r="K409">
            <v>505376.8332791549</v>
          </cell>
          <cell r="N409">
            <v>680095.18963090319</v>
          </cell>
          <cell r="Q409">
            <v>868158.15238823032</v>
          </cell>
          <cell r="T409">
            <v>842410.878168914</v>
          </cell>
          <cell r="W409">
            <v>691334.32512757019</v>
          </cell>
          <cell r="Z409">
            <v>648344.10682652763</v>
          </cell>
          <cell r="AC409">
            <v>672575.05658892728</v>
          </cell>
          <cell r="AF409">
            <v>643337.40962466621</v>
          </cell>
          <cell r="AI409">
            <v>803232.21571649297</v>
          </cell>
          <cell r="AL409">
            <v>923045.47948773555</v>
          </cell>
          <cell r="AO409">
            <v>506545.02830647555</v>
          </cell>
        </row>
        <row r="410">
          <cell r="A410" t="str">
            <v>DÉPENSES</v>
          </cell>
          <cell r="B410" t="str">
            <v>DÉPENSES</v>
          </cell>
        </row>
        <row r="411">
          <cell r="A411" t="str">
            <v>Comm. vendeurs</v>
          </cell>
          <cell r="B411" t="str">
            <v>Comm. vendeurs</v>
          </cell>
          <cell r="C411">
            <v>0.30655380289937756</v>
          </cell>
          <cell r="D411">
            <v>675.8773816170891</v>
          </cell>
          <cell r="E411">
            <v>777225.03278000001</v>
          </cell>
          <cell r="G411">
            <v>736.00416676265149</v>
          </cell>
          <cell r="H411">
            <v>56640.292294599996</v>
          </cell>
          <cell r="J411">
            <v>747.87992967611819</v>
          </cell>
          <cell r="K411">
            <v>48832.490257257145</v>
          </cell>
          <cell r="M411">
            <v>713.21720188019867</v>
          </cell>
          <cell r="N411">
            <v>68049.871568457136</v>
          </cell>
          <cell r="P411">
            <v>671.47279405328663</v>
          </cell>
          <cell r="Q411">
            <v>77081.703278000001</v>
          </cell>
          <cell r="S411">
            <v>674.44911724388248</v>
          </cell>
          <cell r="T411">
            <v>80309.673605799995</v>
          </cell>
          <cell r="V411">
            <v>710.58546905404637</v>
          </cell>
          <cell r="W411">
            <v>62845.48538588571</v>
          </cell>
          <cell r="Y411">
            <v>720.1838727437538</v>
          </cell>
          <cell r="Z411">
            <v>62105.762622400005</v>
          </cell>
          <cell r="AB411">
            <v>710.35480284221876</v>
          </cell>
          <cell r="AC411">
            <v>65374.039858914286</v>
          </cell>
          <cell r="AE411">
            <v>712.13547958913625</v>
          </cell>
          <cell r="AF411">
            <v>65391.317095428574</v>
          </cell>
          <cell r="AH411">
            <v>696.13725099079284</v>
          </cell>
          <cell r="AI411">
            <v>71631.064659742857</v>
          </cell>
          <cell r="AK411">
            <v>701.81580650395165</v>
          </cell>
          <cell r="AL411">
            <v>72700.480514514289</v>
          </cell>
          <cell r="AN411">
            <v>778.8688242001075</v>
          </cell>
          <cell r="AO411">
            <v>46262.851639</v>
          </cell>
        </row>
        <row r="412">
          <cell r="A412" t="str">
            <v>Comm. F&amp;I</v>
          </cell>
          <cell r="B412" t="str">
            <v>Comm. F&amp;I</v>
          </cell>
          <cell r="C412">
            <v>0.3</v>
          </cell>
          <cell r="D412">
            <v>475.60621064965608</v>
          </cell>
          <cell r="E412">
            <v>521240.51241600001</v>
          </cell>
          <cell r="G412">
            <v>476.08771016604874</v>
          </cell>
          <cell r="H412">
            <v>36638.035869120002</v>
          </cell>
          <cell r="J412">
            <v>496.72523068384578</v>
          </cell>
          <cell r="K412">
            <v>32433.454924251426</v>
          </cell>
          <cell r="M412">
            <v>467.85748480156792</v>
          </cell>
          <cell r="N412">
            <v>44639.475420891424</v>
          </cell>
          <cell r="P412">
            <v>482.59996362210143</v>
          </cell>
          <cell r="Q412">
            <v>55400.051241600013</v>
          </cell>
          <cell r="S412">
            <v>473.68721994299875</v>
          </cell>
          <cell r="T412">
            <v>56404.05636576</v>
          </cell>
          <cell r="V412">
            <v>482.40949134445077</v>
          </cell>
          <cell r="W412">
            <v>42665.182386377142</v>
          </cell>
          <cell r="Y412">
            <v>473.0280865928296</v>
          </cell>
          <cell r="Z412">
            <v>40792.040993279996</v>
          </cell>
          <cell r="AB412">
            <v>477.65772967433963</v>
          </cell>
          <cell r="AC412">
            <v>43958.899600182864</v>
          </cell>
          <cell r="AE412">
            <v>472.05123982914347</v>
          </cell>
          <cell r="AF412">
            <v>43345.758207085717</v>
          </cell>
          <cell r="AH412">
            <v>467.90672733574957</v>
          </cell>
          <cell r="AI412">
            <v>48146.621938148579</v>
          </cell>
          <cell r="AK412">
            <v>461.98781004492133</v>
          </cell>
          <cell r="AL412">
            <v>47856.909848502852</v>
          </cell>
          <cell r="AN412">
            <v>487.56313770036877</v>
          </cell>
          <cell r="AO412">
            <v>28960.025620800006</v>
          </cell>
        </row>
        <row r="413">
          <cell r="A413" t="str">
            <v>Frais de livraison</v>
          </cell>
          <cell r="B413" t="str">
            <v>Frais de livraison</v>
          </cell>
          <cell r="D413">
            <v>84.321171733799474</v>
          </cell>
          <cell r="E413">
            <v>94941.403076590301</v>
          </cell>
          <cell r="G413">
            <v>86.495264741447144</v>
          </cell>
          <cell r="H413">
            <v>6656.3713879547304</v>
          </cell>
          <cell r="J413">
            <v>80.748724560006323</v>
          </cell>
          <cell r="K413">
            <v>5272.4523668794009</v>
          </cell>
          <cell r="M413">
            <v>88.786980004359478</v>
          </cell>
          <cell r="N413">
            <v>8471.3921233530746</v>
          </cell>
          <cell r="P413">
            <v>84.681920637214233</v>
          </cell>
          <cell r="Q413">
            <v>9721.0590471829146</v>
          </cell>
          <cell r="S413">
            <v>87.163683872031015</v>
          </cell>
          <cell r="T413">
            <v>10378.969774098903</v>
          </cell>
          <cell r="V413">
            <v>84.734957851448641</v>
          </cell>
          <cell r="W413">
            <v>7494.1154684966232</v>
          </cell>
          <cell r="Y413">
            <v>87.347220274982519</v>
          </cell>
          <cell r="Z413">
            <v>7532.4732105667636</v>
          </cell>
          <cell r="AB413">
            <v>86.058091090559273</v>
          </cell>
          <cell r="AC413">
            <v>7919.9367057505706</v>
          </cell>
          <cell r="AE413">
            <v>87.619224325749784</v>
          </cell>
          <cell r="AF413">
            <v>8045.5708860991263</v>
          </cell>
          <cell r="AH413">
            <v>88.773268366807585</v>
          </cell>
          <cell r="AI413">
            <v>9134.5833273381359</v>
          </cell>
          <cell r="AK413">
            <v>90.42139736626936</v>
          </cell>
          <cell r="AL413">
            <v>9366.672817000177</v>
          </cell>
          <cell r="AN413">
            <v>83.299919381605378</v>
          </cell>
          <cell r="AO413">
            <v>4947.8059618698735</v>
          </cell>
        </row>
        <row r="414">
          <cell r="A414" t="str">
            <v>Service gratuit 1</v>
          </cell>
          <cell r="B414" t="str">
            <v>Service gratuit 1</v>
          </cell>
          <cell r="D414">
            <v>9.5293939553290468</v>
          </cell>
          <cell r="E414">
            <v>10729.61883694819</v>
          </cell>
          <cell r="G414">
            <v>9.808775857418409</v>
          </cell>
          <cell r="H414">
            <v>754.84889448398553</v>
          </cell>
          <cell r="J414">
            <v>10.602940561069182</v>
          </cell>
          <cell r="K414">
            <v>692.31432894704824</v>
          </cell>
          <cell r="M414">
            <v>9.4920636592681831</v>
          </cell>
          <cell r="N414">
            <v>905.66199361147574</v>
          </cell>
          <cell r="P414">
            <v>10.059377756593495</v>
          </cell>
          <cell r="Q414">
            <v>1154.7660281430842</v>
          </cell>
          <cell r="S414">
            <v>9.7164011651698399</v>
          </cell>
          <cell r="T414">
            <v>1156.9753540290253</v>
          </cell>
          <cell r="V414">
            <v>10.052048079571316</v>
          </cell>
          <cell r="W414">
            <v>889.02161414008765</v>
          </cell>
          <cell r="Y414">
            <v>9.6910366626244908</v>
          </cell>
          <cell r="Z414">
            <v>835.71605157018166</v>
          </cell>
          <cell r="AB414">
            <v>9.8691927120716851</v>
          </cell>
          <cell r="AC414">
            <v>908.26301892068386</v>
          </cell>
          <cell r="AE414">
            <v>9.6534460412159682</v>
          </cell>
          <cell r="AF414">
            <v>886.42058883087975</v>
          </cell>
          <cell r="AH414">
            <v>9.4939585905188419</v>
          </cell>
          <cell r="AI414">
            <v>976.90844830737399</v>
          </cell>
          <cell r="AK414">
            <v>9.2661892132745969</v>
          </cell>
          <cell r="AL414">
            <v>959.87636941271899</v>
          </cell>
          <cell r="AN414">
            <v>10.250368610733908</v>
          </cell>
          <cell r="AO414">
            <v>608.8461465516441</v>
          </cell>
        </row>
        <row r="415">
          <cell r="A415" t="str">
            <v>Entretien stock</v>
          </cell>
          <cell r="B415" t="str">
            <v>Entretien stock</v>
          </cell>
          <cell r="D415">
            <v>113.49555540460818</v>
          </cell>
          <cell r="E415">
            <v>127790.29336888528</v>
          </cell>
          <cell r="G415">
            <v>116.62984142047139</v>
          </cell>
          <cell r="H415">
            <v>8975.422431893172</v>
          </cell>
          <cell r="J415">
            <v>117.80909311658495</v>
          </cell>
          <cell r="K415">
            <v>7692.2927913352714</v>
          </cell>
          <cell r="M415">
            <v>116.15955686220329</v>
          </cell>
          <cell r="N415">
            <v>11083.079467353615</v>
          </cell>
          <cell r="P415">
            <v>117.00195908484628</v>
          </cell>
          <cell r="Q415">
            <v>13431.237085097913</v>
          </cell>
          <cell r="S415">
            <v>116.49267464384265</v>
          </cell>
          <cell r="T415">
            <v>13871.303911471632</v>
          </cell>
          <cell r="V415">
            <v>116.9910752794837</v>
          </cell>
          <cell r="W415">
            <v>10346.905800851149</v>
          </cell>
          <cell r="Y415">
            <v>116.45501100491464</v>
          </cell>
          <cell r="Z415">
            <v>10042.612093083608</v>
          </cell>
          <cell r="AB415">
            <v>116.71955414378459</v>
          </cell>
          <cell r="AC415">
            <v>10741.714921022811</v>
          </cell>
          <cell r="AE415">
            <v>116.39919285554312</v>
          </cell>
          <cell r="AF415">
            <v>10688.270347181955</v>
          </cell>
          <cell r="AH415">
            <v>116.16237063733219</v>
          </cell>
          <cell r="AI415">
            <v>11952.864568458224</v>
          </cell>
          <cell r="AK415">
            <v>115.82415688494144</v>
          </cell>
          <cell r="AL415">
            <v>11998.122274660282</v>
          </cell>
          <cell r="AN415">
            <v>117.28556056908738</v>
          </cell>
          <cell r="AO415">
            <v>6966.4676764756423</v>
          </cell>
        </row>
        <row r="416">
          <cell r="A416" t="str">
            <v>Publicité 1</v>
          </cell>
          <cell r="B416" t="str">
            <v>Publicité 1</v>
          </cell>
          <cell r="D416">
            <v>204.42921360896239</v>
          </cell>
          <cell r="E416">
            <v>230177.02399999992</v>
          </cell>
          <cell r="G416">
            <v>209.58537276897721</v>
          </cell>
          <cell r="H416">
            <v>16128.953218461535</v>
          </cell>
          <cell r="J416">
            <v>190.73566800301154</v>
          </cell>
          <cell r="K416">
            <v>12454.00134417582</v>
          </cell>
          <cell r="M416">
            <v>217.10261875519143</v>
          </cell>
          <cell r="N416">
            <v>20714.314355457867</v>
          </cell>
          <cell r="P416">
            <v>203.63727183786617</v>
          </cell>
          <cell r="Q416">
            <v>23376.535733333327</v>
          </cell>
          <cell r="S416">
            <v>211.77790999548452</v>
          </cell>
          <cell r="T416">
            <v>25217.3431528205</v>
          </cell>
          <cell r="V416">
            <v>203.81124361886177</v>
          </cell>
          <cell r="W416">
            <v>18025.441118827832</v>
          </cell>
          <cell r="Y416">
            <v>212.37994302757167</v>
          </cell>
          <cell r="Z416">
            <v>18314.792689230766</v>
          </cell>
          <cell r="AB416">
            <v>208.15136308828096</v>
          </cell>
          <cell r="AC416">
            <v>19156.195541684974</v>
          </cell>
          <cell r="AE416">
            <v>213.27216615491855</v>
          </cell>
          <cell r="AF416">
            <v>19583.559932600725</v>
          </cell>
          <cell r="AH416">
            <v>217.05764207156082</v>
          </cell>
          <cell r="AI416">
            <v>22334.776614798531</v>
          </cell>
          <cell r="AK416">
            <v>222.46380718573076</v>
          </cell>
          <cell r="AL416">
            <v>23044.829611428562</v>
          </cell>
          <cell r="AN416">
            <v>199.10405448761543</v>
          </cell>
          <cell r="AO416">
            <v>11826.280687179486</v>
          </cell>
        </row>
        <row r="417">
          <cell r="A417" t="str">
            <v>Intérêt de gros</v>
          </cell>
          <cell r="B417" t="str">
            <v>Intérêt de gros</v>
          </cell>
          <cell r="D417">
            <v>103.01491614473902</v>
          </cell>
          <cell r="E417">
            <v>115989.62010958901</v>
          </cell>
          <cell r="G417">
            <v>125.54633452327046</v>
          </cell>
          <cell r="H417">
            <v>9661.6043835616438</v>
          </cell>
          <cell r="J417">
            <v>114.77167672668847</v>
          </cell>
          <cell r="K417">
            <v>7493.9660273972595</v>
          </cell>
          <cell r="M417">
            <v>118.22189372080858</v>
          </cell>
          <cell r="N417">
            <v>11279.852284931505</v>
          </cell>
          <cell r="P417">
            <v>104.92394934230693</v>
          </cell>
          <cell r="Q417">
            <v>12044.742246575341</v>
          </cell>
          <cell r="S417">
            <v>91.739217435915108</v>
          </cell>
          <cell r="T417">
            <v>10923.799024657534</v>
          </cell>
          <cell r="V417">
            <v>99.414155970357911</v>
          </cell>
          <cell r="W417">
            <v>8792.3707397260259</v>
          </cell>
          <cell r="Y417">
            <v>109.06285358727204</v>
          </cell>
          <cell r="Z417">
            <v>9405.1421479452038</v>
          </cell>
          <cell r="AB417">
            <v>105.48027220317341</v>
          </cell>
          <cell r="AC417">
            <v>9707.3624219178073</v>
          </cell>
          <cell r="AE417">
            <v>110.84662834976778</v>
          </cell>
          <cell r="AF417">
            <v>10178.410191780822</v>
          </cell>
          <cell r="AH417">
            <v>110.1862594119885</v>
          </cell>
          <cell r="AI417">
            <v>11337.935243835615</v>
          </cell>
          <cell r="AK417">
            <v>79.848657859083019</v>
          </cell>
          <cell r="AL417">
            <v>8271.4520547945194</v>
          </cell>
          <cell r="AN417">
            <v>116.04839824986793</v>
          </cell>
          <cell r="AO417">
            <v>6892.9833424657527</v>
          </cell>
        </row>
        <row r="418">
          <cell r="A418" t="str">
            <v>[...]</v>
          </cell>
          <cell r="B418" t="str">
            <v>[...]</v>
          </cell>
          <cell r="E418">
            <v>0</v>
          </cell>
          <cell r="H418">
            <v>0</v>
          </cell>
          <cell r="K418">
            <v>0</v>
          </cell>
          <cell r="N418">
            <v>0</v>
          </cell>
          <cell r="Q418">
            <v>0</v>
          </cell>
          <cell r="T418">
            <v>0</v>
          </cell>
          <cell r="W418">
            <v>0</v>
          </cell>
          <cell r="Z418">
            <v>0</v>
          </cell>
          <cell r="AC418">
            <v>0</v>
          </cell>
          <cell r="AF418">
            <v>0</v>
          </cell>
          <cell r="AI418">
            <v>0</v>
          </cell>
          <cell r="AL418">
            <v>0</v>
          </cell>
          <cell r="AO418">
            <v>0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TOTAL VARIABLES</v>
          </cell>
          <cell r="B421" t="str">
            <v>TOTAL VARIABLES</v>
          </cell>
          <cell r="C421">
            <v>0.22509737686453477</v>
          </cell>
          <cell r="D421">
            <v>1666.2738431141834</v>
          </cell>
          <cell r="E421">
            <v>1878093.5045880128</v>
          </cell>
          <cell r="F421">
            <v>0.24231037390770244</v>
          </cell>
          <cell r="H421">
            <v>135455.52848007507</v>
          </cell>
          <cell r="I421">
            <v>0.22729766082647504</v>
          </cell>
          <cell r="K421">
            <v>114870.97204024337</v>
          </cell>
          <cell r="L421">
            <v>0.24282431302547777</v>
          </cell>
          <cell r="N421">
            <v>165143.64721405611</v>
          </cell>
          <cell r="O421">
            <v>0.22139986145517232</v>
          </cell>
          <cell r="Q421">
            <v>192210.09465993257</v>
          </cell>
          <cell r="R421">
            <v>0.23535085589063762</v>
          </cell>
          <cell r="T421">
            <v>198262.12118863757</v>
          </cell>
          <cell r="U421">
            <v>0.21850285314045434</v>
          </cell>
          <cell r="W421">
            <v>151058.52251430458</v>
          </cell>
          <cell r="X421">
            <v>0.22986025204660482</v>
          </cell>
          <cell r="Z421">
            <v>149028.53980807652</v>
          </cell>
          <cell r="AA421">
            <v>0.23457071522772757</v>
          </cell>
          <cell r="AC421">
            <v>157766.41206839401</v>
          </cell>
          <cell r="AD421">
            <v>0.24577974929400925</v>
          </cell>
          <cell r="AF421">
            <v>158119.3072490078</v>
          </cell>
          <cell r="AG421">
            <v>0.21851060174929363</v>
          </cell>
          <cell r="AI421">
            <v>175514.75480062931</v>
          </cell>
          <cell r="AJ421">
            <v>0.18872130069581036</v>
          </cell>
          <cell r="AL421">
            <v>174198.34349031339</v>
          </cell>
          <cell r="AM421">
            <v>0.21017926368813872</v>
          </cell>
          <cell r="AO421">
            <v>106465.26107434242</v>
          </cell>
        </row>
        <row r="422">
          <cell r="A422" t="str">
            <v>Salaires propriétaire</v>
          </cell>
          <cell r="B422" t="str">
            <v>Salaires propriétaire</v>
          </cell>
          <cell r="E422">
            <v>187334.15999999997</v>
          </cell>
          <cell r="H422">
            <v>15267.501839080458</v>
          </cell>
          <cell r="K422">
            <v>14809.264291187737</v>
          </cell>
          <cell r="N422">
            <v>16183.976934865899</v>
          </cell>
          <cell r="Q422">
            <v>15267.501839080458</v>
          </cell>
          <cell r="T422">
            <v>15725.739386973182</v>
          </cell>
          <cell r="W422">
            <v>15725.739386973182</v>
          </cell>
          <cell r="Z422">
            <v>15725.739386973182</v>
          </cell>
          <cell r="AC422">
            <v>15725.739386973182</v>
          </cell>
          <cell r="AF422">
            <v>15725.739386973182</v>
          </cell>
          <cell r="AI422">
            <v>15267.501839080458</v>
          </cell>
          <cell r="AL422">
            <v>15725.739386973182</v>
          </cell>
          <cell r="AO422">
            <v>16183.976934865899</v>
          </cell>
        </row>
        <row r="423">
          <cell r="A423" t="str">
            <v>Salaires cadres</v>
          </cell>
          <cell r="B423" t="str">
            <v>Salaires cadres</v>
          </cell>
          <cell r="E423">
            <v>512076.00000000012</v>
          </cell>
          <cell r="H423">
            <v>41679.870689655174</v>
          </cell>
          <cell r="K423">
            <v>40355.698275862065</v>
          </cell>
          <cell r="N423">
            <v>44328.215517241384</v>
          </cell>
          <cell r="Q423">
            <v>41679.870689655174</v>
          </cell>
          <cell r="T423">
            <v>43004.043103448275</v>
          </cell>
          <cell r="W423">
            <v>43004.043103448275</v>
          </cell>
          <cell r="Z423">
            <v>43004.043103448275</v>
          </cell>
          <cell r="AC423">
            <v>43004.043103448275</v>
          </cell>
          <cell r="AF423">
            <v>43004.043103448275</v>
          </cell>
          <cell r="AI423">
            <v>41679.870689655174</v>
          </cell>
          <cell r="AL423">
            <v>43004.043103448275</v>
          </cell>
          <cell r="AO423">
            <v>44328.215517241384</v>
          </cell>
        </row>
        <row r="424">
          <cell r="A424" t="str">
            <v>Salaires commis</v>
          </cell>
          <cell r="B424" t="str">
            <v>Salaires commis</v>
          </cell>
          <cell r="E424">
            <v>618293.88000000012</v>
          </cell>
          <cell r="H424">
            <v>49836.748965517239</v>
          </cell>
          <cell r="K424">
            <v>47586.427586206904</v>
          </cell>
          <cell r="N424">
            <v>54337.391724137931</v>
          </cell>
          <cell r="Q424">
            <v>49836.748965517239</v>
          </cell>
          <cell r="T424">
            <v>52087.070344827589</v>
          </cell>
          <cell r="W424">
            <v>52087.070344827589</v>
          </cell>
          <cell r="Z424">
            <v>52087.070344827589</v>
          </cell>
          <cell r="AC424">
            <v>52087.070344827589</v>
          </cell>
          <cell r="AF424">
            <v>52087.070344827589</v>
          </cell>
          <cell r="AI424">
            <v>49836.748965517239</v>
          </cell>
          <cell r="AL424">
            <v>52087.070344827589</v>
          </cell>
          <cell r="AO424">
            <v>54337.391724137931</v>
          </cell>
        </row>
        <row r="425">
          <cell r="A425" t="str">
            <v>Salaires autres</v>
          </cell>
          <cell r="B425" t="str">
            <v>Salaires autres</v>
          </cell>
          <cell r="E425">
            <v>375420.8000000001</v>
          </cell>
          <cell r="H425">
            <v>30228.512643678161</v>
          </cell>
          <cell r="K425">
            <v>28819.773946360154</v>
          </cell>
          <cell r="N425">
            <v>33045.990038314179</v>
          </cell>
          <cell r="Q425">
            <v>30228.512643678161</v>
          </cell>
          <cell r="T425">
            <v>31637.251340996168</v>
          </cell>
          <cell r="W425">
            <v>31637.251340996168</v>
          </cell>
          <cell r="Z425">
            <v>31637.251340996168</v>
          </cell>
          <cell r="AC425">
            <v>31637.251340996168</v>
          </cell>
          <cell r="AF425">
            <v>31637.251340996168</v>
          </cell>
          <cell r="AI425">
            <v>30228.512643678161</v>
          </cell>
          <cell r="AL425">
            <v>31637.251340996168</v>
          </cell>
          <cell r="AO425">
            <v>33045.990038314179</v>
          </cell>
        </row>
        <row r="426">
          <cell r="A426" t="str">
            <v>Salaires spécialistes</v>
          </cell>
          <cell r="B426" t="str">
            <v>Salaires spécialistes</v>
          </cell>
          <cell r="E426">
            <v>454800.61743295024</v>
          </cell>
          <cell r="H426">
            <v>35782.653305179207</v>
          </cell>
          <cell r="K426">
            <v>34828.247438329883</v>
          </cell>
          <cell r="N426">
            <v>35778.905127240076</v>
          </cell>
          <cell r="Q426">
            <v>44035.886024000349</v>
          </cell>
          <cell r="T426">
            <v>40449.20428821761</v>
          </cell>
          <cell r="W426">
            <v>35197.138670401589</v>
          </cell>
          <cell r="Z426">
            <v>34278.959102282926</v>
          </cell>
          <cell r="AC426">
            <v>34176.074835469452</v>
          </cell>
          <cell r="AF426">
            <v>32587.888068408494</v>
          </cell>
          <cell r="AI426">
            <v>39534.099024276074</v>
          </cell>
          <cell r="AL426">
            <v>52726.419222467732</v>
          </cell>
          <cell r="AO426">
            <v>35425.142326676811</v>
          </cell>
        </row>
        <row r="427">
          <cell r="A427" t="str">
            <v>[...]</v>
          </cell>
          <cell r="B427" t="str">
            <v>[...]</v>
          </cell>
          <cell r="E427">
            <v>0</v>
          </cell>
          <cell r="H427">
            <v>0</v>
          </cell>
          <cell r="K427">
            <v>0</v>
          </cell>
          <cell r="N427">
            <v>0</v>
          </cell>
          <cell r="Q427">
            <v>0</v>
          </cell>
          <cell r="T427">
            <v>0</v>
          </cell>
          <cell r="W427">
            <v>0</v>
          </cell>
          <cell r="Z427">
            <v>0</v>
          </cell>
          <cell r="AC427">
            <v>0</v>
          </cell>
          <cell r="AF427">
            <v>0</v>
          </cell>
          <cell r="AI427">
            <v>0</v>
          </cell>
          <cell r="AL427">
            <v>0</v>
          </cell>
          <cell r="AO427">
            <v>0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Salaires en absences</v>
          </cell>
          <cell r="B430" t="str">
            <v>Salaires en absences</v>
          </cell>
          <cell r="E430">
            <v>475850.53576512722</v>
          </cell>
          <cell r="H430">
            <v>34949.524606301893</v>
          </cell>
          <cell r="K430">
            <v>32918.457604795178</v>
          </cell>
          <cell r="N430">
            <v>39685.444872414671</v>
          </cell>
          <cell r="Q430">
            <v>45037.58986364313</v>
          </cell>
          <cell r="T430">
            <v>44602.836753267118</v>
          </cell>
          <cell r="W430">
            <v>39059.381083422966</v>
          </cell>
          <cell r="Z430">
            <v>37809.546157980709</v>
          </cell>
          <cell r="AC430">
            <v>38724.562292089307</v>
          </cell>
          <cell r="AF430">
            <v>37892.887289114078</v>
          </cell>
          <cell r="AI430">
            <v>42115.366612084348</v>
          </cell>
          <cell r="AL430">
            <v>47866.004774730915</v>
          </cell>
          <cell r="AO430">
            <v>35188.933855282994</v>
          </cell>
        </row>
        <row r="431">
          <cell r="A431" t="str">
            <v>Déduction à la source</v>
          </cell>
          <cell r="B431" t="str">
            <v>Déduction à la source</v>
          </cell>
          <cell r="E431">
            <v>473042.28350663837</v>
          </cell>
          <cell r="H431">
            <v>34743.26849428354</v>
          </cell>
          <cell r="K431">
            <v>32724.187921424964</v>
          </cell>
          <cell r="N431">
            <v>39451.239524693665</v>
          </cell>
          <cell r="Q431">
            <v>44771.798603687697</v>
          </cell>
          <cell r="T431">
            <v>44339.61120735915</v>
          </cell>
          <cell r="W431">
            <v>38828.870477889381</v>
          </cell>
          <cell r="Z431">
            <v>37586.411506635064</v>
          </cell>
          <cell r="AC431">
            <v>38496.027633951548</v>
          </cell>
          <cell r="AF431">
            <v>37669.260796523893</v>
          </cell>
          <cell r="AI431">
            <v>41866.820977444448</v>
          </cell>
          <cell r="AL431">
            <v>47583.521503387441</v>
          </cell>
          <cell r="AO431">
            <v>34981.264859357572</v>
          </cell>
        </row>
        <row r="432">
          <cell r="A432" t="str">
            <v>Bénéfices marginaux</v>
          </cell>
          <cell r="B432" t="str">
            <v>Bénéfices marginaux</v>
          </cell>
          <cell r="E432">
            <v>331251.65941315406</v>
          </cell>
          <cell r="H432">
            <v>24329.252888038434</v>
          </cell>
          <cell r="K432">
            <v>22915.375495746335</v>
          </cell>
          <cell r="N432">
            <v>27626.047425583245</v>
          </cell>
          <cell r="Q432">
            <v>31351.811665637204</v>
          </cell>
          <cell r="T432">
            <v>31049.168969195722</v>
          </cell>
          <cell r="W432">
            <v>27190.228500490455</v>
          </cell>
          <cell r="Z432">
            <v>26320.186624043745</v>
          </cell>
          <cell r="AC432">
            <v>26957.152624987557</v>
          </cell>
          <cell r="AF432">
            <v>26378.202504893619</v>
          </cell>
          <cell r="AI432">
            <v>29317.577744479378</v>
          </cell>
          <cell r="AL432">
            <v>33320.743215331175</v>
          </cell>
          <cell r="AO432">
            <v>24495.911754727178</v>
          </cell>
        </row>
        <row r="433">
          <cell r="A433" t="str">
            <v>Csst</v>
          </cell>
          <cell r="B433" t="str">
            <v>Csst</v>
          </cell>
          <cell r="E433">
            <v>158248.46554330428</v>
          </cell>
          <cell r="H433">
            <v>11622.785359529582</v>
          </cell>
          <cell r="K433">
            <v>10947.335376296358</v>
          </cell>
          <cell r="N433">
            <v>13197.759135365999</v>
          </cell>
          <cell r="Q433">
            <v>14977.664102511473</v>
          </cell>
          <cell r="T433">
            <v>14833.082963190995</v>
          </cell>
          <cell r="W433">
            <v>12989.555873009971</v>
          </cell>
          <cell r="Z433">
            <v>12573.911790954568</v>
          </cell>
          <cell r="AC433">
            <v>12878.208809213098</v>
          </cell>
          <cell r="AF433">
            <v>12601.627649458947</v>
          </cell>
          <cell r="AI433">
            <v>14005.851924575009</v>
          </cell>
          <cell r="AL433">
            <v>15918.279455354892</v>
          </cell>
          <cell r="AO433">
            <v>11702.403103843386</v>
          </cell>
        </row>
        <row r="434">
          <cell r="A434" t="str">
            <v>[...]</v>
          </cell>
          <cell r="B434" t="str">
            <v>[...]</v>
          </cell>
          <cell r="E434">
            <v>0</v>
          </cell>
          <cell r="H434">
            <v>0</v>
          </cell>
          <cell r="K434">
            <v>0</v>
          </cell>
          <cell r="N434">
            <v>0</v>
          </cell>
          <cell r="Q434">
            <v>0</v>
          </cell>
          <cell r="T434">
            <v>0</v>
          </cell>
          <cell r="W434">
            <v>0</v>
          </cell>
          <cell r="Z434">
            <v>0</v>
          </cell>
          <cell r="AC434">
            <v>0</v>
          </cell>
          <cell r="AF434">
            <v>0</v>
          </cell>
          <cell r="AI434">
            <v>0</v>
          </cell>
          <cell r="AL434">
            <v>0</v>
          </cell>
          <cell r="AO434">
            <v>0</v>
          </cell>
        </row>
        <row r="435">
          <cell r="A435" t="str">
            <v>TOTAL PERSONNEL</v>
          </cell>
          <cell r="B435" t="str">
            <v>TOTAL PERSONNEL</v>
          </cell>
          <cell r="C435">
            <v>0.42983528926693559</v>
          </cell>
          <cell r="E435">
            <v>3586318.4016611744</v>
          </cell>
          <cell r="F435">
            <v>0.49808915185872671</v>
          </cell>
          <cell r="H435">
            <v>278440.11879126373</v>
          </cell>
          <cell r="I435">
            <v>0.52615147831545295</v>
          </cell>
          <cell r="K435">
            <v>265904.76793620957</v>
          </cell>
          <cell r="L435">
            <v>0.44645951762229608</v>
          </cell>
          <cell r="N435">
            <v>303634.97029985703</v>
          </cell>
          <cell r="O435">
            <v>0.36535668475249006</v>
          </cell>
          <cell r="Q435">
            <v>317187.3843974109</v>
          </cell>
          <cell r="R435">
            <v>0.37716512997564511</v>
          </cell>
          <cell r="T435">
            <v>317728.0083574758</v>
          </cell>
          <cell r="U435">
            <v>0.42775147715526957</v>
          </cell>
          <cell r="W435">
            <v>295719.27878145955</v>
          </cell>
          <cell r="X435">
            <v>0.4488713883474984</v>
          </cell>
          <cell r="Z435">
            <v>291023.11935814226</v>
          </cell>
          <cell r="AA435">
            <v>0.43665926575010477</v>
          </cell>
          <cell r="AC435">
            <v>293686.13037195615</v>
          </cell>
          <cell r="AD435">
            <v>0.45012767196857467</v>
          </cell>
          <cell r="AF435">
            <v>289583.97048464429</v>
          </cell>
          <cell r="AG435">
            <v>0.37828705631502879</v>
          </cell>
          <cell r="AI435">
            <v>303852.35042079032</v>
          </cell>
          <cell r="AJ435">
            <v>0.368204037504344</v>
          </cell>
          <cell r="AL435">
            <v>339869.07234751736</v>
          </cell>
          <cell r="AM435">
            <v>0.5718923569005524</v>
          </cell>
          <cell r="AO435">
            <v>289689.23011444736</v>
          </cell>
        </row>
        <row r="436">
          <cell r="A436" t="str">
            <v>Publicité 2</v>
          </cell>
          <cell r="B436" t="str">
            <v>Publicité 2</v>
          </cell>
          <cell r="E436">
            <v>155623.2665</v>
          </cell>
          <cell r="H436">
            <v>12968.605541666668</v>
          </cell>
          <cell r="K436">
            <v>12968.605541666668</v>
          </cell>
          <cell r="N436">
            <v>12968.605541666668</v>
          </cell>
          <cell r="Q436">
            <v>12968.605541666668</v>
          </cell>
          <cell r="T436">
            <v>12968.605541666668</v>
          </cell>
          <cell r="W436">
            <v>12968.605541666668</v>
          </cell>
          <cell r="Z436">
            <v>12968.605541666668</v>
          </cell>
          <cell r="AC436">
            <v>12968.605541666668</v>
          </cell>
          <cell r="AF436">
            <v>12968.605541666668</v>
          </cell>
          <cell r="AI436">
            <v>12968.605541666668</v>
          </cell>
          <cell r="AL436">
            <v>12968.605541666668</v>
          </cell>
          <cell r="AO436">
            <v>12968.605541666668</v>
          </cell>
        </row>
        <row r="437">
          <cell r="A437" t="str">
            <v>Service gratuit 2</v>
          </cell>
          <cell r="B437" t="str">
            <v>Service gratuit 2</v>
          </cell>
          <cell r="E437">
            <v>52260.057609624353</v>
          </cell>
          <cell r="H437">
            <v>2769.7589250705105</v>
          </cell>
          <cell r="K437">
            <v>2773.8299928234824</v>
          </cell>
          <cell r="N437">
            <v>3606.6496464381185</v>
          </cell>
          <cell r="Q437">
            <v>6531.908767063871</v>
          </cell>
          <cell r="T437">
            <v>5063.9652682492015</v>
          </cell>
          <cell r="W437">
            <v>3795.7770150154147</v>
          </cell>
          <cell r="Z437">
            <v>3635.1763674977196</v>
          </cell>
          <cell r="AC437">
            <v>3551.4941166762965</v>
          </cell>
          <cell r="AF437">
            <v>2949.773775361386</v>
          </cell>
          <cell r="AI437">
            <v>5331.4178987586602</v>
          </cell>
          <cell r="AL437">
            <v>8903.6451573698814</v>
          </cell>
          <cell r="AO437">
            <v>3346.66067929982</v>
          </cell>
        </row>
        <row r="438">
          <cell r="A438" t="str">
            <v>Frais véhicules de cie</v>
          </cell>
          <cell r="B438" t="str">
            <v>Frais véhicules de cie</v>
          </cell>
          <cell r="E438">
            <v>267499.99999999994</v>
          </cell>
          <cell r="H438">
            <v>22291.666666666664</v>
          </cell>
          <cell r="K438">
            <v>22291.666666666664</v>
          </cell>
          <cell r="N438">
            <v>22291.666666666664</v>
          </cell>
          <cell r="Q438">
            <v>22291.666666666664</v>
          </cell>
          <cell r="T438">
            <v>22291.666666666664</v>
          </cell>
          <cell r="W438">
            <v>22291.666666666664</v>
          </cell>
          <cell r="Z438">
            <v>22291.666666666664</v>
          </cell>
          <cell r="AC438">
            <v>22291.666666666664</v>
          </cell>
          <cell r="AF438">
            <v>22291.666666666664</v>
          </cell>
          <cell r="AI438">
            <v>22291.666666666664</v>
          </cell>
          <cell r="AL438">
            <v>22291.666666666664</v>
          </cell>
          <cell r="AO438">
            <v>22291.666666666664</v>
          </cell>
        </row>
        <row r="439">
          <cell r="A439" t="str">
            <v>Informatique</v>
          </cell>
          <cell r="B439" t="str">
            <v>Informatique</v>
          </cell>
          <cell r="E439">
            <v>238258.40520000004</v>
          </cell>
          <cell r="H439">
            <v>19854.860233333337</v>
          </cell>
          <cell r="K439">
            <v>19854.860233333337</v>
          </cell>
          <cell r="N439">
            <v>19854.860233333337</v>
          </cell>
          <cell r="Q439">
            <v>19854.860233333337</v>
          </cell>
          <cell r="T439">
            <v>19854.870533333335</v>
          </cell>
          <cell r="W439">
            <v>19854.870533333335</v>
          </cell>
          <cell r="Z439">
            <v>19854.870533333335</v>
          </cell>
          <cell r="AC439">
            <v>19854.870533333335</v>
          </cell>
          <cell r="AF439">
            <v>19854.870533333335</v>
          </cell>
          <cell r="AI439">
            <v>19854.870533333335</v>
          </cell>
          <cell r="AL439">
            <v>19854.870533333335</v>
          </cell>
          <cell r="AO439">
            <v>19854.870533333335</v>
          </cell>
        </row>
        <row r="440">
          <cell r="A440" t="str">
            <v>Frais de déplacement</v>
          </cell>
          <cell r="B440" t="str">
            <v>Frais de déplacement</v>
          </cell>
          <cell r="E440">
            <v>37503.301674999995</v>
          </cell>
          <cell r="H440">
            <v>3125.2751395833329</v>
          </cell>
          <cell r="K440">
            <v>3125.2751395833329</v>
          </cell>
          <cell r="N440">
            <v>3125.2751395833329</v>
          </cell>
          <cell r="Q440">
            <v>3125.2751395833329</v>
          </cell>
          <cell r="T440">
            <v>3125.2751395833329</v>
          </cell>
          <cell r="W440">
            <v>3125.2751395833329</v>
          </cell>
          <cell r="Z440">
            <v>3125.2751395833329</v>
          </cell>
          <cell r="AC440">
            <v>3125.2751395833329</v>
          </cell>
          <cell r="AF440">
            <v>3125.2751395833329</v>
          </cell>
          <cell r="AI440">
            <v>3125.2751395833329</v>
          </cell>
          <cell r="AL440">
            <v>3125.2751395833329</v>
          </cell>
          <cell r="AO440">
            <v>3125.2751395833329</v>
          </cell>
        </row>
        <row r="441">
          <cell r="A441" t="str">
            <v>Services extérieurs</v>
          </cell>
          <cell r="B441" t="str">
            <v>Services extérieurs</v>
          </cell>
          <cell r="E441">
            <v>254975.32916666663</v>
          </cell>
          <cell r="H441">
            <v>20331.212155555557</v>
          </cell>
          <cell r="K441">
            <v>20550.231955555559</v>
          </cell>
          <cell r="N441">
            <v>20418.643955555555</v>
          </cell>
          <cell r="Q441">
            <v>19742.521355555553</v>
          </cell>
          <cell r="T441">
            <v>26800.511455555552</v>
          </cell>
          <cell r="W441">
            <v>20850.596155555555</v>
          </cell>
          <cell r="Z441">
            <v>20524.601155555552</v>
          </cell>
          <cell r="AC441">
            <v>19117.652255555557</v>
          </cell>
          <cell r="AF441">
            <v>19458.252055555557</v>
          </cell>
          <cell r="AI441">
            <v>20204.276055555558</v>
          </cell>
          <cell r="AL441">
            <v>27462.835755555556</v>
          </cell>
          <cell r="AO441">
            <v>19513.994855555557</v>
          </cell>
        </row>
        <row r="442">
          <cell r="B442" t="str">
            <v>Fournitures d'atelier</v>
          </cell>
          <cell r="E442">
            <v>0</v>
          </cell>
          <cell r="H442">
            <v>0</v>
          </cell>
          <cell r="K442">
            <v>0</v>
          </cell>
          <cell r="N442">
            <v>0</v>
          </cell>
          <cell r="Q442">
            <v>0</v>
          </cell>
          <cell r="T442">
            <v>0</v>
          </cell>
          <cell r="W442">
            <v>0</v>
          </cell>
          <cell r="Z442">
            <v>0</v>
          </cell>
          <cell r="AC442">
            <v>0</v>
          </cell>
          <cell r="AF442">
            <v>0</v>
          </cell>
          <cell r="AI442">
            <v>0</v>
          </cell>
          <cell r="AL442">
            <v>0</v>
          </cell>
          <cell r="AO442">
            <v>0</v>
          </cell>
        </row>
        <row r="443">
          <cell r="A443" t="str">
            <v>Fournitures autres</v>
          </cell>
          <cell r="B443" t="str">
            <v>Fournitures autres</v>
          </cell>
          <cell r="E443">
            <v>25869.376981994275</v>
          </cell>
          <cell r="H443">
            <v>1816.2554511087924</v>
          </cell>
          <cell r="K443">
            <v>1531.3473515275341</v>
          </cell>
          <cell r="N443">
            <v>2257.4760320351002</v>
          </cell>
          <cell r="Q443">
            <v>2703.9173828652779</v>
          </cell>
          <cell r="T443">
            <v>2812.3372500760129</v>
          </cell>
          <cell r="W443">
            <v>2083.3081418440747</v>
          </cell>
          <cell r="Z443">
            <v>2037.1557843443836</v>
          </cell>
          <cell r="AC443">
            <v>2170.9721724844621</v>
          </cell>
          <cell r="AF443">
            <v>2169.8120013947128</v>
          </cell>
          <cell r="AI443">
            <v>2434.5443499504986</v>
          </cell>
          <cell r="AL443">
            <v>2455.3001865208457</v>
          </cell>
          <cell r="AO443">
            <v>1396.9508778425816</v>
          </cell>
        </row>
        <row r="444">
          <cell r="A444" t="str">
            <v>Uniformes</v>
          </cell>
          <cell r="B444" t="str">
            <v>Uniformes</v>
          </cell>
          <cell r="E444">
            <v>13358.651322446249</v>
          </cell>
          <cell r="H444">
            <v>937.89360682099641</v>
          </cell>
          <cell r="K444">
            <v>790.77031259184344</v>
          </cell>
          <cell r="N444">
            <v>1165.734884211796</v>
          </cell>
          <cell r="Q444">
            <v>1396.2721076560729</v>
          </cell>
          <cell r="T444">
            <v>1452.2588909289057</v>
          </cell>
          <cell r="W444">
            <v>1075.7965715014661</v>
          </cell>
          <cell r="Z444">
            <v>1051.964020297145</v>
          </cell>
          <cell r="AC444">
            <v>1121.0652774181287</v>
          </cell>
          <cell r="AF444">
            <v>1120.4661782951334</v>
          </cell>
          <cell r="AI444">
            <v>1257.1709447296134</v>
          </cell>
          <cell r="AL444">
            <v>1267.8890220857841</v>
          </cell>
          <cell r="AO444">
            <v>721.36950590936249</v>
          </cell>
        </row>
        <row r="445">
          <cell r="A445" t="str">
            <v>Papeterie</v>
          </cell>
          <cell r="B445" t="str">
            <v>Papeterie</v>
          </cell>
          <cell r="E445">
            <v>28629.413819999998</v>
          </cell>
          <cell r="H445">
            <v>2385.7844849999992</v>
          </cell>
          <cell r="K445">
            <v>2385.7844849999992</v>
          </cell>
          <cell r="N445">
            <v>2385.7844849999992</v>
          </cell>
          <cell r="Q445">
            <v>2385.7844849999992</v>
          </cell>
          <cell r="T445">
            <v>2385.7844849999992</v>
          </cell>
          <cell r="W445">
            <v>2385.7844849999992</v>
          </cell>
          <cell r="Z445">
            <v>2385.7844849999992</v>
          </cell>
          <cell r="AC445">
            <v>2385.7844849999992</v>
          </cell>
          <cell r="AF445">
            <v>2385.7844849999992</v>
          </cell>
          <cell r="AI445">
            <v>2385.7844849999992</v>
          </cell>
          <cell r="AL445">
            <v>2385.7844849999992</v>
          </cell>
          <cell r="AO445">
            <v>2385.7844849999992</v>
          </cell>
        </row>
        <row r="446">
          <cell r="A446" t="str">
            <v>Téléphone</v>
          </cell>
          <cell r="B446" t="str">
            <v>Téléphone</v>
          </cell>
          <cell r="E446">
            <v>9702.0093808333331</v>
          </cell>
          <cell r="H446">
            <v>808.50078173611109</v>
          </cell>
          <cell r="K446">
            <v>808.50078173611109</v>
          </cell>
          <cell r="N446">
            <v>808.50078173611109</v>
          </cell>
          <cell r="Q446">
            <v>808.50078173611109</v>
          </cell>
          <cell r="T446">
            <v>808.50078173611109</v>
          </cell>
          <cell r="W446">
            <v>808.50078173611109</v>
          </cell>
          <cell r="Z446">
            <v>808.50078173611109</v>
          </cell>
          <cell r="AC446">
            <v>808.50078173611109</v>
          </cell>
          <cell r="AF446">
            <v>808.50078173611109</v>
          </cell>
          <cell r="AI446">
            <v>808.50078173611109</v>
          </cell>
          <cell r="AL446">
            <v>808.50078173611109</v>
          </cell>
          <cell r="AO446">
            <v>808.50078173611109</v>
          </cell>
        </row>
        <row r="447">
          <cell r="A447" t="str">
            <v>Frais postaux</v>
          </cell>
          <cell r="B447" t="str">
            <v>Frais postaux</v>
          </cell>
          <cell r="E447">
            <v>4640.4110191666659</v>
          </cell>
          <cell r="H447">
            <v>386.70091826388881</v>
          </cell>
          <cell r="K447">
            <v>386.70091826388881</v>
          </cell>
          <cell r="N447">
            <v>386.70091826388881</v>
          </cell>
          <cell r="Q447">
            <v>386.70091826388881</v>
          </cell>
          <cell r="T447">
            <v>386.70091826388881</v>
          </cell>
          <cell r="W447">
            <v>386.70091826388881</v>
          </cell>
          <cell r="Z447">
            <v>386.70091826388881</v>
          </cell>
          <cell r="AC447">
            <v>386.70091826388881</v>
          </cell>
          <cell r="AF447">
            <v>386.70091826388881</v>
          </cell>
          <cell r="AI447">
            <v>386.70091826388881</v>
          </cell>
          <cell r="AL447">
            <v>386.70091826388881</v>
          </cell>
          <cell r="AO447">
            <v>386.70091826388881</v>
          </cell>
        </row>
        <row r="448">
          <cell r="A448" t="str">
            <v>Divers</v>
          </cell>
          <cell r="B448" t="str">
            <v>Divers</v>
          </cell>
          <cell r="E448">
            <v>17631.838614166667</v>
          </cell>
          <cell r="H448">
            <v>1469.3198845138888</v>
          </cell>
          <cell r="K448">
            <v>1469.3198845138888</v>
          </cell>
          <cell r="N448">
            <v>1469.3198845138888</v>
          </cell>
          <cell r="Q448">
            <v>1469.3198845138888</v>
          </cell>
          <cell r="T448">
            <v>1469.3198845138888</v>
          </cell>
          <cell r="W448">
            <v>1469.3198845138888</v>
          </cell>
          <cell r="Z448">
            <v>1469.3198845138888</v>
          </cell>
          <cell r="AC448">
            <v>1469.3198845138888</v>
          </cell>
          <cell r="AF448">
            <v>1469.3198845138888</v>
          </cell>
          <cell r="AI448">
            <v>1469.3198845138888</v>
          </cell>
          <cell r="AL448">
            <v>1469.3198845138888</v>
          </cell>
          <cell r="AO448">
            <v>1469.3198845138888</v>
          </cell>
        </row>
        <row r="449">
          <cell r="A449" t="str">
            <v>Formation</v>
          </cell>
          <cell r="B449" t="str">
            <v>Formation</v>
          </cell>
          <cell r="E449">
            <v>42160.000000000022</v>
          </cell>
          <cell r="H449">
            <v>3513.3333333333339</v>
          </cell>
          <cell r="K449">
            <v>3513.3333333333339</v>
          </cell>
          <cell r="N449">
            <v>3513.3333333333339</v>
          </cell>
          <cell r="Q449">
            <v>3513.3333333333339</v>
          </cell>
          <cell r="T449">
            <v>3513.3333333333339</v>
          </cell>
          <cell r="W449">
            <v>3513.3333333333339</v>
          </cell>
          <cell r="Z449">
            <v>3513.3333333333339</v>
          </cell>
          <cell r="AC449">
            <v>3513.3333333333339</v>
          </cell>
          <cell r="AF449">
            <v>3513.3333333333339</v>
          </cell>
          <cell r="AI449">
            <v>3513.3333333333339</v>
          </cell>
          <cell r="AL449">
            <v>3513.3333333333339</v>
          </cell>
          <cell r="AO449">
            <v>3513.3333333333339</v>
          </cell>
        </row>
        <row r="450">
          <cell r="A450" t="str">
            <v>Frais bancaires</v>
          </cell>
          <cell r="B450" t="str">
            <v>Frais bancaires</v>
          </cell>
          <cell r="E450">
            <v>97634.164591641558</v>
          </cell>
          <cell r="H450">
            <v>5875.7679323683287</v>
          </cell>
          <cell r="K450">
            <v>5000.335926767023</v>
          </cell>
          <cell r="N450">
            <v>5862.4662678185459</v>
          </cell>
          <cell r="Q450">
            <v>11725.617177649598</v>
          </cell>
          <cell r="T450">
            <v>10705.557875429286</v>
          </cell>
          <cell r="W450">
            <v>6908.5974110175694</v>
          </cell>
          <cell r="Z450">
            <v>6485.0787240870186</v>
          </cell>
          <cell r="AC450">
            <v>7198.4247912796181</v>
          </cell>
          <cell r="AF450">
            <v>5331.5129522073876</v>
          </cell>
          <cell r="AI450">
            <v>10426.034121425619</v>
          </cell>
          <cell r="AL450">
            <v>15396.489946360998</v>
          </cell>
          <cell r="AO450">
            <v>6718.2814652305569</v>
          </cell>
        </row>
        <row r="451">
          <cell r="A451" t="str">
            <v>[...]</v>
          </cell>
          <cell r="B451" t="str">
            <v>[...]</v>
          </cell>
          <cell r="E451">
            <v>0</v>
          </cell>
          <cell r="H451">
            <v>0</v>
          </cell>
          <cell r="K451">
            <v>0</v>
          </cell>
          <cell r="N451">
            <v>0</v>
          </cell>
          <cell r="Q451">
            <v>0</v>
          </cell>
          <cell r="T451">
            <v>0</v>
          </cell>
          <cell r="W451">
            <v>0</v>
          </cell>
          <cell r="Z451">
            <v>0</v>
          </cell>
          <cell r="AC451">
            <v>0</v>
          </cell>
          <cell r="AF451">
            <v>0</v>
          </cell>
          <cell r="AI451">
            <v>0</v>
          </cell>
          <cell r="AL451">
            <v>0</v>
          </cell>
          <cell r="AO451">
            <v>0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TOTAL SEMI-FIXES</v>
          </cell>
          <cell r="B454" t="str">
            <v>TOTAL SEMI-FIXES</v>
          </cell>
          <cell r="C454">
            <v>0.14930790559671403</v>
          </cell>
          <cell r="E454">
            <v>1245746.2258815398</v>
          </cell>
          <cell r="F454">
            <v>0.17626476544783828</v>
          </cell>
          <cell r="H454">
            <v>98534.9350550214</v>
          </cell>
          <cell r="I454">
            <v>0.19282752217004356</v>
          </cell>
          <cell r="K454">
            <v>97450.562523362649</v>
          </cell>
          <cell r="L454">
            <v>0.14720736052329689</v>
          </cell>
          <cell r="N454">
            <v>100115.01777015634</v>
          </cell>
          <cell r="O454">
            <v>0.12544290861670887</v>
          </cell>
          <cell r="Q454">
            <v>108904.28377488759</v>
          </cell>
          <cell r="R454">
            <v>0.1348969855082405</v>
          </cell>
          <cell r="T454">
            <v>113638.68802433615</v>
          </cell>
          <cell r="U454">
            <v>0.14684376124431317</v>
          </cell>
          <cell r="W454">
            <v>101518.13257903128</v>
          </cell>
          <cell r="X454">
            <v>0.1550689398998103</v>
          </cell>
          <cell r="Z454">
            <v>100538.03333587901</v>
          </cell>
          <cell r="AA454">
            <v>0.14862826820324423</v>
          </cell>
          <cell r="AC454">
            <v>99963.665897511251</v>
          </cell>
          <cell r="AD454">
            <v>0.15207241609653835</v>
          </cell>
          <cell r="AF454">
            <v>97833.874246911379</v>
          </cell>
          <cell r="AG454">
            <v>0.13253639305235757</v>
          </cell>
          <cell r="AI454">
            <v>106457.50065451718</v>
          </cell>
          <cell r="AJ454">
            <v>0.1324855817720465</v>
          </cell>
          <cell r="AL454">
            <v>122290.21735199026</v>
          </cell>
          <cell r="AM454">
            <v>0.19445717392045692</v>
          </cell>
          <cell r="AO454">
            <v>98501.31466793509</v>
          </cell>
        </row>
        <row r="455">
          <cell r="A455" t="str">
            <v>Loyer</v>
          </cell>
          <cell r="B455" t="str">
            <v>Loyer</v>
          </cell>
          <cell r="E455">
            <v>312000.00000000006</v>
          </cell>
          <cell r="H455">
            <v>26000.000000000004</v>
          </cell>
          <cell r="K455">
            <v>26000.000000000004</v>
          </cell>
          <cell r="N455">
            <v>26000.000000000004</v>
          </cell>
          <cell r="Q455">
            <v>26000.000000000004</v>
          </cell>
          <cell r="T455">
            <v>26000.000000000004</v>
          </cell>
          <cell r="W455">
            <v>26000.000000000004</v>
          </cell>
          <cell r="Z455">
            <v>26000.000000000004</v>
          </cell>
          <cell r="AC455">
            <v>26000.000000000004</v>
          </cell>
          <cell r="AF455">
            <v>26000.000000000004</v>
          </cell>
          <cell r="AI455">
            <v>26000.000000000004</v>
          </cell>
          <cell r="AL455">
            <v>26000.000000000004</v>
          </cell>
          <cell r="AO455">
            <v>26000.000000000004</v>
          </cell>
        </row>
        <row r="456">
          <cell r="A456" t="str">
            <v>Taxes foncières</v>
          </cell>
          <cell r="B456" t="str">
            <v>Taxes foncières</v>
          </cell>
          <cell r="E456">
            <v>63379.260000000017</v>
          </cell>
          <cell r="H456">
            <v>5281.6050000000005</v>
          </cell>
          <cell r="K456">
            <v>5281.6050000000005</v>
          </cell>
          <cell r="N456">
            <v>5281.6050000000005</v>
          </cell>
          <cell r="Q456">
            <v>5281.6050000000005</v>
          </cell>
          <cell r="T456">
            <v>5281.6050000000005</v>
          </cell>
          <cell r="W456">
            <v>5281.6050000000005</v>
          </cell>
          <cell r="Z456">
            <v>5281.6050000000005</v>
          </cell>
          <cell r="AC456">
            <v>5281.6050000000005</v>
          </cell>
          <cell r="AF456">
            <v>5281.6050000000005</v>
          </cell>
          <cell r="AI456">
            <v>5281.6050000000005</v>
          </cell>
          <cell r="AL456">
            <v>5281.6050000000005</v>
          </cell>
          <cell r="AO456">
            <v>5281.6050000000005</v>
          </cell>
        </row>
        <row r="457">
          <cell r="A457" t="str">
            <v>Taxes d`affaires</v>
          </cell>
          <cell r="B457" t="str">
            <v>Taxes d`affaires</v>
          </cell>
          <cell r="E457">
            <v>42165.899999999994</v>
          </cell>
          <cell r="H457">
            <v>3513.8249999999998</v>
          </cell>
          <cell r="K457">
            <v>3513.8249999999998</v>
          </cell>
          <cell r="N457">
            <v>3513.8249999999998</v>
          </cell>
          <cell r="Q457">
            <v>3513.8249999999998</v>
          </cell>
          <cell r="T457">
            <v>3513.8249999999998</v>
          </cell>
          <cell r="W457">
            <v>3513.8249999999998</v>
          </cell>
          <cell r="Z457">
            <v>3513.8249999999998</v>
          </cell>
          <cell r="AC457">
            <v>3513.8249999999998</v>
          </cell>
          <cell r="AF457">
            <v>3513.8249999999998</v>
          </cell>
          <cell r="AI457">
            <v>3513.8249999999998</v>
          </cell>
          <cell r="AL457">
            <v>3513.8249999999998</v>
          </cell>
          <cell r="AO457">
            <v>3513.8249999999998</v>
          </cell>
        </row>
        <row r="458">
          <cell r="A458" t="str">
            <v>Taxe sur le capital</v>
          </cell>
          <cell r="B458" t="str">
            <v>Taxe sur le capital</v>
          </cell>
          <cell r="E458">
            <v>0</v>
          </cell>
        </row>
        <row r="459">
          <cell r="A459" t="str">
            <v>Assurances</v>
          </cell>
          <cell r="B459" t="str">
            <v>Assurances</v>
          </cell>
          <cell r="E459">
            <v>52275.340000000004</v>
          </cell>
          <cell r="H459">
            <v>4356.2783333333327</v>
          </cell>
          <cell r="K459">
            <v>4356.2783333333327</v>
          </cell>
          <cell r="N459">
            <v>4356.2783333333327</v>
          </cell>
          <cell r="Q459">
            <v>4356.2783333333327</v>
          </cell>
          <cell r="T459">
            <v>4356.2783333333327</v>
          </cell>
          <cell r="W459">
            <v>4356.2783333333327</v>
          </cell>
          <cell r="Z459">
            <v>4356.2783333333327</v>
          </cell>
          <cell r="AC459">
            <v>4356.2783333333327</v>
          </cell>
          <cell r="AF459">
            <v>4356.2783333333327</v>
          </cell>
          <cell r="AI459">
            <v>4356.2783333333327</v>
          </cell>
          <cell r="AL459">
            <v>4356.2783333333327</v>
          </cell>
          <cell r="AO459">
            <v>4356.2783333333327</v>
          </cell>
        </row>
        <row r="460">
          <cell r="A460" t="str">
            <v>Chauffage, éclairage</v>
          </cell>
          <cell r="B460" t="str">
            <v>Chauffage, éclairage</v>
          </cell>
          <cell r="E460">
            <v>30131.378997500011</v>
          </cell>
          <cell r="H460">
            <v>2510.948249791667</v>
          </cell>
          <cell r="K460">
            <v>2510.948249791667</v>
          </cell>
          <cell r="N460">
            <v>2510.948249791667</v>
          </cell>
          <cell r="Q460">
            <v>2510.948249791667</v>
          </cell>
          <cell r="T460">
            <v>2510.948249791667</v>
          </cell>
          <cell r="W460">
            <v>2510.948249791667</v>
          </cell>
          <cell r="Z460">
            <v>2510.948249791667</v>
          </cell>
          <cell r="AC460">
            <v>2510.948249791667</v>
          </cell>
          <cell r="AF460">
            <v>2510.948249791667</v>
          </cell>
          <cell r="AI460">
            <v>2510.948249791667</v>
          </cell>
          <cell r="AL460">
            <v>2510.948249791667</v>
          </cell>
          <cell r="AO460">
            <v>2510.948249791667</v>
          </cell>
        </row>
        <row r="461">
          <cell r="A461" t="str">
            <v>Honoraires</v>
          </cell>
          <cell r="B461" t="str">
            <v>Honoraires</v>
          </cell>
          <cell r="E461">
            <v>75682.312533333359</v>
          </cell>
          <cell r="H461">
            <v>6306.8593777777805</v>
          </cell>
          <cell r="K461">
            <v>6306.8593777777805</v>
          </cell>
          <cell r="N461">
            <v>6306.8593777777805</v>
          </cell>
          <cell r="Q461">
            <v>6306.8593777777805</v>
          </cell>
          <cell r="T461">
            <v>6306.8593777777805</v>
          </cell>
          <cell r="W461">
            <v>6306.8593777777805</v>
          </cell>
          <cell r="Z461">
            <v>6306.8593777777805</v>
          </cell>
          <cell r="AC461">
            <v>6306.8593777777805</v>
          </cell>
          <cell r="AF461">
            <v>6306.8593777777805</v>
          </cell>
          <cell r="AI461">
            <v>6306.8593777777805</v>
          </cell>
          <cell r="AL461">
            <v>6306.8593777777805</v>
          </cell>
          <cell r="AO461">
            <v>6306.8593777777805</v>
          </cell>
        </row>
        <row r="462">
          <cell r="A462" t="str">
            <v>Réparation équipement</v>
          </cell>
          <cell r="B462" t="str">
            <v>Réparation équipement</v>
          </cell>
          <cell r="E462">
            <v>18218.174351666665</v>
          </cell>
          <cell r="H462">
            <v>1518.181195972222</v>
          </cell>
          <cell r="K462">
            <v>1518.181195972222</v>
          </cell>
          <cell r="N462">
            <v>1518.181195972222</v>
          </cell>
          <cell r="Q462">
            <v>1518.181195972222</v>
          </cell>
          <cell r="T462">
            <v>1518.181195972222</v>
          </cell>
          <cell r="W462">
            <v>1518.181195972222</v>
          </cell>
          <cell r="Z462">
            <v>1518.181195972222</v>
          </cell>
          <cell r="AC462">
            <v>1518.181195972222</v>
          </cell>
          <cell r="AF462">
            <v>1518.181195972222</v>
          </cell>
          <cell r="AI462">
            <v>1518.181195972222</v>
          </cell>
          <cell r="AL462">
            <v>1518.181195972222</v>
          </cell>
          <cell r="AO462">
            <v>1518.181195972222</v>
          </cell>
        </row>
        <row r="463">
          <cell r="A463" t="str">
            <v>Location équipement</v>
          </cell>
          <cell r="B463" t="str">
            <v>Location équipement</v>
          </cell>
          <cell r="E463">
            <v>964.01250000000016</v>
          </cell>
          <cell r="H463">
            <v>80.334374999999994</v>
          </cell>
          <cell r="K463">
            <v>80.334374999999994</v>
          </cell>
          <cell r="N463">
            <v>80.334374999999994</v>
          </cell>
          <cell r="Q463">
            <v>80.334374999999994</v>
          </cell>
          <cell r="T463">
            <v>80.334374999999994</v>
          </cell>
          <cell r="W463">
            <v>80.334374999999994</v>
          </cell>
          <cell r="Z463">
            <v>80.334374999999994</v>
          </cell>
          <cell r="AC463">
            <v>80.334374999999994</v>
          </cell>
          <cell r="AF463">
            <v>80.334374999999994</v>
          </cell>
          <cell r="AI463">
            <v>80.334374999999994</v>
          </cell>
          <cell r="AL463">
            <v>80.334374999999994</v>
          </cell>
          <cell r="AO463">
            <v>80.334374999999994</v>
          </cell>
        </row>
        <row r="464">
          <cell r="A464" t="str">
            <v>Dons</v>
          </cell>
          <cell r="B464" t="str">
            <v>Dons</v>
          </cell>
          <cell r="E464">
            <v>0</v>
          </cell>
        </row>
        <row r="465">
          <cell r="A465" t="str">
            <v>[...]</v>
          </cell>
          <cell r="B465" t="str">
            <v>[...]</v>
          </cell>
          <cell r="E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TOTAL DÉPENSES FIXES</v>
          </cell>
          <cell r="B468" t="str">
            <v>TOTAL DÉPENSES FIXES</v>
          </cell>
          <cell r="C468">
            <v>7.1291235586981277E-2</v>
          </cell>
          <cell r="E468">
            <v>594816.37838250003</v>
          </cell>
          <cell r="F468">
            <v>8.8670048311274063E-2</v>
          </cell>
          <cell r="H468">
            <v>49568.031531875007</v>
          </cell>
          <cell r="I468">
            <v>9.8081329154427466E-2</v>
          </cell>
          <cell r="K468">
            <v>49568.031531875007</v>
          </cell>
          <cell r="L468">
            <v>7.2883961374254458E-2</v>
          </cell>
          <cell r="N468">
            <v>49568.031531875007</v>
          </cell>
          <cell r="O468">
            <v>5.7095624104338022E-2</v>
          </cell>
          <cell r="Q468">
            <v>49568.031531875007</v>
          </cell>
          <cell r="R468">
            <v>5.8840683111330852E-2</v>
          </cell>
          <cell r="T468">
            <v>49568.031531875007</v>
          </cell>
          <cell r="U468">
            <v>7.1699074861830914E-2</v>
          </cell>
          <cell r="W468">
            <v>49568.031531875007</v>
          </cell>
          <cell r="X468">
            <v>7.6453276909537085E-2</v>
          </cell>
          <cell r="Z468">
            <v>49568.031531875007</v>
          </cell>
          <cell r="AA468">
            <v>7.3698884676555304E-2</v>
          </cell>
          <cell r="AC468">
            <v>49568.031531875007</v>
          </cell>
          <cell r="AD468">
            <v>7.7048265482950573E-2</v>
          </cell>
          <cell r="AF468">
            <v>49568.031531875007</v>
          </cell>
          <cell r="AG468">
            <v>6.1710711500359477E-2</v>
          </cell>
          <cell r="AI468">
            <v>49568.031531875007</v>
          </cell>
          <cell r="AJ468">
            <v>5.3700530075055326E-2</v>
          </cell>
          <cell r="AL468">
            <v>49568.031531875007</v>
          </cell>
          <cell r="AM468">
            <v>9.7855133822150164E-2</v>
          </cell>
          <cell r="AO468">
            <v>49568.031531875007</v>
          </cell>
        </row>
        <row r="469">
          <cell r="A469">
            <v>0</v>
          </cell>
        </row>
        <row r="470">
          <cell r="A470" t="str">
            <v>TOTAL DES DÉPENSES</v>
          </cell>
          <cell r="B470" t="str">
            <v>TOTAL DES DÉPENSES</v>
          </cell>
          <cell r="C470">
            <v>0.87553180731516578</v>
          </cell>
          <cell r="E470">
            <v>7304974.5105132274</v>
          </cell>
          <cell r="F470">
            <v>1.0053343395255414</v>
          </cell>
          <cell r="H470">
            <v>561998.61385823519</v>
          </cell>
          <cell r="I470">
            <v>1.0443579904663991</v>
          </cell>
          <cell r="K470">
            <v>527794.33403169061</v>
          </cell>
          <cell r="L470">
            <v>0.90937515254532519</v>
          </cell>
          <cell r="N470">
            <v>618461.66681594448</v>
          </cell>
          <cell r="O470">
            <v>0.7692950789287093</v>
          </cell>
          <cell r="Q470">
            <v>667869.79436410603</v>
          </cell>
          <cell r="R470">
            <v>0.80625365448585418</v>
          </cell>
          <cell r="T470">
            <v>679196.84910232457</v>
          </cell>
          <cell r="U470">
            <v>0.8647971664018681</v>
          </cell>
          <cell r="W470">
            <v>597863.96540667047</v>
          </cell>
          <cell r="X470">
            <v>0.91025385720345064</v>
          </cell>
          <cell r="Z470">
            <v>590157.72403397283</v>
          </cell>
          <cell r="AA470">
            <v>0.89355713385763191</v>
          </cell>
          <cell r="AC470">
            <v>600984.23986973648</v>
          </cell>
          <cell r="AD470">
            <v>0.92502810284207293</v>
          </cell>
          <cell r="AF470">
            <v>595105.18351243855</v>
          </cell>
          <cell r="AG470">
            <v>0.79104476261703949</v>
          </cell>
          <cell r="AI470">
            <v>635392.63740781182</v>
          </cell>
          <cell r="AJ470">
            <v>0.74311145004725621</v>
          </cell>
          <cell r="AL470">
            <v>685925.66472169606</v>
          </cell>
          <cell r="AM470">
            <v>1.0743839283312984</v>
          </cell>
          <cell r="AO470">
            <v>544223.83738859987</v>
          </cell>
        </row>
        <row r="471">
          <cell r="A471" t="str">
            <v>Revenus autres</v>
          </cell>
          <cell r="B471" t="str">
            <v>Revenus autres</v>
          </cell>
          <cell r="E471">
            <v>93159.430000000008</v>
          </cell>
          <cell r="H471">
            <v>360</v>
          </cell>
          <cell r="K471">
            <v>19493.39</v>
          </cell>
          <cell r="N471">
            <v>0</v>
          </cell>
          <cell r="Q471">
            <v>2969.34</v>
          </cell>
          <cell r="T471">
            <v>14968.87</v>
          </cell>
          <cell r="W471">
            <v>1758.03</v>
          </cell>
          <cell r="Z471">
            <v>1091.5</v>
          </cell>
          <cell r="AC471">
            <v>26232.22</v>
          </cell>
          <cell r="AF471">
            <v>176.08</v>
          </cell>
          <cell r="AI471">
            <v>0</v>
          </cell>
          <cell r="AL471">
            <v>26110</v>
          </cell>
          <cell r="AO471">
            <v>0</v>
          </cell>
        </row>
        <row r="472">
          <cell r="A472" t="str">
            <v>Holdbacks</v>
          </cell>
          <cell r="B472" t="str">
            <v>Holdbacks</v>
          </cell>
          <cell r="E472">
            <v>777263.49903074617</v>
          </cell>
          <cell r="H472">
            <v>54408.444932152241</v>
          </cell>
          <cell r="K472">
            <v>39973.551378724093</v>
          </cell>
          <cell r="N472">
            <v>71064.091339953928</v>
          </cell>
          <cell r="Q472">
            <v>77726.349903074617</v>
          </cell>
          <cell r="T472">
            <v>85498.984893382076</v>
          </cell>
          <cell r="W472">
            <v>59960.327068086131</v>
          </cell>
          <cell r="Z472">
            <v>62181.079922459692</v>
          </cell>
          <cell r="AC472">
            <v>64401.832776833246</v>
          </cell>
          <cell r="AF472">
            <v>66622.585631206806</v>
          </cell>
          <cell r="AI472">
            <v>76615.973475887848</v>
          </cell>
          <cell r="AL472">
            <v>79947.102757448185</v>
          </cell>
          <cell r="AO472">
            <v>38863.174951537309</v>
          </cell>
        </row>
        <row r="473">
          <cell r="A473" t="str">
            <v>Programme neuf 1</v>
          </cell>
          <cell r="B473" t="str">
            <v>Programme neuf 1</v>
          </cell>
          <cell r="E473">
            <v>54624.175776000004</v>
          </cell>
          <cell r="H473">
            <v>0</v>
          </cell>
          <cell r="K473">
            <v>0</v>
          </cell>
          <cell r="N473">
            <v>10069.275775575905</v>
          </cell>
          <cell r="Q473">
            <v>0</v>
          </cell>
          <cell r="T473">
            <v>0</v>
          </cell>
          <cell r="W473">
            <v>16584.689512713256</v>
          </cell>
          <cell r="Z473">
            <v>0</v>
          </cell>
          <cell r="AC473">
            <v>0</v>
          </cell>
          <cell r="AF473">
            <v>15729.130133089158</v>
          </cell>
          <cell r="AI473">
            <v>0</v>
          </cell>
          <cell r="AL473">
            <v>0</v>
          </cell>
          <cell r="AO473">
            <v>12241.080354621687</v>
          </cell>
        </row>
        <row r="474">
          <cell r="A474" t="str">
            <v>Programme neuf 2</v>
          </cell>
          <cell r="B474" t="str">
            <v>Programme neuf 2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Programme neuf 3</v>
          </cell>
          <cell r="B475" t="str">
            <v>Programme neuf 3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used 1</v>
          </cell>
          <cell r="B476" t="str">
            <v>Programme used 1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Programme used 2</v>
          </cell>
          <cell r="B477" t="str">
            <v>Programme used 2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3</v>
          </cell>
          <cell r="B478" t="str">
            <v>Programme used 3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[...]</v>
          </cell>
          <cell r="B479" t="str">
            <v>[...]</v>
          </cell>
          <cell r="E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</row>
        <row r="482">
          <cell r="A482" t="str">
            <v>Frais administration</v>
          </cell>
          <cell r="B482" t="str">
            <v>Frais administration</v>
          </cell>
          <cell r="E482">
            <v>412946.95881600003</v>
          </cell>
          <cell r="H482">
            <v>28992.471117120003</v>
          </cell>
          <cell r="K482">
            <v>24444.548167680005</v>
          </cell>
          <cell r="N482">
            <v>36035.574520319999</v>
          </cell>
          <cell r="Q482">
            <v>43162.015881600004</v>
          </cell>
          <cell r="T482">
            <v>44892.697469760002</v>
          </cell>
          <cell r="W482">
            <v>33255.372251520006</v>
          </cell>
          <cell r="Z482">
            <v>32518.652705280001</v>
          </cell>
          <cell r="AC482">
            <v>34654.733159039999</v>
          </cell>
          <cell r="AF482">
            <v>34636.213612800006</v>
          </cell>
          <cell r="AI482">
            <v>38862.075654720007</v>
          </cell>
          <cell r="AL482">
            <v>39193.396335360005</v>
          </cell>
          <cell r="AO482">
            <v>22299.207940800003</v>
          </cell>
        </row>
        <row r="483">
          <cell r="A483" t="str">
            <v>TOTAL AUTRES REVENUS</v>
          </cell>
          <cell r="B483" t="str">
            <v>TOTAL AUTRES REVENUS</v>
          </cell>
          <cell r="C483">
            <v>0.1603641955238366</v>
          </cell>
          <cell r="E483">
            <v>1337994.0636227462</v>
          </cell>
          <cell r="F483">
            <v>0.14983617955273273</v>
          </cell>
          <cell r="H483">
            <v>83760.916049272244</v>
          </cell>
          <cell r="I483">
            <v>0.16603746753079585</v>
          </cell>
          <cell r="K483">
            <v>83911.489546404104</v>
          </cell>
          <cell r="L483">
            <v>0.17228315009761941</v>
          </cell>
          <cell r="N483">
            <v>117168.94163584983</v>
          </cell>
          <cell r="O483">
            <v>0.1426672150044925</v>
          </cell>
          <cell r="Q483">
            <v>123857.70578467462</v>
          </cell>
          <cell r="R483">
            <v>0.1725530333595662</v>
          </cell>
          <cell r="T483">
            <v>145360.55236314208</v>
          </cell>
          <cell r="U483">
            <v>0.16136681599273087</v>
          </cell>
          <cell r="W483">
            <v>111558.4188323194</v>
          </cell>
          <cell r="X483">
            <v>0.14774751805273956</v>
          </cell>
          <cell r="Z483">
            <v>95791.232627739693</v>
          </cell>
          <cell r="AA483">
            <v>0.1862822367681839</v>
          </cell>
          <cell r="AC483">
            <v>125288.78593587324</v>
          </cell>
          <cell r="AD483">
            <v>0.18211906788609014</v>
          </cell>
          <cell r="AF483">
            <v>117164.00937709596</v>
          </cell>
          <cell r="AG483">
            <v>0.14376670515835827</v>
          </cell>
          <cell r="AI483">
            <v>115478.04913060786</v>
          </cell>
          <cell r="AJ483">
            <v>0.15736006764630728</v>
          </cell>
          <cell r="AL483">
            <v>145250.4990928082</v>
          </cell>
          <cell r="AM483">
            <v>0.14491004579073199</v>
          </cell>
          <cell r="AO483">
            <v>73403.463246959</v>
          </cell>
        </row>
        <row r="484">
          <cell r="A484">
            <v>0</v>
          </cell>
        </row>
        <row r="485">
          <cell r="A485" t="str">
            <v>BAIIA OPÉRATIONNEL</v>
          </cell>
          <cell r="B485" t="str">
            <v>BAIIA OPÉRATIONNEL</v>
          </cell>
          <cell r="C485" t="str">
            <v>%vte</v>
          </cell>
          <cell r="D485">
            <v>4.0737148673548156E-2</v>
          </cell>
          <cell r="E485">
            <v>2376490.8576119388</v>
          </cell>
          <cell r="F485" t="str">
            <v>%vte</v>
          </cell>
          <cell r="G485">
            <v>1.9726060717545343E-2</v>
          </cell>
          <cell r="H485">
            <v>80778.931547859174</v>
          </cell>
          <cell r="I485" t="str">
            <v>%vte</v>
          </cell>
          <cell r="J485">
            <v>1.7566477351254758E-2</v>
          </cell>
          <cell r="K485">
            <v>61493.988793868397</v>
          </cell>
          <cell r="L485" t="str">
            <v>%vte</v>
          </cell>
          <cell r="M485">
            <v>3.5751156098449463E-2</v>
          </cell>
          <cell r="N485">
            <v>178802.46445080853</v>
          </cell>
          <cell r="O485" t="str">
            <v>%vte</v>
          </cell>
          <cell r="P485">
            <v>5.4018811931204162E-2</v>
          </cell>
          <cell r="Q485">
            <v>324146.06380879891</v>
          </cell>
          <cell r="R485" t="str">
            <v>%vte</v>
          </cell>
          <cell r="S485">
            <v>5.0179650428514688E-2</v>
          </cell>
          <cell r="T485">
            <v>308574.58142973151</v>
          </cell>
          <cell r="U485" t="str">
            <v>%vte</v>
          </cell>
          <cell r="V485">
            <v>4.3145790468237473E-2</v>
          </cell>
          <cell r="W485">
            <v>205028.7785532191</v>
          </cell>
          <cell r="X485" t="str">
            <v>%vte</v>
          </cell>
          <cell r="Y485">
            <v>3.3516899670356586E-2</v>
          </cell>
          <cell r="Z485">
            <v>153977.61542029449</v>
          </cell>
          <cell r="AA485" t="str">
            <v>%vte</v>
          </cell>
          <cell r="AB485">
            <v>4.0622236797979341E-2</v>
          </cell>
          <cell r="AC485">
            <v>196879.60265506402</v>
          </cell>
          <cell r="AD485" t="str">
            <v>%vte</v>
          </cell>
          <cell r="AE485">
            <v>3.4552889647799151E-2</v>
          </cell>
          <cell r="AF485">
            <v>165396.23548932362</v>
          </cell>
          <cell r="AG485" t="str">
            <v>%vte</v>
          </cell>
          <cell r="AH485">
            <v>5.1085793278118699E-2</v>
          </cell>
          <cell r="AI485">
            <v>283317.627439289</v>
          </cell>
          <cell r="AJ485" t="str">
            <v>%vte</v>
          </cell>
          <cell r="AK485">
            <v>6.6095956803875103E-2</v>
          </cell>
          <cell r="AL485">
            <v>382370.31385884772</v>
          </cell>
          <cell r="AM485" t="str">
            <v>%vte</v>
          </cell>
          <cell r="AN485">
            <v>1.0892272581057729E-2</v>
          </cell>
          <cell r="AO485">
            <v>35724.654164834676</v>
          </cell>
        </row>
        <row r="487">
          <cell r="B487" t="str">
            <v>Budget 2023</v>
          </cell>
          <cell r="C487" t="str">
            <v>CALCUL DU PROFIT NET</v>
          </cell>
        </row>
        <row r="491">
          <cell r="B491" t="str">
            <v>BAIIA OPÉRATIONNEL</v>
          </cell>
          <cell r="C491" t="str">
            <v>%vte</v>
          </cell>
          <cell r="D491">
            <v>4.0737148673548156E-2</v>
          </cell>
          <cell r="E491">
            <v>2376490.8576119388</v>
          </cell>
          <cell r="F491" t="str">
            <v>%vte</v>
          </cell>
          <cell r="G491">
            <v>1.9726060717545343E-2</v>
          </cell>
          <cell r="H491">
            <v>80778.931547859174</v>
          </cell>
          <cell r="I491" t="str">
            <v>%vte</v>
          </cell>
          <cell r="J491">
            <v>1.7566477351254758E-2</v>
          </cell>
          <cell r="K491">
            <v>61493.988793868397</v>
          </cell>
          <cell r="L491" t="str">
            <v>%vte</v>
          </cell>
          <cell r="M491">
            <v>3.5751156098449463E-2</v>
          </cell>
          <cell r="N491">
            <v>178802.46445080853</v>
          </cell>
          <cell r="O491" t="str">
            <v>%vte</v>
          </cell>
          <cell r="P491">
            <v>5.4018811931204162E-2</v>
          </cell>
          <cell r="Q491">
            <v>324146.06380879891</v>
          </cell>
          <cell r="R491" t="str">
            <v>%vte</v>
          </cell>
          <cell r="S491">
            <v>5.0179650428514688E-2</v>
          </cell>
          <cell r="T491">
            <v>308574.58142973151</v>
          </cell>
          <cell r="U491" t="str">
            <v>%vte</v>
          </cell>
          <cell r="V491">
            <v>4.3145790468237473E-2</v>
          </cell>
          <cell r="W491">
            <v>205028.7785532191</v>
          </cell>
          <cell r="X491" t="str">
            <v>%vte</v>
          </cell>
          <cell r="Y491">
            <v>3.3516899670356586E-2</v>
          </cell>
          <cell r="Z491">
            <v>153977.61542029449</v>
          </cell>
          <cell r="AA491" t="str">
            <v>%vte</v>
          </cell>
          <cell r="AB491">
            <v>4.0622236797979341E-2</v>
          </cell>
          <cell r="AC491">
            <v>196879.60265506402</v>
          </cell>
          <cell r="AD491" t="str">
            <v>%vte</v>
          </cell>
          <cell r="AE491">
            <v>3.4552889647799151E-2</v>
          </cell>
          <cell r="AF491">
            <v>165396.23548932362</v>
          </cell>
          <cell r="AG491" t="str">
            <v>%vte</v>
          </cell>
          <cell r="AH491">
            <v>5.1085793278118699E-2</v>
          </cell>
          <cell r="AI491">
            <v>283317.627439289</v>
          </cell>
          <cell r="AJ491" t="str">
            <v>%vte</v>
          </cell>
          <cell r="AK491">
            <v>6.6095956803875103E-2</v>
          </cell>
          <cell r="AL491">
            <v>382370.31385884772</v>
          </cell>
          <cell r="AM491" t="str">
            <v>%vte</v>
          </cell>
          <cell r="AN491">
            <v>1.0892272581057729E-2</v>
          </cell>
          <cell r="AO491">
            <v>35724.654164834676</v>
          </cell>
        </row>
        <row r="493">
          <cell r="A493" t="str">
            <v>Amortissement</v>
          </cell>
          <cell r="B493" t="str">
            <v>Amortissement</v>
          </cell>
          <cell r="E493">
            <v>55968.44999999999</v>
          </cell>
          <cell r="H493">
            <v>4664.0375000000004</v>
          </cell>
          <cell r="K493">
            <v>4664.0375000000004</v>
          </cell>
          <cell r="N493">
            <v>4664.0375000000004</v>
          </cell>
          <cell r="Q493">
            <v>4664.0375000000004</v>
          </cell>
          <cell r="T493">
            <v>4664.0375000000004</v>
          </cell>
          <cell r="W493">
            <v>4664.0375000000004</v>
          </cell>
          <cell r="Z493">
            <v>4664.0375000000004</v>
          </cell>
          <cell r="AC493">
            <v>4664.0375000000004</v>
          </cell>
          <cell r="AF493">
            <v>4664.0375000000004</v>
          </cell>
          <cell r="AI493">
            <v>4664.0375000000004</v>
          </cell>
          <cell r="AL493">
            <v>4664.0375000000004</v>
          </cell>
          <cell r="AO493">
            <v>4664.0375000000004</v>
          </cell>
        </row>
        <row r="494">
          <cell r="A494" t="str">
            <v>Intérêts sur marge</v>
          </cell>
          <cell r="B494" t="str">
            <v>Intérêts sur marge</v>
          </cell>
          <cell r="E494">
            <v>0</v>
          </cell>
          <cell r="H494">
            <v>0</v>
          </cell>
          <cell r="K494">
            <v>0</v>
          </cell>
          <cell r="N494">
            <v>0</v>
          </cell>
          <cell r="Q494">
            <v>0</v>
          </cell>
          <cell r="T494">
            <v>0</v>
          </cell>
          <cell r="W494">
            <v>0</v>
          </cell>
          <cell r="Z494">
            <v>0</v>
          </cell>
          <cell r="AC494">
            <v>0</v>
          </cell>
          <cell r="AF494">
            <v>0</v>
          </cell>
          <cell r="AI494">
            <v>0</v>
          </cell>
          <cell r="AL494">
            <v>0</v>
          </cell>
          <cell r="AO494">
            <v>0</v>
          </cell>
        </row>
        <row r="495">
          <cell r="A495" t="str">
            <v>Intérêts sur prêt</v>
          </cell>
          <cell r="B495" t="str">
            <v>Intérêts sur prêt</v>
          </cell>
          <cell r="E495">
            <v>5121</v>
          </cell>
          <cell r="H495">
            <v>450.06</v>
          </cell>
          <cell r="K495">
            <v>432.5</v>
          </cell>
          <cell r="N495">
            <v>442.84000000000003</v>
          </cell>
          <cell r="Q495">
            <v>434.49</v>
          </cell>
          <cell r="T495">
            <v>435.12</v>
          </cell>
          <cell r="W495">
            <v>427.02</v>
          </cell>
          <cell r="Z495">
            <v>427.39</v>
          </cell>
          <cell r="AC495">
            <v>423.53</v>
          </cell>
          <cell r="AF495">
            <v>415.81</v>
          </cell>
          <cell r="AI495">
            <v>415.81</v>
          </cell>
          <cell r="AL495">
            <v>408.34000000000003</v>
          </cell>
          <cell r="AO495">
            <v>408.09000000000003</v>
          </cell>
        </row>
        <row r="496">
          <cell r="A496" t="str">
            <v>Intérêts sur avance</v>
          </cell>
          <cell r="B496" t="str">
            <v>Intérêts sur avance</v>
          </cell>
          <cell r="E496">
            <v>0</v>
          </cell>
        </row>
        <row r="497">
          <cell r="A497" t="str">
            <v>[...]</v>
          </cell>
          <cell r="B497" t="str">
            <v>[...]</v>
          </cell>
        </row>
        <row r="498">
          <cell r="A498" t="str">
            <v>[...]</v>
          </cell>
          <cell r="B498" t="str">
            <v>[...]</v>
          </cell>
        </row>
        <row r="499">
          <cell r="A499" t="str">
            <v>[...]</v>
          </cell>
          <cell r="B499" t="str">
            <v>[...]</v>
          </cell>
        </row>
        <row r="500">
          <cell r="B500" t="str">
            <v>Profit Net</v>
          </cell>
          <cell r="C500" t="str">
            <v>%vte</v>
          </cell>
          <cell r="D500">
            <v>3.9689970225937371E-2</v>
          </cell>
          <cell r="E500">
            <v>2315401.4076119387</v>
          </cell>
          <cell r="F500" t="str">
            <v>%vte</v>
          </cell>
          <cell r="G500">
            <v>1.8477207880952945E-2</v>
          </cell>
          <cell r="H500">
            <v>75664.834047859171</v>
          </cell>
          <cell r="I500" t="str">
            <v>%vte</v>
          </cell>
          <cell r="J500">
            <v>1.6110591787160445E-2</v>
          </cell>
          <cell r="K500">
            <v>56397.451293868398</v>
          </cell>
          <cell r="L500" t="str">
            <v>%vte</v>
          </cell>
          <cell r="M500">
            <v>3.4730047271795739E-2</v>
          </cell>
          <cell r="N500">
            <v>173695.58695080853</v>
          </cell>
          <cell r="O500" t="str">
            <v>%vte</v>
          </cell>
          <cell r="P500">
            <v>5.3169144361861015E-2</v>
          </cell>
          <cell r="Q500">
            <v>319047.53630879894</v>
          </cell>
          <cell r="R500" t="str">
            <v>%vte</v>
          </cell>
          <cell r="S500">
            <v>4.9350437796533184E-2</v>
          </cell>
          <cell r="T500">
            <v>303475.42392973154</v>
          </cell>
          <cell r="U500" t="str">
            <v>%vte</v>
          </cell>
          <cell r="V500">
            <v>4.207443989147084E-2</v>
          </cell>
          <cell r="W500">
            <v>199937.72105321911</v>
          </cell>
          <cell r="X500" t="str">
            <v>%vte</v>
          </cell>
          <cell r="Y500">
            <v>3.2408629067317334E-2</v>
          </cell>
          <cell r="Z500">
            <v>148886.18792029447</v>
          </cell>
          <cell r="AA500" t="str">
            <v>%vte</v>
          </cell>
          <cell r="AB500">
            <v>3.9572517228640358E-2</v>
          </cell>
          <cell r="AC500">
            <v>191792.03515506402</v>
          </cell>
          <cell r="AD500" t="str">
            <v>%vte</v>
          </cell>
          <cell r="AE500">
            <v>3.3491659870858559E-2</v>
          </cell>
          <cell r="AF500">
            <v>160316.38798932362</v>
          </cell>
          <cell r="AG500" t="str">
            <v>%vte</v>
          </cell>
          <cell r="AH500">
            <v>5.0169831777188173E-2</v>
          </cell>
          <cell r="AI500">
            <v>278237.77993928903</v>
          </cell>
          <cell r="AJ500" t="str">
            <v>%vte</v>
          </cell>
          <cell r="AK500">
            <v>6.5219153265573454E-2</v>
          </cell>
          <cell r="AL500">
            <v>377297.93635884771</v>
          </cell>
          <cell r="AM500" t="str">
            <v>%vte</v>
          </cell>
          <cell r="AN500">
            <v>9.3458056778102545E-3</v>
          </cell>
          <cell r="AO500">
            <v>30652.526664834677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C72">
            <v>-189770.1</v>
          </cell>
          <cell r="O72">
            <v>270896.94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1500000</v>
          </cell>
          <cell r="O73">
            <v>0</v>
          </cell>
          <cell r="U73" t="str">
            <v>Bilan</v>
          </cell>
          <cell r="V73" t="str">
            <v>Encaisse</v>
          </cell>
          <cell r="W73" t="str">
            <v>$</v>
          </cell>
          <cell r="X73">
            <v>0</v>
          </cell>
        </row>
        <row r="74">
          <cell r="C74">
            <v>198.85</v>
          </cell>
          <cell r="O74">
            <v>0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1331456.83</v>
          </cell>
          <cell r="O75">
            <v>71125.53</v>
          </cell>
          <cell r="U75" t="str">
            <v>Bilan</v>
          </cell>
          <cell r="V75" t="str">
            <v>Recevables Contrats en Transit</v>
          </cell>
          <cell r="W75" t="str">
            <v>$</v>
          </cell>
          <cell r="X75">
            <v>0</v>
          </cell>
        </row>
        <row r="76">
          <cell r="C76">
            <v>-422209.52</v>
          </cell>
          <cell r="O76">
            <v>250898.37</v>
          </cell>
          <cell r="U76" t="str">
            <v>Bilan</v>
          </cell>
          <cell r="V76" t="str">
            <v>Recevables Véhicules</v>
          </cell>
          <cell r="W76" t="str">
            <v>$</v>
          </cell>
          <cell r="X76">
            <v>0</v>
          </cell>
        </row>
        <row r="77">
          <cell r="C77">
            <v>526695.98</v>
          </cell>
          <cell r="O77">
            <v>-266838.25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180836.62</v>
          </cell>
          <cell r="O78">
            <v>-51380.25</v>
          </cell>
          <cell r="U78" t="str">
            <v>Bilan</v>
          </cell>
          <cell r="V78" t="str">
            <v>Recevables Pièces et Service</v>
          </cell>
          <cell r="W78" t="str">
            <v>$</v>
          </cell>
          <cell r="X78">
            <v>0</v>
          </cell>
        </row>
        <row r="79">
          <cell r="C79">
            <v>35916.32</v>
          </cell>
          <cell r="O79">
            <v>4105.12</v>
          </cell>
          <cell r="U79" t="str">
            <v>Bilan</v>
          </cell>
          <cell r="V79" t="str">
            <v>Recevables Carrosserie</v>
          </cell>
          <cell r="W79" t="str">
            <v>$</v>
          </cell>
          <cell r="X79">
            <v>0</v>
          </cell>
        </row>
        <row r="80">
          <cell r="C80">
            <v>23487.39</v>
          </cell>
          <cell r="O80">
            <v>502.64</v>
          </cell>
          <cell r="U80" t="str">
            <v>Bilan</v>
          </cell>
          <cell r="V80" t="str">
            <v>Recevables Intercos</v>
          </cell>
          <cell r="W80" t="str">
            <v>$</v>
          </cell>
          <cell r="X80">
            <v>0</v>
          </cell>
        </row>
        <row r="81">
          <cell r="C81">
            <v>118500</v>
          </cell>
          <cell r="O81">
            <v>-7750</v>
          </cell>
          <cell r="U81" t="str">
            <v>Bilan</v>
          </cell>
          <cell r="V81" t="str">
            <v>Recevables Intercos</v>
          </cell>
          <cell r="W81" t="str">
            <v>$</v>
          </cell>
          <cell r="X81">
            <v>0</v>
          </cell>
        </row>
        <row r="82">
          <cell r="C82">
            <v>9719</v>
          </cell>
          <cell r="O82">
            <v>-9719</v>
          </cell>
          <cell r="U82" t="str">
            <v>Bilan</v>
          </cell>
          <cell r="V82" t="str">
            <v>Recevables Manufacturier</v>
          </cell>
          <cell r="W82" t="str">
            <v>$</v>
          </cell>
          <cell r="X82">
            <v>0</v>
          </cell>
        </row>
        <row r="83">
          <cell r="C83">
            <v>16287.69</v>
          </cell>
          <cell r="O83">
            <v>88229.09</v>
          </cell>
          <cell r="U83" t="str">
            <v>Bilan</v>
          </cell>
          <cell r="V83" t="str">
            <v>Recevables Garantie Manufacturier</v>
          </cell>
          <cell r="W83" t="str">
            <v>$</v>
          </cell>
          <cell r="X83">
            <v>0</v>
          </cell>
        </row>
        <row r="84">
          <cell r="C84">
            <v>21056.57</v>
          </cell>
          <cell r="O84">
            <v>952.49</v>
          </cell>
          <cell r="U84" t="str">
            <v>Bilan</v>
          </cell>
          <cell r="V84" t="str">
            <v>recevables Autres</v>
          </cell>
          <cell r="W84" t="str">
            <v>$</v>
          </cell>
          <cell r="X84">
            <v>0</v>
          </cell>
        </row>
        <row r="85">
          <cell r="C85">
            <v>-58279.01</v>
          </cell>
          <cell r="O85">
            <v>1000</v>
          </cell>
          <cell r="U85" t="str">
            <v>Bilan</v>
          </cell>
          <cell r="V85" t="str">
            <v>Recevables Manufacturier</v>
          </cell>
          <cell r="W85" t="str">
            <v>$</v>
          </cell>
          <cell r="X85">
            <v>0</v>
          </cell>
        </row>
        <row r="86">
          <cell r="C86">
            <v>-380.37</v>
          </cell>
          <cell r="O86">
            <v>-126.79</v>
          </cell>
          <cell r="U86" t="str">
            <v>Bilan</v>
          </cell>
          <cell r="V86" t="str">
            <v>Recevables Autres</v>
          </cell>
          <cell r="W86" t="str">
            <v>$</v>
          </cell>
          <cell r="X86">
            <v>0</v>
          </cell>
        </row>
        <row r="87">
          <cell r="C87">
            <v>-2655.24</v>
          </cell>
          <cell r="O87">
            <v>0</v>
          </cell>
          <cell r="U87" t="str">
            <v>Bilan</v>
          </cell>
          <cell r="V87" t="str">
            <v>Recevables Pièces et Service</v>
          </cell>
          <cell r="W87" t="str">
            <v>$</v>
          </cell>
          <cell r="X87">
            <v>0</v>
          </cell>
        </row>
        <row r="88">
          <cell r="C88">
            <v>1501135.37</v>
          </cell>
          <cell r="O88">
            <v>-491779.9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-40919.06</v>
          </cell>
          <cell r="O89">
            <v>-3600</v>
          </cell>
          <cell r="U89" t="str">
            <v>Bilan</v>
          </cell>
          <cell r="V89" t="str">
            <v>Inventaire Véhicules Neufs</v>
          </cell>
          <cell r="W89" t="str">
            <v>$</v>
          </cell>
          <cell r="X89">
            <v>0</v>
          </cell>
        </row>
        <row r="90">
          <cell r="C90">
            <v>-20226</v>
          </cell>
          <cell r="O90">
            <v>-4400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2387520.21</v>
          </cell>
          <cell r="O91">
            <v>-65475.79</v>
          </cell>
          <cell r="U91" t="str">
            <v>Bilan</v>
          </cell>
          <cell r="V91" t="str">
            <v>Inventaire Véhicules Usagés</v>
          </cell>
          <cell r="W91" t="str">
            <v>$</v>
          </cell>
          <cell r="X91">
            <v>0</v>
          </cell>
        </row>
        <row r="92">
          <cell r="C92">
            <v>4247.26</v>
          </cell>
          <cell r="O92">
            <v>9052.3700000000008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C93">
            <v>-8098.36</v>
          </cell>
          <cell r="O93">
            <v>19980.05</v>
          </cell>
          <cell r="U93" t="str">
            <v>Bilan</v>
          </cell>
          <cell r="V93" t="str">
            <v>Inventaire Véhicules Neufs</v>
          </cell>
          <cell r="W93" t="str">
            <v>$</v>
          </cell>
          <cell r="X93">
            <v>0</v>
          </cell>
        </row>
        <row r="94">
          <cell r="C94">
            <v>34545.629999999997</v>
          </cell>
          <cell r="O94">
            <v>26418.02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-38824.400000000001</v>
          </cell>
          <cell r="O95">
            <v>-15399.87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244583.86</v>
          </cell>
          <cell r="O96">
            <v>19289.8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119620.35</v>
          </cell>
          <cell r="O97">
            <v>11177.03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8298.6</v>
          </cell>
          <cell r="O98">
            <v>1337.63</v>
          </cell>
          <cell r="U98" t="str">
            <v>Bilan</v>
          </cell>
          <cell r="V98" t="str">
            <v>Travaux en Cours</v>
          </cell>
          <cell r="W98" t="str">
            <v>$</v>
          </cell>
          <cell r="X98">
            <v>0</v>
          </cell>
        </row>
        <row r="99">
          <cell r="C99">
            <v>5058.7</v>
          </cell>
          <cell r="O99">
            <v>12336</v>
          </cell>
          <cell r="U99" t="str">
            <v>Bilan</v>
          </cell>
          <cell r="V99" t="str">
            <v>Sous-Traitance</v>
          </cell>
          <cell r="W99" t="str">
            <v>$</v>
          </cell>
          <cell r="X99">
            <v>0</v>
          </cell>
        </row>
        <row r="100">
          <cell r="C100">
            <v>1136.18</v>
          </cell>
          <cell r="O100">
            <v>-3642.16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47.1</v>
          </cell>
          <cell r="O101">
            <v>0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2180.5700000000002</v>
          </cell>
          <cell r="O102">
            <v>501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134.32</v>
          </cell>
          <cell r="O103">
            <v>69.95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-15063.94</v>
          </cell>
          <cell r="O104">
            <v>1693.12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1885</v>
          </cell>
          <cell r="O105">
            <v>-119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13815.08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4199.5</v>
          </cell>
          <cell r="O107">
            <v>0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-130</v>
          </cell>
          <cell r="O108">
            <v>0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2717.15</v>
          </cell>
          <cell r="O109">
            <v>-446.29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1834.58</v>
          </cell>
          <cell r="O110">
            <v>0</v>
          </cell>
          <cell r="U110" t="str">
            <v>Bilan</v>
          </cell>
          <cell r="V110" t="str">
            <v>Autres Courus</v>
          </cell>
          <cell r="W110" t="str">
            <v>$</v>
          </cell>
          <cell r="X110">
            <v>0</v>
          </cell>
        </row>
        <row r="111">
          <cell r="C111">
            <v>5453.5</v>
          </cell>
          <cell r="O111">
            <v>0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-29952</v>
          </cell>
          <cell r="O112">
            <v>0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7022.31</v>
          </cell>
          <cell r="O113">
            <v>15370.47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301.08999999999997</v>
          </cell>
          <cell r="O114">
            <v>-303.79000000000002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2552.5</v>
          </cell>
          <cell r="O115">
            <v>-510.5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34704.93</v>
          </cell>
          <cell r="O116">
            <v>60053.440000000002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144370.28</v>
          </cell>
          <cell r="O117">
            <v>0</v>
          </cell>
          <cell r="U117" t="str">
            <v>Bilan</v>
          </cell>
          <cell r="V117" t="str">
            <v>Améliorations Locatives</v>
          </cell>
          <cell r="W117" t="str">
            <v>$</v>
          </cell>
          <cell r="X117">
            <v>0</v>
          </cell>
        </row>
        <row r="118">
          <cell r="C118">
            <v>-102925.02</v>
          </cell>
          <cell r="O118">
            <v>-225</v>
          </cell>
          <cell r="U118" t="str">
            <v>Bilan</v>
          </cell>
          <cell r="V118" t="str">
            <v>Améliorations Locatives</v>
          </cell>
          <cell r="W118" t="str">
            <v>$</v>
          </cell>
          <cell r="X118">
            <v>0</v>
          </cell>
        </row>
        <row r="119">
          <cell r="C119">
            <v>10527.65</v>
          </cell>
          <cell r="O119">
            <v>0</v>
          </cell>
          <cell r="U119" t="str">
            <v>Bilan</v>
          </cell>
          <cell r="V119" t="str">
            <v>Améliorations Locatives</v>
          </cell>
          <cell r="W119" t="str">
            <v>$</v>
          </cell>
          <cell r="X119">
            <v>0</v>
          </cell>
        </row>
        <row r="120">
          <cell r="C120">
            <v>74508.600000000006</v>
          </cell>
          <cell r="O120">
            <v>13454</v>
          </cell>
          <cell r="U120" t="str">
            <v>Bilan</v>
          </cell>
          <cell r="V120" t="str">
            <v>Améliorations Locatives</v>
          </cell>
          <cell r="W120" t="str">
            <v>$</v>
          </cell>
          <cell r="X120">
            <v>0</v>
          </cell>
        </row>
        <row r="121">
          <cell r="C121">
            <v>981974.53</v>
          </cell>
          <cell r="O121">
            <v>0</v>
          </cell>
          <cell r="U121" t="str">
            <v>Bilan</v>
          </cell>
          <cell r="V121" t="str">
            <v>Équipements Service</v>
          </cell>
          <cell r="W121" t="str">
            <v>$</v>
          </cell>
          <cell r="X121">
            <v>0</v>
          </cell>
        </row>
        <row r="122">
          <cell r="C122">
            <v>-829593.08</v>
          </cell>
          <cell r="O122">
            <v>-2612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47461.59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-47545.51</v>
          </cell>
          <cell r="O124">
            <v>-8.5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440156.49</v>
          </cell>
          <cell r="O125">
            <v>0</v>
          </cell>
          <cell r="U125" t="str">
            <v>Bilan</v>
          </cell>
          <cell r="V125" t="str">
            <v>Mobilier</v>
          </cell>
          <cell r="W125" t="str">
            <v>$</v>
          </cell>
          <cell r="X125">
            <v>0</v>
          </cell>
        </row>
        <row r="126">
          <cell r="C126">
            <v>-410875.7</v>
          </cell>
          <cell r="O126">
            <v>-497</v>
          </cell>
          <cell r="U126" t="str">
            <v>Bilan</v>
          </cell>
          <cell r="V126" t="str">
            <v>Mobilier</v>
          </cell>
          <cell r="W126" t="str">
            <v>$</v>
          </cell>
          <cell r="X126">
            <v>0</v>
          </cell>
        </row>
        <row r="127">
          <cell r="C127">
            <v>3987.88</v>
          </cell>
          <cell r="O127">
            <v>0</v>
          </cell>
          <cell r="U127" t="str">
            <v>Bilan</v>
          </cell>
          <cell r="V127" t="str">
            <v>Équipements Service</v>
          </cell>
          <cell r="W127" t="str">
            <v>$</v>
          </cell>
          <cell r="X127">
            <v>0</v>
          </cell>
        </row>
        <row r="128">
          <cell r="C128">
            <v>-3987.88</v>
          </cell>
          <cell r="O128">
            <v>0</v>
          </cell>
          <cell r="U128" t="str">
            <v>Bilan</v>
          </cell>
          <cell r="V128" t="str">
            <v>Équipements Service</v>
          </cell>
          <cell r="W128" t="str">
            <v>$</v>
          </cell>
          <cell r="X128">
            <v>0</v>
          </cell>
        </row>
        <row r="129">
          <cell r="C129">
            <v>137876.67000000001</v>
          </cell>
          <cell r="O129">
            <v>0</v>
          </cell>
          <cell r="U129" t="str">
            <v>Bilan</v>
          </cell>
          <cell r="V129" t="str">
            <v>Équipements Informatique</v>
          </cell>
          <cell r="W129" t="str">
            <v>$</v>
          </cell>
          <cell r="X129">
            <v>0</v>
          </cell>
        </row>
        <row r="130">
          <cell r="C130">
            <v>-118759.43</v>
          </cell>
          <cell r="O130">
            <v>-972</v>
          </cell>
          <cell r="U130" t="str">
            <v>Bilan</v>
          </cell>
          <cell r="V130" t="str">
            <v>Équipements Informatique</v>
          </cell>
          <cell r="W130" t="str">
            <v>$</v>
          </cell>
          <cell r="X130">
            <v>0</v>
          </cell>
        </row>
        <row r="131">
          <cell r="C131">
            <v>119393.66</v>
          </cell>
          <cell r="O131">
            <v>0</v>
          </cell>
          <cell r="U131" t="str">
            <v>Bilan</v>
          </cell>
          <cell r="V131" t="str">
            <v>Enseigne</v>
          </cell>
          <cell r="W131" t="str">
            <v>$</v>
          </cell>
          <cell r="X131">
            <v>0</v>
          </cell>
        </row>
        <row r="132">
          <cell r="C132">
            <v>-119393.65</v>
          </cell>
          <cell r="O132">
            <v>0</v>
          </cell>
          <cell r="U132" t="str">
            <v>Bilan</v>
          </cell>
          <cell r="V132" t="str">
            <v>Enseigne</v>
          </cell>
          <cell r="W132" t="str">
            <v>$</v>
          </cell>
          <cell r="X132">
            <v>0</v>
          </cell>
        </row>
        <row r="133">
          <cell r="C133">
            <v>7673600</v>
          </cell>
          <cell r="O133">
            <v>-500000</v>
          </cell>
          <cell r="U133" t="str">
            <v>Bilan</v>
          </cell>
          <cell r="V133" t="str">
            <v>Avances à Recevoir Long Terme</v>
          </cell>
          <cell r="W133" t="str">
            <v>$</v>
          </cell>
          <cell r="X133">
            <v>0</v>
          </cell>
        </row>
        <row r="134">
          <cell r="C134">
            <v>11306.62</v>
          </cell>
          <cell r="O134">
            <v>-1352.35</v>
          </cell>
          <cell r="U134" t="str">
            <v>Bilan</v>
          </cell>
          <cell r="V134" t="str">
            <v>Recevables Autres</v>
          </cell>
          <cell r="W134" t="str">
            <v>$</v>
          </cell>
          <cell r="X134">
            <v>0</v>
          </cell>
        </row>
        <row r="135">
          <cell r="C135">
            <v>-2542336.9</v>
          </cell>
          <cell r="O135">
            <v>703410.06</v>
          </cell>
          <cell r="U135" t="str">
            <v>Bilan</v>
          </cell>
          <cell r="V135" t="str">
            <v>Effet à Payer Véhicules Neufs</v>
          </cell>
          <cell r="W135" t="str">
            <v>$</v>
          </cell>
          <cell r="X135">
            <v>0</v>
          </cell>
        </row>
        <row r="136">
          <cell r="C136">
            <v>-808370.74</v>
          </cell>
          <cell r="O136">
            <v>124014.57</v>
          </cell>
          <cell r="U136" t="str">
            <v>Bilan</v>
          </cell>
          <cell r="V136" t="str">
            <v>Effet à Payer Véhicules Usagés</v>
          </cell>
          <cell r="W136" t="str">
            <v>$</v>
          </cell>
          <cell r="X136">
            <v>0</v>
          </cell>
        </row>
        <row r="137">
          <cell r="C137">
            <v>-661.41</v>
          </cell>
          <cell r="O137">
            <v>-393.11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-105222.14</v>
          </cell>
          <cell r="O138">
            <v>24132.85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57577.26</v>
          </cell>
          <cell r="O139">
            <v>564.38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-246498.59</v>
          </cell>
          <cell r="O140">
            <v>-21295.09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218057.52</v>
          </cell>
          <cell r="O141">
            <v>-15190.62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-945</v>
          </cell>
          <cell r="O142">
            <v>30.39</v>
          </cell>
          <cell r="U142" t="str">
            <v>Bilan</v>
          </cell>
          <cell r="V142" t="str">
            <v>Taxes de Vente à Payer</v>
          </cell>
          <cell r="W142" t="str">
            <v>$</v>
          </cell>
          <cell r="X142">
            <v>0</v>
          </cell>
        </row>
        <row r="143">
          <cell r="C143">
            <v>-315641.3</v>
          </cell>
          <cell r="O143">
            <v>-52931.93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-11470</v>
          </cell>
          <cell r="O144">
            <v>-1376.23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-68817.63</v>
          </cell>
          <cell r="O145">
            <v>24360.44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-12734.56</v>
          </cell>
          <cell r="O146">
            <v>-426.7</v>
          </cell>
          <cell r="U146" t="str">
            <v>Bilan</v>
          </cell>
          <cell r="V146" t="str">
            <v>Autres Comptes à Payer</v>
          </cell>
          <cell r="W146" t="str">
            <v>$</v>
          </cell>
          <cell r="X146">
            <v>0</v>
          </cell>
        </row>
        <row r="147">
          <cell r="C147">
            <v>-334739.3</v>
          </cell>
          <cell r="O147">
            <v>-14630.65</v>
          </cell>
          <cell r="U147" t="str">
            <v>Bilan</v>
          </cell>
          <cell r="V147" t="str">
            <v>Comptes à Payer Fournisseurs</v>
          </cell>
          <cell r="W147" t="str">
            <v>$</v>
          </cell>
          <cell r="X147">
            <v>0</v>
          </cell>
        </row>
        <row r="148">
          <cell r="C148">
            <v>-44750</v>
          </cell>
          <cell r="O148">
            <v>-87207.49</v>
          </cell>
          <cell r="U148" t="str">
            <v>Bilan</v>
          </cell>
          <cell r="V148" t="str">
            <v>Autres Comptes à Payer</v>
          </cell>
          <cell r="W148" t="str">
            <v>$</v>
          </cell>
          <cell r="X148">
            <v>0</v>
          </cell>
        </row>
        <row r="149">
          <cell r="C149">
            <v>-18925.97</v>
          </cell>
          <cell r="O149">
            <v>3835.96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-1120.76</v>
          </cell>
          <cell r="O150">
            <v>322.31</v>
          </cell>
          <cell r="U150" t="str">
            <v>Bilan</v>
          </cell>
          <cell r="V150" t="str">
            <v>Autres Courus</v>
          </cell>
          <cell r="W150" t="str">
            <v>$</v>
          </cell>
          <cell r="X150">
            <v>0</v>
          </cell>
        </row>
        <row r="151">
          <cell r="C151">
            <v>-90411.64</v>
          </cell>
          <cell r="O151">
            <v>-13467.96</v>
          </cell>
          <cell r="U151" t="str">
            <v>Bilan</v>
          </cell>
          <cell r="V151" t="str">
            <v>Payables Intercos</v>
          </cell>
          <cell r="W151" t="str">
            <v>$</v>
          </cell>
          <cell r="X151">
            <v>0</v>
          </cell>
        </row>
        <row r="152">
          <cell r="C152">
            <v>-4900</v>
          </cell>
          <cell r="O152">
            <v>-2400</v>
          </cell>
          <cell r="U152" t="str">
            <v>Bilan</v>
          </cell>
          <cell r="V152" t="str">
            <v>Autres Courus</v>
          </cell>
          <cell r="W152" t="str">
            <v>$</v>
          </cell>
          <cell r="X152">
            <v>0</v>
          </cell>
        </row>
        <row r="153">
          <cell r="C153">
            <v>27.79</v>
          </cell>
          <cell r="O153">
            <v>0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21145.77</v>
          </cell>
          <cell r="O154">
            <v>-2143.31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52.35</v>
          </cell>
          <cell r="O155">
            <v>0</v>
          </cell>
          <cell r="U155" t="str">
            <v>Bilan</v>
          </cell>
          <cell r="V155" t="str">
            <v>DAS à Payer</v>
          </cell>
          <cell r="W155" t="str">
            <v>$</v>
          </cell>
          <cell r="X155">
            <v>0</v>
          </cell>
        </row>
        <row r="156">
          <cell r="C156">
            <v>-24680.61</v>
          </cell>
          <cell r="O156">
            <v>-12498.33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-654.05999999999995</v>
          </cell>
          <cell r="O157">
            <v>-155.6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-965.76</v>
          </cell>
          <cell r="O158">
            <v>-600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-20850</v>
          </cell>
          <cell r="O159">
            <v>-2600</v>
          </cell>
          <cell r="U159" t="str">
            <v>Bilan</v>
          </cell>
          <cell r="V159" t="str">
            <v>Dépôts de Client</v>
          </cell>
          <cell r="W159" t="str">
            <v>$</v>
          </cell>
          <cell r="X159">
            <v>0</v>
          </cell>
        </row>
        <row r="160">
          <cell r="C160">
            <v>-34870.910000000003</v>
          </cell>
          <cell r="O160">
            <v>14107.56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-7141.74</v>
          </cell>
          <cell r="O161">
            <v>3979.91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-291411.63</v>
          </cell>
          <cell r="O162">
            <v>51336.07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-30302.33</v>
          </cell>
          <cell r="O163">
            <v>0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-263420.56</v>
          </cell>
          <cell r="O164">
            <v>15924.02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24601.83</v>
          </cell>
          <cell r="O165">
            <v>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-39466.85</v>
          </cell>
          <cell r="O166">
            <v>11622</v>
          </cell>
          <cell r="U166" t="str">
            <v>Bilan</v>
          </cell>
          <cell r="V166" t="str">
            <v>Autres Courus</v>
          </cell>
          <cell r="W166" t="str">
            <v>$</v>
          </cell>
          <cell r="X166">
            <v>0</v>
          </cell>
        </row>
        <row r="167">
          <cell r="C167">
            <v>-242566.15</v>
          </cell>
          <cell r="O167">
            <v>0</v>
          </cell>
          <cell r="U167" t="str">
            <v>Bilan</v>
          </cell>
          <cell r="V167" t="str">
            <v>Autres Courus</v>
          </cell>
          <cell r="W167" t="str">
            <v>$</v>
          </cell>
          <cell r="X167">
            <v>0</v>
          </cell>
        </row>
        <row r="168">
          <cell r="C168">
            <v>-2350000</v>
          </cell>
          <cell r="O168">
            <v>0</v>
          </cell>
          <cell r="U168" t="str">
            <v>Bilan</v>
          </cell>
          <cell r="V168" t="str">
            <v>Capital Actions</v>
          </cell>
          <cell r="W168" t="str">
            <v>$</v>
          </cell>
          <cell r="X168">
            <v>0</v>
          </cell>
        </row>
        <row r="169">
          <cell r="C169">
            <v>-1723617</v>
          </cell>
          <cell r="O169">
            <v>0</v>
          </cell>
          <cell r="U169" t="str">
            <v>Bilan</v>
          </cell>
          <cell r="V169" t="str">
            <v>Apport</v>
          </cell>
          <cell r="W169" t="str">
            <v>$</v>
          </cell>
          <cell r="X169">
            <v>0</v>
          </cell>
        </row>
        <row r="170">
          <cell r="C170">
            <v>-347547.5</v>
          </cell>
          <cell r="O170">
            <v>0</v>
          </cell>
          <cell r="U170" t="str">
            <v>Bilan</v>
          </cell>
          <cell r="V170" t="str">
            <v>Capital Actions</v>
          </cell>
          <cell r="W170">
            <v>0</v>
          </cell>
          <cell r="X170">
            <v>0</v>
          </cell>
        </row>
        <row r="171">
          <cell r="C171">
            <v>-5180315.78</v>
          </cell>
          <cell r="O171">
            <v>0</v>
          </cell>
          <cell r="U171" t="str">
            <v>Bilan</v>
          </cell>
          <cell r="V171" t="str">
            <v>Bénéfices non répartis</v>
          </cell>
          <cell r="W171" t="str">
            <v>$</v>
          </cell>
          <cell r="X171">
            <v>0</v>
          </cell>
        </row>
        <row r="172">
          <cell r="C172">
            <v>-1275470.42</v>
          </cell>
          <cell r="O172">
            <v>-349587.08</v>
          </cell>
          <cell r="U172" t="str">
            <v>Véhicules neufs</v>
          </cell>
          <cell r="V172" t="str">
            <v>Rachat bail</v>
          </cell>
          <cell r="W172" t="str">
            <v>$</v>
          </cell>
          <cell r="X172" t="str">
            <v>Oui</v>
          </cell>
        </row>
        <row r="173">
          <cell r="C173">
            <v>-108775.95</v>
          </cell>
          <cell r="O173">
            <v>0</v>
          </cell>
          <cell r="U173" t="str">
            <v>Véhicules neufs</v>
          </cell>
          <cell r="V173" t="str">
            <v>Autos détail</v>
          </cell>
          <cell r="W173" t="str">
            <v>$</v>
          </cell>
          <cell r="X173" t="str">
            <v>Oui</v>
          </cell>
        </row>
        <row r="174">
          <cell r="C174">
            <v>-947657.9</v>
          </cell>
          <cell r="O174">
            <v>-327733.78000000003</v>
          </cell>
          <cell r="U174" t="str">
            <v>Véhicules neufs</v>
          </cell>
          <cell r="V174" t="str">
            <v>Autos détail</v>
          </cell>
          <cell r="W174" t="str">
            <v>$</v>
          </cell>
          <cell r="X174" t="str">
            <v>Oui</v>
          </cell>
        </row>
        <row r="175">
          <cell r="C175">
            <v>-1604258.58</v>
          </cell>
          <cell r="O175">
            <v>-230398.94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C176">
            <v>-1363696.65</v>
          </cell>
          <cell r="O176">
            <v>-293579.64</v>
          </cell>
          <cell r="U176" t="str">
            <v>Véhicules neufs</v>
          </cell>
          <cell r="V176" t="str">
            <v>Camions détail</v>
          </cell>
          <cell r="W176" t="str">
            <v>$</v>
          </cell>
          <cell r="X176" t="str">
            <v>Oui</v>
          </cell>
        </row>
        <row r="177">
          <cell r="C177">
            <v>-560241.92000000004</v>
          </cell>
          <cell r="O177">
            <v>-201013.57</v>
          </cell>
          <cell r="U177" t="str">
            <v>Véhicules neufs</v>
          </cell>
          <cell r="V177" t="str">
            <v>Autos détail</v>
          </cell>
          <cell r="W177" t="str">
            <v>$</v>
          </cell>
          <cell r="X177" t="str">
            <v>Oui</v>
          </cell>
        </row>
        <row r="178">
          <cell r="C178">
            <v>-2522225.87</v>
          </cell>
          <cell r="O178">
            <v>-1202014.71</v>
          </cell>
          <cell r="U178" t="str">
            <v>Véhicules neufs</v>
          </cell>
          <cell r="V178" t="str">
            <v>Camions détail</v>
          </cell>
          <cell r="W178" t="str">
            <v>$</v>
          </cell>
          <cell r="X178" t="str">
            <v>Oui</v>
          </cell>
        </row>
        <row r="179">
          <cell r="C179">
            <v>-358275.39</v>
          </cell>
          <cell r="O179">
            <v>-98209.99</v>
          </cell>
          <cell r="U179" t="str">
            <v>Véhicules neufs</v>
          </cell>
          <cell r="V179" t="str">
            <v>Flottes</v>
          </cell>
          <cell r="W179" t="str">
            <v>$</v>
          </cell>
          <cell r="X179" t="str">
            <v>Oui</v>
          </cell>
        </row>
        <row r="180">
          <cell r="C180">
            <v>-1152757.3899999999</v>
          </cell>
          <cell r="O180">
            <v>-94196.47</v>
          </cell>
          <cell r="U180" t="str">
            <v>Véhicules neufs</v>
          </cell>
          <cell r="V180" t="str">
            <v>Ex-Démos et courtoisies</v>
          </cell>
          <cell r="W180" t="str">
            <v>$</v>
          </cell>
          <cell r="X180" t="str">
            <v>Oui</v>
          </cell>
        </row>
        <row r="181">
          <cell r="C181">
            <v>-71509.899999999994</v>
          </cell>
          <cell r="O181">
            <v>0</v>
          </cell>
          <cell r="U181" t="str">
            <v>Véhicules neufs</v>
          </cell>
          <cell r="V181" t="str">
            <v>Autos détail</v>
          </cell>
          <cell r="W181" t="str">
            <v>$</v>
          </cell>
          <cell r="X181" t="str">
            <v>Oui</v>
          </cell>
        </row>
        <row r="182">
          <cell r="C182">
            <v>-3123613.41</v>
          </cell>
          <cell r="O182">
            <v>-548450.77</v>
          </cell>
          <cell r="U182" t="str">
            <v>Véhicules usagés</v>
          </cell>
          <cell r="V182" t="str">
            <v>Certifié</v>
          </cell>
          <cell r="W182" t="str">
            <v>$</v>
          </cell>
          <cell r="X182" t="str">
            <v>Oui</v>
          </cell>
        </row>
        <row r="183">
          <cell r="C183">
            <v>-440669.63</v>
          </cell>
          <cell r="O183">
            <v>-181285.71</v>
          </cell>
          <cell r="U183" t="str">
            <v>Véhicules usagés</v>
          </cell>
          <cell r="V183" t="str">
            <v>Non Certifié</v>
          </cell>
          <cell r="W183" t="str">
            <v>$</v>
          </cell>
          <cell r="X183" t="str">
            <v>Oui</v>
          </cell>
        </row>
        <row r="184">
          <cell r="C184">
            <v>-123035</v>
          </cell>
          <cell r="O184">
            <v>-25000</v>
          </cell>
          <cell r="U184" t="str">
            <v>Véhicules usagés</v>
          </cell>
          <cell r="V184" t="str">
            <v>Non Certifié</v>
          </cell>
          <cell r="W184" t="str">
            <v>$</v>
          </cell>
          <cell r="X184" t="str">
            <v>Oui</v>
          </cell>
        </row>
        <row r="185">
          <cell r="C185">
            <v>-2737681.16</v>
          </cell>
          <cell r="O185">
            <v>-1159111</v>
          </cell>
          <cell r="U185" t="str">
            <v>Véhicules usagés</v>
          </cell>
          <cell r="V185" t="str">
            <v>Ventes au Gros</v>
          </cell>
          <cell r="W185" t="str">
            <v>$</v>
          </cell>
          <cell r="X185" t="str">
            <v>Oui</v>
          </cell>
        </row>
        <row r="186">
          <cell r="C186">
            <v>-712752.44</v>
          </cell>
          <cell r="O186">
            <v>-162867.01999999999</v>
          </cell>
          <cell r="U186" t="str">
            <v>Service</v>
          </cell>
          <cell r="V186" t="str">
            <v>M/O Client</v>
          </cell>
          <cell r="W186" t="str">
            <v>$</v>
          </cell>
          <cell r="X186" t="str">
            <v>Oui</v>
          </cell>
        </row>
        <row r="187">
          <cell r="C187">
            <v>-25140.46</v>
          </cell>
          <cell r="O187">
            <v>-12535.35</v>
          </cell>
          <cell r="U187" t="str">
            <v>Service</v>
          </cell>
          <cell r="V187" t="str">
            <v>M/O Esthétique</v>
          </cell>
          <cell r="W187" t="str">
            <v>$</v>
          </cell>
          <cell r="X187" t="str">
            <v>Oui</v>
          </cell>
        </row>
        <row r="188">
          <cell r="C188">
            <v>-115074.26</v>
          </cell>
          <cell r="O188">
            <v>-23312.13</v>
          </cell>
          <cell r="U188" t="str">
            <v>Service</v>
          </cell>
          <cell r="V188" t="str">
            <v>M/O Garantie</v>
          </cell>
          <cell r="W188" t="str">
            <v>$</v>
          </cell>
          <cell r="X188" t="str">
            <v>Oui</v>
          </cell>
        </row>
        <row r="189">
          <cell r="C189">
            <v>-239771.03</v>
          </cell>
          <cell r="O189">
            <v>-61790.18</v>
          </cell>
          <cell r="U189" t="str">
            <v>Service</v>
          </cell>
          <cell r="V189" t="str">
            <v>M/O Interne</v>
          </cell>
          <cell r="W189" t="str">
            <v>$</v>
          </cell>
          <cell r="X189" t="str">
            <v>Oui</v>
          </cell>
        </row>
        <row r="190">
          <cell r="C190">
            <v>-103434.75</v>
          </cell>
          <cell r="O190">
            <v>-21141.68</v>
          </cell>
          <cell r="U190" t="str">
            <v>Pièces</v>
          </cell>
          <cell r="V190" t="str">
            <v>Huiles et Graisse</v>
          </cell>
          <cell r="W190" t="str">
            <v>$</v>
          </cell>
          <cell r="X190" t="str">
            <v>Oui</v>
          </cell>
        </row>
        <row r="191">
          <cell r="C191">
            <v>-11991.64</v>
          </cell>
          <cell r="O191">
            <v>-4404.1499999999996</v>
          </cell>
          <cell r="U191" t="str">
            <v>Service</v>
          </cell>
          <cell r="V191" t="str">
            <v>Sous-traitement</v>
          </cell>
          <cell r="W191" t="str">
            <v>$</v>
          </cell>
          <cell r="X191" t="str">
            <v>Oui</v>
          </cell>
        </row>
        <row r="192">
          <cell r="C192">
            <v>-4507</v>
          </cell>
          <cell r="O192">
            <v>0</v>
          </cell>
          <cell r="U192" t="str">
            <v>Service</v>
          </cell>
          <cell r="V192" t="str">
            <v>Sous-traitement</v>
          </cell>
          <cell r="W192" t="str">
            <v>$</v>
          </cell>
          <cell r="X192" t="str">
            <v>Oui</v>
          </cell>
        </row>
        <row r="193">
          <cell r="C193">
            <v>-48444.42</v>
          </cell>
          <cell r="O193">
            <v>-6765.15</v>
          </cell>
          <cell r="U193" t="str">
            <v>Service</v>
          </cell>
          <cell r="V193" t="str">
            <v>Sous-traitement</v>
          </cell>
          <cell r="W193" t="str">
            <v>$</v>
          </cell>
          <cell r="X193" t="str">
            <v>Oui</v>
          </cell>
        </row>
        <row r="194">
          <cell r="C194">
            <v>-139748.64000000001</v>
          </cell>
          <cell r="O194">
            <v>-14758.25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-248721.88</v>
          </cell>
          <cell r="O195">
            <v>-42020.97</v>
          </cell>
          <cell r="U195" t="str">
            <v>Carrosserie</v>
          </cell>
          <cell r="V195" t="str">
            <v>M/O Sous-traitement</v>
          </cell>
          <cell r="W195" t="str">
            <v>$</v>
          </cell>
          <cell r="X195" t="str">
            <v>Oui</v>
          </cell>
        </row>
        <row r="196">
          <cell r="C196">
            <v>-19823.830000000002</v>
          </cell>
          <cell r="O196">
            <v>-4823.1099999999997</v>
          </cell>
          <cell r="U196" t="str">
            <v>Carrosserie</v>
          </cell>
          <cell r="V196" t="str">
            <v>M/O Sous-traitement</v>
          </cell>
          <cell r="W196" t="str">
            <v>$</v>
          </cell>
          <cell r="X196" t="str">
            <v>Oui</v>
          </cell>
        </row>
        <row r="197">
          <cell r="C197">
            <v>-434225.77</v>
          </cell>
          <cell r="O197">
            <v>-103098.31</v>
          </cell>
          <cell r="U197" t="str">
            <v>Pièces</v>
          </cell>
          <cell r="V197" t="str">
            <v>Pièces Ro Clients</v>
          </cell>
          <cell r="W197" t="str">
            <v>$</v>
          </cell>
          <cell r="X197" t="str">
            <v>Oui</v>
          </cell>
        </row>
        <row r="198">
          <cell r="C198">
            <v>-3608.92</v>
          </cell>
          <cell r="O198">
            <v>-693.47</v>
          </cell>
          <cell r="U198" t="str">
            <v>Service</v>
          </cell>
          <cell r="V198" t="str">
            <v>M/O Client</v>
          </cell>
          <cell r="W198" t="str">
            <v>$</v>
          </cell>
          <cell r="X198" t="str">
            <v>Oui</v>
          </cell>
        </row>
        <row r="199">
          <cell r="C199">
            <v>-167851.11</v>
          </cell>
          <cell r="O199">
            <v>-21374.01</v>
          </cell>
          <cell r="U199" t="str">
            <v>Pièces</v>
          </cell>
          <cell r="V199" t="str">
            <v>P/A Garantie</v>
          </cell>
          <cell r="W199" t="str">
            <v>$</v>
          </cell>
          <cell r="X199" t="str">
            <v>Oui</v>
          </cell>
        </row>
        <row r="200">
          <cell r="C200">
            <v>0</v>
          </cell>
          <cell r="O200">
            <v>-6.59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</row>
        <row r="201">
          <cell r="C201">
            <v>-150441.01</v>
          </cell>
          <cell r="O201">
            <v>-33715.69</v>
          </cell>
          <cell r="U201" t="str">
            <v>Pièces</v>
          </cell>
          <cell r="V201" t="str">
            <v>Ventes Internes</v>
          </cell>
          <cell r="W201" t="str">
            <v>$</v>
          </cell>
          <cell r="X201" t="str">
            <v>Oui</v>
          </cell>
        </row>
        <row r="202">
          <cell r="C202">
            <v>-838.24</v>
          </cell>
          <cell r="O202">
            <v>-146.61000000000001</v>
          </cell>
          <cell r="U202" t="str">
            <v>Service</v>
          </cell>
          <cell r="V202" t="str">
            <v>M/O Interne</v>
          </cell>
          <cell r="W202" t="str">
            <v>$</v>
          </cell>
          <cell r="X202" t="str">
            <v>Oui</v>
          </cell>
        </row>
        <row r="203">
          <cell r="C203">
            <v>-7985.43</v>
          </cell>
          <cell r="O203">
            <v>-2052.46</v>
          </cell>
          <cell r="U203" t="str">
            <v>Pièces</v>
          </cell>
          <cell r="V203" t="str">
            <v>Pièces Ro Clients</v>
          </cell>
          <cell r="W203" t="str">
            <v>$</v>
          </cell>
          <cell r="X203" t="str">
            <v>Oui</v>
          </cell>
        </row>
        <row r="204">
          <cell r="C204">
            <v>-43308.78</v>
          </cell>
          <cell r="O204">
            <v>-1937.6</v>
          </cell>
          <cell r="U204" t="str">
            <v>Pièces</v>
          </cell>
          <cell r="V204" t="str">
            <v>Pièces Ro Carrosserie</v>
          </cell>
          <cell r="W204" t="str">
            <v>$</v>
          </cell>
          <cell r="X204" t="str">
            <v>Oui</v>
          </cell>
        </row>
        <row r="205">
          <cell r="C205">
            <v>-167778.62</v>
          </cell>
          <cell r="O205">
            <v>-33548.199999999997</v>
          </cell>
          <cell r="U205" t="str">
            <v>Pièces</v>
          </cell>
          <cell r="V205" t="str">
            <v>Pièces Ro Carrosserie</v>
          </cell>
          <cell r="W205" t="str">
            <v>$</v>
          </cell>
          <cell r="X205" t="str">
            <v>Oui</v>
          </cell>
        </row>
        <row r="206">
          <cell r="C206">
            <v>-7777.94</v>
          </cell>
          <cell r="O206">
            <v>-1604.14</v>
          </cell>
          <cell r="U206" t="str">
            <v>Pièces</v>
          </cell>
          <cell r="V206" t="str">
            <v>Pièces Ro Carrosserie</v>
          </cell>
          <cell r="W206" t="str">
            <v>$</v>
          </cell>
          <cell r="X206" t="str">
            <v>Oui</v>
          </cell>
        </row>
        <row r="207">
          <cell r="C207">
            <v>-93213.73</v>
          </cell>
          <cell r="O207">
            <v>-14407.53</v>
          </cell>
          <cell r="U207" t="str">
            <v>Pièces</v>
          </cell>
          <cell r="V207" t="str">
            <v>Ventes Détails</v>
          </cell>
          <cell r="W207" t="str">
            <v>$</v>
          </cell>
          <cell r="X207" t="str">
            <v>Oui</v>
          </cell>
        </row>
        <row r="208">
          <cell r="C208">
            <v>-638674.74</v>
          </cell>
          <cell r="O208">
            <v>-105345.60000000001</v>
          </cell>
          <cell r="U208" t="str">
            <v>Pièces</v>
          </cell>
          <cell r="V208" t="str">
            <v>Ventes de Gros</v>
          </cell>
          <cell r="W208" t="str">
            <v>$</v>
          </cell>
          <cell r="X208" t="str">
            <v>Oui</v>
          </cell>
        </row>
        <row r="209">
          <cell r="C209">
            <v>-177191.06</v>
          </cell>
          <cell r="O209">
            <v>-21274.42</v>
          </cell>
          <cell r="U209" t="str">
            <v>Pièces</v>
          </cell>
          <cell r="V209" t="str">
            <v>Ventes Pneus</v>
          </cell>
          <cell r="W209" t="str">
            <v>$</v>
          </cell>
          <cell r="X209" t="str">
            <v>Oui</v>
          </cell>
        </row>
        <row r="210">
          <cell r="C210">
            <v>-2902.75</v>
          </cell>
          <cell r="O210">
            <v>1541.96</v>
          </cell>
          <cell r="U210" t="str">
            <v>Pièces</v>
          </cell>
          <cell r="V210" t="str">
            <v>Ventes Pneus</v>
          </cell>
          <cell r="W210" t="str">
            <v>$</v>
          </cell>
          <cell r="X210" t="str">
            <v>Oui</v>
          </cell>
        </row>
        <row r="211">
          <cell r="C211">
            <v>1232272.6000000001</v>
          </cell>
          <cell r="O211">
            <v>336686.33</v>
          </cell>
          <cell r="U211" t="str">
            <v>Véhicules neufs</v>
          </cell>
          <cell r="V211" t="str">
            <v>Rachat bail</v>
          </cell>
          <cell r="W211" t="str">
            <v>$</v>
          </cell>
          <cell r="X211">
            <v>0</v>
          </cell>
        </row>
        <row r="212">
          <cell r="C212">
            <v>101095.6</v>
          </cell>
          <cell r="O212">
            <v>0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>
            <v>0</v>
          </cell>
        </row>
        <row r="213">
          <cell r="C213">
            <v>885198.5</v>
          </cell>
          <cell r="O213">
            <v>309597.13</v>
          </cell>
          <cell r="U213" t="str">
            <v>Véhicules neufs</v>
          </cell>
          <cell r="V213" t="str">
            <v>Autos détail</v>
          </cell>
          <cell r="W213" t="str">
            <v>$</v>
          </cell>
          <cell r="X213">
            <v>0</v>
          </cell>
        </row>
        <row r="214">
          <cell r="C214">
            <v>1520346.34</v>
          </cell>
          <cell r="O214">
            <v>214329.36</v>
          </cell>
          <cell r="U214" t="str">
            <v>Véhicules neufs</v>
          </cell>
          <cell r="V214" t="str">
            <v>Camions détail</v>
          </cell>
          <cell r="W214" t="str">
            <v>$</v>
          </cell>
          <cell r="X214">
            <v>0</v>
          </cell>
        </row>
        <row r="215">
          <cell r="C215">
            <v>1279473.74</v>
          </cell>
          <cell r="O215">
            <v>276783.27</v>
          </cell>
          <cell r="U215" t="str">
            <v>Véhicules neufs</v>
          </cell>
          <cell r="V215" t="str">
            <v>Camions détail</v>
          </cell>
          <cell r="W215" t="str">
            <v>$</v>
          </cell>
          <cell r="X215">
            <v>0</v>
          </cell>
        </row>
        <row r="216">
          <cell r="C216">
            <v>529066.04</v>
          </cell>
          <cell r="O216">
            <v>185495.04000000001</v>
          </cell>
          <cell r="U216" t="str">
            <v>Véhicules neufs</v>
          </cell>
          <cell r="V216" t="str">
            <v>Autos détail</v>
          </cell>
          <cell r="W216" t="str">
            <v>$</v>
          </cell>
          <cell r="X216">
            <v>0</v>
          </cell>
        </row>
        <row r="217">
          <cell r="C217">
            <v>2376741.88</v>
          </cell>
          <cell r="O217">
            <v>1139515.69</v>
          </cell>
          <cell r="U217" t="str">
            <v>Véhicules neufs</v>
          </cell>
          <cell r="V217" t="str">
            <v>Camions détail</v>
          </cell>
          <cell r="W217" t="str">
            <v>$</v>
          </cell>
          <cell r="X217">
            <v>0</v>
          </cell>
        </row>
        <row r="218">
          <cell r="C218">
            <v>339855.73</v>
          </cell>
          <cell r="O218">
            <v>92284.1</v>
          </cell>
          <cell r="U218" t="str">
            <v>Véhicules neufs</v>
          </cell>
          <cell r="V218" t="str">
            <v>Flottes</v>
          </cell>
          <cell r="W218" t="str">
            <v>$</v>
          </cell>
          <cell r="X218">
            <v>0</v>
          </cell>
        </row>
        <row r="219">
          <cell r="C219">
            <v>1070424.58</v>
          </cell>
          <cell r="O219">
            <v>91223.01</v>
          </cell>
          <cell r="U219" t="str">
            <v>Véhicules neufs</v>
          </cell>
          <cell r="V219" t="str">
            <v>Ex-Démos et courtoisies</v>
          </cell>
          <cell r="W219" t="str">
            <v>$</v>
          </cell>
          <cell r="X219">
            <v>0</v>
          </cell>
        </row>
        <row r="220">
          <cell r="C220">
            <v>67619.91</v>
          </cell>
          <cell r="O220">
            <v>0</v>
          </cell>
          <cell r="U220" t="str">
            <v>Véhicules neufs</v>
          </cell>
          <cell r="V220" t="str">
            <v>Autos détail</v>
          </cell>
          <cell r="W220" t="str">
            <v>$</v>
          </cell>
          <cell r="X220">
            <v>0</v>
          </cell>
        </row>
        <row r="221">
          <cell r="C221">
            <v>2732534.69</v>
          </cell>
          <cell r="O221">
            <v>480457.29</v>
          </cell>
          <cell r="U221" t="str">
            <v>Véhicules usagés</v>
          </cell>
          <cell r="V221" t="str">
            <v>Certifié</v>
          </cell>
          <cell r="W221" t="str">
            <v>$</v>
          </cell>
          <cell r="X221">
            <v>0</v>
          </cell>
        </row>
        <row r="222">
          <cell r="C222">
            <v>212806.26</v>
          </cell>
          <cell r="O222">
            <v>24122.18</v>
          </cell>
          <cell r="U222" t="str">
            <v>Véhicules usagés</v>
          </cell>
          <cell r="V222" t="str">
            <v>Certifié</v>
          </cell>
          <cell r="W222" t="str">
            <v>$</v>
          </cell>
          <cell r="X222">
            <v>0</v>
          </cell>
        </row>
        <row r="223">
          <cell r="C223">
            <v>379495</v>
          </cell>
          <cell r="O223">
            <v>161038.32</v>
          </cell>
          <cell r="U223" t="str">
            <v>Véhicules usagés</v>
          </cell>
          <cell r="V223" t="str">
            <v>Non Certifié</v>
          </cell>
          <cell r="W223" t="str">
            <v>$</v>
          </cell>
          <cell r="X223">
            <v>0</v>
          </cell>
        </row>
        <row r="224">
          <cell r="C224">
            <v>28801.01</v>
          </cell>
          <cell r="O224">
            <v>9695.7000000000007</v>
          </cell>
          <cell r="U224" t="str">
            <v>Véhicules usagés</v>
          </cell>
          <cell r="V224" t="str">
            <v>Non Certifié</v>
          </cell>
          <cell r="W224" t="str">
            <v>$</v>
          </cell>
          <cell r="X224">
            <v>0</v>
          </cell>
        </row>
        <row r="225">
          <cell r="C225">
            <v>119500</v>
          </cell>
          <cell r="O225">
            <v>20650</v>
          </cell>
          <cell r="U225" t="str">
            <v>Véhicules usagés</v>
          </cell>
          <cell r="V225" t="str">
            <v>Non Certifié</v>
          </cell>
          <cell r="W225" t="str">
            <v>$</v>
          </cell>
          <cell r="X225">
            <v>0</v>
          </cell>
        </row>
        <row r="226">
          <cell r="C226">
            <v>2158.7199999999998</v>
          </cell>
          <cell r="O226">
            <v>1421.04</v>
          </cell>
          <cell r="U226" t="str">
            <v>Véhicules usagés</v>
          </cell>
          <cell r="V226" t="str">
            <v>Non Certifié</v>
          </cell>
          <cell r="W226" t="str">
            <v>$</v>
          </cell>
          <cell r="X226">
            <v>0</v>
          </cell>
        </row>
        <row r="227">
          <cell r="C227">
            <v>2646809.3199999998</v>
          </cell>
          <cell r="O227">
            <v>1126688.47</v>
          </cell>
          <cell r="U227" t="str">
            <v>Véhicules usagés</v>
          </cell>
          <cell r="V227" t="str">
            <v>Ventes au Gros</v>
          </cell>
          <cell r="W227" t="str">
            <v>$</v>
          </cell>
          <cell r="X227">
            <v>0</v>
          </cell>
        </row>
        <row r="228">
          <cell r="C228">
            <v>164134.85</v>
          </cell>
          <cell r="O228">
            <v>32782.81</v>
          </cell>
          <cell r="U228" t="str">
            <v>Service</v>
          </cell>
          <cell r="V228" t="str">
            <v>M/O Client</v>
          </cell>
          <cell r="W228" t="str">
            <v>$</v>
          </cell>
          <cell r="X228">
            <v>0</v>
          </cell>
        </row>
        <row r="229">
          <cell r="C229">
            <v>5206.5600000000004</v>
          </cell>
          <cell r="O229">
            <v>2892.14</v>
          </cell>
          <cell r="U229" t="str">
            <v>Service</v>
          </cell>
          <cell r="V229" t="str">
            <v>M/O Esthétique</v>
          </cell>
          <cell r="W229" t="str">
            <v>$</v>
          </cell>
          <cell r="X229">
            <v>0</v>
          </cell>
        </row>
        <row r="230">
          <cell r="C230">
            <v>46522.91</v>
          </cell>
          <cell r="O230">
            <v>8425.14</v>
          </cell>
          <cell r="U230" t="str">
            <v>Service</v>
          </cell>
          <cell r="V230" t="str">
            <v>M/O Garantie</v>
          </cell>
          <cell r="W230" t="str">
            <v>$</v>
          </cell>
          <cell r="X230">
            <v>0</v>
          </cell>
        </row>
        <row r="231">
          <cell r="C231">
            <v>78525.240000000005</v>
          </cell>
          <cell r="O231">
            <v>16259.01</v>
          </cell>
          <cell r="U231" t="str">
            <v>Service</v>
          </cell>
          <cell r="V231" t="str">
            <v>M/O Interne</v>
          </cell>
          <cell r="W231" t="str">
            <v>$</v>
          </cell>
          <cell r="X231">
            <v>0</v>
          </cell>
        </row>
        <row r="232">
          <cell r="C232">
            <v>9934.89</v>
          </cell>
          <cell r="O232">
            <v>2801.5</v>
          </cell>
          <cell r="U232" t="str">
            <v>Service</v>
          </cell>
          <cell r="V232" t="str">
            <v>Ajustement M/O</v>
          </cell>
          <cell r="W232" t="str">
            <v>$</v>
          </cell>
          <cell r="X232">
            <v>0</v>
          </cell>
        </row>
        <row r="233">
          <cell r="C233">
            <v>75623.179999999993</v>
          </cell>
          <cell r="O233">
            <v>15872.2</v>
          </cell>
          <cell r="U233" t="str">
            <v>Pièces</v>
          </cell>
          <cell r="V233" t="str">
            <v>Huiles et Graisse</v>
          </cell>
          <cell r="W233" t="str">
            <v>$</v>
          </cell>
          <cell r="X233">
            <v>0</v>
          </cell>
        </row>
        <row r="234">
          <cell r="C234">
            <v>10645.01</v>
          </cell>
          <cell r="O234">
            <v>3465</v>
          </cell>
          <cell r="U234" t="str">
            <v>Service</v>
          </cell>
          <cell r="V234" t="str">
            <v>Sous-traitement</v>
          </cell>
          <cell r="W234" t="str">
            <v>$</v>
          </cell>
          <cell r="X234">
            <v>0</v>
          </cell>
        </row>
        <row r="235">
          <cell r="C235">
            <v>5413.6</v>
          </cell>
          <cell r="O235">
            <v>0</v>
          </cell>
          <cell r="U235" t="str">
            <v>Service</v>
          </cell>
          <cell r="V235" t="str">
            <v>Sous-traitement</v>
          </cell>
          <cell r="W235" t="str">
            <v>$</v>
          </cell>
          <cell r="X235">
            <v>0</v>
          </cell>
        </row>
        <row r="236">
          <cell r="C236">
            <v>37938.65</v>
          </cell>
          <cell r="O236">
            <v>5257.9</v>
          </cell>
          <cell r="U236" t="str">
            <v>Service</v>
          </cell>
          <cell r="V236" t="str">
            <v>Sous-traitement</v>
          </cell>
          <cell r="W236" t="str">
            <v>$</v>
          </cell>
          <cell r="X236">
            <v>0</v>
          </cell>
        </row>
        <row r="237">
          <cell r="C237">
            <v>60033.52</v>
          </cell>
          <cell r="O237">
            <v>2451.0300000000002</v>
          </cell>
          <cell r="U237" t="str">
            <v>Carrosserie</v>
          </cell>
          <cell r="V237" t="str">
            <v>M/O Sous-traitement</v>
          </cell>
          <cell r="W237" t="str">
            <v>$</v>
          </cell>
          <cell r="X237">
            <v>0</v>
          </cell>
        </row>
        <row r="238">
          <cell r="C238">
            <v>248732.1</v>
          </cell>
          <cell r="O238">
            <v>42020.97</v>
          </cell>
          <cell r="U238" t="str">
            <v>Carrosserie</v>
          </cell>
          <cell r="V238" t="str">
            <v>M/O Sous-traitement</v>
          </cell>
          <cell r="W238" t="str">
            <v>$</v>
          </cell>
          <cell r="X238">
            <v>0</v>
          </cell>
        </row>
        <row r="239">
          <cell r="C239">
            <v>16118.56</v>
          </cell>
          <cell r="O239">
            <v>4463.33</v>
          </cell>
          <cell r="U239" t="str">
            <v>Carrosserie</v>
          </cell>
          <cell r="V239" t="str">
            <v>M/O Sous-traitement</v>
          </cell>
          <cell r="W239" t="str">
            <v>$</v>
          </cell>
          <cell r="X239">
            <v>0</v>
          </cell>
        </row>
        <row r="240">
          <cell r="C240">
            <v>286177.13</v>
          </cell>
          <cell r="O240">
            <v>65831.89</v>
          </cell>
          <cell r="U240" t="str">
            <v>Pièces</v>
          </cell>
          <cell r="V240" t="str">
            <v>Pièces Ro Clients</v>
          </cell>
          <cell r="W240" t="str">
            <v>$</v>
          </cell>
          <cell r="X240">
            <v>0</v>
          </cell>
        </row>
        <row r="241">
          <cell r="C241">
            <v>2452.0500000000002</v>
          </cell>
          <cell r="O241">
            <v>471.83</v>
          </cell>
          <cell r="U241" t="str">
            <v>Service</v>
          </cell>
          <cell r="V241" t="str">
            <v>M/O Client</v>
          </cell>
          <cell r="W241" t="str">
            <v>$</v>
          </cell>
          <cell r="X241">
            <v>0</v>
          </cell>
        </row>
        <row r="242">
          <cell r="C242">
            <v>126549.91</v>
          </cell>
          <cell r="O242">
            <v>16230.76</v>
          </cell>
          <cell r="U242" t="str">
            <v>Pièces</v>
          </cell>
          <cell r="V242" t="str">
            <v>P/A Garantie</v>
          </cell>
          <cell r="W242" t="str">
            <v>$</v>
          </cell>
          <cell r="X242">
            <v>0</v>
          </cell>
        </row>
        <row r="243">
          <cell r="C243">
            <v>0</v>
          </cell>
          <cell r="O243">
            <v>5.05</v>
          </cell>
          <cell r="U243" t="e">
            <v>#N/A</v>
          </cell>
          <cell r="V243" t="e">
            <v>#N/A</v>
          </cell>
          <cell r="W243" t="e">
            <v>#N/A</v>
          </cell>
          <cell r="X243" t="e">
            <v>#N/A</v>
          </cell>
        </row>
        <row r="244">
          <cell r="C244">
            <v>102499.06</v>
          </cell>
          <cell r="O244">
            <v>23381.39</v>
          </cell>
          <cell r="U244" t="str">
            <v>Pièces</v>
          </cell>
          <cell r="V244" t="str">
            <v>Ventes Internes</v>
          </cell>
          <cell r="W244" t="str">
            <v>$</v>
          </cell>
          <cell r="X244">
            <v>0</v>
          </cell>
        </row>
        <row r="245">
          <cell r="C245">
            <v>595.44000000000005</v>
          </cell>
          <cell r="O245">
            <v>102.36</v>
          </cell>
          <cell r="U245" t="str">
            <v>Service</v>
          </cell>
          <cell r="V245" t="str">
            <v>M/O Interne</v>
          </cell>
          <cell r="W245" t="str">
            <v>$</v>
          </cell>
          <cell r="X245">
            <v>0</v>
          </cell>
        </row>
        <row r="246">
          <cell r="C246">
            <v>5882.98</v>
          </cell>
          <cell r="O246">
            <v>1512.4</v>
          </cell>
          <cell r="U246" t="str">
            <v>Pièces</v>
          </cell>
          <cell r="V246" t="str">
            <v>Pièces Ro Clients</v>
          </cell>
          <cell r="W246" t="str">
            <v>$</v>
          </cell>
          <cell r="X246">
            <v>0</v>
          </cell>
        </row>
        <row r="247">
          <cell r="C247">
            <v>28370.58</v>
          </cell>
          <cell r="O247">
            <v>1290.2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>
            <v>0</v>
          </cell>
        </row>
        <row r="248">
          <cell r="C248">
            <v>128314.25</v>
          </cell>
          <cell r="O248">
            <v>24303.33</v>
          </cell>
          <cell r="U248" t="str">
            <v>Pièces</v>
          </cell>
          <cell r="V248" t="str">
            <v>Pièces Ro Carrosserie</v>
          </cell>
          <cell r="W248" t="str">
            <v>$</v>
          </cell>
          <cell r="X248">
            <v>0</v>
          </cell>
        </row>
        <row r="249">
          <cell r="C249">
            <v>4994.6899999999996</v>
          </cell>
          <cell r="O249">
            <v>1136.48</v>
          </cell>
          <cell r="U249" t="str">
            <v>Pièces</v>
          </cell>
          <cell r="V249" t="str">
            <v>Pièces Ro Carrosserie</v>
          </cell>
          <cell r="W249" t="str">
            <v>$</v>
          </cell>
          <cell r="X249">
            <v>0</v>
          </cell>
        </row>
        <row r="250">
          <cell r="C250">
            <v>68218.78</v>
          </cell>
          <cell r="O250">
            <v>10327.67</v>
          </cell>
          <cell r="U250" t="str">
            <v>Pièces</v>
          </cell>
          <cell r="V250" t="str">
            <v>Ventes Détails</v>
          </cell>
          <cell r="W250" t="str">
            <v>$</v>
          </cell>
          <cell r="X250">
            <v>0</v>
          </cell>
        </row>
        <row r="251">
          <cell r="C251">
            <v>520054.72</v>
          </cell>
          <cell r="O251">
            <v>85870.85</v>
          </cell>
          <cell r="U251" t="str">
            <v>Pièces</v>
          </cell>
          <cell r="V251" t="str">
            <v>Ventes de Gros</v>
          </cell>
          <cell r="W251" t="str">
            <v>$</v>
          </cell>
          <cell r="X251">
            <v>0</v>
          </cell>
        </row>
        <row r="252">
          <cell r="C252">
            <v>145080.07</v>
          </cell>
          <cell r="O252">
            <v>17143.63</v>
          </cell>
          <cell r="U252" t="str">
            <v>Pièces</v>
          </cell>
          <cell r="V252" t="str">
            <v>Ventes Pneus</v>
          </cell>
          <cell r="W252" t="str">
            <v>$</v>
          </cell>
          <cell r="X252">
            <v>0</v>
          </cell>
        </row>
        <row r="253">
          <cell r="C253">
            <v>2629.85</v>
          </cell>
          <cell r="O253">
            <v>-1237.56</v>
          </cell>
          <cell r="U253" t="str">
            <v>Pièces</v>
          </cell>
          <cell r="V253" t="str">
            <v>Ventes Pneus</v>
          </cell>
          <cell r="W253" t="str">
            <v>$</v>
          </cell>
          <cell r="X253">
            <v>0</v>
          </cell>
        </row>
        <row r="254">
          <cell r="C254">
            <v>-2173.41</v>
          </cell>
          <cell r="O254">
            <v>-186.93</v>
          </cell>
          <cell r="U254" t="str">
            <v>Pièces</v>
          </cell>
          <cell r="V254" t="str">
            <v>Escomptes</v>
          </cell>
          <cell r="W254" t="str">
            <v>$</v>
          </cell>
          <cell r="X254">
            <v>0</v>
          </cell>
        </row>
        <row r="255">
          <cell r="C255">
            <v>165170.19</v>
          </cell>
          <cell r="O255">
            <v>43967.87</v>
          </cell>
          <cell r="U255" t="str">
            <v>Véhicules neufs</v>
          </cell>
          <cell r="V255" t="str">
            <v>Comm. vendeurs</v>
          </cell>
          <cell r="W255" t="str">
            <v>$</v>
          </cell>
          <cell r="X255">
            <v>0</v>
          </cell>
        </row>
        <row r="256">
          <cell r="C256">
            <v>72864.66</v>
          </cell>
          <cell r="O256">
            <v>16384.47</v>
          </cell>
          <cell r="U256" t="str">
            <v>Véhicules neufs</v>
          </cell>
          <cell r="V256" t="str">
            <v>Comm. F&amp;I</v>
          </cell>
          <cell r="W256" t="str">
            <v>$</v>
          </cell>
          <cell r="X256">
            <v>0</v>
          </cell>
        </row>
        <row r="257">
          <cell r="C257">
            <v>289.85000000000002</v>
          </cell>
          <cell r="O257">
            <v>0</v>
          </cell>
          <cell r="U257" t="str">
            <v>Véhicules neufs</v>
          </cell>
          <cell r="V257" t="str">
            <v>Service gratuit 1</v>
          </cell>
          <cell r="W257" t="str">
            <v>$</v>
          </cell>
          <cell r="X257">
            <v>0</v>
          </cell>
        </row>
        <row r="258">
          <cell r="C258">
            <v>14465.44</v>
          </cell>
          <cell r="O258">
            <v>4002</v>
          </cell>
          <cell r="U258" t="str">
            <v>Véhicules neufs</v>
          </cell>
          <cell r="V258" t="str">
            <v>Entretien stock</v>
          </cell>
          <cell r="W258" t="str">
            <v>$</v>
          </cell>
          <cell r="X258">
            <v>0</v>
          </cell>
        </row>
        <row r="259">
          <cell r="C259">
            <v>23089.66</v>
          </cell>
          <cell r="O259">
            <v>4735.1400000000003</v>
          </cell>
          <cell r="U259" t="str">
            <v>Véhicules neufs</v>
          </cell>
          <cell r="V259" t="str">
            <v>Intérêt de gros</v>
          </cell>
          <cell r="W259" t="str">
            <v>$</v>
          </cell>
          <cell r="X259">
            <v>0</v>
          </cell>
        </row>
        <row r="260">
          <cell r="C260">
            <v>20871.689999999999</v>
          </cell>
          <cell r="O260">
            <v>5600.8</v>
          </cell>
          <cell r="U260" t="str">
            <v>Véhicules neufs</v>
          </cell>
          <cell r="V260" t="str">
            <v>Frais de livraison</v>
          </cell>
          <cell r="W260" t="str">
            <v>$</v>
          </cell>
          <cell r="X260">
            <v>0</v>
          </cell>
        </row>
        <row r="261">
          <cell r="C261">
            <v>51466.66</v>
          </cell>
          <cell r="O261">
            <v>15831.73</v>
          </cell>
          <cell r="U261" t="str">
            <v>Véhicules neufs</v>
          </cell>
          <cell r="V261" t="str">
            <v>Publicité 1</v>
          </cell>
          <cell r="W261" t="str">
            <v>$</v>
          </cell>
          <cell r="X261">
            <v>0</v>
          </cell>
        </row>
        <row r="262">
          <cell r="C262">
            <v>-31500</v>
          </cell>
          <cell r="O262">
            <v>-8850</v>
          </cell>
          <cell r="U262" t="str">
            <v>Véhicules neufs</v>
          </cell>
          <cell r="V262" t="str">
            <v>Publicité 1</v>
          </cell>
          <cell r="W262" t="str">
            <v>$</v>
          </cell>
          <cell r="X262">
            <v>0</v>
          </cell>
        </row>
        <row r="263">
          <cell r="C263">
            <v>41957.03</v>
          </cell>
          <cell r="O263">
            <v>8879.02</v>
          </cell>
          <cell r="U263" t="str">
            <v>Véhicules neufs</v>
          </cell>
          <cell r="V263" t="str">
            <v>Salaires propriétaire</v>
          </cell>
          <cell r="W263" t="str">
            <v>$</v>
          </cell>
          <cell r="X263">
            <v>0</v>
          </cell>
        </row>
        <row r="264">
          <cell r="C264">
            <v>63160.93</v>
          </cell>
          <cell r="O264">
            <v>13776.33</v>
          </cell>
          <cell r="U264" t="str">
            <v>Véhicules neufs</v>
          </cell>
          <cell r="V264" t="str">
            <v>Salaires cadres</v>
          </cell>
          <cell r="W264" t="str">
            <v>$</v>
          </cell>
          <cell r="X264">
            <v>0</v>
          </cell>
        </row>
        <row r="265">
          <cell r="C265">
            <v>60749.46</v>
          </cell>
          <cell r="O265">
            <v>14509.06</v>
          </cell>
          <cell r="U265" t="str">
            <v>Véhicules neufs</v>
          </cell>
          <cell r="V265" t="str">
            <v>Salaires commis</v>
          </cell>
          <cell r="W265" t="str">
            <v>$</v>
          </cell>
          <cell r="X265">
            <v>0</v>
          </cell>
        </row>
        <row r="266">
          <cell r="C266">
            <v>60287.35</v>
          </cell>
          <cell r="O266">
            <v>13387.76</v>
          </cell>
          <cell r="U266" t="str">
            <v>Véhicules neufs</v>
          </cell>
          <cell r="V266" t="str">
            <v>Salaires autres</v>
          </cell>
          <cell r="W266" t="str">
            <v>$</v>
          </cell>
          <cell r="X266">
            <v>0</v>
          </cell>
        </row>
        <row r="267">
          <cell r="C267">
            <v>58555.94</v>
          </cell>
          <cell r="O267">
            <v>12929.12</v>
          </cell>
          <cell r="U267" t="str">
            <v>Véhicules neufs</v>
          </cell>
          <cell r="V267" t="str">
            <v>Salaires en absences</v>
          </cell>
          <cell r="W267" t="str">
            <v>$</v>
          </cell>
          <cell r="X267">
            <v>0</v>
          </cell>
        </row>
        <row r="268">
          <cell r="C268">
            <v>12585.74</v>
          </cell>
          <cell r="O268">
            <v>3273.76</v>
          </cell>
          <cell r="U268" t="str">
            <v>Véhicules neufs</v>
          </cell>
          <cell r="V268" t="str">
            <v>Csst</v>
          </cell>
          <cell r="W268" t="str">
            <v>$</v>
          </cell>
          <cell r="X268">
            <v>0</v>
          </cell>
        </row>
        <row r="269">
          <cell r="C269">
            <v>76502.12</v>
          </cell>
          <cell r="O269">
            <v>12404.94</v>
          </cell>
          <cell r="U269" t="str">
            <v>Véhicules neufs</v>
          </cell>
          <cell r="V269" t="str">
            <v>Déduction à la source</v>
          </cell>
          <cell r="W269" t="str">
            <v>$</v>
          </cell>
          <cell r="X269">
            <v>0</v>
          </cell>
        </row>
        <row r="270">
          <cell r="C270">
            <v>23922.99</v>
          </cell>
          <cell r="O270">
            <v>2488.02</v>
          </cell>
          <cell r="U270" t="str">
            <v>Véhicules neufs</v>
          </cell>
          <cell r="V270" t="str">
            <v>Bénéfices marginaux</v>
          </cell>
          <cell r="W270" t="str">
            <v>$</v>
          </cell>
          <cell r="X270">
            <v>0</v>
          </cell>
        </row>
        <row r="271">
          <cell r="C271">
            <v>10147.4</v>
          </cell>
          <cell r="O271">
            <v>3103.59</v>
          </cell>
          <cell r="U271" t="str">
            <v>Véhicules neufs</v>
          </cell>
          <cell r="V271" t="str">
            <v>Bénéfices marginaux</v>
          </cell>
          <cell r="W271" t="str">
            <v>$</v>
          </cell>
          <cell r="X271">
            <v>0</v>
          </cell>
        </row>
        <row r="272">
          <cell r="C272">
            <v>8.23</v>
          </cell>
          <cell r="O272">
            <v>0</v>
          </cell>
          <cell r="U272" t="str">
            <v>Véhicules neufs</v>
          </cell>
          <cell r="V272" t="str">
            <v>Fournitures autres</v>
          </cell>
          <cell r="W272" t="str">
            <v>$</v>
          </cell>
          <cell r="X272">
            <v>0</v>
          </cell>
        </row>
        <row r="273">
          <cell r="C273">
            <v>13696.22</v>
          </cell>
          <cell r="O273">
            <v>487.93</v>
          </cell>
          <cell r="U273" t="str">
            <v>Véhicules neufs</v>
          </cell>
          <cell r="V273" t="str">
            <v>Formation</v>
          </cell>
          <cell r="W273" t="str">
            <v>$</v>
          </cell>
          <cell r="X273">
            <v>0</v>
          </cell>
        </row>
        <row r="274">
          <cell r="C274">
            <v>35945.18</v>
          </cell>
          <cell r="O274">
            <v>5916.23</v>
          </cell>
          <cell r="U274" t="str">
            <v>Véhicules neufs</v>
          </cell>
          <cell r="V274" t="str">
            <v>Frais véhicules de cie</v>
          </cell>
          <cell r="W274" t="str">
            <v>$</v>
          </cell>
          <cell r="X274">
            <v>0</v>
          </cell>
        </row>
        <row r="275">
          <cell r="C275">
            <v>520.44000000000005</v>
          </cell>
          <cell r="O275">
            <v>81.84</v>
          </cell>
          <cell r="U275" t="str">
            <v>Véhicules neufs</v>
          </cell>
          <cell r="V275" t="str">
            <v>Frais postaux</v>
          </cell>
          <cell r="W275" t="str">
            <v>$</v>
          </cell>
          <cell r="X275">
            <v>0</v>
          </cell>
        </row>
        <row r="276">
          <cell r="C276">
            <v>36878.18</v>
          </cell>
          <cell r="O276">
            <v>7019.75</v>
          </cell>
          <cell r="U276" t="str">
            <v>Véhicules neufs</v>
          </cell>
          <cell r="V276" t="str">
            <v>Informatique</v>
          </cell>
          <cell r="W276" t="str">
            <v>$</v>
          </cell>
          <cell r="X276">
            <v>0</v>
          </cell>
        </row>
        <row r="277">
          <cell r="C277">
            <v>3651.62</v>
          </cell>
          <cell r="O277">
            <v>605.80999999999995</v>
          </cell>
          <cell r="U277" t="str">
            <v>Véhicules neufs</v>
          </cell>
          <cell r="V277" t="str">
            <v>Papeterie</v>
          </cell>
          <cell r="W277" t="str">
            <v>$</v>
          </cell>
          <cell r="X277">
            <v>0</v>
          </cell>
        </row>
        <row r="278">
          <cell r="C278">
            <v>1540.86</v>
          </cell>
          <cell r="O278">
            <v>232.9</v>
          </cell>
          <cell r="U278" t="str">
            <v>Véhicules neufs</v>
          </cell>
          <cell r="V278" t="str">
            <v>Téléphone</v>
          </cell>
          <cell r="W278" t="str">
            <v>$</v>
          </cell>
          <cell r="X278">
            <v>0</v>
          </cell>
        </row>
        <row r="279">
          <cell r="C279">
            <v>1112.1099999999999</v>
          </cell>
          <cell r="O279">
            <v>111.34</v>
          </cell>
          <cell r="U279" t="str">
            <v>Véhicules neufs</v>
          </cell>
          <cell r="V279" t="str">
            <v>Divers</v>
          </cell>
          <cell r="W279" t="str">
            <v>$</v>
          </cell>
          <cell r="X279">
            <v>0</v>
          </cell>
        </row>
        <row r="280">
          <cell r="C280">
            <v>9553.02</v>
          </cell>
          <cell r="O280">
            <v>504.08</v>
          </cell>
          <cell r="U280" t="str">
            <v>Véhicules neufs</v>
          </cell>
          <cell r="V280" t="str">
            <v>Frais de déplacement</v>
          </cell>
          <cell r="W280" t="str">
            <v>$</v>
          </cell>
          <cell r="X280">
            <v>0</v>
          </cell>
        </row>
        <row r="281">
          <cell r="C281">
            <v>16754.580000000002</v>
          </cell>
          <cell r="O281">
            <v>3537.15</v>
          </cell>
          <cell r="U281" t="str">
            <v>Véhicules neufs</v>
          </cell>
          <cell r="V281" t="str">
            <v>Frais bancaires</v>
          </cell>
          <cell r="W281" t="str">
            <v>$</v>
          </cell>
          <cell r="X281">
            <v>0</v>
          </cell>
        </row>
        <row r="282">
          <cell r="C282">
            <v>33093.760000000002</v>
          </cell>
          <cell r="O282">
            <v>6175.67</v>
          </cell>
          <cell r="U282" t="str">
            <v>Véhicules neufs</v>
          </cell>
          <cell r="V282" t="str">
            <v>Services extérieurs</v>
          </cell>
          <cell r="W282" t="str">
            <v>$</v>
          </cell>
          <cell r="X282">
            <v>0</v>
          </cell>
        </row>
        <row r="283">
          <cell r="C283">
            <v>6903.2</v>
          </cell>
          <cell r="O283">
            <v>1380.64</v>
          </cell>
          <cell r="U283" t="str">
            <v>Véhicules neufs</v>
          </cell>
          <cell r="V283" t="str">
            <v>Amortissement</v>
          </cell>
          <cell r="W283" t="str">
            <v>$</v>
          </cell>
          <cell r="X283">
            <v>0</v>
          </cell>
        </row>
        <row r="284">
          <cell r="C284">
            <v>5392.98</v>
          </cell>
          <cell r="O284">
            <v>-287.63</v>
          </cell>
          <cell r="U284" t="str">
            <v>Véhicules neufs</v>
          </cell>
          <cell r="V284" t="str">
            <v>Chauffage, éclairage</v>
          </cell>
          <cell r="W284" t="str">
            <v>$</v>
          </cell>
          <cell r="X284">
            <v>0</v>
          </cell>
        </row>
        <row r="285">
          <cell r="C285">
            <v>41600</v>
          </cell>
          <cell r="O285">
            <v>8320</v>
          </cell>
          <cell r="U285" t="str">
            <v>Véhicules neufs</v>
          </cell>
          <cell r="V285" t="str">
            <v>Loyer</v>
          </cell>
          <cell r="W285" t="str">
            <v>$</v>
          </cell>
          <cell r="X285">
            <v>0</v>
          </cell>
        </row>
        <row r="286">
          <cell r="C286">
            <v>6833.6</v>
          </cell>
          <cell r="O286">
            <v>1366.72</v>
          </cell>
          <cell r="U286" t="str">
            <v>Véhicules neufs</v>
          </cell>
          <cell r="V286" t="str">
            <v>Assurances</v>
          </cell>
          <cell r="W286" t="str">
            <v>$</v>
          </cell>
          <cell r="X286">
            <v>0</v>
          </cell>
        </row>
        <row r="287">
          <cell r="C287">
            <v>8098.88</v>
          </cell>
          <cell r="O287">
            <v>1580.08</v>
          </cell>
          <cell r="U287" t="str">
            <v>Véhicules neufs</v>
          </cell>
          <cell r="V287" t="str">
            <v>Taxes foncières</v>
          </cell>
          <cell r="W287" t="str">
            <v>$</v>
          </cell>
          <cell r="X287">
            <v>0</v>
          </cell>
        </row>
        <row r="288">
          <cell r="C288">
            <v>5560.5</v>
          </cell>
          <cell r="O288">
            <v>1049.5999999999999</v>
          </cell>
          <cell r="U288" t="str">
            <v>Véhicules neufs</v>
          </cell>
          <cell r="V288" t="str">
            <v>Taxes d`affaires</v>
          </cell>
          <cell r="W288" t="str">
            <v>$</v>
          </cell>
          <cell r="X288">
            <v>0</v>
          </cell>
        </row>
        <row r="289">
          <cell r="C289">
            <v>10710.6</v>
          </cell>
          <cell r="O289">
            <v>2096.04</v>
          </cell>
          <cell r="U289" t="str">
            <v>Véhicules neufs</v>
          </cell>
          <cell r="V289" t="str">
            <v>Honoraires</v>
          </cell>
          <cell r="W289" t="str">
            <v>$</v>
          </cell>
          <cell r="X289">
            <v>0</v>
          </cell>
        </row>
        <row r="290">
          <cell r="C290">
            <v>103723.5</v>
          </cell>
          <cell r="O290">
            <v>24308.98</v>
          </cell>
          <cell r="U290" t="str">
            <v>Véhicules usagés</v>
          </cell>
          <cell r="V290" t="str">
            <v>Comm. vendeurs</v>
          </cell>
          <cell r="W290" t="str">
            <v>$</v>
          </cell>
          <cell r="X290">
            <v>0</v>
          </cell>
        </row>
        <row r="291">
          <cell r="C291">
            <v>84459.45</v>
          </cell>
          <cell r="O291">
            <v>19131.400000000001</v>
          </cell>
          <cell r="U291" t="str">
            <v>Véhicules usagés</v>
          </cell>
          <cell r="V291" t="str">
            <v>Comm. F&amp;I</v>
          </cell>
          <cell r="W291" t="str">
            <v>$</v>
          </cell>
          <cell r="X291">
            <v>0</v>
          </cell>
        </row>
        <row r="292">
          <cell r="C292">
            <v>-1063.45</v>
          </cell>
          <cell r="O292">
            <v>0</v>
          </cell>
          <cell r="U292" t="str">
            <v>Véhicules usagés</v>
          </cell>
          <cell r="V292" t="str">
            <v>Service gratuit 1</v>
          </cell>
          <cell r="W292" t="str">
            <v>$</v>
          </cell>
          <cell r="X292">
            <v>0</v>
          </cell>
        </row>
        <row r="293">
          <cell r="C293">
            <v>21580.02</v>
          </cell>
          <cell r="O293">
            <v>4157.59</v>
          </cell>
          <cell r="U293" t="str">
            <v>Véhicules usagés</v>
          </cell>
          <cell r="V293" t="str">
            <v>Entretien stock</v>
          </cell>
          <cell r="W293" t="str">
            <v>$</v>
          </cell>
          <cell r="X293">
            <v>0</v>
          </cell>
        </row>
        <row r="294">
          <cell r="C294">
            <v>16807.66</v>
          </cell>
          <cell r="O294">
            <v>1562.35</v>
          </cell>
          <cell r="U294" t="str">
            <v>Véhicules usagés</v>
          </cell>
          <cell r="V294" t="str">
            <v>Intérêt de gros</v>
          </cell>
          <cell r="W294" t="str">
            <v>$</v>
          </cell>
          <cell r="X294">
            <v>0</v>
          </cell>
        </row>
        <row r="295">
          <cell r="C295">
            <v>-865.89</v>
          </cell>
          <cell r="O295">
            <v>-63.46</v>
          </cell>
          <cell r="U295" t="str">
            <v>Véhicules usagés</v>
          </cell>
          <cell r="V295" t="str">
            <v>Frais de livraison</v>
          </cell>
          <cell r="W295" t="str">
            <v>$</v>
          </cell>
          <cell r="X295">
            <v>0</v>
          </cell>
        </row>
        <row r="296">
          <cell r="C296">
            <v>66795.69</v>
          </cell>
          <cell r="O296">
            <v>16237.85</v>
          </cell>
          <cell r="U296" t="str">
            <v>Véhicules usagés</v>
          </cell>
          <cell r="V296" t="str">
            <v>Publicité 1</v>
          </cell>
          <cell r="W296" t="str">
            <v>$</v>
          </cell>
          <cell r="X296">
            <v>0</v>
          </cell>
        </row>
        <row r="297">
          <cell r="C297">
            <v>-12900</v>
          </cell>
          <cell r="O297">
            <v>-2300</v>
          </cell>
          <cell r="U297" t="str">
            <v>Véhicules usagés</v>
          </cell>
          <cell r="V297" t="str">
            <v>Publicité 1</v>
          </cell>
          <cell r="W297" t="str">
            <v>$</v>
          </cell>
          <cell r="X297">
            <v>0</v>
          </cell>
        </row>
        <row r="298">
          <cell r="C298">
            <v>9323.77</v>
          </cell>
          <cell r="O298">
            <v>1973.11</v>
          </cell>
          <cell r="U298" t="str">
            <v>Véhicules usagés</v>
          </cell>
          <cell r="V298" t="str">
            <v>Salaires propriétaire</v>
          </cell>
          <cell r="W298" t="str">
            <v>$</v>
          </cell>
          <cell r="X298">
            <v>0</v>
          </cell>
        </row>
        <row r="299">
          <cell r="C299">
            <v>36234.9</v>
          </cell>
          <cell r="O299">
            <v>5868.57</v>
          </cell>
          <cell r="U299" t="str">
            <v>Véhicules usagés</v>
          </cell>
          <cell r="V299" t="str">
            <v>Salaires cadres</v>
          </cell>
          <cell r="W299" t="str">
            <v>$</v>
          </cell>
          <cell r="X299">
            <v>0</v>
          </cell>
        </row>
        <row r="300">
          <cell r="C300">
            <v>21019.5</v>
          </cell>
          <cell r="O300">
            <v>7695.5</v>
          </cell>
          <cell r="U300" t="str">
            <v>Véhicules usagés</v>
          </cell>
          <cell r="V300" t="str">
            <v>Salaires commis</v>
          </cell>
          <cell r="W300" t="str">
            <v>$</v>
          </cell>
          <cell r="X300">
            <v>0</v>
          </cell>
        </row>
        <row r="301">
          <cell r="C301">
            <v>62456.24</v>
          </cell>
          <cell r="O301">
            <v>10820.29</v>
          </cell>
          <cell r="U301" t="str">
            <v>Véhicules usagés</v>
          </cell>
          <cell r="V301" t="str">
            <v>Salaires autres</v>
          </cell>
          <cell r="W301" t="str">
            <v>$</v>
          </cell>
          <cell r="X301">
            <v>0</v>
          </cell>
        </row>
        <row r="302">
          <cell r="C302">
            <v>18119.48</v>
          </cell>
          <cell r="O302">
            <v>9064.58</v>
          </cell>
          <cell r="U302" t="str">
            <v>Véhicules usagés</v>
          </cell>
          <cell r="V302" t="str">
            <v>Salaires en absences</v>
          </cell>
          <cell r="W302" t="str">
            <v>$</v>
          </cell>
          <cell r="X302">
            <v>0</v>
          </cell>
        </row>
        <row r="303">
          <cell r="C303">
            <v>5482.1</v>
          </cell>
          <cell r="O303">
            <v>1964.95</v>
          </cell>
          <cell r="U303" t="str">
            <v>Véhicules usagés</v>
          </cell>
          <cell r="V303" t="str">
            <v>Csst</v>
          </cell>
          <cell r="W303" t="str">
            <v>$</v>
          </cell>
          <cell r="X303">
            <v>0</v>
          </cell>
        </row>
        <row r="304">
          <cell r="C304">
            <v>33782.49</v>
          </cell>
          <cell r="O304">
            <v>8664.81</v>
          </cell>
          <cell r="U304" t="str">
            <v>Véhicules usagés</v>
          </cell>
          <cell r="V304" t="str">
            <v>Déduction à la source</v>
          </cell>
          <cell r="W304" t="str">
            <v>$</v>
          </cell>
          <cell r="X304">
            <v>0</v>
          </cell>
        </row>
        <row r="305">
          <cell r="C305">
            <v>4931.7</v>
          </cell>
          <cell r="O305">
            <v>1430.83</v>
          </cell>
          <cell r="U305" t="str">
            <v>Véhicules usagés</v>
          </cell>
          <cell r="V305" t="str">
            <v>Bénéfices marginaux</v>
          </cell>
          <cell r="W305" t="str">
            <v>$</v>
          </cell>
          <cell r="X305">
            <v>0</v>
          </cell>
        </row>
        <row r="306">
          <cell r="C306">
            <v>1687.92</v>
          </cell>
          <cell r="O306">
            <v>2078.5100000000002</v>
          </cell>
          <cell r="U306" t="str">
            <v>Véhicules usagés</v>
          </cell>
          <cell r="V306" t="str">
            <v>Bénéfices marginaux</v>
          </cell>
          <cell r="W306" t="str">
            <v>$</v>
          </cell>
          <cell r="X306">
            <v>0</v>
          </cell>
        </row>
        <row r="307">
          <cell r="C307">
            <v>3.09</v>
          </cell>
          <cell r="O307">
            <v>0</v>
          </cell>
          <cell r="U307" t="str">
            <v>Véhicules usagés</v>
          </cell>
          <cell r="V307" t="str">
            <v>Fournitures autres</v>
          </cell>
          <cell r="W307" t="str">
            <v>$</v>
          </cell>
          <cell r="X307">
            <v>0</v>
          </cell>
        </row>
        <row r="308">
          <cell r="C308">
            <v>210</v>
          </cell>
          <cell r="O308">
            <v>0</v>
          </cell>
          <cell r="U308" t="str">
            <v>Véhicules usagés</v>
          </cell>
          <cell r="V308" t="str">
            <v>Uniformes</v>
          </cell>
          <cell r="W308" t="str">
            <v>$</v>
          </cell>
          <cell r="X308">
            <v>0</v>
          </cell>
        </row>
        <row r="309">
          <cell r="C309">
            <v>4336.99</v>
          </cell>
          <cell r="O309">
            <v>182.97</v>
          </cell>
          <cell r="U309" t="str">
            <v>Véhicules usagés</v>
          </cell>
          <cell r="V309" t="str">
            <v>Formation</v>
          </cell>
          <cell r="W309" t="str">
            <v>$</v>
          </cell>
          <cell r="X309">
            <v>0</v>
          </cell>
        </row>
        <row r="310">
          <cell r="C310">
            <v>3936.12</v>
          </cell>
          <cell r="O310">
            <v>1622</v>
          </cell>
          <cell r="U310" t="str">
            <v>Véhicules usagés</v>
          </cell>
          <cell r="V310" t="str">
            <v>Frais véhicules de cie</v>
          </cell>
          <cell r="W310" t="str">
            <v>$</v>
          </cell>
          <cell r="X310">
            <v>0</v>
          </cell>
        </row>
        <row r="311">
          <cell r="C311">
            <v>344.76</v>
          </cell>
          <cell r="O311">
            <v>30.69</v>
          </cell>
          <cell r="U311" t="str">
            <v>Véhicules usagés</v>
          </cell>
          <cell r="V311" t="str">
            <v>Frais postaux</v>
          </cell>
          <cell r="W311" t="str">
            <v>$</v>
          </cell>
          <cell r="X311">
            <v>0</v>
          </cell>
        </row>
        <row r="312">
          <cell r="C312">
            <v>18054.05</v>
          </cell>
          <cell r="O312">
            <v>3390.32</v>
          </cell>
          <cell r="U312" t="str">
            <v>Véhicules usagés</v>
          </cell>
          <cell r="V312" t="str">
            <v>Informatique</v>
          </cell>
          <cell r="W312" t="str">
            <v>$</v>
          </cell>
          <cell r="X312">
            <v>0</v>
          </cell>
        </row>
        <row r="313">
          <cell r="C313">
            <v>1639.14</v>
          </cell>
          <cell r="O313">
            <v>227.16</v>
          </cell>
          <cell r="U313" t="str">
            <v>Véhicules usagés</v>
          </cell>
          <cell r="V313" t="str">
            <v>Papeterie</v>
          </cell>
          <cell r="W313" t="str">
            <v>$</v>
          </cell>
          <cell r="X313">
            <v>0</v>
          </cell>
        </row>
        <row r="314">
          <cell r="C314">
            <v>364.94</v>
          </cell>
          <cell r="O314">
            <v>35.96</v>
          </cell>
          <cell r="U314" t="str">
            <v>Véhicules usagés</v>
          </cell>
          <cell r="V314" t="str">
            <v>Téléphone</v>
          </cell>
          <cell r="W314" t="str">
            <v>$</v>
          </cell>
          <cell r="X314">
            <v>0</v>
          </cell>
        </row>
        <row r="315">
          <cell r="C315">
            <v>417.03</v>
          </cell>
          <cell r="O315">
            <v>41.75</v>
          </cell>
          <cell r="U315" t="str">
            <v>Véhicules usagés</v>
          </cell>
          <cell r="V315" t="str">
            <v>Divers</v>
          </cell>
          <cell r="W315" t="str">
            <v>$</v>
          </cell>
          <cell r="X315">
            <v>0</v>
          </cell>
        </row>
        <row r="316">
          <cell r="C316">
            <v>5055.84</v>
          </cell>
          <cell r="O316">
            <v>-6.81</v>
          </cell>
          <cell r="U316" t="str">
            <v>Véhicules usagés</v>
          </cell>
          <cell r="V316" t="str">
            <v>Frais de déplacement</v>
          </cell>
          <cell r="W316" t="str">
            <v>$</v>
          </cell>
          <cell r="X316">
            <v>0</v>
          </cell>
        </row>
        <row r="317">
          <cell r="C317">
            <v>3719.98</v>
          </cell>
          <cell r="O317">
            <v>786.04</v>
          </cell>
          <cell r="U317" t="str">
            <v>Véhicules usagés</v>
          </cell>
          <cell r="V317" t="str">
            <v>Frais bancaires</v>
          </cell>
          <cell r="W317" t="str">
            <v>$</v>
          </cell>
          <cell r="X317">
            <v>0</v>
          </cell>
        </row>
        <row r="318">
          <cell r="C318">
            <v>8066.27</v>
          </cell>
          <cell r="O318">
            <v>1114.8</v>
          </cell>
          <cell r="U318" t="str">
            <v>Véhicules usagés</v>
          </cell>
          <cell r="V318" t="str">
            <v>Services extérieurs</v>
          </cell>
          <cell r="W318" t="str">
            <v>$</v>
          </cell>
          <cell r="X318">
            <v>0</v>
          </cell>
        </row>
        <row r="319">
          <cell r="C319">
            <v>2588.6999999999998</v>
          </cell>
          <cell r="O319">
            <v>517.74</v>
          </cell>
          <cell r="U319" t="str">
            <v>Véhicules usagés</v>
          </cell>
          <cell r="V319" t="str">
            <v>Amortissement</v>
          </cell>
          <cell r="W319" t="str">
            <v>$</v>
          </cell>
          <cell r="X319">
            <v>0</v>
          </cell>
        </row>
        <row r="320">
          <cell r="C320">
            <v>2022.38</v>
          </cell>
          <cell r="O320">
            <v>-107.86</v>
          </cell>
          <cell r="U320" t="str">
            <v>Véhicules usagés</v>
          </cell>
          <cell r="V320" t="str">
            <v>Chauffage, éclairage</v>
          </cell>
          <cell r="W320" t="str">
            <v>$</v>
          </cell>
          <cell r="X320">
            <v>0</v>
          </cell>
        </row>
        <row r="321">
          <cell r="C321">
            <v>15600</v>
          </cell>
          <cell r="O321">
            <v>3120</v>
          </cell>
          <cell r="U321" t="str">
            <v>Véhicules usagés</v>
          </cell>
          <cell r="V321" t="str">
            <v>Loyer</v>
          </cell>
          <cell r="W321" t="str">
            <v>$</v>
          </cell>
          <cell r="X321">
            <v>0</v>
          </cell>
        </row>
        <row r="322">
          <cell r="C322">
            <v>2562.6</v>
          </cell>
          <cell r="O322">
            <v>512.52</v>
          </cell>
          <cell r="U322" t="str">
            <v>Véhicules usagés</v>
          </cell>
          <cell r="V322" t="str">
            <v>Assurances</v>
          </cell>
          <cell r="W322" t="str">
            <v>$</v>
          </cell>
          <cell r="X322">
            <v>0</v>
          </cell>
        </row>
        <row r="323">
          <cell r="C323">
            <v>3037.08</v>
          </cell>
          <cell r="O323">
            <v>592.53</v>
          </cell>
          <cell r="U323" t="str">
            <v>Véhicules usagés</v>
          </cell>
          <cell r="V323" t="str">
            <v>Taxes foncières</v>
          </cell>
          <cell r="W323" t="str">
            <v>$</v>
          </cell>
          <cell r="X323">
            <v>0</v>
          </cell>
        </row>
        <row r="324">
          <cell r="C324">
            <v>2280.5</v>
          </cell>
          <cell r="O324">
            <v>393.6</v>
          </cell>
          <cell r="U324" t="str">
            <v>Véhicules usagés</v>
          </cell>
          <cell r="V324" t="str">
            <v>Taxes d`affaires</v>
          </cell>
          <cell r="W324" t="str">
            <v>$</v>
          </cell>
          <cell r="X324">
            <v>0</v>
          </cell>
        </row>
        <row r="325">
          <cell r="C325">
            <v>4294.8999999999996</v>
          </cell>
          <cell r="O325">
            <v>786.01</v>
          </cell>
          <cell r="U325" t="str">
            <v>Véhicules usagés</v>
          </cell>
          <cell r="V325" t="str">
            <v>Honoraires</v>
          </cell>
          <cell r="W325" t="str">
            <v>$</v>
          </cell>
          <cell r="X325">
            <v>0</v>
          </cell>
        </row>
        <row r="326">
          <cell r="C326">
            <v>1115</v>
          </cell>
          <cell r="O326">
            <v>0</v>
          </cell>
          <cell r="U326" t="str">
            <v>Véhicules usagés</v>
          </cell>
          <cell r="V326" t="str">
            <v>Divers</v>
          </cell>
          <cell r="W326" t="str">
            <v>$</v>
          </cell>
          <cell r="X326">
            <v>0</v>
          </cell>
        </row>
        <row r="327">
          <cell r="C327">
            <v>6779.29</v>
          </cell>
          <cell r="O327">
            <v>3138.17</v>
          </cell>
          <cell r="U327" t="str">
            <v>Service</v>
          </cell>
          <cell r="V327" t="str">
            <v>Service gratuit 2</v>
          </cell>
          <cell r="W327" t="str">
            <v>$</v>
          </cell>
          <cell r="X327">
            <v>0</v>
          </cell>
        </row>
        <row r="328">
          <cell r="C328">
            <v>224.53</v>
          </cell>
          <cell r="O328">
            <v>154.47999999999999</v>
          </cell>
          <cell r="U328" t="str">
            <v>Service</v>
          </cell>
          <cell r="V328" t="str">
            <v>Service gratuit 2</v>
          </cell>
          <cell r="W328" t="str">
            <v>$</v>
          </cell>
          <cell r="X328">
            <v>0</v>
          </cell>
        </row>
        <row r="329">
          <cell r="C329">
            <v>53156.79</v>
          </cell>
          <cell r="O329">
            <v>11043.03</v>
          </cell>
          <cell r="U329" t="str">
            <v>Service</v>
          </cell>
          <cell r="V329" t="str">
            <v>Publicité 2</v>
          </cell>
          <cell r="W329" t="str">
            <v>$</v>
          </cell>
          <cell r="X329">
            <v>0</v>
          </cell>
        </row>
        <row r="330">
          <cell r="C330">
            <v>20978.53</v>
          </cell>
          <cell r="O330">
            <v>4439.5</v>
          </cell>
          <cell r="U330" t="str">
            <v>Service</v>
          </cell>
          <cell r="V330" t="str">
            <v>Salaires propriétaire</v>
          </cell>
          <cell r="W330" t="str">
            <v>$</v>
          </cell>
          <cell r="X330">
            <v>0</v>
          </cell>
        </row>
        <row r="331">
          <cell r="C331">
            <v>44867.23</v>
          </cell>
          <cell r="O331">
            <v>10048.370000000001</v>
          </cell>
          <cell r="U331" t="str">
            <v>Service</v>
          </cell>
          <cell r="V331" t="str">
            <v>Salaires cadres</v>
          </cell>
          <cell r="W331" t="str">
            <v>$</v>
          </cell>
          <cell r="X331">
            <v>0</v>
          </cell>
        </row>
        <row r="332">
          <cell r="C332">
            <v>32516.73</v>
          </cell>
          <cell r="O332">
            <v>4392.7299999999996</v>
          </cell>
          <cell r="U332" t="str">
            <v>Service</v>
          </cell>
          <cell r="V332" t="str">
            <v>Salaires commis</v>
          </cell>
          <cell r="W332" t="str">
            <v>$</v>
          </cell>
          <cell r="X332">
            <v>0</v>
          </cell>
        </row>
        <row r="333">
          <cell r="C333">
            <v>43952.79</v>
          </cell>
          <cell r="O333">
            <v>4935.46</v>
          </cell>
          <cell r="U333" t="str">
            <v>Service</v>
          </cell>
          <cell r="V333" t="str">
            <v>Salaires autres</v>
          </cell>
          <cell r="W333" t="str">
            <v>$</v>
          </cell>
          <cell r="X333">
            <v>0</v>
          </cell>
        </row>
        <row r="334">
          <cell r="C334">
            <v>136838.38</v>
          </cell>
          <cell r="O334">
            <v>33595.35</v>
          </cell>
          <cell r="U334" t="str">
            <v>Service</v>
          </cell>
          <cell r="V334" t="str">
            <v>Salaires spécialistes</v>
          </cell>
          <cell r="W334" t="str">
            <v>$</v>
          </cell>
          <cell r="X334">
            <v>0</v>
          </cell>
        </row>
        <row r="335">
          <cell r="C335">
            <v>84760</v>
          </cell>
          <cell r="O335">
            <v>17366.91</v>
          </cell>
          <cell r="U335" t="str">
            <v>Service</v>
          </cell>
          <cell r="V335" t="str">
            <v>Salaires en absences</v>
          </cell>
          <cell r="W335" t="str">
            <v>$</v>
          </cell>
          <cell r="X335">
            <v>0</v>
          </cell>
        </row>
        <row r="336">
          <cell r="C336">
            <v>16213.21</v>
          </cell>
          <cell r="O336">
            <v>5572.29</v>
          </cell>
          <cell r="U336" t="str">
            <v>Service</v>
          </cell>
          <cell r="V336" t="str">
            <v>Csst</v>
          </cell>
          <cell r="W336" t="str">
            <v>$</v>
          </cell>
          <cell r="X336">
            <v>0</v>
          </cell>
        </row>
        <row r="337">
          <cell r="C337">
            <v>95817.23</v>
          </cell>
          <cell r="O337">
            <v>16373.82</v>
          </cell>
          <cell r="U337" t="str">
            <v>Service</v>
          </cell>
          <cell r="V337" t="str">
            <v>Déduction à la source</v>
          </cell>
          <cell r="W337" t="str">
            <v>$</v>
          </cell>
          <cell r="X337">
            <v>0</v>
          </cell>
        </row>
        <row r="338">
          <cell r="C338">
            <v>29686.27</v>
          </cell>
          <cell r="O338">
            <v>6665.02</v>
          </cell>
          <cell r="U338" t="str">
            <v>Service</v>
          </cell>
          <cell r="V338" t="str">
            <v>Bénéfices marginaux</v>
          </cell>
          <cell r="W338" t="str">
            <v>$</v>
          </cell>
          <cell r="X338">
            <v>0</v>
          </cell>
        </row>
        <row r="339">
          <cell r="C339">
            <v>24049.27</v>
          </cell>
          <cell r="O339">
            <v>4833.8100000000004</v>
          </cell>
          <cell r="U339" t="str">
            <v>Service</v>
          </cell>
          <cell r="V339" t="str">
            <v>Bénéfices marginaux</v>
          </cell>
          <cell r="W339" t="str">
            <v>$</v>
          </cell>
          <cell r="X339">
            <v>0</v>
          </cell>
        </row>
        <row r="340">
          <cell r="C340">
            <v>4562.3599999999997</v>
          </cell>
          <cell r="O340">
            <v>1565.98</v>
          </cell>
          <cell r="U340" t="str">
            <v>Service</v>
          </cell>
          <cell r="V340" t="str">
            <v>Service gratuit 2</v>
          </cell>
          <cell r="W340" t="str">
            <v>$</v>
          </cell>
          <cell r="X340">
            <v>0</v>
          </cell>
        </row>
        <row r="341">
          <cell r="C341">
            <v>22862.76</v>
          </cell>
          <cell r="O341">
            <v>4394.93</v>
          </cell>
          <cell r="U341" t="str">
            <v>Service</v>
          </cell>
          <cell r="V341" t="str">
            <v>Fournitures autres</v>
          </cell>
          <cell r="W341" t="str">
            <v>$</v>
          </cell>
          <cell r="X341">
            <v>0</v>
          </cell>
        </row>
        <row r="342">
          <cell r="C342">
            <v>8515.9599999999991</v>
          </cell>
          <cell r="O342">
            <v>788.71</v>
          </cell>
          <cell r="U342" t="str">
            <v>Service</v>
          </cell>
          <cell r="V342" t="str">
            <v>Uniformes</v>
          </cell>
          <cell r="W342" t="str">
            <v>$</v>
          </cell>
          <cell r="X342">
            <v>0</v>
          </cell>
        </row>
        <row r="343">
          <cell r="C343">
            <v>27132.87</v>
          </cell>
          <cell r="O343">
            <v>3115.28</v>
          </cell>
          <cell r="U343" t="str">
            <v>Service</v>
          </cell>
          <cell r="V343" t="str">
            <v>Formation</v>
          </cell>
          <cell r="W343" t="str">
            <v>$</v>
          </cell>
          <cell r="X343">
            <v>0</v>
          </cell>
        </row>
        <row r="344">
          <cell r="C344">
            <v>60401.84</v>
          </cell>
          <cell r="O344">
            <v>14198.73</v>
          </cell>
          <cell r="U344" t="str">
            <v>Service</v>
          </cell>
          <cell r="V344" t="str">
            <v>Frais véhicules de cie</v>
          </cell>
          <cell r="W344" t="str">
            <v>$</v>
          </cell>
          <cell r="X344">
            <v>0</v>
          </cell>
        </row>
        <row r="345">
          <cell r="C345">
            <v>690.06</v>
          </cell>
          <cell r="O345">
            <v>-15.61</v>
          </cell>
          <cell r="U345" t="str">
            <v>Service</v>
          </cell>
          <cell r="V345" t="str">
            <v>Frais postaux</v>
          </cell>
          <cell r="W345" t="str">
            <v>$</v>
          </cell>
          <cell r="X345">
            <v>0</v>
          </cell>
        </row>
        <row r="346">
          <cell r="C346">
            <v>21324.67</v>
          </cell>
          <cell r="O346">
            <v>3979.91</v>
          </cell>
          <cell r="U346" t="str">
            <v>Service</v>
          </cell>
          <cell r="V346" t="str">
            <v>Informatique</v>
          </cell>
          <cell r="W346" t="str">
            <v>$</v>
          </cell>
          <cell r="X346">
            <v>0</v>
          </cell>
        </row>
        <row r="347">
          <cell r="C347">
            <v>3998.74</v>
          </cell>
          <cell r="O347">
            <v>1170.8699999999999</v>
          </cell>
          <cell r="U347" t="str">
            <v>Service</v>
          </cell>
          <cell r="V347" t="str">
            <v>Papeterie</v>
          </cell>
          <cell r="W347" t="str">
            <v>$</v>
          </cell>
          <cell r="X347">
            <v>0</v>
          </cell>
        </row>
        <row r="348">
          <cell r="C348">
            <v>1116.98</v>
          </cell>
          <cell r="O348">
            <v>177.5</v>
          </cell>
          <cell r="U348" t="str">
            <v>Service</v>
          </cell>
          <cell r="V348" t="str">
            <v>Téléphone</v>
          </cell>
          <cell r="W348" t="str">
            <v>$</v>
          </cell>
          <cell r="X348">
            <v>0</v>
          </cell>
        </row>
        <row r="349">
          <cell r="C349">
            <v>910.07</v>
          </cell>
          <cell r="O349">
            <v>83.51</v>
          </cell>
          <cell r="U349" t="str">
            <v>Service</v>
          </cell>
          <cell r="V349" t="str">
            <v>Divers</v>
          </cell>
          <cell r="W349" t="str">
            <v>$</v>
          </cell>
          <cell r="X349">
            <v>0</v>
          </cell>
        </row>
        <row r="350">
          <cell r="C350">
            <v>8145.59</v>
          </cell>
          <cell r="O350">
            <v>2116.58</v>
          </cell>
          <cell r="U350" t="str">
            <v>Service</v>
          </cell>
          <cell r="V350" t="str">
            <v>Frais de déplacement</v>
          </cell>
          <cell r="W350" t="str">
            <v>$</v>
          </cell>
          <cell r="X350">
            <v>0</v>
          </cell>
        </row>
        <row r="351">
          <cell r="C351">
            <v>8369.9</v>
          </cell>
          <cell r="O351">
            <v>1768.57</v>
          </cell>
          <cell r="U351" t="str">
            <v>Service</v>
          </cell>
          <cell r="V351" t="str">
            <v>Frais bancaires</v>
          </cell>
          <cell r="W351" t="str">
            <v>$</v>
          </cell>
          <cell r="X351">
            <v>0</v>
          </cell>
        </row>
        <row r="352">
          <cell r="C352">
            <v>16241.09</v>
          </cell>
          <cell r="O352">
            <v>4130.46</v>
          </cell>
          <cell r="U352" t="str">
            <v>Service</v>
          </cell>
          <cell r="V352" t="str">
            <v>Services extérieurs</v>
          </cell>
          <cell r="W352" t="str">
            <v>$</v>
          </cell>
          <cell r="X352">
            <v>0</v>
          </cell>
        </row>
        <row r="353">
          <cell r="C353">
            <v>5177.3999999999996</v>
          </cell>
          <cell r="O353">
            <v>1035.48</v>
          </cell>
          <cell r="U353" t="str">
            <v>Service</v>
          </cell>
          <cell r="V353" t="str">
            <v>Amortissement</v>
          </cell>
          <cell r="W353" t="str">
            <v>$</v>
          </cell>
          <cell r="X353">
            <v>0</v>
          </cell>
        </row>
        <row r="354">
          <cell r="C354">
            <v>2226.88</v>
          </cell>
          <cell r="O354">
            <v>0</v>
          </cell>
          <cell r="U354" t="str">
            <v>Service</v>
          </cell>
          <cell r="V354" t="str">
            <v>Location équipement</v>
          </cell>
          <cell r="W354" t="str">
            <v>$</v>
          </cell>
          <cell r="X354">
            <v>0</v>
          </cell>
        </row>
        <row r="355">
          <cell r="C355">
            <v>10589.28</v>
          </cell>
          <cell r="O355">
            <v>0</v>
          </cell>
          <cell r="U355" t="str">
            <v>Service</v>
          </cell>
          <cell r="V355" t="str">
            <v>Réparation équipement</v>
          </cell>
          <cell r="W355" t="str">
            <v>$</v>
          </cell>
          <cell r="X355">
            <v>0</v>
          </cell>
        </row>
        <row r="356">
          <cell r="C356">
            <v>4044.73</v>
          </cell>
          <cell r="O356">
            <v>-215.73</v>
          </cell>
          <cell r="U356" t="str">
            <v>Service</v>
          </cell>
          <cell r="V356" t="str">
            <v>Chauffage, éclairage</v>
          </cell>
          <cell r="W356" t="str">
            <v>$</v>
          </cell>
          <cell r="X356">
            <v>0</v>
          </cell>
        </row>
        <row r="357">
          <cell r="C357">
            <v>31200</v>
          </cell>
          <cell r="O357">
            <v>6240</v>
          </cell>
          <cell r="U357" t="str">
            <v>Service</v>
          </cell>
          <cell r="V357" t="str">
            <v>Loyer</v>
          </cell>
          <cell r="W357" t="str">
            <v>$</v>
          </cell>
          <cell r="X357">
            <v>0</v>
          </cell>
        </row>
        <row r="358">
          <cell r="C358">
            <v>5125.2</v>
          </cell>
          <cell r="O358">
            <v>1025.04</v>
          </cell>
          <cell r="U358" t="str">
            <v>Service</v>
          </cell>
          <cell r="V358" t="str">
            <v>Assurances</v>
          </cell>
          <cell r="W358" t="str">
            <v>$</v>
          </cell>
          <cell r="X358">
            <v>0</v>
          </cell>
        </row>
        <row r="359">
          <cell r="C359">
            <v>6074.16</v>
          </cell>
          <cell r="O359">
            <v>1185.06</v>
          </cell>
          <cell r="U359" t="str">
            <v>Service</v>
          </cell>
          <cell r="V359" t="str">
            <v>Taxes foncières</v>
          </cell>
          <cell r="W359" t="str">
            <v>$</v>
          </cell>
          <cell r="X359">
            <v>0</v>
          </cell>
        </row>
        <row r="360">
          <cell r="C360">
            <v>3936</v>
          </cell>
          <cell r="O360">
            <v>787.2</v>
          </cell>
          <cell r="U360" t="str">
            <v>Service</v>
          </cell>
          <cell r="V360" t="str">
            <v>Taxes d`affaires</v>
          </cell>
          <cell r="W360" t="str">
            <v>$</v>
          </cell>
          <cell r="X360">
            <v>0</v>
          </cell>
        </row>
        <row r="361">
          <cell r="C361">
            <v>8032.95</v>
          </cell>
          <cell r="O361">
            <v>1572.03</v>
          </cell>
          <cell r="U361" t="str">
            <v>Service</v>
          </cell>
          <cell r="V361" t="str">
            <v>Honoraires</v>
          </cell>
          <cell r="W361" t="str">
            <v>$</v>
          </cell>
          <cell r="X361">
            <v>0</v>
          </cell>
        </row>
        <row r="362">
          <cell r="C362">
            <v>1887.56</v>
          </cell>
          <cell r="O362">
            <v>3855.54</v>
          </cell>
          <cell r="U362" t="str">
            <v>Carrosserie</v>
          </cell>
          <cell r="V362" t="str">
            <v>Service gratuit 2</v>
          </cell>
          <cell r="W362" t="str">
            <v>$</v>
          </cell>
          <cell r="X362">
            <v>0</v>
          </cell>
        </row>
        <row r="363">
          <cell r="C363">
            <v>278.58999999999997</v>
          </cell>
          <cell r="O363">
            <v>168.82</v>
          </cell>
          <cell r="U363" t="str">
            <v>Carrosserie</v>
          </cell>
          <cell r="V363" t="str">
            <v>Publicité 2</v>
          </cell>
          <cell r="W363" t="str">
            <v>$</v>
          </cell>
          <cell r="X363">
            <v>0</v>
          </cell>
        </row>
        <row r="364">
          <cell r="C364">
            <v>2330.9699999999998</v>
          </cell>
          <cell r="O364">
            <v>493.29</v>
          </cell>
          <cell r="U364" t="str">
            <v>Carrosserie</v>
          </cell>
          <cell r="V364" t="str">
            <v>Salaires propriétaire</v>
          </cell>
          <cell r="W364" t="str">
            <v>$</v>
          </cell>
          <cell r="X364">
            <v>0</v>
          </cell>
        </row>
        <row r="365">
          <cell r="C365">
            <v>5393.24</v>
          </cell>
          <cell r="O365">
            <v>768.04</v>
          </cell>
          <cell r="U365" t="str">
            <v>Carrosserie</v>
          </cell>
          <cell r="V365" t="str">
            <v>Salaires cadres</v>
          </cell>
          <cell r="W365" t="str">
            <v>$</v>
          </cell>
          <cell r="X365">
            <v>0</v>
          </cell>
        </row>
        <row r="366">
          <cell r="C366">
            <v>20359.3</v>
          </cell>
          <cell r="O366">
            <v>5032.4399999999996</v>
          </cell>
          <cell r="U366" t="str">
            <v>Carrosserie</v>
          </cell>
          <cell r="V366" t="str">
            <v>Salaires spécialistes</v>
          </cell>
          <cell r="W366" t="str">
            <v>$</v>
          </cell>
          <cell r="X366">
            <v>0</v>
          </cell>
        </row>
        <row r="367">
          <cell r="C367">
            <v>0.4</v>
          </cell>
          <cell r="O367">
            <v>0.21</v>
          </cell>
          <cell r="U367" t="str">
            <v>Carrosserie</v>
          </cell>
          <cell r="V367" t="str">
            <v>Salaires autres</v>
          </cell>
          <cell r="W367" t="str">
            <v>$</v>
          </cell>
          <cell r="X367">
            <v>0</v>
          </cell>
        </row>
        <row r="368">
          <cell r="C368">
            <v>1915.97</v>
          </cell>
          <cell r="O368">
            <v>352.77</v>
          </cell>
          <cell r="U368" t="str">
            <v>Carrosserie</v>
          </cell>
          <cell r="V368" t="str">
            <v>Salaires en absences</v>
          </cell>
          <cell r="W368" t="str">
            <v>$</v>
          </cell>
          <cell r="X368">
            <v>0</v>
          </cell>
        </row>
        <row r="369">
          <cell r="C369">
            <v>584.34</v>
          </cell>
          <cell r="O369">
            <v>419.85</v>
          </cell>
          <cell r="U369" t="str">
            <v>Carrosserie</v>
          </cell>
          <cell r="V369" t="str">
            <v>Csst</v>
          </cell>
          <cell r="W369" t="str">
            <v>$</v>
          </cell>
          <cell r="X369">
            <v>0</v>
          </cell>
        </row>
        <row r="370">
          <cell r="C370">
            <v>6400.87</v>
          </cell>
          <cell r="O370">
            <v>1340.49</v>
          </cell>
          <cell r="U370" t="str">
            <v>Carrosserie</v>
          </cell>
          <cell r="V370" t="str">
            <v>Déduction à la source</v>
          </cell>
          <cell r="W370" t="str">
            <v>$</v>
          </cell>
          <cell r="X370">
            <v>0</v>
          </cell>
        </row>
        <row r="371">
          <cell r="C371">
            <v>329.67</v>
          </cell>
          <cell r="O371">
            <v>0</v>
          </cell>
          <cell r="U371" t="str">
            <v>Carrosserie</v>
          </cell>
          <cell r="V371" t="str">
            <v>Bénéfices marginaux</v>
          </cell>
          <cell r="W371" t="str">
            <v>$</v>
          </cell>
          <cell r="X371">
            <v>0</v>
          </cell>
        </row>
        <row r="372">
          <cell r="C372">
            <v>672.22</v>
          </cell>
          <cell r="O372">
            <v>122.31</v>
          </cell>
          <cell r="U372" t="str">
            <v>Carrosserie</v>
          </cell>
          <cell r="V372" t="str">
            <v>Bénéfices marginaux</v>
          </cell>
          <cell r="W372" t="str">
            <v>$</v>
          </cell>
          <cell r="X372">
            <v>0</v>
          </cell>
        </row>
        <row r="373">
          <cell r="C373">
            <v>1.8</v>
          </cell>
          <cell r="O373">
            <v>0</v>
          </cell>
          <cell r="U373" t="str">
            <v>Carrosserie</v>
          </cell>
          <cell r="V373" t="str">
            <v>Fournitures autres</v>
          </cell>
          <cell r="W373" t="str">
            <v>$</v>
          </cell>
          <cell r="X373">
            <v>0</v>
          </cell>
        </row>
        <row r="374">
          <cell r="C374">
            <v>1936.43</v>
          </cell>
          <cell r="O374">
            <v>272.94</v>
          </cell>
          <cell r="U374" t="str">
            <v>Carrosserie</v>
          </cell>
          <cell r="V374" t="str">
            <v>Formation</v>
          </cell>
          <cell r="W374" t="str">
            <v>$</v>
          </cell>
          <cell r="X374">
            <v>0</v>
          </cell>
        </row>
        <row r="375">
          <cell r="C375">
            <v>3547.67</v>
          </cell>
          <cell r="O375">
            <v>165.8</v>
          </cell>
          <cell r="U375" t="str">
            <v>Carrosserie</v>
          </cell>
          <cell r="V375" t="str">
            <v>Frais véhicules de cie</v>
          </cell>
          <cell r="W375" t="str">
            <v>$</v>
          </cell>
          <cell r="X375">
            <v>0</v>
          </cell>
        </row>
        <row r="376">
          <cell r="C376">
            <v>113.83</v>
          </cell>
          <cell r="O376">
            <v>17.91</v>
          </cell>
          <cell r="U376" t="str">
            <v>Carrosserie</v>
          </cell>
          <cell r="V376" t="str">
            <v>Frais postaux</v>
          </cell>
          <cell r="W376" t="str">
            <v>$</v>
          </cell>
          <cell r="X376">
            <v>0</v>
          </cell>
        </row>
        <row r="377">
          <cell r="C377">
            <v>8005.53</v>
          </cell>
          <cell r="O377">
            <v>1422.13</v>
          </cell>
          <cell r="U377" t="str">
            <v>Carrosserie</v>
          </cell>
          <cell r="V377" t="str">
            <v>Informatique</v>
          </cell>
          <cell r="W377" t="str">
            <v>$</v>
          </cell>
          <cell r="X377">
            <v>0</v>
          </cell>
        </row>
        <row r="378">
          <cell r="C378">
            <v>704.38</v>
          </cell>
          <cell r="O378">
            <v>132.52000000000001</v>
          </cell>
          <cell r="U378" t="str">
            <v>Carrosserie</v>
          </cell>
          <cell r="V378" t="str">
            <v>Papeterie</v>
          </cell>
          <cell r="W378" t="str">
            <v>$</v>
          </cell>
          <cell r="X378">
            <v>0</v>
          </cell>
        </row>
        <row r="379">
          <cell r="C379">
            <v>110.25</v>
          </cell>
          <cell r="O379">
            <v>20.98</v>
          </cell>
          <cell r="U379" t="str">
            <v>Carrosserie</v>
          </cell>
          <cell r="V379" t="str">
            <v>Téléphone</v>
          </cell>
          <cell r="W379" t="str">
            <v>$</v>
          </cell>
          <cell r="X379">
            <v>0</v>
          </cell>
        </row>
        <row r="380">
          <cell r="C380">
            <v>243.28</v>
          </cell>
          <cell r="O380">
            <v>24.36</v>
          </cell>
          <cell r="U380" t="str">
            <v>Carrosserie</v>
          </cell>
          <cell r="V380" t="str">
            <v>Divers</v>
          </cell>
          <cell r="W380" t="str">
            <v>$</v>
          </cell>
          <cell r="X380">
            <v>0</v>
          </cell>
        </row>
        <row r="381">
          <cell r="C381">
            <v>1227.94</v>
          </cell>
          <cell r="O381">
            <v>147.46</v>
          </cell>
          <cell r="U381" t="str">
            <v>Carrosserie</v>
          </cell>
          <cell r="V381" t="str">
            <v>Frais de déplacement</v>
          </cell>
          <cell r="W381" t="str">
            <v>$</v>
          </cell>
          <cell r="X381">
            <v>0</v>
          </cell>
        </row>
        <row r="382">
          <cell r="C382">
            <v>930</v>
          </cell>
          <cell r="O382">
            <v>196.51</v>
          </cell>
          <cell r="U382" t="str">
            <v>Carrosserie</v>
          </cell>
          <cell r="V382" t="str">
            <v>Frais bancaires</v>
          </cell>
          <cell r="W382" t="str">
            <v>$</v>
          </cell>
          <cell r="X382">
            <v>0</v>
          </cell>
        </row>
        <row r="383">
          <cell r="C383">
            <v>2907.69</v>
          </cell>
          <cell r="O383">
            <v>492.53</v>
          </cell>
          <cell r="U383" t="str">
            <v>Carrosserie</v>
          </cell>
          <cell r="V383" t="str">
            <v>Services extérieurs</v>
          </cell>
          <cell r="W383" t="str">
            <v>$</v>
          </cell>
          <cell r="X383">
            <v>0</v>
          </cell>
        </row>
        <row r="384">
          <cell r="C384">
            <v>1510.1</v>
          </cell>
          <cell r="O384">
            <v>302.02</v>
          </cell>
          <cell r="U384" t="str">
            <v>Carrosserie</v>
          </cell>
          <cell r="V384" t="str">
            <v>Amortissement</v>
          </cell>
          <cell r="W384" t="str">
            <v>$</v>
          </cell>
          <cell r="X384">
            <v>0</v>
          </cell>
        </row>
        <row r="385">
          <cell r="C385">
            <v>1179.69</v>
          </cell>
          <cell r="O385">
            <v>-62.92</v>
          </cell>
          <cell r="U385" t="str">
            <v>Carrosserie</v>
          </cell>
          <cell r="V385" t="str">
            <v>Chauffage, éclairage</v>
          </cell>
          <cell r="W385" t="str">
            <v>$</v>
          </cell>
          <cell r="X385">
            <v>0</v>
          </cell>
        </row>
        <row r="386">
          <cell r="C386">
            <v>9100</v>
          </cell>
          <cell r="O386">
            <v>1820</v>
          </cell>
          <cell r="U386" t="str">
            <v>Carrosserie</v>
          </cell>
          <cell r="V386" t="str">
            <v>Loyer</v>
          </cell>
          <cell r="W386" t="str">
            <v>$</v>
          </cell>
          <cell r="X386">
            <v>0</v>
          </cell>
        </row>
        <row r="387">
          <cell r="C387">
            <v>1494.85</v>
          </cell>
          <cell r="O387">
            <v>298.97000000000003</v>
          </cell>
          <cell r="U387" t="str">
            <v>Carrosserie</v>
          </cell>
          <cell r="V387" t="str">
            <v>Assurances</v>
          </cell>
          <cell r="W387" t="str">
            <v>$</v>
          </cell>
          <cell r="X387">
            <v>0</v>
          </cell>
        </row>
        <row r="388">
          <cell r="C388">
            <v>1771.63</v>
          </cell>
          <cell r="O388">
            <v>345.64</v>
          </cell>
          <cell r="U388" t="str">
            <v>Carrosserie</v>
          </cell>
          <cell r="V388" t="str">
            <v>Taxes foncières</v>
          </cell>
          <cell r="W388" t="str">
            <v>$</v>
          </cell>
          <cell r="X388">
            <v>0</v>
          </cell>
        </row>
        <row r="389">
          <cell r="O389">
            <v>229.6</v>
          </cell>
          <cell r="U389" t="str">
            <v>Carrosserie</v>
          </cell>
          <cell r="V389" t="str">
            <v>Taxes d`affaires</v>
          </cell>
          <cell r="W389" t="str">
            <v>$</v>
          </cell>
          <cell r="X389">
            <v>0</v>
          </cell>
        </row>
        <row r="390">
          <cell r="O390">
            <v>458.51</v>
          </cell>
          <cell r="U390" t="str">
            <v>Carrosserie</v>
          </cell>
          <cell r="V390" t="str">
            <v>Honoraires</v>
          </cell>
          <cell r="W390" t="str">
            <v>$</v>
          </cell>
          <cell r="X390">
            <v>0</v>
          </cell>
        </row>
        <row r="391">
          <cell r="O391">
            <v>0</v>
          </cell>
          <cell r="U391" t="str">
            <v>Carrosserie</v>
          </cell>
          <cell r="V391" t="str">
            <v>Divers</v>
          </cell>
          <cell r="W391" t="str">
            <v>$</v>
          </cell>
          <cell r="X391">
            <v>0</v>
          </cell>
        </row>
        <row r="392">
          <cell r="O392">
            <v>3208.48</v>
          </cell>
          <cell r="U392" t="str">
            <v>Pièces</v>
          </cell>
          <cell r="V392" t="str">
            <v>Service gratuit 2</v>
          </cell>
          <cell r="W392" t="str">
            <v>$</v>
          </cell>
          <cell r="X392">
            <v>0</v>
          </cell>
        </row>
        <row r="393">
          <cell r="O393">
            <v>4220.76</v>
          </cell>
          <cell r="U393" t="str">
            <v>Pièces</v>
          </cell>
          <cell r="V393" t="str">
            <v>Publicité 2</v>
          </cell>
          <cell r="W393" t="str">
            <v>$</v>
          </cell>
          <cell r="X393">
            <v>0</v>
          </cell>
        </row>
        <row r="394">
          <cell r="O394">
            <v>3946.23</v>
          </cell>
          <cell r="U394" t="str">
            <v>Pièces</v>
          </cell>
          <cell r="V394" t="str">
            <v>Salaires propriétaire</v>
          </cell>
          <cell r="W394" t="str">
            <v>$</v>
          </cell>
          <cell r="X394">
            <v>0</v>
          </cell>
        </row>
        <row r="395">
          <cell r="O395">
            <v>7430.53</v>
          </cell>
          <cell r="U395" t="str">
            <v>Pièces</v>
          </cell>
          <cell r="V395" t="str">
            <v>Salaires cadres</v>
          </cell>
          <cell r="W395" t="str">
            <v>$</v>
          </cell>
          <cell r="X395">
            <v>0</v>
          </cell>
        </row>
        <row r="396">
          <cell r="O396">
            <v>24203.71</v>
          </cell>
          <cell r="U396" t="str">
            <v>Pièces</v>
          </cell>
          <cell r="V396" t="str">
            <v>Salaires commis</v>
          </cell>
          <cell r="W396" t="str">
            <v>$</v>
          </cell>
          <cell r="X396">
            <v>0</v>
          </cell>
        </row>
        <row r="397">
          <cell r="O397">
            <v>1521.99</v>
          </cell>
          <cell r="U397" t="str">
            <v>Pièces</v>
          </cell>
          <cell r="V397" t="str">
            <v>Salaires autres</v>
          </cell>
          <cell r="W397" t="str">
            <v>$</v>
          </cell>
          <cell r="X397">
            <v>0</v>
          </cell>
        </row>
        <row r="398">
          <cell r="O398">
            <v>4167.74</v>
          </cell>
          <cell r="U398" t="str">
            <v>Pièces</v>
          </cell>
          <cell r="V398" t="str">
            <v>Salaires en absences</v>
          </cell>
          <cell r="W398" t="str">
            <v>$</v>
          </cell>
          <cell r="X398">
            <v>0</v>
          </cell>
        </row>
        <row r="399">
          <cell r="O399">
            <v>1818.31</v>
          </cell>
          <cell r="U399" t="str">
            <v>Pièces</v>
          </cell>
          <cell r="V399" t="str">
            <v>Csst</v>
          </cell>
          <cell r="W399" t="str">
            <v>$</v>
          </cell>
          <cell r="X399">
            <v>0</v>
          </cell>
        </row>
        <row r="400">
          <cell r="O400">
            <v>6505.4</v>
          </cell>
          <cell r="U400" t="str">
            <v>Pièces</v>
          </cell>
          <cell r="V400" t="str">
            <v>Déduction à la source</v>
          </cell>
          <cell r="W400" t="str">
            <v>$</v>
          </cell>
          <cell r="X400">
            <v>0</v>
          </cell>
        </row>
        <row r="401">
          <cell r="O401">
            <v>905.52</v>
          </cell>
          <cell r="U401" t="str">
            <v>Pièces</v>
          </cell>
          <cell r="V401" t="str">
            <v>Déduction à la source</v>
          </cell>
          <cell r="W401" t="str">
            <v>$</v>
          </cell>
          <cell r="X401">
            <v>0</v>
          </cell>
        </row>
        <row r="402">
          <cell r="O402">
            <v>949.05</v>
          </cell>
          <cell r="U402" t="str">
            <v>Pièces</v>
          </cell>
          <cell r="V402" t="str">
            <v>Bénéfices marginaux</v>
          </cell>
          <cell r="W402" t="str">
            <v>$</v>
          </cell>
          <cell r="X402">
            <v>0</v>
          </cell>
        </row>
        <row r="403">
          <cell r="O403">
            <v>0</v>
          </cell>
          <cell r="U403" t="str">
            <v>Pièces</v>
          </cell>
          <cell r="V403" t="str">
            <v>Fournitures autres</v>
          </cell>
          <cell r="W403" t="str">
            <v>$</v>
          </cell>
          <cell r="X403">
            <v>0</v>
          </cell>
        </row>
        <row r="404">
          <cell r="O404">
            <v>-486.8</v>
          </cell>
          <cell r="U404" t="str">
            <v>Pièces</v>
          </cell>
          <cell r="V404" t="str">
            <v>Formation</v>
          </cell>
          <cell r="W404" t="str">
            <v>$</v>
          </cell>
          <cell r="X404">
            <v>0</v>
          </cell>
        </row>
        <row r="405">
          <cell r="O405">
            <v>1031</v>
          </cell>
          <cell r="U405" t="str">
            <v>Pièces</v>
          </cell>
          <cell r="V405" t="str">
            <v>Frais véhicules de cie</v>
          </cell>
          <cell r="W405" t="str">
            <v>$</v>
          </cell>
          <cell r="X405">
            <v>0</v>
          </cell>
        </row>
        <row r="406">
          <cell r="O406">
            <v>814.78</v>
          </cell>
          <cell r="U406" t="str">
            <v>Pièces</v>
          </cell>
          <cell r="V406" t="str">
            <v>Frais postaux</v>
          </cell>
          <cell r="W406" t="str">
            <v>$</v>
          </cell>
          <cell r="X406">
            <v>0</v>
          </cell>
        </row>
        <row r="407">
          <cell r="O407">
            <v>3783.42</v>
          </cell>
          <cell r="U407" t="str">
            <v>Pièces</v>
          </cell>
          <cell r="V407" t="str">
            <v>Informatique</v>
          </cell>
          <cell r="W407" t="str">
            <v>$</v>
          </cell>
          <cell r="X407">
            <v>0</v>
          </cell>
        </row>
        <row r="408">
          <cell r="O408">
            <v>1123.3800000000001</v>
          </cell>
          <cell r="U408" t="str">
            <v>Pièces</v>
          </cell>
          <cell r="V408" t="str">
            <v>Papeterie</v>
          </cell>
          <cell r="W408" t="str">
            <v>$</v>
          </cell>
          <cell r="X408">
            <v>0</v>
          </cell>
        </row>
        <row r="409">
          <cell r="O409">
            <v>74.930000000000007</v>
          </cell>
          <cell r="U409" t="str">
            <v>Pièces</v>
          </cell>
          <cell r="V409" t="str">
            <v>Téléphone</v>
          </cell>
          <cell r="W409" t="str">
            <v>$</v>
          </cell>
          <cell r="X409">
            <v>0</v>
          </cell>
        </row>
        <row r="410">
          <cell r="O410">
            <v>86.99</v>
          </cell>
          <cell r="U410" t="str">
            <v>Pièces</v>
          </cell>
          <cell r="V410" t="str">
            <v>Divers</v>
          </cell>
          <cell r="W410" t="str">
            <v>$</v>
          </cell>
          <cell r="X410">
            <v>0</v>
          </cell>
        </row>
        <row r="411">
          <cell r="O411">
            <v>526.75</v>
          </cell>
          <cell r="U411" t="str">
            <v>Pièces</v>
          </cell>
          <cell r="V411" t="str">
            <v>Frais de déplacement</v>
          </cell>
          <cell r="W411" t="str">
            <v>$</v>
          </cell>
          <cell r="X411">
            <v>0</v>
          </cell>
        </row>
        <row r="412">
          <cell r="O412">
            <v>1572.05</v>
          </cell>
          <cell r="U412" t="str">
            <v>Pièces</v>
          </cell>
          <cell r="V412" t="str">
            <v>Frais bancaires</v>
          </cell>
          <cell r="W412" t="str">
            <v>$</v>
          </cell>
          <cell r="X412">
            <v>0</v>
          </cell>
        </row>
        <row r="413">
          <cell r="O413">
            <v>16475.91</v>
          </cell>
          <cell r="U413" t="str">
            <v>Pièces</v>
          </cell>
          <cell r="V413" t="str">
            <v>Services extérieurs</v>
          </cell>
          <cell r="W413" t="str">
            <v>$</v>
          </cell>
          <cell r="X413">
            <v>0</v>
          </cell>
        </row>
        <row r="414">
          <cell r="O414">
            <v>1078.6199999999999</v>
          </cell>
          <cell r="U414" t="str">
            <v>Pièces</v>
          </cell>
          <cell r="V414" t="str">
            <v>Amortissement</v>
          </cell>
          <cell r="W414" t="str">
            <v>$</v>
          </cell>
          <cell r="X414">
            <v>0</v>
          </cell>
        </row>
        <row r="415">
          <cell r="O415">
            <v>-224.72</v>
          </cell>
          <cell r="U415" t="str">
            <v>Pièces</v>
          </cell>
          <cell r="V415" t="str">
            <v>Chauffage, éclairage</v>
          </cell>
          <cell r="W415" t="str">
            <v>$</v>
          </cell>
          <cell r="X415">
            <v>0</v>
          </cell>
        </row>
        <row r="416">
          <cell r="O416">
            <v>6500</v>
          </cell>
          <cell r="U416" t="str">
            <v>Pièces</v>
          </cell>
          <cell r="V416" t="str">
            <v>Loyer</v>
          </cell>
          <cell r="W416" t="str">
            <v>$</v>
          </cell>
          <cell r="X416">
            <v>0</v>
          </cell>
        </row>
        <row r="417">
          <cell r="O417">
            <v>1067.75</v>
          </cell>
          <cell r="U417" t="str">
            <v>Pièces</v>
          </cell>
          <cell r="V417" t="str">
            <v>Assurances</v>
          </cell>
          <cell r="W417" t="str">
            <v>$</v>
          </cell>
          <cell r="X417">
            <v>0</v>
          </cell>
        </row>
        <row r="418">
          <cell r="O418">
            <v>1234.44</v>
          </cell>
          <cell r="U418" t="str">
            <v>Pièces</v>
          </cell>
          <cell r="V418" t="str">
            <v>Taxes foncières</v>
          </cell>
          <cell r="W418" t="str">
            <v>$</v>
          </cell>
          <cell r="X418">
            <v>0</v>
          </cell>
        </row>
        <row r="419">
          <cell r="O419">
            <v>820</v>
          </cell>
          <cell r="U419" t="str">
            <v>Pièces</v>
          </cell>
          <cell r="V419" t="str">
            <v>Taxes d`affaires</v>
          </cell>
          <cell r="W419" t="str">
            <v>$</v>
          </cell>
          <cell r="X419">
            <v>0</v>
          </cell>
        </row>
        <row r="420">
          <cell r="O420">
            <v>1637.53</v>
          </cell>
          <cell r="U420" t="str">
            <v>Pièces</v>
          </cell>
          <cell r="V420" t="str">
            <v>Honoraires</v>
          </cell>
          <cell r="W420" t="str">
            <v>$</v>
          </cell>
          <cell r="X420">
            <v>0</v>
          </cell>
        </row>
        <row r="421">
          <cell r="O421">
            <v>-63469.55</v>
          </cell>
          <cell r="U421" t="str">
            <v>Véhicules neufs</v>
          </cell>
          <cell r="V421" t="str">
            <v>Holdbacks</v>
          </cell>
          <cell r="W421" t="str">
            <v>$</v>
          </cell>
          <cell r="X421">
            <v>0</v>
          </cell>
        </row>
        <row r="422">
          <cell r="O422">
            <v>-7786.26</v>
          </cell>
          <cell r="U422" t="str">
            <v>Pièces</v>
          </cell>
          <cell r="V422" t="str">
            <v>Escomptes</v>
          </cell>
          <cell r="W422" t="str">
            <v>$</v>
          </cell>
          <cell r="X422">
            <v>0</v>
          </cell>
        </row>
        <row r="423">
          <cell r="O423">
            <v>-5095.8900000000003</v>
          </cell>
          <cell r="U423" t="str">
            <v>Véhicules neufs</v>
          </cell>
          <cell r="V423" t="str">
            <v>Rev. Finances</v>
          </cell>
          <cell r="W423" t="str">
            <v>$</v>
          </cell>
          <cell r="X423" t="str">
            <v>Oui</v>
          </cell>
        </row>
        <row r="424">
          <cell r="O424">
            <v>-18374.169999999998</v>
          </cell>
          <cell r="U424" t="str">
            <v>Véhicules usagés</v>
          </cell>
          <cell r="V424" t="str">
            <v>Rev. Finances</v>
          </cell>
          <cell r="W424" t="str">
            <v>$</v>
          </cell>
          <cell r="X424" t="str">
            <v>Oui</v>
          </cell>
        </row>
        <row r="425">
          <cell r="O425">
            <v>0</v>
          </cell>
          <cell r="U425" t="str">
            <v>Véhicules neufs</v>
          </cell>
          <cell r="V425" t="str">
            <v>Rev. Autres</v>
          </cell>
          <cell r="W425" t="str">
            <v>$</v>
          </cell>
          <cell r="X425" t="str">
            <v>Oui</v>
          </cell>
        </row>
        <row r="426">
          <cell r="O426">
            <v>-1498.31</v>
          </cell>
          <cell r="U426" t="str">
            <v>Véhicules usagés</v>
          </cell>
          <cell r="V426" t="str">
            <v>Rev. Autres</v>
          </cell>
          <cell r="W426" t="str">
            <v>$</v>
          </cell>
          <cell r="X426" t="str">
            <v>Oui</v>
          </cell>
        </row>
        <row r="427">
          <cell r="O427">
            <v>-4850</v>
          </cell>
          <cell r="U427" t="str">
            <v>Véhicules neufs</v>
          </cell>
          <cell r="V427" t="str">
            <v>Rev. Protections</v>
          </cell>
          <cell r="W427" t="str">
            <v>$</v>
          </cell>
          <cell r="X427" t="str">
            <v>Oui</v>
          </cell>
        </row>
        <row r="428">
          <cell r="O428">
            <v>-44649.24</v>
          </cell>
          <cell r="U428" t="str">
            <v>Véhicules neufs</v>
          </cell>
          <cell r="V428" t="str">
            <v>Rev. Protections</v>
          </cell>
          <cell r="W428" t="str">
            <v>$</v>
          </cell>
          <cell r="X428" t="str">
            <v>Oui</v>
          </cell>
        </row>
        <row r="429">
          <cell r="O429">
            <v>-29916</v>
          </cell>
          <cell r="U429" t="str">
            <v>Véhicules usagés</v>
          </cell>
          <cell r="V429" t="str">
            <v>Rev. Protections</v>
          </cell>
          <cell r="W429" t="str">
            <v>$</v>
          </cell>
          <cell r="X429" t="str">
            <v>Oui</v>
          </cell>
        </row>
        <row r="430">
          <cell r="O430">
            <v>-13950.15</v>
          </cell>
          <cell r="U430" t="str">
            <v>Véhicules usagés</v>
          </cell>
          <cell r="V430" t="str">
            <v>Rev. Protections</v>
          </cell>
          <cell r="W430" t="str">
            <v>$</v>
          </cell>
          <cell r="X430" t="str">
            <v>Oui</v>
          </cell>
        </row>
        <row r="431">
          <cell r="O431">
            <v>-26386</v>
          </cell>
          <cell r="U431" t="str">
            <v>Véhicules neufs</v>
          </cell>
          <cell r="V431" t="str">
            <v>Frais administration</v>
          </cell>
          <cell r="W431" t="str">
            <v>$</v>
          </cell>
          <cell r="X431">
            <v>0</v>
          </cell>
        </row>
        <row r="432">
          <cell r="O432">
            <v>-8552</v>
          </cell>
          <cell r="U432" t="str">
            <v>Véhicules usagés</v>
          </cell>
          <cell r="V432" t="str">
            <v>Frais administration</v>
          </cell>
          <cell r="W432" t="str">
            <v>$</v>
          </cell>
          <cell r="X432">
            <v>0</v>
          </cell>
        </row>
        <row r="433">
          <cell r="O433">
            <v>-46212.49</v>
          </cell>
          <cell r="U433" t="str">
            <v>TOTAL  DES  REVENUS  ET  DÉPENSES</v>
          </cell>
          <cell r="V433" t="str">
            <v>Revenus autres</v>
          </cell>
          <cell r="W433" t="str">
            <v>$</v>
          </cell>
          <cell r="X433">
            <v>0</v>
          </cell>
        </row>
        <row r="434">
          <cell r="O434">
            <v>-2</v>
          </cell>
          <cell r="U434" t="str">
            <v>Véhicules usagés</v>
          </cell>
          <cell r="V434">
            <v>0</v>
          </cell>
          <cell r="W434" t="str">
            <v>NB</v>
          </cell>
          <cell r="X434">
            <v>0</v>
          </cell>
        </row>
        <row r="435">
          <cell r="O435">
            <v>-4</v>
          </cell>
          <cell r="U435">
            <v>0</v>
          </cell>
          <cell r="V435">
            <v>0</v>
          </cell>
          <cell r="W435" t="str">
            <v>NB</v>
          </cell>
          <cell r="X435">
            <v>0</v>
          </cell>
        </row>
        <row r="436">
          <cell r="O436">
            <v>-21</v>
          </cell>
          <cell r="U436" t="str">
            <v>Véhicules usagés</v>
          </cell>
          <cell r="V436">
            <v>0</v>
          </cell>
          <cell r="W436" t="str">
            <v>NB</v>
          </cell>
          <cell r="X436">
            <v>0</v>
          </cell>
        </row>
        <row r="437">
          <cell r="O437">
            <v>-11</v>
          </cell>
          <cell r="U437" t="str">
            <v>Bilan</v>
          </cell>
          <cell r="V437">
            <v>0</v>
          </cell>
          <cell r="W437" t="str">
            <v>NB</v>
          </cell>
          <cell r="X437">
            <v>0</v>
          </cell>
        </row>
        <row r="438">
          <cell r="O438">
            <v>-1</v>
          </cell>
          <cell r="U438" t="str">
            <v>Bilan</v>
          </cell>
          <cell r="V438">
            <v>0</v>
          </cell>
          <cell r="W438" t="str">
            <v>NB</v>
          </cell>
          <cell r="X438">
            <v>0</v>
          </cell>
        </row>
        <row r="439">
          <cell r="O439">
            <v>-23</v>
          </cell>
          <cell r="U439" t="str">
            <v>Véhicules neufs</v>
          </cell>
          <cell r="V439" t="str">
            <v>Rachat bail</v>
          </cell>
          <cell r="W439" t="str">
            <v>NB</v>
          </cell>
          <cell r="X439">
            <v>0</v>
          </cell>
        </row>
        <row r="440">
          <cell r="O440">
            <v>0</v>
          </cell>
          <cell r="U440" t="str">
            <v>Véhicules neufs</v>
          </cell>
          <cell r="V440" t="str">
            <v>Autos détail</v>
          </cell>
          <cell r="W440" t="str">
            <v>NB</v>
          </cell>
          <cell r="X440">
            <v>0</v>
          </cell>
        </row>
        <row r="441">
          <cell r="O441">
            <v>-11</v>
          </cell>
          <cell r="U441" t="str">
            <v>Véhicules neufs</v>
          </cell>
          <cell r="V441" t="str">
            <v>Autos détail</v>
          </cell>
          <cell r="W441" t="str">
            <v>NB</v>
          </cell>
          <cell r="X441">
            <v>0</v>
          </cell>
        </row>
        <row r="442">
          <cell r="O442">
            <v>-6</v>
          </cell>
          <cell r="U442" t="str">
            <v>Véhicules neufs</v>
          </cell>
          <cell r="V442" t="str">
            <v>Camions détail</v>
          </cell>
          <cell r="W442" t="str">
            <v>NB</v>
          </cell>
          <cell r="X442">
            <v>0</v>
          </cell>
        </row>
        <row r="443">
          <cell r="O443">
            <v>-5</v>
          </cell>
          <cell r="U443" t="str">
            <v>Véhicules neufs</v>
          </cell>
          <cell r="V443" t="str">
            <v>Camions détail</v>
          </cell>
          <cell r="W443" t="str">
            <v>NB</v>
          </cell>
          <cell r="X443">
            <v>0</v>
          </cell>
        </row>
        <row r="444">
          <cell r="O444">
            <v>-5</v>
          </cell>
          <cell r="U444" t="str">
            <v>Véhicules neufs</v>
          </cell>
          <cell r="V444" t="str">
            <v>Autos détail</v>
          </cell>
          <cell r="W444" t="str">
            <v>NB</v>
          </cell>
          <cell r="X444">
            <v>0</v>
          </cell>
        </row>
        <row r="445">
          <cell r="O445">
            <v>-28</v>
          </cell>
          <cell r="U445" t="str">
            <v>Véhicules neufs</v>
          </cell>
          <cell r="V445" t="str">
            <v>Camions détail</v>
          </cell>
          <cell r="W445" t="str">
            <v>NB</v>
          </cell>
          <cell r="X445">
            <v>0</v>
          </cell>
        </row>
        <row r="446">
          <cell r="O446">
            <v>-2</v>
          </cell>
          <cell r="U446" t="str">
            <v>Véhicules neufs</v>
          </cell>
          <cell r="V446" t="str">
            <v>Flottes</v>
          </cell>
          <cell r="W446" t="str">
            <v>NB</v>
          </cell>
          <cell r="X446">
            <v>0</v>
          </cell>
        </row>
        <row r="447">
          <cell r="O447">
            <v>-2</v>
          </cell>
          <cell r="U447" t="str">
            <v>Véhicules neufs</v>
          </cell>
          <cell r="V447" t="str">
            <v>Ex-Démos et courtoisies</v>
          </cell>
          <cell r="W447" t="str">
            <v>NB</v>
          </cell>
          <cell r="X447">
            <v>0</v>
          </cell>
        </row>
        <row r="448">
          <cell r="O448">
            <v>0</v>
          </cell>
          <cell r="U448" t="str">
            <v>Véhicules neufs</v>
          </cell>
          <cell r="V448" t="str">
            <v>Autos détail</v>
          </cell>
          <cell r="W448" t="str">
            <v>NB</v>
          </cell>
          <cell r="X448">
            <v>0</v>
          </cell>
        </row>
        <row r="449">
          <cell r="O449">
            <v>-18</v>
          </cell>
          <cell r="U449" t="str">
            <v>Véhicules usagés</v>
          </cell>
          <cell r="V449" t="str">
            <v>Certifié</v>
          </cell>
          <cell r="W449" t="str">
            <v>NB</v>
          </cell>
          <cell r="X449">
            <v>0</v>
          </cell>
        </row>
        <row r="450">
          <cell r="O450">
            <v>-6</v>
          </cell>
          <cell r="U450" t="str">
            <v>Véhicules usagés</v>
          </cell>
          <cell r="V450" t="str">
            <v>Non Certifié</v>
          </cell>
          <cell r="W450" t="str">
            <v>NB</v>
          </cell>
          <cell r="X450">
            <v>0</v>
          </cell>
        </row>
        <row r="451">
          <cell r="O451">
            <v>-1</v>
          </cell>
          <cell r="U451" t="str">
            <v>Véhicules usagés</v>
          </cell>
          <cell r="V451" t="str">
            <v>Non Certifié</v>
          </cell>
          <cell r="W451" t="str">
            <v>NB</v>
          </cell>
          <cell r="X451">
            <v>0</v>
          </cell>
        </row>
        <row r="452">
          <cell r="O452">
            <v>-57</v>
          </cell>
          <cell r="U452" t="str">
            <v>Véhicules usagés</v>
          </cell>
          <cell r="V452" t="str">
            <v>Ventes au Gros</v>
          </cell>
          <cell r="W452" t="str">
            <v>NB</v>
          </cell>
          <cell r="X452">
            <v>0</v>
          </cell>
        </row>
        <row r="453">
          <cell r="O453">
            <v>-424</v>
          </cell>
          <cell r="U453" t="str">
            <v>Service</v>
          </cell>
          <cell r="V453" t="str">
            <v>M/O Client</v>
          </cell>
          <cell r="W453" t="str">
            <v>NB</v>
          </cell>
          <cell r="X453">
            <v>0</v>
          </cell>
        </row>
        <row r="454">
          <cell r="O454">
            <v>-93</v>
          </cell>
          <cell r="U454" t="str">
            <v>Service</v>
          </cell>
          <cell r="V454" t="str">
            <v>M/O Garantie</v>
          </cell>
          <cell r="W454" t="str">
            <v>NB</v>
          </cell>
          <cell r="X454">
            <v>0</v>
          </cell>
        </row>
        <row r="455">
          <cell r="O455">
            <v>-207</v>
          </cell>
          <cell r="U455" t="str">
            <v>Service</v>
          </cell>
          <cell r="V455" t="str">
            <v>M/O Interne</v>
          </cell>
          <cell r="W455" t="str">
            <v>NB</v>
          </cell>
          <cell r="X455">
            <v>0</v>
          </cell>
        </row>
        <row r="456">
          <cell r="O456">
            <v>-323</v>
          </cell>
          <cell r="U456" t="str">
            <v>Pièces</v>
          </cell>
          <cell r="V456" t="str">
            <v>Huiles et Graisse</v>
          </cell>
          <cell r="W456" t="str">
            <v>NB</v>
          </cell>
          <cell r="X456">
            <v>0</v>
          </cell>
        </row>
        <row r="457">
          <cell r="O457">
            <v>-62</v>
          </cell>
          <cell r="U457" t="str">
            <v>Service</v>
          </cell>
          <cell r="V457" t="str">
            <v>Sous-traitement</v>
          </cell>
          <cell r="W457" t="str">
            <v>NB</v>
          </cell>
          <cell r="X457">
            <v>0</v>
          </cell>
        </row>
        <row r="458">
          <cell r="O458">
            <v>0</v>
          </cell>
          <cell r="U458" t="str">
            <v>Service</v>
          </cell>
          <cell r="V458" t="str">
            <v>Sous-traitement</v>
          </cell>
          <cell r="W458" t="str">
            <v>NB</v>
          </cell>
          <cell r="X458">
            <v>0</v>
          </cell>
        </row>
        <row r="459">
          <cell r="O459">
            <v>-60</v>
          </cell>
          <cell r="U459" t="str">
            <v>Service</v>
          </cell>
          <cell r="V459" t="str">
            <v>Sous-traitement</v>
          </cell>
          <cell r="W459" t="str">
            <v>NB</v>
          </cell>
          <cell r="X459">
            <v>0</v>
          </cell>
        </row>
        <row r="460">
          <cell r="O460">
            <v>-8</v>
          </cell>
          <cell r="U460" t="str">
            <v>Carrosserie</v>
          </cell>
          <cell r="V460" t="str">
            <v>M/O Sous-traitement</v>
          </cell>
          <cell r="W460" t="str">
            <v>NB</v>
          </cell>
          <cell r="X460">
            <v>0</v>
          </cell>
        </row>
        <row r="461">
          <cell r="O461">
            <v>-20</v>
          </cell>
          <cell r="U461" t="str">
            <v>Carrosserie</v>
          </cell>
          <cell r="V461" t="str">
            <v>M/O Sous-traitement</v>
          </cell>
          <cell r="W461" t="str">
            <v>NB</v>
          </cell>
          <cell r="X461">
            <v>0</v>
          </cell>
        </row>
        <row r="462">
          <cell r="O462">
            <v>-7</v>
          </cell>
          <cell r="U462" t="str">
            <v>Carrosserie</v>
          </cell>
          <cell r="V462" t="str">
            <v>M/O Sous-traitement</v>
          </cell>
          <cell r="W462" t="str">
            <v>NB</v>
          </cell>
          <cell r="X462">
            <v>0</v>
          </cell>
        </row>
        <row r="463">
          <cell r="O463">
            <v>-390</v>
          </cell>
          <cell r="U463" t="str">
            <v>Pièces</v>
          </cell>
          <cell r="V463" t="str">
            <v>Pièces Ro Clients</v>
          </cell>
          <cell r="W463" t="str">
            <v>NB</v>
          </cell>
          <cell r="X463">
            <v>0</v>
          </cell>
        </row>
        <row r="464">
          <cell r="O464">
            <v>-63</v>
          </cell>
          <cell r="U464" t="str">
            <v>Pièces</v>
          </cell>
          <cell r="V464" t="str">
            <v>P/A Garantie</v>
          </cell>
          <cell r="W464" t="str">
            <v>NB</v>
          </cell>
          <cell r="X464">
            <v>0</v>
          </cell>
        </row>
        <row r="465">
          <cell r="O465">
            <v>-217</v>
          </cell>
          <cell r="U465" t="str">
            <v>Pièces</v>
          </cell>
          <cell r="V465" t="str">
            <v>Ventes Internes</v>
          </cell>
          <cell r="W465" t="str">
            <v>NB</v>
          </cell>
          <cell r="X465">
            <v>0</v>
          </cell>
        </row>
        <row r="466">
          <cell r="O466">
            <v>-115</v>
          </cell>
          <cell r="U466" t="str">
            <v>Pièces</v>
          </cell>
          <cell r="V466" t="str">
            <v>Pièces Ro Clients</v>
          </cell>
          <cell r="W466" t="str">
            <v>NB</v>
          </cell>
          <cell r="X466">
            <v>0</v>
          </cell>
        </row>
        <row r="467">
          <cell r="O467">
            <v>-4</v>
          </cell>
          <cell r="U467" t="str">
            <v>Pièces</v>
          </cell>
          <cell r="V467" t="str">
            <v>Pièces Ro Carrosserie</v>
          </cell>
          <cell r="W467" t="str">
            <v>NB</v>
          </cell>
          <cell r="X467">
            <v>0</v>
          </cell>
        </row>
        <row r="468">
          <cell r="O468">
            <v>-17</v>
          </cell>
          <cell r="U468" t="str">
            <v>Pièces</v>
          </cell>
          <cell r="V468" t="str">
            <v>Pièces Ro Carrosserie</v>
          </cell>
          <cell r="W468" t="str">
            <v>NB</v>
          </cell>
          <cell r="X468">
            <v>0</v>
          </cell>
        </row>
        <row r="469">
          <cell r="O469">
            <v>-9</v>
          </cell>
          <cell r="U469" t="str">
            <v>Pièces</v>
          </cell>
          <cell r="V469" t="str">
            <v>Pièces Ro Carrosserie</v>
          </cell>
          <cell r="W469" t="str">
            <v>NB</v>
          </cell>
          <cell r="X469">
            <v>0</v>
          </cell>
        </row>
        <row r="470">
          <cell r="O470">
            <v>-129</v>
          </cell>
          <cell r="U470" t="str">
            <v>Pièces</v>
          </cell>
          <cell r="V470" t="str">
            <v>Ventes Détails</v>
          </cell>
          <cell r="W470" t="str">
            <v>NB</v>
          </cell>
          <cell r="X470">
            <v>0</v>
          </cell>
        </row>
        <row r="471">
          <cell r="O471">
            <v>-358</v>
          </cell>
          <cell r="U471" t="str">
            <v>Pièces</v>
          </cell>
          <cell r="V471" t="str">
            <v>Ventes de Gros</v>
          </cell>
          <cell r="W471" t="str">
            <v>NB</v>
          </cell>
          <cell r="X471">
            <v>0</v>
          </cell>
        </row>
        <row r="472">
          <cell r="O472">
            <v>-23</v>
          </cell>
          <cell r="U472" t="str">
            <v>Pièces</v>
          </cell>
          <cell r="V472" t="str">
            <v>Ventes Pneus</v>
          </cell>
          <cell r="W472" t="str">
            <v>NB</v>
          </cell>
          <cell r="X472">
            <v>0</v>
          </cell>
        </row>
        <row r="473">
          <cell r="O473">
            <v>0</v>
          </cell>
          <cell r="U473" t="str">
            <v>Véhicules neufs</v>
          </cell>
          <cell r="V473">
            <v>0</v>
          </cell>
          <cell r="W473" t="str">
            <v>NB</v>
          </cell>
          <cell r="X473">
            <v>0</v>
          </cell>
        </row>
        <row r="474">
          <cell r="O474">
            <v>-16</v>
          </cell>
          <cell r="U474" t="str">
            <v>Véhicules usagés</v>
          </cell>
          <cell r="V474">
            <v>0</v>
          </cell>
          <cell r="W474" t="str">
            <v>NB</v>
          </cell>
          <cell r="X474">
            <v>0</v>
          </cell>
        </row>
        <row r="475">
          <cell r="O475">
            <v>-54</v>
          </cell>
          <cell r="U475">
            <v>0</v>
          </cell>
          <cell r="V475">
            <v>0</v>
          </cell>
          <cell r="W475" t="str">
            <v>NB</v>
          </cell>
          <cell r="X475">
            <v>0</v>
          </cell>
        </row>
        <row r="476">
          <cell r="O476">
            <v>-22</v>
          </cell>
          <cell r="U476" t="str">
            <v>Véhicules usagés</v>
          </cell>
          <cell r="V476">
            <v>0</v>
          </cell>
          <cell r="W476" t="str">
            <v>NB</v>
          </cell>
          <cell r="X476">
            <v>0</v>
          </cell>
        </row>
        <row r="477">
          <cell r="O477">
            <v>-54</v>
          </cell>
          <cell r="U477">
            <v>0</v>
          </cell>
          <cell r="V477">
            <v>0</v>
          </cell>
          <cell r="W477" t="str">
            <v>NB</v>
          </cell>
          <cell r="X477">
            <v>0</v>
          </cell>
        </row>
      </sheetData>
      <sheetData sheetId="15" refreshError="1"/>
      <sheetData sheetId="16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260095.67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0.74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8.35</v>
          </cell>
          <cell r="U9">
            <v>0</v>
          </cell>
          <cell r="V9">
            <v>0</v>
          </cell>
          <cell r="W9" t="str">
            <v>$</v>
          </cell>
          <cell r="X9">
            <v>0</v>
          </cell>
        </row>
        <row r="10">
          <cell r="O10">
            <v>19.489999999999998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19.54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21.82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927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413.55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613.69000000000005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-300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25545.47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3435.59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1200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-13970.59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21130.41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50622.25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0.13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370801.43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0.56000000000000005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0.36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C75">
            <v>377973.06</v>
          </cell>
          <cell r="O75">
            <v>490599.02</v>
          </cell>
          <cell r="U75" t="str">
            <v>Bilan</v>
          </cell>
          <cell r="V75" t="str">
            <v>Encaisse</v>
          </cell>
          <cell r="W75" t="str">
            <v>$</v>
          </cell>
          <cell r="X75">
            <v>0</v>
          </cell>
        </row>
        <row r="76">
          <cell r="C76">
            <v>750000</v>
          </cell>
          <cell r="O76">
            <v>-150000</v>
          </cell>
          <cell r="U76" t="str">
            <v>Bilan</v>
          </cell>
          <cell r="V76" t="str">
            <v>Encaisse</v>
          </cell>
          <cell r="W76" t="str">
            <v>$</v>
          </cell>
          <cell r="X76">
            <v>0</v>
          </cell>
        </row>
        <row r="77">
          <cell r="C77">
            <v>220.1</v>
          </cell>
          <cell r="O77">
            <v>0</v>
          </cell>
          <cell r="U77" t="str">
            <v>Bilan</v>
          </cell>
          <cell r="V77" t="str">
            <v>Encaisse</v>
          </cell>
          <cell r="W77" t="str">
            <v>$</v>
          </cell>
          <cell r="X77">
            <v>0</v>
          </cell>
        </row>
        <row r="78">
          <cell r="C78">
            <v>1272589.95</v>
          </cell>
          <cell r="O78">
            <v>268494.03999999998</v>
          </cell>
          <cell r="U78" t="str">
            <v>Bilan</v>
          </cell>
          <cell r="V78" t="str">
            <v>Recevables Contrats en Transit</v>
          </cell>
          <cell r="W78" t="str">
            <v>$</v>
          </cell>
          <cell r="X78">
            <v>0</v>
          </cell>
        </row>
        <row r="79">
          <cell r="C79">
            <v>-116472.22</v>
          </cell>
          <cell r="O79">
            <v>31889.09</v>
          </cell>
          <cell r="U79" t="str">
            <v>Bilan</v>
          </cell>
          <cell r="V79" t="str">
            <v>Recevables Véhicules</v>
          </cell>
          <cell r="W79" t="str">
            <v>$</v>
          </cell>
          <cell r="X79">
            <v>0</v>
          </cell>
        </row>
        <row r="80">
          <cell r="C80">
            <v>106533</v>
          </cell>
          <cell r="O80">
            <v>23525.09</v>
          </cell>
          <cell r="U80" t="str">
            <v>Bilan</v>
          </cell>
          <cell r="V80" t="str">
            <v>Recevables Véhicules</v>
          </cell>
          <cell r="W80" t="str">
            <v>$</v>
          </cell>
          <cell r="X80">
            <v>0</v>
          </cell>
        </row>
        <row r="81">
          <cell r="C81">
            <v>102995.43</v>
          </cell>
          <cell r="O81">
            <v>16696.93</v>
          </cell>
          <cell r="U81" t="str">
            <v>Bilan</v>
          </cell>
          <cell r="V81" t="str">
            <v>Recevables Pièces et Service</v>
          </cell>
          <cell r="W81" t="str">
            <v>$</v>
          </cell>
          <cell r="X81">
            <v>0</v>
          </cell>
        </row>
        <row r="82">
          <cell r="C82">
            <v>53373</v>
          </cell>
          <cell r="O82">
            <v>4522.07</v>
          </cell>
          <cell r="U82" t="str">
            <v>Bilan</v>
          </cell>
          <cell r="V82" t="str">
            <v>Recevables Carrosserie</v>
          </cell>
          <cell r="W82" t="str">
            <v>$</v>
          </cell>
          <cell r="X82">
            <v>0</v>
          </cell>
        </row>
        <row r="83">
          <cell r="C83">
            <v>10096.94</v>
          </cell>
          <cell r="O83">
            <v>-6705.88</v>
          </cell>
          <cell r="U83" t="str">
            <v>Bilan</v>
          </cell>
          <cell r="V83" t="str">
            <v>Recevables Intercos</v>
          </cell>
          <cell r="W83" t="str">
            <v>$</v>
          </cell>
          <cell r="X83">
            <v>0</v>
          </cell>
        </row>
        <row r="84">
          <cell r="C84">
            <v>218000</v>
          </cell>
          <cell r="O84">
            <v>-34840</v>
          </cell>
          <cell r="U84" t="str">
            <v>Bilan</v>
          </cell>
          <cell r="V84" t="str">
            <v>Recevables Intercos</v>
          </cell>
          <cell r="W84" t="str">
            <v>$</v>
          </cell>
          <cell r="X84">
            <v>0</v>
          </cell>
        </row>
        <row r="85">
          <cell r="C85">
            <v>128902</v>
          </cell>
          <cell r="O85">
            <v>-76307</v>
          </cell>
          <cell r="U85" t="str">
            <v>Bilan</v>
          </cell>
          <cell r="V85" t="str">
            <v>Recevables Manufacturier</v>
          </cell>
          <cell r="W85" t="str">
            <v>$</v>
          </cell>
          <cell r="X85">
            <v>0</v>
          </cell>
        </row>
        <row r="86">
          <cell r="C86">
            <v>82327.58</v>
          </cell>
          <cell r="O86">
            <v>48030.38</v>
          </cell>
          <cell r="U86" t="str">
            <v>Bilan</v>
          </cell>
          <cell r="V86" t="str">
            <v>Recevables Garantie Manufacturier</v>
          </cell>
          <cell r="W86" t="str">
            <v>$</v>
          </cell>
          <cell r="X86">
            <v>0</v>
          </cell>
        </row>
        <row r="87">
          <cell r="C87">
            <v>-3321.14</v>
          </cell>
          <cell r="O87">
            <v>1630.71</v>
          </cell>
          <cell r="U87" t="str">
            <v>Bilan</v>
          </cell>
          <cell r="V87" t="str">
            <v>recevables Autres</v>
          </cell>
          <cell r="W87" t="str">
            <v>$</v>
          </cell>
          <cell r="X87">
            <v>0</v>
          </cell>
        </row>
        <row r="88">
          <cell r="C88">
            <v>-57674.26</v>
          </cell>
          <cell r="O88">
            <v>24400</v>
          </cell>
          <cell r="U88" t="str">
            <v>Bilan</v>
          </cell>
          <cell r="V88" t="str">
            <v>Recevables Manufacturier</v>
          </cell>
          <cell r="W88" t="str">
            <v>$</v>
          </cell>
          <cell r="X88">
            <v>0</v>
          </cell>
        </row>
        <row r="89">
          <cell r="C89">
            <v>-5812.21</v>
          </cell>
          <cell r="O89">
            <v>0</v>
          </cell>
          <cell r="U89" t="str">
            <v>Bilan</v>
          </cell>
          <cell r="V89" t="str">
            <v>Recevables Pièces et Service</v>
          </cell>
          <cell r="W89" t="str">
            <v>$</v>
          </cell>
          <cell r="X89">
            <v>0</v>
          </cell>
        </row>
        <row r="90">
          <cell r="C90">
            <v>1173169.67</v>
          </cell>
          <cell r="O90">
            <v>-142984.49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C91">
            <v>-29350</v>
          </cell>
          <cell r="O91">
            <v>-3900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-69100</v>
          </cell>
          <cell r="O92">
            <v>-14100</v>
          </cell>
          <cell r="U92" t="str">
            <v>Bilan</v>
          </cell>
          <cell r="V92" t="str">
            <v>Inventaire Véhicules Usagés</v>
          </cell>
          <cell r="W92" t="str">
            <v>$</v>
          </cell>
          <cell r="X92">
            <v>0</v>
          </cell>
        </row>
        <row r="93">
          <cell r="C93">
            <v>2731751.27</v>
          </cell>
          <cell r="O93">
            <v>281990.21999999997</v>
          </cell>
          <cell r="U93" t="str">
            <v>Bilan</v>
          </cell>
          <cell r="V93" t="str">
            <v>Inventaire Véhicules Usagés</v>
          </cell>
          <cell r="W93" t="str">
            <v>$</v>
          </cell>
          <cell r="X93">
            <v>0</v>
          </cell>
        </row>
        <row r="94">
          <cell r="C94">
            <v>-13865.29</v>
          </cell>
          <cell r="O94">
            <v>4334.9799999999996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-40402.660000000003</v>
          </cell>
          <cell r="O95">
            <v>6046.8</v>
          </cell>
          <cell r="U95" t="str">
            <v>Bilan</v>
          </cell>
          <cell r="V95" t="str">
            <v>Inventaire Véhicules Neufs</v>
          </cell>
          <cell r="W95" t="str">
            <v>$</v>
          </cell>
          <cell r="X95">
            <v>0</v>
          </cell>
        </row>
        <row r="96">
          <cell r="C96">
            <v>304463.90999999997</v>
          </cell>
          <cell r="O96">
            <v>2052.16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47922.13</v>
          </cell>
          <cell r="O97">
            <v>8796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8206.25</v>
          </cell>
          <cell r="O98">
            <v>3692.95</v>
          </cell>
          <cell r="U98" t="str">
            <v>Bilan</v>
          </cell>
          <cell r="V98" t="str">
            <v>Travaux en Cours</v>
          </cell>
          <cell r="W98" t="str">
            <v>$</v>
          </cell>
          <cell r="X98">
            <v>0</v>
          </cell>
        </row>
        <row r="99">
          <cell r="C99">
            <v>26265.17</v>
          </cell>
          <cell r="O99">
            <v>-26597.74</v>
          </cell>
          <cell r="U99" t="str">
            <v>Bilan</v>
          </cell>
          <cell r="V99" t="str">
            <v>Sous-Traitance</v>
          </cell>
          <cell r="W99" t="str">
            <v>$</v>
          </cell>
          <cell r="X99">
            <v>0</v>
          </cell>
        </row>
        <row r="100">
          <cell r="C100">
            <v>5534.86</v>
          </cell>
          <cell r="O100">
            <v>-7306.99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47.1</v>
          </cell>
          <cell r="O101">
            <v>0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-18544.45</v>
          </cell>
          <cell r="O102">
            <v>2462.27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1693</v>
          </cell>
          <cell r="O103">
            <v>-335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8399.36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1873</v>
          </cell>
          <cell r="O105">
            <v>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125.21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-3525.13</v>
          </cell>
          <cell r="O107">
            <v>0</v>
          </cell>
          <cell r="U107" t="str">
            <v>Bilan</v>
          </cell>
          <cell r="V107" t="str">
            <v>Autres Courus</v>
          </cell>
          <cell r="W107" t="str">
            <v>$</v>
          </cell>
          <cell r="X107">
            <v>0</v>
          </cell>
        </row>
        <row r="108">
          <cell r="C108">
            <v>1834.58</v>
          </cell>
          <cell r="O108">
            <v>0</v>
          </cell>
          <cell r="U108" t="str">
            <v>Bilan</v>
          </cell>
          <cell r="V108" t="str">
            <v>Autres Courus</v>
          </cell>
          <cell r="W108" t="str">
            <v>$</v>
          </cell>
          <cell r="X108">
            <v>0</v>
          </cell>
        </row>
        <row r="109">
          <cell r="C109">
            <v>39576.79</v>
          </cell>
          <cell r="O109">
            <v>-10986.79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-29952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5252.61</v>
          </cell>
          <cell r="O111">
            <v>14485.62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303.79000000000002</v>
          </cell>
          <cell r="O112">
            <v>-303.79000000000002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4518.8</v>
          </cell>
          <cell r="O113">
            <v>-1530.16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-26416.48</v>
          </cell>
          <cell r="O114">
            <v>7726.71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144370.28</v>
          </cell>
          <cell r="O115">
            <v>0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-100225.02</v>
          </cell>
          <cell r="O116">
            <v>-225</v>
          </cell>
          <cell r="U116" t="str">
            <v>Bilan</v>
          </cell>
          <cell r="V116" t="str">
            <v>Améliorations Locatives</v>
          </cell>
          <cell r="W116" t="str">
            <v>$</v>
          </cell>
          <cell r="X116">
            <v>0</v>
          </cell>
        </row>
        <row r="117">
          <cell r="C117">
            <v>954256.21</v>
          </cell>
          <cell r="O117">
            <v>1121</v>
          </cell>
          <cell r="U117" t="str">
            <v>Bilan</v>
          </cell>
          <cell r="V117" t="str">
            <v>Équipements Service</v>
          </cell>
          <cell r="W117" t="str">
            <v>$</v>
          </cell>
          <cell r="X117">
            <v>0</v>
          </cell>
        </row>
        <row r="118">
          <cell r="C118">
            <v>-798249.08</v>
          </cell>
          <cell r="O118">
            <v>-2612</v>
          </cell>
          <cell r="U118" t="str">
            <v>Bilan</v>
          </cell>
          <cell r="V118" t="str">
            <v>Équipements Service</v>
          </cell>
          <cell r="W118" t="str">
            <v>$</v>
          </cell>
          <cell r="X118">
            <v>0</v>
          </cell>
        </row>
        <row r="119">
          <cell r="C119">
            <v>47461.59</v>
          </cell>
          <cell r="O119">
            <v>0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-47443.51</v>
          </cell>
          <cell r="O120">
            <v>-8.5</v>
          </cell>
          <cell r="U120" t="str">
            <v>Bilan</v>
          </cell>
          <cell r="V120" t="str">
            <v>Équipements Service</v>
          </cell>
          <cell r="W120" t="str">
            <v>$</v>
          </cell>
          <cell r="X120">
            <v>0</v>
          </cell>
        </row>
        <row r="121">
          <cell r="C121">
            <v>435431.49</v>
          </cell>
          <cell r="O121">
            <v>4725</v>
          </cell>
          <cell r="U121" t="str">
            <v>Bilan</v>
          </cell>
          <cell r="V121" t="str">
            <v>Mobilier</v>
          </cell>
          <cell r="W121" t="str">
            <v>$</v>
          </cell>
          <cell r="X121">
            <v>0</v>
          </cell>
        </row>
        <row r="122">
          <cell r="C122">
            <v>-404911.7</v>
          </cell>
          <cell r="O122">
            <v>-497</v>
          </cell>
          <cell r="U122" t="str">
            <v>Bilan</v>
          </cell>
          <cell r="V122" t="str">
            <v>Mobilier</v>
          </cell>
          <cell r="W122" t="str">
            <v>$</v>
          </cell>
          <cell r="X122">
            <v>0</v>
          </cell>
        </row>
        <row r="123">
          <cell r="C123">
            <v>3987.88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-3987.88</v>
          </cell>
          <cell r="O124">
            <v>0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123312.49</v>
          </cell>
          <cell r="O125">
            <v>3322.67</v>
          </cell>
          <cell r="U125" t="str">
            <v>Bilan</v>
          </cell>
          <cell r="V125" t="str">
            <v>Équipements Informatique</v>
          </cell>
          <cell r="W125" t="str">
            <v>$</v>
          </cell>
          <cell r="X125">
            <v>0</v>
          </cell>
        </row>
        <row r="126">
          <cell r="C126">
            <v>-107095.43</v>
          </cell>
          <cell r="O126">
            <v>-972</v>
          </cell>
          <cell r="U126" t="str">
            <v>Bilan</v>
          </cell>
          <cell r="V126" t="str">
            <v>Équipements Informatique</v>
          </cell>
          <cell r="W126" t="str">
            <v>$</v>
          </cell>
          <cell r="X126">
            <v>0</v>
          </cell>
        </row>
        <row r="127">
          <cell r="C127">
            <v>119393.66</v>
          </cell>
          <cell r="O127">
            <v>0</v>
          </cell>
          <cell r="U127" t="str">
            <v>Bilan</v>
          </cell>
          <cell r="V127" t="str">
            <v>Enseigne</v>
          </cell>
          <cell r="W127" t="str">
            <v>$</v>
          </cell>
          <cell r="X127">
            <v>0</v>
          </cell>
        </row>
        <row r="128">
          <cell r="C128">
            <v>-119393.65</v>
          </cell>
          <cell r="O128">
            <v>0</v>
          </cell>
          <cell r="U128" t="str">
            <v>Bilan</v>
          </cell>
          <cell r="V128" t="str">
            <v>Enseigne</v>
          </cell>
          <cell r="W128" t="str">
            <v>$</v>
          </cell>
          <cell r="X128">
            <v>0</v>
          </cell>
        </row>
        <row r="129">
          <cell r="C129">
            <v>5873600</v>
          </cell>
          <cell r="O129">
            <v>300000</v>
          </cell>
          <cell r="U129" t="str">
            <v>Bilan</v>
          </cell>
          <cell r="V129" t="str">
            <v>Avances à Recevoir Long Terme</v>
          </cell>
          <cell r="W129" t="str">
            <v>$</v>
          </cell>
          <cell r="X129">
            <v>0</v>
          </cell>
        </row>
        <row r="130">
          <cell r="C130">
            <v>13688.52</v>
          </cell>
          <cell r="O130">
            <v>-908.48</v>
          </cell>
          <cell r="U130" t="str">
            <v>Bilan</v>
          </cell>
          <cell r="V130" t="str">
            <v>Recevables Autres</v>
          </cell>
          <cell r="W130" t="str">
            <v>$</v>
          </cell>
          <cell r="X130">
            <v>0</v>
          </cell>
        </row>
        <row r="131">
          <cell r="C131">
            <v>-2111279.54</v>
          </cell>
          <cell r="O131">
            <v>-136588.46</v>
          </cell>
          <cell r="U131" t="str">
            <v>Bilan</v>
          </cell>
          <cell r="V131" t="str">
            <v>Effet à Payer Véhicules Neufs</v>
          </cell>
          <cell r="W131" t="str">
            <v>$</v>
          </cell>
          <cell r="X131">
            <v>0</v>
          </cell>
        </row>
        <row r="132">
          <cell r="C132">
            <v>-1384167.9</v>
          </cell>
          <cell r="O132">
            <v>-623357.79</v>
          </cell>
          <cell r="U132" t="str">
            <v>Bilan</v>
          </cell>
          <cell r="V132" t="str">
            <v>Effet à Payer Véhicules Usagés</v>
          </cell>
          <cell r="W132" t="str">
            <v>$</v>
          </cell>
          <cell r="X132">
            <v>0</v>
          </cell>
        </row>
        <row r="133">
          <cell r="C133">
            <v>-15810</v>
          </cell>
          <cell r="O133">
            <v>0</v>
          </cell>
          <cell r="U133" t="str">
            <v>Bilan</v>
          </cell>
          <cell r="V133" t="str">
            <v>Portion Court Terme de la Dette Long Terme</v>
          </cell>
          <cell r="W133" t="str">
            <v>$</v>
          </cell>
          <cell r="X133">
            <v>0</v>
          </cell>
        </row>
        <row r="134">
          <cell r="C134">
            <v>-1506.4</v>
          </cell>
          <cell r="O134">
            <v>372.74</v>
          </cell>
          <cell r="U134" t="str">
            <v>Bilan</v>
          </cell>
          <cell r="V134" t="str">
            <v>Taxes de Vente à Payer</v>
          </cell>
          <cell r="W134" t="str">
            <v>$</v>
          </cell>
          <cell r="X134">
            <v>0</v>
          </cell>
        </row>
        <row r="135">
          <cell r="C135">
            <v>-104475.61</v>
          </cell>
          <cell r="O135">
            <v>6068.78</v>
          </cell>
          <cell r="U135" t="str">
            <v>Bilan</v>
          </cell>
          <cell r="V135" t="str">
            <v>Taxes de Vente à Payer</v>
          </cell>
          <cell r="W135" t="str">
            <v>$</v>
          </cell>
          <cell r="X135">
            <v>0</v>
          </cell>
        </row>
        <row r="136">
          <cell r="C136">
            <v>52145.19</v>
          </cell>
          <cell r="O136">
            <v>4802.93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-200424.63</v>
          </cell>
          <cell r="O137">
            <v>-26211.67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207611.88</v>
          </cell>
          <cell r="O138">
            <v>-23506.560000000001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-1200</v>
          </cell>
          <cell r="O139">
            <v>6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-134562.57</v>
          </cell>
          <cell r="O140">
            <v>-55375.13</v>
          </cell>
          <cell r="U140" t="str">
            <v>Bilan</v>
          </cell>
          <cell r="V140" t="str">
            <v>Autres Comptes à Payer</v>
          </cell>
          <cell r="W140" t="str">
            <v>$</v>
          </cell>
          <cell r="X140">
            <v>0</v>
          </cell>
        </row>
        <row r="141">
          <cell r="C141">
            <v>-2870</v>
          </cell>
          <cell r="O141">
            <v>-790</v>
          </cell>
          <cell r="U141" t="str">
            <v>Bilan</v>
          </cell>
          <cell r="V141" t="str">
            <v>Autres Comptes à Payer</v>
          </cell>
          <cell r="W141" t="str">
            <v>$</v>
          </cell>
          <cell r="X141">
            <v>0</v>
          </cell>
        </row>
        <row r="142">
          <cell r="C142">
            <v>-97450.17</v>
          </cell>
          <cell r="O142">
            <v>13832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-20524.84</v>
          </cell>
          <cell r="O143">
            <v>5319.97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-201419.27</v>
          </cell>
          <cell r="O144">
            <v>78019.58</v>
          </cell>
          <cell r="U144" t="str">
            <v>Bilan</v>
          </cell>
          <cell r="V144" t="str">
            <v>Comptes à Payer Fournisseurs</v>
          </cell>
          <cell r="W144" t="str">
            <v>$</v>
          </cell>
          <cell r="X144">
            <v>0</v>
          </cell>
        </row>
        <row r="145">
          <cell r="C145">
            <v>32000</v>
          </cell>
          <cell r="O145">
            <v>-57470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-4947.72</v>
          </cell>
          <cell r="O146">
            <v>-1595.38</v>
          </cell>
          <cell r="U146" t="str">
            <v>Bilan</v>
          </cell>
          <cell r="V146" t="str">
            <v>Autres Courus</v>
          </cell>
          <cell r="W146" t="str">
            <v>$</v>
          </cell>
          <cell r="X146">
            <v>0</v>
          </cell>
        </row>
        <row r="147">
          <cell r="C147">
            <v>-45</v>
          </cell>
          <cell r="O147">
            <v>-144.97</v>
          </cell>
          <cell r="U147" t="str">
            <v>Bilan</v>
          </cell>
          <cell r="V147" t="str">
            <v>Autres Courus</v>
          </cell>
          <cell r="W147" t="str">
            <v>$</v>
          </cell>
          <cell r="X147">
            <v>0</v>
          </cell>
        </row>
        <row r="148">
          <cell r="C148">
            <v>-94718.57</v>
          </cell>
          <cell r="O148">
            <v>-3237.55</v>
          </cell>
          <cell r="U148" t="str">
            <v>Bilan</v>
          </cell>
          <cell r="V148" t="str">
            <v>Payables Intercos</v>
          </cell>
          <cell r="W148" t="str">
            <v>$</v>
          </cell>
          <cell r="X148">
            <v>0</v>
          </cell>
        </row>
        <row r="149">
          <cell r="C149">
            <v>-11450</v>
          </cell>
          <cell r="O149">
            <v>-2600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8416.81</v>
          </cell>
          <cell r="O150">
            <v>-6428.28</v>
          </cell>
          <cell r="U150" t="str">
            <v>Bilan</v>
          </cell>
          <cell r="V150" t="str">
            <v>DAS à Payer</v>
          </cell>
          <cell r="W150" t="str">
            <v>$</v>
          </cell>
          <cell r="X150">
            <v>0</v>
          </cell>
        </row>
        <row r="151">
          <cell r="C151">
            <v>52.35</v>
          </cell>
          <cell r="O151">
            <v>0</v>
          </cell>
          <cell r="U151" t="str">
            <v>Bilan</v>
          </cell>
          <cell r="V151" t="str">
            <v>DAS à Payer</v>
          </cell>
          <cell r="W151" t="str">
            <v>$</v>
          </cell>
          <cell r="X151">
            <v>0</v>
          </cell>
        </row>
        <row r="152">
          <cell r="C152">
            <v>-25964.52</v>
          </cell>
          <cell r="O152">
            <v>-13134.8</v>
          </cell>
          <cell r="U152" t="str">
            <v>Bilan</v>
          </cell>
          <cell r="V152" t="str">
            <v>DAS à Payer</v>
          </cell>
          <cell r="W152" t="str">
            <v>$</v>
          </cell>
          <cell r="X152">
            <v>0</v>
          </cell>
        </row>
        <row r="153">
          <cell r="C153">
            <v>-544.98</v>
          </cell>
          <cell r="O153">
            <v>-225.16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-1183.8800000000001</v>
          </cell>
          <cell r="O154">
            <v>-715.3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-20470</v>
          </cell>
          <cell r="O155">
            <v>-2950</v>
          </cell>
          <cell r="U155" t="str">
            <v>Bilan</v>
          </cell>
          <cell r="V155" t="str">
            <v>Dépôts de Client</v>
          </cell>
          <cell r="W155" t="str">
            <v>$</v>
          </cell>
          <cell r="X155">
            <v>0</v>
          </cell>
        </row>
        <row r="156">
          <cell r="C156">
            <v>-41236.910000000003</v>
          </cell>
          <cell r="O156">
            <v>-2.37</v>
          </cell>
          <cell r="U156" t="str">
            <v>Bilan</v>
          </cell>
          <cell r="V156" t="str">
            <v>Salaires à Payer</v>
          </cell>
          <cell r="W156" t="str">
            <v>$</v>
          </cell>
          <cell r="X156">
            <v>0</v>
          </cell>
        </row>
        <row r="157">
          <cell r="C157">
            <v>-7608.75</v>
          </cell>
          <cell r="O157">
            <v>-17.34</v>
          </cell>
          <cell r="U157" t="str">
            <v>Bilan</v>
          </cell>
          <cell r="V157" t="str">
            <v>Salaires à Payer</v>
          </cell>
          <cell r="W157" t="str">
            <v>$</v>
          </cell>
          <cell r="X157">
            <v>0</v>
          </cell>
        </row>
        <row r="158">
          <cell r="C158">
            <v>-208567.37</v>
          </cell>
          <cell r="O158">
            <v>25348.45</v>
          </cell>
          <cell r="U158" t="str">
            <v>Bilan</v>
          </cell>
          <cell r="V158" t="str">
            <v>Salaires à Payer</v>
          </cell>
          <cell r="W158" t="str">
            <v>$</v>
          </cell>
          <cell r="X158">
            <v>0</v>
          </cell>
        </row>
        <row r="159">
          <cell r="C159">
            <v>0.01</v>
          </cell>
          <cell r="O159">
            <v>11807.99</v>
          </cell>
          <cell r="U159" t="str">
            <v>Bilan</v>
          </cell>
          <cell r="V159" t="str">
            <v>Salaires à Payer</v>
          </cell>
          <cell r="W159" t="str">
            <v>$</v>
          </cell>
          <cell r="X159">
            <v>0</v>
          </cell>
        </row>
        <row r="160">
          <cell r="C160">
            <v>-238637.42</v>
          </cell>
          <cell r="O160">
            <v>1306.28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-9453.99</v>
          </cell>
          <cell r="O161">
            <v>-0.01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-28486</v>
          </cell>
          <cell r="O162">
            <v>144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-242566.15</v>
          </cell>
          <cell r="O163">
            <v>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-5761.25</v>
          </cell>
          <cell r="O164">
            <v>1317.5</v>
          </cell>
          <cell r="U164" t="str">
            <v>Bilan</v>
          </cell>
          <cell r="V164" t="str">
            <v>Dette à Long Terme</v>
          </cell>
          <cell r="W164" t="str">
            <v>$</v>
          </cell>
          <cell r="X164">
            <v>0</v>
          </cell>
        </row>
        <row r="165">
          <cell r="C165">
            <v>-19122.599999999999</v>
          </cell>
          <cell r="O165">
            <v>0</v>
          </cell>
          <cell r="U165" t="str">
            <v>Bilan</v>
          </cell>
          <cell r="V165" t="str">
            <v>Autres Courus</v>
          </cell>
          <cell r="W165" t="str">
            <v>$</v>
          </cell>
          <cell r="X165">
            <v>0</v>
          </cell>
        </row>
        <row r="166">
          <cell r="C166">
            <v>-2350000</v>
          </cell>
          <cell r="O166">
            <v>0</v>
          </cell>
          <cell r="U166" t="str">
            <v>Bilan</v>
          </cell>
          <cell r="V166" t="str">
            <v>Capital Actions</v>
          </cell>
          <cell r="W166" t="str">
            <v>$</v>
          </cell>
          <cell r="X166">
            <v>0</v>
          </cell>
        </row>
        <row r="167">
          <cell r="C167">
            <v>-1723617</v>
          </cell>
          <cell r="O167">
            <v>0</v>
          </cell>
          <cell r="U167" t="str">
            <v>Bilan</v>
          </cell>
          <cell r="V167" t="str">
            <v>Apport</v>
          </cell>
          <cell r="W167" t="str">
            <v>$</v>
          </cell>
          <cell r="X167">
            <v>0</v>
          </cell>
        </row>
        <row r="168">
          <cell r="C168">
            <v>-347547.5</v>
          </cell>
          <cell r="O168">
            <v>0</v>
          </cell>
          <cell r="U168" t="str">
            <v>Bilan</v>
          </cell>
          <cell r="V168" t="str">
            <v>Capital Actions</v>
          </cell>
          <cell r="W168">
            <v>0</v>
          </cell>
          <cell r="X168">
            <v>0</v>
          </cell>
        </row>
        <row r="169">
          <cell r="C169">
            <v>-3068758.8</v>
          </cell>
          <cell r="O169">
            <v>0</v>
          </cell>
          <cell r="U169" t="str">
            <v>Bilan</v>
          </cell>
          <cell r="V169" t="str">
            <v>Bénéfices non répartis</v>
          </cell>
          <cell r="W169" t="str">
            <v>$</v>
          </cell>
          <cell r="X169">
            <v>0</v>
          </cell>
        </row>
        <row r="170">
          <cell r="C170">
            <v>-1781004.78</v>
          </cell>
          <cell r="O170">
            <v>-411052.5</v>
          </cell>
          <cell r="U170" t="str">
            <v>Véhicules neufs</v>
          </cell>
          <cell r="V170" t="str">
            <v>Rachat bail</v>
          </cell>
          <cell r="W170" t="str">
            <v>$</v>
          </cell>
          <cell r="X170" t="str">
            <v>Oui</v>
          </cell>
        </row>
        <row r="171">
          <cell r="C171">
            <v>-343139.26</v>
          </cell>
          <cell r="O171">
            <v>0</v>
          </cell>
          <cell r="U171" t="str">
            <v>Véhicules neufs</v>
          </cell>
          <cell r="V171" t="str">
            <v>Autos détail</v>
          </cell>
          <cell r="W171" t="str">
            <v>$</v>
          </cell>
          <cell r="X171" t="str">
            <v>Oui</v>
          </cell>
        </row>
        <row r="172">
          <cell r="C172">
            <v>-269405.15000000002</v>
          </cell>
          <cell r="O172">
            <v>-96564.7</v>
          </cell>
          <cell r="U172" t="str">
            <v>Véhicules neufs</v>
          </cell>
          <cell r="V172" t="str">
            <v>Autos détail</v>
          </cell>
          <cell r="W172" t="str">
            <v>$</v>
          </cell>
          <cell r="X172" t="str">
            <v>Oui</v>
          </cell>
        </row>
        <row r="173">
          <cell r="C173">
            <v>-1511721.74</v>
          </cell>
          <cell r="O173">
            <v>-317356.82</v>
          </cell>
          <cell r="U173" t="str">
            <v>Véhicules neufs</v>
          </cell>
          <cell r="V173" t="str">
            <v>Camions détail</v>
          </cell>
          <cell r="W173" t="str">
            <v>$</v>
          </cell>
          <cell r="X173" t="str">
            <v>Oui</v>
          </cell>
        </row>
        <row r="174">
          <cell r="C174">
            <v>-1421244.06</v>
          </cell>
          <cell r="O174">
            <v>-632531.30000000005</v>
          </cell>
          <cell r="U174" t="str">
            <v>Véhicules neufs</v>
          </cell>
          <cell r="V174" t="str">
            <v>Camions détail</v>
          </cell>
          <cell r="W174" t="str">
            <v>$</v>
          </cell>
          <cell r="X174" t="str">
            <v>Oui</v>
          </cell>
        </row>
        <row r="175">
          <cell r="C175">
            <v>-136159.35</v>
          </cell>
          <cell r="O175">
            <v>0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C176">
            <v>-233333.2</v>
          </cell>
          <cell r="O176">
            <v>-153028.9</v>
          </cell>
          <cell r="U176" t="str">
            <v>Véhicules neufs</v>
          </cell>
          <cell r="V176" t="str">
            <v>Autos détail</v>
          </cell>
          <cell r="W176" t="str">
            <v>$</v>
          </cell>
          <cell r="X176" t="str">
            <v>Oui</v>
          </cell>
        </row>
        <row r="177">
          <cell r="C177">
            <v>-2685392.88</v>
          </cell>
          <cell r="O177">
            <v>-971700.29</v>
          </cell>
          <cell r="U177" t="str">
            <v>Véhicules neufs</v>
          </cell>
          <cell r="V177" t="str">
            <v>Camions détail</v>
          </cell>
          <cell r="W177" t="str">
            <v>$</v>
          </cell>
          <cell r="X177" t="str">
            <v>Oui</v>
          </cell>
        </row>
        <row r="178">
          <cell r="C178">
            <v>-70053</v>
          </cell>
          <cell r="O178">
            <v>0</v>
          </cell>
          <cell r="U178" t="str">
            <v>Véhicules neufs</v>
          </cell>
          <cell r="V178" t="str">
            <v>Flottes</v>
          </cell>
          <cell r="W178" t="str">
            <v>$</v>
          </cell>
          <cell r="X178" t="str">
            <v>Oui</v>
          </cell>
        </row>
        <row r="179">
          <cell r="C179">
            <v>-872602.53</v>
          </cell>
          <cell r="O179">
            <v>-153489.82999999999</v>
          </cell>
          <cell r="U179" t="str">
            <v>Véhicules neufs</v>
          </cell>
          <cell r="V179" t="str">
            <v>Ex-Démos et courtoisies</v>
          </cell>
          <cell r="W179" t="str">
            <v>$</v>
          </cell>
          <cell r="X179" t="str">
            <v>Oui</v>
          </cell>
        </row>
        <row r="180">
          <cell r="C180">
            <v>-68800.91</v>
          </cell>
          <cell r="O180">
            <v>-34429.949999999997</v>
          </cell>
          <cell r="U180" t="str">
            <v>Véhicules neufs</v>
          </cell>
          <cell r="V180" t="str">
            <v>Autos détail</v>
          </cell>
          <cell r="W180" t="str">
            <v>$</v>
          </cell>
          <cell r="X180" t="str">
            <v>Oui</v>
          </cell>
        </row>
        <row r="181">
          <cell r="C181">
            <v>-3897272.5</v>
          </cell>
          <cell r="O181">
            <v>-1003221.5</v>
          </cell>
          <cell r="U181" t="str">
            <v>Véhicules usagés</v>
          </cell>
          <cell r="V181" t="str">
            <v>Certifié</v>
          </cell>
          <cell r="W181" t="str">
            <v>$</v>
          </cell>
          <cell r="X181" t="str">
            <v>Oui</v>
          </cell>
        </row>
        <row r="182">
          <cell r="C182">
            <v>-162971</v>
          </cell>
          <cell r="O182">
            <v>-21674</v>
          </cell>
          <cell r="U182" t="str">
            <v>Véhicules usagés</v>
          </cell>
          <cell r="V182" t="str">
            <v>Non Certifié</v>
          </cell>
          <cell r="W182" t="str">
            <v>$</v>
          </cell>
          <cell r="X182" t="str">
            <v>Oui</v>
          </cell>
        </row>
        <row r="183">
          <cell r="C183">
            <v>-2068266</v>
          </cell>
          <cell r="O183">
            <v>-758890</v>
          </cell>
          <cell r="U183" t="str">
            <v>Véhicules usagés</v>
          </cell>
          <cell r="V183" t="str">
            <v>Ventes au Gros</v>
          </cell>
          <cell r="W183" t="str">
            <v>$</v>
          </cell>
          <cell r="X183" t="str">
            <v>Oui</v>
          </cell>
        </row>
        <row r="184">
          <cell r="C184">
            <v>-601306.93999999994</v>
          </cell>
          <cell r="O184">
            <v>-131368.95000000001</v>
          </cell>
          <cell r="U184" t="str">
            <v>Service</v>
          </cell>
          <cell r="V184" t="str">
            <v>M/O Client</v>
          </cell>
          <cell r="W184" t="str">
            <v>$</v>
          </cell>
          <cell r="X184" t="str">
            <v>Oui</v>
          </cell>
        </row>
        <row r="185">
          <cell r="C185">
            <v>-4931.75</v>
          </cell>
          <cell r="O185">
            <v>-846.95</v>
          </cell>
          <cell r="U185" t="str">
            <v>Service</v>
          </cell>
          <cell r="V185" t="str">
            <v>M/O Esthétique</v>
          </cell>
          <cell r="W185" t="str">
            <v>$</v>
          </cell>
          <cell r="X185" t="str">
            <v>Oui</v>
          </cell>
        </row>
        <row r="186">
          <cell r="C186">
            <v>-200372.24</v>
          </cell>
          <cell r="O186">
            <v>-42375.1</v>
          </cell>
          <cell r="U186" t="str">
            <v>Service</v>
          </cell>
          <cell r="V186" t="str">
            <v>M/O Garantie</v>
          </cell>
          <cell r="W186" t="str">
            <v>$</v>
          </cell>
          <cell r="X186" t="str">
            <v>Oui</v>
          </cell>
        </row>
        <row r="187">
          <cell r="C187">
            <v>-203405.29</v>
          </cell>
          <cell r="O187">
            <v>-69410.94</v>
          </cell>
          <cell r="U187" t="str">
            <v>Service</v>
          </cell>
          <cell r="V187" t="str">
            <v>M/O Interne</v>
          </cell>
          <cell r="W187" t="str">
            <v>$</v>
          </cell>
          <cell r="X187" t="str">
            <v>Oui</v>
          </cell>
        </row>
        <row r="188">
          <cell r="C188">
            <v>-107808.52</v>
          </cell>
          <cell r="O188">
            <v>-27718.68</v>
          </cell>
          <cell r="U188" t="str">
            <v>Pièces</v>
          </cell>
          <cell r="V188" t="str">
            <v>Huiles et Graisse</v>
          </cell>
          <cell r="W188" t="str">
            <v>$</v>
          </cell>
          <cell r="X188" t="str">
            <v>Oui</v>
          </cell>
        </row>
        <row r="189">
          <cell r="C189">
            <v>-5840.24</v>
          </cell>
          <cell r="O189">
            <v>-1240</v>
          </cell>
          <cell r="U189" t="str">
            <v>Service</v>
          </cell>
          <cell r="V189" t="str">
            <v>Sous-traitement</v>
          </cell>
          <cell r="W189" t="str">
            <v>$</v>
          </cell>
          <cell r="X189" t="str">
            <v>Oui</v>
          </cell>
        </row>
        <row r="190">
          <cell r="C190">
            <v>-8010.01</v>
          </cell>
          <cell r="O190">
            <v>-2301.6</v>
          </cell>
          <cell r="U190" t="str">
            <v>Service</v>
          </cell>
          <cell r="V190" t="str">
            <v>Sous-traitement</v>
          </cell>
          <cell r="W190" t="str">
            <v>$</v>
          </cell>
          <cell r="X190" t="str">
            <v>Oui</v>
          </cell>
        </row>
        <row r="191">
          <cell r="C191">
            <v>-88297.55</v>
          </cell>
          <cell r="O191">
            <v>-26465.87</v>
          </cell>
          <cell r="U191" t="str">
            <v>Service</v>
          </cell>
          <cell r="V191" t="str">
            <v>Sous-traitement</v>
          </cell>
          <cell r="W191" t="str">
            <v>$</v>
          </cell>
          <cell r="X191" t="str">
            <v>Oui</v>
          </cell>
        </row>
        <row r="192">
          <cell r="C192">
            <v>-5450</v>
          </cell>
          <cell r="O192">
            <v>-150</v>
          </cell>
          <cell r="U192" t="str">
            <v>Carrosserie</v>
          </cell>
          <cell r="V192" t="str">
            <v>M/O Sous-traitement</v>
          </cell>
          <cell r="W192" t="str">
            <v>$</v>
          </cell>
          <cell r="X192" t="str">
            <v>Oui</v>
          </cell>
        </row>
        <row r="193">
          <cell r="C193">
            <v>-163777.75</v>
          </cell>
          <cell r="O193">
            <v>-39989.879999999997</v>
          </cell>
          <cell r="U193" t="str">
            <v>Carrosserie</v>
          </cell>
          <cell r="V193" t="str">
            <v>M/O Sous-traitement</v>
          </cell>
          <cell r="W193" t="str">
            <v>$</v>
          </cell>
          <cell r="X193" t="str">
            <v>Oui</v>
          </cell>
        </row>
        <row r="194">
          <cell r="C194">
            <v>-327040.09000000003</v>
          </cell>
          <cell r="O194">
            <v>-69523.100000000006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-26605.45</v>
          </cell>
          <cell r="O195">
            <v>-7640.05</v>
          </cell>
          <cell r="U195" t="str">
            <v>Carrosserie</v>
          </cell>
          <cell r="V195" t="str">
            <v>M/O Sous-traitement</v>
          </cell>
          <cell r="W195" t="str">
            <v>$</v>
          </cell>
          <cell r="X195" t="str">
            <v>Oui</v>
          </cell>
        </row>
        <row r="196">
          <cell r="C196">
            <v>-316831.69</v>
          </cell>
          <cell r="O196">
            <v>-85529.88</v>
          </cell>
          <cell r="U196" t="str">
            <v>Pièces</v>
          </cell>
          <cell r="V196" t="str">
            <v>Pièces Ro Clients</v>
          </cell>
          <cell r="W196" t="str">
            <v>$</v>
          </cell>
          <cell r="X196" t="str">
            <v>Oui</v>
          </cell>
        </row>
        <row r="197">
          <cell r="C197">
            <v>-2905.7</v>
          </cell>
          <cell r="O197">
            <v>-555.4</v>
          </cell>
          <cell r="U197" t="str">
            <v>Service</v>
          </cell>
          <cell r="V197" t="str">
            <v>M/O Client</v>
          </cell>
          <cell r="W197" t="str">
            <v>$</v>
          </cell>
          <cell r="X197" t="str">
            <v>Oui</v>
          </cell>
        </row>
        <row r="198">
          <cell r="C198">
            <v>-279622.88</v>
          </cell>
          <cell r="O198">
            <v>-55234.06</v>
          </cell>
          <cell r="U198" t="str">
            <v>Pièces</v>
          </cell>
          <cell r="V198" t="str">
            <v>P/A Garantie</v>
          </cell>
          <cell r="W198" t="str">
            <v>$</v>
          </cell>
          <cell r="X198" t="str">
            <v>Oui</v>
          </cell>
        </row>
        <row r="199">
          <cell r="C199">
            <v>-200379.06</v>
          </cell>
          <cell r="O199">
            <v>-56782.559999999998</v>
          </cell>
          <cell r="U199" t="str">
            <v>Pièces</v>
          </cell>
          <cell r="V199" t="str">
            <v>Ventes Internes</v>
          </cell>
          <cell r="W199" t="str">
            <v>$</v>
          </cell>
          <cell r="X199" t="str">
            <v>Oui</v>
          </cell>
        </row>
        <row r="200">
          <cell r="C200">
            <v>-3529.23</v>
          </cell>
          <cell r="O200">
            <v>-1413.7</v>
          </cell>
          <cell r="U200" t="str">
            <v>Service</v>
          </cell>
          <cell r="V200" t="str">
            <v>M/O Interne</v>
          </cell>
          <cell r="W200" t="str">
            <v>$</v>
          </cell>
          <cell r="X200" t="str">
            <v>Oui</v>
          </cell>
        </row>
        <row r="201">
          <cell r="C201">
            <v>-11368.99</v>
          </cell>
          <cell r="O201">
            <v>-860.05</v>
          </cell>
          <cell r="U201" t="str">
            <v>Pièces</v>
          </cell>
          <cell r="V201" t="str">
            <v>Pièces Ro Clients</v>
          </cell>
          <cell r="W201" t="str">
            <v>$</v>
          </cell>
          <cell r="X201" t="str">
            <v>Oui</v>
          </cell>
        </row>
        <row r="202">
          <cell r="C202">
            <v>0</v>
          </cell>
          <cell r="O202">
            <v>-247.19</v>
          </cell>
          <cell r="U202" t="str">
            <v>Pièces</v>
          </cell>
          <cell r="V202" t="str">
            <v>Ventes Internes</v>
          </cell>
          <cell r="W202" t="str">
            <v>$</v>
          </cell>
          <cell r="X202" t="str">
            <v>Oui</v>
          </cell>
        </row>
        <row r="203">
          <cell r="C203">
            <v>-39610.39</v>
          </cell>
          <cell r="O203">
            <v>-2705.83</v>
          </cell>
          <cell r="U203" t="str">
            <v>Pièces</v>
          </cell>
          <cell r="V203" t="str">
            <v>Pièces Ro Carrosserie</v>
          </cell>
          <cell r="W203" t="str">
            <v>$</v>
          </cell>
          <cell r="X203" t="str">
            <v>Oui</v>
          </cell>
        </row>
        <row r="204">
          <cell r="C204">
            <v>-248636.75</v>
          </cell>
          <cell r="O204">
            <v>-56368.01</v>
          </cell>
          <cell r="U204" t="str">
            <v>Pièces</v>
          </cell>
          <cell r="V204" t="str">
            <v>Pièces Ro Carrosserie</v>
          </cell>
          <cell r="W204" t="str">
            <v>$</v>
          </cell>
          <cell r="X204" t="str">
            <v>Oui</v>
          </cell>
        </row>
        <row r="205">
          <cell r="C205">
            <v>-5224.8</v>
          </cell>
          <cell r="O205">
            <v>-2698.78</v>
          </cell>
          <cell r="U205" t="str">
            <v>Pièces</v>
          </cell>
          <cell r="V205" t="str">
            <v>Pièces Ro Carrosserie</v>
          </cell>
          <cell r="W205" t="str">
            <v>$</v>
          </cell>
          <cell r="X205" t="str">
            <v>Oui</v>
          </cell>
        </row>
        <row r="206">
          <cell r="C206">
            <v>-77124.13</v>
          </cell>
          <cell r="O206">
            <v>-21587.59</v>
          </cell>
          <cell r="U206" t="str">
            <v>Pièces</v>
          </cell>
          <cell r="V206" t="str">
            <v>Ventes Détails</v>
          </cell>
          <cell r="W206" t="str">
            <v>$</v>
          </cell>
          <cell r="X206" t="str">
            <v>Oui</v>
          </cell>
        </row>
        <row r="207">
          <cell r="C207">
            <v>-372981.02</v>
          </cell>
          <cell r="O207">
            <v>-80494.38</v>
          </cell>
          <cell r="U207" t="str">
            <v>Pièces</v>
          </cell>
          <cell r="V207" t="str">
            <v>Ventes de Gros</v>
          </cell>
          <cell r="W207" t="str">
            <v>$</v>
          </cell>
          <cell r="X207" t="str">
            <v>Oui</v>
          </cell>
        </row>
        <row r="208">
          <cell r="C208">
            <v>-151643.5</v>
          </cell>
          <cell r="O208">
            <v>-28986.81</v>
          </cell>
          <cell r="U208" t="str">
            <v>Pièces</v>
          </cell>
          <cell r="V208" t="str">
            <v>Ventes Pneus</v>
          </cell>
          <cell r="W208" t="str">
            <v>$</v>
          </cell>
          <cell r="X208" t="str">
            <v>Oui</v>
          </cell>
        </row>
        <row r="209">
          <cell r="C209">
            <v>-568.38</v>
          </cell>
          <cell r="O209">
            <v>0</v>
          </cell>
          <cell r="U209" t="str">
            <v>Pièces</v>
          </cell>
          <cell r="V209" t="str">
            <v>Ventes Pneus</v>
          </cell>
          <cell r="W209" t="str">
            <v>$</v>
          </cell>
          <cell r="X209" t="str">
            <v>Oui</v>
          </cell>
        </row>
        <row r="210">
          <cell r="C210">
            <v>1727483.92</v>
          </cell>
          <cell r="O210">
            <v>397901.4</v>
          </cell>
          <cell r="U210" t="str">
            <v>Véhicules neufs</v>
          </cell>
          <cell r="V210" t="str">
            <v>Rachat bail</v>
          </cell>
          <cell r="W210" t="str">
            <v>$</v>
          </cell>
          <cell r="X210">
            <v>0</v>
          </cell>
        </row>
        <row r="211">
          <cell r="C211">
            <v>308625.91999999998</v>
          </cell>
          <cell r="O211">
            <v>0</v>
          </cell>
          <cell r="U211" t="str">
            <v>Véhicules neufs</v>
          </cell>
          <cell r="V211" t="str">
            <v>Autos détail</v>
          </cell>
          <cell r="W211" t="str">
            <v>$</v>
          </cell>
          <cell r="X211">
            <v>0</v>
          </cell>
        </row>
        <row r="212">
          <cell r="C212">
            <v>249088.58</v>
          </cell>
          <cell r="O212">
            <v>86531.94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>
            <v>0</v>
          </cell>
        </row>
        <row r="213">
          <cell r="C213">
            <v>1404804.31</v>
          </cell>
          <cell r="O213">
            <v>291384.69</v>
          </cell>
          <cell r="U213" t="str">
            <v>Véhicules neufs</v>
          </cell>
          <cell r="V213" t="str">
            <v>Camions détail</v>
          </cell>
          <cell r="W213" t="str">
            <v>$</v>
          </cell>
          <cell r="X213">
            <v>0</v>
          </cell>
        </row>
        <row r="214">
          <cell r="C214">
            <v>1298407.24</v>
          </cell>
          <cell r="O214">
            <v>577234.71</v>
          </cell>
          <cell r="U214" t="str">
            <v>Véhicules neufs</v>
          </cell>
          <cell r="V214" t="str">
            <v>Camions détail</v>
          </cell>
          <cell r="W214" t="str">
            <v>$</v>
          </cell>
          <cell r="X214">
            <v>0</v>
          </cell>
        </row>
        <row r="215">
          <cell r="C215">
            <v>126137.85</v>
          </cell>
          <cell r="O215">
            <v>0</v>
          </cell>
          <cell r="U215" t="str">
            <v>Véhicules neufs</v>
          </cell>
          <cell r="V215" t="str">
            <v>Camions détail</v>
          </cell>
          <cell r="W215" t="str">
            <v>$</v>
          </cell>
          <cell r="X215">
            <v>0</v>
          </cell>
        </row>
        <row r="216">
          <cell r="C216">
            <v>219150.11</v>
          </cell>
          <cell r="O216">
            <v>143395.20000000001</v>
          </cell>
          <cell r="U216" t="str">
            <v>Véhicules neufs</v>
          </cell>
          <cell r="V216" t="str">
            <v>Autos détail</v>
          </cell>
          <cell r="W216" t="str">
            <v>$</v>
          </cell>
          <cell r="X216">
            <v>0</v>
          </cell>
        </row>
        <row r="217">
          <cell r="C217">
            <v>2493629.85</v>
          </cell>
          <cell r="O217">
            <v>888430.83</v>
          </cell>
          <cell r="U217" t="str">
            <v>Véhicules neufs</v>
          </cell>
          <cell r="V217" t="str">
            <v>Camions détail</v>
          </cell>
          <cell r="W217" t="str">
            <v>$</v>
          </cell>
          <cell r="X217">
            <v>0</v>
          </cell>
        </row>
        <row r="218">
          <cell r="C218">
            <v>67839.39</v>
          </cell>
          <cell r="O218">
            <v>0</v>
          </cell>
          <cell r="U218" t="str">
            <v>Véhicules neufs</v>
          </cell>
          <cell r="V218" t="str">
            <v>Flottes</v>
          </cell>
          <cell r="W218" t="str">
            <v>$</v>
          </cell>
          <cell r="X218">
            <v>0</v>
          </cell>
        </row>
        <row r="219">
          <cell r="C219">
            <v>796365.81</v>
          </cell>
          <cell r="O219">
            <v>144960.39000000001</v>
          </cell>
          <cell r="U219" t="str">
            <v>Véhicules neufs</v>
          </cell>
          <cell r="V219" t="str">
            <v>Ex-Démos et courtoisies</v>
          </cell>
          <cell r="W219" t="str">
            <v>$</v>
          </cell>
          <cell r="X219">
            <v>0</v>
          </cell>
        </row>
        <row r="220">
          <cell r="C220">
            <v>62704.92</v>
          </cell>
          <cell r="O220">
            <v>30663.78</v>
          </cell>
          <cell r="U220" t="str">
            <v>Véhicules neufs</v>
          </cell>
          <cell r="V220" t="str">
            <v>Autos détail</v>
          </cell>
          <cell r="W220" t="str">
            <v>$</v>
          </cell>
          <cell r="X220">
            <v>0</v>
          </cell>
        </row>
        <row r="221">
          <cell r="C221">
            <v>3248206.43</v>
          </cell>
          <cell r="O221">
            <v>853279.42</v>
          </cell>
          <cell r="U221" t="str">
            <v>Véhicules usagés</v>
          </cell>
          <cell r="V221" t="str">
            <v>Certifié</v>
          </cell>
          <cell r="W221" t="str">
            <v>$</v>
          </cell>
          <cell r="X221">
            <v>0</v>
          </cell>
        </row>
        <row r="222">
          <cell r="C222">
            <v>310836.95</v>
          </cell>
          <cell r="O222">
            <v>62476.79</v>
          </cell>
          <cell r="U222" t="str">
            <v>Véhicules usagés</v>
          </cell>
          <cell r="V222" t="str">
            <v>Certifié</v>
          </cell>
          <cell r="W222" t="str">
            <v>$</v>
          </cell>
          <cell r="X222">
            <v>0</v>
          </cell>
        </row>
        <row r="223">
          <cell r="C223">
            <v>138917.42000000001</v>
          </cell>
          <cell r="O223">
            <v>16230</v>
          </cell>
          <cell r="U223" t="str">
            <v>Véhicules usagés</v>
          </cell>
          <cell r="V223" t="str">
            <v>Non Certifié</v>
          </cell>
          <cell r="W223" t="str">
            <v>$</v>
          </cell>
          <cell r="X223">
            <v>0</v>
          </cell>
        </row>
        <row r="224">
          <cell r="C224">
            <v>10815.6</v>
          </cell>
          <cell r="O224">
            <v>2043.22</v>
          </cell>
          <cell r="U224" t="str">
            <v>Véhicules usagés</v>
          </cell>
          <cell r="V224" t="str">
            <v>Non Certifié</v>
          </cell>
          <cell r="W224" t="str">
            <v>$</v>
          </cell>
          <cell r="X224">
            <v>0</v>
          </cell>
        </row>
        <row r="225">
          <cell r="C225">
            <v>2006727.34</v>
          </cell>
          <cell r="O225">
            <v>760796.45</v>
          </cell>
          <cell r="U225" t="str">
            <v>Véhicules usagés</v>
          </cell>
          <cell r="V225" t="str">
            <v>Ventes au Gros</v>
          </cell>
          <cell r="W225" t="str">
            <v>$</v>
          </cell>
          <cell r="X225">
            <v>0</v>
          </cell>
        </row>
        <row r="226">
          <cell r="C226">
            <v>134409.17000000001</v>
          </cell>
          <cell r="O226">
            <v>27935.4</v>
          </cell>
          <cell r="U226" t="str">
            <v>Service</v>
          </cell>
          <cell r="V226" t="str">
            <v>M/O Client</v>
          </cell>
          <cell r="W226" t="str">
            <v>$</v>
          </cell>
          <cell r="X226">
            <v>0</v>
          </cell>
        </row>
        <row r="227">
          <cell r="C227">
            <v>523.16</v>
          </cell>
          <cell r="O227">
            <v>244.2</v>
          </cell>
          <cell r="U227" t="str">
            <v>Service</v>
          </cell>
          <cell r="V227" t="str">
            <v>M/O Esthétique</v>
          </cell>
          <cell r="W227" t="str">
            <v>$</v>
          </cell>
          <cell r="X227">
            <v>0</v>
          </cell>
        </row>
        <row r="228">
          <cell r="C228">
            <v>57960.92</v>
          </cell>
          <cell r="O228">
            <v>13463.78</v>
          </cell>
          <cell r="U228" t="str">
            <v>Service</v>
          </cell>
          <cell r="V228" t="str">
            <v>M/O Garantie</v>
          </cell>
          <cell r="W228" t="str">
            <v>$</v>
          </cell>
          <cell r="X228">
            <v>0</v>
          </cell>
        </row>
        <row r="229">
          <cell r="C229">
            <v>59996.639999999999</v>
          </cell>
          <cell r="O229">
            <v>18198.82</v>
          </cell>
          <cell r="U229" t="str">
            <v>Service</v>
          </cell>
          <cell r="V229" t="str">
            <v>M/O Interne</v>
          </cell>
          <cell r="W229" t="str">
            <v>$</v>
          </cell>
          <cell r="X229">
            <v>0</v>
          </cell>
        </row>
        <row r="230">
          <cell r="C230">
            <v>13241</v>
          </cell>
          <cell r="O230">
            <v>354.38</v>
          </cell>
          <cell r="U230" t="str">
            <v>Service</v>
          </cell>
          <cell r="V230" t="str">
            <v>Ajustement M/O</v>
          </cell>
          <cell r="W230" t="str">
            <v>$</v>
          </cell>
          <cell r="X230">
            <v>0</v>
          </cell>
        </row>
        <row r="231">
          <cell r="C231">
            <v>74551.59</v>
          </cell>
          <cell r="O231">
            <v>19029.38</v>
          </cell>
          <cell r="U231" t="str">
            <v>Pièces</v>
          </cell>
          <cell r="V231" t="str">
            <v>Huiles et Graisse</v>
          </cell>
          <cell r="W231" t="str">
            <v>$</v>
          </cell>
          <cell r="X231">
            <v>0</v>
          </cell>
        </row>
        <row r="232">
          <cell r="C232">
            <v>4194.37</v>
          </cell>
          <cell r="O232">
            <v>855</v>
          </cell>
          <cell r="U232" t="str">
            <v>Service</v>
          </cell>
          <cell r="V232" t="str">
            <v>Sous-traitement</v>
          </cell>
          <cell r="W232" t="str">
            <v>$</v>
          </cell>
          <cell r="X232">
            <v>0</v>
          </cell>
        </row>
        <row r="233">
          <cell r="C233">
            <v>8644.44</v>
          </cell>
          <cell r="O233">
            <v>2686.81</v>
          </cell>
          <cell r="U233" t="str">
            <v>Service</v>
          </cell>
          <cell r="V233" t="str">
            <v>Sous-traitement</v>
          </cell>
          <cell r="W233" t="str">
            <v>$</v>
          </cell>
          <cell r="X233">
            <v>0</v>
          </cell>
        </row>
        <row r="234">
          <cell r="C234">
            <v>66357.3</v>
          </cell>
          <cell r="O234">
            <v>20396.32</v>
          </cell>
          <cell r="U234" t="str">
            <v>Service</v>
          </cell>
          <cell r="V234" t="str">
            <v>Sous-traitement</v>
          </cell>
          <cell r="W234" t="str">
            <v>$</v>
          </cell>
          <cell r="X234">
            <v>0</v>
          </cell>
        </row>
        <row r="235">
          <cell r="C235">
            <v>59797.41</v>
          </cell>
          <cell r="O235">
            <v>15696.74</v>
          </cell>
          <cell r="U235" t="str">
            <v>Carrosserie</v>
          </cell>
          <cell r="V235" t="str">
            <v>M/O Sous-traitement</v>
          </cell>
          <cell r="W235" t="str">
            <v>$</v>
          </cell>
          <cell r="X235">
            <v>0</v>
          </cell>
        </row>
        <row r="236">
          <cell r="C236">
            <v>327152.48</v>
          </cell>
          <cell r="O236">
            <v>69523.100000000006</v>
          </cell>
          <cell r="U236" t="str">
            <v>Carrosserie</v>
          </cell>
          <cell r="V236" t="str">
            <v>M/O Sous-traitement</v>
          </cell>
          <cell r="W236" t="str">
            <v>$</v>
          </cell>
          <cell r="X236">
            <v>0</v>
          </cell>
        </row>
        <row r="237">
          <cell r="C237">
            <v>20767.310000000001</v>
          </cell>
          <cell r="O237">
            <v>6712.87</v>
          </cell>
          <cell r="U237" t="str">
            <v>Carrosserie</v>
          </cell>
          <cell r="V237" t="str">
            <v>M/O Sous-traitement</v>
          </cell>
          <cell r="W237" t="str">
            <v>$</v>
          </cell>
          <cell r="X237">
            <v>0</v>
          </cell>
        </row>
        <row r="238">
          <cell r="C238">
            <v>202304.33</v>
          </cell>
          <cell r="O238">
            <v>56412.07</v>
          </cell>
          <cell r="U238" t="str">
            <v>Pièces</v>
          </cell>
          <cell r="V238" t="str">
            <v>Pièces Ro Clients</v>
          </cell>
          <cell r="W238" t="str">
            <v>$</v>
          </cell>
          <cell r="X238">
            <v>0</v>
          </cell>
        </row>
        <row r="239">
          <cell r="C239">
            <v>1975.65</v>
          </cell>
          <cell r="O239">
            <v>385.31</v>
          </cell>
          <cell r="U239" t="str">
            <v>Service</v>
          </cell>
          <cell r="V239" t="str">
            <v>M/O Client</v>
          </cell>
          <cell r="W239" t="str">
            <v>$</v>
          </cell>
          <cell r="X239">
            <v>0</v>
          </cell>
        </row>
        <row r="240">
          <cell r="C240">
            <v>211652.54</v>
          </cell>
          <cell r="O240">
            <v>41992.67</v>
          </cell>
          <cell r="U240" t="str">
            <v>Pièces</v>
          </cell>
          <cell r="V240" t="str">
            <v>P/A Garantie</v>
          </cell>
          <cell r="W240" t="str">
            <v>$</v>
          </cell>
          <cell r="X240">
            <v>0</v>
          </cell>
        </row>
        <row r="241">
          <cell r="C241">
            <v>137062.20000000001</v>
          </cell>
          <cell r="O241">
            <v>37343.879999999997</v>
          </cell>
          <cell r="U241" t="str">
            <v>Pièces</v>
          </cell>
          <cell r="V241" t="str">
            <v>Ventes Internes</v>
          </cell>
          <cell r="W241" t="str">
            <v>$</v>
          </cell>
          <cell r="X241">
            <v>0</v>
          </cell>
        </row>
        <row r="242">
          <cell r="C242">
            <v>2769.44</v>
          </cell>
          <cell r="O242">
            <v>1097.1099999999999</v>
          </cell>
          <cell r="U242" t="str">
            <v>Service</v>
          </cell>
          <cell r="V242" t="str">
            <v>M/O Interne</v>
          </cell>
          <cell r="W242" t="str">
            <v>$</v>
          </cell>
          <cell r="X242">
            <v>0</v>
          </cell>
        </row>
        <row r="243">
          <cell r="C243">
            <v>7799.67</v>
          </cell>
          <cell r="O243">
            <v>466.63</v>
          </cell>
          <cell r="U243" t="str">
            <v>Pièces</v>
          </cell>
          <cell r="V243" t="str">
            <v>Pièces Ro Clients</v>
          </cell>
          <cell r="W243" t="str">
            <v>$</v>
          </cell>
          <cell r="X243">
            <v>0</v>
          </cell>
        </row>
        <row r="244">
          <cell r="C244">
            <v>0</v>
          </cell>
          <cell r="O244">
            <v>189.83</v>
          </cell>
          <cell r="U244" t="str">
            <v>Pièces</v>
          </cell>
          <cell r="V244" t="str">
            <v>Ventes Internes</v>
          </cell>
          <cell r="W244" t="str">
            <v>$</v>
          </cell>
          <cell r="X244">
            <v>0</v>
          </cell>
        </row>
        <row r="245">
          <cell r="C245">
            <v>26265.27</v>
          </cell>
          <cell r="O245">
            <v>1841.18</v>
          </cell>
          <cell r="U245" t="str">
            <v>Pièces</v>
          </cell>
          <cell r="V245" t="str">
            <v>Pièces Ro Carrosserie</v>
          </cell>
          <cell r="W245" t="str">
            <v>$</v>
          </cell>
          <cell r="X245">
            <v>0</v>
          </cell>
        </row>
        <row r="246">
          <cell r="C246">
            <v>190650.21</v>
          </cell>
          <cell r="O246">
            <v>43360.19</v>
          </cell>
          <cell r="U246" t="str">
            <v>Pièces</v>
          </cell>
          <cell r="V246" t="str">
            <v>Pièces Ro Carrosserie</v>
          </cell>
          <cell r="W246" t="str">
            <v>$</v>
          </cell>
          <cell r="X246">
            <v>0</v>
          </cell>
        </row>
        <row r="247">
          <cell r="C247">
            <v>3649.57</v>
          </cell>
          <cell r="O247">
            <v>1837.47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>
            <v>0</v>
          </cell>
        </row>
        <row r="248">
          <cell r="C248">
            <v>53376.36</v>
          </cell>
          <cell r="O248">
            <v>14609.52</v>
          </cell>
          <cell r="U248" t="str">
            <v>Pièces</v>
          </cell>
          <cell r="V248" t="str">
            <v>Ventes Détails</v>
          </cell>
          <cell r="W248" t="str">
            <v>$</v>
          </cell>
          <cell r="X248">
            <v>0</v>
          </cell>
        </row>
        <row r="249">
          <cell r="C249">
            <v>308371.93</v>
          </cell>
          <cell r="O249">
            <v>66249.31</v>
          </cell>
          <cell r="U249" t="str">
            <v>Pièces</v>
          </cell>
          <cell r="V249" t="str">
            <v>Ventes de Gros</v>
          </cell>
          <cell r="W249" t="str">
            <v>$</v>
          </cell>
          <cell r="X249">
            <v>0</v>
          </cell>
        </row>
        <row r="250">
          <cell r="C250">
            <v>124599.31</v>
          </cell>
          <cell r="O250">
            <v>23390.29</v>
          </cell>
          <cell r="U250" t="str">
            <v>Pièces</v>
          </cell>
          <cell r="V250" t="str">
            <v>Ventes Pneus</v>
          </cell>
          <cell r="W250" t="str">
            <v>$</v>
          </cell>
          <cell r="X250">
            <v>0</v>
          </cell>
        </row>
        <row r="251">
          <cell r="C251">
            <v>1089.3399999999999</v>
          </cell>
          <cell r="O251">
            <v>0</v>
          </cell>
          <cell r="U251" t="str">
            <v>Pièces</v>
          </cell>
          <cell r="V251" t="str">
            <v>Ventes Pneus</v>
          </cell>
          <cell r="W251" t="str">
            <v>$</v>
          </cell>
          <cell r="X251">
            <v>0</v>
          </cell>
        </row>
        <row r="252">
          <cell r="C252">
            <v>-6072.49</v>
          </cell>
          <cell r="O252">
            <v>-8534.74</v>
          </cell>
          <cell r="U252" t="str">
            <v>Pièces</v>
          </cell>
          <cell r="V252" t="str">
            <v>Escomptes</v>
          </cell>
          <cell r="W252" t="str">
            <v>$</v>
          </cell>
          <cell r="X252">
            <v>0</v>
          </cell>
        </row>
        <row r="253">
          <cell r="C253">
            <v>198823.34</v>
          </cell>
          <cell r="O253">
            <v>53584.59</v>
          </cell>
          <cell r="U253" t="str">
            <v>Véhicules neufs</v>
          </cell>
          <cell r="V253" t="str">
            <v>Comm. vendeurs</v>
          </cell>
          <cell r="W253" t="str">
            <v>$</v>
          </cell>
          <cell r="X253">
            <v>0</v>
          </cell>
        </row>
        <row r="254">
          <cell r="C254">
            <v>69471.039999999994</v>
          </cell>
          <cell r="O254">
            <v>22247.9</v>
          </cell>
          <cell r="U254" t="str">
            <v>Véhicules neufs</v>
          </cell>
          <cell r="V254" t="str">
            <v>Comm. F&amp;I</v>
          </cell>
          <cell r="W254" t="str">
            <v>$</v>
          </cell>
          <cell r="X254">
            <v>0</v>
          </cell>
        </row>
        <row r="255">
          <cell r="C255">
            <v>256</v>
          </cell>
          <cell r="O255">
            <v>580.27</v>
          </cell>
          <cell r="U255" t="str">
            <v>Véhicules neufs</v>
          </cell>
          <cell r="V255" t="str">
            <v>Service gratuit 1</v>
          </cell>
          <cell r="W255" t="str">
            <v>$</v>
          </cell>
          <cell r="X255">
            <v>0</v>
          </cell>
        </row>
        <row r="256">
          <cell r="C256">
            <v>20902.78</v>
          </cell>
          <cell r="O256">
            <v>3700.21</v>
          </cell>
          <cell r="U256" t="str">
            <v>Véhicules neufs</v>
          </cell>
          <cell r="V256" t="str">
            <v>Entretien stock</v>
          </cell>
          <cell r="W256" t="str">
            <v>$</v>
          </cell>
          <cell r="X256">
            <v>0</v>
          </cell>
        </row>
        <row r="257">
          <cell r="C257">
            <v>3729.54</v>
          </cell>
          <cell r="O257">
            <v>229.61</v>
          </cell>
          <cell r="U257" t="str">
            <v>Véhicules neufs</v>
          </cell>
          <cell r="V257" t="str">
            <v>Intérêt de gros</v>
          </cell>
          <cell r="W257" t="str">
            <v>$</v>
          </cell>
          <cell r="X257">
            <v>0</v>
          </cell>
        </row>
        <row r="258">
          <cell r="C258">
            <v>22172.65</v>
          </cell>
          <cell r="O258">
            <v>4681.33</v>
          </cell>
          <cell r="U258" t="str">
            <v>Véhicules neufs</v>
          </cell>
          <cell r="V258" t="str">
            <v>Frais de livraison</v>
          </cell>
          <cell r="W258" t="str">
            <v>$</v>
          </cell>
          <cell r="X258">
            <v>0</v>
          </cell>
        </row>
        <row r="259">
          <cell r="C259">
            <v>84711</v>
          </cell>
          <cell r="O259">
            <v>15437.15</v>
          </cell>
          <cell r="U259" t="str">
            <v>Véhicules neufs</v>
          </cell>
          <cell r="V259" t="str">
            <v>Publicité 1</v>
          </cell>
          <cell r="W259" t="str">
            <v>$</v>
          </cell>
          <cell r="X259">
            <v>0</v>
          </cell>
        </row>
        <row r="260">
          <cell r="C260">
            <v>-17900</v>
          </cell>
          <cell r="O260">
            <v>-6950</v>
          </cell>
          <cell r="U260" t="str">
            <v>Véhicules neufs</v>
          </cell>
          <cell r="V260" t="str">
            <v>Publicité 1</v>
          </cell>
          <cell r="W260" t="str">
            <v>$</v>
          </cell>
          <cell r="X260">
            <v>0</v>
          </cell>
        </row>
        <row r="261">
          <cell r="C261">
            <v>36058.74</v>
          </cell>
          <cell r="O261">
            <v>7869.62</v>
          </cell>
          <cell r="U261" t="str">
            <v>Véhicules neufs</v>
          </cell>
          <cell r="V261" t="str">
            <v>Salaires propriétaire</v>
          </cell>
          <cell r="W261" t="str">
            <v>$</v>
          </cell>
          <cell r="X261">
            <v>0</v>
          </cell>
        </row>
        <row r="262">
          <cell r="C262">
            <v>69677.2</v>
          </cell>
          <cell r="O262">
            <v>17258.29</v>
          </cell>
          <cell r="U262" t="str">
            <v>Véhicules neufs</v>
          </cell>
          <cell r="V262" t="str">
            <v>Salaires cadres</v>
          </cell>
          <cell r="W262" t="str">
            <v>$</v>
          </cell>
          <cell r="X262">
            <v>0</v>
          </cell>
        </row>
        <row r="263">
          <cell r="C263">
            <v>40564.22</v>
          </cell>
          <cell r="O263">
            <v>7489.24</v>
          </cell>
          <cell r="U263" t="str">
            <v>Véhicules neufs</v>
          </cell>
          <cell r="V263" t="str">
            <v>Salaires commis</v>
          </cell>
          <cell r="W263" t="str">
            <v>$</v>
          </cell>
          <cell r="X263">
            <v>0</v>
          </cell>
        </row>
        <row r="264">
          <cell r="C264">
            <v>17062.36</v>
          </cell>
          <cell r="O264">
            <v>3923.31</v>
          </cell>
          <cell r="U264" t="str">
            <v>Véhicules neufs</v>
          </cell>
          <cell r="V264" t="str">
            <v>Salaires autres</v>
          </cell>
          <cell r="W264" t="str">
            <v>$</v>
          </cell>
          <cell r="X264">
            <v>0</v>
          </cell>
        </row>
        <row r="265">
          <cell r="C265">
            <v>59846.85</v>
          </cell>
          <cell r="O265">
            <v>17407.080000000002</v>
          </cell>
          <cell r="U265" t="str">
            <v>Véhicules neufs</v>
          </cell>
          <cell r="V265" t="str">
            <v>Salaires en absences</v>
          </cell>
          <cell r="W265" t="str">
            <v>$</v>
          </cell>
          <cell r="X265">
            <v>0</v>
          </cell>
        </row>
        <row r="266">
          <cell r="C266">
            <v>12874.51</v>
          </cell>
          <cell r="O266">
            <v>6026.16</v>
          </cell>
          <cell r="U266" t="str">
            <v>Véhicules neufs</v>
          </cell>
          <cell r="V266" t="str">
            <v>Csst</v>
          </cell>
          <cell r="W266" t="str">
            <v>$</v>
          </cell>
          <cell r="X266">
            <v>0</v>
          </cell>
        </row>
        <row r="267">
          <cell r="C267">
            <v>77176.399999999994</v>
          </cell>
          <cell r="O267">
            <v>20529.61</v>
          </cell>
          <cell r="U267" t="str">
            <v>Véhicules neufs</v>
          </cell>
          <cell r="V267" t="str">
            <v>Déduction à la source</v>
          </cell>
          <cell r="W267" t="str">
            <v>$</v>
          </cell>
          <cell r="X267">
            <v>0</v>
          </cell>
        </row>
        <row r="268">
          <cell r="C268">
            <v>30159.8</v>
          </cell>
          <cell r="O268">
            <v>8891.51</v>
          </cell>
          <cell r="U268" t="str">
            <v>Véhicules neufs</v>
          </cell>
          <cell r="V268" t="str">
            <v>Bénéfices marginaux</v>
          </cell>
          <cell r="W268" t="str">
            <v>$</v>
          </cell>
          <cell r="X268">
            <v>0</v>
          </cell>
        </row>
        <row r="269">
          <cell r="C269">
            <v>28.03</v>
          </cell>
          <cell r="O269">
            <v>0</v>
          </cell>
          <cell r="U269" t="str">
            <v>Véhicules neufs</v>
          </cell>
          <cell r="V269" t="str">
            <v>Fournitures autres</v>
          </cell>
          <cell r="W269" t="str">
            <v>$</v>
          </cell>
          <cell r="X269">
            <v>0</v>
          </cell>
        </row>
        <row r="270">
          <cell r="C270">
            <v>3267.26</v>
          </cell>
          <cell r="O270">
            <v>1444.75</v>
          </cell>
          <cell r="U270" t="str">
            <v>Véhicules neufs</v>
          </cell>
          <cell r="V270" t="str">
            <v>Formation</v>
          </cell>
          <cell r="W270" t="str">
            <v>$</v>
          </cell>
          <cell r="X270">
            <v>0</v>
          </cell>
        </row>
        <row r="271">
          <cell r="C271">
            <v>41436.14</v>
          </cell>
          <cell r="O271">
            <v>8324.85</v>
          </cell>
          <cell r="U271" t="str">
            <v>Véhicules neufs</v>
          </cell>
          <cell r="V271" t="str">
            <v>Frais véhicules de cie</v>
          </cell>
          <cell r="W271" t="str">
            <v>$</v>
          </cell>
          <cell r="X271">
            <v>0</v>
          </cell>
        </row>
        <row r="272">
          <cell r="C272">
            <v>598.9</v>
          </cell>
          <cell r="O272">
            <v>112.03</v>
          </cell>
          <cell r="U272" t="str">
            <v>Véhicules neufs</v>
          </cell>
          <cell r="V272" t="str">
            <v>Frais postaux</v>
          </cell>
          <cell r="W272" t="str">
            <v>$</v>
          </cell>
          <cell r="X272">
            <v>0</v>
          </cell>
        </row>
        <row r="273">
          <cell r="C273">
            <v>34936.949999999997</v>
          </cell>
          <cell r="O273">
            <v>7033.71</v>
          </cell>
          <cell r="U273" t="str">
            <v>Véhicules neufs</v>
          </cell>
          <cell r="V273" t="str">
            <v>Informatique</v>
          </cell>
          <cell r="W273" t="str">
            <v>$</v>
          </cell>
          <cell r="X273">
            <v>0</v>
          </cell>
        </row>
        <row r="274">
          <cell r="C274">
            <v>3138.04</v>
          </cell>
          <cell r="O274">
            <v>472.5</v>
          </cell>
          <cell r="U274" t="str">
            <v>Véhicules neufs</v>
          </cell>
          <cell r="V274" t="str">
            <v>Papeterie</v>
          </cell>
          <cell r="W274" t="str">
            <v>$</v>
          </cell>
          <cell r="X274">
            <v>0</v>
          </cell>
        </row>
        <row r="275">
          <cell r="C275">
            <v>1263.58</v>
          </cell>
          <cell r="O275">
            <v>394.79</v>
          </cell>
          <cell r="U275" t="str">
            <v>Véhicules neufs</v>
          </cell>
          <cell r="V275" t="str">
            <v>Téléphone</v>
          </cell>
          <cell r="W275" t="str">
            <v>$</v>
          </cell>
          <cell r="X275">
            <v>0</v>
          </cell>
        </row>
        <row r="276">
          <cell r="C276">
            <v>1931.72</v>
          </cell>
          <cell r="O276">
            <v>238.3</v>
          </cell>
          <cell r="U276" t="str">
            <v>Véhicules neufs</v>
          </cell>
          <cell r="V276" t="str">
            <v>Divers</v>
          </cell>
          <cell r="W276" t="str">
            <v>$</v>
          </cell>
          <cell r="X276">
            <v>0</v>
          </cell>
        </row>
        <row r="277">
          <cell r="C277">
            <v>3876.11</v>
          </cell>
          <cell r="O277">
            <v>2502.7600000000002</v>
          </cell>
          <cell r="U277" t="str">
            <v>Véhicules neufs</v>
          </cell>
          <cell r="V277" t="str">
            <v>Frais de déplacement</v>
          </cell>
          <cell r="W277" t="str">
            <v>$</v>
          </cell>
          <cell r="X277">
            <v>0</v>
          </cell>
        </row>
        <row r="278">
          <cell r="C278">
            <v>33124.120000000003</v>
          </cell>
          <cell r="O278">
            <v>7293.4</v>
          </cell>
          <cell r="U278" t="str">
            <v>Véhicules neufs</v>
          </cell>
          <cell r="V278" t="str">
            <v>Services extérieurs</v>
          </cell>
          <cell r="W278" t="str">
            <v>$</v>
          </cell>
          <cell r="X278">
            <v>0</v>
          </cell>
        </row>
        <row r="279">
          <cell r="C279">
            <v>6903.2</v>
          </cell>
          <cell r="O279">
            <v>1380.64</v>
          </cell>
          <cell r="U279" t="str">
            <v>Véhicules neufs</v>
          </cell>
          <cell r="V279" t="str">
            <v>Amortissement</v>
          </cell>
          <cell r="W279" t="str">
            <v>$</v>
          </cell>
          <cell r="X279">
            <v>0</v>
          </cell>
        </row>
        <row r="280">
          <cell r="C280">
            <v>3786.47</v>
          </cell>
          <cell r="O280">
            <v>0</v>
          </cell>
          <cell r="U280" t="str">
            <v>Véhicules neufs</v>
          </cell>
          <cell r="V280" t="str">
            <v>Chauffage, éclairage</v>
          </cell>
          <cell r="W280" t="str">
            <v>$</v>
          </cell>
          <cell r="X280">
            <v>0</v>
          </cell>
        </row>
        <row r="281">
          <cell r="C281">
            <v>41600</v>
          </cell>
          <cell r="O281">
            <v>8320</v>
          </cell>
          <cell r="U281" t="str">
            <v>Véhicules neufs</v>
          </cell>
          <cell r="V281" t="str">
            <v>Loyer</v>
          </cell>
          <cell r="W281" t="str">
            <v>$</v>
          </cell>
          <cell r="X281">
            <v>0</v>
          </cell>
        </row>
        <row r="282">
          <cell r="C282">
            <v>6833.6</v>
          </cell>
          <cell r="O282">
            <v>1366.72</v>
          </cell>
          <cell r="U282" t="str">
            <v>Véhicules neufs</v>
          </cell>
          <cell r="V282" t="str">
            <v>Assurances</v>
          </cell>
          <cell r="W282" t="str">
            <v>$</v>
          </cell>
          <cell r="X282">
            <v>0</v>
          </cell>
        </row>
        <row r="283">
          <cell r="C283">
            <v>7888</v>
          </cell>
          <cell r="O283">
            <v>1577.6</v>
          </cell>
          <cell r="U283" t="str">
            <v>Véhicules neufs</v>
          </cell>
          <cell r="V283" t="str">
            <v>Taxes foncières</v>
          </cell>
          <cell r="W283" t="str">
            <v>$</v>
          </cell>
          <cell r="X283">
            <v>0</v>
          </cell>
        </row>
        <row r="284">
          <cell r="C284">
            <v>5248</v>
          </cell>
          <cell r="O284">
            <v>1049.5999999999999</v>
          </cell>
          <cell r="U284" t="str">
            <v>Véhicules neufs</v>
          </cell>
          <cell r="V284" t="str">
            <v>Taxes d`affaires</v>
          </cell>
          <cell r="W284" t="str">
            <v>$</v>
          </cell>
          <cell r="X284">
            <v>0</v>
          </cell>
        </row>
        <row r="285">
          <cell r="C285">
            <v>9797.35</v>
          </cell>
          <cell r="O285">
            <v>1959.47</v>
          </cell>
          <cell r="U285" t="str">
            <v>Véhicules neufs</v>
          </cell>
          <cell r="V285" t="str">
            <v>Honoraires</v>
          </cell>
          <cell r="W285" t="str">
            <v>$</v>
          </cell>
          <cell r="X285">
            <v>0</v>
          </cell>
        </row>
        <row r="286">
          <cell r="C286">
            <v>132602.67000000001</v>
          </cell>
          <cell r="O286">
            <v>28505.89</v>
          </cell>
          <cell r="U286" t="str">
            <v>Véhicules usagés</v>
          </cell>
          <cell r="V286" t="str">
            <v>Comm. vendeurs</v>
          </cell>
          <cell r="W286" t="str">
            <v>$</v>
          </cell>
          <cell r="X286">
            <v>0</v>
          </cell>
        </row>
        <row r="287">
          <cell r="C287">
            <v>129668.25</v>
          </cell>
          <cell r="O287">
            <v>27256.91</v>
          </cell>
          <cell r="U287" t="str">
            <v>Véhicules usagés</v>
          </cell>
          <cell r="V287" t="str">
            <v>Comm. F&amp;I</v>
          </cell>
          <cell r="W287" t="str">
            <v>$</v>
          </cell>
          <cell r="X287">
            <v>0</v>
          </cell>
        </row>
        <row r="288">
          <cell r="C288">
            <v>1343.13</v>
          </cell>
          <cell r="O288">
            <v>0</v>
          </cell>
          <cell r="U288" t="str">
            <v>Véhicules usagés</v>
          </cell>
          <cell r="V288" t="str">
            <v>Service gratuit 1</v>
          </cell>
          <cell r="W288" t="str">
            <v>$</v>
          </cell>
          <cell r="X288">
            <v>0</v>
          </cell>
        </row>
        <row r="289">
          <cell r="C289">
            <v>21088.14</v>
          </cell>
          <cell r="O289">
            <v>5525.15</v>
          </cell>
          <cell r="U289" t="str">
            <v>Véhicules usagés</v>
          </cell>
          <cell r="V289" t="str">
            <v>Entretien stock</v>
          </cell>
          <cell r="W289" t="str">
            <v>$</v>
          </cell>
          <cell r="X289">
            <v>0</v>
          </cell>
        </row>
        <row r="290">
          <cell r="C290">
            <v>5962.03</v>
          </cell>
          <cell r="O290">
            <v>3694.24</v>
          </cell>
          <cell r="U290" t="str">
            <v>Véhicules usagés</v>
          </cell>
          <cell r="V290" t="str">
            <v>Intérêt de gros</v>
          </cell>
          <cell r="W290" t="str">
            <v>$</v>
          </cell>
          <cell r="X290">
            <v>0</v>
          </cell>
        </row>
        <row r="291">
          <cell r="C291">
            <v>5604.75</v>
          </cell>
          <cell r="O291">
            <v>127.55</v>
          </cell>
          <cell r="U291" t="str">
            <v>Véhicules usagés</v>
          </cell>
          <cell r="V291" t="str">
            <v>Frais de livraison</v>
          </cell>
          <cell r="W291" t="str">
            <v>$</v>
          </cell>
          <cell r="X291">
            <v>0</v>
          </cell>
        </row>
        <row r="292">
          <cell r="C292">
            <v>33474</v>
          </cell>
          <cell r="O292">
            <v>8797.83</v>
          </cell>
          <cell r="U292" t="str">
            <v>Véhicules usagés</v>
          </cell>
          <cell r="V292" t="str">
            <v>Publicité 1</v>
          </cell>
          <cell r="W292" t="str">
            <v>$</v>
          </cell>
          <cell r="X292">
            <v>0</v>
          </cell>
        </row>
        <row r="293">
          <cell r="C293">
            <v>-15600</v>
          </cell>
          <cell r="O293">
            <v>-3500</v>
          </cell>
          <cell r="U293" t="str">
            <v>Véhicules usagés</v>
          </cell>
          <cell r="V293" t="str">
            <v>Publicité 1</v>
          </cell>
          <cell r="W293" t="str">
            <v>$</v>
          </cell>
          <cell r="X293">
            <v>0</v>
          </cell>
        </row>
        <row r="294">
          <cell r="C294">
            <v>8012.99</v>
          </cell>
          <cell r="O294">
            <v>1748.79</v>
          </cell>
          <cell r="U294" t="str">
            <v>Véhicules usagés</v>
          </cell>
          <cell r="V294" t="str">
            <v>Salaires propriétaire</v>
          </cell>
          <cell r="W294" t="str">
            <v>$</v>
          </cell>
          <cell r="X294">
            <v>0</v>
          </cell>
        </row>
        <row r="295">
          <cell r="C295">
            <v>48794.74</v>
          </cell>
          <cell r="O295">
            <v>10842.74</v>
          </cell>
          <cell r="U295" t="str">
            <v>Véhicules usagés</v>
          </cell>
          <cell r="V295" t="str">
            <v>Salaires cadres</v>
          </cell>
          <cell r="W295" t="str">
            <v>$</v>
          </cell>
          <cell r="X295">
            <v>0</v>
          </cell>
        </row>
        <row r="296">
          <cell r="C296">
            <v>9014.2800000000007</v>
          </cell>
          <cell r="O296">
            <v>1664.27</v>
          </cell>
          <cell r="U296" t="str">
            <v>Véhicules usagés</v>
          </cell>
          <cell r="V296" t="str">
            <v>Salaires commis</v>
          </cell>
          <cell r="W296" t="str">
            <v>$</v>
          </cell>
          <cell r="X296">
            <v>0</v>
          </cell>
        </row>
        <row r="297">
          <cell r="C297">
            <v>34802.36</v>
          </cell>
          <cell r="O297">
            <v>7471.31</v>
          </cell>
          <cell r="U297" t="str">
            <v>Véhicules usagés</v>
          </cell>
          <cell r="V297" t="str">
            <v>Salaires autres</v>
          </cell>
          <cell r="W297" t="str">
            <v>$</v>
          </cell>
          <cell r="X297">
            <v>0</v>
          </cell>
        </row>
        <row r="298">
          <cell r="C298">
            <v>18588.22</v>
          </cell>
          <cell r="O298">
            <v>4496.3900000000003</v>
          </cell>
          <cell r="U298" t="str">
            <v>Véhicules usagés</v>
          </cell>
          <cell r="V298" t="str">
            <v>Salaires en absences</v>
          </cell>
          <cell r="W298" t="str">
            <v>$</v>
          </cell>
          <cell r="X298">
            <v>0</v>
          </cell>
        </row>
        <row r="299">
          <cell r="C299">
            <v>8675.68</v>
          </cell>
          <cell r="O299">
            <v>2542.04</v>
          </cell>
          <cell r="U299" t="str">
            <v>Véhicules usagés</v>
          </cell>
          <cell r="V299" t="str">
            <v>Csst</v>
          </cell>
          <cell r="W299" t="str">
            <v>$</v>
          </cell>
          <cell r="X299">
            <v>0</v>
          </cell>
        </row>
        <row r="300">
          <cell r="C300">
            <v>28808.55</v>
          </cell>
          <cell r="O300">
            <v>3705.01</v>
          </cell>
          <cell r="U300" t="str">
            <v>Véhicules usagés</v>
          </cell>
          <cell r="V300" t="str">
            <v>Déduction à la source</v>
          </cell>
          <cell r="W300" t="str">
            <v>$</v>
          </cell>
          <cell r="X300">
            <v>0</v>
          </cell>
        </row>
        <row r="301">
          <cell r="C301">
            <v>16520.05</v>
          </cell>
          <cell r="O301">
            <v>3334.33</v>
          </cell>
          <cell r="U301" t="str">
            <v>Véhicules usagés</v>
          </cell>
          <cell r="V301" t="str">
            <v>Bénéfices marginaux</v>
          </cell>
          <cell r="W301" t="str">
            <v>$</v>
          </cell>
          <cell r="X301">
            <v>0</v>
          </cell>
        </row>
        <row r="302">
          <cell r="C302">
            <v>397.05</v>
          </cell>
          <cell r="O302">
            <v>0</v>
          </cell>
          <cell r="U302" t="str">
            <v>Véhicules usagés</v>
          </cell>
          <cell r="V302" t="str">
            <v>Fournitures autres</v>
          </cell>
          <cell r="W302" t="str">
            <v>$</v>
          </cell>
          <cell r="X302">
            <v>0</v>
          </cell>
        </row>
        <row r="303">
          <cell r="C303">
            <v>191.4</v>
          </cell>
          <cell r="O303">
            <v>189.75</v>
          </cell>
          <cell r="U303" t="str">
            <v>Véhicules usagés</v>
          </cell>
          <cell r="V303" t="str">
            <v>Formation</v>
          </cell>
          <cell r="W303" t="str">
            <v>$</v>
          </cell>
          <cell r="X303">
            <v>0</v>
          </cell>
        </row>
        <row r="304">
          <cell r="C304">
            <v>899.13</v>
          </cell>
          <cell r="O304">
            <v>444.86</v>
          </cell>
          <cell r="U304" t="str">
            <v>Véhicules usagés</v>
          </cell>
          <cell r="V304" t="str">
            <v>Frais véhicules de cie</v>
          </cell>
          <cell r="W304" t="str">
            <v>$</v>
          </cell>
          <cell r="X304">
            <v>0</v>
          </cell>
        </row>
        <row r="305">
          <cell r="C305">
            <v>298.81</v>
          </cell>
          <cell r="O305">
            <v>42.01</v>
          </cell>
          <cell r="U305" t="str">
            <v>Véhicules usagés</v>
          </cell>
          <cell r="V305" t="str">
            <v>Frais postaux</v>
          </cell>
          <cell r="W305" t="str">
            <v>$</v>
          </cell>
          <cell r="X305">
            <v>0</v>
          </cell>
        </row>
        <row r="306">
          <cell r="C306">
            <v>13402.69</v>
          </cell>
          <cell r="O306">
            <v>2731</v>
          </cell>
          <cell r="U306" t="str">
            <v>Véhicules usagés</v>
          </cell>
          <cell r="V306" t="str">
            <v>Informatique</v>
          </cell>
          <cell r="W306" t="str">
            <v>$</v>
          </cell>
          <cell r="X306">
            <v>0</v>
          </cell>
        </row>
        <row r="307">
          <cell r="C307">
            <v>1176.78</v>
          </cell>
          <cell r="O307">
            <v>177.2</v>
          </cell>
          <cell r="U307" t="str">
            <v>Véhicules usagés</v>
          </cell>
          <cell r="V307" t="str">
            <v>Papeterie</v>
          </cell>
          <cell r="W307" t="str">
            <v>$</v>
          </cell>
          <cell r="X307">
            <v>0</v>
          </cell>
        </row>
        <row r="308">
          <cell r="C308">
            <v>203.8</v>
          </cell>
          <cell r="O308">
            <v>70.27</v>
          </cell>
          <cell r="U308" t="str">
            <v>Véhicules usagés</v>
          </cell>
          <cell r="V308" t="str">
            <v>Téléphone</v>
          </cell>
          <cell r="W308" t="str">
            <v>$</v>
          </cell>
          <cell r="X308">
            <v>0</v>
          </cell>
        </row>
        <row r="309">
          <cell r="C309">
            <v>724.39</v>
          </cell>
          <cell r="O309">
            <v>89.36</v>
          </cell>
          <cell r="U309" t="str">
            <v>Véhicules usagés</v>
          </cell>
          <cell r="V309" t="str">
            <v>Divers</v>
          </cell>
          <cell r="W309" t="str">
            <v>$</v>
          </cell>
          <cell r="X309">
            <v>0</v>
          </cell>
        </row>
        <row r="310">
          <cell r="C310">
            <v>1172.8699999999999</v>
          </cell>
          <cell r="O310">
            <v>933.28</v>
          </cell>
          <cell r="U310" t="str">
            <v>Véhicules usagés</v>
          </cell>
          <cell r="V310" t="str">
            <v>Frais de déplacement</v>
          </cell>
          <cell r="W310" t="str">
            <v>$</v>
          </cell>
          <cell r="X310">
            <v>0</v>
          </cell>
        </row>
        <row r="311">
          <cell r="C311">
            <v>4852.9799999999996</v>
          </cell>
          <cell r="O311">
            <v>1263.48</v>
          </cell>
          <cell r="U311" t="str">
            <v>Véhicules usagés</v>
          </cell>
          <cell r="V311" t="str">
            <v>Services extérieurs</v>
          </cell>
          <cell r="W311" t="str">
            <v>$</v>
          </cell>
          <cell r="X311">
            <v>0</v>
          </cell>
        </row>
        <row r="312">
          <cell r="C312">
            <v>2588.6999999999998</v>
          </cell>
          <cell r="O312">
            <v>517.74</v>
          </cell>
          <cell r="U312" t="str">
            <v>Véhicules usagés</v>
          </cell>
          <cell r="V312" t="str">
            <v>Amortissement</v>
          </cell>
          <cell r="W312" t="str">
            <v>$</v>
          </cell>
          <cell r="X312">
            <v>0</v>
          </cell>
        </row>
        <row r="313">
          <cell r="C313">
            <v>1419.92</v>
          </cell>
          <cell r="O313">
            <v>0</v>
          </cell>
          <cell r="U313" t="str">
            <v>Véhicules usagés</v>
          </cell>
          <cell r="V313" t="str">
            <v>Chauffage, éclairage</v>
          </cell>
          <cell r="W313" t="str">
            <v>$</v>
          </cell>
          <cell r="X313">
            <v>0</v>
          </cell>
        </row>
        <row r="314">
          <cell r="C314">
            <v>15600</v>
          </cell>
          <cell r="O314">
            <v>3120</v>
          </cell>
          <cell r="U314" t="str">
            <v>Véhicules usagés</v>
          </cell>
          <cell r="V314" t="str">
            <v>Loyer</v>
          </cell>
          <cell r="W314" t="str">
            <v>$</v>
          </cell>
          <cell r="X314">
            <v>0</v>
          </cell>
        </row>
        <row r="315">
          <cell r="C315">
            <v>2562.6</v>
          </cell>
          <cell r="O315">
            <v>512.52</v>
          </cell>
          <cell r="U315" t="str">
            <v>Véhicules usagés</v>
          </cell>
          <cell r="V315" t="str">
            <v>Assurances</v>
          </cell>
          <cell r="W315" t="str">
            <v>$</v>
          </cell>
          <cell r="X315">
            <v>0</v>
          </cell>
        </row>
        <row r="316">
          <cell r="C316">
            <v>2958</v>
          </cell>
          <cell r="O316">
            <v>591.6</v>
          </cell>
          <cell r="U316" t="str">
            <v>Véhicules usagés</v>
          </cell>
          <cell r="V316" t="str">
            <v>Taxes foncières</v>
          </cell>
          <cell r="W316" t="str">
            <v>$</v>
          </cell>
          <cell r="X316">
            <v>0</v>
          </cell>
        </row>
        <row r="317">
          <cell r="C317">
            <v>1968</v>
          </cell>
          <cell r="O317">
            <v>393.6</v>
          </cell>
          <cell r="U317" t="str">
            <v>Véhicules usagés</v>
          </cell>
          <cell r="V317" t="str">
            <v>Taxes d`affaires</v>
          </cell>
          <cell r="W317" t="str">
            <v>$</v>
          </cell>
          <cell r="X317">
            <v>0</v>
          </cell>
        </row>
        <row r="318">
          <cell r="C318">
            <v>3674</v>
          </cell>
          <cell r="O318">
            <v>734.8</v>
          </cell>
          <cell r="U318" t="str">
            <v>Véhicules usagés</v>
          </cell>
          <cell r="V318" t="str">
            <v>Honoraires</v>
          </cell>
          <cell r="W318" t="str">
            <v>$</v>
          </cell>
          <cell r="X318">
            <v>0</v>
          </cell>
        </row>
        <row r="319">
          <cell r="C319">
            <v>11358.76</v>
          </cell>
          <cell r="O319">
            <v>3587.74</v>
          </cell>
          <cell r="U319" t="str">
            <v>Service</v>
          </cell>
          <cell r="V319" t="str">
            <v>Service gratuit 2</v>
          </cell>
          <cell r="W319" t="str">
            <v>$</v>
          </cell>
          <cell r="X319">
            <v>0</v>
          </cell>
        </row>
        <row r="320">
          <cell r="C320">
            <v>178.55</v>
          </cell>
          <cell r="O320">
            <v>86.88</v>
          </cell>
          <cell r="U320" t="str">
            <v>Service</v>
          </cell>
          <cell r="V320" t="str">
            <v>Service gratuit 2</v>
          </cell>
          <cell r="W320" t="str">
            <v>$</v>
          </cell>
          <cell r="X320">
            <v>0</v>
          </cell>
        </row>
        <row r="321">
          <cell r="C321">
            <v>51670.42</v>
          </cell>
          <cell r="O321">
            <v>10368.24</v>
          </cell>
          <cell r="U321" t="str">
            <v>Service</v>
          </cell>
          <cell r="V321" t="str">
            <v>Publicité 2</v>
          </cell>
          <cell r="W321" t="str">
            <v>$</v>
          </cell>
          <cell r="X321">
            <v>0</v>
          </cell>
        </row>
        <row r="322">
          <cell r="C322">
            <v>18029.5</v>
          </cell>
          <cell r="O322">
            <v>3934.84</v>
          </cell>
          <cell r="U322" t="str">
            <v>Service</v>
          </cell>
          <cell r="V322" t="str">
            <v>Salaires propriétaire</v>
          </cell>
          <cell r="W322" t="str">
            <v>$</v>
          </cell>
          <cell r="X322">
            <v>0</v>
          </cell>
        </row>
        <row r="323">
          <cell r="C323">
            <v>48677.93</v>
          </cell>
          <cell r="O323">
            <v>6588.91</v>
          </cell>
          <cell r="U323" t="str">
            <v>Service</v>
          </cell>
          <cell r="V323" t="str">
            <v>Salaires cadres</v>
          </cell>
          <cell r="W323" t="str">
            <v>$</v>
          </cell>
          <cell r="X323">
            <v>0</v>
          </cell>
        </row>
        <row r="324">
          <cell r="C324">
            <v>40321.730000000003</v>
          </cell>
          <cell r="O324">
            <v>8528.69</v>
          </cell>
          <cell r="U324" t="str">
            <v>Service</v>
          </cell>
          <cell r="V324" t="str">
            <v>Salaires commis</v>
          </cell>
          <cell r="W324" t="str">
            <v>$</v>
          </cell>
          <cell r="X324">
            <v>0</v>
          </cell>
        </row>
        <row r="325">
          <cell r="C325">
            <v>92310.39</v>
          </cell>
          <cell r="O325">
            <v>21239.45</v>
          </cell>
          <cell r="U325" t="str">
            <v>Service</v>
          </cell>
          <cell r="V325" t="str">
            <v>Salaires autres</v>
          </cell>
          <cell r="W325" t="str">
            <v>$</v>
          </cell>
          <cell r="X325">
            <v>0</v>
          </cell>
        </row>
        <row r="326">
          <cell r="C326">
            <v>121932.21</v>
          </cell>
          <cell r="O326">
            <v>46026.29</v>
          </cell>
          <cell r="U326" t="str">
            <v>Service</v>
          </cell>
          <cell r="V326" t="str">
            <v>Salaires spécialistes</v>
          </cell>
          <cell r="W326" t="str">
            <v>$</v>
          </cell>
          <cell r="X326">
            <v>0</v>
          </cell>
        </row>
        <row r="327">
          <cell r="C327">
            <v>70039.820000000007</v>
          </cell>
          <cell r="O327">
            <v>20058.400000000001</v>
          </cell>
          <cell r="U327" t="str">
            <v>Service</v>
          </cell>
          <cell r="V327" t="str">
            <v>Salaires en absences</v>
          </cell>
          <cell r="W327" t="str">
            <v>$</v>
          </cell>
          <cell r="X327">
            <v>0</v>
          </cell>
        </row>
        <row r="328">
          <cell r="C328">
            <v>19939.97</v>
          </cell>
          <cell r="O328">
            <v>8599.2900000000009</v>
          </cell>
          <cell r="U328" t="str">
            <v>Service</v>
          </cell>
          <cell r="V328" t="str">
            <v>Csst</v>
          </cell>
          <cell r="W328" t="str">
            <v>$</v>
          </cell>
          <cell r="X328">
            <v>0</v>
          </cell>
        </row>
        <row r="329">
          <cell r="C329">
            <v>86811.7</v>
          </cell>
          <cell r="O329">
            <v>19337.54</v>
          </cell>
          <cell r="U329" t="str">
            <v>Service</v>
          </cell>
          <cell r="V329" t="str">
            <v>Déduction à la source</v>
          </cell>
          <cell r="W329" t="str">
            <v>$</v>
          </cell>
          <cell r="X329">
            <v>0</v>
          </cell>
        </row>
        <row r="330">
          <cell r="C330">
            <v>1321.2</v>
          </cell>
          <cell r="O330">
            <v>352.24</v>
          </cell>
          <cell r="U330" t="str">
            <v>Service</v>
          </cell>
          <cell r="V330" t="str">
            <v>Bénéfices marginaux</v>
          </cell>
          <cell r="W330" t="str">
            <v>$</v>
          </cell>
          <cell r="X330">
            <v>0</v>
          </cell>
        </row>
        <row r="331">
          <cell r="C331">
            <v>31130.12</v>
          </cell>
          <cell r="O331">
            <v>6668.63</v>
          </cell>
          <cell r="U331" t="str">
            <v>Service</v>
          </cell>
          <cell r="V331" t="str">
            <v>Bénéfices marginaux</v>
          </cell>
          <cell r="W331" t="str">
            <v>$</v>
          </cell>
          <cell r="X331">
            <v>0</v>
          </cell>
        </row>
        <row r="332">
          <cell r="C332">
            <v>2482.2199999999998</v>
          </cell>
          <cell r="O332">
            <v>1262.2</v>
          </cell>
          <cell r="U332" t="str">
            <v>Service</v>
          </cell>
          <cell r="V332" t="str">
            <v>Service gratuit 2</v>
          </cell>
          <cell r="W332" t="str">
            <v>$</v>
          </cell>
          <cell r="X332">
            <v>0</v>
          </cell>
        </row>
        <row r="333">
          <cell r="C333">
            <v>14087.56</v>
          </cell>
          <cell r="O333">
            <v>1317.58</v>
          </cell>
          <cell r="U333" t="str">
            <v>Service</v>
          </cell>
          <cell r="V333" t="str">
            <v>Fournitures autres</v>
          </cell>
          <cell r="W333" t="str">
            <v>$</v>
          </cell>
          <cell r="X333">
            <v>0</v>
          </cell>
        </row>
        <row r="334">
          <cell r="C334">
            <v>8682.51</v>
          </cell>
          <cell r="O334">
            <v>512.22</v>
          </cell>
          <cell r="U334" t="str">
            <v>Service</v>
          </cell>
          <cell r="V334" t="str">
            <v>Uniformes</v>
          </cell>
          <cell r="W334" t="str">
            <v>$</v>
          </cell>
          <cell r="X334">
            <v>0</v>
          </cell>
        </row>
        <row r="335">
          <cell r="C335">
            <v>5234.2</v>
          </cell>
          <cell r="O335">
            <v>2085.21</v>
          </cell>
          <cell r="U335" t="str">
            <v>Service</v>
          </cell>
          <cell r="V335" t="str">
            <v>Formation</v>
          </cell>
          <cell r="W335" t="str">
            <v>$</v>
          </cell>
          <cell r="X335">
            <v>0</v>
          </cell>
        </row>
        <row r="336">
          <cell r="C336">
            <v>52841.57</v>
          </cell>
          <cell r="O336">
            <v>17451.02</v>
          </cell>
          <cell r="U336" t="str">
            <v>Service</v>
          </cell>
          <cell r="V336" t="str">
            <v>Frais véhicules de cie</v>
          </cell>
          <cell r="W336" t="str">
            <v>$</v>
          </cell>
          <cell r="X336">
            <v>0</v>
          </cell>
        </row>
        <row r="337">
          <cell r="C337">
            <v>449.17</v>
          </cell>
          <cell r="O337">
            <v>84.01</v>
          </cell>
          <cell r="U337" t="str">
            <v>Service</v>
          </cell>
          <cell r="V337" t="str">
            <v>Frais postaux</v>
          </cell>
          <cell r="W337" t="str">
            <v>$</v>
          </cell>
          <cell r="X337">
            <v>0</v>
          </cell>
        </row>
        <row r="338">
          <cell r="C338">
            <v>23325.52</v>
          </cell>
          <cell r="O338">
            <v>3983.16</v>
          </cell>
          <cell r="U338" t="str">
            <v>Service</v>
          </cell>
          <cell r="V338" t="str">
            <v>Informatique</v>
          </cell>
          <cell r="W338" t="str">
            <v>$</v>
          </cell>
          <cell r="X338">
            <v>0</v>
          </cell>
        </row>
        <row r="339">
          <cell r="C339">
            <v>3596.26</v>
          </cell>
          <cell r="O339">
            <v>1073.27</v>
          </cell>
          <cell r="U339" t="str">
            <v>Service</v>
          </cell>
          <cell r="V339" t="str">
            <v>Papeterie</v>
          </cell>
          <cell r="W339" t="str">
            <v>$</v>
          </cell>
          <cell r="X339">
            <v>0</v>
          </cell>
        </row>
        <row r="340">
          <cell r="C340">
            <v>1029.52</v>
          </cell>
          <cell r="O340">
            <v>351.7</v>
          </cell>
          <cell r="U340" t="str">
            <v>Service</v>
          </cell>
          <cell r="V340" t="str">
            <v>Téléphone</v>
          </cell>
          <cell r="W340" t="str">
            <v>$</v>
          </cell>
          <cell r="X340">
            <v>0</v>
          </cell>
        </row>
        <row r="341">
          <cell r="C341">
            <v>1448.76</v>
          </cell>
          <cell r="O341">
            <v>178.72</v>
          </cell>
          <cell r="U341" t="str">
            <v>Service</v>
          </cell>
          <cell r="V341" t="str">
            <v>Divers</v>
          </cell>
          <cell r="W341" t="str">
            <v>$</v>
          </cell>
          <cell r="X341">
            <v>0</v>
          </cell>
        </row>
        <row r="342">
          <cell r="C342">
            <v>4372.1499999999996</v>
          </cell>
          <cell r="O342">
            <v>2001.21</v>
          </cell>
          <cell r="U342" t="str">
            <v>Service</v>
          </cell>
          <cell r="V342" t="str">
            <v>Frais de déplacement</v>
          </cell>
          <cell r="W342" t="str">
            <v>$</v>
          </cell>
          <cell r="X342">
            <v>0</v>
          </cell>
        </row>
        <row r="343">
          <cell r="C343">
            <v>11183</v>
          </cell>
          <cell r="O343">
            <v>2526.96</v>
          </cell>
          <cell r="U343" t="str">
            <v>Service</v>
          </cell>
          <cell r="V343" t="str">
            <v>Services extérieurs</v>
          </cell>
          <cell r="W343" t="str">
            <v>$</v>
          </cell>
          <cell r="X343">
            <v>0</v>
          </cell>
        </row>
        <row r="344">
          <cell r="C344">
            <v>5177.3999999999996</v>
          </cell>
          <cell r="O344">
            <v>1035.48</v>
          </cell>
          <cell r="U344" t="str">
            <v>Service</v>
          </cell>
          <cell r="V344" t="str">
            <v>Amortissement</v>
          </cell>
          <cell r="W344" t="str">
            <v>$</v>
          </cell>
          <cell r="X344">
            <v>0</v>
          </cell>
        </row>
        <row r="345">
          <cell r="C345">
            <v>7893.24</v>
          </cell>
          <cell r="O345">
            <v>1544.4</v>
          </cell>
          <cell r="U345" t="str">
            <v>Service</v>
          </cell>
          <cell r="V345" t="str">
            <v>Réparation équipement</v>
          </cell>
          <cell r="W345" t="str">
            <v>$</v>
          </cell>
          <cell r="X345">
            <v>0</v>
          </cell>
        </row>
        <row r="346">
          <cell r="C346">
            <v>2839.86</v>
          </cell>
          <cell r="O346">
            <v>0</v>
          </cell>
          <cell r="U346" t="str">
            <v>Service</v>
          </cell>
          <cell r="V346" t="str">
            <v>Chauffage, éclairage</v>
          </cell>
          <cell r="W346" t="str">
            <v>$</v>
          </cell>
          <cell r="X346">
            <v>0</v>
          </cell>
        </row>
        <row r="347">
          <cell r="C347">
            <v>31200</v>
          </cell>
          <cell r="O347">
            <v>6240</v>
          </cell>
          <cell r="U347" t="str">
            <v>Service</v>
          </cell>
          <cell r="V347" t="str">
            <v>Loyer</v>
          </cell>
          <cell r="W347" t="str">
            <v>$</v>
          </cell>
          <cell r="X347">
            <v>0</v>
          </cell>
        </row>
        <row r="348">
          <cell r="C348">
            <v>5125.2</v>
          </cell>
          <cell r="O348">
            <v>1025.04</v>
          </cell>
          <cell r="U348" t="str">
            <v>Service</v>
          </cell>
          <cell r="V348" t="str">
            <v>Assurances</v>
          </cell>
          <cell r="W348" t="str">
            <v>$</v>
          </cell>
          <cell r="X348">
            <v>0</v>
          </cell>
        </row>
        <row r="349">
          <cell r="C349">
            <v>5916</v>
          </cell>
          <cell r="O349">
            <v>1183.2</v>
          </cell>
          <cell r="U349" t="str">
            <v>Service</v>
          </cell>
          <cell r="V349" t="str">
            <v>Taxes foncières</v>
          </cell>
          <cell r="W349" t="str">
            <v>$</v>
          </cell>
          <cell r="X349">
            <v>0</v>
          </cell>
        </row>
        <row r="350">
          <cell r="C350">
            <v>3936</v>
          </cell>
          <cell r="O350">
            <v>787.2</v>
          </cell>
          <cell r="U350" t="str">
            <v>Service</v>
          </cell>
          <cell r="V350" t="str">
            <v>Taxes d`affaires</v>
          </cell>
          <cell r="W350" t="str">
            <v>$</v>
          </cell>
          <cell r="X350">
            <v>0</v>
          </cell>
        </row>
        <row r="351">
          <cell r="C351">
            <v>7348</v>
          </cell>
          <cell r="O351">
            <v>1469.6</v>
          </cell>
          <cell r="U351" t="str">
            <v>Service</v>
          </cell>
          <cell r="V351" t="str">
            <v>Honoraires</v>
          </cell>
          <cell r="W351" t="str">
            <v>$</v>
          </cell>
          <cell r="X351">
            <v>0</v>
          </cell>
        </row>
        <row r="352">
          <cell r="C352">
            <v>1253.55</v>
          </cell>
          <cell r="O352">
            <v>555.83000000000004</v>
          </cell>
          <cell r="U352" t="str">
            <v>Carrosserie</v>
          </cell>
          <cell r="V352" t="str">
            <v>Service gratuit 2</v>
          </cell>
          <cell r="W352" t="str">
            <v>$</v>
          </cell>
          <cell r="X352">
            <v>0</v>
          </cell>
        </row>
        <row r="353">
          <cell r="C353">
            <v>0.4</v>
          </cell>
          <cell r="O353">
            <v>60.62</v>
          </cell>
          <cell r="U353" t="str">
            <v>Carrosserie</v>
          </cell>
          <cell r="V353" t="str">
            <v>Publicité 2</v>
          </cell>
          <cell r="W353" t="str">
            <v>$</v>
          </cell>
          <cell r="X353">
            <v>0</v>
          </cell>
        </row>
        <row r="354">
          <cell r="C354">
            <v>2003.33</v>
          </cell>
          <cell r="O354">
            <v>437.21</v>
          </cell>
          <cell r="U354" t="str">
            <v>Carrosserie</v>
          </cell>
          <cell r="V354" t="str">
            <v>Salaires propriétaire</v>
          </cell>
          <cell r="W354" t="str">
            <v>$</v>
          </cell>
          <cell r="X354">
            <v>0</v>
          </cell>
        </row>
        <row r="355">
          <cell r="C355">
            <v>6009.4</v>
          </cell>
          <cell r="O355">
            <v>901.88</v>
          </cell>
          <cell r="U355" t="str">
            <v>Carrosserie</v>
          </cell>
          <cell r="V355" t="str">
            <v>Salaires cadres</v>
          </cell>
          <cell r="W355" t="str">
            <v>$</v>
          </cell>
          <cell r="X355">
            <v>0</v>
          </cell>
        </row>
        <row r="356">
          <cell r="C356">
            <v>2253.5700000000002</v>
          </cell>
          <cell r="O356">
            <v>416.07</v>
          </cell>
          <cell r="U356" t="str">
            <v>Carrosserie</v>
          </cell>
          <cell r="V356" t="str">
            <v>Salaires spécialistes</v>
          </cell>
          <cell r="W356" t="str">
            <v>$</v>
          </cell>
          <cell r="X356">
            <v>0</v>
          </cell>
        </row>
        <row r="357">
          <cell r="C357">
            <v>4790.07</v>
          </cell>
          <cell r="O357">
            <v>1.23</v>
          </cell>
          <cell r="U357" t="str">
            <v>Carrosserie</v>
          </cell>
          <cell r="V357" t="str">
            <v>Salaires autres</v>
          </cell>
          <cell r="W357" t="str">
            <v>$</v>
          </cell>
          <cell r="X357">
            <v>0</v>
          </cell>
        </row>
        <row r="358">
          <cell r="C358">
            <v>16420.63</v>
          </cell>
          <cell r="O358">
            <v>4829.6499999999996</v>
          </cell>
          <cell r="U358" t="str">
            <v>Carrosserie</v>
          </cell>
          <cell r="V358" t="str">
            <v>Salaires spécialistes</v>
          </cell>
          <cell r="W358" t="str">
            <v>$</v>
          </cell>
          <cell r="X358">
            <v>0</v>
          </cell>
        </row>
        <row r="359">
          <cell r="C359">
            <v>2834.79</v>
          </cell>
          <cell r="O359">
            <v>921.57</v>
          </cell>
          <cell r="U359" t="str">
            <v>Carrosserie</v>
          </cell>
          <cell r="V359" t="str">
            <v>Salaires en absences</v>
          </cell>
          <cell r="W359" t="str">
            <v>$</v>
          </cell>
          <cell r="X359">
            <v>0</v>
          </cell>
        </row>
        <row r="360">
          <cell r="C360">
            <v>1147.82</v>
          </cell>
          <cell r="O360">
            <v>551.04999999999995</v>
          </cell>
          <cell r="U360" t="str">
            <v>Carrosserie</v>
          </cell>
          <cell r="V360" t="str">
            <v>Csst</v>
          </cell>
          <cell r="W360" t="str">
            <v>$</v>
          </cell>
          <cell r="X360">
            <v>0</v>
          </cell>
        </row>
        <row r="361">
          <cell r="C361">
            <v>7214.77</v>
          </cell>
          <cell r="O361">
            <v>1948.28</v>
          </cell>
          <cell r="U361" t="str">
            <v>Carrosserie</v>
          </cell>
          <cell r="V361" t="str">
            <v>Déduction à la source</v>
          </cell>
          <cell r="W361" t="str">
            <v>$</v>
          </cell>
          <cell r="X361">
            <v>0</v>
          </cell>
        </row>
        <row r="362">
          <cell r="C362">
            <v>5206.62</v>
          </cell>
          <cell r="O362">
            <v>1945.03</v>
          </cell>
          <cell r="U362" t="str">
            <v>Carrosserie</v>
          </cell>
          <cell r="V362" t="str">
            <v>Bénéfices marginaux</v>
          </cell>
          <cell r="W362" t="str">
            <v>$</v>
          </cell>
          <cell r="X362">
            <v>0</v>
          </cell>
        </row>
        <row r="363">
          <cell r="C363">
            <v>2.8</v>
          </cell>
          <cell r="O363">
            <v>0</v>
          </cell>
          <cell r="U363" t="str">
            <v>Carrosserie</v>
          </cell>
          <cell r="V363" t="str">
            <v>Fournitures autres</v>
          </cell>
          <cell r="W363" t="str">
            <v>$</v>
          </cell>
          <cell r="X363">
            <v>0</v>
          </cell>
        </row>
        <row r="364">
          <cell r="C364">
            <v>111.65</v>
          </cell>
          <cell r="O364">
            <v>110.69</v>
          </cell>
          <cell r="U364" t="str">
            <v>Carrosserie</v>
          </cell>
          <cell r="V364" t="str">
            <v>Formation</v>
          </cell>
          <cell r="W364" t="str">
            <v>$</v>
          </cell>
          <cell r="X364">
            <v>0</v>
          </cell>
        </row>
        <row r="365">
          <cell r="C365">
            <v>2131.5</v>
          </cell>
          <cell r="O365">
            <v>520.41</v>
          </cell>
          <cell r="U365" t="str">
            <v>Carrosserie</v>
          </cell>
          <cell r="V365" t="str">
            <v>Frais véhicules de cie</v>
          </cell>
          <cell r="W365" t="str">
            <v>$</v>
          </cell>
          <cell r="X365">
            <v>0</v>
          </cell>
        </row>
        <row r="366">
          <cell r="C366">
            <v>131.01</v>
          </cell>
          <cell r="O366">
            <v>24.51</v>
          </cell>
          <cell r="U366" t="str">
            <v>Carrosserie</v>
          </cell>
          <cell r="V366" t="str">
            <v>Frais postaux</v>
          </cell>
          <cell r="W366" t="str">
            <v>$</v>
          </cell>
          <cell r="X366">
            <v>0</v>
          </cell>
        </row>
        <row r="367">
          <cell r="C367">
            <v>6869.17</v>
          </cell>
          <cell r="O367">
            <v>1413.66</v>
          </cell>
          <cell r="U367" t="str">
            <v>Carrosserie</v>
          </cell>
          <cell r="V367" t="str">
            <v>Informatique</v>
          </cell>
          <cell r="W367" t="str">
            <v>$</v>
          </cell>
          <cell r="X367">
            <v>0</v>
          </cell>
        </row>
        <row r="368">
          <cell r="C368">
            <v>686.46</v>
          </cell>
          <cell r="O368">
            <v>103.36</v>
          </cell>
          <cell r="U368" t="str">
            <v>Carrosserie</v>
          </cell>
          <cell r="V368" t="str">
            <v>Papeterie</v>
          </cell>
          <cell r="W368" t="str">
            <v>$</v>
          </cell>
          <cell r="X368">
            <v>0</v>
          </cell>
        </row>
        <row r="369">
          <cell r="C369">
            <v>153.35</v>
          </cell>
          <cell r="O369">
            <v>41</v>
          </cell>
          <cell r="U369" t="str">
            <v>Carrosserie</v>
          </cell>
          <cell r="V369" t="str">
            <v>Téléphone</v>
          </cell>
          <cell r="W369" t="str">
            <v>$</v>
          </cell>
          <cell r="X369">
            <v>0</v>
          </cell>
        </row>
        <row r="370">
          <cell r="C370">
            <v>422.58</v>
          </cell>
          <cell r="O370">
            <v>52.13</v>
          </cell>
          <cell r="U370" t="str">
            <v>Carrosserie</v>
          </cell>
          <cell r="V370" t="str">
            <v>Divers</v>
          </cell>
          <cell r="W370" t="str">
            <v>$</v>
          </cell>
          <cell r="X370">
            <v>0</v>
          </cell>
        </row>
        <row r="371">
          <cell r="C371">
            <v>684.2</v>
          </cell>
          <cell r="O371">
            <v>490.74</v>
          </cell>
          <cell r="U371" t="str">
            <v>Carrosserie</v>
          </cell>
          <cell r="V371" t="str">
            <v>Frais de déplacement</v>
          </cell>
          <cell r="W371" t="str">
            <v>$</v>
          </cell>
          <cell r="X371">
            <v>0</v>
          </cell>
        </row>
        <row r="372">
          <cell r="C372">
            <v>2825.97</v>
          </cell>
          <cell r="O372">
            <v>737.04</v>
          </cell>
          <cell r="U372" t="str">
            <v>Carrosserie</v>
          </cell>
          <cell r="V372" t="str">
            <v>Services extérieurs</v>
          </cell>
          <cell r="W372" t="str">
            <v>$</v>
          </cell>
          <cell r="X372">
            <v>0</v>
          </cell>
        </row>
        <row r="373">
          <cell r="C373">
            <v>1510.1</v>
          </cell>
          <cell r="O373">
            <v>302.02</v>
          </cell>
          <cell r="U373" t="str">
            <v>Carrosserie</v>
          </cell>
          <cell r="V373" t="str">
            <v>Amortissement</v>
          </cell>
          <cell r="W373" t="str">
            <v>$</v>
          </cell>
          <cell r="X373">
            <v>0</v>
          </cell>
        </row>
        <row r="374">
          <cell r="C374">
            <v>828.3</v>
          </cell>
          <cell r="O374">
            <v>0</v>
          </cell>
          <cell r="U374" t="str">
            <v>Carrosserie</v>
          </cell>
          <cell r="V374" t="str">
            <v>Chauffage, éclairage</v>
          </cell>
          <cell r="W374" t="str">
            <v>$</v>
          </cell>
          <cell r="X374">
            <v>0</v>
          </cell>
        </row>
        <row r="375">
          <cell r="C375">
            <v>9100</v>
          </cell>
          <cell r="O375">
            <v>1820</v>
          </cell>
          <cell r="U375" t="str">
            <v>Carrosserie</v>
          </cell>
          <cell r="V375" t="str">
            <v>Loyer</v>
          </cell>
          <cell r="W375" t="str">
            <v>$</v>
          </cell>
          <cell r="X375">
            <v>0</v>
          </cell>
        </row>
        <row r="376">
          <cell r="C376">
            <v>1494.85</v>
          </cell>
          <cell r="O376">
            <v>298.97000000000003</v>
          </cell>
          <cell r="U376" t="str">
            <v>Carrosserie</v>
          </cell>
          <cell r="V376" t="str">
            <v>Assurances</v>
          </cell>
          <cell r="W376" t="str">
            <v>$</v>
          </cell>
          <cell r="X376">
            <v>0</v>
          </cell>
        </row>
        <row r="377">
          <cell r="C377">
            <v>1725.5</v>
          </cell>
          <cell r="O377">
            <v>345.1</v>
          </cell>
          <cell r="U377" t="str">
            <v>Carrosserie</v>
          </cell>
          <cell r="V377" t="str">
            <v>Taxes foncières</v>
          </cell>
          <cell r="W377" t="str">
            <v>$</v>
          </cell>
          <cell r="X377">
            <v>0</v>
          </cell>
        </row>
        <row r="378">
          <cell r="C378">
            <v>1148</v>
          </cell>
          <cell r="O378">
            <v>229.6</v>
          </cell>
          <cell r="U378" t="str">
            <v>Carrosserie</v>
          </cell>
          <cell r="V378" t="str">
            <v>Taxes d`affaires</v>
          </cell>
          <cell r="W378" t="str">
            <v>$</v>
          </cell>
          <cell r="X378">
            <v>0</v>
          </cell>
        </row>
        <row r="379">
          <cell r="C379">
            <v>2143.15</v>
          </cell>
          <cell r="O379">
            <v>428.63</v>
          </cell>
          <cell r="U379" t="str">
            <v>Carrosserie</v>
          </cell>
          <cell r="V379" t="str">
            <v>Honoraires</v>
          </cell>
          <cell r="W379" t="str">
            <v>$</v>
          </cell>
          <cell r="X379">
            <v>0</v>
          </cell>
        </row>
        <row r="380">
          <cell r="C380">
            <v>5136.4799999999996</v>
          </cell>
          <cell r="O380">
            <v>478.93</v>
          </cell>
          <cell r="U380" t="str">
            <v>Pièces</v>
          </cell>
          <cell r="V380" t="str">
            <v>Service gratuit 2</v>
          </cell>
          <cell r="W380" t="str">
            <v>$</v>
          </cell>
          <cell r="X380">
            <v>0</v>
          </cell>
        </row>
        <row r="381">
          <cell r="C381">
            <v>21296.32</v>
          </cell>
          <cell r="O381">
            <v>2308.39</v>
          </cell>
          <cell r="U381" t="str">
            <v>Pièces</v>
          </cell>
          <cell r="V381" t="str">
            <v>Publicité 2</v>
          </cell>
          <cell r="W381" t="str">
            <v>$</v>
          </cell>
          <cell r="X381">
            <v>0</v>
          </cell>
        </row>
        <row r="382">
          <cell r="C382">
            <v>16026.11</v>
          </cell>
          <cell r="O382">
            <v>3497.62</v>
          </cell>
          <cell r="U382" t="str">
            <v>Pièces</v>
          </cell>
          <cell r="V382" t="str">
            <v>Salaires propriétaire</v>
          </cell>
          <cell r="W382" t="str">
            <v>$</v>
          </cell>
          <cell r="X382">
            <v>0</v>
          </cell>
        </row>
        <row r="383">
          <cell r="C383">
            <v>22855</v>
          </cell>
          <cell r="O383">
            <v>-6851</v>
          </cell>
          <cell r="U383" t="str">
            <v>Pièces</v>
          </cell>
          <cell r="V383" t="str">
            <v>Salaires cadres</v>
          </cell>
          <cell r="W383" t="str">
            <v>$</v>
          </cell>
          <cell r="X383">
            <v>0</v>
          </cell>
        </row>
        <row r="384">
          <cell r="C384">
            <v>18028.5</v>
          </cell>
          <cell r="O384">
            <v>3328.54</v>
          </cell>
          <cell r="U384" t="str">
            <v>Pièces</v>
          </cell>
          <cell r="V384" t="str">
            <v>Salaires commis</v>
          </cell>
          <cell r="W384" t="str">
            <v>$</v>
          </cell>
          <cell r="X384">
            <v>0</v>
          </cell>
        </row>
        <row r="385">
          <cell r="C385">
            <v>97538.05</v>
          </cell>
          <cell r="O385">
            <v>28524.34</v>
          </cell>
          <cell r="U385" t="str">
            <v>Pièces</v>
          </cell>
          <cell r="V385" t="str">
            <v>Salaires autres</v>
          </cell>
          <cell r="W385" t="str">
            <v>$</v>
          </cell>
          <cell r="X385">
            <v>0</v>
          </cell>
        </row>
        <row r="386">
          <cell r="C386">
            <v>14775.06</v>
          </cell>
          <cell r="O386">
            <v>3911.29</v>
          </cell>
          <cell r="U386" t="str">
            <v>Pièces</v>
          </cell>
          <cell r="V386" t="str">
            <v>Salaires en absences</v>
          </cell>
          <cell r="W386" t="str">
            <v>$</v>
          </cell>
          <cell r="X386">
            <v>0</v>
          </cell>
        </row>
        <row r="387">
          <cell r="C387">
            <v>-8024.66</v>
          </cell>
          <cell r="O387">
            <v>2058.13</v>
          </cell>
          <cell r="U387" t="str">
            <v>Pièces</v>
          </cell>
          <cell r="V387" t="str">
            <v>Csst</v>
          </cell>
          <cell r="W387" t="str">
            <v>$</v>
          </cell>
          <cell r="X387">
            <v>0</v>
          </cell>
        </row>
        <row r="388">
          <cell r="C388">
            <v>37515.040000000001</v>
          </cell>
          <cell r="O388">
            <v>6653.83</v>
          </cell>
          <cell r="U388" t="str">
            <v>Pièces</v>
          </cell>
          <cell r="V388" t="str">
            <v>Déduction à la source</v>
          </cell>
          <cell r="W388" t="str">
            <v>$</v>
          </cell>
          <cell r="X388">
            <v>0</v>
          </cell>
        </row>
        <row r="389">
          <cell r="C389">
            <v>233.13</v>
          </cell>
          <cell r="O389">
            <v>62.17</v>
          </cell>
          <cell r="U389" t="str">
            <v>Pièces</v>
          </cell>
          <cell r="V389" t="str">
            <v>Déduction à la source</v>
          </cell>
          <cell r="W389" t="str">
            <v>$</v>
          </cell>
          <cell r="X389">
            <v>0</v>
          </cell>
        </row>
        <row r="390">
          <cell r="C390">
            <v>18791.25</v>
          </cell>
          <cell r="O390">
            <v>6946.48</v>
          </cell>
          <cell r="U390" t="str">
            <v>Pièces</v>
          </cell>
          <cell r="V390" t="str">
            <v>Bénéfices marginaux</v>
          </cell>
          <cell r="W390" t="str">
            <v>$</v>
          </cell>
          <cell r="X390">
            <v>0</v>
          </cell>
        </row>
        <row r="391">
          <cell r="C391">
            <v>514.79999999999995</v>
          </cell>
          <cell r="O391">
            <v>0</v>
          </cell>
          <cell r="U391" t="str">
            <v>Pièces</v>
          </cell>
          <cell r="V391" t="str">
            <v>Fournitures autres</v>
          </cell>
          <cell r="W391" t="str">
            <v>$</v>
          </cell>
          <cell r="X391">
            <v>0</v>
          </cell>
        </row>
        <row r="392">
          <cell r="C392">
            <v>398.75</v>
          </cell>
          <cell r="O392">
            <v>395.32</v>
          </cell>
          <cell r="U392" t="str">
            <v>Pièces</v>
          </cell>
          <cell r="V392" t="str">
            <v>Formation</v>
          </cell>
          <cell r="W392" t="str">
            <v>$</v>
          </cell>
          <cell r="X392">
            <v>0</v>
          </cell>
        </row>
        <row r="393">
          <cell r="C393">
            <v>2557.2399999999998</v>
          </cell>
          <cell r="O393">
            <v>728.05</v>
          </cell>
          <cell r="U393" t="str">
            <v>Pièces</v>
          </cell>
          <cell r="V393" t="str">
            <v>Frais véhicules de cie</v>
          </cell>
          <cell r="W393" t="str">
            <v>$</v>
          </cell>
          <cell r="X393">
            <v>0</v>
          </cell>
        </row>
        <row r="394">
          <cell r="C394">
            <v>-115.31</v>
          </cell>
          <cell r="O394">
            <v>83.02</v>
          </cell>
          <cell r="U394" t="str">
            <v>Pièces</v>
          </cell>
          <cell r="V394" t="str">
            <v>Frais postaux</v>
          </cell>
          <cell r="W394" t="str">
            <v>$</v>
          </cell>
          <cell r="X394">
            <v>0</v>
          </cell>
        </row>
        <row r="395">
          <cell r="C395">
            <v>18933.669999999998</v>
          </cell>
          <cell r="O395">
            <v>3814.92</v>
          </cell>
          <cell r="U395" t="str">
            <v>Pièces</v>
          </cell>
          <cell r="V395" t="str">
            <v>Informatique</v>
          </cell>
          <cell r="W395" t="str">
            <v>$</v>
          </cell>
          <cell r="X395">
            <v>0</v>
          </cell>
        </row>
        <row r="396">
          <cell r="C396">
            <v>3014</v>
          </cell>
          <cell r="O396">
            <v>369.16</v>
          </cell>
          <cell r="U396" t="str">
            <v>Pièces</v>
          </cell>
          <cell r="V396" t="str">
            <v>Papeterie</v>
          </cell>
          <cell r="W396" t="str">
            <v>$</v>
          </cell>
          <cell r="X396">
            <v>0</v>
          </cell>
        </row>
        <row r="397">
          <cell r="C397">
            <v>424.48</v>
          </cell>
          <cell r="O397">
            <v>146.4</v>
          </cell>
          <cell r="U397" t="str">
            <v>Pièces</v>
          </cell>
          <cell r="V397" t="str">
            <v>Téléphone</v>
          </cell>
          <cell r="W397" t="str">
            <v>$</v>
          </cell>
          <cell r="X397">
            <v>0</v>
          </cell>
        </row>
        <row r="398">
          <cell r="C398">
            <v>1509.1</v>
          </cell>
          <cell r="O398">
            <v>186.16</v>
          </cell>
          <cell r="U398" t="str">
            <v>Pièces</v>
          </cell>
          <cell r="V398" t="str">
            <v>Divers</v>
          </cell>
          <cell r="W398" t="str">
            <v>$</v>
          </cell>
          <cell r="X398">
            <v>0</v>
          </cell>
        </row>
        <row r="399">
          <cell r="C399">
            <v>2744.61</v>
          </cell>
          <cell r="O399">
            <v>1752.54</v>
          </cell>
          <cell r="U399" t="str">
            <v>Pièces</v>
          </cell>
          <cell r="V399" t="str">
            <v>Frais de déplacement</v>
          </cell>
          <cell r="W399" t="str">
            <v>$</v>
          </cell>
          <cell r="X399">
            <v>0</v>
          </cell>
        </row>
        <row r="400">
          <cell r="C400">
            <v>41698.67</v>
          </cell>
          <cell r="O400">
            <v>10357.98</v>
          </cell>
          <cell r="U400" t="str">
            <v>Pièces</v>
          </cell>
          <cell r="V400" t="str">
            <v>Services extérieurs</v>
          </cell>
          <cell r="W400" t="str">
            <v>$</v>
          </cell>
          <cell r="X400">
            <v>0</v>
          </cell>
        </row>
        <row r="401">
          <cell r="C401">
            <v>5393.1</v>
          </cell>
          <cell r="O401">
            <v>1078.6199999999999</v>
          </cell>
          <cell r="U401" t="str">
            <v>Pièces</v>
          </cell>
          <cell r="V401" t="str">
            <v>Amortissement</v>
          </cell>
          <cell r="W401" t="str">
            <v>$</v>
          </cell>
          <cell r="X401">
            <v>0</v>
          </cell>
        </row>
        <row r="402">
          <cell r="C402">
            <v>2958.18</v>
          </cell>
          <cell r="O402">
            <v>0</v>
          </cell>
          <cell r="U402" t="str">
            <v>Pièces</v>
          </cell>
          <cell r="V402" t="str">
            <v>Chauffage, éclairage</v>
          </cell>
          <cell r="W402" t="str">
            <v>$</v>
          </cell>
          <cell r="X402">
            <v>0</v>
          </cell>
        </row>
        <row r="403">
          <cell r="C403">
            <v>32500</v>
          </cell>
          <cell r="O403">
            <v>6500</v>
          </cell>
          <cell r="U403" t="str">
            <v>Pièces</v>
          </cell>
          <cell r="V403" t="str">
            <v>Loyer</v>
          </cell>
          <cell r="W403" t="str">
            <v>$</v>
          </cell>
          <cell r="X403">
            <v>0</v>
          </cell>
        </row>
        <row r="404">
          <cell r="C404">
            <v>5338.75</v>
          </cell>
          <cell r="O404">
            <v>1067.75</v>
          </cell>
          <cell r="U404" t="str">
            <v>Pièces</v>
          </cell>
          <cell r="V404" t="str">
            <v>Assurances</v>
          </cell>
          <cell r="W404" t="str">
            <v>$</v>
          </cell>
          <cell r="X404">
            <v>0</v>
          </cell>
        </row>
        <row r="405">
          <cell r="C405">
            <v>6162.5</v>
          </cell>
          <cell r="O405">
            <v>1232.5</v>
          </cell>
          <cell r="U405" t="str">
            <v>Pièces</v>
          </cell>
          <cell r="V405" t="str">
            <v>Taxes foncières</v>
          </cell>
          <cell r="W405" t="str">
            <v>$</v>
          </cell>
          <cell r="X405">
            <v>0</v>
          </cell>
        </row>
        <row r="406">
          <cell r="C406">
            <v>4100</v>
          </cell>
          <cell r="O406">
            <v>820</v>
          </cell>
          <cell r="U406" t="str">
            <v>Pièces</v>
          </cell>
          <cell r="V406" t="str">
            <v>Taxes d`affaires</v>
          </cell>
          <cell r="W406" t="str">
            <v>$</v>
          </cell>
          <cell r="X406">
            <v>0</v>
          </cell>
        </row>
        <row r="407">
          <cell r="C407">
            <v>7654.15</v>
          </cell>
          <cell r="O407">
            <v>1530.83</v>
          </cell>
          <cell r="U407" t="str">
            <v>Pièces</v>
          </cell>
          <cell r="V407" t="str">
            <v>Honoraires</v>
          </cell>
          <cell r="W407" t="str">
            <v>$</v>
          </cell>
          <cell r="X407">
            <v>0</v>
          </cell>
        </row>
        <row r="408">
          <cell r="C408">
            <v>-203762.85</v>
          </cell>
          <cell r="O408">
            <v>-66097</v>
          </cell>
          <cell r="U408" t="str">
            <v>Véhicules neufs</v>
          </cell>
          <cell r="V408" t="str">
            <v>Holdbacks</v>
          </cell>
          <cell r="W408" t="str">
            <v>$</v>
          </cell>
          <cell r="X408">
            <v>0</v>
          </cell>
        </row>
        <row r="409">
          <cell r="C409">
            <v>-23602.92</v>
          </cell>
          <cell r="O409">
            <v>-5714.22</v>
          </cell>
          <cell r="U409" t="str">
            <v>Pièces</v>
          </cell>
          <cell r="V409" t="str">
            <v>Escomptes</v>
          </cell>
          <cell r="W409" t="str">
            <v>$</v>
          </cell>
          <cell r="X409">
            <v>0</v>
          </cell>
        </row>
        <row r="410">
          <cell r="C410">
            <v>0</v>
          </cell>
          <cell r="O410">
            <v>-22000</v>
          </cell>
          <cell r="U410" t="str">
            <v>Véhicules neufs</v>
          </cell>
          <cell r="V410" t="str">
            <v>Programme neuf 1</v>
          </cell>
          <cell r="W410" t="str">
            <v>$</v>
          </cell>
          <cell r="X410">
            <v>0</v>
          </cell>
        </row>
        <row r="411">
          <cell r="C411">
            <v>-37560.15</v>
          </cell>
          <cell r="O411">
            <v>-12796.27</v>
          </cell>
          <cell r="U411" t="str">
            <v>Véhicules neufs</v>
          </cell>
          <cell r="V411" t="str">
            <v>Rev. Finances</v>
          </cell>
          <cell r="W411" t="str">
            <v>$</v>
          </cell>
          <cell r="X411" t="str">
            <v>Oui</v>
          </cell>
        </row>
        <row r="412">
          <cell r="C412">
            <v>-203011.85</v>
          </cell>
          <cell r="O412">
            <v>-43248.82</v>
          </cell>
          <cell r="U412" t="str">
            <v>Véhicules usagés</v>
          </cell>
          <cell r="V412" t="str">
            <v>Rev. Finances</v>
          </cell>
          <cell r="W412" t="str">
            <v>$</v>
          </cell>
          <cell r="X412" t="str">
            <v>Oui</v>
          </cell>
        </row>
        <row r="413">
          <cell r="C413">
            <v>-3103.37</v>
          </cell>
          <cell r="O413">
            <v>-771.6</v>
          </cell>
          <cell r="U413" t="str">
            <v>Véhicules neufs</v>
          </cell>
          <cell r="V413" t="str">
            <v>Rev. Autres</v>
          </cell>
          <cell r="W413" t="str">
            <v>$</v>
          </cell>
          <cell r="X413" t="str">
            <v>Oui</v>
          </cell>
        </row>
        <row r="414">
          <cell r="C414">
            <v>-11822.97</v>
          </cell>
          <cell r="O414">
            <v>-1486.05</v>
          </cell>
          <cell r="U414" t="str">
            <v>Véhicules usagés</v>
          </cell>
          <cell r="V414" t="str">
            <v>Rev. Autres</v>
          </cell>
          <cell r="W414" t="str">
            <v>$</v>
          </cell>
          <cell r="X414" t="str">
            <v>Oui</v>
          </cell>
        </row>
        <row r="415">
          <cell r="C415">
            <v>-25883</v>
          </cell>
          <cell r="O415">
            <v>-10052</v>
          </cell>
          <cell r="U415" t="str">
            <v>Véhicules neufs</v>
          </cell>
          <cell r="V415" t="str">
            <v>Rev. Protections</v>
          </cell>
          <cell r="W415" t="str">
            <v>$</v>
          </cell>
          <cell r="X415" t="str">
            <v>Oui</v>
          </cell>
        </row>
        <row r="416">
          <cell r="C416">
            <v>-135386.1</v>
          </cell>
          <cell r="O416">
            <v>-42994.15</v>
          </cell>
          <cell r="U416" t="str">
            <v>Véhicules neufs</v>
          </cell>
          <cell r="V416" t="str">
            <v>Rev. Protections</v>
          </cell>
          <cell r="W416" t="str">
            <v>$</v>
          </cell>
          <cell r="X416" t="str">
            <v>Oui</v>
          </cell>
        </row>
        <row r="417">
          <cell r="C417">
            <v>-135746.45000000001</v>
          </cell>
          <cell r="O417">
            <v>-25049</v>
          </cell>
          <cell r="U417" t="str">
            <v>Véhicules usagés</v>
          </cell>
          <cell r="V417" t="str">
            <v>Rev. Protections</v>
          </cell>
          <cell r="W417" t="str">
            <v>$</v>
          </cell>
          <cell r="X417" t="str">
            <v>Oui</v>
          </cell>
        </row>
        <row r="418">
          <cell r="C418">
            <v>-76618.23</v>
          </cell>
          <cell r="O418">
            <v>-20380.849999999999</v>
          </cell>
          <cell r="U418" t="str">
            <v>Véhicules usagés</v>
          </cell>
          <cell r="V418" t="str">
            <v>Rev. Protections</v>
          </cell>
          <cell r="W418" t="str">
            <v>$</v>
          </cell>
          <cell r="X418" t="str">
            <v>Oui</v>
          </cell>
        </row>
        <row r="419">
          <cell r="C419">
            <v>-111874</v>
          </cell>
          <cell r="O419">
            <v>28919</v>
          </cell>
          <cell r="U419" t="str">
            <v>Véhicules neufs</v>
          </cell>
          <cell r="V419" t="str">
            <v>Frais administration</v>
          </cell>
          <cell r="W419" t="str">
            <v>$</v>
          </cell>
          <cell r="X419">
            <v>0</v>
          </cell>
        </row>
        <row r="420">
          <cell r="C420">
            <v>0</v>
          </cell>
          <cell r="O420">
            <v>-59958.49</v>
          </cell>
          <cell r="U420" t="str">
            <v>Véhicules usagés</v>
          </cell>
          <cell r="V420" t="str">
            <v>Frais administration</v>
          </cell>
          <cell r="W420" t="str">
            <v>$</v>
          </cell>
          <cell r="X420">
            <v>0</v>
          </cell>
        </row>
        <row r="421">
          <cell r="C421">
            <v>-141833.03</v>
          </cell>
          <cell r="O421">
            <v>-16.47</v>
          </cell>
          <cell r="U421" t="str">
            <v>TOTAL  DES  REVENUS  ET  DÉPENSES</v>
          </cell>
          <cell r="V421" t="str">
            <v>Revenus autres</v>
          </cell>
          <cell r="W421" t="str">
            <v>$</v>
          </cell>
          <cell r="X421">
            <v>0</v>
          </cell>
        </row>
        <row r="422">
          <cell r="C422">
            <v>1500</v>
          </cell>
          <cell r="O422">
            <v>300</v>
          </cell>
          <cell r="U422" t="str">
            <v>TOTAL  DES  REVENUS  ET  DÉPENSES</v>
          </cell>
          <cell r="V422" t="str">
            <v>Intérêts sur prêt</v>
          </cell>
          <cell r="W422" t="str">
            <v>$</v>
          </cell>
          <cell r="X422">
            <v>0</v>
          </cell>
        </row>
        <row r="423">
          <cell r="C423">
            <v>633.95000000000005</v>
          </cell>
          <cell r="O423">
            <v>126.79</v>
          </cell>
          <cell r="U423" t="str">
            <v>TOTAL  DES  REVENUS  ET  DÉPENSES</v>
          </cell>
          <cell r="V423" t="str">
            <v>Intérêts sur prêt</v>
          </cell>
          <cell r="W423" t="str">
            <v>$</v>
          </cell>
          <cell r="X423">
            <v>0</v>
          </cell>
        </row>
        <row r="424">
          <cell r="C424">
            <v>36677.64</v>
          </cell>
          <cell r="O424">
            <v>6811.11</v>
          </cell>
          <cell r="U424" t="str">
            <v>TOTAL  DES  REVENUS  ET  DÉPENSES</v>
          </cell>
          <cell r="V424" t="str">
            <v>Frais bancaires</v>
          </cell>
          <cell r="W424" t="str">
            <v>$</v>
          </cell>
          <cell r="X424">
            <v>0</v>
          </cell>
        </row>
        <row r="425">
          <cell r="O425">
            <v>-2</v>
          </cell>
          <cell r="U425" t="str">
            <v>Véhicules usagés</v>
          </cell>
          <cell r="V425">
            <v>0</v>
          </cell>
          <cell r="W425" t="str">
            <v>NB</v>
          </cell>
          <cell r="X425">
            <v>0</v>
          </cell>
        </row>
        <row r="426">
          <cell r="O426">
            <v>-18</v>
          </cell>
          <cell r="U426" t="str">
            <v>Véhicules usagés</v>
          </cell>
          <cell r="V426">
            <v>0</v>
          </cell>
          <cell r="W426" t="str">
            <v>NB</v>
          </cell>
          <cell r="X426">
            <v>0</v>
          </cell>
        </row>
        <row r="427">
          <cell r="O427">
            <v>-4</v>
          </cell>
          <cell r="U427" t="str">
            <v>Bilan</v>
          </cell>
          <cell r="V427">
            <v>0</v>
          </cell>
          <cell r="W427" t="str">
            <v>NB</v>
          </cell>
          <cell r="X427">
            <v>0</v>
          </cell>
        </row>
        <row r="428">
          <cell r="O428">
            <v>12</v>
          </cell>
          <cell r="U428" t="str">
            <v>Bilan</v>
          </cell>
          <cell r="V428">
            <v>0</v>
          </cell>
          <cell r="W428" t="str">
            <v>NB</v>
          </cell>
          <cell r="X428">
            <v>0</v>
          </cell>
        </row>
        <row r="429">
          <cell r="O429">
            <v>-25</v>
          </cell>
          <cell r="U429" t="str">
            <v>Véhicules neufs</v>
          </cell>
          <cell r="V429" t="str">
            <v>Rachat bail</v>
          </cell>
          <cell r="W429" t="str">
            <v>NB</v>
          </cell>
          <cell r="X429">
            <v>0</v>
          </cell>
        </row>
        <row r="430">
          <cell r="O430">
            <v>0</v>
          </cell>
          <cell r="U430" t="str">
            <v>Véhicules neufs</v>
          </cell>
          <cell r="V430" t="str">
            <v>Autos détail</v>
          </cell>
          <cell r="W430" t="str">
            <v>NB</v>
          </cell>
          <cell r="X430">
            <v>0</v>
          </cell>
        </row>
        <row r="431">
          <cell r="O431">
            <v>-4</v>
          </cell>
          <cell r="U431" t="str">
            <v>Véhicules neufs</v>
          </cell>
          <cell r="V431" t="str">
            <v>Autos détail</v>
          </cell>
          <cell r="W431" t="str">
            <v>NB</v>
          </cell>
          <cell r="X431">
            <v>0</v>
          </cell>
        </row>
        <row r="432">
          <cell r="O432">
            <v>-9</v>
          </cell>
          <cell r="U432" t="str">
            <v>Véhicules neufs</v>
          </cell>
          <cell r="V432" t="str">
            <v>Camions détail</v>
          </cell>
          <cell r="W432" t="str">
            <v>NB</v>
          </cell>
          <cell r="X432">
            <v>0</v>
          </cell>
        </row>
        <row r="433">
          <cell r="O433">
            <v>-11</v>
          </cell>
          <cell r="U433" t="str">
            <v>Véhicules neufs</v>
          </cell>
          <cell r="V433" t="str">
            <v>Camions détail</v>
          </cell>
          <cell r="W433" t="str">
            <v>NB</v>
          </cell>
          <cell r="X433">
            <v>0</v>
          </cell>
        </row>
        <row r="434">
          <cell r="O434">
            <v>0</v>
          </cell>
          <cell r="U434" t="str">
            <v>Véhicules neufs</v>
          </cell>
          <cell r="V434" t="str">
            <v>Camions détail</v>
          </cell>
          <cell r="W434" t="str">
            <v>NB</v>
          </cell>
          <cell r="X434">
            <v>0</v>
          </cell>
        </row>
        <row r="435">
          <cell r="O435">
            <v>-4</v>
          </cell>
          <cell r="U435" t="str">
            <v>Véhicules neufs</v>
          </cell>
          <cell r="V435" t="str">
            <v>Autos détail</v>
          </cell>
          <cell r="W435" t="str">
            <v>NB</v>
          </cell>
          <cell r="X435">
            <v>0</v>
          </cell>
        </row>
        <row r="436">
          <cell r="O436">
            <v>-23</v>
          </cell>
          <cell r="U436" t="str">
            <v>Véhicules neufs</v>
          </cell>
          <cell r="V436" t="str">
            <v>Camions détail</v>
          </cell>
          <cell r="W436" t="str">
            <v>NB</v>
          </cell>
          <cell r="X436">
            <v>0</v>
          </cell>
        </row>
        <row r="437">
          <cell r="O437">
            <v>0</v>
          </cell>
          <cell r="U437" t="str">
            <v>Véhicules neufs</v>
          </cell>
          <cell r="V437" t="str">
            <v>Flottes</v>
          </cell>
          <cell r="W437" t="str">
            <v>NB</v>
          </cell>
          <cell r="X437">
            <v>0</v>
          </cell>
        </row>
        <row r="438">
          <cell r="O438">
            <v>-4</v>
          </cell>
          <cell r="U438" t="str">
            <v>Véhicules neufs</v>
          </cell>
          <cell r="V438" t="str">
            <v>Ex-Démos et courtoisies</v>
          </cell>
          <cell r="W438" t="str">
            <v>NB</v>
          </cell>
          <cell r="X438">
            <v>0</v>
          </cell>
        </row>
        <row r="439">
          <cell r="O439">
            <v>-1</v>
          </cell>
          <cell r="U439" t="str">
            <v>Véhicules neufs</v>
          </cell>
          <cell r="V439" t="str">
            <v>Autos détail</v>
          </cell>
          <cell r="W439" t="str">
            <v>NB</v>
          </cell>
          <cell r="X439">
            <v>0</v>
          </cell>
        </row>
        <row r="440">
          <cell r="O440">
            <v>-34</v>
          </cell>
          <cell r="U440" t="str">
            <v>Véhicules usagés</v>
          </cell>
          <cell r="V440" t="str">
            <v>Certifié</v>
          </cell>
          <cell r="W440" t="str">
            <v>NB</v>
          </cell>
          <cell r="X440">
            <v>0</v>
          </cell>
        </row>
        <row r="441">
          <cell r="O441">
            <v>-2</v>
          </cell>
          <cell r="U441" t="str">
            <v>Véhicules usagés</v>
          </cell>
          <cell r="V441" t="str">
            <v>Non Certifié</v>
          </cell>
          <cell r="W441" t="str">
            <v>NB</v>
          </cell>
          <cell r="X441">
            <v>0</v>
          </cell>
        </row>
        <row r="442">
          <cell r="O442">
            <v>-34</v>
          </cell>
          <cell r="U442" t="str">
            <v>Véhicules usagés</v>
          </cell>
          <cell r="V442" t="str">
            <v>Ventes au Gros</v>
          </cell>
          <cell r="W442" t="str">
            <v>NB</v>
          </cell>
          <cell r="X442">
            <v>0</v>
          </cell>
        </row>
        <row r="443">
          <cell r="O443">
            <v>-417</v>
          </cell>
          <cell r="U443" t="str">
            <v>Service</v>
          </cell>
          <cell r="V443" t="str">
            <v>M/O Client</v>
          </cell>
          <cell r="W443" t="str">
            <v>NB</v>
          </cell>
          <cell r="X443">
            <v>0</v>
          </cell>
        </row>
        <row r="444">
          <cell r="O444">
            <v>-199</v>
          </cell>
          <cell r="U444" t="str">
            <v>Service</v>
          </cell>
          <cell r="V444" t="str">
            <v>M/O Garantie</v>
          </cell>
          <cell r="W444" t="str">
            <v>NB</v>
          </cell>
          <cell r="X444">
            <v>0</v>
          </cell>
        </row>
        <row r="445">
          <cell r="O445">
            <v>-219</v>
          </cell>
          <cell r="U445" t="str">
            <v>Service</v>
          </cell>
          <cell r="V445" t="str">
            <v>M/O Interne</v>
          </cell>
          <cell r="W445" t="str">
            <v>NB</v>
          </cell>
          <cell r="X445">
            <v>0</v>
          </cell>
        </row>
        <row r="446">
          <cell r="O446">
            <v>-401</v>
          </cell>
          <cell r="U446" t="str">
            <v>Pièces</v>
          </cell>
          <cell r="V446" t="str">
            <v>Huiles et Graisse</v>
          </cell>
          <cell r="W446" t="str">
            <v>NB</v>
          </cell>
          <cell r="X446">
            <v>0</v>
          </cell>
        </row>
        <row r="447">
          <cell r="O447">
            <v>-7</v>
          </cell>
          <cell r="U447" t="str">
            <v>Service</v>
          </cell>
          <cell r="V447" t="str">
            <v>Sous-traitement</v>
          </cell>
          <cell r="W447" t="str">
            <v>NB</v>
          </cell>
          <cell r="X447">
            <v>0</v>
          </cell>
        </row>
        <row r="448">
          <cell r="O448">
            <v>-4</v>
          </cell>
          <cell r="U448" t="str">
            <v>Service</v>
          </cell>
          <cell r="V448" t="str">
            <v>Sous-traitement</v>
          </cell>
          <cell r="W448" t="str">
            <v>NB</v>
          </cell>
          <cell r="X448">
            <v>0</v>
          </cell>
        </row>
        <row r="449">
          <cell r="O449">
            <v>-107</v>
          </cell>
          <cell r="U449" t="str">
            <v>Service</v>
          </cell>
          <cell r="V449" t="str">
            <v>Sous-traitement</v>
          </cell>
          <cell r="W449" t="str">
            <v>NB</v>
          </cell>
          <cell r="X449">
            <v>0</v>
          </cell>
        </row>
        <row r="450">
          <cell r="O450">
            <v>-3</v>
          </cell>
          <cell r="U450" t="str">
            <v>Carrosserie</v>
          </cell>
          <cell r="V450" t="str">
            <v>M/O Sous-traitement</v>
          </cell>
          <cell r="W450" t="str">
            <v>NB</v>
          </cell>
          <cell r="X450">
            <v>0</v>
          </cell>
        </row>
        <row r="451">
          <cell r="O451">
            <v>-32</v>
          </cell>
          <cell r="U451" t="str">
            <v>Carrosserie</v>
          </cell>
          <cell r="V451" t="str">
            <v>M/O Sous-traitement</v>
          </cell>
          <cell r="W451" t="str">
            <v>NB</v>
          </cell>
          <cell r="X451">
            <v>0</v>
          </cell>
        </row>
        <row r="452">
          <cell r="O452">
            <v>-28</v>
          </cell>
          <cell r="U452" t="str">
            <v>Carrosserie</v>
          </cell>
          <cell r="V452" t="str">
            <v>M/O Sous-traitement</v>
          </cell>
          <cell r="W452" t="str">
            <v>NB</v>
          </cell>
          <cell r="X452">
            <v>0</v>
          </cell>
        </row>
        <row r="453">
          <cell r="O453">
            <v>-14</v>
          </cell>
          <cell r="U453" t="str">
            <v>Carrosserie</v>
          </cell>
          <cell r="V453" t="str">
            <v>M/O Sous-traitement</v>
          </cell>
          <cell r="W453" t="str">
            <v>NB</v>
          </cell>
          <cell r="X453">
            <v>0</v>
          </cell>
        </row>
        <row r="454">
          <cell r="O454">
            <v>-375</v>
          </cell>
          <cell r="U454" t="str">
            <v>Pièces</v>
          </cell>
          <cell r="V454" t="str">
            <v>Pièces Ro Clients</v>
          </cell>
          <cell r="W454" t="str">
            <v>NB</v>
          </cell>
          <cell r="X454">
            <v>0</v>
          </cell>
        </row>
        <row r="455">
          <cell r="O455">
            <v>-118</v>
          </cell>
          <cell r="U455" t="str">
            <v>Pièces</v>
          </cell>
          <cell r="V455" t="str">
            <v>P/A Garantie</v>
          </cell>
          <cell r="W455" t="str">
            <v>NB</v>
          </cell>
          <cell r="X455">
            <v>0</v>
          </cell>
        </row>
        <row r="456">
          <cell r="O456">
            <v>-232</v>
          </cell>
          <cell r="U456" t="str">
            <v>Pièces</v>
          </cell>
          <cell r="V456" t="str">
            <v>Ventes Internes</v>
          </cell>
          <cell r="W456" t="str">
            <v>NB</v>
          </cell>
          <cell r="X456">
            <v>0</v>
          </cell>
        </row>
        <row r="457">
          <cell r="O457">
            <v>-136</v>
          </cell>
          <cell r="U457" t="str">
            <v>Pièces</v>
          </cell>
          <cell r="V457" t="str">
            <v>Pièces Ro Clients</v>
          </cell>
          <cell r="W457" t="str">
            <v>NB</v>
          </cell>
          <cell r="X457">
            <v>0</v>
          </cell>
        </row>
        <row r="458">
          <cell r="O458">
            <v>-2</v>
          </cell>
          <cell r="U458" t="str">
            <v>Pièces</v>
          </cell>
          <cell r="V458" t="str">
            <v>Ventes Internes</v>
          </cell>
          <cell r="W458" t="str">
            <v>NB</v>
          </cell>
          <cell r="X458">
            <v>0</v>
          </cell>
        </row>
        <row r="459">
          <cell r="O459">
            <v>-8</v>
          </cell>
          <cell r="U459" t="str">
            <v>Pièces</v>
          </cell>
          <cell r="V459" t="str">
            <v>Pièces Ro Carrosserie</v>
          </cell>
          <cell r="W459" t="str">
            <v>NB</v>
          </cell>
          <cell r="X459">
            <v>0</v>
          </cell>
        </row>
        <row r="460">
          <cell r="O460">
            <v>-23</v>
          </cell>
          <cell r="U460" t="str">
            <v>Pièces</v>
          </cell>
          <cell r="V460" t="str">
            <v>Pièces Ro Carrosserie</v>
          </cell>
          <cell r="W460" t="str">
            <v>NB</v>
          </cell>
          <cell r="X460">
            <v>0</v>
          </cell>
        </row>
        <row r="461">
          <cell r="O461">
            <v>-13</v>
          </cell>
          <cell r="U461" t="str">
            <v>Pièces</v>
          </cell>
          <cell r="V461" t="str">
            <v>Pièces Ro Carrosserie</v>
          </cell>
          <cell r="W461" t="str">
            <v>NB</v>
          </cell>
          <cell r="X461">
            <v>0</v>
          </cell>
        </row>
        <row r="462">
          <cell r="O462">
            <v>-203</v>
          </cell>
          <cell r="U462" t="str">
            <v>Pièces</v>
          </cell>
          <cell r="V462" t="str">
            <v>Ventes Détails</v>
          </cell>
          <cell r="W462" t="str">
            <v>NB</v>
          </cell>
          <cell r="X462">
            <v>0</v>
          </cell>
        </row>
        <row r="463">
          <cell r="O463">
            <v>-287</v>
          </cell>
          <cell r="U463" t="str">
            <v>Pièces</v>
          </cell>
          <cell r="V463" t="str">
            <v>Ventes de Gros</v>
          </cell>
          <cell r="W463" t="str">
            <v>NB</v>
          </cell>
          <cell r="X463">
            <v>0</v>
          </cell>
        </row>
        <row r="464">
          <cell r="O464">
            <v>-34</v>
          </cell>
          <cell r="U464" t="str">
            <v>Pièces</v>
          </cell>
          <cell r="V464" t="str">
            <v>Ventes Pneus</v>
          </cell>
          <cell r="W464" t="str">
            <v>NB</v>
          </cell>
          <cell r="X464">
            <v>0</v>
          </cell>
        </row>
        <row r="465">
          <cell r="O465">
            <v>0</v>
          </cell>
          <cell r="U465" t="str">
            <v>Véhicules neufs</v>
          </cell>
          <cell r="V465">
            <v>0</v>
          </cell>
          <cell r="W465" t="str">
            <v>NB</v>
          </cell>
          <cell r="X465">
            <v>0</v>
          </cell>
        </row>
        <row r="466">
          <cell r="O466">
            <v>-29</v>
          </cell>
          <cell r="U466" t="str">
            <v>Véhicules usagés</v>
          </cell>
          <cell r="V466">
            <v>0</v>
          </cell>
          <cell r="W466" t="str">
            <v>NB</v>
          </cell>
          <cell r="X466">
            <v>0</v>
          </cell>
        </row>
        <row r="467">
          <cell r="O467">
            <v>-33</v>
          </cell>
          <cell r="U467" t="str">
            <v>Véhicules usagés</v>
          </cell>
          <cell r="V467">
            <v>0</v>
          </cell>
          <cell r="W467" t="str">
            <v>NB</v>
          </cell>
          <cell r="X467">
            <v>0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C3" sqref="C3"/>
    </sheetView>
  </sheetViews>
  <sheetFormatPr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bestFit="1" customWidth="1"/>
    <col min="7" max="7" width="12.59765625" customWidth="1"/>
    <col min="8" max="9" width="1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2" spans="1:17" ht="14.4">
      <c r="C2" s="372"/>
    </row>
    <row r="3" spans="1:17" ht="14.4">
      <c r="B3" s="404" t="s">
        <v>222</v>
      </c>
      <c r="C3" s="373" t="s">
        <v>481</v>
      </c>
      <c r="P3" s="405"/>
      <c r="Q3" s="406"/>
    </row>
    <row r="5" spans="1:17" s="380" customFormat="1" ht="16.5" customHeight="1"/>
    <row r="6" spans="1:17" s="380" customFormat="1" ht="16.5" customHeight="1">
      <c r="B6" s="466" t="s">
        <v>206</v>
      </c>
      <c r="C6" s="466"/>
      <c r="D6" s="466"/>
      <c r="E6" s="466"/>
      <c r="F6" s="467" t="s">
        <v>207</v>
      </c>
      <c r="G6" s="467"/>
      <c r="H6" s="467"/>
      <c r="I6" s="467"/>
      <c r="J6" s="468" t="s">
        <v>208</v>
      </c>
      <c r="K6" s="468"/>
      <c r="L6" s="468"/>
      <c r="M6" s="468"/>
      <c r="N6" s="469" t="s">
        <v>209</v>
      </c>
      <c r="O6" s="469"/>
      <c r="P6" s="469"/>
      <c r="Q6" s="469"/>
    </row>
    <row r="7" spans="1:17" s="380" customFormat="1" ht="16.5" customHeight="1">
      <c r="A7"/>
      <c r="B7" s="387" t="s">
        <v>199</v>
      </c>
      <c r="C7" s="387" t="s">
        <v>200</v>
      </c>
      <c r="D7" s="387" t="s">
        <v>201</v>
      </c>
      <c r="E7" s="387" t="s">
        <v>202</v>
      </c>
      <c r="F7" s="388" t="s">
        <v>199</v>
      </c>
      <c r="G7" s="388" t="s">
        <v>200</v>
      </c>
      <c r="H7" s="388" t="s">
        <v>201</v>
      </c>
      <c r="I7" s="388" t="s">
        <v>202</v>
      </c>
      <c r="J7" s="403" t="s">
        <v>199</v>
      </c>
      <c r="K7" s="403" t="s">
        <v>200</v>
      </c>
      <c r="L7" s="403" t="s">
        <v>201</v>
      </c>
      <c r="M7" s="403" t="s">
        <v>202</v>
      </c>
      <c r="N7" s="389" t="s">
        <v>199</v>
      </c>
      <c r="O7" s="389" t="s">
        <v>200</v>
      </c>
      <c r="P7" s="389" t="s">
        <v>201</v>
      </c>
      <c r="Q7" s="389" t="s">
        <v>202</v>
      </c>
    </row>
    <row r="8" spans="1:17" s="380" customFormat="1" ht="16.5" customHeight="1">
      <c r="A8" s="379" t="s">
        <v>205</v>
      </c>
      <c r="B8" s="390" t="e">
        <f>+B9-B10</f>
        <v>#REF!</v>
      </c>
      <c r="C8" s="390" t="e">
        <f t="shared" ref="C8:F8" si="0">+C9-C10</f>
        <v>#REF!</v>
      </c>
      <c r="D8" s="390" t="e">
        <f t="shared" si="0"/>
        <v>#REF!</v>
      </c>
      <c r="E8" s="390" t="e">
        <f t="shared" si="0"/>
        <v>#REF!</v>
      </c>
      <c r="F8" s="390" t="e">
        <f t="shared" si="0"/>
        <v>#REF!</v>
      </c>
      <c r="G8" s="390" t="e">
        <f t="shared" ref="G8" si="1">+G9-G10</f>
        <v>#REF!</v>
      </c>
      <c r="H8" s="390" t="e">
        <f t="shared" ref="H8" si="2">+H9-H10</f>
        <v>#REF!</v>
      </c>
      <c r="I8" s="390" t="e">
        <f t="shared" ref="I8:J8" si="3">+I9-I10</f>
        <v>#REF!</v>
      </c>
      <c r="J8" s="399" t="e">
        <f t="shared" si="3"/>
        <v>#REF!</v>
      </c>
      <c r="K8" s="399" t="e">
        <f t="shared" ref="K8" si="4">+K9-K10</f>
        <v>#REF!</v>
      </c>
      <c r="L8" s="399" t="e">
        <f t="shared" ref="L8" si="5">+L9-L10</f>
        <v>#REF!</v>
      </c>
      <c r="M8" s="399" t="e">
        <f t="shared" ref="M8:N8" si="6">+M9-M10</f>
        <v>#REF!</v>
      </c>
      <c r="N8" s="390" t="e">
        <f t="shared" si="6"/>
        <v>#REF!</v>
      </c>
      <c r="O8" s="390" t="e">
        <f t="shared" ref="O8" si="7">+O9-O10</f>
        <v>#REF!</v>
      </c>
      <c r="P8" s="390" t="e">
        <f t="shared" ref="P8" si="8">+P9-P10</f>
        <v>#REF!</v>
      </c>
      <c r="Q8" s="390" t="e">
        <f t="shared" ref="Q8" si="9">+Q9-Q10</f>
        <v>#REF!</v>
      </c>
    </row>
    <row r="9" spans="1:17" s="380" customFormat="1" ht="16.5" customHeight="1">
      <c r="A9" s="381" t="s">
        <v>203</v>
      </c>
      <c r="B9" s="383">
        <f>+Conso!$Z$405</f>
        <v>9346028.7778564896</v>
      </c>
      <c r="C9" s="383">
        <f>+Conso!$Z$406</f>
        <v>1339678.4319540977</v>
      </c>
      <c r="D9" s="383">
        <f>+Conso!$Z$482</f>
        <v>359006.39397351339</v>
      </c>
      <c r="E9" s="383">
        <f>+Conso!$Z$497</f>
        <v>348823.9089735134</v>
      </c>
      <c r="F9" s="383">
        <f>+Conso!$AC$405</f>
        <v>0</v>
      </c>
      <c r="G9" s="383">
        <f>+Conso!$AC$406</f>
        <v>0</v>
      </c>
      <c r="H9" s="383">
        <f>+Conso!$AC$482</f>
        <v>0</v>
      </c>
      <c r="I9" s="383">
        <f>+Conso!$AC$497</f>
        <v>0</v>
      </c>
      <c r="J9" s="383">
        <f>+Conso!$AF$405</f>
        <v>10172889.5</v>
      </c>
      <c r="K9" s="383">
        <f>+Conso!$AF$406</f>
        <v>1288302.4900000002</v>
      </c>
      <c r="L9" s="383">
        <f>+Conso!$AF$482</f>
        <v>361518.19000000018</v>
      </c>
      <c r="M9" s="383">
        <f>+Conso!$AF$497</f>
        <v>352889.19000000018</v>
      </c>
      <c r="N9" s="383">
        <f>+Conso!$AL$405</f>
        <v>10597372.750000002</v>
      </c>
      <c r="O9" s="383">
        <f>+Conso!$AL$406</f>
        <v>1497150.13</v>
      </c>
      <c r="P9" s="383">
        <f>+Conso!$AL$482</f>
        <v>519977.35999999987</v>
      </c>
      <c r="Q9" s="383">
        <f>+Conso!$AL$497</f>
        <v>510494.77999999985</v>
      </c>
    </row>
    <row r="10" spans="1:17" s="380" customFormat="1" ht="16.5" customHeight="1">
      <c r="A10" s="382" t="s">
        <v>204</v>
      </c>
      <c r="B10" s="398" t="e">
        <f t="shared" ref="B10:Q10" si="10">+SUM(B11:B13)</f>
        <v>#REF!</v>
      </c>
      <c r="C10" s="398" t="e">
        <f t="shared" si="10"/>
        <v>#REF!</v>
      </c>
      <c r="D10" s="398" t="e">
        <f t="shared" si="10"/>
        <v>#REF!</v>
      </c>
      <c r="E10" s="398" t="e">
        <f t="shared" si="10"/>
        <v>#REF!</v>
      </c>
      <c r="F10" s="398" t="e">
        <f t="shared" si="10"/>
        <v>#REF!</v>
      </c>
      <c r="G10" s="398" t="e">
        <f t="shared" si="10"/>
        <v>#REF!</v>
      </c>
      <c r="H10" s="398" t="e">
        <f t="shared" si="10"/>
        <v>#REF!</v>
      </c>
      <c r="I10" s="398" t="e">
        <f t="shared" si="10"/>
        <v>#REF!</v>
      </c>
      <c r="J10" s="398" t="e">
        <f t="shared" si="10"/>
        <v>#REF!</v>
      </c>
      <c r="K10" s="398" t="e">
        <f t="shared" si="10"/>
        <v>#REF!</v>
      </c>
      <c r="L10" s="398" t="e">
        <f t="shared" si="10"/>
        <v>#REF!</v>
      </c>
      <c r="M10" s="398" t="e">
        <f t="shared" si="10"/>
        <v>#REF!</v>
      </c>
      <c r="N10" s="398" t="e">
        <f t="shared" si="10"/>
        <v>#REF!</v>
      </c>
      <c r="O10" s="398" t="e">
        <f t="shared" si="10"/>
        <v>#REF!</v>
      </c>
      <c r="P10" s="398" t="e">
        <f t="shared" si="10"/>
        <v>#REF!</v>
      </c>
      <c r="Q10" s="398" t="e">
        <f t="shared" si="10"/>
        <v>#REF!</v>
      </c>
    </row>
    <row r="11" spans="1:17" s="380" customFormat="1" ht="16.5" customHeight="1">
      <c r="A11" s="392" t="s">
        <v>215</v>
      </c>
      <c r="B11" s="384" t="e">
        <f>+#REF!</f>
        <v>#REF!</v>
      </c>
      <c r="C11" s="384" t="e">
        <f>+#REF!</f>
        <v>#REF!</v>
      </c>
      <c r="D11" s="384" t="e">
        <f>+#REF!</f>
        <v>#REF!</v>
      </c>
      <c r="E11" s="384" t="e">
        <f>+#REF!</f>
        <v>#REF!</v>
      </c>
      <c r="F11" s="384" t="e">
        <f>+#REF!</f>
        <v>#REF!</v>
      </c>
      <c r="G11" s="384" t="e">
        <f>+#REF!</f>
        <v>#REF!</v>
      </c>
      <c r="H11" s="384" t="e">
        <f>+#REF!</f>
        <v>#REF!</v>
      </c>
      <c r="I11" s="384" t="e">
        <f>+#REF!</f>
        <v>#REF!</v>
      </c>
      <c r="J11" s="400" t="e">
        <f>+#REF!</f>
        <v>#REF!</v>
      </c>
      <c r="K11" s="400" t="e">
        <f>+#REF!</f>
        <v>#REF!</v>
      </c>
      <c r="L11" s="400" t="e">
        <f>+#REF!</f>
        <v>#REF!</v>
      </c>
      <c r="M11" s="400" t="e">
        <f>+#REF!</f>
        <v>#REF!</v>
      </c>
      <c r="N11" s="384" t="e">
        <f>+#REF!</f>
        <v>#REF!</v>
      </c>
      <c r="O11" s="384" t="e">
        <f>+#REF!</f>
        <v>#REF!</v>
      </c>
      <c r="P11" s="384" t="e">
        <f>+#REF!</f>
        <v>#REF!</v>
      </c>
      <c r="Q11" s="384" t="e">
        <f>+#REF!</f>
        <v>#REF!</v>
      </c>
    </row>
    <row r="12" spans="1:17" s="380" customFormat="1" ht="16.5" customHeight="1">
      <c r="A12" s="393" t="s">
        <v>216</v>
      </c>
      <c r="B12" s="385" t="e">
        <f>+#REF!</f>
        <v>#REF!</v>
      </c>
      <c r="C12" s="385" t="e">
        <f>+#REF!</f>
        <v>#REF!</v>
      </c>
      <c r="D12" s="385" t="e">
        <f>+#REF!</f>
        <v>#REF!</v>
      </c>
      <c r="E12" s="385" t="e">
        <f>+#REF!</f>
        <v>#REF!</v>
      </c>
      <c r="F12" s="385" t="e">
        <f>+#REF!</f>
        <v>#REF!</v>
      </c>
      <c r="G12" s="385" t="e">
        <f>+#REF!</f>
        <v>#REF!</v>
      </c>
      <c r="H12" s="385" t="e">
        <f>+#REF!</f>
        <v>#REF!</v>
      </c>
      <c r="I12" s="385" t="e">
        <f>+#REF!</f>
        <v>#REF!</v>
      </c>
      <c r="J12" s="401" t="e">
        <f>+#REF!</f>
        <v>#REF!</v>
      </c>
      <c r="K12" s="401" t="e">
        <f>+#REF!</f>
        <v>#REF!</v>
      </c>
      <c r="L12" s="401" t="e">
        <f>+#REF!</f>
        <v>#REF!</v>
      </c>
      <c r="M12" s="401" t="e">
        <f>+#REF!</f>
        <v>#REF!</v>
      </c>
      <c r="N12" s="385" t="e">
        <f>+#REF!</f>
        <v>#REF!</v>
      </c>
      <c r="O12" s="385" t="e">
        <f>+#REF!</f>
        <v>#REF!</v>
      </c>
      <c r="P12" s="385" t="e">
        <f>+#REF!</f>
        <v>#REF!</v>
      </c>
      <c r="Q12" s="385" t="e">
        <f>+#REF!</f>
        <v>#REF!</v>
      </c>
    </row>
    <row r="13" spans="1:17">
      <c r="A13" s="394" t="s">
        <v>217</v>
      </c>
      <c r="B13" s="386" t="e">
        <f>+#REF!</f>
        <v>#REF!</v>
      </c>
      <c r="C13" s="386" t="e">
        <f>+#REF!</f>
        <v>#REF!</v>
      </c>
      <c r="D13" s="386" t="e">
        <f>+#REF!</f>
        <v>#REF!</v>
      </c>
      <c r="E13" s="386" t="e">
        <f>+#REF!</f>
        <v>#REF!</v>
      </c>
      <c r="F13" s="386" t="e">
        <f>+#REF!</f>
        <v>#REF!</v>
      </c>
      <c r="G13" s="386" t="e">
        <f>+#REF!</f>
        <v>#REF!</v>
      </c>
      <c r="H13" s="386" t="e">
        <f>+#REF!</f>
        <v>#REF!</v>
      </c>
      <c r="I13" s="386" t="e">
        <f>+#REF!</f>
        <v>#REF!</v>
      </c>
      <c r="J13" s="402" t="e">
        <f>+#REF!</f>
        <v>#REF!</v>
      </c>
      <c r="K13" s="402" t="e">
        <f>+#REF!</f>
        <v>#REF!</v>
      </c>
      <c r="L13" s="402" t="e">
        <f>+#REF!</f>
        <v>#REF!</v>
      </c>
      <c r="M13" s="402" t="e">
        <f>+#REF!</f>
        <v>#REF!</v>
      </c>
      <c r="N13" s="386" t="e">
        <f>+#REF!</f>
        <v>#REF!</v>
      </c>
      <c r="O13" s="386" t="e">
        <f>+#REF!</f>
        <v>#REF!</v>
      </c>
      <c r="P13" s="386" t="e">
        <f>+#REF!</f>
        <v>#REF!</v>
      </c>
      <c r="Q13" s="386" t="e">
        <f>+#REF!</f>
        <v>#REF!</v>
      </c>
    </row>
  </sheetData>
  <mergeCells count="4">
    <mergeCell ref="B6:E6"/>
    <mergeCell ref="F6:I6"/>
    <mergeCell ref="J6:M6"/>
    <mergeCell ref="N6:Q6"/>
  </mergeCells>
  <phoneticPr fontId="41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C1" zoomScale="70" zoomScaleNormal="70" workbookViewId="0">
      <pane xSplit="1" topLeftCell="D1" activePane="topRight" state="frozen"/>
      <selection activeCell="C1" sqref="C1"/>
      <selection pane="topRight" activeCell="C1" sqref="C1"/>
    </sheetView>
  </sheetViews>
  <sheetFormatPr defaultColWidth="12.59765625" defaultRowHeight="15" customHeight="1"/>
  <cols>
    <col min="1" max="1" width="24.09765625" hidden="1" customWidth="1"/>
    <col min="2" max="2" width="21.59765625" hidden="1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9.8984375" customWidth="1"/>
    <col min="23" max="23" width="12.8984375" customWidth="1"/>
    <col min="24" max="24" width="13.3984375" customWidth="1"/>
    <col min="25" max="25" width="10.5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6.3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" customWidth="1"/>
    <col min="43" max="43" width="24" customWidth="1"/>
    <col min="44" max="62" width="11" customWidth="1"/>
  </cols>
  <sheetData>
    <row r="1" spans="1:40" ht="35.4">
      <c r="B1" s="1"/>
      <c r="C1" s="1" t="s">
        <v>193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409"/>
      <c r="Q1" s="410"/>
      <c r="R1" s="409"/>
      <c r="S1" s="411" t="str">
        <f>CONCATENATE(Paramètre!$C$2," ",Paramètre!$C$3)</f>
        <v xml:space="preserve"> Volks Juin / Juillet 2023</v>
      </c>
      <c r="T1" s="2" t="s">
        <v>1</v>
      </c>
      <c r="U1" s="6"/>
      <c r="V1" s="397"/>
      <c r="W1" s="397"/>
      <c r="X1" s="397"/>
      <c r="Y1" s="397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.6" thickTop="1">
      <c r="B3" s="12"/>
      <c r="C3" s="13"/>
      <c r="D3" s="472" t="s">
        <v>5</v>
      </c>
      <c r="E3" s="473"/>
      <c r="F3" s="474"/>
      <c r="G3" s="475" t="s">
        <v>6</v>
      </c>
      <c r="H3" s="473"/>
      <c r="I3" s="474"/>
      <c r="J3" s="475" t="s">
        <v>7</v>
      </c>
      <c r="K3" s="473"/>
      <c r="L3" s="474"/>
      <c r="M3" s="470" t="s">
        <v>472</v>
      </c>
      <c r="N3" s="471"/>
      <c r="O3" s="475" t="s">
        <v>9</v>
      </c>
      <c r="P3" s="472"/>
      <c r="Q3" s="476"/>
      <c r="R3" s="470" t="s">
        <v>473</v>
      </c>
      <c r="S3" s="471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4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474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474</v>
      </c>
      <c r="S4" s="18" t="s">
        <v>13</v>
      </c>
      <c r="T4" s="14"/>
      <c r="U4" s="14"/>
      <c r="V4" s="396"/>
      <c r="W4" s="396"/>
      <c r="X4" s="395"/>
      <c r="Y4" s="395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399999999999999">
      <c r="A5" t="str">
        <f>+B5&amp;C5</f>
        <v>Véhicules neufsVentes nettes</v>
      </c>
      <c r="B5" s="12" t="str">
        <f t="shared" ref="B5:B85" si="0">+$K$1</f>
        <v>Véhicules neufs</v>
      </c>
      <c r="C5" s="20" t="s">
        <v>15</v>
      </c>
      <c r="D5" s="21"/>
      <c r="E5" s="21"/>
      <c r="F5" s="22">
        <f>+SUM(START:END!F5)</f>
        <v>4632530.7345252568</v>
      </c>
      <c r="G5" s="23"/>
      <c r="H5" s="21"/>
      <c r="I5" s="22">
        <f>+SUM(START:END!I5)</f>
        <v>0</v>
      </c>
      <c r="J5" s="23"/>
      <c r="K5" s="24"/>
      <c r="L5" s="22">
        <f>+SUM(START:END!L5)</f>
        <v>4973516.2200000007</v>
      </c>
      <c r="M5" s="25"/>
      <c r="N5" s="26"/>
      <c r="O5" s="23"/>
      <c r="P5" s="24"/>
      <c r="Q5" s="22">
        <f>+SUM(START:END!Q5)</f>
        <v>5493835.3499999996</v>
      </c>
      <c r="R5" s="25"/>
      <c r="S5" s="26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399999999999999">
      <c r="A6" t="str">
        <f t="shared" ref="A6:A85" si="1">+B6&amp;C6</f>
        <v>Véhicules neufsAutos détail</v>
      </c>
      <c r="B6" s="12" t="str">
        <f t="shared" si="0"/>
        <v>Véhicules neufs</v>
      </c>
      <c r="C6" s="27" t="s">
        <v>16</v>
      </c>
      <c r="D6" s="28">
        <f>+SUM(START:END!D6)</f>
        <v>19.737142857142857</v>
      </c>
      <c r="E6" s="28">
        <f>IF(D6=0,0,F6/D6)</f>
        <v>1988.4340000000002</v>
      </c>
      <c r="F6" s="28">
        <f>+SUM(START:END!F6)</f>
        <v>39246.005920000003</v>
      </c>
      <c r="G6" s="29">
        <f>+SUM(START:END!G6)</f>
        <v>0</v>
      </c>
      <c r="H6" s="28">
        <f>IF(G6=0,0,I6/G6)</f>
        <v>0</v>
      </c>
      <c r="I6" s="28">
        <f>+SUM(START:END!I6)</f>
        <v>0</v>
      </c>
      <c r="J6" s="29">
        <f>+SUM(START:END!J6)</f>
        <v>28</v>
      </c>
      <c r="K6" s="28">
        <f>IF(J6=0,0,L6/J6)</f>
        <v>2008.6253571428606</v>
      </c>
      <c r="L6" s="30">
        <f>+SUM(START:END!L6)</f>
        <v>56241.510000000097</v>
      </c>
      <c r="M6" s="29">
        <f t="shared" ref="M6:M12" si="2">J6-D6</f>
        <v>8.2628571428571433</v>
      </c>
      <c r="N6" s="31">
        <f t="shared" ref="N6:N12" si="3">L6-F6</f>
        <v>16995.504080000093</v>
      </c>
      <c r="O6" s="29">
        <f>+SUM(START:END!O6)</f>
        <v>22</v>
      </c>
      <c r="P6" s="28">
        <f>IF(O6=0,0,Q6/O6)</f>
        <v>2731.0177272727274</v>
      </c>
      <c r="Q6" s="30">
        <f>+SUM(START:END!Q6)</f>
        <v>60082.39</v>
      </c>
      <c r="R6" s="29">
        <f t="shared" ref="R6:R12" si="4">J6-O6</f>
        <v>6</v>
      </c>
      <c r="S6" s="31">
        <f t="shared" ref="S6:S12" si="5">L6-Q6</f>
        <v>-3840.8799999999028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399999999999999">
      <c r="A7" t="str">
        <f t="shared" si="1"/>
        <v>Véhicules neufsCamions détail</v>
      </c>
      <c r="B7" s="12" t="str">
        <f t="shared" si="0"/>
        <v>Véhicules neufs</v>
      </c>
      <c r="C7" s="27" t="s">
        <v>17</v>
      </c>
      <c r="D7" s="28">
        <f>+SUM(START:END!D7)</f>
        <v>78.940676571428583</v>
      </c>
      <c r="E7" s="28">
        <f t="shared" ref="E7:E12" si="6">IF(D7=0,0,F7/D7)</f>
        <v>2556.333633363336</v>
      </c>
      <c r="F7" s="28">
        <f>+SUM(START:END!F7)</f>
        <v>201798.70656000002</v>
      </c>
      <c r="G7" s="29">
        <f>+SUM(START:END!G7)</f>
        <v>0</v>
      </c>
      <c r="H7" s="28">
        <f t="shared" ref="H7:H12" si="7">IF(G7=0,0,I7/G7)</f>
        <v>0</v>
      </c>
      <c r="I7" s="28">
        <f>+SUM(START:END!I7)</f>
        <v>0</v>
      </c>
      <c r="J7" s="29">
        <f>+SUM(START:END!J7)</f>
        <v>63</v>
      </c>
      <c r="K7" s="28">
        <f t="shared" ref="K7:K12" si="8">IF(J7=0,0,L7/J7)</f>
        <v>2495.4514285714313</v>
      </c>
      <c r="L7" s="30">
        <f>+SUM(START:END!L7)</f>
        <v>157213.44000000018</v>
      </c>
      <c r="M7" s="29">
        <f t="shared" si="2"/>
        <v>-15.940676571428583</v>
      </c>
      <c r="N7" s="31">
        <f t="shared" si="3"/>
        <v>-44585.266559999844</v>
      </c>
      <c r="O7" s="29">
        <f>+SUM(START:END!O7)</f>
        <v>80</v>
      </c>
      <c r="P7" s="28">
        <f t="shared" ref="P7:P12" si="9">IF(O7=0,0,Q7/O7)</f>
        <v>3573.0596250000017</v>
      </c>
      <c r="Q7" s="30">
        <f>+SUM(START:END!Q7)</f>
        <v>285844.77000000014</v>
      </c>
      <c r="R7" s="29">
        <f t="shared" si="4"/>
        <v>-17</v>
      </c>
      <c r="S7" s="31">
        <f t="shared" si="5"/>
        <v>-128631.32999999996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399999999999999">
      <c r="A8" t="str">
        <f t="shared" si="1"/>
        <v>Véhicules neufsSprinter</v>
      </c>
      <c r="B8" s="12" t="str">
        <f t="shared" si="0"/>
        <v>Véhicules neufs</v>
      </c>
      <c r="C8" s="27" t="s">
        <v>18</v>
      </c>
      <c r="D8" s="28">
        <f>+SUM(START:END!D8)</f>
        <v>0</v>
      </c>
      <c r="E8" s="28">
        <f t="shared" si="6"/>
        <v>0</v>
      </c>
      <c r="F8" s="28">
        <f>+SUM(START:END!F8)</f>
        <v>0</v>
      </c>
      <c r="G8" s="29">
        <f>+SUM(START:END!G8)</f>
        <v>0</v>
      </c>
      <c r="H8" s="28">
        <f t="shared" si="7"/>
        <v>0</v>
      </c>
      <c r="I8" s="28">
        <f>+SUM(START:END!I8)</f>
        <v>0</v>
      </c>
      <c r="J8" s="29">
        <f>+SUM(START:END!J8)</f>
        <v>0</v>
      </c>
      <c r="K8" s="28">
        <f t="shared" si="8"/>
        <v>0</v>
      </c>
      <c r="L8" s="30">
        <f>+SUM(START:END!L8)</f>
        <v>0</v>
      </c>
      <c r="M8" s="29">
        <f t="shared" si="2"/>
        <v>0</v>
      </c>
      <c r="N8" s="31">
        <f t="shared" si="3"/>
        <v>0</v>
      </c>
      <c r="O8" s="29">
        <f>+SUM(START:END!O8)</f>
        <v>0</v>
      </c>
      <c r="P8" s="28">
        <f t="shared" si="9"/>
        <v>0</v>
      </c>
      <c r="Q8" s="30">
        <f>+SUM(START:END!Q8)</f>
        <v>0</v>
      </c>
      <c r="R8" s="29">
        <f t="shared" si="4"/>
        <v>0</v>
      </c>
      <c r="S8" s="31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399999999999999">
      <c r="A9" t="str">
        <f t="shared" si="1"/>
        <v>Véhicules neufsMoto détail</v>
      </c>
      <c r="B9" s="12" t="str">
        <f t="shared" si="0"/>
        <v>Véhicules neufs</v>
      </c>
      <c r="C9" s="27" t="s">
        <v>19</v>
      </c>
      <c r="D9" s="28">
        <f>+SUM(START:END!D9)</f>
        <v>0</v>
      </c>
      <c r="E9" s="28">
        <f t="shared" si="6"/>
        <v>0</v>
      </c>
      <c r="F9" s="28">
        <f>+SUM(START:END!F9)</f>
        <v>0</v>
      </c>
      <c r="G9" s="29">
        <f>+SUM(START:END!G9)</f>
        <v>0</v>
      </c>
      <c r="H9" s="28">
        <f t="shared" si="7"/>
        <v>0</v>
      </c>
      <c r="I9" s="28">
        <f>+SUM(START:END!I9)</f>
        <v>0</v>
      </c>
      <c r="J9" s="29">
        <f>+SUM(START:END!J9)</f>
        <v>0</v>
      </c>
      <c r="K9" s="28">
        <f t="shared" si="8"/>
        <v>0</v>
      </c>
      <c r="L9" s="30">
        <f>+SUM(START:END!L9)</f>
        <v>0</v>
      </c>
      <c r="M9" s="29">
        <f t="shared" si="2"/>
        <v>0</v>
      </c>
      <c r="N9" s="31">
        <f t="shared" si="3"/>
        <v>0</v>
      </c>
      <c r="O9" s="29">
        <f>+SUM(START:END!O9)</f>
        <v>0</v>
      </c>
      <c r="P9" s="28">
        <f t="shared" si="9"/>
        <v>0</v>
      </c>
      <c r="Q9" s="30">
        <f>+SUM(START:END!Q9)</f>
        <v>0</v>
      </c>
      <c r="R9" s="29">
        <f t="shared" si="4"/>
        <v>0</v>
      </c>
      <c r="S9" s="31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399999999999999" hidden="1" customHeight="1">
      <c r="A10" t="str">
        <f t="shared" si="1"/>
        <v>Véhicules neufs[...]</v>
      </c>
      <c r="B10" s="12" t="str">
        <f t="shared" si="0"/>
        <v>Véhicules neufs</v>
      </c>
      <c r="C10" s="27" t="s">
        <v>20</v>
      </c>
      <c r="D10" s="28">
        <f>+SUM(START:END!D10)</f>
        <v>0</v>
      </c>
      <c r="E10" s="28">
        <f t="shared" si="6"/>
        <v>0</v>
      </c>
      <c r="F10" s="28">
        <f>+SUM(START:END!F10)</f>
        <v>0</v>
      </c>
      <c r="G10" s="29">
        <f>+SUM(START:END!G10)</f>
        <v>0</v>
      </c>
      <c r="H10" s="28">
        <f t="shared" si="7"/>
        <v>0</v>
      </c>
      <c r="I10" s="28">
        <f>+SUM(START:END!I10)</f>
        <v>0</v>
      </c>
      <c r="J10" s="29">
        <f>+SUM(START:END!J10)</f>
        <v>0</v>
      </c>
      <c r="K10" s="28">
        <f t="shared" si="8"/>
        <v>0</v>
      </c>
      <c r="L10" s="30">
        <f>+SUM(START:END!L10)</f>
        <v>0</v>
      </c>
      <c r="M10" s="29">
        <f t="shared" si="2"/>
        <v>0</v>
      </c>
      <c r="N10" s="31">
        <f t="shared" si="3"/>
        <v>0</v>
      </c>
      <c r="O10" s="29">
        <f>+SUM(START:END!O10)</f>
        <v>0</v>
      </c>
      <c r="P10" s="28">
        <f t="shared" si="9"/>
        <v>0</v>
      </c>
      <c r="Q10" s="30">
        <f>+SUM(START:END!Q10)</f>
        <v>0</v>
      </c>
      <c r="R10" s="29">
        <f t="shared" si="4"/>
        <v>0</v>
      </c>
      <c r="S10" s="31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399999999999999" hidden="1" customHeight="1">
      <c r="A11" t="str">
        <f t="shared" si="1"/>
        <v>Véhicules neufs[...]</v>
      </c>
      <c r="B11" s="12" t="str">
        <f t="shared" si="0"/>
        <v>Véhicules neufs</v>
      </c>
      <c r="C11" s="27" t="s">
        <v>20</v>
      </c>
      <c r="D11" s="28">
        <f>+SUM(START:END!D11)</f>
        <v>0</v>
      </c>
      <c r="E11" s="28">
        <f t="shared" si="6"/>
        <v>0</v>
      </c>
      <c r="F11" s="28">
        <f>+SUM(START:END!F11)</f>
        <v>0</v>
      </c>
      <c r="G11" s="29">
        <f>+SUM(START:END!G11)</f>
        <v>0</v>
      </c>
      <c r="H11" s="28">
        <f t="shared" si="7"/>
        <v>0</v>
      </c>
      <c r="I11" s="28">
        <f>+SUM(START:END!I11)</f>
        <v>0</v>
      </c>
      <c r="J11" s="29">
        <f>+SUM(START:END!J11)</f>
        <v>0</v>
      </c>
      <c r="K11" s="28">
        <f t="shared" si="8"/>
        <v>0</v>
      </c>
      <c r="L11" s="30">
        <f>+SUM(START:END!L11)</f>
        <v>0</v>
      </c>
      <c r="M11" s="29">
        <f t="shared" si="2"/>
        <v>0</v>
      </c>
      <c r="N11" s="31">
        <f t="shared" si="3"/>
        <v>0</v>
      </c>
      <c r="O11" s="29">
        <f>+SUM(START:END!O11)</f>
        <v>0</v>
      </c>
      <c r="P11" s="28">
        <f t="shared" si="9"/>
        <v>0</v>
      </c>
      <c r="Q11" s="30">
        <f>+SUM(START:END!Q11)</f>
        <v>0</v>
      </c>
      <c r="R11" s="29">
        <f t="shared" si="4"/>
        <v>0</v>
      </c>
      <c r="S11" s="31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399999999999999" hidden="1" customHeight="1">
      <c r="A12" t="str">
        <f t="shared" si="1"/>
        <v>Véhicules neufs[...]</v>
      </c>
      <c r="B12" s="12" t="str">
        <f t="shared" si="0"/>
        <v>Véhicules neufs</v>
      </c>
      <c r="C12" s="27" t="s">
        <v>20</v>
      </c>
      <c r="D12" s="28">
        <f>+SUM(START:END!D12)</f>
        <v>0</v>
      </c>
      <c r="E12" s="28">
        <f t="shared" si="6"/>
        <v>0</v>
      </c>
      <c r="F12" s="28">
        <f>+SUM(START:END!F12)</f>
        <v>0</v>
      </c>
      <c r="G12" s="29">
        <f>+SUM(START:END!G12)</f>
        <v>0</v>
      </c>
      <c r="H12" s="28">
        <f t="shared" si="7"/>
        <v>0</v>
      </c>
      <c r="I12" s="28">
        <f>+SUM(START:END!I12)</f>
        <v>0</v>
      </c>
      <c r="J12" s="29">
        <f>+SUM(START:END!J12)</f>
        <v>0</v>
      </c>
      <c r="K12" s="28">
        <f t="shared" si="8"/>
        <v>0</v>
      </c>
      <c r="L12" s="30">
        <f>+SUM(START:END!L12)</f>
        <v>0</v>
      </c>
      <c r="M12" s="29">
        <f t="shared" si="2"/>
        <v>0</v>
      </c>
      <c r="N12" s="31">
        <f t="shared" si="3"/>
        <v>0</v>
      </c>
      <c r="O12" s="29">
        <f>+SUM(START:END!O12)</f>
        <v>0</v>
      </c>
      <c r="P12" s="28">
        <f t="shared" si="9"/>
        <v>0</v>
      </c>
      <c r="Q12" s="30">
        <f>+SUM(START:END!Q12)</f>
        <v>0</v>
      </c>
      <c r="R12" s="29">
        <f t="shared" si="4"/>
        <v>0</v>
      </c>
      <c r="S12" s="31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1">
      <c r="A13" t="str">
        <f t="shared" si="1"/>
        <v>Véhicules neufsTotal Neufs</v>
      </c>
      <c r="B13" s="12" t="str">
        <f t="shared" si="0"/>
        <v>Véhicules neufs</v>
      </c>
      <c r="C13" s="33" t="s">
        <v>21</v>
      </c>
      <c r="D13" s="34">
        <f>+SUM(D6:D12)</f>
        <v>98.677819428571439</v>
      </c>
      <c r="E13" s="34">
        <f>IF(D13&lt;=0,0,F13/D13)</f>
        <v>2442.7446195695657</v>
      </c>
      <c r="F13" s="35">
        <f>+SUM(F6:F12)</f>
        <v>241044.71248000002</v>
      </c>
      <c r="G13" s="36">
        <f>+SUM(G6:G12)</f>
        <v>0</v>
      </c>
      <c r="H13" s="34">
        <f>IF(G13&lt;=0,0,I13/G13)</f>
        <v>0</v>
      </c>
      <c r="I13" s="35">
        <f>+SUM(I6:I12)</f>
        <v>0</v>
      </c>
      <c r="J13" s="36">
        <f>+SUM(J6:J12)</f>
        <v>91</v>
      </c>
      <c r="K13" s="34">
        <f>IF(J13&lt;=0,0,L13/J13)</f>
        <v>2345.6587912087944</v>
      </c>
      <c r="L13" s="35">
        <f>+SUM(L6:L12)</f>
        <v>213454.95000000027</v>
      </c>
      <c r="M13" s="36">
        <f>+SUM(M6:M12)</f>
        <v>-7.6778194285714392</v>
      </c>
      <c r="N13" s="35">
        <f t="shared" ref="N13" si="10">+SUM(N6:N12)</f>
        <v>-27589.76247999975</v>
      </c>
      <c r="O13" s="36">
        <f>+SUM(O6:O12)</f>
        <v>102</v>
      </c>
      <c r="P13" s="34">
        <f>IF(O13&lt;=0,0,Q13/O13)</f>
        <v>3391.4427450980406</v>
      </c>
      <c r="Q13" s="35">
        <f>+SUM(Q6:Q12)</f>
        <v>345927.16000000015</v>
      </c>
      <c r="R13" s="36">
        <f t="shared" ref="R13:S13" si="11">+SUM(R6:R12)</f>
        <v>-11</v>
      </c>
      <c r="S13" s="35">
        <f t="shared" si="11"/>
        <v>-132472.20999999985</v>
      </c>
      <c r="T13" s="14"/>
      <c r="U13" s="14"/>
      <c r="V13" s="28"/>
      <c r="W13" s="28"/>
      <c r="X13" s="28"/>
      <c r="Y13" s="28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399999999999999">
      <c r="A14" t="str">
        <f t="shared" si="1"/>
        <v>Véhicules neufs</v>
      </c>
      <c r="B14" s="12" t="str">
        <f t="shared" si="0"/>
        <v>Véhicules neufs</v>
      </c>
      <c r="C14" s="27"/>
      <c r="D14" s="14"/>
      <c r="E14" s="28"/>
      <c r="F14" s="37"/>
      <c r="G14" s="38"/>
      <c r="H14" s="28"/>
      <c r="I14" s="37"/>
      <c r="J14" s="38"/>
      <c r="K14" s="28"/>
      <c r="L14" s="37"/>
      <c r="M14" s="414">
        <f>IF(D13=0,0,M13/D13)</f>
        <v>-7.7806942563511727E-2</v>
      </c>
      <c r="N14" s="415">
        <f>IF(F13=0,0,N13/F13)</f>
        <v>-0.11445910676131894</v>
      </c>
      <c r="O14" s="38"/>
      <c r="P14" s="28"/>
      <c r="Q14" s="37"/>
      <c r="R14" s="414">
        <f>R13/O13</f>
        <v>-0.10784313725490197</v>
      </c>
      <c r="S14" s="415">
        <f>IF(Q13=0,0,(S13/Q13))</f>
        <v>-0.38294827731942122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1">
      <c r="A15" t="str">
        <f t="shared" si="1"/>
        <v>Véhicules neufsEx-Démos et courtoisies</v>
      </c>
      <c r="B15" s="12" t="str">
        <f t="shared" si="0"/>
        <v>Véhicules neufs</v>
      </c>
      <c r="C15" s="42" t="s">
        <v>22</v>
      </c>
      <c r="D15" s="24">
        <f>+SUM(START:END!D15)</f>
        <v>4.7142857142857135</v>
      </c>
      <c r="E15" s="24">
        <f t="shared" ref="E15" si="12">IF(D15=0,0,F15/D15)</f>
        <v>2442.5491999999999</v>
      </c>
      <c r="F15" s="22">
        <f>+SUM(START:END!F15)</f>
        <v>11514.874799999998</v>
      </c>
      <c r="G15" s="43">
        <f>+SUM(START:END!G15)</f>
        <v>0</v>
      </c>
      <c r="H15" s="44">
        <f t="shared" ref="H15" si="13">IF(G15=0,0,I15/G15)</f>
        <v>0</v>
      </c>
      <c r="I15" s="45">
        <f>+SUM(START:END!I15)</f>
        <v>0</v>
      </c>
      <c r="J15" s="46">
        <f>+SUM(START:END!J15)</f>
        <v>5</v>
      </c>
      <c r="K15" s="47">
        <f>IF(J15=0,0,L15/J15)</f>
        <v>1105.4000000000028</v>
      </c>
      <c r="L15" s="47">
        <f>+SUM(START:END!L15)</f>
        <v>5527.0000000000146</v>
      </c>
      <c r="M15" s="48">
        <f>J15-D15</f>
        <v>0.28571428571428648</v>
      </c>
      <c r="N15" s="45">
        <f>L15-F15</f>
        <v>-5987.8747999999832</v>
      </c>
      <c r="O15" s="46">
        <f>+SUM(START:END!O15)</f>
        <v>7</v>
      </c>
      <c r="P15" s="47">
        <f>IF(O15=0,0,Q15/O15)</f>
        <v>2501.0342857142823</v>
      </c>
      <c r="Q15" s="47">
        <f>+SUM(START:END!Q15)</f>
        <v>17507.239999999976</v>
      </c>
      <c r="R15" s="48">
        <f>J15-O15</f>
        <v>-2</v>
      </c>
      <c r="S15" s="45">
        <f>L15-Q15</f>
        <v>-11980.239999999962</v>
      </c>
      <c r="T15" s="14"/>
      <c r="U15" s="14"/>
      <c r="V15" s="28"/>
      <c r="W15" s="28"/>
      <c r="X15" s="28"/>
      <c r="Y15" s="28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1">
      <c r="A16" t="str">
        <f t="shared" si="1"/>
        <v>Véhicules neufs</v>
      </c>
      <c r="B16" s="12" t="str">
        <f t="shared" si="0"/>
        <v>Véhicules neufs</v>
      </c>
      <c r="C16" s="27"/>
      <c r="D16" s="14"/>
      <c r="E16" s="28"/>
      <c r="F16" s="37"/>
      <c r="G16" s="38"/>
      <c r="H16" s="28"/>
      <c r="I16" s="37"/>
      <c r="J16" s="38"/>
      <c r="K16" s="28"/>
      <c r="L16" s="31"/>
      <c r="M16" s="39"/>
      <c r="N16" s="40"/>
      <c r="O16" s="38"/>
      <c r="P16" s="28"/>
      <c r="Q16" s="31"/>
      <c r="R16" s="39"/>
      <c r="S16" s="40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1">
      <c r="A17" t="str">
        <f t="shared" si="1"/>
        <v>Véhicules neufsFlottes</v>
      </c>
      <c r="B17" s="12" t="str">
        <f t="shared" si="0"/>
        <v>Véhicules neufs</v>
      </c>
      <c r="C17" s="50" t="s">
        <v>23</v>
      </c>
      <c r="D17" s="28">
        <f>+SUM(START:END!D17)</f>
        <v>3.7714285714285714</v>
      </c>
      <c r="E17" s="28">
        <f t="shared" ref="E17" si="14">IF(D17=0,0,F17/D17)</f>
        <v>2442.5491999999995</v>
      </c>
      <c r="F17" s="28">
        <f>+SUM(START:END!F17)</f>
        <v>9211.8998399999982</v>
      </c>
      <c r="G17" s="29">
        <f>+SUM(START:END!G17)</f>
        <v>0</v>
      </c>
      <c r="H17" s="28">
        <f t="shared" ref="H17" si="15">IF(G17=0,0,I17/G17)</f>
        <v>0</v>
      </c>
      <c r="I17" s="28">
        <f>+SUM(START:END!I17)</f>
        <v>0</v>
      </c>
      <c r="J17" s="48">
        <f>+SUM(START:END!J17)</f>
        <v>3</v>
      </c>
      <c r="K17" s="28">
        <f>IF(J17=0,0,L17/J17)</f>
        <v>3401.6466666666674</v>
      </c>
      <c r="L17" s="31">
        <f>+SUM(START:END!L17)</f>
        <v>10204.940000000002</v>
      </c>
      <c r="M17" s="48">
        <f>J17-D17</f>
        <v>-0.77142857142857135</v>
      </c>
      <c r="N17" s="31">
        <f>L17-F17</f>
        <v>993.04016000000411</v>
      </c>
      <c r="O17" s="48">
        <f>+SUM(START:END!O17)</f>
        <v>2</v>
      </c>
      <c r="P17" s="28">
        <f>IF(O17=0,0,Q17/O17)</f>
        <v>4190.7999999999956</v>
      </c>
      <c r="Q17" s="31">
        <f>+SUM(START:END!Q17)</f>
        <v>8381.5999999999913</v>
      </c>
      <c r="R17" s="29">
        <f>J17-O17</f>
        <v>1</v>
      </c>
      <c r="S17" s="31">
        <f>L17-Q17</f>
        <v>1823.3400000000111</v>
      </c>
      <c r="T17" s="14"/>
      <c r="U17" s="14"/>
      <c r="V17" s="28"/>
      <c r="W17" s="28"/>
      <c r="X17" s="28"/>
      <c r="Y17" s="28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1">
      <c r="A18" t="str">
        <f t="shared" si="1"/>
        <v>Véhicules neufs</v>
      </c>
      <c r="B18" s="12" t="str">
        <f t="shared" si="0"/>
        <v>Véhicules neufs</v>
      </c>
      <c r="C18" s="33"/>
      <c r="D18" s="51"/>
      <c r="E18" s="51"/>
      <c r="F18" s="52"/>
      <c r="G18" s="53"/>
      <c r="H18" s="51"/>
      <c r="I18" s="52"/>
      <c r="J18" s="29"/>
      <c r="K18" s="51"/>
      <c r="L18" s="52"/>
      <c r="M18" s="29"/>
      <c r="N18" s="52"/>
      <c r="O18" s="29"/>
      <c r="P18" s="51"/>
      <c r="Q18" s="52"/>
      <c r="R18" s="53"/>
      <c r="S18" s="52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1">
      <c r="A19" t="str">
        <f t="shared" si="1"/>
        <v>Véhicules neufsRachat bail</v>
      </c>
      <c r="B19" s="12" t="str">
        <f t="shared" si="0"/>
        <v>Véhicules neufs</v>
      </c>
      <c r="C19" s="42" t="s">
        <v>24</v>
      </c>
      <c r="D19" s="28"/>
      <c r="E19" s="28"/>
      <c r="F19" s="28">
        <f>+SUM(START:END!F19)</f>
        <v>21120</v>
      </c>
      <c r="G19" s="29"/>
      <c r="H19" s="28"/>
      <c r="I19" s="28">
        <f>+SUM(START:END!I19)</f>
        <v>0</v>
      </c>
      <c r="J19" s="43"/>
      <c r="K19" s="28"/>
      <c r="L19" s="31">
        <f>+SUM(START:END!L19)</f>
        <v>22871.75</v>
      </c>
      <c r="M19" s="29"/>
      <c r="N19" s="31">
        <f>L19-F19</f>
        <v>1751.75</v>
      </c>
      <c r="O19" s="43"/>
      <c r="P19" s="28"/>
      <c r="Q19" s="31">
        <f>+SUM(START:END!Q19)</f>
        <v>27119.429999999993</v>
      </c>
      <c r="R19" s="29">
        <f>O19-K19</f>
        <v>0</v>
      </c>
      <c r="S19" s="31">
        <f>L19-Q19</f>
        <v>-4247.679999999993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1">
      <c r="A20" t="str">
        <f t="shared" si="1"/>
        <v>Véhicules neufs</v>
      </c>
      <c r="B20" s="12" t="str">
        <f t="shared" si="0"/>
        <v>Véhicules neufs</v>
      </c>
      <c r="C20" s="33"/>
      <c r="D20" s="51"/>
      <c r="E20" s="51"/>
      <c r="F20" s="52"/>
      <c r="G20" s="53"/>
      <c r="H20" s="51"/>
      <c r="I20" s="52"/>
      <c r="J20" s="29"/>
      <c r="K20" s="51"/>
      <c r="L20" s="52"/>
      <c r="M20" s="53"/>
      <c r="N20" s="52"/>
      <c r="O20" s="29"/>
      <c r="P20" s="51"/>
      <c r="Q20" s="52"/>
      <c r="R20" s="53"/>
      <c r="S20" s="52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27" t="s">
        <v>25</v>
      </c>
      <c r="D21" s="28">
        <v>0</v>
      </c>
      <c r="E21" s="28">
        <f t="shared" ref="E21:E23" si="16">IF(D21=0,0,F21/D21)</f>
        <v>0</v>
      </c>
      <c r="F21" s="28">
        <f>+SUM(START:END!F21)</f>
        <v>17783.44208457143</v>
      </c>
      <c r="G21" s="38">
        <v>0</v>
      </c>
      <c r="H21" s="28">
        <f t="shared" ref="H21:H23" si="17">IF(G21=0,0,I21/G21)</f>
        <v>0</v>
      </c>
      <c r="I21" s="28">
        <f>+SUM(START:END!I21)</f>
        <v>0</v>
      </c>
      <c r="J21" s="29"/>
      <c r="K21" s="28">
        <f>IF(J13=0,0,L21/(J13+J15))</f>
        <v>153.78583333333333</v>
      </c>
      <c r="L21" s="31">
        <f>+SUM(START:END!L21)</f>
        <v>14763.439999999999</v>
      </c>
      <c r="M21" s="29"/>
      <c r="N21" s="31">
        <f>L21-F21</f>
        <v>-3020.0020845714316</v>
      </c>
      <c r="O21" s="29"/>
      <c r="P21" s="28">
        <f>IF(O13=0,0,Q21/(O13+O15))</f>
        <v>218.88321100917432</v>
      </c>
      <c r="Q21" s="31">
        <f>+SUM(START:END!Q21)</f>
        <v>23858.27</v>
      </c>
      <c r="R21" s="29">
        <f t="shared" ref="R21:R23" si="18">O21-K21</f>
        <v>-153.78583333333333</v>
      </c>
      <c r="S21" s="31">
        <f t="shared" ref="S21:S24" si="19">L21-Q21</f>
        <v>-9094.8300000000017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1"/>
        <v>Véhicules neufsRev. Protections</v>
      </c>
      <c r="B22" s="12" t="str">
        <f t="shared" si="0"/>
        <v>Véhicules neufs</v>
      </c>
      <c r="C22" s="27" t="s">
        <v>26</v>
      </c>
      <c r="D22" s="28">
        <v>0</v>
      </c>
      <c r="E22" s="28">
        <f t="shared" si="16"/>
        <v>0</v>
      </c>
      <c r="F22" s="28">
        <f>+SUM(START:END!F22)</f>
        <v>97808.931465142872</v>
      </c>
      <c r="G22" s="38">
        <v>0</v>
      </c>
      <c r="H22" s="28">
        <f t="shared" si="17"/>
        <v>0</v>
      </c>
      <c r="I22" s="28">
        <f>+SUM(START:END!I22)</f>
        <v>0</v>
      </c>
      <c r="J22" s="29"/>
      <c r="K22" s="28">
        <f>IF(J13=0,0,L22/(J13+J15))</f>
        <v>966.72666666666657</v>
      </c>
      <c r="L22" s="31">
        <f>+SUM(START:END!L22)</f>
        <v>92805.759999999995</v>
      </c>
      <c r="M22" s="29"/>
      <c r="N22" s="31">
        <f>L22-F22</f>
        <v>-5003.1714651428774</v>
      </c>
      <c r="O22" s="29"/>
      <c r="P22" s="28">
        <f>IF(O13=0,0,Q22/(O13+O15))</f>
        <v>994.12339449541298</v>
      </c>
      <c r="Q22" s="31">
        <f>+SUM(START:END!Q22)</f>
        <v>108359.45000000001</v>
      </c>
      <c r="R22" s="29">
        <f t="shared" si="18"/>
        <v>-966.72666666666657</v>
      </c>
      <c r="S22" s="31">
        <f t="shared" si="19"/>
        <v>-15553.690000000017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1"/>
        <v>Véhicules neufsRev. Autres</v>
      </c>
      <c r="B23" s="12" t="str">
        <f t="shared" si="0"/>
        <v>Véhicules neufs</v>
      </c>
      <c r="C23" s="27" t="s">
        <v>27</v>
      </c>
      <c r="D23" s="28">
        <v>0</v>
      </c>
      <c r="E23" s="28">
        <f t="shared" si="16"/>
        <v>0</v>
      </c>
      <c r="F23" s="28">
        <f>+SUM(START:END!F23)</f>
        <v>2998.3710491428574</v>
      </c>
      <c r="G23" s="38">
        <v>0</v>
      </c>
      <c r="H23" s="28">
        <f t="shared" si="17"/>
        <v>0</v>
      </c>
      <c r="I23" s="28">
        <f>+SUM(START:END!I23)</f>
        <v>0</v>
      </c>
      <c r="J23" s="29"/>
      <c r="K23" s="28">
        <f>IF(J13=0,0,L23/(J13+J15))</f>
        <v>0</v>
      </c>
      <c r="L23" s="31">
        <f>+SUM(START:END!L23)</f>
        <v>0</v>
      </c>
      <c r="M23" s="48"/>
      <c r="N23" s="31">
        <f>L23-F23</f>
        <v>-2998.3710491428574</v>
      </c>
      <c r="O23" s="29"/>
      <c r="P23" s="28">
        <f>IF(O13=0,0,Q23/(O13+O15))</f>
        <v>20.206788990825689</v>
      </c>
      <c r="Q23" s="31">
        <f>+SUM(START:END!Q23)</f>
        <v>2202.54</v>
      </c>
      <c r="R23" s="29">
        <f t="shared" si="18"/>
        <v>0</v>
      </c>
      <c r="S23" s="31">
        <f t="shared" si="19"/>
        <v>-2202.54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1"/>
        <v>Véhicules neufsTotal F&amp;I</v>
      </c>
      <c r="B24" s="12" t="str">
        <f t="shared" si="0"/>
        <v>Véhicules neufs</v>
      </c>
      <c r="C24" s="33" t="s">
        <v>28</v>
      </c>
      <c r="D24" s="34">
        <f>+D15+D13</f>
        <v>103.39210514285715</v>
      </c>
      <c r="E24" s="34">
        <f>IF(D24&lt;=0,0,F24/D24)</f>
        <v>1147</v>
      </c>
      <c r="F24" s="35">
        <f>F21+F22+F23</f>
        <v>118590.74459885716</v>
      </c>
      <c r="G24" s="36">
        <f>+G15+G13</f>
        <v>0</v>
      </c>
      <c r="H24" s="34">
        <f>IF(G24&lt;=0,0,I24/G24)</f>
        <v>0</v>
      </c>
      <c r="I24" s="35">
        <f>I21+I22+I23</f>
        <v>0</v>
      </c>
      <c r="J24" s="36">
        <f>+J15+J13</f>
        <v>96</v>
      </c>
      <c r="K24" s="34">
        <f>IF(J24&lt;=0,0,L24/J24)</f>
        <v>1120.5125</v>
      </c>
      <c r="L24" s="35">
        <f>L21+L22+L23</f>
        <v>107569.2</v>
      </c>
      <c r="M24" s="54">
        <f>J24-D24</f>
        <v>-7.3921051428571474</v>
      </c>
      <c r="N24" s="35">
        <f>L24-F24</f>
        <v>-11021.544598857159</v>
      </c>
      <c r="O24" s="36">
        <f>+O15+O13</f>
        <v>109</v>
      </c>
      <c r="P24" s="34">
        <f>IF(O24&lt;=0,0,Q24/O24)</f>
        <v>1233.213394495413</v>
      </c>
      <c r="Q24" s="35">
        <f>Q21+Q22+Q23</f>
        <v>134420.26</v>
      </c>
      <c r="R24" s="53"/>
      <c r="S24" s="35">
        <f t="shared" si="19"/>
        <v>-26851.060000000012</v>
      </c>
      <c r="T24" s="14"/>
      <c r="U24" s="14"/>
      <c r="V24" s="28"/>
      <c r="W24" s="28"/>
      <c r="X24" s="28"/>
      <c r="Y24" s="28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27"/>
      <c r="D25" s="14"/>
      <c r="E25" s="14"/>
      <c r="F25" s="55"/>
      <c r="G25" s="38"/>
      <c r="H25" s="14"/>
      <c r="I25" s="55"/>
      <c r="J25" s="38"/>
      <c r="K25" s="14"/>
      <c r="L25" s="55"/>
      <c r="M25" s="39"/>
      <c r="N25" s="40">
        <f>IF(N24=0,0,N24/F24)</f>
        <v>-9.2937645649653608E-2</v>
      </c>
      <c r="O25" s="38"/>
      <c r="P25" s="14"/>
      <c r="Q25" s="55"/>
      <c r="R25" s="56"/>
      <c r="S25" s="40">
        <f>IF(Q24=0,0,(S24/Q24))</f>
        <v>-0.19975456080802112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27"/>
      <c r="D26" s="14"/>
      <c r="E26" s="14"/>
      <c r="F26" s="37"/>
      <c r="G26" s="38"/>
      <c r="H26" s="14"/>
      <c r="I26" s="37"/>
      <c r="J26" s="38"/>
      <c r="K26" s="14"/>
      <c r="L26" s="37"/>
      <c r="M26" s="38"/>
      <c r="N26" s="37"/>
      <c r="O26" s="38"/>
      <c r="P26" s="14"/>
      <c r="Q26" s="37"/>
      <c r="R26" s="38"/>
      <c r="S26" s="37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58" t="s">
        <v>29</v>
      </c>
      <c r="D27" s="59">
        <f>+D13+D15+D17</f>
        <v>107.16353371428572</v>
      </c>
      <c r="E27" s="60">
        <f>IF(D27&lt;=0,0,F27/D27)</f>
        <v>3746.4445021873753</v>
      </c>
      <c r="F27" s="61">
        <f>F13+F17+F24+F19+F15</f>
        <v>401482.23171885719</v>
      </c>
      <c r="G27" s="62">
        <f>+G13+G15+G17</f>
        <v>0</v>
      </c>
      <c r="H27" s="63">
        <f>IF(G27&lt;=0,0,I27/G27)</f>
        <v>0</v>
      </c>
      <c r="I27" s="61">
        <f>I13+I17+I24+I19+I15</f>
        <v>0</v>
      </c>
      <c r="J27" s="62">
        <f>+J13+J15+J17</f>
        <v>99</v>
      </c>
      <c r="K27" s="63">
        <f>IF(J27&lt;=0,0,L27/J27)</f>
        <v>3632.6044444444469</v>
      </c>
      <c r="L27" s="61">
        <f>L13+L17+L24+L19+L15</f>
        <v>359627.84000000026</v>
      </c>
      <c r="M27" s="62">
        <f>J27-D27</f>
        <v>-8.1635337142857196</v>
      </c>
      <c r="N27" s="61">
        <f>L27-F27</f>
        <v>-41854.391718856932</v>
      </c>
      <c r="O27" s="62">
        <f>+O13+O15+O17</f>
        <v>111</v>
      </c>
      <c r="P27" s="63">
        <f>IF(O27&lt;=0,0,Q27/O27)</f>
        <v>4805.0062162162167</v>
      </c>
      <c r="Q27" s="61">
        <f>Q13+Q17+Q24+Q19+Q15</f>
        <v>533355.69000000006</v>
      </c>
      <c r="R27" s="62">
        <f>J27-O27</f>
        <v>-12</v>
      </c>
      <c r="S27" s="61">
        <f>L27-Q27</f>
        <v>-173727.8499999998</v>
      </c>
      <c r="T27" s="14"/>
      <c r="U27" s="14"/>
      <c r="V27" s="28"/>
      <c r="W27" s="28"/>
      <c r="X27" s="28"/>
      <c r="Y27" s="28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64"/>
      <c r="D28" s="65"/>
      <c r="E28" s="65"/>
      <c r="F28" s="66"/>
      <c r="G28" s="67"/>
      <c r="H28" s="65"/>
      <c r="I28" s="66"/>
      <c r="J28" s="67"/>
      <c r="K28" s="65"/>
      <c r="L28" s="66"/>
      <c r="M28" s="68">
        <f>M27/D27</f>
        <v>-7.6178280347220934E-2</v>
      </c>
      <c r="N28" s="69">
        <f>N27/F27</f>
        <v>-0.10424967386393821</v>
      </c>
      <c r="O28" s="67"/>
      <c r="P28" s="65"/>
      <c r="Q28" s="66"/>
      <c r="R28" s="68">
        <f>R27/O27</f>
        <v>-0.10810810810810811</v>
      </c>
      <c r="S28" s="69">
        <f>IF(Q27=0,0,S27/Q27)</f>
        <v>-0.32572606472052407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0"/>
      <c r="D29" s="71"/>
      <c r="E29" s="71"/>
      <c r="F29" s="72"/>
      <c r="G29" s="73"/>
      <c r="H29" s="71"/>
      <c r="I29" s="72"/>
      <c r="J29" s="73"/>
      <c r="K29" s="71"/>
      <c r="L29" s="72"/>
      <c r="M29" s="39"/>
      <c r="N29" s="40"/>
      <c r="O29" s="73"/>
      <c r="P29" s="71"/>
      <c r="Q29" s="72"/>
      <c r="R29" s="39"/>
      <c r="S29" s="40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74" t="s">
        <v>30</v>
      </c>
      <c r="D30" s="14"/>
      <c r="E30" s="75"/>
      <c r="F30" s="55"/>
      <c r="G30" s="38"/>
      <c r="H30" s="75"/>
      <c r="I30" s="55"/>
      <c r="J30" s="38"/>
      <c r="K30" s="75"/>
      <c r="L30" s="37"/>
      <c r="M30" s="38"/>
      <c r="N30" s="37"/>
      <c r="O30" s="38"/>
      <c r="P30" s="75"/>
      <c r="Q30" s="37"/>
      <c r="R30" s="38"/>
      <c r="S30" s="37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27" t="s">
        <v>31</v>
      </c>
      <c r="D31" s="76"/>
      <c r="E31" s="77">
        <f t="shared" ref="E31:E40" si="20">F31/D$24</f>
        <v>776.22220668973534</v>
      </c>
      <c r="F31" s="28">
        <f>+SUM(START:END!F31)</f>
        <v>80255.248008285707</v>
      </c>
      <c r="G31" s="78"/>
      <c r="H31" s="77" t="e">
        <f t="shared" ref="H31:H40" si="21">I31/G$24</f>
        <v>#DIV/0!</v>
      </c>
      <c r="I31" s="28">
        <f>+SUM(START:END!I31)</f>
        <v>0</v>
      </c>
      <c r="J31" s="79">
        <f>L31/L13</f>
        <v>0.35962595386052143</v>
      </c>
      <c r="K31" s="77">
        <f t="shared" ref="K31:K40" si="22">IF(L31=0,0,L31/J$24)</f>
        <v>799.62437499999999</v>
      </c>
      <c r="L31" s="28">
        <f>+SUM(START:END!L31)</f>
        <v>76763.94</v>
      </c>
      <c r="M31" s="38"/>
      <c r="N31" s="55">
        <f t="shared" ref="N31:N53" si="23">L31-F31</f>
        <v>-3491.308008285705</v>
      </c>
      <c r="O31" s="38"/>
      <c r="P31" s="77">
        <f t="shared" ref="P31:P40" si="24">IF(Q31=0,0,Q31/O$24)</f>
        <v>1010.7386238532109</v>
      </c>
      <c r="Q31" s="31">
        <f>+SUM(START:END!Q31)</f>
        <v>110170.51</v>
      </c>
      <c r="R31" s="38"/>
      <c r="S31" s="55">
        <f t="shared" ref="S31:S53" si="25">L31-Q31</f>
        <v>-33406.569999999992</v>
      </c>
      <c r="T31" s="14"/>
      <c r="U31" s="14"/>
      <c r="V31" s="81"/>
      <c r="W31" s="81"/>
      <c r="X31" s="81"/>
      <c r="Y31" s="81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2" t="s">
        <v>32</v>
      </c>
      <c r="D32" s="83"/>
      <c r="E32" s="84">
        <f t="shared" si="20"/>
        <v>344.1</v>
      </c>
      <c r="F32" s="22">
        <f>+SUM(START:END!F32)</f>
        <v>35577.223379657145</v>
      </c>
      <c r="G32" s="85"/>
      <c r="H32" s="86" t="e">
        <f t="shared" si="21"/>
        <v>#DIV/0!</v>
      </c>
      <c r="I32" s="22">
        <f>+SUM(START:END!I32)</f>
        <v>0</v>
      </c>
      <c r="J32" s="87">
        <f>L32/L24</f>
        <v>0.30041880017700234</v>
      </c>
      <c r="K32" s="84">
        <f t="shared" si="22"/>
        <v>336.62302083333333</v>
      </c>
      <c r="L32" s="22">
        <f>+SUM(START:END!L32)</f>
        <v>32315.81</v>
      </c>
      <c r="M32" s="23"/>
      <c r="N32" s="88">
        <f t="shared" si="23"/>
        <v>-3261.4133796571441</v>
      </c>
      <c r="O32" s="23"/>
      <c r="P32" s="84">
        <f t="shared" si="24"/>
        <v>410.26229357798161</v>
      </c>
      <c r="Q32" s="22">
        <f>+SUM(START:END!Q32)</f>
        <v>44718.59</v>
      </c>
      <c r="R32" s="23"/>
      <c r="S32" s="88">
        <f t="shared" si="25"/>
        <v>-12402.779999999995</v>
      </c>
      <c r="T32" s="14"/>
      <c r="U32" s="14"/>
      <c r="V32" s="81"/>
      <c r="W32" s="81"/>
      <c r="X32" s="81"/>
      <c r="Y32" s="81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27" t="s">
        <v>33</v>
      </c>
      <c r="D33" s="76"/>
      <c r="E33" s="77">
        <f t="shared" si="20"/>
        <v>113.25897667238421</v>
      </c>
      <c r="F33" s="28">
        <f>+SUM(START:END!F33)</f>
        <v>11710.084024483553</v>
      </c>
      <c r="G33" s="78"/>
      <c r="H33" s="77" t="e">
        <f t="shared" si="21"/>
        <v>#DIV/0!</v>
      </c>
      <c r="I33" s="28">
        <f>+SUM(START:END!I33)</f>
        <v>0</v>
      </c>
      <c r="J33" s="38"/>
      <c r="K33" s="77">
        <f t="shared" si="22"/>
        <v>126.7621875</v>
      </c>
      <c r="L33" s="28">
        <f>+SUM(START:END!L33)</f>
        <v>12169.17</v>
      </c>
      <c r="M33" s="38"/>
      <c r="N33" s="55">
        <f t="shared" si="23"/>
        <v>459.08597551644743</v>
      </c>
      <c r="O33" s="38"/>
      <c r="P33" s="77">
        <f t="shared" si="24"/>
        <v>113.87449541284403</v>
      </c>
      <c r="Q33" s="31">
        <f>+SUM(START:END!Q33)</f>
        <v>12412.32</v>
      </c>
      <c r="R33" s="38"/>
      <c r="S33" s="55">
        <f t="shared" si="25"/>
        <v>-243.14999999999964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27" t="s">
        <v>34</v>
      </c>
      <c r="D34" s="76"/>
      <c r="E34" s="77">
        <f t="shared" si="20"/>
        <v>5.1177856446126118</v>
      </c>
      <c r="F34" s="28">
        <f>+SUM(START:END!F34)</f>
        <v>529.1386314663921</v>
      </c>
      <c r="G34" s="78"/>
      <c r="H34" s="77" t="e">
        <f t="shared" si="21"/>
        <v>#DIV/0!</v>
      </c>
      <c r="I34" s="28">
        <f>+SUM(START:END!I34)</f>
        <v>0</v>
      </c>
      <c r="J34" s="38"/>
      <c r="K34" s="77">
        <f t="shared" si="22"/>
        <v>0.41666666666666669</v>
      </c>
      <c r="L34" s="28">
        <f>+SUM(START:END!L34)</f>
        <v>40</v>
      </c>
      <c r="M34" s="38"/>
      <c r="N34" s="55">
        <f t="shared" si="23"/>
        <v>-489.1386314663921</v>
      </c>
      <c r="O34" s="38"/>
      <c r="P34" s="77">
        <f t="shared" si="24"/>
        <v>7.0702752293577982</v>
      </c>
      <c r="Q34" s="31">
        <f>+SUM(START:END!Q34)</f>
        <v>770.66</v>
      </c>
      <c r="R34" s="38"/>
      <c r="S34" s="55">
        <f t="shared" si="25"/>
        <v>-730.66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2" t="s">
        <v>35</v>
      </c>
      <c r="D35" s="83"/>
      <c r="E35" s="84">
        <f t="shared" si="20"/>
        <v>105.01044339622641</v>
      </c>
      <c r="F35" s="22">
        <f>+SUM(START:END!F35)</f>
        <v>10857.25080472069</v>
      </c>
      <c r="G35" s="85"/>
      <c r="H35" s="86" t="e">
        <f t="shared" si="21"/>
        <v>#DIV/0!</v>
      </c>
      <c r="I35" s="22">
        <f>+SUM(START:END!I35)</f>
        <v>0</v>
      </c>
      <c r="J35" s="23"/>
      <c r="K35" s="84">
        <f t="shared" si="22"/>
        <v>89.656562499999993</v>
      </c>
      <c r="L35" s="22">
        <f>+SUM(START:END!L35)</f>
        <v>8607.0299999999988</v>
      </c>
      <c r="M35" s="23"/>
      <c r="N35" s="88">
        <f t="shared" si="23"/>
        <v>-2250.2208047206914</v>
      </c>
      <c r="O35" s="23"/>
      <c r="P35" s="84">
        <f t="shared" si="24"/>
        <v>119.64137614678899</v>
      </c>
      <c r="Q35" s="31">
        <f>+SUM(START:END!Q35)</f>
        <v>13040.91</v>
      </c>
      <c r="R35" s="23"/>
      <c r="S35" s="88">
        <f t="shared" si="25"/>
        <v>-4433.880000000001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27" t="s">
        <v>36</v>
      </c>
      <c r="D36" s="76"/>
      <c r="E36" s="77">
        <f t="shared" si="20"/>
        <v>300.75552273170513</v>
      </c>
      <c r="F36" s="28">
        <f>+SUM(START:END!F36)</f>
        <v>31095.746628571418</v>
      </c>
      <c r="G36" s="78"/>
      <c r="H36" s="77" t="e">
        <f t="shared" si="21"/>
        <v>#DIV/0!</v>
      </c>
      <c r="I36" s="28">
        <f>+SUM(START:END!I36)</f>
        <v>0</v>
      </c>
      <c r="J36" s="38"/>
      <c r="K36" s="77">
        <f t="shared" si="22"/>
        <v>135.52729166666666</v>
      </c>
      <c r="L36" s="374">
        <f>+SUM(START:END!L36)</f>
        <v>13010.619999999999</v>
      </c>
      <c r="M36" s="14"/>
      <c r="N36" s="55">
        <f t="shared" si="23"/>
        <v>-18085.126628571419</v>
      </c>
      <c r="O36" s="38"/>
      <c r="P36" s="77">
        <f t="shared" si="24"/>
        <v>168.27871559633024</v>
      </c>
      <c r="Q36" s="52">
        <f>+SUM(START:END!Q36)</f>
        <v>18342.379999999997</v>
      </c>
      <c r="R36" s="38"/>
      <c r="S36" s="55">
        <f t="shared" si="25"/>
        <v>-5331.7599999999984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27" t="s">
        <v>37</v>
      </c>
      <c r="D37" s="76"/>
      <c r="E37" s="77">
        <f t="shared" si="20"/>
        <v>48.257416170039534</v>
      </c>
      <c r="F37" s="28">
        <f>+SUM(START:END!F37)</f>
        <v>4989.4358465753421</v>
      </c>
      <c r="G37" s="78"/>
      <c r="H37" s="77" t="e">
        <f t="shared" si="21"/>
        <v>#DIV/0!</v>
      </c>
      <c r="I37" s="28">
        <f>+SUM(START:END!I37)</f>
        <v>0</v>
      </c>
      <c r="J37" s="38"/>
      <c r="K37" s="77">
        <f t="shared" si="22"/>
        <v>86.082916666666677</v>
      </c>
      <c r="L37" s="32">
        <f>+SUM(START:END!L37)</f>
        <v>8263.9600000000009</v>
      </c>
      <c r="M37" s="14"/>
      <c r="N37" s="55">
        <f t="shared" si="23"/>
        <v>3274.5241534246588</v>
      </c>
      <c r="O37" s="38"/>
      <c r="P37" s="77">
        <f t="shared" si="24"/>
        <v>12.485412844036697</v>
      </c>
      <c r="Q37" s="31">
        <f>+SUM(START:END!Q37)</f>
        <v>1360.9099999999999</v>
      </c>
      <c r="R37" s="38"/>
      <c r="S37" s="55">
        <f t="shared" si="25"/>
        <v>6903.0500000000011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27" t="s">
        <v>20</v>
      </c>
      <c r="D38" s="76"/>
      <c r="E38" s="77">
        <f t="shared" si="20"/>
        <v>0</v>
      </c>
      <c r="F38" s="28">
        <f>+SUM(START:END!F38)</f>
        <v>0</v>
      </c>
      <c r="G38" s="78"/>
      <c r="H38" s="77" t="e">
        <f t="shared" si="21"/>
        <v>#DIV/0!</v>
      </c>
      <c r="I38" s="28">
        <f>+SUM(START:END!I38)</f>
        <v>0</v>
      </c>
      <c r="J38" s="38"/>
      <c r="K38" s="77">
        <f t="shared" si="22"/>
        <v>0</v>
      </c>
      <c r="L38" s="32">
        <f>+SUM(START:END!L38)</f>
        <v>0</v>
      </c>
      <c r="M38" s="14"/>
      <c r="N38" s="55">
        <f t="shared" si="23"/>
        <v>0</v>
      </c>
      <c r="O38" s="38"/>
      <c r="P38" s="77">
        <f t="shared" si="24"/>
        <v>0</v>
      </c>
      <c r="Q38" s="31">
        <f>+SUM(START:END!Q38)</f>
        <v>0</v>
      </c>
      <c r="R38" s="38"/>
      <c r="S38" s="55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27" t="s">
        <v>20</v>
      </c>
      <c r="D39" s="76"/>
      <c r="E39" s="77">
        <f t="shared" si="20"/>
        <v>0</v>
      </c>
      <c r="F39" s="28">
        <f>+SUM(START:END!F39)</f>
        <v>0</v>
      </c>
      <c r="G39" s="78"/>
      <c r="H39" s="77" t="e">
        <f t="shared" si="21"/>
        <v>#DIV/0!</v>
      </c>
      <c r="I39" s="28">
        <f>+SUM(START:END!I39)</f>
        <v>0</v>
      </c>
      <c r="J39" s="38"/>
      <c r="K39" s="77">
        <f t="shared" si="22"/>
        <v>0</v>
      </c>
      <c r="L39" s="32">
        <f>+SUM(START:END!L39)</f>
        <v>0</v>
      </c>
      <c r="M39" s="14"/>
      <c r="N39" s="55">
        <f t="shared" si="23"/>
        <v>0</v>
      </c>
      <c r="O39" s="38"/>
      <c r="P39" s="77">
        <f t="shared" si="24"/>
        <v>0</v>
      </c>
      <c r="Q39" s="31">
        <f>+SUM(START:END!Q39)</f>
        <v>0</v>
      </c>
      <c r="R39" s="38"/>
      <c r="S39" s="55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27" t="s">
        <v>20</v>
      </c>
      <c r="D40" s="76"/>
      <c r="E40" s="77">
        <f t="shared" si="20"/>
        <v>0</v>
      </c>
      <c r="F40" s="28">
        <f>+SUM(START:END!F40)</f>
        <v>0</v>
      </c>
      <c r="G40" s="78"/>
      <c r="H40" s="77" t="e">
        <f t="shared" si="21"/>
        <v>#DIV/0!</v>
      </c>
      <c r="I40" s="28">
        <f>+SUM(START:END!I40)</f>
        <v>0</v>
      </c>
      <c r="J40" s="38"/>
      <c r="K40" s="77">
        <f t="shared" si="22"/>
        <v>0</v>
      </c>
      <c r="L40" s="49">
        <f>+SUM(START:END!L40)</f>
        <v>0</v>
      </c>
      <c r="M40" s="14"/>
      <c r="N40" s="55">
        <f t="shared" si="23"/>
        <v>0</v>
      </c>
      <c r="O40" s="38"/>
      <c r="P40" s="77">
        <f t="shared" si="24"/>
        <v>0</v>
      </c>
      <c r="Q40" s="31">
        <f>+SUM(START:END!Q40)</f>
        <v>0</v>
      </c>
      <c r="R40" s="38"/>
      <c r="S40" s="55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0" t="s">
        <v>38</v>
      </c>
      <c r="D41" s="91" t="s">
        <v>39</v>
      </c>
      <c r="E41" s="92">
        <f>F41/F$27</f>
        <v>0.43591998224797157</v>
      </c>
      <c r="F41" s="93">
        <f>SUM(F31:F40)</f>
        <v>175014.12732376024</v>
      </c>
      <c r="G41" s="94" t="s">
        <v>39</v>
      </c>
      <c r="H41" s="92" t="e">
        <f>I41/I$27</f>
        <v>#DIV/0!</v>
      </c>
      <c r="I41" s="93">
        <f>SUM(I31:I40)</f>
        <v>0</v>
      </c>
      <c r="J41" s="94" t="s">
        <v>39</v>
      </c>
      <c r="K41" s="92">
        <f>L41/L$27</f>
        <v>0.42035269015880389</v>
      </c>
      <c r="L41" s="93">
        <f>SUM(L31:L40)</f>
        <v>151170.53</v>
      </c>
      <c r="M41" s="95"/>
      <c r="N41" s="93">
        <f t="shared" si="23"/>
        <v>-23843.597323760245</v>
      </c>
      <c r="O41" s="94" t="s">
        <v>39</v>
      </c>
      <c r="P41" s="92">
        <f>Q41/Q$27</f>
        <v>0.37651474197265988</v>
      </c>
      <c r="Q41" s="96">
        <f>SUM(Q31:Q40)</f>
        <v>200816.28</v>
      </c>
      <c r="R41" s="97"/>
      <c r="S41" s="93">
        <f t="shared" si="25"/>
        <v>-49645.75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99" t="s">
        <v>41</v>
      </c>
      <c r="D42" s="14"/>
      <c r="E42" s="14"/>
      <c r="F42" s="28">
        <f>+SUM(START:END!F42)</f>
        <v>34584.993103448272</v>
      </c>
      <c r="G42" s="38" t="e">
        <f>I41/(I27+I83)</f>
        <v>#DIV/0!</v>
      </c>
      <c r="H42" s="14"/>
      <c r="I42" s="28">
        <f>+SUM(START:END!I42)</f>
        <v>0</v>
      </c>
      <c r="J42" s="38"/>
      <c r="K42" s="14"/>
      <c r="L42" s="31">
        <f>+SUM(START:END!L42)</f>
        <v>31618.43</v>
      </c>
      <c r="M42" s="38"/>
      <c r="N42" s="55">
        <f t="shared" si="23"/>
        <v>-2966.5631034482722</v>
      </c>
      <c r="O42" s="38"/>
      <c r="P42" s="14"/>
      <c r="Q42" s="31">
        <f>+SUM(START:END!Q42)</f>
        <v>33156.32</v>
      </c>
      <c r="R42" s="38"/>
      <c r="S42" s="55">
        <f t="shared" si="25"/>
        <v>-1537.8899999999994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0" t="s">
        <v>42</v>
      </c>
      <c r="D43" s="76"/>
      <c r="E43" s="14"/>
      <c r="F43" s="22">
        <f>+SUM(START:END!F43)</f>
        <v>20449.274482758621</v>
      </c>
      <c r="G43" s="78"/>
      <c r="H43" s="14"/>
      <c r="I43" s="22">
        <f>+SUM(START:END!I43)</f>
        <v>0</v>
      </c>
      <c r="J43" s="38"/>
      <c r="K43" s="14"/>
      <c r="L43" s="31">
        <f>+SUM(START:END!L43)</f>
        <v>24152.639999999999</v>
      </c>
      <c r="M43" s="38"/>
      <c r="N43" s="55">
        <f t="shared" si="23"/>
        <v>3703.3655172413783</v>
      </c>
      <c r="O43" s="38"/>
      <c r="P43" s="14"/>
      <c r="Q43" s="31">
        <f>+SUM(START:END!Q43)</f>
        <v>14621.97</v>
      </c>
      <c r="R43" s="38"/>
      <c r="S43" s="55">
        <f t="shared" si="25"/>
        <v>9530.67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99" t="s">
        <v>43</v>
      </c>
      <c r="D44" s="101"/>
      <c r="E44" s="102"/>
      <c r="F44" s="28">
        <f>+SUM(START:END!F44)</f>
        <v>16417.967816091954</v>
      </c>
      <c r="G44" s="103"/>
      <c r="H44" s="102"/>
      <c r="I44" s="28">
        <f>+SUM(START:END!I44)</f>
        <v>0</v>
      </c>
      <c r="J44" s="104"/>
      <c r="K44" s="102"/>
      <c r="L44" s="105">
        <f>+SUM(START:END!L44)</f>
        <v>25730.89</v>
      </c>
      <c r="M44" s="104"/>
      <c r="N44" s="106">
        <f t="shared" si="23"/>
        <v>9312.9221839080456</v>
      </c>
      <c r="O44" s="104"/>
      <c r="P44" s="102"/>
      <c r="Q44" s="105">
        <f>+SUM(START:END!Q44)</f>
        <v>7432.32</v>
      </c>
      <c r="R44" s="104"/>
      <c r="S44" s="106">
        <f t="shared" si="25"/>
        <v>18298.57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99" t="s">
        <v>44</v>
      </c>
      <c r="D45" s="76"/>
      <c r="E45" s="14"/>
      <c r="F45" s="28">
        <f>+SUM(START:END!F45)</f>
        <v>0</v>
      </c>
      <c r="G45" s="78"/>
      <c r="H45" s="14"/>
      <c r="I45" s="28">
        <f>+SUM(START:END!I45)</f>
        <v>0</v>
      </c>
      <c r="J45" s="38"/>
      <c r="K45" s="14"/>
      <c r="L45" s="31">
        <f>+SUM(START:END!L45)</f>
        <v>0</v>
      </c>
      <c r="M45" s="38"/>
      <c r="N45" s="55">
        <f t="shared" si="23"/>
        <v>0</v>
      </c>
      <c r="O45" s="38"/>
      <c r="P45" s="14"/>
      <c r="Q45" s="31">
        <f>+SUM(START:END!Q45)</f>
        <v>0</v>
      </c>
      <c r="R45" s="38"/>
      <c r="S45" s="55">
        <f t="shared" si="25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99" t="s">
        <v>20</v>
      </c>
      <c r="D46" s="76"/>
      <c r="E46" s="14"/>
      <c r="F46" s="28">
        <f>+SUM(START:END!F46)</f>
        <v>0</v>
      </c>
      <c r="G46" s="78"/>
      <c r="H46" s="14"/>
      <c r="I46" s="28">
        <f>+SUM(START:END!I46)</f>
        <v>0</v>
      </c>
      <c r="J46" s="38"/>
      <c r="K46" s="14"/>
      <c r="L46" s="31">
        <f>+SUM(START:END!L46)</f>
        <v>0</v>
      </c>
      <c r="M46" s="38"/>
      <c r="N46" s="55">
        <f t="shared" si="23"/>
        <v>0</v>
      </c>
      <c r="O46" s="38"/>
      <c r="P46" s="14"/>
      <c r="Q46" s="31">
        <f>+SUM(START:END!Q46)</f>
        <v>0</v>
      </c>
      <c r="R46" s="38"/>
      <c r="S46" s="55">
        <f t="shared" si="25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99" t="s">
        <v>20</v>
      </c>
      <c r="D47" s="76"/>
      <c r="E47" s="14"/>
      <c r="F47" s="28">
        <f>+SUM(START:END!F47)</f>
        <v>0</v>
      </c>
      <c r="G47" s="78"/>
      <c r="H47" s="14"/>
      <c r="I47" s="28">
        <f>+SUM(START:END!I47)</f>
        <v>0</v>
      </c>
      <c r="J47" s="38"/>
      <c r="K47" s="14"/>
      <c r="L47" s="31">
        <f>+SUM(START:END!L47)</f>
        <v>0</v>
      </c>
      <c r="M47" s="38"/>
      <c r="N47" s="55">
        <f t="shared" si="23"/>
        <v>0</v>
      </c>
      <c r="O47" s="38"/>
      <c r="P47" s="14"/>
      <c r="Q47" s="31">
        <f>+SUM(START:END!Q47)</f>
        <v>0</v>
      </c>
      <c r="R47" s="38"/>
      <c r="S47" s="55">
        <f t="shared" si="25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99" t="s">
        <v>20</v>
      </c>
      <c r="D48" s="76"/>
      <c r="E48" s="14"/>
      <c r="F48" s="28">
        <f>+SUM(START:END!F48)</f>
        <v>0</v>
      </c>
      <c r="G48" s="78"/>
      <c r="H48" s="14"/>
      <c r="I48" s="28">
        <f>+SUM(START:END!I48)</f>
        <v>0</v>
      </c>
      <c r="J48" s="38"/>
      <c r="K48" s="14"/>
      <c r="L48" s="31">
        <f>+SUM(START:END!L48)</f>
        <v>0</v>
      </c>
      <c r="M48" s="38"/>
      <c r="N48" s="55">
        <f t="shared" si="23"/>
        <v>0</v>
      </c>
      <c r="O48" s="38"/>
      <c r="P48" s="14"/>
      <c r="Q48" s="31">
        <f>+SUM(START:END!Q48)</f>
        <v>0</v>
      </c>
      <c r="R48" s="38"/>
      <c r="S48" s="55">
        <f t="shared" si="25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0" t="s">
        <v>45</v>
      </c>
      <c r="D49" s="76"/>
      <c r="E49" s="14"/>
      <c r="F49" s="22">
        <f>+SUM(START:END!F49)</f>
        <v>22733.851805046899</v>
      </c>
      <c r="G49" s="78"/>
      <c r="H49" s="14"/>
      <c r="I49" s="22">
        <f>+SUM(START:END!I49)</f>
        <v>0</v>
      </c>
      <c r="J49" s="38"/>
      <c r="K49" s="14"/>
      <c r="L49" s="22">
        <f>+SUM(START:END!L49)</f>
        <v>23068.35</v>
      </c>
      <c r="M49" s="38"/>
      <c r="N49" s="55">
        <f t="shared" si="23"/>
        <v>334.4981949530993</v>
      </c>
      <c r="O49" s="38"/>
      <c r="P49" s="14"/>
      <c r="Q49" s="22">
        <f>+SUM(START:END!Q49)</f>
        <v>37950.600000000006</v>
      </c>
      <c r="R49" s="38"/>
      <c r="S49" s="55">
        <f t="shared" si="25"/>
        <v>-14882.250000000007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99" t="s">
        <v>46</v>
      </c>
      <c r="D50" s="101"/>
      <c r="E50" s="102"/>
      <c r="F50" s="28">
        <f>+SUM(START:END!F50)</f>
        <v>22599.687007747627</v>
      </c>
      <c r="G50" s="103"/>
      <c r="H50" s="102"/>
      <c r="I50" s="28">
        <f>+SUM(START:END!I50)</f>
        <v>0</v>
      </c>
      <c r="J50" s="104"/>
      <c r="K50" s="102"/>
      <c r="L50" s="31">
        <f>+SUM(START:END!L50)</f>
        <v>26783.489999999998</v>
      </c>
      <c r="M50" s="104"/>
      <c r="N50" s="106">
        <f t="shared" si="23"/>
        <v>4183.802992252371</v>
      </c>
      <c r="O50" s="104"/>
      <c r="P50" s="102"/>
      <c r="Q50" s="31">
        <f>+SUM(START:END!Q50)</f>
        <v>38466.550000000003</v>
      </c>
      <c r="R50" s="104"/>
      <c r="S50" s="106">
        <f t="shared" si="25"/>
        <v>-11683.060000000005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99" t="s">
        <v>47</v>
      </c>
      <c r="D51" s="76"/>
      <c r="E51" s="14"/>
      <c r="F51" s="28">
        <f>+SUM(START:END!F51)</f>
        <v>15825.612391432751</v>
      </c>
      <c r="G51" s="78"/>
      <c r="H51" s="14"/>
      <c r="I51" s="28">
        <f>+SUM(START:END!I51)</f>
        <v>0</v>
      </c>
      <c r="J51" s="38"/>
      <c r="K51" s="14"/>
      <c r="L51" s="31">
        <f>+SUM(START:END!L51)</f>
        <v>12680.36</v>
      </c>
      <c r="M51" s="38"/>
      <c r="N51" s="55">
        <f t="shared" si="23"/>
        <v>-3145.2523914327503</v>
      </c>
      <c r="O51" s="38"/>
      <c r="P51" s="14"/>
      <c r="Q51" s="31">
        <f>+SUM(START:END!Q51)</f>
        <v>16237.25</v>
      </c>
      <c r="R51" s="38"/>
      <c r="S51" s="55">
        <f t="shared" si="25"/>
        <v>-3556.8899999999994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99" t="s">
        <v>48</v>
      </c>
      <c r="D52" s="76"/>
      <c r="E52" s="14"/>
      <c r="F52" s="28">
        <f>+SUM(START:END!F52)</f>
        <v>7560.3511893769719</v>
      </c>
      <c r="G52" s="78"/>
      <c r="H52" s="14"/>
      <c r="I52" s="28">
        <f>+SUM(START:END!I52)</f>
        <v>0</v>
      </c>
      <c r="J52" s="38"/>
      <c r="K52" s="14"/>
      <c r="L52" s="31">
        <f>+SUM(START:END!L52)</f>
        <v>5585.06</v>
      </c>
      <c r="M52" s="38"/>
      <c r="N52" s="55">
        <f t="shared" si="23"/>
        <v>-1975.2911893769715</v>
      </c>
      <c r="O52" s="38"/>
      <c r="P52" s="14"/>
      <c r="Q52" s="31">
        <f>+SUM(START:END!Q52)</f>
        <v>11123.54</v>
      </c>
      <c r="R52" s="38"/>
      <c r="S52" s="55">
        <f t="shared" si="25"/>
        <v>-5538.4800000000005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27" t="s">
        <v>20</v>
      </c>
      <c r="D53" s="83"/>
      <c r="E53" s="108"/>
      <c r="F53" s="28">
        <f>+SUM(START:END!F53)</f>
        <v>0</v>
      </c>
      <c r="G53" s="85"/>
      <c r="H53" s="108"/>
      <c r="I53" s="28">
        <f>+SUM(START:END!I53)</f>
        <v>0</v>
      </c>
      <c r="J53" s="23"/>
      <c r="K53" s="108"/>
      <c r="L53" s="31">
        <f>+SUM(START:END!L53)</f>
        <v>0</v>
      </c>
      <c r="M53" s="23"/>
      <c r="N53" s="88">
        <f t="shared" si="23"/>
        <v>0</v>
      </c>
      <c r="O53" s="23"/>
      <c r="P53" s="108"/>
      <c r="Q53" s="31">
        <f>+SUM(START:END!Q53)</f>
        <v>0</v>
      </c>
      <c r="R53" s="23"/>
      <c r="S53" s="88">
        <f t="shared" si="25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0" t="s">
        <v>49</v>
      </c>
      <c r="D54" s="91" t="s">
        <v>39</v>
      </c>
      <c r="E54" s="92">
        <f>F54/F$27</f>
        <v>0.34913559485755785</v>
      </c>
      <c r="F54" s="93">
        <f>+SUM(F42:F53)</f>
        <v>140171.73779590309</v>
      </c>
      <c r="G54" s="94" t="s">
        <v>39</v>
      </c>
      <c r="H54" s="92" t="e">
        <f>I54/I$27</f>
        <v>#DIV/0!</v>
      </c>
      <c r="I54" s="93">
        <f>+SUM(I42:I53)</f>
        <v>0</v>
      </c>
      <c r="J54" s="94" t="s">
        <v>39</v>
      </c>
      <c r="K54" s="92">
        <f>L54/L$27</f>
        <v>0.41603903635491585</v>
      </c>
      <c r="L54" s="93">
        <f>+SUM(L42:L53)</f>
        <v>149619.21999999997</v>
      </c>
      <c r="M54" s="97"/>
      <c r="N54" s="93">
        <f>+SUM(N42:N53)</f>
        <v>9447.4822040969011</v>
      </c>
      <c r="O54" s="94" t="s">
        <v>39</v>
      </c>
      <c r="P54" s="92">
        <f>Q54/Q$27</f>
        <v>0.29809103564639949</v>
      </c>
      <c r="Q54" s="93">
        <f>+SUM(Q42:Q53)</f>
        <v>158988.55000000002</v>
      </c>
      <c r="R54" s="97"/>
      <c r="S54" s="93">
        <f>+SUM(S42:S53)</f>
        <v>-9369.3300000000127</v>
      </c>
      <c r="T54" s="77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27" t="s">
        <v>50</v>
      </c>
      <c r="D55" s="76"/>
      <c r="E55" s="14"/>
      <c r="F55" s="28">
        <f>+SUM(START:END!F55)</f>
        <v>0</v>
      </c>
      <c r="G55" s="38" t="e">
        <f>I54/(I27+I83)</f>
        <v>#DIV/0!</v>
      </c>
      <c r="H55" s="14"/>
      <c r="I55" s="28">
        <f>+SUM(START:END!I55)</f>
        <v>0</v>
      </c>
      <c r="J55" s="38"/>
      <c r="K55" s="14"/>
      <c r="L55" s="31">
        <f>+SUM(START:END!L55)</f>
        <v>0</v>
      </c>
      <c r="M55" s="38"/>
      <c r="N55" s="55">
        <f t="shared" ref="N55:N71" si="26">L55-F55</f>
        <v>0</v>
      </c>
      <c r="O55" s="38"/>
      <c r="P55" s="14"/>
      <c r="Q55" s="31">
        <f>+SUM(START:END!Q55)</f>
        <v>0</v>
      </c>
      <c r="R55" s="38"/>
      <c r="S55" s="55">
        <f t="shared" ref="S55:S71" si="27">L55-Q55</f>
        <v>0</v>
      </c>
      <c r="T55" s="77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27" t="s">
        <v>51</v>
      </c>
      <c r="D56" s="76"/>
      <c r="E56" s="14"/>
      <c r="F56" s="28">
        <f>+SUM(START:END!F56)</f>
        <v>0</v>
      </c>
      <c r="G56" s="78"/>
      <c r="H56" s="14"/>
      <c r="I56" s="28">
        <f>+SUM(START:END!I56)</f>
        <v>0</v>
      </c>
      <c r="J56" s="38"/>
      <c r="K56" s="14"/>
      <c r="L56" s="31">
        <f>+SUM(START:END!L56)</f>
        <v>0</v>
      </c>
      <c r="M56" s="38"/>
      <c r="N56" s="55">
        <f t="shared" si="26"/>
        <v>0</v>
      </c>
      <c r="O56" s="38"/>
      <c r="P56" s="14"/>
      <c r="Q56" s="31">
        <f>+SUM(START:END!Q56)</f>
        <v>0</v>
      </c>
      <c r="R56" s="38"/>
      <c r="S56" s="55">
        <f t="shared" si="27"/>
        <v>0</v>
      </c>
      <c r="T56" s="77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2" t="s">
        <v>52</v>
      </c>
      <c r="D57" s="83"/>
      <c r="E57" s="108"/>
      <c r="F57" s="22">
        <f>+SUM(START:END!F57)</f>
        <v>15891.666666666666</v>
      </c>
      <c r="G57" s="85"/>
      <c r="H57" s="108"/>
      <c r="I57" s="22">
        <f>+SUM(START:END!I57)</f>
        <v>0</v>
      </c>
      <c r="J57" s="23"/>
      <c r="K57" s="108"/>
      <c r="L57" s="22">
        <f>+SUM(START:END!L57)</f>
        <v>13196.07</v>
      </c>
      <c r="M57" s="23"/>
      <c r="N57" s="88">
        <f t="shared" si="26"/>
        <v>-2695.5966666666664</v>
      </c>
      <c r="O57" s="23"/>
      <c r="P57" s="108"/>
      <c r="Q57" s="22">
        <f>+SUM(START:END!Q57)</f>
        <v>14678.900000000001</v>
      </c>
      <c r="R57" s="23"/>
      <c r="S57" s="88">
        <f t="shared" si="27"/>
        <v>-1482.8300000000017</v>
      </c>
      <c r="T57" s="109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27" t="s">
        <v>53</v>
      </c>
      <c r="D58" s="76"/>
      <c r="E58" s="14"/>
      <c r="F58" s="28">
        <f>+SUM(START:END!F58)</f>
        <v>12521.732797333334</v>
      </c>
      <c r="G58" s="78"/>
      <c r="H58" s="14"/>
      <c r="I58" s="28">
        <f>+SUM(START:END!I58)</f>
        <v>0</v>
      </c>
      <c r="J58" s="38"/>
      <c r="K58" s="14"/>
      <c r="L58" s="31">
        <f>+SUM(START:END!L58)</f>
        <v>14216.67</v>
      </c>
      <c r="M58" s="38"/>
      <c r="N58" s="55">
        <f t="shared" si="26"/>
        <v>1694.9372026666661</v>
      </c>
      <c r="O58" s="38"/>
      <c r="P58" s="14"/>
      <c r="Q58" s="31">
        <f>+SUM(START:END!Q58)</f>
        <v>14323.07</v>
      </c>
      <c r="R58" s="38"/>
      <c r="S58" s="55">
        <f t="shared" si="27"/>
        <v>-106.39999999999964</v>
      </c>
      <c r="T58" s="77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27" t="s">
        <v>54</v>
      </c>
      <c r="D59" s="76"/>
      <c r="E59" s="14"/>
      <c r="F59" s="28">
        <f>+SUM(START:END!F59)</f>
        <v>2000.176089333333</v>
      </c>
      <c r="G59" s="78"/>
      <c r="H59" s="14"/>
      <c r="I59" s="28">
        <f>+SUM(START:END!I59)</f>
        <v>0</v>
      </c>
      <c r="J59" s="38"/>
      <c r="K59" s="14"/>
      <c r="L59" s="31">
        <f>+SUM(START:END!L59)</f>
        <v>1322.18</v>
      </c>
      <c r="M59" s="38"/>
      <c r="N59" s="55">
        <f t="shared" si="26"/>
        <v>-677.99608933333298</v>
      </c>
      <c r="O59" s="38"/>
      <c r="P59" s="14"/>
      <c r="Q59" s="31">
        <f>+SUM(START:END!Q59)</f>
        <v>3469.6200000000003</v>
      </c>
      <c r="R59" s="38"/>
      <c r="S59" s="55">
        <f t="shared" si="27"/>
        <v>-2147.4400000000005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2" t="s">
        <v>55</v>
      </c>
      <c r="D60" s="83"/>
      <c r="E60" s="108"/>
      <c r="F60" s="22">
        <f>+SUM(START:END!F60)</f>
        <v>13698.009059555556</v>
      </c>
      <c r="G60" s="85"/>
      <c r="H60" s="108"/>
      <c r="I60" s="22">
        <f>+SUM(START:END!I60)</f>
        <v>0</v>
      </c>
      <c r="J60" s="23"/>
      <c r="K60" s="108"/>
      <c r="L60" s="22">
        <f>+SUM(START:END!L60)</f>
        <v>12143.32</v>
      </c>
      <c r="M60" s="23"/>
      <c r="N60" s="88">
        <f t="shared" si="26"/>
        <v>-1554.689059555556</v>
      </c>
      <c r="O60" s="23"/>
      <c r="P60" s="108"/>
      <c r="Q60" s="22">
        <f>+SUM(START:END!Q60)</f>
        <v>13806.45</v>
      </c>
      <c r="R60" s="23"/>
      <c r="S60" s="88">
        <f t="shared" si="27"/>
        <v>-1663.130000000001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27" t="s">
        <v>56</v>
      </c>
      <c r="D61" s="76"/>
      <c r="E61" s="14"/>
      <c r="F61" s="28">
        <f>+SUM(START:END!F61)</f>
        <v>236.92667575583633</v>
      </c>
      <c r="G61" s="78"/>
      <c r="H61" s="14"/>
      <c r="I61" s="28">
        <f>+SUM(START:END!I61)</f>
        <v>0</v>
      </c>
      <c r="J61" s="38"/>
      <c r="K61" s="14"/>
      <c r="L61" s="31">
        <f>+SUM(START:END!L61)</f>
        <v>0</v>
      </c>
      <c r="M61" s="38"/>
      <c r="N61" s="55">
        <f t="shared" si="26"/>
        <v>-236.92667575583633</v>
      </c>
      <c r="O61" s="38"/>
      <c r="P61" s="14"/>
      <c r="Q61" s="31">
        <f>+SUM(START:END!Q61)</f>
        <v>0</v>
      </c>
      <c r="R61" s="38"/>
      <c r="S61" s="55">
        <f t="shared" si="27"/>
        <v>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27" t="s">
        <v>57</v>
      </c>
      <c r="D62" s="76"/>
      <c r="E62" s="14"/>
      <c r="F62" s="28">
        <f>+SUM(START:END!F62)</f>
        <v>122.34623402842013</v>
      </c>
      <c r="G62" s="78"/>
      <c r="H62" s="14"/>
      <c r="I62" s="28">
        <f>+SUM(START:END!I62)</f>
        <v>0</v>
      </c>
      <c r="J62" s="38"/>
      <c r="K62" s="14"/>
      <c r="L62" s="31">
        <f>+SUM(START:END!L62)</f>
        <v>0</v>
      </c>
      <c r="M62" s="38"/>
      <c r="N62" s="55">
        <f t="shared" si="26"/>
        <v>-122.34623402842013</v>
      </c>
      <c r="O62" s="38"/>
      <c r="P62" s="14"/>
      <c r="Q62" s="31">
        <f>+SUM(START:END!Q62)</f>
        <v>0</v>
      </c>
      <c r="R62" s="38"/>
      <c r="S62" s="55">
        <f t="shared" si="27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27" t="s">
        <v>58</v>
      </c>
      <c r="D63" s="76"/>
      <c r="E63" s="14"/>
      <c r="F63" s="28">
        <f>+SUM(START:END!F63)</f>
        <v>1526.9020703999995</v>
      </c>
      <c r="G63" s="78"/>
      <c r="H63" s="14"/>
      <c r="I63" s="28">
        <f>+SUM(START:END!I63)</f>
        <v>0</v>
      </c>
      <c r="J63" s="38"/>
      <c r="K63" s="14"/>
      <c r="L63" s="30">
        <f>+SUM(START:END!L63)</f>
        <v>1085.6399999999999</v>
      </c>
      <c r="M63" s="38"/>
      <c r="N63" s="55">
        <f t="shared" si="26"/>
        <v>-441.26207039999963</v>
      </c>
      <c r="O63" s="38"/>
      <c r="P63" s="14"/>
      <c r="Q63" s="30">
        <f>+SUM(START:END!Q63)</f>
        <v>1456.96</v>
      </c>
      <c r="R63" s="38"/>
      <c r="S63" s="55">
        <f t="shared" si="27"/>
        <v>-371.32000000000016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27" t="s">
        <v>59</v>
      </c>
      <c r="D64" s="76"/>
      <c r="E64" s="14"/>
      <c r="F64" s="28">
        <f>+SUM(START:END!F64)</f>
        <v>517.44050031111112</v>
      </c>
      <c r="G64" s="78"/>
      <c r="H64" s="14"/>
      <c r="I64" s="28">
        <f>+SUM(START:END!I64)</f>
        <v>0</v>
      </c>
      <c r="J64" s="38"/>
      <c r="K64" s="14"/>
      <c r="L64" s="31">
        <f>+SUM(START:END!L64)</f>
        <v>466.8</v>
      </c>
      <c r="M64" s="38"/>
      <c r="N64" s="55">
        <f t="shared" si="26"/>
        <v>-50.640500311111111</v>
      </c>
      <c r="O64" s="38"/>
      <c r="P64" s="14"/>
      <c r="Q64" s="31">
        <f>+SUM(START:END!Q64)</f>
        <v>655.91000000000008</v>
      </c>
      <c r="R64" s="38"/>
      <c r="S64" s="55">
        <f t="shared" si="27"/>
        <v>-189.11000000000007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27" t="s">
        <v>60</v>
      </c>
      <c r="D65" s="76"/>
      <c r="E65" s="14"/>
      <c r="F65" s="28">
        <f>+SUM(START:END!F65)</f>
        <v>247.48858768888886</v>
      </c>
      <c r="G65" s="78"/>
      <c r="H65" s="14"/>
      <c r="I65" s="28">
        <f>+SUM(START:END!I65)</f>
        <v>0</v>
      </c>
      <c r="J65" s="38"/>
      <c r="K65" s="14"/>
      <c r="L65" s="31">
        <f>+SUM(START:END!L65)</f>
        <v>211.96</v>
      </c>
      <c r="M65" s="38"/>
      <c r="N65" s="55">
        <f t="shared" si="26"/>
        <v>-35.528587688888848</v>
      </c>
      <c r="O65" s="38"/>
      <c r="P65" s="14"/>
      <c r="Q65" s="31">
        <f>+SUM(START:END!Q65)</f>
        <v>313.02</v>
      </c>
      <c r="R65" s="38"/>
      <c r="S65" s="55">
        <f t="shared" si="27"/>
        <v>-101.05999999999997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27" t="s">
        <v>61</v>
      </c>
      <c r="D66" s="76"/>
      <c r="E66" s="14"/>
      <c r="F66" s="28">
        <f>+SUM(START:END!F66)</f>
        <v>940.36472608888892</v>
      </c>
      <c r="G66" s="78"/>
      <c r="H66" s="14"/>
      <c r="I66" s="28">
        <f>+SUM(START:END!I66)</f>
        <v>0</v>
      </c>
      <c r="J66" s="38"/>
      <c r="K66" s="14"/>
      <c r="L66" s="31">
        <f>+SUM(START:END!L66)</f>
        <v>217.55</v>
      </c>
      <c r="M66" s="38"/>
      <c r="N66" s="55">
        <f t="shared" si="26"/>
        <v>-722.81472608888885</v>
      </c>
      <c r="O66" s="38"/>
      <c r="P66" s="14"/>
      <c r="Q66" s="31">
        <f>+SUM(START:END!Q66)</f>
        <v>378.51</v>
      </c>
      <c r="R66" s="38"/>
      <c r="S66" s="55">
        <f t="shared" si="27"/>
        <v>-160.95999999999998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27" t="s">
        <v>62</v>
      </c>
      <c r="D67" s="76"/>
      <c r="E67" s="14"/>
      <c r="F67" s="28">
        <f>+SUM(START:END!F67)</f>
        <v>1225.4806040060814</v>
      </c>
      <c r="G67" s="78"/>
      <c r="H67" s="14"/>
      <c r="I67" s="28">
        <f>+SUM(START:END!I67)</f>
        <v>0</v>
      </c>
      <c r="J67" s="38"/>
      <c r="K67" s="14"/>
      <c r="L67" s="31">
        <f>+SUM(START:END!L67)</f>
        <v>665.01</v>
      </c>
      <c r="M67" s="38"/>
      <c r="N67" s="55">
        <f t="shared" si="26"/>
        <v>-560.47060400608143</v>
      </c>
      <c r="O67" s="38"/>
      <c r="P67" s="14"/>
      <c r="Q67" s="31">
        <f>+SUM(START:END!Q67)</f>
        <v>2833.09</v>
      </c>
      <c r="R67" s="38"/>
      <c r="S67" s="55">
        <f t="shared" si="27"/>
        <v>-2168.08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27" t="s">
        <v>63</v>
      </c>
      <c r="D68" s="76"/>
      <c r="E68" s="14"/>
      <c r="F68" s="28">
        <f>+SUM(START:END!F68)</f>
        <v>2335.9141821503517</v>
      </c>
      <c r="G68" s="78"/>
      <c r="H68" s="14"/>
      <c r="I68" s="28">
        <f>+SUM(START:END!I68)</f>
        <v>0</v>
      </c>
      <c r="J68" s="38"/>
      <c r="K68" s="14"/>
      <c r="L68" s="30">
        <f>+SUM(START:END!L68)</f>
        <v>6943.58</v>
      </c>
      <c r="M68" s="38"/>
      <c r="N68" s="55">
        <f t="shared" si="26"/>
        <v>4607.6658178496482</v>
      </c>
      <c r="O68" s="38"/>
      <c r="P68" s="14"/>
      <c r="Q68" s="31">
        <f>+SUM(START:END!Q68)</f>
        <v>6806.1915000000045</v>
      </c>
      <c r="R68" s="38"/>
      <c r="S68" s="55">
        <f t="shared" si="27"/>
        <v>137.38849999999547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27" t="s">
        <v>20</v>
      </c>
      <c r="D69" s="76"/>
      <c r="E69" s="14"/>
      <c r="F69" s="28">
        <f>+SUM(START:END!F69)</f>
        <v>0</v>
      </c>
      <c r="G69" s="78"/>
      <c r="H69" s="14"/>
      <c r="I69" s="28">
        <f>+SUM(START:END!I69)</f>
        <v>0</v>
      </c>
      <c r="J69" s="38"/>
      <c r="K69" s="14"/>
      <c r="L69" s="31">
        <f>+SUM(START:END!L69)</f>
        <v>0</v>
      </c>
      <c r="M69" s="38"/>
      <c r="N69" s="55">
        <f t="shared" si="26"/>
        <v>0</v>
      </c>
      <c r="O69" s="38"/>
      <c r="P69" s="14"/>
      <c r="Q69" s="31">
        <f>+SUM(START:END!Q69)</f>
        <v>0</v>
      </c>
      <c r="R69" s="38"/>
      <c r="S69" s="55">
        <f t="shared" si="27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27" t="s">
        <v>20</v>
      </c>
      <c r="D70" s="76"/>
      <c r="E70" s="14"/>
      <c r="F70" s="28">
        <f>+SUM(START:END!F70)</f>
        <v>0</v>
      </c>
      <c r="G70" s="78"/>
      <c r="H70" s="14"/>
      <c r="I70" s="28">
        <f>+SUM(START:END!I70)</f>
        <v>0</v>
      </c>
      <c r="J70" s="38"/>
      <c r="K70" s="14"/>
      <c r="L70" s="31">
        <f>+SUM(START:END!L70)</f>
        <v>0</v>
      </c>
      <c r="M70" s="38"/>
      <c r="N70" s="55">
        <f t="shared" si="26"/>
        <v>0</v>
      </c>
      <c r="O70" s="38"/>
      <c r="P70" s="14"/>
      <c r="Q70" s="31">
        <f>+SUM(START:END!Q70)</f>
        <v>0</v>
      </c>
      <c r="R70" s="38"/>
      <c r="S70" s="55">
        <f t="shared" si="27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27" t="s">
        <v>20</v>
      </c>
      <c r="D71" s="76"/>
      <c r="E71" s="14"/>
      <c r="F71" s="28">
        <f>+SUM(START:END!F71)</f>
        <v>0</v>
      </c>
      <c r="G71" s="78"/>
      <c r="H71" s="14"/>
      <c r="I71" s="28">
        <f>+SUM(START:END!I71)</f>
        <v>0</v>
      </c>
      <c r="J71" s="38"/>
      <c r="K71" s="14"/>
      <c r="L71" s="31">
        <f>+SUM(START:END!L71)</f>
        <v>0</v>
      </c>
      <c r="M71" s="38"/>
      <c r="N71" s="55">
        <f t="shared" si="26"/>
        <v>0</v>
      </c>
      <c r="O71" s="38"/>
      <c r="P71" s="14"/>
      <c r="Q71" s="31">
        <f>+SUM(START:END!Q71)</f>
        <v>0</v>
      </c>
      <c r="R71" s="38"/>
      <c r="S71" s="55">
        <f t="shared" si="27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0" t="s">
        <v>64</v>
      </c>
      <c r="D72" s="91" t="s">
        <v>39</v>
      </c>
      <c r="E72" s="92">
        <f>F72/F$27</f>
        <v>0.12768796261254475</v>
      </c>
      <c r="F72" s="93">
        <f>+SUM(F55:F71)</f>
        <v>51264.448193318465</v>
      </c>
      <c r="G72" s="94" t="s">
        <v>39</v>
      </c>
      <c r="H72" s="92" t="e">
        <f>I72/I$27</f>
        <v>#DIV/0!</v>
      </c>
      <c r="I72" s="93">
        <f>+SUM(I55:I71)</f>
        <v>0</v>
      </c>
      <c r="J72" s="94" t="s">
        <v>39</v>
      </c>
      <c r="K72" s="92">
        <f>L72/L$27</f>
        <v>0.14033613193016417</v>
      </c>
      <c r="L72" s="93">
        <f>+SUM(L55:L71)</f>
        <v>50468.780000000006</v>
      </c>
      <c r="M72" s="97"/>
      <c r="N72" s="93">
        <f>+SUM(N55:N71)</f>
        <v>-795.66819331846727</v>
      </c>
      <c r="O72" s="94" t="s">
        <v>39</v>
      </c>
      <c r="P72" s="92">
        <f>Q72/Q$27</f>
        <v>0.11009861261628238</v>
      </c>
      <c r="Q72" s="93">
        <f>+SUM(Q55:Q71)</f>
        <v>58721.7215</v>
      </c>
      <c r="R72" s="97"/>
      <c r="S72" s="93">
        <f>+SUM(S55:S71)</f>
        <v>-8252.9415000000063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2"/>
      <c r="D73" s="83"/>
      <c r="E73" s="108"/>
      <c r="F73" s="55"/>
      <c r="G73" s="85"/>
      <c r="H73" s="108"/>
      <c r="I73" s="55"/>
      <c r="J73" s="23"/>
      <c r="K73" s="108"/>
      <c r="L73" s="88"/>
      <c r="M73" s="23"/>
      <c r="N73" s="88"/>
      <c r="O73" s="23"/>
      <c r="P73" s="108"/>
      <c r="Q73" s="88"/>
      <c r="R73" s="23"/>
      <c r="S73" s="88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0" t="s">
        <v>65</v>
      </c>
      <c r="D74" s="91" t="s">
        <v>39</v>
      </c>
      <c r="E74" s="92">
        <f>F74/F$27</f>
        <v>0.91274353971807409</v>
      </c>
      <c r="F74" s="93">
        <f>F41+F54+F72</f>
        <v>366450.31331298174</v>
      </c>
      <c r="G74" s="94" t="s">
        <v>39</v>
      </c>
      <c r="H74" s="92" t="e">
        <f>I74/I$27</f>
        <v>#DIV/0!</v>
      </c>
      <c r="I74" s="93">
        <f>I41+I54+I72</f>
        <v>0</v>
      </c>
      <c r="J74" s="94" t="s">
        <v>39</v>
      </c>
      <c r="K74" s="92">
        <f>L74/L$27</f>
        <v>0.97672785844388399</v>
      </c>
      <c r="L74" s="93">
        <f>L41+L54+L72</f>
        <v>351258.53</v>
      </c>
      <c r="M74" s="97"/>
      <c r="N74" s="110">
        <f t="shared" ref="N74:N82" si="28">L74-F74</f>
        <v>-15191.783312981715</v>
      </c>
      <c r="O74" s="94" t="s">
        <v>39</v>
      </c>
      <c r="P74" s="92">
        <f>Q74/Q$27</f>
        <v>0.78470439023534178</v>
      </c>
      <c r="Q74" s="93">
        <f>Q41+Q54+Q72</f>
        <v>418526.5515</v>
      </c>
      <c r="R74" s="97"/>
      <c r="S74" s="110">
        <f>L74-Q74</f>
        <v>-67268.021499999973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27" t="s">
        <v>198</v>
      </c>
      <c r="D75" s="76"/>
      <c r="E75" s="14"/>
      <c r="F75" s="28">
        <f>+SUM(START:END!F75)</f>
        <v>16584.689512713256</v>
      </c>
      <c r="G75" s="78"/>
      <c r="H75" s="14"/>
      <c r="I75" s="28">
        <f>+SUM(START:END!I75)</f>
        <v>0</v>
      </c>
      <c r="J75" s="38"/>
      <c r="K75" s="14"/>
      <c r="L75" s="30">
        <f>+SUM(START:END!L75)</f>
        <v>0</v>
      </c>
      <c r="M75" s="38"/>
      <c r="N75" s="55">
        <f t="shared" si="28"/>
        <v>-16584.689512713256</v>
      </c>
      <c r="O75" s="38"/>
      <c r="P75" s="14"/>
      <c r="Q75" s="30">
        <f>+SUM(START:END!Q75)</f>
        <v>22000</v>
      </c>
      <c r="R75" s="38"/>
      <c r="S75" s="55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27" t="s">
        <v>195</v>
      </c>
      <c r="D76" s="76"/>
      <c r="E76" s="14"/>
      <c r="F76" s="28">
        <f>+SUM(START:END!F76)</f>
        <v>0</v>
      </c>
      <c r="G76" s="78"/>
      <c r="H76" s="14"/>
      <c r="I76" s="28">
        <f>+SUM(START:END!I76)</f>
        <v>0</v>
      </c>
      <c r="J76" s="38"/>
      <c r="K76" s="14"/>
      <c r="L76" s="30">
        <f>+SUM(START:END!L76)</f>
        <v>0</v>
      </c>
      <c r="M76" s="38"/>
      <c r="N76" s="55">
        <f t="shared" si="28"/>
        <v>0</v>
      </c>
      <c r="O76" s="38"/>
      <c r="P76" s="14"/>
      <c r="Q76" s="30">
        <f>+SUM(START:END!Q76)</f>
        <v>0</v>
      </c>
      <c r="R76" s="38"/>
      <c r="S76" s="55">
        <f t="shared" ref="S76:S82" si="29"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27" t="s">
        <v>68</v>
      </c>
      <c r="D77" s="76"/>
      <c r="E77" s="14"/>
      <c r="F77" s="28">
        <f>+SUM(START:END!F77)</f>
        <v>0</v>
      </c>
      <c r="G77" s="78"/>
      <c r="H77" s="14"/>
      <c r="I77" s="28">
        <f>+SUM(START:END!I77)</f>
        <v>0</v>
      </c>
      <c r="J77" s="38"/>
      <c r="K77" s="14"/>
      <c r="L77" s="30">
        <f>+SUM(START:END!L77)</f>
        <v>0</v>
      </c>
      <c r="M77" s="38"/>
      <c r="N77" s="55">
        <f t="shared" si="28"/>
        <v>0</v>
      </c>
      <c r="O77" s="38"/>
      <c r="P77" s="14"/>
      <c r="Q77" s="30">
        <f>+SUM(START:END!Q77)</f>
        <v>0</v>
      </c>
      <c r="R77" s="38"/>
      <c r="S77" s="55">
        <f t="shared" si="29"/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27" t="s">
        <v>69</v>
      </c>
      <c r="D78" s="76"/>
      <c r="E78" s="14"/>
      <c r="F78" s="28">
        <f>+SUM(START:END!F78)</f>
        <v>122141.40699054583</v>
      </c>
      <c r="G78" s="78"/>
      <c r="H78" s="14"/>
      <c r="I78" s="28">
        <f>+SUM(START:END!I78)</f>
        <v>0</v>
      </c>
      <c r="J78" s="38"/>
      <c r="K78" s="14"/>
      <c r="L78" s="31">
        <f>+SUM(START:END!L78)</f>
        <v>106168.1</v>
      </c>
      <c r="M78" s="38"/>
      <c r="N78" s="55">
        <f t="shared" si="28"/>
        <v>-15973.306990545825</v>
      </c>
      <c r="O78" s="38"/>
      <c r="P78" s="14"/>
      <c r="Q78" s="30">
        <f>+SUM(START:END!Q78)</f>
        <v>135227</v>
      </c>
      <c r="R78" s="38"/>
      <c r="S78" s="55">
        <f t="shared" si="29"/>
        <v>-29058.899999999994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27" t="s">
        <v>20</v>
      </c>
      <c r="D79" s="76"/>
      <c r="E79" s="14"/>
      <c r="F79" s="28">
        <f>+SUM(START:END!F79)</f>
        <v>0</v>
      </c>
      <c r="G79" s="78"/>
      <c r="H79" s="14"/>
      <c r="I79" s="28">
        <f>+SUM(START:END!I79)</f>
        <v>0</v>
      </c>
      <c r="J79" s="38"/>
      <c r="K79" s="14"/>
      <c r="L79" s="31">
        <f>+SUM(START:END!L79)</f>
        <v>0</v>
      </c>
      <c r="M79" s="38"/>
      <c r="N79" s="55">
        <f t="shared" si="28"/>
        <v>0</v>
      </c>
      <c r="O79" s="38"/>
      <c r="P79" s="14"/>
      <c r="Q79" s="30">
        <f>+SUM(START:END!Q79)</f>
        <v>0</v>
      </c>
      <c r="R79" s="38"/>
      <c r="S79" s="55">
        <f t="shared" si="29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27" t="s">
        <v>20</v>
      </c>
      <c r="D80" s="76"/>
      <c r="E80" s="14"/>
      <c r="F80" s="28">
        <f>+SUM(START:END!F80)</f>
        <v>0</v>
      </c>
      <c r="G80" s="78"/>
      <c r="H80" s="14"/>
      <c r="I80" s="28">
        <f>+SUM(START:END!I80)</f>
        <v>0</v>
      </c>
      <c r="J80" s="38"/>
      <c r="K80" s="14"/>
      <c r="L80" s="31">
        <f>+SUM(START:END!L80)</f>
        <v>0</v>
      </c>
      <c r="M80" s="38"/>
      <c r="N80" s="55">
        <f t="shared" si="28"/>
        <v>0</v>
      </c>
      <c r="O80" s="38"/>
      <c r="P80" s="14"/>
      <c r="Q80" s="30">
        <f>+SUM(START:END!Q80)</f>
        <v>0</v>
      </c>
      <c r="R80" s="38"/>
      <c r="S80" s="55">
        <f t="shared" si="29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27" t="s">
        <v>20</v>
      </c>
      <c r="D81" s="76"/>
      <c r="E81" s="14"/>
      <c r="F81" s="28">
        <f>+SUM(START:END!F81)</f>
        <v>0</v>
      </c>
      <c r="G81" s="78"/>
      <c r="H81" s="14"/>
      <c r="I81" s="28">
        <f>+SUM(START:END!I81)</f>
        <v>0</v>
      </c>
      <c r="J81" s="38"/>
      <c r="K81" s="14"/>
      <c r="L81" s="31">
        <f>+SUM(START:END!L81)</f>
        <v>0</v>
      </c>
      <c r="M81" s="38"/>
      <c r="N81" s="55">
        <f t="shared" si="28"/>
        <v>0</v>
      </c>
      <c r="O81" s="38"/>
      <c r="P81" s="14"/>
      <c r="Q81" s="30">
        <f>+SUM(START:END!Q81)</f>
        <v>0</v>
      </c>
      <c r="R81" s="38"/>
      <c r="S81" s="55">
        <f t="shared" si="29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27" t="s">
        <v>70</v>
      </c>
      <c r="D82" s="76"/>
      <c r="E82" s="14"/>
      <c r="F82" s="28">
        <f>+SUM(START:END!F82)</f>
        <v>38482.424956800009</v>
      </c>
      <c r="G82" s="78"/>
      <c r="H82" s="14"/>
      <c r="I82" s="28">
        <f>+SUM(START:END!I82)</f>
        <v>0</v>
      </c>
      <c r="J82" s="38"/>
      <c r="K82" s="14"/>
      <c r="L82" s="30">
        <f>+SUM(START:END!L82)</f>
        <v>45832</v>
      </c>
      <c r="M82" s="38"/>
      <c r="N82" s="55">
        <f t="shared" si="28"/>
        <v>7349.5750431999913</v>
      </c>
      <c r="O82" s="38"/>
      <c r="P82" s="14"/>
      <c r="Q82" s="30">
        <f>+SUM(START:END!Q82)</f>
        <v>-8537</v>
      </c>
      <c r="R82" s="38"/>
      <c r="S82" s="55">
        <f t="shared" si="29"/>
        <v>54369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0" t="s">
        <v>71</v>
      </c>
      <c r="D83" s="91"/>
      <c r="E83" s="92"/>
      <c r="F83" s="93">
        <f>+SUM(F75:F82)</f>
        <v>177208.5214600591</v>
      </c>
      <c r="G83" s="94"/>
      <c r="H83" s="92"/>
      <c r="I83" s="93">
        <f>+SUM(I75:I82)</f>
        <v>0</v>
      </c>
      <c r="J83" s="94"/>
      <c r="K83" s="92"/>
      <c r="L83" s="93">
        <f>+SUM(L75:L82)</f>
        <v>152000.1</v>
      </c>
      <c r="M83" s="97"/>
      <c r="N83" s="93">
        <f>+SUM(N75:N82)</f>
        <v>-25208.421460059089</v>
      </c>
      <c r="O83" s="94"/>
      <c r="P83" s="92"/>
      <c r="Q83" s="93">
        <f>+SUM(Q75:Q82)</f>
        <v>148690</v>
      </c>
      <c r="R83" s="97"/>
      <c r="S83" s="93">
        <f>+SUM(S75:S82)</f>
        <v>25310.100000000006</v>
      </c>
      <c r="T83" s="14"/>
      <c r="U83" s="14"/>
      <c r="V83" s="81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12"/>
      <c r="D84" s="113"/>
      <c r="E84" s="114"/>
      <c r="F84" s="115"/>
      <c r="G84" s="116"/>
      <c r="H84" s="114"/>
      <c r="I84" s="115"/>
      <c r="J84" s="117"/>
      <c r="K84" s="118"/>
      <c r="L84" s="115"/>
      <c r="M84" s="117"/>
      <c r="N84" s="119"/>
      <c r="O84" s="117"/>
      <c r="P84" s="118"/>
      <c r="Q84" s="115"/>
      <c r="R84" s="117"/>
      <c r="S84" s="119"/>
      <c r="T84" s="14"/>
      <c r="U84" s="14"/>
      <c r="V84" s="12"/>
      <c r="W84" s="464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20" t="s">
        <v>72</v>
      </c>
      <c r="D85" s="121"/>
      <c r="E85" s="122"/>
      <c r="F85" s="123">
        <f>F27-F74+F83</f>
        <v>212240.43986593455</v>
      </c>
      <c r="G85" s="124"/>
      <c r="H85" s="122"/>
      <c r="I85" s="123">
        <f>I27-I74+I83</f>
        <v>0</v>
      </c>
      <c r="J85" s="124"/>
      <c r="K85" s="121"/>
      <c r="L85" s="123">
        <f>L27-L74+L83</f>
        <v>160369.41000000024</v>
      </c>
      <c r="M85" s="416"/>
      <c r="N85" s="205">
        <f>N27-N41-N54-N72+N83</f>
        <v>-51871.029865934208</v>
      </c>
      <c r="O85" s="124"/>
      <c r="P85" s="121"/>
      <c r="Q85" s="123">
        <f>Q27-Q74+Q83</f>
        <v>263519.13850000006</v>
      </c>
      <c r="R85" s="416"/>
      <c r="S85" s="205">
        <f>S27-S41-S54-S72+S83</f>
        <v>-81149.728499999779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25"/>
      <c r="C86" s="126"/>
      <c r="D86" s="126"/>
      <c r="E86" s="126"/>
      <c r="F86" s="126"/>
      <c r="G86" s="126"/>
      <c r="H86" s="126"/>
      <c r="I86" s="126"/>
      <c r="J86" s="126"/>
      <c r="K86" s="126"/>
      <c r="L86" s="127"/>
      <c r="M86" s="126"/>
      <c r="N86" s="126"/>
      <c r="O86" s="126"/>
      <c r="P86" s="126"/>
      <c r="Q86" s="126"/>
      <c r="R86" s="126"/>
      <c r="S86" s="126"/>
      <c r="T86" s="126"/>
      <c r="U86" s="126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</row>
    <row r="87" spans="1:40" ht="40.5" customHeight="1">
      <c r="B87" s="125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73</v>
      </c>
      <c r="L89" s="2"/>
      <c r="M89" s="2"/>
      <c r="N89" s="1"/>
      <c r="O89" s="1"/>
      <c r="P89" s="2"/>
      <c r="Q89" s="1"/>
      <c r="R89" s="2"/>
      <c r="S89" s="5" t="str">
        <f>$S$1</f>
        <v xml:space="preserve"> Volks Juin / Juillet 2023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472" t="s">
        <v>5</v>
      </c>
      <c r="E91" s="473"/>
      <c r="F91" s="474"/>
      <c r="G91" s="475" t="s">
        <v>74</v>
      </c>
      <c r="H91" s="473"/>
      <c r="I91" s="474"/>
      <c r="J91" s="475" t="s">
        <v>7</v>
      </c>
      <c r="K91" s="473"/>
      <c r="L91" s="474"/>
      <c r="M91" s="470" t="s">
        <v>472</v>
      </c>
      <c r="N91" s="471"/>
      <c r="O91" s="472" t="s">
        <v>9</v>
      </c>
      <c r="P91" s="473"/>
      <c r="Q91" s="474"/>
      <c r="R91" s="470" t="s">
        <v>473</v>
      </c>
      <c r="S91" s="471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27"/>
      <c r="D92" s="128" t="s">
        <v>11</v>
      </c>
      <c r="E92" s="75" t="s">
        <v>12</v>
      </c>
      <c r="F92" s="129" t="s">
        <v>13</v>
      </c>
      <c r="G92" s="130" t="s">
        <v>11</v>
      </c>
      <c r="H92" s="75" t="s">
        <v>12</v>
      </c>
      <c r="I92" s="129" t="s">
        <v>13</v>
      </c>
      <c r="J92" s="130" t="s">
        <v>11</v>
      </c>
      <c r="K92" s="75" t="s">
        <v>14</v>
      </c>
      <c r="L92" s="129" t="s">
        <v>13</v>
      </c>
      <c r="M92" s="19" t="s">
        <v>474</v>
      </c>
      <c r="N92" s="18" t="s">
        <v>13</v>
      </c>
      <c r="O92" s="75" t="s">
        <v>11</v>
      </c>
      <c r="P92" s="75" t="s">
        <v>14</v>
      </c>
      <c r="Q92" s="129" t="s">
        <v>13</v>
      </c>
      <c r="R92" s="19" t="s">
        <v>474</v>
      </c>
      <c r="S92" s="18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0">+B93&amp;C93</f>
        <v>Véhicules usagésVentes nettes</v>
      </c>
      <c r="B93" s="12" t="s">
        <v>73</v>
      </c>
      <c r="C93" s="82" t="s">
        <v>15</v>
      </c>
      <c r="D93" s="24"/>
      <c r="E93" s="24"/>
      <c r="F93" s="22">
        <f>+SUM(START:END!F93)</f>
        <v>3175585.4311111951</v>
      </c>
      <c r="G93" s="43"/>
      <c r="H93" s="24"/>
      <c r="I93" s="22">
        <f>+SUM(START:END!I93)</f>
        <v>0</v>
      </c>
      <c r="J93" s="23"/>
      <c r="K93" s="24"/>
      <c r="L93" s="22">
        <f>+SUM(START:END!L93)</f>
        <v>3705452.8599999994</v>
      </c>
      <c r="M93" s="132"/>
      <c r="N93" s="133"/>
      <c r="O93" s="23"/>
      <c r="P93" s="24"/>
      <c r="Q93" s="22">
        <f>+SUM(START:END!Q93)</f>
        <v>3596877.2200000007</v>
      </c>
      <c r="R93" s="132"/>
      <c r="S93" s="133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0"/>
        <v>Véhicules usagésCertifié</v>
      </c>
      <c r="B94" s="12" t="s">
        <v>73</v>
      </c>
      <c r="C94" s="27" t="s">
        <v>75</v>
      </c>
      <c r="D94" s="28">
        <f>+SUM(START:END!D94)</f>
        <v>76</v>
      </c>
      <c r="E94" s="28">
        <f>IF(D94=0,0,F94/D94)</f>
        <v>1858</v>
      </c>
      <c r="F94" s="374">
        <f>+SUM(START:END!F94)</f>
        <v>141208</v>
      </c>
      <c r="G94" s="28">
        <f>+SUM(START:END!G94)</f>
        <v>0</v>
      </c>
      <c r="H94" s="28">
        <f>IF(G94=0,0,I94/G94)</f>
        <v>0</v>
      </c>
      <c r="I94" s="374">
        <f>+SUM(START:END!I94)</f>
        <v>0</v>
      </c>
      <c r="J94" s="28">
        <f>+SUM(START:END!J94)</f>
        <v>50</v>
      </c>
      <c r="K94" s="28">
        <f>IF(J94=0,0,L94/J94)</f>
        <v>2031.7368000000022</v>
      </c>
      <c r="L94" s="28">
        <f>+SUM(START:END!L94)</f>
        <v>101586.84000000011</v>
      </c>
      <c r="M94" s="29">
        <f>J94-D94</f>
        <v>-26</v>
      </c>
      <c r="N94" s="31">
        <f>L94-F94</f>
        <v>-39621.159999999887</v>
      </c>
      <c r="O94" s="28">
        <f>+SUM(START:END!O94)</f>
        <v>73</v>
      </c>
      <c r="P94" s="28">
        <f>IF(O94=0,0,Q94/O94)</f>
        <v>2195.1263013698635</v>
      </c>
      <c r="Q94" s="28">
        <f>+SUM(START:END!Q94)</f>
        <v>160244.22000000003</v>
      </c>
      <c r="R94" s="29">
        <f t="shared" ref="R94:R95" si="31">J94-O94</f>
        <v>-23</v>
      </c>
      <c r="S94" s="31">
        <f t="shared" ref="S94:S95" si="32">L94-Q94</f>
        <v>-58657.379999999917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0"/>
        <v>Véhicules usagésNon Certifié</v>
      </c>
      <c r="B95" s="12" t="s">
        <v>73</v>
      </c>
      <c r="C95" s="27" t="s">
        <v>76</v>
      </c>
      <c r="D95" s="28">
        <f>+SUM(START:END!D95)</f>
        <v>0</v>
      </c>
      <c r="E95" s="24">
        <f t="shared" ref="E95:E104" si="33">IF(D95=0,0,F95/D95)</f>
        <v>0</v>
      </c>
      <c r="F95" s="49">
        <f>+SUM(START:END!F95)</f>
        <v>0</v>
      </c>
      <c r="G95" s="28">
        <f>+SUM(START:END!G95)</f>
        <v>0</v>
      </c>
      <c r="H95" s="24">
        <f t="shared" ref="H95" si="34">IF(G95=0,0,I95/G95)</f>
        <v>0</v>
      </c>
      <c r="I95" s="49">
        <f>+SUM(START:END!I95)</f>
        <v>0</v>
      </c>
      <c r="J95" s="28">
        <f>+SUM(START:END!J95)</f>
        <v>11</v>
      </c>
      <c r="K95" s="24">
        <f t="shared" ref="K95" si="35">IF(J95=0,0,L95/J95)</f>
        <v>1788.9127272727253</v>
      </c>
      <c r="L95" s="28">
        <f>+SUM(START:END!L95)</f>
        <v>19678.039999999979</v>
      </c>
      <c r="M95" s="29">
        <f>J95-D95</f>
        <v>11</v>
      </c>
      <c r="N95" s="31">
        <f>L95-F95</f>
        <v>19678.039999999979</v>
      </c>
      <c r="O95" s="28">
        <f>+SUM(START:END!O95)</f>
        <v>2</v>
      </c>
      <c r="P95" s="24">
        <f t="shared" ref="P95" si="36">IF(O95=0,0,Q95/O95)</f>
        <v>1700.3899999999999</v>
      </c>
      <c r="Q95" s="28">
        <f>+SUM(START:END!Q95)</f>
        <v>3400.7799999999997</v>
      </c>
      <c r="R95" s="29">
        <f t="shared" si="31"/>
        <v>9</v>
      </c>
      <c r="S95" s="31">
        <f t="shared" si="32"/>
        <v>16277.25999999998</v>
      </c>
      <c r="T95" s="14"/>
      <c r="U95" s="14"/>
      <c r="V95" s="134"/>
      <c r="W95" s="134"/>
      <c r="X95" s="134"/>
      <c r="Y95" s="13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0"/>
        <v>Véhicules usagésTotal Usagés</v>
      </c>
      <c r="B96" s="12" t="s">
        <v>73</v>
      </c>
      <c r="C96" s="33" t="s">
        <v>77</v>
      </c>
      <c r="D96" s="34">
        <f>+D95+D94</f>
        <v>76</v>
      </c>
      <c r="E96" s="28">
        <f t="shared" si="33"/>
        <v>1858</v>
      </c>
      <c r="F96" s="35">
        <f t="shared" ref="F96" si="37">+F94+F95</f>
        <v>141208</v>
      </c>
      <c r="G96" s="36">
        <f>+G95+G94</f>
        <v>0</v>
      </c>
      <c r="H96" s="34">
        <f t="shared" ref="H96:H98" si="38">IF(G96=0,0,I96/G96)</f>
        <v>0</v>
      </c>
      <c r="I96" s="35">
        <f t="shared" ref="I96:J96" si="39">+I94+I95</f>
        <v>0</v>
      </c>
      <c r="J96" s="36">
        <f t="shared" si="39"/>
        <v>61</v>
      </c>
      <c r="K96" s="34">
        <f>IF(J96&lt;=0,0,L96/J96)</f>
        <v>1987.9488524590179</v>
      </c>
      <c r="L96" s="35">
        <f>+L94+L95</f>
        <v>121264.88000000009</v>
      </c>
      <c r="M96" s="36">
        <f>J96-D96</f>
        <v>-15</v>
      </c>
      <c r="N96" s="35">
        <f>L96-F96</f>
        <v>-19943.119999999908</v>
      </c>
      <c r="O96" s="36">
        <f t="shared" ref="O96" si="40">+O94+O95</f>
        <v>75</v>
      </c>
      <c r="P96" s="34">
        <f>IF(O96&lt;=0,0,Q96/O96)</f>
        <v>2181.9333333333338</v>
      </c>
      <c r="Q96" s="35">
        <f>+Q94+Q95</f>
        <v>163645.00000000003</v>
      </c>
      <c r="R96" s="36">
        <f t="shared" ref="R96:S96" si="41">R94+R95</f>
        <v>-14</v>
      </c>
      <c r="S96" s="35">
        <f t="shared" si="41"/>
        <v>-42380.119999999937</v>
      </c>
      <c r="T96" s="14"/>
      <c r="U96" s="14"/>
      <c r="V96" s="28"/>
      <c r="W96" s="28"/>
      <c r="X96" s="28"/>
      <c r="Y96" s="28"/>
      <c r="Z96" s="14"/>
      <c r="AA96" s="14"/>
      <c r="AB96" s="14"/>
      <c r="AC96" s="77"/>
      <c r="AD96" s="14"/>
      <c r="AE96" s="14"/>
      <c r="AF96" s="77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0"/>
        <v>Véhicules usagés</v>
      </c>
      <c r="B97" s="12" t="s">
        <v>73</v>
      </c>
      <c r="C97" s="27"/>
      <c r="D97" s="14"/>
      <c r="E97" s="28">
        <f t="shared" si="33"/>
        <v>0</v>
      </c>
      <c r="F97" s="37"/>
      <c r="G97" s="38"/>
      <c r="H97" s="14">
        <f t="shared" si="38"/>
        <v>0</v>
      </c>
      <c r="I97" s="37"/>
      <c r="J97" s="38"/>
      <c r="K97" s="14"/>
      <c r="L97" s="37"/>
      <c r="M97" s="412">
        <f>M96/D96</f>
        <v>-0.19736842105263158</v>
      </c>
      <c r="N97" s="413">
        <f>N96/F96</f>
        <v>-0.14123222480312664</v>
      </c>
      <c r="O97" s="38"/>
      <c r="P97" s="14"/>
      <c r="Q97" s="37"/>
      <c r="R97" s="412">
        <f>R96/O96</f>
        <v>-0.18666666666666668</v>
      </c>
      <c r="S97" s="413">
        <f>IF(Q96=0,0,(S96/Q96))</f>
        <v>-0.25897595404686929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0"/>
        <v>Véhicules usagésUS</v>
      </c>
      <c r="B98" s="12" t="s">
        <v>73</v>
      </c>
      <c r="C98" s="27" t="s">
        <v>194</v>
      </c>
      <c r="D98" s="28">
        <f>+SUM(START:END!D98)</f>
        <v>0</v>
      </c>
      <c r="E98" s="28">
        <f t="shared" si="33"/>
        <v>0</v>
      </c>
      <c r="F98" s="28">
        <f>+SUM(START:END!F98)</f>
        <v>0</v>
      </c>
      <c r="G98" s="149">
        <f>+SUM(START:END!G98)</f>
        <v>0</v>
      </c>
      <c r="H98" s="28">
        <f t="shared" si="38"/>
        <v>0</v>
      </c>
      <c r="I98" s="28">
        <f>+SUM(START:END!I98)</f>
        <v>0</v>
      </c>
      <c r="J98" s="29">
        <f>+SUM(START:END!J98)</f>
        <v>0</v>
      </c>
      <c r="K98" s="28">
        <f t="shared" ref="K98" si="42">IF(J98=0,0,L98/J98)</f>
        <v>0</v>
      </c>
      <c r="L98" s="31">
        <f>+SUM(START:END!L98)</f>
        <v>0</v>
      </c>
      <c r="M98" s="29"/>
      <c r="N98" s="31"/>
      <c r="O98" s="29">
        <f>+SUM(START:END!O98)</f>
        <v>0</v>
      </c>
      <c r="P98" s="28">
        <f t="shared" ref="P98" si="43">IF(O98=0,0,Q98/O98)</f>
        <v>0</v>
      </c>
      <c r="Q98" s="30">
        <f>+SUM(START:END!Q98)</f>
        <v>0</v>
      </c>
      <c r="R98" s="29"/>
      <c r="S98" s="31"/>
      <c r="T98" s="14"/>
      <c r="U98" s="14"/>
      <c r="V98" s="28"/>
      <c r="W98" s="28"/>
      <c r="X98" s="28"/>
      <c r="Y98" s="28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0"/>
        <v>Véhicules usagésVentes au Gros</v>
      </c>
      <c r="B99" s="12" t="s">
        <v>73</v>
      </c>
      <c r="C99" s="27" t="s">
        <v>78</v>
      </c>
      <c r="D99" s="28">
        <f>+SUM(START:END!D99)</f>
        <v>64.307692307692307</v>
      </c>
      <c r="E99" s="28">
        <f t="shared" ref="E99" si="44">IF(D99=0,0,F99/D99)</f>
        <v>399</v>
      </c>
      <c r="F99" s="28">
        <f>+SUM(START:END!F99)</f>
        <v>25658.76923076923</v>
      </c>
      <c r="G99" s="149">
        <f>+SUM(START:END!G99)</f>
        <v>0</v>
      </c>
      <c r="H99" s="28">
        <f t="shared" ref="H99" si="45">IF(G99=0,0,I99/G99)</f>
        <v>0</v>
      </c>
      <c r="I99" s="28">
        <f>+SUM(START:END!I99)</f>
        <v>0</v>
      </c>
      <c r="J99" s="29">
        <f>+SUM(START:END!J99)</f>
        <v>85</v>
      </c>
      <c r="K99" s="28">
        <f t="shared" ref="K99" si="46">IF(J99=0,0,L99/J99)</f>
        <v>584.44541176470705</v>
      </c>
      <c r="L99" s="31">
        <f>+SUM(START:END!L99)</f>
        <v>49677.860000000102</v>
      </c>
      <c r="M99" s="29">
        <f>J99-D99</f>
        <v>20.692307692307693</v>
      </c>
      <c r="N99" s="31">
        <f>L99-F99</f>
        <v>24019.090769230872</v>
      </c>
      <c r="O99" s="29">
        <f>+SUM(START:END!O99)</f>
        <v>73</v>
      </c>
      <c r="P99" s="28">
        <f t="shared" ref="P99" si="47">IF(O99=0,0,Q99/O99)</f>
        <v>196.76246575342509</v>
      </c>
      <c r="Q99" s="30">
        <f>+SUM(START:END!Q99)</f>
        <v>14363.660000000033</v>
      </c>
      <c r="R99" s="29">
        <f>J99-O99</f>
        <v>12</v>
      </c>
      <c r="S99" s="31">
        <f>L99-Q99</f>
        <v>35314.20000000007</v>
      </c>
      <c r="T99" s="14"/>
      <c r="U99" s="14"/>
      <c r="V99" s="28"/>
      <c r="W99" s="28"/>
      <c r="X99" s="28"/>
      <c r="Y99" s="28"/>
      <c r="Z99" s="14"/>
      <c r="AA99" s="14"/>
      <c r="AB99" s="14"/>
      <c r="AC99" s="77"/>
      <c r="AD99" s="14"/>
      <c r="AE99" s="14"/>
      <c r="AF99" s="135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0"/>
        <v>Véhicules usagés</v>
      </c>
      <c r="B100" s="12" t="s">
        <v>73</v>
      </c>
      <c r="C100" s="82"/>
      <c r="D100" s="24"/>
      <c r="E100" s="24"/>
      <c r="F100" s="45"/>
      <c r="G100" s="48"/>
      <c r="H100" s="44"/>
      <c r="I100" s="45"/>
      <c r="J100" s="48"/>
      <c r="K100" s="44"/>
      <c r="L100" s="45"/>
      <c r="M100" s="46"/>
      <c r="N100" s="136"/>
      <c r="O100" s="48"/>
      <c r="P100" s="44"/>
      <c r="Q100" s="45"/>
      <c r="R100" s="46"/>
      <c r="S100" s="13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35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0"/>
        <v>Véhicules usagésRev. Finances</v>
      </c>
      <c r="B101" s="12" t="s">
        <v>73</v>
      </c>
      <c r="C101" s="27" t="s">
        <v>25</v>
      </c>
      <c r="D101" s="28">
        <v>0</v>
      </c>
      <c r="E101" s="28">
        <f t="shared" si="33"/>
        <v>0</v>
      </c>
      <c r="F101" s="31">
        <f>+SUM(START:END!F101)</f>
        <v>38000</v>
      </c>
      <c r="G101" s="29">
        <v>0</v>
      </c>
      <c r="H101" s="28">
        <f t="shared" ref="H101:H104" si="48">IF(G101=0,0,I101/G101)</f>
        <v>0</v>
      </c>
      <c r="I101" s="28">
        <f>+SUM(START:END!I101)</f>
        <v>0</v>
      </c>
      <c r="J101" s="29"/>
      <c r="K101" s="28">
        <f>IF(J96=0,0,L101/J96)</f>
        <v>606.56262295081967</v>
      </c>
      <c r="L101" s="31">
        <f>+SUM(START:END!L101)</f>
        <v>37000.32</v>
      </c>
      <c r="M101" s="29"/>
      <c r="N101" s="31">
        <f>L101-F101</f>
        <v>-999.68000000000029</v>
      </c>
      <c r="O101" s="29"/>
      <c r="P101" s="28">
        <f>IF(O96=0,0,Q101/O96)</f>
        <v>871.55520000000001</v>
      </c>
      <c r="Q101" s="31">
        <f>+SUM(START:END!Q101)</f>
        <v>65366.64</v>
      </c>
      <c r="R101" s="29">
        <f t="shared" ref="R101:R103" si="49">O101-K101</f>
        <v>-606.56262295081967</v>
      </c>
      <c r="S101" s="31">
        <f t="shared" ref="S101:S104" si="50">L101-Q101</f>
        <v>-28366.32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0"/>
        <v>Véhicules usagésRev. Protections</v>
      </c>
      <c r="B102" s="12" t="s">
        <v>73</v>
      </c>
      <c r="C102" s="27" t="s">
        <v>26</v>
      </c>
      <c r="D102" s="28">
        <v>0</v>
      </c>
      <c r="E102" s="28">
        <f t="shared" si="33"/>
        <v>0</v>
      </c>
      <c r="F102" s="31">
        <f>+SUM(START:END!F102)</f>
        <v>95000</v>
      </c>
      <c r="G102" s="29">
        <v>0</v>
      </c>
      <c r="H102" s="28">
        <f t="shared" si="48"/>
        <v>0</v>
      </c>
      <c r="I102" s="28">
        <f>+SUM(START:END!I102)</f>
        <v>0</v>
      </c>
      <c r="J102" s="29"/>
      <c r="K102" s="28">
        <f>IF(J96=0,0,L102/J96)</f>
        <v>1307.5759016393442</v>
      </c>
      <c r="L102" s="31">
        <f>+SUM(START:END!L102)</f>
        <v>79762.13</v>
      </c>
      <c r="M102" s="29"/>
      <c r="N102" s="31">
        <f>L102-F102</f>
        <v>-15237.869999999995</v>
      </c>
      <c r="O102" s="29"/>
      <c r="P102" s="28">
        <f>IF(O96=0,0,Q102/O96)</f>
        <v>1153.4446666666668</v>
      </c>
      <c r="Q102" s="31">
        <f>+SUM(START:END!Q102)</f>
        <v>86508.35</v>
      </c>
      <c r="R102" s="29">
        <f t="shared" si="49"/>
        <v>-1307.5759016393442</v>
      </c>
      <c r="S102" s="31">
        <f t="shared" si="50"/>
        <v>-6746.2200000000012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0"/>
        <v>Véhicules usagésRev. Autres</v>
      </c>
      <c r="B103" s="12" t="s">
        <v>73</v>
      </c>
      <c r="C103" s="27" t="s">
        <v>27</v>
      </c>
      <c r="D103" s="28">
        <v>0</v>
      </c>
      <c r="E103" s="24">
        <f t="shared" si="33"/>
        <v>0</v>
      </c>
      <c r="F103" s="31">
        <f>+SUM(START:END!F103)</f>
        <v>26600</v>
      </c>
      <c r="G103" s="29">
        <v>0</v>
      </c>
      <c r="H103" s="44">
        <f t="shared" si="48"/>
        <v>0</v>
      </c>
      <c r="I103" s="28">
        <f>+SUM(START:END!I103)</f>
        <v>0</v>
      </c>
      <c r="J103" s="29"/>
      <c r="K103" s="44">
        <f>IF(J96=0,0,L103/J96)</f>
        <v>39.466393442622945</v>
      </c>
      <c r="L103" s="31">
        <f>+SUM(START:END!L103)</f>
        <v>2407.4499999999998</v>
      </c>
      <c r="M103" s="48"/>
      <c r="N103" s="31">
        <f>L103-F103</f>
        <v>-24192.55</v>
      </c>
      <c r="O103" s="29"/>
      <c r="P103" s="44">
        <f>IF(O96=0,0,Q103/O96)</f>
        <v>41.581999999999994</v>
      </c>
      <c r="Q103" s="31">
        <f>+SUM(START:END!Q103)</f>
        <v>3118.6499999999996</v>
      </c>
      <c r="R103" s="29">
        <f t="shared" si="49"/>
        <v>-39.466393442622945</v>
      </c>
      <c r="S103" s="31">
        <f t="shared" si="50"/>
        <v>-711.19999999999982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0"/>
        <v>Véhicules usagésTotal F&amp;I</v>
      </c>
      <c r="B104" s="12" t="s">
        <v>73</v>
      </c>
      <c r="C104" s="33" t="s">
        <v>28</v>
      </c>
      <c r="D104" s="34">
        <f>D96</f>
        <v>76</v>
      </c>
      <c r="E104" s="28">
        <f t="shared" si="33"/>
        <v>2100</v>
      </c>
      <c r="F104" s="35">
        <f>F101+F102+F103</f>
        <v>159600</v>
      </c>
      <c r="G104" s="36">
        <f>G96</f>
        <v>0</v>
      </c>
      <c r="H104" s="34">
        <f t="shared" si="48"/>
        <v>0</v>
      </c>
      <c r="I104" s="35">
        <f>I101+I102+I103</f>
        <v>0</v>
      </c>
      <c r="J104" s="36">
        <f>J96</f>
        <v>61</v>
      </c>
      <c r="K104" s="34">
        <f>IF(J104&lt;=0,0,L104/J104)</f>
        <v>1953.6049180327871</v>
      </c>
      <c r="L104" s="35">
        <f>L101+L102+L103</f>
        <v>119169.90000000001</v>
      </c>
      <c r="M104" s="29">
        <f>J104-D104</f>
        <v>-15</v>
      </c>
      <c r="N104" s="35">
        <f>L104-F104</f>
        <v>-40430.099999999991</v>
      </c>
      <c r="O104" s="36">
        <f>O96</f>
        <v>75</v>
      </c>
      <c r="P104" s="34">
        <f>IF(O104&lt;=0,0,Q104/O104)</f>
        <v>2066.5818666666664</v>
      </c>
      <c r="Q104" s="35">
        <f>Q101+Q102+Q103</f>
        <v>154993.63999999998</v>
      </c>
      <c r="R104" s="53"/>
      <c r="S104" s="35">
        <f t="shared" si="50"/>
        <v>-35823.739999999976</v>
      </c>
      <c r="T104" s="14"/>
      <c r="U104" s="14"/>
      <c r="V104" s="28"/>
      <c r="W104" s="28"/>
      <c r="X104" s="28"/>
      <c r="Y104" s="28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0"/>
        <v>Véhicules usagés</v>
      </c>
      <c r="B105" s="12" t="s">
        <v>73</v>
      </c>
      <c r="C105" s="27"/>
      <c r="D105" s="14"/>
      <c r="E105" s="14"/>
      <c r="F105" s="55"/>
      <c r="G105" s="38"/>
      <c r="H105" s="137"/>
      <c r="I105" s="55"/>
      <c r="J105" s="38"/>
      <c r="K105" s="14"/>
      <c r="L105" s="55"/>
      <c r="M105" s="39"/>
      <c r="N105" s="40">
        <f>N104/F104</f>
        <v>-0.25332142857142853</v>
      </c>
      <c r="O105" s="38"/>
      <c r="P105" s="14"/>
      <c r="Q105" s="55"/>
      <c r="R105" s="56"/>
      <c r="S105" s="40">
        <f>IF(Q104=0,0,(S104/Q104))</f>
        <v>-0.23113038702749339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0"/>
        <v>Véhicules usagés</v>
      </c>
      <c r="B106" s="12" t="s">
        <v>73</v>
      </c>
      <c r="C106" s="27"/>
      <c r="D106" s="14"/>
      <c r="E106" s="14"/>
      <c r="F106" s="55"/>
      <c r="G106" s="38"/>
      <c r="H106" s="137"/>
      <c r="I106" s="55"/>
      <c r="J106" s="38"/>
      <c r="K106" s="28"/>
      <c r="L106" s="55"/>
      <c r="M106" s="39"/>
      <c r="N106" s="40"/>
      <c r="O106" s="38"/>
      <c r="P106" s="14"/>
      <c r="Q106" s="55"/>
      <c r="R106" s="56"/>
      <c r="S106" s="40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0"/>
        <v>Véhicules usagésTotal Dépt. Usagés</v>
      </c>
      <c r="B107" s="12" t="s">
        <v>73</v>
      </c>
      <c r="C107" s="58" t="s">
        <v>79</v>
      </c>
      <c r="D107" s="59">
        <f>D96+D99</f>
        <v>140.30769230769232</v>
      </c>
      <c r="E107" s="63">
        <f>IF(D107&lt;=0,0,F107/D107)</f>
        <v>2326.7916666666665</v>
      </c>
      <c r="F107" s="61">
        <f>F96+F104+F99</f>
        <v>326466.76923076925</v>
      </c>
      <c r="G107" s="62">
        <f>G96+G99</f>
        <v>0</v>
      </c>
      <c r="H107" s="63">
        <f>IF(G107&lt;=0,0,I107/G107)</f>
        <v>0</v>
      </c>
      <c r="I107" s="61">
        <f>I96+I104+I99</f>
        <v>0</v>
      </c>
      <c r="J107" s="62">
        <f>J96+J99+J98</f>
        <v>146</v>
      </c>
      <c r="K107" s="63">
        <f>IF(J107&lt;=0,0,L107/J107)</f>
        <v>1987.0728767123301</v>
      </c>
      <c r="L107" s="61">
        <f>L96+L104+L99+L98</f>
        <v>290112.64000000019</v>
      </c>
      <c r="M107" s="62">
        <f>J107-D107</f>
        <v>5.6923076923076792</v>
      </c>
      <c r="N107" s="61">
        <f>L107-F107</f>
        <v>-36354.12923076906</v>
      </c>
      <c r="O107" s="62">
        <f>O96+O99+O98</f>
        <v>148</v>
      </c>
      <c r="P107" s="63">
        <f>IF(O107&lt;=0,0,Q107/O107)</f>
        <v>2250.0155405405408</v>
      </c>
      <c r="Q107" s="61">
        <f>Q96+Q104+Q99+Q98</f>
        <v>333002.30000000005</v>
      </c>
      <c r="R107" s="62">
        <f>J107-O107</f>
        <v>-2</v>
      </c>
      <c r="S107" s="61">
        <f>L107-Q107</f>
        <v>-42889.659999999858</v>
      </c>
      <c r="T107" s="14"/>
      <c r="U107" s="14"/>
      <c r="V107" s="28"/>
      <c r="W107" s="28"/>
      <c r="X107" s="28"/>
      <c r="Y107" s="28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0"/>
        <v>Véhicules usagés</v>
      </c>
      <c r="B108" s="12" t="s">
        <v>73</v>
      </c>
      <c r="C108" s="64"/>
      <c r="D108" s="65"/>
      <c r="E108" s="65"/>
      <c r="F108" s="66"/>
      <c r="G108" s="67"/>
      <c r="H108" s="65"/>
      <c r="I108" s="66"/>
      <c r="J108" s="67"/>
      <c r="K108" s="65"/>
      <c r="L108" s="66"/>
      <c r="M108" s="68">
        <f>M107/D107</f>
        <v>4.0570175438596395E-2</v>
      </c>
      <c r="N108" s="69">
        <f>N107/F107</f>
        <v>-0.11135629306599182</v>
      </c>
      <c r="O108" s="67"/>
      <c r="P108" s="65"/>
      <c r="Q108" s="66"/>
      <c r="R108" s="419">
        <f>O107/R107</f>
        <v>-74</v>
      </c>
      <c r="S108" s="420">
        <f>IF(Q107=0,0,(S107/Q107))</f>
        <v>-0.1287968881896607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0"/>
        <v>Véhicules usagés</v>
      </c>
      <c r="B109" s="12" t="s">
        <v>73</v>
      </c>
      <c r="C109" s="50"/>
      <c r="D109" s="71"/>
      <c r="E109" s="71"/>
      <c r="F109" s="72"/>
      <c r="G109" s="73"/>
      <c r="H109" s="71"/>
      <c r="I109" s="72"/>
      <c r="J109" s="73"/>
      <c r="K109" s="71"/>
      <c r="L109" s="72"/>
      <c r="M109" s="39"/>
      <c r="N109" s="40"/>
      <c r="O109" s="73"/>
      <c r="P109" s="71"/>
      <c r="Q109" s="72"/>
      <c r="R109" s="39"/>
      <c r="S109" s="40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0"/>
        <v>Véhicules usagésDEPENSES</v>
      </c>
      <c r="B110" s="12" t="s">
        <v>73</v>
      </c>
      <c r="C110" s="74" t="s">
        <v>30</v>
      </c>
      <c r="D110" s="14"/>
      <c r="E110" s="75"/>
      <c r="F110" s="55"/>
      <c r="G110" s="38"/>
      <c r="H110" s="75"/>
      <c r="I110" s="55"/>
      <c r="J110" s="38"/>
      <c r="K110" s="75"/>
      <c r="L110" s="37"/>
      <c r="M110" s="38"/>
      <c r="N110" s="37"/>
      <c r="O110" s="38"/>
      <c r="P110" s="75"/>
      <c r="Q110" s="37"/>
      <c r="R110" s="38"/>
      <c r="S110" s="37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0"/>
        <v>Véhicules usagésComm. vendeurs</v>
      </c>
      <c r="B111" s="12" t="s">
        <v>73</v>
      </c>
      <c r="C111" s="27" t="s">
        <v>31</v>
      </c>
      <c r="D111" s="76"/>
      <c r="E111" s="77">
        <f t="shared" ref="E111:E119" si="51">F111/D$96</f>
        <v>588.10526315789468</v>
      </c>
      <c r="F111" s="28">
        <f>+SUM(START:END!F111)</f>
        <v>44696</v>
      </c>
      <c r="G111" s="138" t="e">
        <f>I111/I96</f>
        <v>#DIV/0!</v>
      </c>
      <c r="H111" s="77" t="e">
        <f t="shared" ref="H111:H119" si="52">I111/G$96</f>
        <v>#DIV/0!</v>
      </c>
      <c r="I111" s="28">
        <f>+SUM(START:END!I111)</f>
        <v>0</v>
      </c>
      <c r="J111" s="138">
        <f>L111/L96</f>
        <v>0.48258094181926336</v>
      </c>
      <c r="K111" s="77">
        <f t="shared" ref="K111:K119" si="53">IF($J$96=0,0,L111/(J$94+J$95))</f>
        <v>959.34622950819664</v>
      </c>
      <c r="L111" s="31">
        <f>+SUM(START:END!L111)</f>
        <v>58520.119999999995</v>
      </c>
      <c r="M111" s="38"/>
      <c r="N111" s="55">
        <f t="shared" ref="N111:N152" si="54">L111-F111</f>
        <v>13824.119999999995</v>
      </c>
      <c r="O111" s="38"/>
      <c r="P111" s="77">
        <f t="shared" ref="P111:P119" si="55">IF($J$96=0,0,Q111/(O$94+O$95))</f>
        <v>769.11360000000002</v>
      </c>
      <c r="Q111" s="31">
        <f>+SUM(START:END!Q111)</f>
        <v>57683.520000000004</v>
      </c>
      <c r="R111" s="38"/>
      <c r="S111" s="55">
        <f t="shared" ref="S111:S152" si="56">L111-Q111</f>
        <v>836.59999999999127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0"/>
        <v>Véhicules usagésComm. F&amp;I</v>
      </c>
      <c r="B112" s="12" t="s">
        <v>73</v>
      </c>
      <c r="C112" s="82" t="s">
        <v>32</v>
      </c>
      <c r="D112" s="83"/>
      <c r="E112" s="84">
        <f t="shared" si="51"/>
        <v>630</v>
      </c>
      <c r="F112" s="22">
        <f>+SUM(START:END!F112)</f>
        <v>47880</v>
      </c>
      <c r="G112" s="87" t="e">
        <f>I112/I104</f>
        <v>#DIV/0!</v>
      </c>
      <c r="H112" s="84" t="e">
        <f t="shared" si="52"/>
        <v>#DIV/0!</v>
      </c>
      <c r="I112" s="22">
        <f>+SUM(START:END!I112)</f>
        <v>0</v>
      </c>
      <c r="J112" s="87">
        <f>L112/L104</f>
        <v>0.29214969551875092</v>
      </c>
      <c r="K112" s="84">
        <f t="shared" si="53"/>
        <v>570.74508196721308</v>
      </c>
      <c r="L112" s="31">
        <f>+SUM(START:END!L112)</f>
        <v>34815.449999999997</v>
      </c>
      <c r="M112" s="23"/>
      <c r="N112" s="88">
        <f t="shared" si="54"/>
        <v>-13064.550000000003</v>
      </c>
      <c r="O112" s="23"/>
      <c r="P112" s="84">
        <f t="shared" si="55"/>
        <v>590.11079999999993</v>
      </c>
      <c r="Q112" s="31">
        <f>+SUM(START:END!Q112)</f>
        <v>44258.31</v>
      </c>
      <c r="R112" s="23"/>
      <c r="S112" s="88">
        <f t="shared" si="56"/>
        <v>-9442.86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0"/>
        <v>Véhicules usagésFrais de livraison</v>
      </c>
      <c r="B113" s="12" t="s">
        <v>73</v>
      </c>
      <c r="C113" s="27" t="s">
        <v>33</v>
      </c>
      <c r="D113" s="76"/>
      <c r="E113" s="77">
        <f t="shared" si="51"/>
        <v>43.638219139208324</v>
      </c>
      <c r="F113" s="28">
        <f>+SUM(START:END!F113)</f>
        <v>3316.5046545798327</v>
      </c>
      <c r="G113" s="78"/>
      <c r="H113" s="77" t="e">
        <f t="shared" si="52"/>
        <v>#DIV/0!</v>
      </c>
      <c r="I113" s="28">
        <f>+SUM(START:END!I113)</f>
        <v>0</v>
      </c>
      <c r="J113" s="38"/>
      <c r="K113" s="77">
        <f t="shared" si="53"/>
        <v>-29.189016393442621</v>
      </c>
      <c r="L113" s="105">
        <f>+SUM(START:END!L113)</f>
        <v>-1780.53</v>
      </c>
      <c r="M113" s="38"/>
      <c r="N113" s="55">
        <f t="shared" si="54"/>
        <v>-5097.0346545798329</v>
      </c>
      <c r="O113" s="38"/>
      <c r="P113" s="77">
        <f t="shared" si="55"/>
        <v>19.782933333333332</v>
      </c>
      <c r="Q113" s="105">
        <f>+SUM(START:END!Q113)</f>
        <v>1483.72</v>
      </c>
      <c r="R113" s="38"/>
      <c r="S113" s="55">
        <f t="shared" si="56"/>
        <v>-3264.25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0"/>
        <v>Véhicules usagésService gratuit 1</v>
      </c>
      <c r="B114" s="12" t="s">
        <v>73</v>
      </c>
      <c r="C114" s="27" t="s">
        <v>34</v>
      </c>
      <c r="D114" s="76"/>
      <c r="E114" s="77">
        <f t="shared" si="51"/>
        <v>15.731566240051016</v>
      </c>
      <c r="F114" s="28">
        <f>+SUM(START:END!F114)</f>
        <v>1195.5990342438772</v>
      </c>
      <c r="G114" s="78"/>
      <c r="H114" s="77" t="e">
        <f t="shared" si="52"/>
        <v>#DIV/0!</v>
      </c>
      <c r="I114" s="28">
        <f>+SUM(START:END!I114)</f>
        <v>0</v>
      </c>
      <c r="J114" s="38"/>
      <c r="K114" s="77">
        <f t="shared" si="53"/>
        <v>10.168360655737704</v>
      </c>
      <c r="L114" s="31">
        <f>+SUM(START:END!L114)</f>
        <v>620.27</v>
      </c>
      <c r="M114" s="38"/>
      <c r="N114" s="55">
        <f t="shared" si="54"/>
        <v>-575.32903424387723</v>
      </c>
      <c r="O114" s="38"/>
      <c r="P114" s="77">
        <f t="shared" si="55"/>
        <v>0</v>
      </c>
      <c r="Q114" s="31">
        <f>+SUM(START:END!Q114)</f>
        <v>0</v>
      </c>
      <c r="R114" s="38"/>
      <c r="S114" s="55">
        <f t="shared" si="56"/>
        <v>620.27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0"/>
        <v>Véhicules usagésEntretien stock</v>
      </c>
      <c r="B115" s="12" t="s">
        <v>73</v>
      </c>
      <c r="C115" s="82" t="s">
        <v>35</v>
      </c>
      <c r="D115" s="83"/>
      <c r="E115" s="84">
        <f t="shared" si="51"/>
        <v>125.42456696334298</v>
      </c>
      <c r="F115" s="22">
        <f>+SUM(START:END!F115)</f>
        <v>9532.2670892140668</v>
      </c>
      <c r="G115" s="85"/>
      <c r="H115" s="84" t="e">
        <f t="shared" si="52"/>
        <v>#DIV/0!</v>
      </c>
      <c r="I115" s="22">
        <f>+SUM(START:END!I115)</f>
        <v>0</v>
      </c>
      <c r="J115" s="23"/>
      <c r="K115" s="84">
        <f t="shared" si="53"/>
        <v>138.16622950819672</v>
      </c>
      <c r="L115" s="45">
        <f>+SUM(START:END!L115)</f>
        <v>8428.14</v>
      </c>
      <c r="M115" s="23"/>
      <c r="N115" s="88">
        <f t="shared" si="54"/>
        <v>-1104.1270892140674</v>
      </c>
      <c r="O115" s="23"/>
      <c r="P115" s="84">
        <f t="shared" si="55"/>
        <v>136.84666666666666</v>
      </c>
      <c r="Q115" s="45">
        <f>+SUM(START:END!Q115)</f>
        <v>10263.5</v>
      </c>
      <c r="R115" s="23"/>
      <c r="S115" s="88">
        <f t="shared" si="56"/>
        <v>-1835.3600000000006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0"/>
        <v>Véhicules usagésPublicité 1</v>
      </c>
      <c r="B116" s="12" t="s">
        <v>73</v>
      </c>
      <c r="C116" s="27" t="s">
        <v>36</v>
      </c>
      <c r="D116" s="76"/>
      <c r="E116" s="77">
        <f t="shared" si="51"/>
        <v>69.006410256410248</v>
      </c>
      <c r="F116" s="28">
        <f>+SUM(START:END!F116)</f>
        <v>5244.4871794871788</v>
      </c>
      <c r="G116" s="78"/>
      <c r="H116" s="77" t="e">
        <f t="shared" si="52"/>
        <v>#DIV/0!</v>
      </c>
      <c r="I116" s="28">
        <f>+SUM(START:END!I116)</f>
        <v>0</v>
      </c>
      <c r="J116" s="38"/>
      <c r="K116" s="77">
        <f t="shared" si="53"/>
        <v>439.1549180327869</v>
      </c>
      <c r="L116" s="31">
        <f>+SUM(START:END!L116)</f>
        <v>26788.45</v>
      </c>
      <c r="M116" s="38"/>
      <c r="N116" s="55">
        <f t="shared" si="54"/>
        <v>21543.962820512821</v>
      </c>
      <c r="O116" s="38"/>
      <c r="P116" s="77">
        <f t="shared" si="55"/>
        <v>153.40533333333332</v>
      </c>
      <c r="Q116" s="31">
        <f>+SUM(START:END!Q116)</f>
        <v>11505.4</v>
      </c>
      <c r="R116" s="38"/>
      <c r="S116" s="55">
        <f t="shared" si="56"/>
        <v>15283.050000000001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0"/>
        <v>Véhicules usagésIntérêt de gros</v>
      </c>
      <c r="B117" s="12" t="s">
        <v>73</v>
      </c>
      <c r="C117" s="27" t="s">
        <v>37</v>
      </c>
      <c r="D117" s="76"/>
      <c r="E117" s="77">
        <f t="shared" si="51"/>
        <v>173.79048738284061</v>
      </c>
      <c r="F117" s="28">
        <f>+SUM(START:END!F117)</f>
        <v>13208.077041095887</v>
      </c>
      <c r="G117" s="78"/>
      <c r="H117" s="77" t="e">
        <f t="shared" si="52"/>
        <v>#DIV/0!</v>
      </c>
      <c r="I117" s="28">
        <f>+SUM(START:END!I117)</f>
        <v>0</v>
      </c>
      <c r="J117" s="38"/>
      <c r="K117" s="77">
        <f t="shared" si="53"/>
        <v>63.905081967213114</v>
      </c>
      <c r="L117" s="31">
        <f>+SUM(START:END!L117)</f>
        <v>3898.21</v>
      </c>
      <c r="M117" s="38"/>
      <c r="N117" s="55">
        <f t="shared" si="54"/>
        <v>-9309.8670410958875</v>
      </c>
      <c r="O117" s="38"/>
      <c r="P117" s="77">
        <f t="shared" si="55"/>
        <v>114.49653333333333</v>
      </c>
      <c r="Q117" s="31">
        <f>+SUM(START:END!Q117)</f>
        <v>8587.24</v>
      </c>
      <c r="R117" s="38"/>
      <c r="S117" s="55">
        <f t="shared" si="56"/>
        <v>-4689.03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0"/>
        <v>Véhicules usagés[...]</v>
      </c>
      <c r="B118" s="12" t="s">
        <v>73</v>
      </c>
      <c r="C118" s="27" t="s">
        <v>20</v>
      </c>
      <c r="D118" s="76"/>
      <c r="E118" s="77">
        <f t="shared" si="51"/>
        <v>0</v>
      </c>
      <c r="F118" s="28">
        <f>+SUM(START:END!F118)</f>
        <v>0</v>
      </c>
      <c r="G118" s="78"/>
      <c r="H118" s="77" t="e">
        <f t="shared" si="52"/>
        <v>#DIV/0!</v>
      </c>
      <c r="I118" s="28">
        <f>+SUM(START:END!I118)</f>
        <v>0</v>
      </c>
      <c r="J118" s="38"/>
      <c r="K118" s="77">
        <f t="shared" si="53"/>
        <v>0</v>
      </c>
      <c r="L118" s="31">
        <f>+SUM(START:END!L118)</f>
        <v>0</v>
      </c>
      <c r="M118" s="38"/>
      <c r="N118" s="55">
        <f t="shared" si="54"/>
        <v>0</v>
      </c>
      <c r="O118" s="38"/>
      <c r="P118" s="77">
        <f t="shared" si="55"/>
        <v>0</v>
      </c>
      <c r="Q118" s="31">
        <f>+SUM(START:END!Q118)</f>
        <v>0</v>
      </c>
      <c r="R118" s="38"/>
      <c r="S118" s="55">
        <f t="shared" si="56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0"/>
        <v>Véhicules usagés[...]</v>
      </c>
      <c r="B119" s="12" t="s">
        <v>73</v>
      </c>
      <c r="C119" s="27" t="s">
        <v>20</v>
      </c>
      <c r="D119" s="76"/>
      <c r="E119" s="77">
        <f t="shared" si="51"/>
        <v>0</v>
      </c>
      <c r="F119" s="28">
        <f>+SUM(START:END!F119)</f>
        <v>0</v>
      </c>
      <c r="G119" s="78"/>
      <c r="H119" s="77" t="e">
        <f t="shared" si="52"/>
        <v>#DIV/0!</v>
      </c>
      <c r="I119" s="28">
        <f>+SUM(START:END!I119)</f>
        <v>0</v>
      </c>
      <c r="J119" s="38"/>
      <c r="K119" s="77">
        <f t="shared" si="53"/>
        <v>0</v>
      </c>
      <c r="L119" s="31">
        <f>+SUM(START:END!L119)</f>
        <v>0</v>
      </c>
      <c r="M119" s="38"/>
      <c r="N119" s="55">
        <f t="shared" si="54"/>
        <v>0</v>
      </c>
      <c r="O119" s="38"/>
      <c r="P119" s="77">
        <f t="shared" si="55"/>
        <v>0</v>
      </c>
      <c r="Q119" s="31">
        <f>+SUM(START:END!Q119)</f>
        <v>0</v>
      </c>
      <c r="R119" s="38"/>
      <c r="S119" s="55">
        <f t="shared" si="56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0"/>
        <v>Véhicules usagés[...]</v>
      </c>
      <c r="B120" s="12" t="s">
        <v>73</v>
      </c>
      <c r="C120" s="27" t="s">
        <v>20</v>
      </c>
      <c r="D120" s="76"/>
      <c r="E120" s="77">
        <f>F120/D$96</f>
        <v>0</v>
      </c>
      <c r="F120" s="28">
        <f>+SUM(START:END!F120)</f>
        <v>0</v>
      </c>
      <c r="G120" s="78"/>
      <c r="H120" s="77" t="e">
        <f>I120/G$96</f>
        <v>#DIV/0!</v>
      </c>
      <c r="I120" s="28">
        <f>+SUM(START:END!I120)</f>
        <v>0</v>
      </c>
      <c r="J120" s="38"/>
      <c r="K120" s="77">
        <f>IF($J$96=0,0,L120/(J$94+J$95))</f>
        <v>0</v>
      </c>
      <c r="L120" s="31">
        <f>+SUM(START:END!L120)</f>
        <v>0</v>
      </c>
      <c r="M120" s="38"/>
      <c r="N120" s="55">
        <f t="shared" si="54"/>
        <v>0</v>
      </c>
      <c r="O120" s="38"/>
      <c r="P120" s="77">
        <f>IF($J$96=0,0,Q120/(O$94+O$95))</f>
        <v>0</v>
      </c>
      <c r="Q120" s="31">
        <f>+SUM(START:END!Q120)</f>
        <v>0</v>
      </c>
      <c r="R120" s="38"/>
      <c r="S120" s="55">
        <f t="shared" si="56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0"/>
        <v>Véhicules usagésTOTAL VARIABLES</v>
      </c>
      <c r="B121" s="12" t="s">
        <v>73</v>
      </c>
      <c r="C121" s="90" t="s">
        <v>38</v>
      </c>
      <c r="D121" s="91" t="s">
        <v>39</v>
      </c>
      <c r="E121" s="92">
        <f>F121/F$107</f>
        <v>0.38311076895612206</v>
      </c>
      <c r="F121" s="93">
        <f>SUM(F111:F120)</f>
        <v>125072.93499862085</v>
      </c>
      <c r="G121" s="94" t="s">
        <v>39</v>
      </c>
      <c r="H121" s="92" t="e">
        <f>I121/I$107</f>
        <v>#DIV/0!</v>
      </c>
      <c r="I121" s="93">
        <f>SUM(I111:I120)</f>
        <v>0</v>
      </c>
      <c r="J121" s="94" t="s">
        <v>39</v>
      </c>
      <c r="K121" s="92">
        <f>L121/L$107</f>
        <v>0.45254874106829646</v>
      </c>
      <c r="L121" s="93">
        <f>SUM(L111:L120)</f>
        <v>131290.10999999999</v>
      </c>
      <c r="M121" s="97"/>
      <c r="N121" s="93">
        <f t="shared" si="54"/>
        <v>6217.1750013791316</v>
      </c>
      <c r="O121" s="94" t="s">
        <v>39</v>
      </c>
      <c r="P121" s="92">
        <f>Q121/Q$107</f>
        <v>0.4017440420081182</v>
      </c>
      <c r="Q121" s="93">
        <f>SUM(Q111:Q120)</f>
        <v>133781.69</v>
      </c>
      <c r="R121" s="97"/>
      <c r="S121" s="93">
        <f t="shared" si="56"/>
        <v>-2491.5800000000163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0"/>
        <v>Véhicules usagésSalaires cadres</v>
      </c>
      <c r="B122" s="12" t="s">
        <v>73</v>
      </c>
      <c r="C122" s="99" t="s">
        <v>41</v>
      </c>
      <c r="D122" s="14"/>
      <c r="E122" s="14"/>
      <c r="F122" s="28">
        <f>+SUM(START:END!F122)</f>
        <v>20115.534865900387</v>
      </c>
      <c r="G122" s="38"/>
      <c r="H122" s="14"/>
      <c r="I122" s="28">
        <f>+SUM(START:END!I122)</f>
        <v>0</v>
      </c>
      <c r="J122" s="38"/>
      <c r="K122" s="14"/>
      <c r="L122" s="31">
        <f>+SUM(START:END!L122)</f>
        <v>10149.41</v>
      </c>
      <c r="M122" s="38"/>
      <c r="N122" s="55">
        <f t="shared" si="54"/>
        <v>-9966.1248659003868</v>
      </c>
      <c r="O122" s="38"/>
      <c r="P122" s="14"/>
      <c r="Q122" s="31">
        <f>+SUM(START:END!Q122)</f>
        <v>20484.849999999999</v>
      </c>
      <c r="R122" s="38"/>
      <c r="S122" s="55">
        <f t="shared" si="56"/>
        <v>-10335.439999999999</v>
      </c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0"/>
        <v>Véhicules usagésSalaires commis</v>
      </c>
      <c r="B123" s="12" t="s">
        <v>73</v>
      </c>
      <c r="C123" s="100" t="s">
        <v>42</v>
      </c>
      <c r="D123" s="76"/>
      <c r="E123" s="14"/>
      <c r="F123" s="22">
        <f>+SUM(START:END!F123)</f>
        <v>4544.2832183908049</v>
      </c>
      <c r="G123" s="78"/>
      <c r="H123" s="14"/>
      <c r="I123" s="22">
        <f>+SUM(START:END!I123)</f>
        <v>0</v>
      </c>
      <c r="J123" s="38"/>
      <c r="K123" s="14"/>
      <c r="L123" s="22">
        <f>+SUM(START:END!L123)</f>
        <v>11569.92</v>
      </c>
      <c r="M123" s="38"/>
      <c r="N123" s="55">
        <f t="shared" si="54"/>
        <v>7025.6367816091952</v>
      </c>
      <c r="O123" s="38"/>
      <c r="P123" s="14"/>
      <c r="Q123" s="22">
        <f>+SUM(START:END!Q123)</f>
        <v>3249.3199999999997</v>
      </c>
      <c r="R123" s="38"/>
      <c r="S123" s="55">
        <f t="shared" si="56"/>
        <v>8320.6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0"/>
        <v>Véhicules usagésSalaires autres</v>
      </c>
      <c r="B124" s="12" t="s">
        <v>73</v>
      </c>
      <c r="C124" s="99" t="s">
        <v>43</v>
      </c>
      <c r="D124" s="101"/>
      <c r="E124" s="102"/>
      <c r="F124" s="28">
        <f>+SUM(START:END!F124)</f>
        <v>15558.534865900387</v>
      </c>
      <c r="G124" s="103"/>
      <c r="H124" s="102"/>
      <c r="I124" s="28">
        <f>+SUM(START:END!I124)</f>
        <v>0</v>
      </c>
      <c r="J124" s="104"/>
      <c r="K124" s="102"/>
      <c r="L124" s="31">
        <f>+SUM(START:END!L124)</f>
        <v>24111.4</v>
      </c>
      <c r="M124" s="104"/>
      <c r="N124" s="106">
        <f t="shared" si="54"/>
        <v>8552.8651340996148</v>
      </c>
      <c r="O124" s="104"/>
      <c r="P124" s="102"/>
      <c r="Q124" s="31">
        <f>+SUM(START:END!Q124)</f>
        <v>14528.32</v>
      </c>
      <c r="R124" s="104"/>
      <c r="S124" s="106">
        <f t="shared" si="56"/>
        <v>9583.0800000000017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0"/>
        <v>Véhicules usagésSalaires spécialistes</v>
      </c>
      <c r="B125" s="12" t="s">
        <v>73</v>
      </c>
      <c r="C125" s="99" t="s">
        <v>44</v>
      </c>
      <c r="D125" s="76"/>
      <c r="E125" s="14"/>
      <c r="F125" s="28">
        <f>+SUM(START:END!F125)</f>
        <v>0</v>
      </c>
      <c r="G125" s="78"/>
      <c r="H125" s="14"/>
      <c r="I125" s="28">
        <f>+SUM(START:END!I125)</f>
        <v>0</v>
      </c>
      <c r="J125" s="38"/>
      <c r="K125" s="14"/>
      <c r="L125" s="31">
        <f>+SUM(START:END!L125)</f>
        <v>0</v>
      </c>
      <c r="M125" s="38"/>
      <c r="N125" s="55">
        <f t="shared" si="54"/>
        <v>0</v>
      </c>
      <c r="O125" s="38"/>
      <c r="P125" s="14"/>
      <c r="Q125" s="31">
        <f>+SUM(START:END!Q125)</f>
        <v>0</v>
      </c>
      <c r="R125" s="38"/>
      <c r="S125" s="55">
        <f t="shared" si="56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0"/>
        <v>Véhicules usagés[...]</v>
      </c>
      <c r="B126" s="12" t="s">
        <v>73</v>
      </c>
      <c r="C126" s="99" t="s">
        <v>20</v>
      </c>
      <c r="D126" s="76"/>
      <c r="E126" s="14"/>
      <c r="F126" s="28">
        <f>+SUM(START:END!F126)</f>
        <v>0</v>
      </c>
      <c r="G126" s="78"/>
      <c r="H126" s="14"/>
      <c r="I126" s="28">
        <f>+SUM(START:END!I126)</f>
        <v>0</v>
      </c>
      <c r="J126" s="38"/>
      <c r="K126" s="14"/>
      <c r="L126" s="31">
        <f>+SUM(START:END!L126)</f>
        <v>0</v>
      </c>
      <c r="M126" s="38"/>
      <c r="N126" s="55">
        <f t="shared" si="54"/>
        <v>0</v>
      </c>
      <c r="O126" s="38"/>
      <c r="P126" s="14"/>
      <c r="Q126" s="31">
        <f>+SUM(START:END!Q126)</f>
        <v>0</v>
      </c>
      <c r="R126" s="38"/>
      <c r="S126" s="55">
        <f t="shared" si="56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0"/>
        <v>Véhicules usagés[...]</v>
      </c>
      <c r="B127" s="12" t="s">
        <v>73</v>
      </c>
      <c r="C127" s="99" t="s">
        <v>20</v>
      </c>
      <c r="D127" s="76"/>
      <c r="E127" s="14"/>
      <c r="F127" s="28">
        <f>+SUM(START:END!F127)</f>
        <v>0</v>
      </c>
      <c r="G127" s="78"/>
      <c r="H127" s="14"/>
      <c r="I127" s="28">
        <f>+SUM(START:END!I127)</f>
        <v>0</v>
      </c>
      <c r="J127" s="38"/>
      <c r="K127" s="14"/>
      <c r="L127" s="31">
        <f>+SUM(START:END!L127)</f>
        <v>0</v>
      </c>
      <c r="M127" s="38"/>
      <c r="N127" s="55">
        <f t="shared" si="54"/>
        <v>0</v>
      </c>
      <c r="O127" s="38"/>
      <c r="P127" s="14"/>
      <c r="Q127" s="31">
        <f>+SUM(START:END!Q127)</f>
        <v>0</v>
      </c>
      <c r="R127" s="38"/>
      <c r="S127" s="55">
        <f t="shared" si="56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0"/>
        <v>Véhicules usagés[...]</v>
      </c>
      <c r="B128" s="12" t="s">
        <v>73</v>
      </c>
      <c r="C128" s="99" t="s">
        <v>20</v>
      </c>
      <c r="D128" s="76"/>
      <c r="E128" s="14"/>
      <c r="F128" s="28">
        <f>+SUM(START:END!F128)</f>
        <v>0</v>
      </c>
      <c r="G128" s="78"/>
      <c r="H128" s="14"/>
      <c r="I128" s="28">
        <f>+SUM(START:END!I128)</f>
        <v>0</v>
      </c>
      <c r="J128" s="38"/>
      <c r="K128" s="14"/>
      <c r="L128" s="31">
        <f>+SUM(START:END!L128)</f>
        <v>0</v>
      </c>
      <c r="M128" s="38"/>
      <c r="N128" s="55">
        <f t="shared" si="54"/>
        <v>0</v>
      </c>
      <c r="O128" s="38"/>
      <c r="P128" s="14"/>
      <c r="Q128" s="31">
        <f>+SUM(START:END!Q128)</f>
        <v>0</v>
      </c>
      <c r="R128" s="38"/>
      <c r="S128" s="55">
        <f t="shared" si="56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0"/>
        <v>Véhicules usagésSalaires en absences</v>
      </c>
      <c r="B129" s="12" t="s">
        <v>73</v>
      </c>
      <c r="C129" s="100" t="s">
        <v>45</v>
      </c>
      <c r="D129" s="76"/>
      <c r="E129" s="14"/>
      <c r="F129" s="28">
        <f>+SUM(START:END!F129)</f>
        <v>15341.844271503702</v>
      </c>
      <c r="G129" s="78"/>
      <c r="H129" s="14"/>
      <c r="I129" s="28">
        <f>+SUM(START:END!I129)</f>
        <v>0</v>
      </c>
      <c r="J129" s="38"/>
      <c r="K129" s="14"/>
      <c r="L129" s="31">
        <f>+SUM(START:END!L129)</f>
        <v>12789.6</v>
      </c>
      <c r="M129" s="38"/>
      <c r="N129" s="55">
        <f t="shared" si="54"/>
        <v>-2552.2442715037014</v>
      </c>
      <c r="O129" s="38"/>
      <c r="P129" s="14"/>
      <c r="Q129" s="31">
        <f>+SUM(START:END!Q129)</f>
        <v>10822.94</v>
      </c>
      <c r="R129" s="38"/>
      <c r="S129" s="55">
        <f t="shared" si="56"/>
        <v>1966.6599999999999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0"/>
        <v>Véhicules usagésDéduction à la source</v>
      </c>
      <c r="B130" s="12" t="s">
        <v>73</v>
      </c>
      <c r="C130" s="99" t="s">
        <v>46</v>
      </c>
      <c r="D130" s="101"/>
      <c r="E130" s="102"/>
      <c r="F130" s="51">
        <f>+SUM(START:END!F130)</f>
        <v>15251.303722346682</v>
      </c>
      <c r="G130" s="103"/>
      <c r="H130" s="102"/>
      <c r="I130" s="51">
        <f>+SUM(START:END!I130)</f>
        <v>0</v>
      </c>
      <c r="J130" s="104"/>
      <c r="K130" s="102"/>
      <c r="L130" s="52">
        <f>+SUM(START:END!L130)</f>
        <v>14662.07</v>
      </c>
      <c r="M130" s="104"/>
      <c r="N130" s="106">
        <f t="shared" si="54"/>
        <v>-589.23372234668204</v>
      </c>
      <c r="O130" s="104"/>
      <c r="P130" s="102"/>
      <c r="Q130" s="52">
        <f>+SUM(START:END!Q130)</f>
        <v>7030.6100000000006</v>
      </c>
      <c r="R130" s="104"/>
      <c r="S130" s="106">
        <f t="shared" si="56"/>
        <v>7631.4599999999991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0"/>
        <v>Véhicules usagésBénéfices marginaux</v>
      </c>
      <c r="B131" s="12" t="s">
        <v>73</v>
      </c>
      <c r="C131" s="99" t="s">
        <v>47</v>
      </c>
      <c r="D131" s="76"/>
      <c r="E131" s="14"/>
      <c r="F131" s="28">
        <f>+SUM(START:END!F131)</f>
        <v>10679.847959448756</v>
      </c>
      <c r="G131" s="78"/>
      <c r="H131" s="14"/>
      <c r="I131" s="28">
        <f>+SUM(START:END!I131)</f>
        <v>0</v>
      </c>
      <c r="J131" s="38"/>
      <c r="K131" s="14"/>
      <c r="L131" s="31">
        <f>+SUM(START:END!L131)</f>
        <v>5747.1</v>
      </c>
      <c r="M131" s="38"/>
      <c r="N131" s="55">
        <f t="shared" si="54"/>
        <v>-4932.7479594487559</v>
      </c>
      <c r="O131" s="38"/>
      <c r="P131" s="14"/>
      <c r="Q131" s="31">
        <f>+SUM(START:END!Q131)</f>
        <v>6088.9699999999993</v>
      </c>
      <c r="R131" s="38"/>
      <c r="S131" s="55">
        <f t="shared" si="56"/>
        <v>-341.86999999999898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0"/>
        <v>Véhicules usagésCsst</v>
      </c>
      <c r="B132" s="12" t="s">
        <v>73</v>
      </c>
      <c r="C132" s="99" t="s">
        <v>48</v>
      </c>
      <c r="D132" s="76"/>
      <c r="E132" s="14"/>
      <c r="F132" s="28">
        <f>+SUM(START:END!F132)</f>
        <v>5102.0712011305386</v>
      </c>
      <c r="G132" s="78"/>
      <c r="H132" s="14"/>
      <c r="I132" s="28">
        <f>+SUM(START:END!I132)</f>
        <v>0</v>
      </c>
      <c r="J132" s="38"/>
      <c r="K132" s="14"/>
      <c r="L132" s="31">
        <f>+SUM(START:END!L132)</f>
        <v>3188.09</v>
      </c>
      <c r="M132" s="38"/>
      <c r="N132" s="55">
        <f t="shared" si="54"/>
        <v>-1913.9812011305385</v>
      </c>
      <c r="O132" s="38"/>
      <c r="P132" s="14"/>
      <c r="Q132" s="31">
        <f>+SUM(START:END!Q132)</f>
        <v>4692.29</v>
      </c>
      <c r="R132" s="38"/>
      <c r="S132" s="55">
        <f t="shared" si="56"/>
        <v>-1504.1999999999998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0"/>
        <v>Véhicules usagés[...]</v>
      </c>
      <c r="B133" s="12" t="s">
        <v>73</v>
      </c>
      <c r="C133" s="27" t="s">
        <v>20</v>
      </c>
      <c r="D133" s="83"/>
      <c r="E133" s="108"/>
      <c r="F133" s="28">
        <f>+SUM(START:END!F133)</f>
        <v>0</v>
      </c>
      <c r="G133" s="85"/>
      <c r="H133" s="108"/>
      <c r="I133" s="28">
        <f>+SUM(START:END!I133)</f>
        <v>0</v>
      </c>
      <c r="J133" s="23"/>
      <c r="K133" s="108"/>
      <c r="L133" s="31">
        <f>+SUM(START:END!L133)</f>
        <v>0</v>
      </c>
      <c r="M133" s="23"/>
      <c r="N133" s="88">
        <f t="shared" si="54"/>
        <v>0</v>
      </c>
      <c r="O133" s="23"/>
      <c r="P133" s="108"/>
      <c r="Q133" s="31">
        <f>+SUM(START:END!Q133)</f>
        <v>0</v>
      </c>
      <c r="R133" s="23"/>
      <c r="S133" s="88">
        <f t="shared" si="56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0"/>
        <v>Véhicules usagésTOTAL PERSONNEL</v>
      </c>
      <c r="B134" s="12" t="s">
        <v>73</v>
      </c>
      <c r="C134" s="90" t="s">
        <v>49</v>
      </c>
      <c r="D134" s="91" t="s">
        <v>39</v>
      </c>
      <c r="E134" s="92">
        <f>F134/F$107</f>
        <v>0.2652442094141933</v>
      </c>
      <c r="F134" s="93">
        <f>+SUM(F122:F133)</f>
        <v>86593.420104621269</v>
      </c>
      <c r="G134" s="94" t="s">
        <v>39</v>
      </c>
      <c r="H134" s="92" t="e">
        <f>I134/I$107</f>
        <v>#DIV/0!</v>
      </c>
      <c r="I134" s="93">
        <f>+SUM(I122:I133)</f>
        <v>0</v>
      </c>
      <c r="J134" s="94" t="s">
        <v>39</v>
      </c>
      <c r="K134" s="92">
        <f>L134/L$107</f>
        <v>0.28339885501024686</v>
      </c>
      <c r="L134" s="93">
        <f>SUM(L122:L133)</f>
        <v>82217.59</v>
      </c>
      <c r="M134" s="140"/>
      <c r="N134" s="110">
        <f t="shared" si="54"/>
        <v>-4375.8301046212728</v>
      </c>
      <c r="O134" s="94" t="s">
        <v>39</v>
      </c>
      <c r="P134" s="92">
        <f>Q134/Q$107</f>
        <v>0.20089140525455829</v>
      </c>
      <c r="Q134" s="93">
        <f>SUM(Q122:Q133)</f>
        <v>66897.3</v>
      </c>
      <c r="R134" s="140"/>
      <c r="S134" s="110">
        <f t="shared" si="56"/>
        <v>15320.289999999994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0"/>
        <v>Véhicules usagésPublicité 2</v>
      </c>
      <c r="B135" s="12" t="s">
        <v>73</v>
      </c>
      <c r="C135" s="27" t="s">
        <v>50</v>
      </c>
      <c r="D135" s="76"/>
      <c r="E135" s="14"/>
      <c r="F135" s="28">
        <f>+SUM(START:END!F135)</f>
        <v>0</v>
      </c>
      <c r="G135" s="78"/>
      <c r="H135" s="14"/>
      <c r="I135" s="28">
        <f>+SUM(START:END!I135)</f>
        <v>0</v>
      </c>
      <c r="J135" s="38"/>
      <c r="K135" s="14"/>
      <c r="L135" s="31">
        <f>+SUM(START:END!L135)</f>
        <v>0</v>
      </c>
      <c r="M135" s="38"/>
      <c r="N135" s="55">
        <f t="shared" si="54"/>
        <v>0</v>
      </c>
      <c r="O135" s="38"/>
      <c r="P135" s="14"/>
      <c r="Q135" s="31">
        <f>+SUM(START:END!Q135)</f>
        <v>0</v>
      </c>
      <c r="R135" s="38"/>
      <c r="S135" s="55">
        <f t="shared" si="56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0"/>
        <v>Véhicules usagésService gratuit 2</v>
      </c>
      <c r="B136" s="12" t="s">
        <v>73</v>
      </c>
      <c r="C136" s="27" t="s">
        <v>51</v>
      </c>
      <c r="D136" s="76"/>
      <c r="E136" s="14"/>
      <c r="F136" s="28">
        <f>+SUM(START:END!F136)</f>
        <v>0</v>
      </c>
      <c r="G136" s="78"/>
      <c r="H136" s="14"/>
      <c r="I136" s="28">
        <f>+SUM(START:END!I136)</f>
        <v>0</v>
      </c>
      <c r="J136" s="38"/>
      <c r="K136" s="14"/>
      <c r="L136" s="31">
        <f>+SUM(START:END!L136)</f>
        <v>0</v>
      </c>
      <c r="M136" s="38"/>
      <c r="N136" s="55">
        <f t="shared" si="54"/>
        <v>0</v>
      </c>
      <c r="O136" s="38"/>
      <c r="P136" s="14"/>
      <c r="Q136" s="31">
        <f>+SUM(START:END!Q136)</f>
        <v>0</v>
      </c>
      <c r="R136" s="38"/>
      <c r="S136" s="55">
        <f t="shared" si="56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0"/>
        <v>Véhicules usagésFrais véhicules de cie</v>
      </c>
      <c r="B137" s="12" t="s">
        <v>73</v>
      </c>
      <c r="C137" s="82" t="s">
        <v>52</v>
      </c>
      <c r="D137" s="83"/>
      <c r="E137" s="108"/>
      <c r="F137" s="22">
        <f>+SUM(START:END!F137)</f>
        <v>360</v>
      </c>
      <c r="G137" s="85"/>
      <c r="H137" s="108"/>
      <c r="I137" s="22">
        <f>+SUM(START:END!I137)</f>
        <v>0</v>
      </c>
      <c r="J137" s="23"/>
      <c r="K137" s="108"/>
      <c r="L137" s="22">
        <f>+SUM(START:END!L137)</f>
        <v>3314.94</v>
      </c>
      <c r="M137" s="23"/>
      <c r="N137" s="88">
        <f t="shared" si="54"/>
        <v>2954.94</v>
      </c>
      <c r="O137" s="23"/>
      <c r="P137" s="108"/>
      <c r="Q137" s="22">
        <f>+SUM(START:END!Q137)</f>
        <v>577.22</v>
      </c>
      <c r="R137" s="23"/>
      <c r="S137" s="88">
        <f t="shared" si="56"/>
        <v>2737.7200000000003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0"/>
        <v>Véhicules usagésInformatique</v>
      </c>
      <c r="B138" s="12" t="s">
        <v>73</v>
      </c>
      <c r="C138" s="27" t="s">
        <v>53</v>
      </c>
      <c r="D138" s="76"/>
      <c r="E138" s="14"/>
      <c r="F138" s="28">
        <f>+SUM(START:END!F138)</f>
        <v>5508.7292239999997</v>
      </c>
      <c r="G138" s="78"/>
      <c r="H138" s="14"/>
      <c r="I138" s="28">
        <f>+SUM(START:END!I138)</f>
        <v>0</v>
      </c>
      <c r="J138" s="38"/>
      <c r="K138" s="14"/>
      <c r="L138" s="31">
        <f>+SUM(START:END!L138)</f>
        <v>6983.91</v>
      </c>
      <c r="M138" s="38"/>
      <c r="N138" s="55">
        <f t="shared" si="54"/>
        <v>1475.1807760000002</v>
      </c>
      <c r="O138" s="38"/>
      <c r="P138" s="14"/>
      <c r="Q138" s="31">
        <f>+SUM(START:END!Q138)</f>
        <v>5535.25</v>
      </c>
      <c r="R138" s="38"/>
      <c r="S138" s="55">
        <f t="shared" si="56"/>
        <v>1448.6599999999999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0"/>
        <v>Véhicules usagésFrais de déplacement</v>
      </c>
      <c r="B139" s="12" t="s">
        <v>73</v>
      </c>
      <c r="C139" s="27" t="s">
        <v>54</v>
      </c>
      <c r="D139" s="76"/>
      <c r="E139" s="14"/>
      <c r="F139" s="28">
        <f>+SUM(START:END!F139)</f>
        <v>750.06603349999989</v>
      </c>
      <c r="G139" s="78"/>
      <c r="H139" s="14"/>
      <c r="I139" s="28">
        <f>+SUM(START:END!I139)</f>
        <v>0</v>
      </c>
      <c r="J139" s="38"/>
      <c r="K139" s="14"/>
      <c r="L139" s="31">
        <f>+SUM(START:END!L139)</f>
        <v>423.66</v>
      </c>
      <c r="M139" s="38"/>
      <c r="N139" s="55">
        <f t="shared" si="54"/>
        <v>-326.40603349999986</v>
      </c>
      <c r="O139" s="38"/>
      <c r="P139" s="14"/>
      <c r="Q139" s="31">
        <f>+SUM(START:END!Q139)</f>
        <v>1053.83</v>
      </c>
      <c r="R139" s="38"/>
      <c r="S139" s="55">
        <f t="shared" si="56"/>
        <v>-630.16999999999985</v>
      </c>
      <c r="T139" s="141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0"/>
        <v>Véhicules usagésServices extérieurs</v>
      </c>
      <c r="B140" s="12" t="s">
        <v>73</v>
      </c>
      <c r="C140" s="82" t="s">
        <v>55</v>
      </c>
      <c r="D140" s="83"/>
      <c r="E140" s="108"/>
      <c r="F140" s="22">
        <f>+SUM(START:END!F140)</f>
        <v>3130.5033973333329</v>
      </c>
      <c r="G140" s="85"/>
      <c r="H140" s="108"/>
      <c r="I140" s="22">
        <f>+SUM(START:END!I140)</f>
        <v>0</v>
      </c>
      <c r="J140" s="23"/>
      <c r="K140" s="108"/>
      <c r="L140" s="22">
        <f>+SUM(START:END!L140)</f>
        <v>2356.04</v>
      </c>
      <c r="M140" s="23"/>
      <c r="N140" s="88">
        <f t="shared" si="54"/>
        <v>-774.46339733333298</v>
      </c>
      <c r="O140" s="23"/>
      <c r="P140" s="108"/>
      <c r="Q140" s="22">
        <f>+SUM(START:END!Q140)</f>
        <v>2629.24</v>
      </c>
      <c r="R140" s="23"/>
      <c r="S140" s="88">
        <f t="shared" si="56"/>
        <v>-273.19999999999982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0"/>
        <v>Véhicules usagésFournitures autres</v>
      </c>
      <c r="B141" s="12" t="s">
        <v>73</v>
      </c>
      <c r="C141" s="27" t="s">
        <v>56</v>
      </c>
      <c r="D141" s="76"/>
      <c r="E141" s="14"/>
      <c r="F141" s="28">
        <f>+SUM(START:END!F141)</f>
        <v>236.92667575583633</v>
      </c>
      <c r="G141" s="78"/>
      <c r="H141" s="14"/>
      <c r="I141" s="28">
        <f>+SUM(START:END!I141)</f>
        <v>0</v>
      </c>
      <c r="J141" s="38"/>
      <c r="K141" s="14"/>
      <c r="L141" s="31">
        <f>+SUM(START:END!L141)</f>
        <v>0</v>
      </c>
      <c r="M141" s="38"/>
      <c r="N141" s="55">
        <f t="shared" si="54"/>
        <v>-236.92667575583633</v>
      </c>
      <c r="O141" s="38"/>
      <c r="P141" s="14"/>
      <c r="Q141" s="31">
        <f>+SUM(START:END!Q141)</f>
        <v>579.89</v>
      </c>
      <c r="R141" s="38"/>
      <c r="S141" s="55">
        <f t="shared" si="56"/>
        <v>-579.89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0"/>
        <v>Véhicules usagésUniformes</v>
      </c>
      <c r="B142" s="12" t="s">
        <v>73</v>
      </c>
      <c r="C142" s="27" t="s">
        <v>57</v>
      </c>
      <c r="D142" s="76"/>
      <c r="E142" s="14"/>
      <c r="F142" s="28">
        <f>+SUM(START:END!F142)</f>
        <v>122.34623402842013</v>
      </c>
      <c r="G142" s="78"/>
      <c r="H142" s="14"/>
      <c r="I142" s="28">
        <f>+SUM(START:END!I142)</f>
        <v>0</v>
      </c>
      <c r="J142" s="38"/>
      <c r="K142" s="14"/>
      <c r="L142" s="31">
        <f>+SUM(START:END!L142)</f>
        <v>0</v>
      </c>
      <c r="M142" s="38"/>
      <c r="N142" s="55">
        <f t="shared" si="54"/>
        <v>-122.34623402842013</v>
      </c>
      <c r="O142" s="38"/>
      <c r="P142" s="14"/>
      <c r="Q142" s="31">
        <f>+SUM(START:END!Q142)</f>
        <v>0</v>
      </c>
      <c r="R142" s="38"/>
      <c r="S142" s="55">
        <f t="shared" si="56"/>
        <v>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0"/>
        <v>Véhicules usagésPapeterie</v>
      </c>
      <c r="B143" s="12" t="s">
        <v>73</v>
      </c>
      <c r="C143" s="27" t="s">
        <v>58</v>
      </c>
      <c r="D143" s="76"/>
      <c r="E143" s="14"/>
      <c r="F143" s="28">
        <f>+SUM(START:END!F143)</f>
        <v>572.58827639999981</v>
      </c>
      <c r="G143" s="78"/>
      <c r="H143" s="14"/>
      <c r="I143" s="28">
        <f>+SUM(START:END!I143)</f>
        <v>0</v>
      </c>
      <c r="J143" s="38"/>
      <c r="K143" s="14"/>
      <c r="L143" s="30">
        <f>+SUM(START:END!L143)</f>
        <v>407.1</v>
      </c>
      <c r="M143" s="38"/>
      <c r="N143" s="55">
        <f t="shared" si="54"/>
        <v>-165.48827639999979</v>
      </c>
      <c r="O143" s="38"/>
      <c r="P143" s="14"/>
      <c r="Q143" s="30">
        <f>+SUM(START:END!Q143)</f>
        <v>546.37</v>
      </c>
      <c r="R143" s="38"/>
      <c r="S143" s="55">
        <f t="shared" si="56"/>
        <v>-139.26999999999998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0"/>
        <v>Véhicules usagésTéléphone</v>
      </c>
      <c r="B144" s="12" t="s">
        <v>73</v>
      </c>
      <c r="C144" s="27" t="s">
        <v>59</v>
      </c>
      <c r="D144" s="76"/>
      <c r="E144" s="14"/>
      <c r="F144" s="28">
        <f>+SUM(START:END!F144)</f>
        <v>194.04018761666666</v>
      </c>
      <c r="G144" s="78"/>
      <c r="H144" s="14"/>
      <c r="I144" s="28">
        <f>+SUM(START:END!I144)</f>
        <v>0</v>
      </c>
      <c r="J144" s="38"/>
      <c r="K144" s="14"/>
      <c r="L144" s="31">
        <f>+SUM(START:END!L144)</f>
        <v>72.300000000000011</v>
      </c>
      <c r="M144" s="38"/>
      <c r="N144" s="55">
        <f t="shared" si="54"/>
        <v>-121.74018761666665</v>
      </c>
      <c r="O144" s="38"/>
      <c r="P144" s="14"/>
      <c r="Q144" s="31">
        <f>+SUM(START:END!Q144)</f>
        <v>116.82</v>
      </c>
      <c r="R144" s="38"/>
      <c r="S144" s="55">
        <f t="shared" si="56"/>
        <v>-44.519999999999982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0"/>
        <v>Véhicules usagésFrais postaux</v>
      </c>
      <c r="B145" s="12" t="s">
        <v>73</v>
      </c>
      <c r="C145" s="27" t="s">
        <v>60</v>
      </c>
      <c r="D145" s="76"/>
      <c r="E145" s="14"/>
      <c r="F145" s="28">
        <f>+SUM(START:END!F145)</f>
        <v>92.808220383333307</v>
      </c>
      <c r="G145" s="78"/>
      <c r="H145" s="14"/>
      <c r="I145" s="28">
        <f>+SUM(START:END!I145)</f>
        <v>0</v>
      </c>
      <c r="J145" s="38"/>
      <c r="K145" s="14"/>
      <c r="L145" s="31">
        <f>+SUM(START:END!L145)</f>
        <v>122.97</v>
      </c>
      <c r="M145" s="38"/>
      <c r="N145" s="55">
        <f t="shared" si="54"/>
        <v>30.161779616666692</v>
      </c>
      <c r="O145" s="38"/>
      <c r="P145" s="14"/>
      <c r="Q145" s="31">
        <f>+SUM(START:END!Q145)</f>
        <v>142.82999999999998</v>
      </c>
      <c r="R145" s="38"/>
      <c r="S145" s="55">
        <f t="shared" si="56"/>
        <v>-19.859999999999985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0"/>
        <v>Véhicules usagésDivers</v>
      </c>
      <c r="B146" s="12" t="s">
        <v>73</v>
      </c>
      <c r="C146" s="27" t="s">
        <v>61</v>
      </c>
      <c r="D146" s="76"/>
      <c r="E146" s="14"/>
      <c r="F146" s="28">
        <f>+SUM(START:END!F146)</f>
        <v>352.6367722833333</v>
      </c>
      <c r="G146" s="78"/>
      <c r="H146" s="14"/>
      <c r="I146" s="28">
        <f>+SUM(START:END!I146)</f>
        <v>0</v>
      </c>
      <c r="J146" s="38"/>
      <c r="K146" s="14"/>
      <c r="L146" s="31">
        <f>+SUM(START:END!L146)</f>
        <v>70.789999999999992</v>
      </c>
      <c r="M146" s="38"/>
      <c r="N146" s="55">
        <f t="shared" si="54"/>
        <v>-281.84677228333328</v>
      </c>
      <c r="O146" s="38"/>
      <c r="P146" s="14"/>
      <c r="Q146" s="31">
        <f>+SUM(START:END!Q146)</f>
        <v>141.94</v>
      </c>
      <c r="R146" s="38"/>
      <c r="S146" s="55">
        <f t="shared" si="56"/>
        <v>-71.150000000000006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0"/>
        <v>Véhicules usagésFormation</v>
      </c>
      <c r="B147" s="12" t="s">
        <v>73</v>
      </c>
      <c r="C147" s="27" t="s">
        <v>62</v>
      </c>
      <c r="D147" s="76"/>
      <c r="E147" s="14"/>
      <c r="F147" s="28">
        <f>+SUM(START:END!F147)</f>
        <v>621.16861818208656</v>
      </c>
      <c r="G147" s="78"/>
      <c r="H147" s="14"/>
      <c r="I147" s="28">
        <f>+SUM(START:END!I147)</f>
        <v>0</v>
      </c>
      <c r="J147" s="38"/>
      <c r="K147" s="14"/>
      <c r="L147" s="31">
        <f>+SUM(START:END!L147)</f>
        <v>296.25</v>
      </c>
      <c r="M147" s="38"/>
      <c r="N147" s="55">
        <f t="shared" si="54"/>
        <v>-324.91861818208656</v>
      </c>
      <c r="O147" s="38"/>
      <c r="P147" s="14"/>
      <c r="Q147" s="31">
        <f>+SUM(START:END!Q147)</f>
        <v>328.05</v>
      </c>
      <c r="R147" s="38"/>
      <c r="S147" s="55">
        <f t="shared" si="56"/>
        <v>-31.800000000000011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0"/>
        <v>Véhicules usagésFrais bancaires</v>
      </c>
      <c r="B148" s="12" t="s">
        <v>73</v>
      </c>
      <c r="C148" s="27" t="s">
        <v>63</v>
      </c>
      <c r="D148" s="76"/>
      <c r="E148" s="14"/>
      <c r="F148" s="28">
        <f>+SUM(START:END!F148)</f>
        <v>1184.0224806292181</v>
      </c>
      <c r="G148" s="78"/>
      <c r="H148" s="14"/>
      <c r="I148" s="28">
        <f>+SUM(START:END!I148)</f>
        <v>0</v>
      </c>
      <c r="J148" s="38"/>
      <c r="K148" s="14"/>
      <c r="L148" s="31">
        <f>+SUM(START:END!L148)</f>
        <v>1543.03</v>
      </c>
      <c r="M148" s="38"/>
      <c r="N148" s="55">
        <f t="shared" si="54"/>
        <v>359.00751937078189</v>
      </c>
      <c r="O148" s="38"/>
      <c r="P148" s="14"/>
      <c r="Q148" s="31">
        <f>+SUM(START:END!Q148)</f>
        <v>1512.487000000001</v>
      </c>
      <c r="R148" s="38"/>
      <c r="S148" s="55">
        <f t="shared" si="56"/>
        <v>30.542999999998983</v>
      </c>
      <c r="T148" s="77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0"/>
        <v>Véhicules usagés[...]</v>
      </c>
      <c r="B149" s="12" t="s">
        <v>73</v>
      </c>
      <c r="C149" s="27" t="s">
        <v>20</v>
      </c>
      <c r="D149" s="76"/>
      <c r="E149" s="14"/>
      <c r="F149" s="28">
        <f>+SUM(START:END!F149)</f>
        <v>0</v>
      </c>
      <c r="G149" s="78"/>
      <c r="H149" s="14"/>
      <c r="I149" s="28">
        <f>+SUM(START:END!I149)</f>
        <v>0</v>
      </c>
      <c r="J149" s="38"/>
      <c r="K149" s="14"/>
      <c r="L149" s="31">
        <f>+SUM(START:END!L149)</f>
        <v>0</v>
      </c>
      <c r="M149" s="38"/>
      <c r="N149" s="55">
        <f t="shared" si="54"/>
        <v>0</v>
      </c>
      <c r="O149" s="38"/>
      <c r="P149" s="14"/>
      <c r="Q149" s="31">
        <f>+SUM(START:END!Q149)</f>
        <v>0</v>
      </c>
      <c r="R149" s="38"/>
      <c r="S149" s="55">
        <f t="shared" si="56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0"/>
        <v>Véhicules usagés[...]</v>
      </c>
      <c r="B150" s="12" t="s">
        <v>73</v>
      </c>
      <c r="C150" s="27" t="s">
        <v>20</v>
      </c>
      <c r="D150" s="76"/>
      <c r="E150" s="14"/>
      <c r="F150" s="28">
        <f>+SUM(START:END!F150)</f>
        <v>0</v>
      </c>
      <c r="G150" s="78"/>
      <c r="H150" s="14"/>
      <c r="I150" s="28">
        <f>+SUM(START:END!I150)</f>
        <v>0</v>
      </c>
      <c r="J150" s="38"/>
      <c r="K150" s="14"/>
      <c r="L150" s="31">
        <f>+SUM(START:END!L150)</f>
        <v>0</v>
      </c>
      <c r="M150" s="38"/>
      <c r="N150" s="55">
        <f t="shared" si="54"/>
        <v>0</v>
      </c>
      <c r="O150" s="38"/>
      <c r="P150" s="14"/>
      <c r="Q150" s="31">
        <f>+SUM(START:END!Q150)</f>
        <v>0</v>
      </c>
      <c r="R150" s="38"/>
      <c r="S150" s="55">
        <f t="shared" si="56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0"/>
        <v>Véhicules usagés[...]</v>
      </c>
      <c r="B151" s="12" t="s">
        <v>73</v>
      </c>
      <c r="C151" s="27" t="s">
        <v>20</v>
      </c>
      <c r="D151" s="76"/>
      <c r="E151" s="14"/>
      <c r="F151" s="28">
        <f>+SUM(START:END!F151)</f>
        <v>0</v>
      </c>
      <c r="G151" s="78"/>
      <c r="H151" s="14"/>
      <c r="I151" s="28">
        <f>+SUM(START:END!I151)</f>
        <v>0</v>
      </c>
      <c r="J151" s="38"/>
      <c r="K151" s="14"/>
      <c r="L151" s="31">
        <f>+SUM(START:END!L151)</f>
        <v>0</v>
      </c>
      <c r="M151" s="38"/>
      <c r="N151" s="55">
        <f t="shared" si="54"/>
        <v>0</v>
      </c>
      <c r="O151" s="38"/>
      <c r="P151" s="14"/>
      <c r="Q151" s="31">
        <f>+SUM(START:END!Q151)</f>
        <v>0</v>
      </c>
      <c r="R151" s="38"/>
      <c r="S151" s="55">
        <f t="shared" si="56"/>
        <v>0</v>
      </c>
      <c r="T151" s="77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0"/>
        <v>Véhicules usagésTOTAL SEMI-FIXES</v>
      </c>
      <c r="B152" s="12" t="s">
        <v>73</v>
      </c>
      <c r="C152" s="90" t="s">
        <v>64</v>
      </c>
      <c r="D152" s="91" t="s">
        <v>39</v>
      </c>
      <c r="E152" s="92">
        <f>F152/F$107</f>
        <v>4.0205734112049786E-2</v>
      </c>
      <c r="F152" s="93">
        <f>+SUM(F135:F151)</f>
        <v>13125.836120112224</v>
      </c>
      <c r="G152" s="94" t="s">
        <v>39</v>
      </c>
      <c r="H152" s="92" t="e">
        <f>I152/I$107</f>
        <v>#DIV/0!</v>
      </c>
      <c r="I152" s="93">
        <f>+SUM(I135:I151)</f>
        <v>0</v>
      </c>
      <c r="J152" s="94" t="s">
        <v>39</v>
      </c>
      <c r="K152" s="92">
        <f>L152/L$107</f>
        <v>5.3741160674695143E-2</v>
      </c>
      <c r="L152" s="93">
        <f>+SUM(L135:L151)</f>
        <v>15590.99</v>
      </c>
      <c r="M152" s="97"/>
      <c r="N152" s="93">
        <f t="shared" si="54"/>
        <v>2465.1538798877755</v>
      </c>
      <c r="O152" s="94" t="s">
        <v>39</v>
      </c>
      <c r="P152" s="92">
        <f>Q152/Q$107</f>
        <v>3.9531039275104103E-2</v>
      </c>
      <c r="Q152" s="93">
        <f>+SUM(Q135:Q151)</f>
        <v>13163.927000000001</v>
      </c>
      <c r="R152" s="97"/>
      <c r="S152" s="93">
        <f t="shared" si="56"/>
        <v>2427.0629999999983</v>
      </c>
      <c r="T152" s="109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0"/>
        <v>Véhicules usagés</v>
      </c>
      <c r="B153" s="12" t="s">
        <v>73</v>
      </c>
      <c r="C153" s="82"/>
      <c r="D153" s="83"/>
      <c r="E153" s="108"/>
      <c r="F153" s="55"/>
      <c r="G153" s="85"/>
      <c r="H153" s="108"/>
      <c r="I153" s="55"/>
      <c r="J153" s="23"/>
      <c r="K153" s="108"/>
      <c r="L153" s="88"/>
      <c r="M153" s="23"/>
      <c r="N153" s="88"/>
      <c r="O153" s="23"/>
      <c r="P153" s="108"/>
      <c r="Q153" s="88"/>
      <c r="R153" s="23"/>
      <c r="S153" s="88"/>
      <c r="T153" s="109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0"/>
        <v>Véhicules usagésTOTAL DES DÉPENSES</v>
      </c>
      <c r="B154" s="12" t="s">
        <v>73</v>
      </c>
      <c r="C154" s="90" t="s">
        <v>65</v>
      </c>
      <c r="D154" s="91" t="s">
        <v>39</v>
      </c>
      <c r="E154" s="92">
        <f>F154/F$107</f>
        <v>0.68856071248236506</v>
      </c>
      <c r="F154" s="93">
        <f>F121+F134+F152</f>
        <v>224792.19122335434</v>
      </c>
      <c r="G154" s="94" t="s">
        <v>39</v>
      </c>
      <c r="H154" s="92" t="e">
        <f>I154/I$107</f>
        <v>#DIV/0!</v>
      </c>
      <c r="I154" s="93">
        <f>I121+I134+I152</f>
        <v>0</v>
      </c>
      <c r="J154" s="94" t="s">
        <v>39</v>
      </c>
      <c r="K154" s="92">
        <f>L154/L$107</f>
        <v>0.78968875675323846</v>
      </c>
      <c r="L154" s="93">
        <f>L121+L134+L152</f>
        <v>229098.68999999997</v>
      </c>
      <c r="M154" s="97"/>
      <c r="N154" s="110">
        <f t="shared" ref="N154:N161" si="57">L154-F154</f>
        <v>4306.4987766456325</v>
      </c>
      <c r="O154" s="94" t="s">
        <v>39</v>
      </c>
      <c r="P154" s="92">
        <f>Q154/Q$107</f>
        <v>0.64216648653778052</v>
      </c>
      <c r="Q154" s="93">
        <f>Q121+Q134+Q152</f>
        <v>213842.91699999999</v>
      </c>
      <c r="R154" s="97"/>
      <c r="S154" s="110">
        <f t="shared" ref="S154:S161" si="58">L154-Q154</f>
        <v>15255.772999999986</v>
      </c>
      <c r="T154" s="109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0"/>
        <v>Véhicules usagésRemarketing Bonus</v>
      </c>
      <c r="B155" s="12" t="s">
        <v>73</v>
      </c>
      <c r="C155" s="27" t="s">
        <v>80</v>
      </c>
      <c r="D155" s="142"/>
      <c r="E155" s="143"/>
      <c r="F155" s="28">
        <f>+SUM(START:END!F155)</f>
        <v>0</v>
      </c>
      <c r="G155" s="144"/>
      <c r="H155" s="143"/>
      <c r="I155" s="28">
        <f>+SUM(START:END!I155)</f>
        <v>0</v>
      </c>
      <c r="J155" s="144"/>
      <c r="K155" s="143"/>
      <c r="L155" s="30">
        <f>+SUM(START:END!L155)</f>
        <v>0</v>
      </c>
      <c r="M155" s="38"/>
      <c r="N155" s="55">
        <f t="shared" si="57"/>
        <v>0</v>
      </c>
      <c r="O155" s="144"/>
      <c r="P155" s="143"/>
      <c r="Q155" s="31">
        <f>+SUM(START:END!Q155)</f>
        <v>0</v>
      </c>
      <c r="R155" s="38"/>
      <c r="S155" s="55">
        <f t="shared" si="58"/>
        <v>0</v>
      </c>
      <c r="T155" s="109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0"/>
        <v>Véhicules usagésProgramme used 2</v>
      </c>
      <c r="B156" s="12" t="s">
        <v>73</v>
      </c>
      <c r="C156" s="27" t="s">
        <v>81</v>
      </c>
      <c r="D156" s="142"/>
      <c r="E156" s="143"/>
      <c r="F156" s="28">
        <f>+SUM(START:END!F156)</f>
        <v>0</v>
      </c>
      <c r="G156" s="144"/>
      <c r="H156" s="143"/>
      <c r="I156" s="28">
        <f>+SUM(START:END!I156)</f>
        <v>0</v>
      </c>
      <c r="J156" s="144"/>
      <c r="K156" s="143"/>
      <c r="L156" s="31">
        <f>+SUM(START:END!L156)</f>
        <v>0</v>
      </c>
      <c r="M156" s="38"/>
      <c r="N156" s="55">
        <f t="shared" si="57"/>
        <v>0</v>
      </c>
      <c r="O156" s="144"/>
      <c r="P156" s="143"/>
      <c r="Q156" s="31">
        <f>+SUM(START:END!Q156)</f>
        <v>0</v>
      </c>
      <c r="R156" s="38"/>
      <c r="S156" s="55">
        <f t="shared" si="58"/>
        <v>0</v>
      </c>
      <c r="T156" s="109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0"/>
        <v>Véhicules usagésProgramme used 3</v>
      </c>
      <c r="B157" s="12" t="s">
        <v>73</v>
      </c>
      <c r="C157" s="27" t="s">
        <v>82</v>
      </c>
      <c r="D157" s="76"/>
      <c r="E157" s="14"/>
      <c r="F157" s="28">
        <f>+SUM(START:END!F157)</f>
        <v>0</v>
      </c>
      <c r="G157" s="78"/>
      <c r="H157" s="14"/>
      <c r="I157" s="28">
        <f>+SUM(START:END!I157)</f>
        <v>0</v>
      </c>
      <c r="J157" s="38"/>
      <c r="K157" s="14"/>
      <c r="L157" s="31">
        <f>+SUM(START:END!L157)</f>
        <v>0</v>
      </c>
      <c r="M157" s="38"/>
      <c r="N157" s="55">
        <f t="shared" si="57"/>
        <v>0</v>
      </c>
      <c r="O157" s="38"/>
      <c r="P157" s="14"/>
      <c r="Q157" s="31">
        <f>+SUM(START:END!Q157)</f>
        <v>0</v>
      </c>
      <c r="R157" s="38"/>
      <c r="S157" s="55">
        <f t="shared" si="58"/>
        <v>0</v>
      </c>
      <c r="T157" s="109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59">+B158&amp;C158</f>
        <v>Véhicules usagésFrais administration</v>
      </c>
      <c r="B158" s="12" t="s">
        <v>73</v>
      </c>
      <c r="C158" s="27" t="s">
        <v>70</v>
      </c>
      <c r="D158" s="76"/>
      <c r="E158" s="14"/>
      <c r="F158" s="28">
        <f>+SUM(START:END!F158)</f>
        <v>27291.599999999999</v>
      </c>
      <c r="G158" s="78"/>
      <c r="H158" s="14"/>
      <c r="I158" s="28">
        <f>+SUM(START:END!I158)</f>
        <v>0</v>
      </c>
      <c r="J158" s="38"/>
      <c r="K158" s="14"/>
      <c r="L158" s="30">
        <f>+SUM(START:END!L158)</f>
        <v>23012</v>
      </c>
      <c r="M158" s="38"/>
      <c r="N158" s="55">
        <f t="shared" si="57"/>
        <v>-4279.5999999999985</v>
      </c>
      <c r="O158" s="38"/>
      <c r="P158" s="14"/>
      <c r="Q158" s="31">
        <f>+SUM(START:END!Q158)</f>
        <v>74141.489999999991</v>
      </c>
      <c r="R158" s="38"/>
      <c r="S158" s="55">
        <f t="shared" si="58"/>
        <v>-51129.489999999991</v>
      </c>
      <c r="T158" s="109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59"/>
        <v>Véhicules usagés[...]</v>
      </c>
      <c r="B159" s="12" t="s">
        <v>73</v>
      </c>
      <c r="C159" s="27" t="s">
        <v>20</v>
      </c>
      <c r="D159" s="76"/>
      <c r="E159" s="14"/>
      <c r="F159" s="28">
        <f>+SUM(START:END!F159)</f>
        <v>0</v>
      </c>
      <c r="G159" s="78"/>
      <c r="H159" s="14"/>
      <c r="I159" s="28">
        <f>+SUM(START:END!I159)</f>
        <v>0</v>
      </c>
      <c r="J159" s="38"/>
      <c r="K159" s="14"/>
      <c r="L159" s="30">
        <f>+SUM(START:END!L159)</f>
        <v>0</v>
      </c>
      <c r="M159" s="38"/>
      <c r="N159" s="55">
        <f t="shared" si="57"/>
        <v>0</v>
      </c>
      <c r="O159" s="38"/>
      <c r="P159" s="14"/>
      <c r="Q159" s="31">
        <f>+SUM(START:END!Q159)</f>
        <v>0</v>
      </c>
      <c r="R159" s="38"/>
      <c r="S159" s="55">
        <f t="shared" si="58"/>
        <v>0</v>
      </c>
      <c r="T159" s="109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59"/>
        <v>Véhicules usagés[...]</v>
      </c>
      <c r="B160" s="12" t="s">
        <v>73</v>
      </c>
      <c r="C160" s="27" t="s">
        <v>20</v>
      </c>
      <c r="D160" s="76"/>
      <c r="E160" s="14"/>
      <c r="F160" s="28">
        <f>+SUM(START:END!F160)</f>
        <v>0</v>
      </c>
      <c r="G160" s="78"/>
      <c r="H160" s="14"/>
      <c r="I160" s="28">
        <f>+SUM(START:END!I160)</f>
        <v>0</v>
      </c>
      <c r="J160" s="38"/>
      <c r="K160" s="14"/>
      <c r="L160" s="30">
        <f>+SUM(START:END!L160)</f>
        <v>0</v>
      </c>
      <c r="M160" s="38"/>
      <c r="N160" s="55">
        <f t="shared" si="57"/>
        <v>0</v>
      </c>
      <c r="O160" s="38"/>
      <c r="P160" s="14"/>
      <c r="Q160" s="31">
        <f>+SUM(START:END!Q160)</f>
        <v>0</v>
      </c>
      <c r="R160" s="38"/>
      <c r="S160" s="55">
        <f t="shared" si="58"/>
        <v>0</v>
      </c>
      <c r="T160" s="109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59"/>
        <v>Véhicules usagés[...]</v>
      </c>
      <c r="B161" s="12" t="s">
        <v>73</v>
      </c>
      <c r="C161" s="82" t="s">
        <v>20</v>
      </c>
      <c r="D161" s="83"/>
      <c r="E161" s="108"/>
      <c r="F161" s="28">
        <f>+SUM(START:END!F161)</f>
        <v>0</v>
      </c>
      <c r="G161" s="78"/>
      <c r="H161" s="14"/>
      <c r="I161" s="28">
        <f>+SUM(START:END!I161)</f>
        <v>0</v>
      </c>
      <c r="J161" s="38"/>
      <c r="K161" s="14"/>
      <c r="L161" s="30">
        <f>+SUM(START:END!L161)</f>
        <v>0</v>
      </c>
      <c r="M161" s="38"/>
      <c r="N161" s="55">
        <f t="shared" si="57"/>
        <v>0</v>
      </c>
      <c r="O161" s="38"/>
      <c r="P161" s="14"/>
      <c r="Q161" s="31">
        <f>+SUM(START:END!Q161)</f>
        <v>0</v>
      </c>
      <c r="R161" s="38"/>
      <c r="S161" s="55">
        <f t="shared" si="58"/>
        <v>0</v>
      </c>
      <c r="T161" s="109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0" t="s">
        <v>71</v>
      </c>
      <c r="D162" s="91"/>
      <c r="E162" s="92"/>
      <c r="F162" s="93">
        <f>+SUM(F155:F161)</f>
        <v>27291.599999999999</v>
      </c>
      <c r="G162" s="94"/>
      <c r="H162" s="92"/>
      <c r="I162" s="93">
        <f>+SUM(I155:I161)</f>
        <v>0</v>
      </c>
      <c r="J162" s="94"/>
      <c r="K162" s="92"/>
      <c r="L162" s="93">
        <f>+SUM(L155:L161)</f>
        <v>23012</v>
      </c>
      <c r="M162" s="97"/>
      <c r="N162" s="93">
        <f>SUM(N155:N158)</f>
        <v>-4279.5999999999985</v>
      </c>
      <c r="O162" s="94"/>
      <c r="P162" s="92"/>
      <c r="Q162" s="93">
        <f>+SUM(Q155:Q161)</f>
        <v>74141.489999999991</v>
      </c>
      <c r="R162" s="97"/>
      <c r="S162" s="93">
        <f>+SUM(S155:S161)</f>
        <v>-51129.489999999991</v>
      </c>
      <c r="T162" s="109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27"/>
      <c r="D163" s="76"/>
      <c r="E163" s="14"/>
      <c r="F163" s="55"/>
      <c r="G163" s="78"/>
      <c r="H163" s="14"/>
      <c r="I163" s="55"/>
      <c r="J163" s="38"/>
      <c r="K163" s="14"/>
      <c r="L163" s="55"/>
      <c r="M163" s="38"/>
      <c r="N163" s="55"/>
      <c r="O163" s="38"/>
      <c r="P163" s="14"/>
      <c r="Q163" s="55"/>
      <c r="R163" s="38"/>
      <c r="S163" s="55"/>
      <c r="T163" s="143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0" t="s">
        <v>72</v>
      </c>
      <c r="D164" s="145"/>
      <c r="E164" s="121"/>
      <c r="F164" s="123">
        <f>F107-F154+F162</f>
        <v>128966.17800741491</v>
      </c>
      <c r="G164" s="146"/>
      <c r="H164" s="121"/>
      <c r="I164" s="123">
        <f>I107-I154+I162</f>
        <v>0</v>
      </c>
      <c r="J164" s="147"/>
      <c r="K164" s="122"/>
      <c r="L164" s="123">
        <f>L107-L154+L162</f>
        <v>84025.950000000215</v>
      </c>
      <c r="M164" s="418"/>
      <c r="N164" s="205">
        <f>L164-F164</f>
        <v>-44940.228007414698</v>
      </c>
      <c r="O164" s="147"/>
      <c r="P164" s="122"/>
      <c r="Q164" s="123">
        <f>Q107-Q154+Q162</f>
        <v>193300.87300000005</v>
      </c>
      <c r="R164" s="418"/>
      <c r="S164" s="205">
        <f>L164-Q164</f>
        <v>-109274.92299999984</v>
      </c>
      <c r="T164" s="77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48"/>
      <c r="M165" s="11"/>
      <c r="N165" s="11"/>
      <c r="O165" s="11"/>
      <c r="P165" s="11"/>
      <c r="Q165" s="11"/>
      <c r="R165" s="11"/>
      <c r="S165" s="11"/>
      <c r="T165" s="148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48">
        <f>+I27</f>
        <v>0</v>
      </c>
      <c r="J166" s="11"/>
      <c r="K166" s="11"/>
      <c r="L166" s="148"/>
      <c r="M166" s="11"/>
      <c r="N166" s="148"/>
      <c r="O166" s="11"/>
      <c r="P166" s="11"/>
      <c r="Q166" s="11"/>
      <c r="R166" s="11"/>
      <c r="S166" s="11"/>
      <c r="T166" s="148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83</v>
      </c>
      <c r="L167" s="2"/>
      <c r="M167" s="2"/>
      <c r="N167" s="1"/>
      <c r="O167" s="1"/>
      <c r="P167" s="2"/>
      <c r="Q167" s="1"/>
      <c r="R167" s="2"/>
      <c r="S167" s="421" t="str">
        <f>$S$1</f>
        <v xml:space="preserve"> Volks Juin / Juillet 2023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423"/>
      <c r="D169" s="477" t="s">
        <v>5</v>
      </c>
      <c r="E169" s="478"/>
      <c r="F169" s="471"/>
      <c r="G169" s="470" t="s">
        <v>74</v>
      </c>
      <c r="H169" s="478"/>
      <c r="I169" s="471"/>
      <c r="J169" s="470" t="s">
        <v>7</v>
      </c>
      <c r="K169" s="478"/>
      <c r="L169" s="471"/>
      <c r="M169" s="470" t="s">
        <v>472</v>
      </c>
      <c r="N169" s="471"/>
      <c r="O169" s="477" t="s">
        <v>9</v>
      </c>
      <c r="P169" s="478"/>
      <c r="Q169" s="471"/>
      <c r="R169" s="470" t="s">
        <v>473</v>
      </c>
      <c r="S169" s="471"/>
      <c r="T169" s="142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0">+B170&amp;C170</f>
        <v>Service</v>
      </c>
      <c r="B170" s="12" t="s">
        <v>83</v>
      </c>
      <c r="C170" s="38"/>
      <c r="D170" s="75" t="s">
        <v>40</v>
      </c>
      <c r="E170" s="75" t="s">
        <v>84</v>
      </c>
      <c r="F170" s="129" t="s">
        <v>13</v>
      </c>
      <c r="G170" s="130" t="s">
        <v>40</v>
      </c>
      <c r="H170" s="75" t="s">
        <v>84</v>
      </c>
      <c r="I170" s="129" t="s">
        <v>13</v>
      </c>
      <c r="J170" s="130" t="s">
        <v>40</v>
      </c>
      <c r="K170" s="75" t="s">
        <v>84</v>
      </c>
      <c r="L170" s="129" t="s">
        <v>13</v>
      </c>
      <c r="M170" s="130" t="s">
        <v>468</v>
      </c>
      <c r="N170" s="129" t="s">
        <v>475</v>
      </c>
      <c r="O170" s="75" t="s">
        <v>40</v>
      </c>
      <c r="P170" s="75" t="s">
        <v>84</v>
      </c>
      <c r="Q170" s="129" t="s">
        <v>13</v>
      </c>
      <c r="R170" s="130" t="s">
        <v>85</v>
      </c>
      <c r="S170" s="129" t="s">
        <v>13</v>
      </c>
      <c r="T170" s="75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0"/>
        <v>ServiceM/O Client</v>
      </c>
      <c r="B171" s="12" t="s">
        <v>83</v>
      </c>
      <c r="C171" s="38" t="s">
        <v>86</v>
      </c>
      <c r="D171" s="77">
        <f>+SUM(START:END!D171)</f>
        <v>785.81089358768077</v>
      </c>
      <c r="E171" s="77">
        <f>+SUM(START:END!E171)</f>
        <v>231814.2136083658</v>
      </c>
      <c r="F171" s="77">
        <f>+SUM(START:END!F171)</f>
        <v>176178.80234235805</v>
      </c>
      <c r="G171" s="56">
        <f>+SUM(START:END!G171)</f>
        <v>0</v>
      </c>
      <c r="H171" s="77">
        <f>+SUM(START:END!H171)</f>
        <v>0</v>
      </c>
      <c r="I171" s="77">
        <f>+SUM(START:END!I171)</f>
        <v>0</v>
      </c>
      <c r="J171" s="56">
        <f>+SUM(START:END!J171)</f>
        <v>800</v>
      </c>
      <c r="K171" s="28">
        <f>+SUM(START:END!K171)</f>
        <v>298236.25</v>
      </c>
      <c r="L171" s="31">
        <f>+SUM(START:END!L171)</f>
        <v>228463.72999999998</v>
      </c>
      <c r="M171" s="150">
        <f>(K171-E171)/E171</f>
        <v>0.28653133627021538</v>
      </c>
      <c r="N171" s="55">
        <f>L171-F171</f>
        <v>52284.927657641936</v>
      </c>
      <c r="O171" s="56">
        <f>+SUM(START:END!O171)</f>
        <v>774</v>
      </c>
      <c r="P171" s="28">
        <f>+SUM(START:END!P171)</f>
        <v>240102.85</v>
      </c>
      <c r="Q171" s="31">
        <f>+SUM(START:END!Q171)</f>
        <v>188244.31000000003</v>
      </c>
      <c r="R171" s="150">
        <f>IF(O171=0,0,J171/O171)</f>
        <v>1.0335917312661498</v>
      </c>
      <c r="S171" s="55">
        <f>L171-Q171</f>
        <v>40219.419999999955</v>
      </c>
      <c r="T171" s="77"/>
      <c r="U171" s="14"/>
      <c r="V171" s="28"/>
      <c r="W171" s="28"/>
      <c r="X171" s="28"/>
      <c r="Y171" s="28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0"/>
        <v>Service% profit / ventes</v>
      </c>
      <c r="B172" s="12" t="s">
        <v>83</v>
      </c>
      <c r="C172" s="38" t="s">
        <v>87</v>
      </c>
      <c r="D172" s="77"/>
      <c r="E172" s="137"/>
      <c r="F172" s="151">
        <f>F171/E171</f>
        <v>0.76000000000000012</v>
      </c>
      <c r="G172" s="56"/>
      <c r="H172" s="137"/>
      <c r="I172" s="151" t="e">
        <f>I171/H171</f>
        <v>#DIV/0!</v>
      </c>
      <c r="J172" s="56"/>
      <c r="K172" s="14"/>
      <c r="L172" s="151">
        <f>L171/K171</f>
        <v>0.76604949934825151</v>
      </c>
      <c r="M172" s="150"/>
      <c r="N172" s="55"/>
      <c r="O172" s="56"/>
      <c r="P172" s="14"/>
      <c r="Q172" s="151">
        <f>Q171/P171</f>
        <v>0.7840153084396958</v>
      </c>
      <c r="R172" s="56"/>
      <c r="S172" s="55"/>
      <c r="T172" s="77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0"/>
        <v>Service</v>
      </c>
      <c r="B173" s="12" t="s">
        <v>83</v>
      </c>
      <c r="C173" s="23"/>
      <c r="D173" s="84"/>
      <c r="E173" s="424">
        <f t="shared" ref="E173" si="61">IFERROR(E171/D171,0)</f>
        <v>294.99999999999994</v>
      </c>
      <c r="F173" s="153"/>
      <c r="G173" s="154"/>
      <c r="H173" s="424">
        <f t="shared" ref="H173" si="62">IFERROR(H171/G171,0)</f>
        <v>0</v>
      </c>
      <c r="I173" s="153"/>
      <c r="J173" s="154"/>
      <c r="K173" s="424">
        <f t="shared" ref="K173" si="63">IFERROR(K171/J171,0)</f>
        <v>372.79531250000002</v>
      </c>
      <c r="L173" s="153"/>
      <c r="M173" s="155"/>
      <c r="N173" s="88"/>
      <c r="O173" s="154"/>
      <c r="P173" s="424">
        <f t="shared" ref="P173" si="64">IFERROR(P171/O171,0)</f>
        <v>310.21040051679586</v>
      </c>
      <c r="Q173" s="153"/>
      <c r="R173" s="154"/>
      <c r="S173" s="88"/>
      <c r="T173" s="77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0"/>
        <v>ServiceM/O Garantie</v>
      </c>
      <c r="B174" s="12" t="s">
        <v>83</v>
      </c>
      <c r="C174" s="104" t="s">
        <v>88</v>
      </c>
      <c r="D174" s="156">
        <f>+SUM(START:END!D174)</f>
        <v>533.946669155564</v>
      </c>
      <c r="E174" s="77">
        <f>+SUM(START:END!E174)</f>
        <v>90770.933756445884</v>
      </c>
      <c r="F174" s="77">
        <f>+SUM(START:END!F174)</f>
        <v>61724.23495438321</v>
      </c>
      <c r="G174" s="157">
        <f>+SUM(START:END!G174)</f>
        <v>0</v>
      </c>
      <c r="H174" s="77">
        <f>+SUM(START:END!H174)</f>
        <v>0</v>
      </c>
      <c r="I174" s="77">
        <f>+SUM(START:END!I174)</f>
        <v>0</v>
      </c>
      <c r="J174" s="157">
        <f>+SUM(START:END!J174)</f>
        <v>220</v>
      </c>
      <c r="K174" s="51">
        <f>+SUM(START:END!K174)</f>
        <v>54939.16</v>
      </c>
      <c r="L174" s="31">
        <f>+SUM(START:END!L174)</f>
        <v>35046.58</v>
      </c>
      <c r="M174" s="150">
        <f>(K174-E174)/E174</f>
        <v>-0.39474942334061175</v>
      </c>
      <c r="N174" s="106">
        <f>L174-F174</f>
        <v>-26677.654954383208</v>
      </c>
      <c r="O174" s="157">
        <f>+SUM(START:END!O174)</f>
        <v>384</v>
      </c>
      <c r="P174" s="51">
        <f>+SUM(START:END!P174)</f>
        <v>87052.989999999991</v>
      </c>
      <c r="Q174" s="31">
        <f>+SUM(START:END!Q174)</f>
        <v>56845.67</v>
      </c>
      <c r="R174" s="150">
        <f>IF(O174=0,0,J174/O174)</f>
        <v>0.57291666666666663</v>
      </c>
      <c r="S174" s="55">
        <f>L174-Q174</f>
        <v>-21799.089999999997</v>
      </c>
      <c r="T174" s="77"/>
      <c r="U174" s="14"/>
      <c r="V174" s="28"/>
      <c r="W174" s="28"/>
      <c r="X174" s="28"/>
      <c r="Y174" s="28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0"/>
        <v>Service% profit / ventes</v>
      </c>
      <c r="B175" s="12" t="s">
        <v>83</v>
      </c>
      <c r="C175" s="38" t="s">
        <v>87</v>
      </c>
      <c r="D175" s="14"/>
      <c r="E175" s="14"/>
      <c r="F175" s="151">
        <f>F174/E174</f>
        <v>0.68</v>
      </c>
      <c r="G175" s="38"/>
      <c r="H175" s="14"/>
      <c r="I175" s="151" t="e">
        <f>I174/H174</f>
        <v>#DIV/0!</v>
      </c>
      <c r="J175" s="38"/>
      <c r="K175" s="14"/>
      <c r="L175" s="151">
        <f>L174/K174</f>
        <v>0.63791619675291722</v>
      </c>
      <c r="M175" s="39"/>
      <c r="N175" s="40"/>
      <c r="O175" s="38"/>
      <c r="P175" s="14"/>
      <c r="Q175" s="151">
        <f>Q174/P174</f>
        <v>0.65300077573441195</v>
      </c>
      <c r="R175" s="39"/>
      <c r="S175" s="40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0"/>
        <v>Service</v>
      </c>
      <c r="B176" s="12" t="s">
        <v>83</v>
      </c>
      <c r="C176" s="23"/>
      <c r="D176" s="108"/>
      <c r="E176" s="424"/>
      <c r="F176" s="153"/>
      <c r="G176" s="154"/>
      <c r="H176" s="424"/>
      <c r="I176" s="153"/>
      <c r="J176" s="154"/>
      <c r="K176" s="424"/>
      <c r="L176" s="153"/>
      <c r="M176" s="155"/>
      <c r="N176" s="88"/>
      <c r="O176" s="154"/>
      <c r="P176" s="424"/>
      <c r="Q176" s="153"/>
      <c r="R176" s="159"/>
      <c r="S176" s="160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0"/>
        <v>ServiceM/O Interne</v>
      </c>
      <c r="B177" s="12" t="s">
        <v>83</v>
      </c>
      <c r="C177" s="38" t="s">
        <v>89</v>
      </c>
      <c r="D177" s="77">
        <f>+SUM(START:END!D177)</f>
        <v>476.96007833124071</v>
      </c>
      <c r="E177" s="77">
        <f>+SUM(START:END!E177)</f>
        <v>107316.01762452917</v>
      </c>
      <c r="F177" s="77">
        <f>+SUM(START:END!F177)</f>
        <v>79413.853042151575</v>
      </c>
      <c r="G177" s="56">
        <f>+SUM(START:END!G177)</f>
        <v>0</v>
      </c>
      <c r="H177" s="77">
        <f>+SUM(START:END!H177)</f>
        <v>0</v>
      </c>
      <c r="I177" s="77">
        <f>+SUM(START:END!I177)</f>
        <v>0</v>
      </c>
      <c r="J177" s="56">
        <f>+SUM(START:END!J177)</f>
        <v>412</v>
      </c>
      <c r="K177" s="51">
        <f>+SUM(START:END!K177)</f>
        <v>133406.74</v>
      </c>
      <c r="L177" s="31">
        <f>+SUM(START:END!L177)</f>
        <v>92682.099999999991</v>
      </c>
      <c r="M177" s="150">
        <f>(K177-E177)/E177</f>
        <v>0.24312048613987408</v>
      </c>
      <c r="N177" s="55">
        <f>L177-F177</f>
        <v>13268.246957848416</v>
      </c>
      <c r="O177" s="56">
        <f>+SUM(START:END!O177)</f>
        <v>442</v>
      </c>
      <c r="P177" s="51">
        <f>+SUM(START:END!P177)</f>
        <v>124786.01000000001</v>
      </c>
      <c r="Q177" s="31">
        <f>+SUM(START:END!Q177)</f>
        <v>92028.19</v>
      </c>
      <c r="R177" s="150">
        <f>IF(O177=0,0,J177/O177)</f>
        <v>0.9321266968325792</v>
      </c>
      <c r="S177" s="55">
        <f>L177-Q177</f>
        <v>653.90999999998894</v>
      </c>
      <c r="T177" s="77"/>
      <c r="U177" s="14"/>
      <c r="V177" s="28"/>
      <c r="W177" s="28"/>
      <c r="X177" s="28"/>
      <c r="Y177" s="28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0"/>
        <v>Service% profit / ventes</v>
      </c>
      <c r="B178" s="12" t="s">
        <v>83</v>
      </c>
      <c r="C178" s="38" t="s">
        <v>87</v>
      </c>
      <c r="D178" s="77"/>
      <c r="E178" s="137"/>
      <c r="F178" s="151">
        <f>F177/E177</f>
        <v>0.73999999999999988</v>
      </c>
      <c r="G178" s="56"/>
      <c r="H178" s="137"/>
      <c r="I178" s="151" t="e">
        <f>I177/H177</f>
        <v>#DIV/0!</v>
      </c>
      <c r="J178" s="56"/>
      <c r="K178" s="137"/>
      <c r="L178" s="151">
        <f>L177/K177</f>
        <v>0.69473326460117379</v>
      </c>
      <c r="M178" s="150"/>
      <c r="N178" s="55">
        <f>L178-F178</f>
        <v>-4.5266735398826086E-2</v>
      </c>
      <c r="O178" s="56"/>
      <c r="P178" s="137"/>
      <c r="Q178" s="151">
        <f>Q177/P177</f>
        <v>0.73748804052633776</v>
      </c>
      <c r="R178" s="56">
        <f>O178-K178</f>
        <v>0</v>
      </c>
      <c r="S178" s="55"/>
      <c r="T178" s="77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0"/>
        <v>Service</v>
      </c>
      <c r="B179" s="12" t="s">
        <v>83</v>
      </c>
      <c r="C179" s="38"/>
      <c r="D179" s="77"/>
      <c r="E179" s="424"/>
      <c r="F179" s="153"/>
      <c r="G179" s="154"/>
      <c r="H179" s="424"/>
      <c r="I179" s="153"/>
      <c r="J179" s="154"/>
      <c r="K179" s="424"/>
      <c r="L179" s="153"/>
      <c r="M179" s="155"/>
      <c r="N179" s="88"/>
      <c r="O179" s="154"/>
      <c r="P179" s="424"/>
      <c r="Q179" s="151"/>
      <c r="R179" s="154"/>
      <c r="S179" s="55"/>
      <c r="T179" s="77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0"/>
        <v>ServiceM/O Esthétique</v>
      </c>
      <c r="B180" s="12" t="s">
        <v>83</v>
      </c>
      <c r="C180" s="104" t="s">
        <v>90</v>
      </c>
      <c r="D180" s="156">
        <f>+SUM(START:END!D180)</f>
        <v>11.907791015019267</v>
      </c>
      <c r="E180" s="77">
        <f>+SUM(START:END!E180)</f>
        <v>1190.7791015019266</v>
      </c>
      <c r="F180" s="77">
        <f>+SUM(START:END!F180)</f>
        <v>833.54537105134864</v>
      </c>
      <c r="G180" s="157">
        <f>+SUM(START:END!G180)</f>
        <v>0</v>
      </c>
      <c r="H180" s="77">
        <f>+SUM(START:END!H180)</f>
        <v>0</v>
      </c>
      <c r="I180" s="77">
        <f>+SUM(START:END!I180)</f>
        <v>0</v>
      </c>
      <c r="J180" s="157">
        <f>+SUM(START:END!J180)</f>
        <v>0</v>
      </c>
      <c r="K180" s="51">
        <f>+SUM(START:END!K180)</f>
        <v>24892.58</v>
      </c>
      <c r="L180" s="52">
        <f>+SUM(START:END!L180)</f>
        <v>18839.75</v>
      </c>
      <c r="M180" s="162">
        <f>IF(E180=0,0,(K180-E180)/E180)</f>
        <v>19.90444816221838</v>
      </c>
      <c r="N180" s="106">
        <f>L180-F180</f>
        <v>18006.20462894865</v>
      </c>
      <c r="O180" s="157">
        <f>+SUM(START:END!O180)</f>
        <v>0</v>
      </c>
      <c r="P180" s="51">
        <f>+SUM(START:END!P180)</f>
        <v>1316.8600000000001</v>
      </c>
      <c r="Q180" s="52">
        <f>+SUM(START:END!Q180)</f>
        <v>982.66000000000008</v>
      </c>
      <c r="R180" s="150">
        <f>IF(O180=0,0,J180/O180)</f>
        <v>0</v>
      </c>
      <c r="S180" s="106">
        <f>L180-Q180</f>
        <v>17857.09</v>
      </c>
      <c r="T180" s="77"/>
      <c r="U180" s="14"/>
      <c r="V180" s="28"/>
      <c r="W180" s="28"/>
      <c r="X180" s="28"/>
      <c r="Y180" s="28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0"/>
        <v>Service% profit / ventes</v>
      </c>
      <c r="B181" s="12" t="s">
        <v>83</v>
      </c>
      <c r="C181" s="38" t="s">
        <v>87</v>
      </c>
      <c r="D181" s="71"/>
      <c r="E181" s="163"/>
      <c r="F181" s="151">
        <f>IFERROR(F180/E180,0)</f>
        <v>0.70000000000000007</v>
      </c>
      <c r="G181" s="73"/>
      <c r="H181" s="163"/>
      <c r="I181" s="151">
        <f>IFERROR(I180/H180,0)</f>
        <v>0</v>
      </c>
      <c r="J181" s="164"/>
      <c r="K181" s="163"/>
      <c r="L181" s="151">
        <f>IFERROR(L180/K180,0)</f>
        <v>0.75684199870001412</v>
      </c>
      <c r="M181" s="56">
        <f>J181-D181</f>
        <v>0</v>
      </c>
      <c r="N181" s="165"/>
      <c r="O181" s="164"/>
      <c r="P181" s="163"/>
      <c r="Q181" s="151">
        <f>IFERROR(Q180/P180,0)</f>
        <v>0.74621447989915402</v>
      </c>
      <c r="R181" s="38"/>
      <c r="S181" s="165"/>
      <c r="T181" s="109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0"/>
        <v>Service</v>
      </c>
      <c r="B182" s="12" t="s">
        <v>83</v>
      </c>
      <c r="C182" s="23"/>
      <c r="D182" s="166"/>
      <c r="E182" s="167"/>
      <c r="F182" s="153"/>
      <c r="G182" s="168"/>
      <c r="H182" s="167"/>
      <c r="I182" s="153"/>
      <c r="J182" s="425"/>
      <c r="K182" s="44"/>
      <c r="L182" s="153"/>
      <c r="M182" s="154"/>
      <c r="N182" s="169"/>
      <c r="O182" s="425"/>
      <c r="P182" s="44"/>
      <c r="Q182" s="153"/>
      <c r="R182" s="23"/>
      <c r="S182" s="169"/>
      <c r="T182" s="109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0"/>
        <v>ServiceAjustement M/O</v>
      </c>
      <c r="B183" s="12" t="s">
        <v>83</v>
      </c>
      <c r="C183" s="38" t="s">
        <v>91</v>
      </c>
      <c r="D183" s="14"/>
      <c r="E183" s="14"/>
      <c r="F183" s="55">
        <f>+SUM(START:END!F183)</f>
        <v>-5378.3243908923214</v>
      </c>
      <c r="G183" s="38"/>
      <c r="H183" s="77"/>
      <c r="I183" s="77">
        <f>+SUM(START:END!I183)</f>
        <v>0</v>
      </c>
      <c r="J183" s="56"/>
      <c r="K183" s="77"/>
      <c r="L183" s="77">
        <f>+SUM(START:END!L183)</f>
        <v>-4107.32</v>
      </c>
      <c r="M183" s="164"/>
      <c r="N183" s="55">
        <f>L183-F183</f>
        <v>1271.0043908923217</v>
      </c>
      <c r="O183" s="56"/>
      <c r="P183" s="77"/>
      <c r="Q183" s="31">
        <f>+SUM(START:END!Q183)</f>
        <v>-1431.3200000000002</v>
      </c>
      <c r="R183" s="422"/>
      <c r="S183" s="55">
        <f t="shared" ref="S183:S184" si="65">L183-Q183</f>
        <v>-2675.9999999999995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0"/>
        <v>ServiceSous-total M/O</v>
      </c>
      <c r="B184" s="12" t="s">
        <v>83</v>
      </c>
      <c r="C184" s="426" t="s">
        <v>92</v>
      </c>
      <c r="D184" s="170"/>
      <c r="E184" s="170">
        <f t="shared" ref="E184:F184" si="66">E171+E174+E177+E180+E183</f>
        <v>431091.94409084274</v>
      </c>
      <c r="F184" s="171">
        <f t="shared" si="66"/>
        <v>312772.11131905182</v>
      </c>
      <c r="G184" s="172"/>
      <c r="H184" s="170">
        <f t="shared" ref="H184:I184" si="67">H171+H174+H177+H180+H183</f>
        <v>0</v>
      </c>
      <c r="I184" s="171">
        <f t="shared" si="67"/>
        <v>0</v>
      </c>
      <c r="J184" s="172"/>
      <c r="K184" s="170">
        <f t="shared" ref="K184:L184" si="68">K171+K174+K177+K180+K183</f>
        <v>511474.73000000004</v>
      </c>
      <c r="L184" s="171">
        <f t="shared" si="68"/>
        <v>370924.83999999997</v>
      </c>
      <c r="M184" s="173">
        <f>(K184-E184)/E184</f>
        <v>0.1864632058450586</v>
      </c>
      <c r="N184" s="171">
        <f>L184-F184</f>
        <v>58152.728680948145</v>
      </c>
      <c r="O184" s="172"/>
      <c r="P184" s="170">
        <f t="shared" ref="P184:Q184" si="69">P171+P174+P177+P180+P183</f>
        <v>453258.70999999996</v>
      </c>
      <c r="Q184" s="171">
        <f t="shared" si="69"/>
        <v>336669.51</v>
      </c>
      <c r="R184" s="39">
        <f>IF(O184=0,0,J184/O184)</f>
        <v>0</v>
      </c>
      <c r="S184" s="171">
        <f t="shared" si="65"/>
        <v>34255.329999999958</v>
      </c>
      <c r="T184" s="109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0"/>
        <v>Service% protit / ventes</v>
      </c>
      <c r="B185" s="12" t="s">
        <v>83</v>
      </c>
      <c r="C185" s="427" t="s">
        <v>93</v>
      </c>
      <c r="D185" s="174"/>
      <c r="E185" s="428"/>
      <c r="F185" s="175">
        <f>F184/E184</f>
        <v>0.72553457703478286</v>
      </c>
      <c r="G185" s="176"/>
      <c r="H185" s="428"/>
      <c r="I185" s="40" t="e">
        <f>I184/H184</f>
        <v>#DIV/0!</v>
      </c>
      <c r="J185" s="176"/>
      <c r="K185" s="428"/>
      <c r="L185" s="40">
        <f>L184/K184</f>
        <v>0.72520658058707987</v>
      </c>
      <c r="M185" s="176"/>
      <c r="N185" s="175">
        <f>N184/F184</f>
        <v>0.18592683483096051</v>
      </c>
      <c r="O185" s="176"/>
      <c r="P185" s="428"/>
      <c r="Q185" s="40">
        <f>Q184/P184</f>
        <v>0.74277559939223237</v>
      </c>
      <c r="R185" s="176"/>
      <c r="S185" s="40">
        <f>S184/Q184</f>
        <v>0.10174764563622039</v>
      </c>
      <c r="T185" s="109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0"/>
        <v>Service</v>
      </c>
      <c r="B186" s="12" t="s">
        <v>83</v>
      </c>
      <c r="C186" s="429"/>
      <c r="D186" s="177"/>
      <c r="E186" s="178"/>
      <c r="F186" s="179"/>
      <c r="G186" s="180"/>
      <c r="H186" s="178"/>
      <c r="I186" s="179"/>
      <c r="J186" s="180"/>
      <c r="K186" s="178"/>
      <c r="L186" s="179"/>
      <c r="M186" s="180"/>
      <c r="N186" s="179"/>
      <c r="O186" s="180"/>
      <c r="P186" s="178"/>
      <c r="Q186" s="179"/>
      <c r="R186" s="180"/>
      <c r="S186" s="179"/>
      <c r="T186" s="109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0"/>
        <v>ServiceSous-traitement</v>
      </c>
      <c r="B187" s="12" t="s">
        <v>83</v>
      </c>
      <c r="C187" s="38" t="s">
        <v>94</v>
      </c>
      <c r="D187" s="77"/>
      <c r="E187" s="77">
        <f>+SUM(START:END!E187)</f>
        <v>53616.577826233253</v>
      </c>
      <c r="F187" s="77">
        <f>+SUM(START:END!F187)</f>
        <v>11795.647121771315</v>
      </c>
      <c r="G187" s="56"/>
      <c r="H187" s="77">
        <f>+SUM(START:END!H187)</f>
        <v>0</v>
      </c>
      <c r="I187" s="77">
        <f>+SUM(START:END!I187)</f>
        <v>0</v>
      </c>
      <c r="J187" s="56"/>
      <c r="K187" s="28">
        <f>+SUM(START:END!K187)</f>
        <v>24483.05</v>
      </c>
      <c r="L187" s="31">
        <f>+SUM(START:END!L187)</f>
        <v>5134.1799999999985</v>
      </c>
      <c r="M187" s="150">
        <f>IF(E187=0,0,(K187-E187)/E187)</f>
        <v>-0.5433679098403581</v>
      </c>
      <c r="N187" s="55">
        <f>L187-F187</f>
        <v>-6661.4671217713167</v>
      </c>
      <c r="O187" s="56"/>
      <c r="P187" s="28">
        <f>+SUM(START:END!P187)</f>
        <v>58293.75</v>
      </c>
      <c r="Q187" s="31">
        <f>+SUM(START:END!Q187)</f>
        <v>12924.269999999993</v>
      </c>
      <c r="R187" s="150">
        <f>IF(O187=0,0,J187/O187)</f>
        <v>0</v>
      </c>
      <c r="S187" s="55">
        <f>L187-Q187</f>
        <v>-7790.0899999999947</v>
      </c>
      <c r="T187" s="109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0"/>
        <v>Service% profit / ventes</v>
      </c>
      <c r="B188" s="12" t="s">
        <v>83</v>
      </c>
      <c r="C188" s="38" t="s">
        <v>87</v>
      </c>
      <c r="D188" s="14"/>
      <c r="E188" s="137"/>
      <c r="F188" s="151">
        <f>IFERROR(F187/E187,0)</f>
        <v>0.22</v>
      </c>
      <c r="G188" s="38"/>
      <c r="H188" s="137"/>
      <c r="I188" s="151">
        <f>IFERROR(I187/H187,0)</f>
        <v>0</v>
      </c>
      <c r="J188" s="164"/>
      <c r="K188" s="163"/>
      <c r="L188" s="151">
        <f>IFERROR(L187/K187,0)</f>
        <v>0.20970344789558484</v>
      </c>
      <c r="M188" s="164"/>
      <c r="N188" s="165"/>
      <c r="O188" s="164"/>
      <c r="P188" s="163"/>
      <c r="Q188" s="151">
        <f>IFERROR(Q187/P187,0)</f>
        <v>0.22170935992280463</v>
      </c>
      <c r="R188" s="164"/>
      <c r="S188" s="165"/>
      <c r="T188" s="109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0"/>
        <v>Service</v>
      </c>
      <c r="B189" s="12" t="s">
        <v>83</v>
      </c>
      <c r="C189" s="38"/>
      <c r="D189" s="14"/>
      <c r="E189" s="137"/>
      <c r="F189" s="151"/>
      <c r="G189" s="38"/>
      <c r="H189" s="137"/>
      <c r="I189" s="151"/>
      <c r="J189" s="164"/>
      <c r="K189" s="163"/>
      <c r="L189" s="151"/>
      <c r="M189" s="164"/>
      <c r="N189" s="165"/>
      <c r="O189" s="164"/>
      <c r="P189" s="163"/>
      <c r="Q189" s="151"/>
      <c r="R189" s="164"/>
      <c r="S189" s="165"/>
      <c r="T189" s="109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0"/>
        <v>ServiceM.O. Recond. MCPA</v>
      </c>
      <c r="B190" s="12" t="s">
        <v>83</v>
      </c>
      <c r="C190" s="38" t="s">
        <v>95</v>
      </c>
      <c r="D190" s="14"/>
      <c r="E190" s="77">
        <f>+SUM(START:END!E190)</f>
        <v>0</v>
      </c>
      <c r="F190" s="77">
        <f>+SUM(START:END!F190)</f>
        <v>0</v>
      </c>
      <c r="G190" s="38"/>
      <c r="H190" s="77">
        <f>+SUM(START:END!H190)</f>
        <v>0</v>
      </c>
      <c r="I190" s="77">
        <f>+SUM(START:END!I190)</f>
        <v>0</v>
      </c>
      <c r="J190" s="164"/>
      <c r="K190" s="28">
        <f>+SUM(START:END!K190)</f>
        <v>6269.36</v>
      </c>
      <c r="L190" s="31">
        <f>+SUM(START:END!L190)</f>
        <v>4401.66</v>
      </c>
      <c r="M190" s="164"/>
      <c r="N190" s="165"/>
      <c r="O190" s="164"/>
      <c r="P190" s="28">
        <f>+SUM(START:END!P190)</f>
        <v>0</v>
      </c>
      <c r="Q190" s="151">
        <f>+SUM(START:END!Q190)</f>
        <v>0</v>
      </c>
      <c r="R190" s="164"/>
      <c r="S190" s="165"/>
      <c r="T190" s="109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0"/>
        <v>Service% profit / ventes</v>
      </c>
      <c r="B191" s="12" t="s">
        <v>83</v>
      </c>
      <c r="C191" s="38" t="s">
        <v>87</v>
      </c>
      <c r="D191" s="14"/>
      <c r="E191" s="137"/>
      <c r="F191" s="151">
        <f>IF(F190=0,0,F190/E190)</f>
        <v>0</v>
      </c>
      <c r="G191" s="38"/>
      <c r="H191" s="137"/>
      <c r="I191" s="151">
        <f>IF(I190=0,0,I190/H190)</f>
        <v>0</v>
      </c>
      <c r="J191" s="164"/>
      <c r="K191" s="163"/>
      <c r="L191" s="151">
        <f>IF(L190=0,0,L190/K190)</f>
        <v>0.70209080352699482</v>
      </c>
      <c r="M191" s="164"/>
      <c r="N191" s="165"/>
      <c r="O191" s="164"/>
      <c r="P191" s="163"/>
      <c r="Q191" s="151">
        <f>IF(Q190=0,0,Q190/P190)</f>
        <v>0</v>
      </c>
      <c r="R191" s="164"/>
      <c r="S191" s="165"/>
      <c r="T191" s="109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0"/>
        <v>Service</v>
      </c>
      <c r="B192" s="12" t="s">
        <v>83</v>
      </c>
      <c r="C192" s="430"/>
      <c r="D192" s="182"/>
      <c r="E192" s="183"/>
      <c r="F192" s="184"/>
      <c r="G192" s="185"/>
      <c r="H192" s="183"/>
      <c r="I192" s="184"/>
      <c r="J192" s="185"/>
      <c r="K192" s="183"/>
      <c r="L192" s="184"/>
      <c r="M192" s="185"/>
      <c r="N192" s="184"/>
      <c r="O192" s="185"/>
      <c r="P192" s="183"/>
      <c r="Q192" s="184"/>
      <c r="R192" s="185"/>
      <c r="S192" s="184"/>
      <c r="T192" s="109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0"/>
        <v>ServiceTotal Mécanique</v>
      </c>
      <c r="B193" s="12" t="s">
        <v>83</v>
      </c>
      <c r="C193" s="431" t="s">
        <v>96</v>
      </c>
      <c r="D193" s="59"/>
      <c r="E193" s="59">
        <f t="shared" ref="E193:F193" si="70">E184+E187+E190</f>
        <v>484708.52191707597</v>
      </c>
      <c r="F193" s="61">
        <f t="shared" si="70"/>
        <v>324567.75844082312</v>
      </c>
      <c r="G193" s="62"/>
      <c r="H193" s="59">
        <f t="shared" ref="H193:I193" si="71">H184+H187+H190</f>
        <v>0</v>
      </c>
      <c r="I193" s="61">
        <f t="shared" si="71"/>
        <v>0</v>
      </c>
      <c r="J193" s="62"/>
      <c r="K193" s="59">
        <f t="shared" ref="K193:L193" si="72">K184+K187+K190</f>
        <v>542227.14</v>
      </c>
      <c r="L193" s="61">
        <f t="shared" si="72"/>
        <v>380460.67999999993</v>
      </c>
      <c r="M193" s="186">
        <f>L194-F194</f>
        <v>3.2048621313439329E-2</v>
      </c>
      <c r="N193" s="61">
        <f>L193-F193</f>
        <v>55892.921559176815</v>
      </c>
      <c r="O193" s="62"/>
      <c r="P193" s="59">
        <f t="shared" ref="P193:Q193" si="73">P184+P187+P190</f>
        <v>511552.45999999996</v>
      </c>
      <c r="Q193" s="61">
        <f t="shared" si="73"/>
        <v>349593.78</v>
      </c>
      <c r="R193" s="186"/>
      <c r="S193" s="61">
        <f>L193-Q193</f>
        <v>30866.899999999907</v>
      </c>
      <c r="T193" s="109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0"/>
        <v>Service</v>
      </c>
      <c r="B194" s="12" t="s">
        <v>83</v>
      </c>
      <c r="C194" s="67"/>
      <c r="D194" s="65"/>
      <c r="E194" s="65"/>
      <c r="F194" s="69">
        <f>F193/E193</f>
        <v>0.66961430171914793</v>
      </c>
      <c r="G194" s="67"/>
      <c r="H194" s="65"/>
      <c r="I194" s="69" t="e">
        <f>I193/H193</f>
        <v>#DIV/0!</v>
      </c>
      <c r="J194" s="67"/>
      <c r="K194" s="65"/>
      <c r="L194" s="69">
        <f>L193/K193</f>
        <v>0.70166292303258726</v>
      </c>
      <c r="M194" s="68"/>
      <c r="N194" s="69">
        <f>N193/F193</f>
        <v>0.17220725135385714</v>
      </c>
      <c r="O194" s="67"/>
      <c r="P194" s="65"/>
      <c r="Q194" s="69">
        <f>Q193/P193</f>
        <v>0.68339771056911747</v>
      </c>
      <c r="R194" s="68"/>
      <c r="S194" s="69">
        <f>L193/S193</f>
        <v>12.325846780855903</v>
      </c>
      <c r="T194" s="71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0"/>
        <v>Service</v>
      </c>
      <c r="B195" s="12" t="s">
        <v>83</v>
      </c>
      <c r="C195" s="73"/>
      <c r="D195" s="71"/>
      <c r="E195" s="71"/>
      <c r="F195" s="40"/>
      <c r="G195" s="73"/>
      <c r="H195" s="71"/>
      <c r="I195" s="40"/>
      <c r="J195" s="73"/>
      <c r="K195" s="109"/>
      <c r="L195" s="40"/>
      <c r="M195" s="39"/>
      <c r="N195" s="40"/>
      <c r="O195" s="73"/>
      <c r="P195" s="71"/>
      <c r="Q195" s="40"/>
      <c r="R195" s="39"/>
      <c r="S195" s="40"/>
      <c r="T195" s="71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0"/>
        <v>ServiceDEPENSES</v>
      </c>
      <c r="B196" s="12" t="s">
        <v>83</v>
      </c>
      <c r="C196" s="432" t="s">
        <v>30</v>
      </c>
      <c r="D196" s="14"/>
      <c r="E196" s="14"/>
      <c r="F196" s="55"/>
      <c r="G196" s="38"/>
      <c r="H196" s="14"/>
      <c r="I196" s="55"/>
      <c r="J196" s="38"/>
      <c r="K196" s="14"/>
      <c r="L196" s="37"/>
      <c r="M196" s="38"/>
      <c r="N196" s="37"/>
      <c r="O196" s="38"/>
      <c r="P196" s="14"/>
      <c r="Q196" s="37"/>
      <c r="R196" s="38"/>
      <c r="S196" s="37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0"/>
        <v>ServiceSalaires cadres</v>
      </c>
      <c r="B197" s="12" t="s">
        <v>83</v>
      </c>
      <c r="C197" s="433" t="s">
        <v>41</v>
      </c>
      <c r="D197" s="14"/>
      <c r="E197" s="14"/>
      <c r="F197" s="28">
        <f>+SUM(START:END!F197)</f>
        <v>25443.078927203063</v>
      </c>
      <c r="G197" s="38"/>
      <c r="H197" s="14"/>
      <c r="I197" s="28">
        <f>+SUM(START:END!I197)</f>
        <v>0</v>
      </c>
      <c r="J197" s="38"/>
      <c r="K197" s="14"/>
      <c r="L197" s="31">
        <f>+SUM(START:END!L197)</f>
        <v>25519.510000000002</v>
      </c>
      <c r="M197" s="38"/>
      <c r="N197" s="55">
        <f t="shared" ref="N197:N228" si="74">L197-F197</f>
        <v>76.431072796938679</v>
      </c>
      <c r="O197" s="38"/>
      <c r="P197" s="14"/>
      <c r="Q197" s="31">
        <f>+SUM(START:END!Q197)</f>
        <v>15652.46</v>
      </c>
      <c r="R197" s="38"/>
      <c r="S197" s="31">
        <f t="shared" ref="S197:S228" si="75">L197-Q197</f>
        <v>9867.0500000000029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0"/>
        <v>ServiceSalaires commis</v>
      </c>
      <c r="B198" s="12" t="s">
        <v>83</v>
      </c>
      <c r="C198" s="434" t="s">
        <v>42</v>
      </c>
      <c r="D198" s="76"/>
      <c r="E198" s="14"/>
      <c r="F198" s="45">
        <f>+SUM(START:END!F198)</f>
        <v>20172.583908045977</v>
      </c>
      <c r="G198" s="78"/>
      <c r="H198" s="14"/>
      <c r="I198" s="45">
        <f>+SUM(START:END!I198)</f>
        <v>0</v>
      </c>
      <c r="J198" s="38"/>
      <c r="K198" s="14"/>
      <c r="L198" s="31">
        <f>+SUM(START:END!L198)</f>
        <v>11458.34</v>
      </c>
      <c r="M198" s="38"/>
      <c r="N198" s="55">
        <f t="shared" si="74"/>
        <v>-8714.2439080459772</v>
      </c>
      <c r="O198" s="38"/>
      <c r="P198" s="14"/>
      <c r="Q198" s="31">
        <f>+SUM(START:END!Q198)</f>
        <v>14089.5</v>
      </c>
      <c r="R198" s="38"/>
      <c r="S198" s="55">
        <f t="shared" si="75"/>
        <v>-2631.16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0"/>
        <v>ServiceSalaires autres</v>
      </c>
      <c r="B199" s="12" t="s">
        <v>83</v>
      </c>
      <c r="C199" s="433" t="s">
        <v>43</v>
      </c>
      <c r="D199" s="101"/>
      <c r="E199" s="102"/>
      <c r="F199" s="28">
        <f>+SUM(START:END!F199)</f>
        <v>25963.210727969348</v>
      </c>
      <c r="G199" s="103"/>
      <c r="H199" s="102"/>
      <c r="I199" s="28">
        <f>+SUM(START:END!I199)</f>
        <v>0</v>
      </c>
      <c r="J199" s="104"/>
      <c r="K199" s="102"/>
      <c r="L199" s="52">
        <f>+SUM(START:END!L199)</f>
        <v>10167.459999999999</v>
      </c>
      <c r="M199" s="104"/>
      <c r="N199" s="106">
        <f t="shared" si="74"/>
        <v>-15795.750727969349</v>
      </c>
      <c r="O199" s="104"/>
      <c r="P199" s="102"/>
      <c r="Q199" s="52">
        <f>+SUM(START:END!Q199)</f>
        <v>38801.33</v>
      </c>
      <c r="R199" s="104"/>
      <c r="S199" s="106">
        <f t="shared" si="75"/>
        <v>-28633.870000000003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0"/>
        <v>ServiceSalaires spécialistes</v>
      </c>
      <c r="B200" s="12" t="s">
        <v>83</v>
      </c>
      <c r="C200" s="433" t="s">
        <v>44</v>
      </c>
      <c r="D200" s="76"/>
      <c r="E200" s="14"/>
      <c r="F200" s="28">
        <f>+SUM(START:END!F200)</f>
        <v>62164.373634753487</v>
      </c>
      <c r="G200" s="78"/>
      <c r="H200" s="14"/>
      <c r="I200" s="28">
        <f>+SUM(START:END!I200)</f>
        <v>0</v>
      </c>
      <c r="J200" s="38"/>
      <c r="K200" s="14"/>
      <c r="L200" s="31">
        <f>+SUM(START:END!L200)</f>
        <v>57578.71</v>
      </c>
      <c r="M200" s="38"/>
      <c r="N200" s="55">
        <f t="shared" si="74"/>
        <v>-4585.6636347534877</v>
      </c>
      <c r="O200" s="38"/>
      <c r="P200" s="14"/>
      <c r="Q200" s="31">
        <f>+SUM(START:END!Q200)</f>
        <v>70819.149999999994</v>
      </c>
      <c r="R200" s="38"/>
      <c r="S200" s="55">
        <f t="shared" si="75"/>
        <v>-13240.439999999995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0"/>
        <v>Service[...]</v>
      </c>
      <c r="B201" s="12" t="s">
        <v>83</v>
      </c>
      <c r="C201" s="38" t="s">
        <v>20</v>
      </c>
      <c r="D201" s="76"/>
      <c r="E201" s="14"/>
      <c r="F201" s="28">
        <f>+SUM(START:END!F201)</f>
        <v>0</v>
      </c>
      <c r="G201" s="78"/>
      <c r="H201" s="14"/>
      <c r="I201" s="28">
        <f>+SUM(START:END!I201)</f>
        <v>0</v>
      </c>
      <c r="J201" s="38"/>
      <c r="K201" s="14"/>
      <c r="L201" s="31">
        <f>+SUM(START:END!L201)</f>
        <v>0</v>
      </c>
      <c r="M201" s="38"/>
      <c r="N201" s="55">
        <f t="shared" si="74"/>
        <v>0</v>
      </c>
      <c r="O201" s="38"/>
      <c r="P201" s="14"/>
      <c r="Q201" s="31">
        <f>+SUM(START:END!Q201)</f>
        <v>0</v>
      </c>
      <c r="R201" s="38"/>
      <c r="S201" s="55">
        <f t="shared" si="75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0"/>
        <v>Service[...]</v>
      </c>
      <c r="B202" s="12" t="s">
        <v>83</v>
      </c>
      <c r="C202" s="38" t="s">
        <v>20</v>
      </c>
      <c r="D202" s="76"/>
      <c r="E202" s="14"/>
      <c r="F202" s="28">
        <f>+SUM(START:END!F202)</f>
        <v>0</v>
      </c>
      <c r="G202" s="78"/>
      <c r="H202" s="14"/>
      <c r="I202" s="28">
        <f>+SUM(START:END!I202)</f>
        <v>0</v>
      </c>
      <c r="J202" s="38"/>
      <c r="K202" s="14"/>
      <c r="L202" s="31">
        <f>+SUM(START:END!L202)</f>
        <v>0</v>
      </c>
      <c r="M202" s="38"/>
      <c r="N202" s="55">
        <f t="shared" si="74"/>
        <v>0</v>
      </c>
      <c r="O202" s="38"/>
      <c r="P202" s="14"/>
      <c r="Q202" s="31">
        <f>+SUM(START:END!Q202)</f>
        <v>0</v>
      </c>
      <c r="R202" s="38"/>
      <c r="S202" s="55">
        <f t="shared" si="75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0"/>
        <v>Service[...]</v>
      </c>
      <c r="B203" s="12" t="s">
        <v>83</v>
      </c>
      <c r="C203" s="38" t="s">
        <v>20</v>
      </c>
      <c r="D203" s="76"/>
      <c r="E203" s="14"/>
      <c r="F203" s="28">
        <f>+SUM(START:END!F203)</f>
        <v>0</v>
      </c>
      <c r="G203" s="78"/>
      <c r="H203" s="14"/>
      <c r="I203" s="28">
        <f>+SUM(START:END!I203)</f>
        <v>0</v>
      </c>
      <c r="J203" s="38"/>
      <c r="K203" s="14"/>
      <c r="L203" s="31">
        <f>+SUM(START:END!L203)</f>
        <v>0</v>
      </c>
      <c r="M203" s="38"/>
      <c r="N203" s="55">
        <f t="shared" si="74"/>
        <v>0</v>
      </c>
      <c r="O203" s="38"/>
      <c r="P203" s="14"/>
      <c r="Q203" s="31">
        <f>+SUM(START:END!Q203)</f>
        <v>0</v>
      </c>
      <c r="R203" s="38"/>
      <c r="S203" s="55">
        <f t="shared" si="75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0"/>
        <v>ServiceSalaires en absences</v>
      </c>
      <c r="B204" s="12" t="s">
        <v>83</v>
      </c>
      <c r="C204" s="434" t="s">
        <v>45</v>
      </c>
      <c r="D204" s="76"/>
      <c r="E204" s="14"/>
      <c r="F204" s="28">
        <f>+SUM(START:END!F204)</f>
        <v>29245.95371776617</v>
      </c>
      <c r="G204" s="78"/>
      <c r="H204" s="14"/>
      <c r="I204" s="28">
        <f>+SUM(START:END!I204)</f>
        <v>0</v>
      </c>
      <c r="J204" s="38"/>
      <c r="K204" s="14"/>
      <c r="L204" s="31">
        <f>+SUM(START:END!L204)</f>
        <v>34237.1</v>
      </c>
      <c r="M204" s="38"/>
      <c r="N204" s="55">
        <f t="shared" si="74"/>
        <v>4991.146282233829</v>
      </c>
      <c r="O204" s="38"/>
      <c r="P204" s="14"/>
      <c r="Q204" s="31">
        <f>+SUM(START:END!Q204)</f>
        <v>39765.68</v>
      </c>
      <c r="R204" s="38"/>
      <c r="S204" s="55">
        <f t="shared" si="75"/>
        <v>-5528.5800000000017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0"/>
        <v>ServiceDéduction à la source</v>
      </c>
      <c r="B205" s="12" t="s">
        <v>83</v>
      </c>
      <c r="C205" s="433" t="s">
        <v>46</v>
      </c>
      <c r="D205" s="101"/>
      <c r="E205" s="102"/>
      <c r="F205" s="52">
        <f>+SUM(START:END!F205)</f>
        <v>29073.357472923191</v>
      </c>
      <c r="G205" s="103"/>
      <c r="H205" s="102"/>
      <c r="I205" s="52">
        <f>+SUM(START:END!I205)</f>
        <v>0</v>
      </c>
      <c r="J205" s="104"/>
      <c r="K205" s="102"/>
      <c r="L205" s="52">
        <f>+SUM(START:END!L205)</f>
        <v>37162.479999999996</v>
      </c>
      <c r="M205" s="104"/>
      <c r="N205" s="106">
        <f t="shared" si="74"/>
        <v>8089.1225270768045</v>
      </c>
      <c r="O205" s="104"/>
      <c r="P205" s="102"/>
      <c r="Q205" s="52">
        <f>+SUM(START:END!Q205)</f>
        <v>36145.660000000003</v>
      </c>
      <c r="R205" s="104"/>
      <c r="S205" s="106">
        <f t="shared" si="75"/>
        <v>1016.8199999999924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0"/>
        <v>ServiceBénéfices marginaux</v>
      </c>
      <c r="B206" s="12" t="s">
        <v>83</v>
      </c>
      <c r="C206" s="433" t="s">
        <v>47</v>
      </c>
      <c r="D206" s="76"/>
      <c r="E206" s="14"/>
      <c r="F206" s="28">
        <f>+SUM(START:END!F206)</f>
        <v>20358.852143674128</v>
      </c>
      <c r="G206" s="78"/>
      <c r="H206" s="14"/>
      <c r="I206" s="28">
        <f>+SUM(START:END!I206)</f>
        <v>0</v>
      </c>
      <c r="J206" s="38"/>
      <c r="K206" s="14"/>
      <c r="L206" s="31">
        <f>+SUM(START:END!L206)</f>
        <v>21548.770000000004</v>
      </c>
      <c r="M206" s="38"/>
      <c r="N206" s="55">
        <f t="shared" si="74"/>
        <v>1189.9178563258756</v>
      </c>
      <c r="O206" s="38"/>
      <c r="P206" s="14"/>
      <c r="Q206" s="31">
        <f>+SUM(START:END!Q206)</f>
        <v>12861.14</v>
      </c>
      <c r="R206" s="38"/>
      <c r="S206" s="55">
        <f t="shared" si="75"/>
        <v>8687.6300000000047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0"/>
        <v>ServiceCsst</v>
      </c>
      <c r="B207" s="12" t="s">
        <v>83</v>
      </c>
      <c r="C207" s="433" t="s">
        <v>48</v>
      </c>
      <c r="D207" s="76"/>
      <c r="E207" s="14"/>
      <c r="F207" s="28">
        <f>+SUM(START:END!F207)</f>
        <v>9726.0104829878037</v>
      </c>
      <c r="G207" s="78"/>
      <c r="H207" s="14"/>
      <c r="I207" s="28">
        <f>+SUM(START:END!I207)</f>
        <v>0</v>
      </c>
      <c r="J207" s="38"/>
      <c r="K207" s="14"/>
      <c r="L207" s="31">
        <f>+SUM(START:END!L207)</f>
        <v>9506.56</v>
      </c>
      <c r="M207" s="38"/>
      <c r="N207" s="55">
        <f t="shared" si="74"/>
        <v>-219.45048298780421</v>
      </c>
      <c r="O207" s="38"/>
      <c r="P207" s="14"/>
      <c r="Q207" s="31">
        <f>+SUM(START:END!Q207)</f>
        <v>15873.220000000001</v>
      </c>
      <c r="R207" s="38"/>
      <c r="S207" s="55">
        <f t="shared" si="75"/>
        <v>-6366.6600000000017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0"/>
        <v>Service[...]</v>
      </c>
      <c r="B208" s="12" t="s">
        <v>83</v>
      </c>
      <c r="C208" s="38" t="s">
        <v>20</v>
      </c>
      <c r="D208" s="83"/>
      <c r="E208" s="108"/>
      <c r="F208" s="28">
        <f>+SUM(START:END!F208)</f>
        <v>0</v>
      </c>
      <c r="G208" s="85"/>
      <c r="H208" s="108"/>
      <c r="I208" s="28">
        <f>+SUM(START:END!I208)</f>
        <v>0</v>
      </c>
      <c r="J208" s="23"/>
      <c r="K208" s="108"/>
      <c r="L208" s="31">
        <f>+SUM(START:END!L208)</f>
        <v>0</v>
      </c>
      <c r="M208" s="23"/>
      <c r="N208" s="88">
        <f t="shared" si="74"/>
        <v>0</v>
      </c>
      <c r="O208" s="23"/>
      <c r="P208" s="108"/>
      <c r="Q208" s="31">
        <f>+SUM(START:END!Q208)</f>
        <v>0</v>
      </c>
      <c r="R208" s="23"/>
      <c r="S208" s="88">
        <f t="shared" si="75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0"/>
        <v>ServiceTOTAL PERSONNEL</v>
      </c>
      <c r="B209" s="12" t="s">
        <v>83</v>
      </c>
      <c r="C209" s="226" t="s">
        <v>49</v>
      </c>
      <c r="D209" s="91" t="s">
        <v>97</v>
      </c>
      <c r="E209" s="92">
        <f>F209/F$193</f>
        <v>0.68444081470842144</v>
      </c>
      <c r="F209" s="93">
        <f>+SUM(F197:F208)</f>
        <v>222147.42101532311</v>
      </c>
      <c r="G209" s="94" t="s">
        <v>97</v>
      </c>
      <c r="H209" s="92" t="e">
        <f>I209/I$193</f>
        <v>#DIV/0!</v>
      </c>
      <c r="I209" s="93">
        <f>+SUM(I197:I208)</f>
        <v>0</v>
      </c>
      <c r="J209" s="94" t="s">
        <v>97</v>
      </c>
      <c r="K209" s="92">
        <f>L209/L$193</f>
        <v>0.54454754693704488</v>
      </c>
      <c r="L209" s="93">
        <f>+SUM(L197:L208)</f>
        <v>207178.93</v>
      </c>
      <c r="M209" s="140"/>
      <c r="N209" s="110">
        <f t="shared" si="74"/>
        <v>-14968.491015323118</v>
      </c>
      <c r="O209" s="94" t="s">
        <v>97</v>
      </c>
      <c r="P209" s="92">
        <f>Q209/Q$193</f>
        <v>0.69797620541189254</v>
      </c>
      <c r="Q209" s="93">
        <f>+SUM(Q197:Q208)</f>
        <v>244008.13999999998</v>
      </c>
      <c r="R209" s="140"/>
      <c r="S209" s="110">
        <f t="shared" si="75"/>
        <v>-36829.209999999992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0"/>
        <v>ServicePublicité 2</v>
      </c>
      <c r="B210" s="12" t="s">
        <v>83</v>
      </c>
      <c r="C210" s="38" t="s">
        <v>50</v>
      </c>
      <c r="D210" s="76"/>
      <c r="E210" s="14"/>
      <c r="F210" s="28">
        <f>+SUM(START:END!F210)</f>
        <v>16859.187204166668</v>
      </c>
      <c r="G210" s="78"/>
      <c r="H210" s="14"/>
      <c r="I210" s="28">
        <f>+SUM(START:END!I210)</f>
        <v>0</v>
      </c>
      <c r="J210" s="38"/>
      <c r="K210" s="14"/>
      <c r="L210" s="31">
        <f>+SUM(START:END!L210)</f>
        <v>23636.65</v>
      </c>
      <c r="M210" s="38"/>
      <c r="N210" s="55">
        <f t="shared" si="74"/>
        <v>6777.4627958333331</v>
      </c>
      <c r="O210" s="38"/>
      <c r="P210" s="14"/>
      <c r="Q210" s="31">
        <f>+SUM(START:END!Q210)</f>
        <v>20091.78</v>
      </c>
      <c r="R210" s="38"/>
      <c r="S210" s="55">
        <f t="shared" si="75"/>
        <v>3544.8700000000026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0"/>
        <v>ServiceService gratuit 2</v>
      </c>
      <c r="B211" s="12" t="s">
        <v>83</v>
      </c>
      <c r="C211" s="38" t="s">
        <v>51</v>
      </c>
      <c r="D211" s="76"/>
      <c r="E211" s="14"/>
      <c r="F211" s="28">
        <f>+SUM(START:END!F211)</f>
        <v>4807.4899213048393</v>
      </c>
      <c r="G211" s="78"/>
      <c r="H211" s="14"/>
      <c r="I211" s="28">
        <f>+SUM(START:END!I211)</f>
        <v>0</v>
      </c>
      <c r="J211" s="38"/>
      <c r="K211" s="14"/>
      <c r="L211" s="31">
        <f>+SUM(START:END!L211)</f>
        <v>9706.0600000000013</v>
      </c>
      <c r="M211" s="38"/>
      <c r="N211" s="55">
        <f t="shared" si="74"/>
        <v>4898.570078695162</v>
      </c>
      <c r="O211" s="38"/>
      <c r="P211" s="14"/>
      <c r="Q211" s="31">
        <f>+SUM(START:END!Q211)</f>
        <v>7079.1399999999994</v>
      </c>
      <c r="R211" s="38"/>
      <c r="S211" s="55">
        <f t="shared" si="75"/>
        <v>2626.9200000000019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0"/>
        <v>ServiceFrais véhicules de cie</v>
      </c>
      <c r="B212" s="12" t="s">
        <v>83</v>
      </c>
      <c r="C212" s="23" t="s">
        <v>52</v>
      </c>
      <c r="D212" s="83"/>
      <c r="E212" s="108"/>
      <c r="F212" s="45">
        <f>+SUM(START:END!F212)</f>
        <v>26463.333333333332</v>
      </c>
      <c r="G212" s="85"/>
      <c r="H212" s="108"/>
      <c r="I212" s="45">
        <f>+SUM(START:END!I212)</f>
        <v>0</v>
      </c>
      <c r="J212" s="23"/>
      <c r="K212" s="108"/>
      <c r="L212" s="31">
        <f>+SUM(START:END!L212)</f>
        <v>28715.89</v>
      </c>
      <c r="M212" s="23"/>
      <c r="N212" s="88">
        <f t="shared" si="74"/>
        <v>2252.5566666666673</v>
      </c>
      <c r="O212" s="23"/>
      <c r="P212" s="108"/>
      <c r="Q212" s="31">
        <f>+SUM(START:END!Q212)</f>
        <v>33046.65</v>
      </c>
      <c r="R212" s="23"/>
      <c r="S212" s="88">
        <f t="shared" si="75"/>
        <v>-4330.760000000002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0"/>
        <v>ServiceInformatique</v>
      </c>
      <c r="B213" s="12" t="s">
        <v>83</v>
      </c>
      <c r="C213" s="38" t="s">
        <v>53</v>
      </c>
      <c r="D213" s="76"/>
      <c r="E213" s="14"/>
      <c r="F213" s="28">
        <f>+SUM(START:END!F213)</f>
        <v>12006.011247999999</v>
      </c>
      <c r="G213" s="78"/>
      <c r="H213" s="14"/>
      <c r="I213" s="28">
        <f>+SUM(START:END!I213)</f>
        <v>0</v>
      </c>
      <c r="J213" s="38"/>
      <c r="K213" s="14"/>
      <c r="L213" s="52">
        <f>+SUM(START:END!L213)</f>
        <v>8974.2200000000012</v>
      </c>
      <c r="M213" s="38"/>
      <c r="N213" s="55">
        <f t="shared" si="74"/>
        <v>-3031.7912479999977</v>
      </c>
      <c r="O213" s="38"/>
      <c r="P213" s="14"/>
      <c r="Q213" s="52">
        <f>+SUM(START:END!Q213)</f>
        <v>8074.67</v>
      </c>
      <c r="R213" s="38"/>
      <c r="S213" s="55">
        <f t="shared" si="75"/>
        <v>899.55000000000109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0"/>
        <v>ServiceFrais de déplacement</v>
      </c>
      <c r="B214" s="12" t="s">
        <v>83</v>
      </c>
      <c r="C214" s="38" t="s">
        <v>54</v>
      </c>
      <c r="D214" s="76"/>
      <c r="E214" s="14"/>
      <c r="F214" s="28">
        <f>+SUM(START:END!F214)</f>
        <v>1500.1320669999998</v>
      </c>
      <c r="G214" s="78"/>
      <c r="H214" s="14"/>
      <c r="I214" s="28">
        <f>+SUM(START:END!I214)</f>
        <v>0</v>
      </c>
      <c r="J214" s="38"/>
      <c r="K214" s="14"/>
      <c r="L214" s="31">
        <f>+SUM(START:END!L214)</f>
        <v>3874.59</v>
      </c>
      <c r="M214" s="38"/>
      <c r="N214" s="55">
        <f t="shared" si="74"/>
        <v>2374.4579330000006</v>
      </c>
      <c r="O214" s="38"/>
      <c r="P214" s="14"/>
      <c r="Q214" s="31">
        <f>+SUM(START:END!Q214)</f>
        <v>2902.49</v>
      </c>
      <c r="R214" s="38"/>
      <c r="S214" s="55">
        <f t="shared" si="75"/>
        <v>972.10000000000036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0"/>
        <v>ServiceServices extérieurs</v>
      </c>
      <c r="B215" s="12" t="s">
        <v>83</v>
      </c>
      <c r="C215" s="23" t="s">
        <v>55</v>
      </c>
      <c r="D215" s="83"/>
      <c r="E215" s="108"/>
      <c r="F215" s="45">
        <f>+SUM(START:END!F215)</f>
        <v>6261.0067946666659</v>
      </c>
      <c r="G215" s="85"/>
      <c r="H215" s="108"/>
      <c r="I215" s="45">
        <f>+SUM(START:END!I215)</f>
        <v>0</v>
      </c>
      <c r="J215" s="23"/>
      <c r="K215" s="108"/>
      <c r="L215" s="31">
        <f>+SUM(START:END!L215)</f>
        <v>6968.46</v>
      </c>
      <c r="M215" s="23"/>
      <c r="N215" s="88">
        <f t="shared" si="74"/>
        <v>707.45320533333415</v>
      </c>
      <c r="O215" s="23"/>
      <c r="P215" s="108"/>
      <c r="Q215" s="31">
        <f>+SUM(START:END!Q215)</f>
        <v>4468.6100000000006</v>
      </c>
      <c r="R215" s="23"/>
      <c r="S215" s="88">
        <f t="shared" si="75"/>
        <v>2499.8499999999995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0"/>
        <v>ServiceFournitures d'atelier</v>
      </c>
      <c r="B216" s="12" t="s">
        <v>83</v>
      </c>
      <c r="C216" s="38" t="s">
        <v>98</v>
      </c>
      <c r="D216" s="76"/>
      <c r="E216" s="14"/>
      <c r="F216" s="28">
        <f>+SUM(START:END!F216)</f>
        <v>0</v>
      </c>
      <c r="G216" s="78"/>
      <c r="H216" s="14"/>
      <c r="I216" s="28">
        <f>+SUM(START:END!I216)</f>
        <v>0</v>
      </c>
      <c r="J216" s="38"/>
      <c r="K216" s="14"/>
      <c r="L216" s="52">
        <f>+SUM(START:END!L216)</f>
        <v>0</v>
      </c>
      <c r="M216" s="38"/>
      <c r="N216" s="55">
        <f t="shared" si="74"/>
        <v>0</v>
      </c>
      <c r="O216" s="38"/>
      <c r="P216" s="14"/>
      <c r="Q216" s="52">
        <f>+SUM(START:END!Q216)</f>
        <v>0</v>
      </c>
      <c r="R216" s="38"/>
      <c r="S216" s="55">
        <f t="shared" si="75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0"/>
        <v>ServiceFournitures autres</v>
      </c>
      <c r="B217" s="12" t="s">
        <v>83</v>
      </c>
      <c r="C217" s="38" t="s">
        <v>56</v>
      </c>
      <c r="D217" s="76"/>
      <c r="E217" s="14"/>
      <c r="F217" s="28">
        <f>+SUM(START:END!F217)</f>
        <v>3172.7572231651129</v>
      </c>
      <c r="G217" s="78"/>
      <c r="H217" s="14"/>
      <c r="I217" s="28">
        <f>+SUM(START:END!I217)</f>
        <v>0</v>
      </c>
      <c r="J217" s="38"/>
      <c r="K217" s="14"/>
      <c r="L217" s="31">
        <f>+SUM(START:END!L217)</f>
        <v>13324.37</v>
      </c>
      <c r="M217" s="38"/>
      <c r="N217" s="55">
        <f t="shared" si="74"/>
        <v>10151.612776834889</v>
      </c>
      <c r="O217" s="38"/>
      <c r="P217" s="14"/>
      <c r="Q217" s="31">
        <f>+SUM(START:END!Q217)</f>
        <v>2018.25</v>
      </c>
      <c r="R217" s="38"/>
      <c r="S217" s="55">
        <f t="shared" si="75"/>
        <v>11306.12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0"/>
        <v>ServiceUniformes</v>
      </c>
      <c r="B218" s="12" t="s">
        <v>83</v>
      </c>
      <c r="C218" s="38" t="s">
        <v>57</v>
      </c>
      <c r="D218" s="76"/>
      <c r="E218" s="14"/>
      <c r="F218" s="28">
        <f>+SUM(START:END!F218)</f>
        <v>1638.3756556849305</v>
      </c>
      <c r="G218" s="78"/>
      <c r="H218" s="14"/>
      <c r="I218" s="28">
        <f>+SUM(START:END!I218)</f>
        <v>0</v>
      </c>
      <c r="J218" s="38"/>
      <c r="K218" s="14"/>
      <c r="L218" s="31">
        <f>+SUM(START:END!L218)</f>
        <v>2323.98</v>
      </c>
      <c r="M218" s="38"/>
      <c r="N218" s="55">
        <f t="shared" si="74"/>
        <v>685.60434431506951</v>
      </c>
      <c r="O218" s="38"/>
      <c r="P218" s="14"/>
      <c r="Q218" s="31">
        <f>+SUM(START:END!Q218)</f>
        <v>837.90000000000009</v>
      </c>
      <c r="R218" s="38"/>
      <c r="S218" s="55">
        <f t="shared" si="75"/>
        <v>1486.08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0"/>
        <v>ServicePapeterie</v>
      </c>
      <c r="B219" s="12" t="s">
        <v>83</v>
      </c>
      <c r="C219" s="38" t="s">
        <v>58</v>
      </c>
      <c r="D219" s="76"/>
      <c r="E219" s="14"/>
      <c r="F219" s="28">
        <f>+SUM(START:END!F219)</f>
        <v>1145.1765527999996</v>
      </c>
      <c r="G219" s="78"/>
      <c r="H219" s="14"/>
      <c r="I219" s="28">
        <f>+SUM(START:END!I219)</f>
        <v>0</v>
      </c>
      <c r="J219" s="38"/>
      <c r="K219" s="14"/>
      <c r="L219" s="31">
        <f>+SUM(START:END!L219)</f>
        <v>1530.7399999999998</v>
      </c>
      <c r="M219" s="38"/>
      <c r="N219" s="55">
        <f t="shared" si="74"/>
        <v>385.56344720000016</v>
      </c>
      <c r="O219" s="38"/>
      <c r="P219" s="14"/>
      <c r="Q219" s="31">
        <f>+SUM(START:END!Q219)</f>
        <v>1811.5900000000001</v>
      </c>
      <c r="R219" s="38"/>
      <c r="S219" s="55">
        <f t="shared" si="75"/>
        <v>-280.85000000000036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0"/>
        <v>ServiceTéléphone</v>
      </c>
      <c r="B220" s="12" t="s">
        <v>83</v>
      </c>
      <c r="C220" s="38" t="s">
        <v>59</v>
      </c>
      <c r="D220" s="76"/>
      <c r="E220" s="14"/>
      <c r="F220" s="28">
        <f>+SUM(START:END!F220)</f>
        <v>388.08037523333331</v>
      </c>
      <c r="G220" s="78"/>
      <c r="H220" s="14"/>
      <c r="I220" s="28">
        <f>+SUM(START:END!I220)</f>
        <v>0</v>
      </c>
      <c r="J220" s="38"/>
      <c r="K220" s="14"/>
      <c r="L220" s="31">
        <f>+SUM(START:END!L220)</f>
        <v>426.13</v>
      </c>
      <c r="M220" s="38"/>
      <c r="N220" s="55">
        <f t="shared" si="74"/>
        <v>38.049624766666682</v>
      </c>
      <c r="O220" s="38"/>
      <c r="P220" s="14"/>
      <c r="Q220" s="31">
        <f>+SUM(START:END!Q220)</f>
        <v>550.37</v>
      </c>
      <c r="R220" s="38"/>
      <c r="S220" s="55">
        <f t="shared" si="75"/>
        <v>-124.24000000000001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0"/>
        <v>ServiceFrais postaux</v>
      </c>
      <c r="B221" s="12" t="s">
        <v>83</v>
      </c>
      <c r="C221" s="38" t="s">
        <v>60</v>
      </c>
      <c r="D221" s="76"/>
      <c r="E221" s="14"/>
      <c r="F221" s="28">
        <f>+SUM(START:END!F221)</f>
        <v>185.61644076666661</v>
      </c>
      <c r="G221" s="78"/>
      <c r="H221" s="14"/>
      <c r="I221" s="28">
        <f>+SUM(START:END!I221)</f>
        <v>0</v>
      </c>
      <c r="J221" s="38"/>
      <c r="K221" s="14"/>
      <c r="L221" s="31">
        <f>+SUM(START:END!L221)</f>
        <v>81.98</v>
      </c>
      <c r="M221" s="38"/>
      <c r="N221" s="55">
        <f t="shared" si="74"/>
        <v>-103.63644076666661</v>
      </c>
      <c r="O221" s="38"/>
      <c r="P221" s="14"/>
      <c r="Q221" s="31">
        <f>+SUM(START:END!Q221)</f>
        <v>234.74</v>
      </c>
      <c r="R221" s="38"/>
      <c r="S221" s="55">
        <f t="shared" si="75"/>
        <v>-152.76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0"/>
        <v>ServiceDivers</v>
      </c>
      <c r="B222" s="12" t="s">
        <v>83</v>
      </c>
      <c r="C222" s="38" t="s">
        <v>61</v>
      </c>
      <c r="D222" s="76"/>
      <c r="E222" s="14"/>
      <c r="F222" s="28">
        <f>+SUM(START:END!F222)</f>
        <v>705.2735445666666</v>
      </c>
      <c r="G222" s="78"/>
      <c r="H222" s="14"/>
      <c r="I222" s="28">
        <f>+SUM(START:END!I222)</f>
        <v>0</v>
      </c>
      <c r="J222" s="38"/>
      <c r="K222" s="14"/>
      <c r="L222" s="31">
        <f>+SUM(START:END!L222)</f>
        <v>141.59</v>
      </c>
      <c r="M222" s="38"/>
      <c r="N222" s="55">
        <f t="shared" si="74"/>
        <v>-563.68354456666657</v>
      </c>
      <c r="O222" s="38"/>
      <c r="P222" s="14"/>
      <c r="Q222" s="31">
        <f>+SUM(START:END!Q222)</f>
        <v>283.87</v>
      </c>
      <c r="R222" s="38"/>
      <c r="S222" s="55">
        <f t="shared" si="75"/>
        <v>-142.28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0"/>
        <v>ServiceFormation</v>
      </c>
      <c r="B223" s="12" t="s">
        <v>83</v>
      </c>
      <c r="C223" s="38" t="s">
        <v>62</v>
      </c>
      <c r="D223" s="76"/>
      <c r="E223" s="14"/>
      <c r="F223" s="28">
        <f>+SUM(START:END!F223)</f>
        <v>3945.9673326909278</v>
      </c>
      <c r="G223" s="78"/>
      <c r="H223" s="14"/>
      <c r="I223" s="28">
        <f>+SUM(START:END!I223)</f>
        <v>0</v>
      </c>
      <c r="J223" s="38"/>
      <c r="K223" s="14"/>
      <c r="L223" s="31">
        <f>+SUM(START:END!L223)</f>
        <v>8565.380000000001</v>
      </c>
      <c r="M223" s="38"/>
      <c r="N223" s="55">
        <f t="shared" si="74"/>
        <v>4619.4126673090732</v>
      </c>
      <c r="O223" s="38"/>
      <c r="P223" s="14"/>
      <c r="Q223" s="31">
        <f>+SUM(START:END!Q223)</f>
        <v>4649.1399999999994</v>
      </c>
      <c r="R223" s="38"/>
      <c r="S223" s="55">
        <f t="shared" si="75"/>
        <v>3916.2400000000016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0"/>
        <v>ServiceFrais bancaires</v>
      </c>
      <c r="B224" s="12" t="s">
        <v>83</v>
      </c>
      <c r="C224" s="38" t="s">
        <v>63</v>
      </c>
      <c r="D224" s="76"/>
      <c r="E224" s="14"/>
      <c r="F224" s="28">
        <f>+SUM(START:END!F224)</f>
        <v>7521.4907723574161</v>
      </c>
      <c r="G224" s="78"/>
      <c r="H224" s="14"/>
      <c r="I224" s="28">
        <f>+SUM(START:END!I224)</f>
        <v>0</v>
      </c>
      <c r="J224" s="38"/>
      <c r="K224" s="14"/>
      <c r="L224" s="31">
        <f>+SUM(START:END!L224)</f>
        <v>3471.79</v>
      </c>
      <c r="M224" s="38"/>
      <c r="N224" s="55">
        <f t="shared" si="74"/>
        <v>-4049.7007723574161</v>
      </c>
      <c r="O224" s="38"/>
      <c r="P224" s="14"/>
      <c r="Q224" s="31">
        <f>+SUM(START:END!Q224)</f>
        <v>3403.0957500000022</v>
      </c>
      <c r="R224" s="38"/>
      <c r="S224" s="55">
        <f t="shared" si="75"/>
        <v>68.694249999997737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0"/>
        <v>Service[...]</v>
      </c>
      <c r="B225" s="12" t="s">
        <v>83</v>
      </c>
      <c r="C225" s="38" t="s">
        <v>20</v>
      </c>
      <c r="D225" s="76"/>
      <c r="E225" s="14"/>
      <c r="F225" s="28">
        <f>+SUM(START:END!F225)</f>
        <v>0</v>
      </c>
      <c r="G225" s="78"/>
      <c r="H225" s="14"/>
      <c r="I225" s="28">
        <f>+SUM(START:END!I225)</f>
        <v>0</v>
      </c>
      <c r="J225" s="38"/>
      <c r="K225" s="14"/>
      <c r="L225" s="31">
        <f>+SUM(START:END!L225)</f>
        <v>0</v>
      </c>
      <c r="M225" s="38"/>
      <c r="N225" s="55">
        <f t="shared" si="74"/>
        <v>0</v>
      </c>
      <c r="O225" s="38"/>
      <c r="P225" s="14"/>
      <c r="Q225" s="31">
        <f>+SUM(START:END!Q225)</f>
        <v>0</v>
      </c>
      <c r="R225" s="38"/>
      <c r="S225" s="55">
        <f t="shared" si="75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8" t="s">
        <v>20</v>
      </c>
      <c r="D226" s="76"/>
      <c r="E226" s="14"/>
      <c r="F226" s="28">
        <f>+SUM(START:END!F226)</f>
        <v>0</v>
      </c>
      <c r="G226" s="78"/>
      <c r="H226" s="14"/>
      <c r="I226" s="28">
        <f>+SUM(START:END!I226)</f>
        <v>0</v>
      </c>
      <c r="J226" s="38"/>
      <c r="K226" s="14"/>
      <c r="L226" s="31">
        <f>+SUM(START:END!L226)</f>
        <v>0</v>
      </c>
      <c r="M226" s="38"/>
      <c r="N226" s="55">
        <f t="shared" si="74"/>
        <v>0</v>
      </c>
      <c r="O226" s="38"/>
      <c r="P226" s="14"/>
      <c r="Q226" s="31">
        <f>+SUM(START:END!Q226)</f>
        <v>0</v>
      </c>
      <c r="R226" s="38"/>
      <c r="S226" s="55">
        <f t="shared" si="75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0"/>
        <v>Service[...]</v>
      </c>
      <c r="B227" s="12" t="s">
        <v>83</v>
      </c>
      <c r="C227" s="38" t="s">
        <v>20</v>
      </c>
      <c r="D227" s="76"/>
      <c r="E227" s="14"/>
      <c r="F227" s="28">
        <f>+SUM(START:END!F227)</f>
        <v>0</v>
      </c>
      <c r="G227" s="78"/>
      <c r="H227" s="14"/>
      <c r="I227" s="28">
        <f>+SUM(START:END!I227)</f>
        <v>0</v>
      </c>
      <c r="J227" s="38"/>
      <c r="K227" s="14"/>
      <c r="L227" s="31">
        <f>+SUM(START:END!L227)</f>
        <v>0</v>
      </c>
      <c r="M227" s="38"/>
      <c r="N227" s="55">
        <f t="shared" si="74"/>
        <v>0</v>
      </c>
      <c r="O227" s="38"/>
      <c r="P227" s="14"/>
      <c r="Q227" s="31">
        <f>+SUM(START:END!Q227)</f>
        <v>0</v>
      </c>
      <c r="R227" s="38"/>
      <c r="S227" s="55">
        <f t="shared" si="75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226" t="s">
        <v>64</v>
      </c>
      <c r="D228" s="91" t="s">
        <v>97</v>
      </c>
      <c r="E228" s="92">
        <f>F228/F$193</f>
        <v>0.2668160845111357</v>
      </c>
      <c r="F228" s="93">
        <f>+SUM(F210:F227)</f>
        <v>86599.898465736536</v>
      </c>
      <c r="G228" s="94" t="s">
        <v>97</v>
      </c>
      <c r="H228" s="92" t="e">
        <f>I228/I$193</f>
        <v>#DIV/0!</v>
      </c>
      <c r="I228" s="93">
        <f>+SUM(I210:I227)</f>
        <v>0</v>
      </c>
      <c r="J228" s="94" t="s">
        <v>97</v>
      </c>
      <c r="K228" s="92">
        <f>L228/L$193</f>
        <v>0.2937013885377065</v>
      </c>
      <c r="L228" s="93">
        <f>+SUM(L210:L227)</f>
        <v>111741.83</v>
      </c>
      <c r="M228" s="97"/>
      <c r="N228" s="93">
        <f t="shared" si="74"/>
        <v>25141.931534263465</v>
      </c>
      <c r="O228" s="94" t="s">
        <v>97</v>
      </c>
      <c r="P228" s="92">
        <f>Q228/Q$193</f>
        <v>0.25587496365066908</v>
      </c>
      <c r="Q228" s="93">
        <f>+SUM(Q210:Q227)</f>
        <v>89452.295750000005</v>
      </c>
      <c r="R228" s="97"/>
      <c r="S228" s="93">
        <f t="shared" si="75"/>
        <v>22289.534249999997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23"/>
      <c r="D229" s="83"/>
      <c r="E229" s="108"/>
      <c r="F229" s="55"/>
      <c r="G229" s="85"/>
      <c r="H229" s="108"/>
      <c r="I229" s="55"/>
      <c r="J229" s="23"/>
      <c r="K229" s="108"/>
      <c r="L229" s="88"/>
      <c r="M229" s="23"/>
      <c r="N229" s="88"/>
      <c r="O229" s="23"/>
      <c r="P229" s="108"/>
      <c r="Q229" s="88"/>
      <c r="R229" s="23"/>
      <c r="S229" s="88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226" t="s">
        <v>65</v>
      </c>
      <c r="D230" s="91" t="s">
        <v>39</v>
      </c>
      <c r="E230" s="92">
        <f>F230/F$193</f>
        <v>0.95125689921955725</v>
      </c>
      <c r="F230" s="93">
        <f>F209+F228</f>
        <v>308747.31948105968</v>
      </c>
      <c r="G230" s="94" t="s">
        <v>39</v>
      </c>
      <c r="H230" s="92" t="e">
        <f>I230/I$193</f>
        <v>#DIV/0!</v>
      </c>
      <c r="I230" s="93">
        <f>I209+I228</f>
        <v>0</v>
      </c>
      <c r="J230" s="94" t="s">
        <v>39</v>
      </c>
      <c r="K230" s="92">
        <f>L230/L$193</f>
        <v>0.83824893547475143</v>
      </c>
      <c r="L230" s="93">
        <f>L209+L228</f>
        <v>318920.76</v>
      </c>
      <c r="M230" s="97"/>
      <c r="N230" s="110">
        <f>L230-F230</f>
        <v>10173.440518940333</v>
      </c>
      <c r="O230" s="94" t="s">
        <v>39</v>
      </c>
      <c r="P230" s="92">
        <f>Q230/Q$193</f>
        <v>0.95385116906256162</v>
      </c>
      <c r="Q230" s="93">
        <f>Q209+Q228</f>
        <v>333460.43575</v>
      </c>
      <c r="R230" s="97"/>
      <c r="S230" s="110">
        <f>L230-Q230</f>
        <v>-14539.675749999995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8"/>
      <c r="D231" s="76"/>
      <c r="E231" s="14"/>
      <c r="F231" s="55"/>
      <c r="G231" s="78"/>
      <c r="H231" s="14"/>
      <c r="I231" s="55"/>
      <c r="J231" s="38"/>
      <c r="K231" s="14"/>
      <c r="L231" s="55"/>
      <c r="M231" s="38"/>
      <c r="N231" s="55">
        <f>L231-F231</f>
        <v>0</v>
      </c>
      <c r="O231" s="38"/>
      <c r="P231" s="14"/>
      <c r="Q231" s="55"/>
      <c r="R231" s="38"/>
      <c r="S231" s="55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418" t="s">
        <v>72</v>
      </c>
      <c r="D232" s="435"/>
      <c r="E232" s="417"/>
      <c r="F232" s="205">
        <f>F193-F230</f>
        <v>15820.438959763444</v>
      </c>
      <c r="G232" s="436"/>
      <c r="H232" s="417"/>
      <c r="I232" s="205">
        <f>I193-I230</f>
        <v>0</v>
      </c>
      <c r="J232" s="418"/>
      <c r="K232" s="437"/>
      <c r="L232" s="205">
        <f>L193-L230</f>
        <v>61539.919999999925</v>
      </c>
      <c r="M232" s="418"/>
      <c r="N232" s="205">
        <f>L232-F232</f>
        <v>45719.481040236482</v>
      </c>
      <c r="O232" s="418"/>
      <c r="P232" s="437"/>
      <c r="Q232" s="205">
        <f>Q193-Q230</f>
        <v>16133.344250000024</v>
      </c>
      <c r="R232" s="418"/>
      <c r="S232" s="205">
        <f>L232-Q232</f>
        <v>45406.575749999902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77"/>
      <c r="M233" s="77"/>
      <c r="N233" s="14"/>
      <c r="O233" s="77"/>
      <c r="P233" s="14"/>
      <c r="Q233" s="77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48"/>
      <c r="M234" s="148"/>
      <c r="N234" s="11"/>
      <c r="O234" s="148"/>
      <c r="P234" s="11"/>
      <c r="Q234" s="148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99</v>
      </c>
      <c r="L235" s="2"/>
      <c r="M235" s="2"/>
      <c r="N235" s="1"/>
      <c r="O235" s="1"/>
      <c r="P235" s="2"/>
      <c r="Q235" s="1"/>
      <c r="R235" s="2"/>
      <c r="S235" s="421" t="str">
        <f>$S$1</f>
        <v xml:space="preserve"> Volks Juin / Juillet 2023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472" t="s">
        <v>5</v>
      </c>
      <c r="E237" s="473"/>
      <c r="F237" s="473"/>
      <c r="G237" s="479" t="s">
        <v>74</v>
      </c>
      <c r="H237" s="473"/>
      <c r="I237" s="474"/>
      <c r="J237" s="475" t="s">
        <v>7</v>
      </c>
      <c r="K237" s="473"/>
      <c r="L237" s="474"/>
      <c r="M237" s="470" t="s">
        <v>472</v>
      </c>
      <c r="N237" s="471"/>
      <c r="O237" s="472" t="s">
        <v>9</v>
      </c>
      <c r="P237" s="473"/>
      <c r="Q237" s="474"/>
      <c r="R237" s="470" t="s">
        <v>473</v>
      </c>
      <c r="S237" s="471"/>
      <c r="T237" s="142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76">+B238&amp;C238</f>
        <v>Carrosserie</v>
      </c>
      <c r="B238" s="12" t="s">
        <v>99</v>
      </c>
      <c r="C238" s="27"/>
      <c r="D238" s="75" t="s">
        <v>40</v>
      </c>
      <c r="E238" s="75" t="s">
        <v>84</v>
      </c>
      <c r="F238" s="75" t="s">
        <v>13</v>
      </c>
      <c r="G238" s="378" t="s">
        <v>40</v>
      </c>
      <c r="H238" s="75" t="s">
        <v>84</v>
      </c>
      <c r="I238" s="129" t="s">
        <v>13</v>
      </c>
      <c r="J238" s="130" t="s">
        <v>40</v>
      </c>
      <c r="K238" s="75" t="s">
        <v>84</v>
      </c>
      <c r="L238" s="129" t="s">
        <v>13</v>
      </c>
      <c r="M238" s="130" t="s">
        <v>40</v>
      </c>
      <c r="N238" s="129" t="s">
        <v>475</v>
      </c>
      <c r="O238" s="75" t="s">
        <v>40</v>
      </c>
      <c r="P238" s="75" t="s">
        <v>84</v>
      </c>
      <c r="Q238" s="129" t="s">
        <v>13</v>
      </c>
      <c r="R238" s="130" t="s">
        <v>85</v>
      </c>
      <c r="S238" s="129" t="s">
        <v>13</v>
      </c>
      <c r="T238" s="75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76"/>
        <v>Carrosserie</v>
      </c>
      <c r="B239" s="12" t="s">
        <v>99</v>
      </c>
      <c r="C239" s="27"/>
      <c r="D239" s="75"/>
      <c r="E239" s="75"/>
      <c r="F239" s="75"/>
      <c r="G239" s="130"/>
      <c r="H239" s="75"/>
      <c r="I239" s="75"/>
      <c r="J239" s="130"/>
      <c r="K239" s="28"/>
      <c r="L239" s="31"/>
      <c r="M239" s="130"/>
      <c r="N239" s="129"/>
      <c r="O239" s="75"/>
      <c r="P239" s="75"/>
      <c r="Q239" s="129"/>
      <c r="R239" s="130"/>
      <c r="S239" s="129"/>
      <c r="T239" s="75"/>
      <c r="U239" s="14"/>
      <c r="V239" s="28"/>
      <c r="W239" s="28"/>
      <c r="X239" s="28"/>
      <c r="Y239" s="28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76"/>
        <v>CarrosserieM/O Sous-traitement</v>
      </c>
      <c r="B240" s="12" t="s">
        <v>99</v>
      </c>
      <c r="C240" s="27" t="s">
        <v>100</v>
      </c>
      <c r="D240" s="407">
        <f>+SUM(START:END!D240)</f>
        <v>0</v>
      </c>
      <c r="E240" s="77">
        <f>+SUM(START:END!E240)</f>
        <v>211713.82481596206</v>
      </c>
      <c r="F240" s="77">
        <f>+SUM(START:END!F240)</f>
        <v>49772.648966519911</v>
      </c>
      <c r="G240" s="408">
        <f>+SUM(START:END!G240)</f>
        <v>0</v>
      </c>
      <c r="H240" s="77">
        <f>+SUM(START:END!H240)</f>
        <v>0</v>
      </c>
      <c r="I240" s="77">
        <f>+SUM(START:END!I240)</f>
        <v>0</v>
      </c>
      <c r="J240" s="56">
        <f>+SUM(START:END!J240)</f>
        <v>78</v>
      </c>
      <c r="K240" s="28">
        <f>+SUM(START:END!K240)</f>
        <v>154801.28</v>
      </c>
      <c r="L240" s="31">
        <f>+SUM(START:END!L240)</f>
        <v>35813.659999999996</v>
      </c>
      <c r="M240" s="150">
        <f>IFERROR((K240-E240)/E240,0)</f>
        <v>-0.26881827327731111</v>
      </c>
      <c r="N240" s="55">
        <f>L240-F240</f>
        <v>-13958.988966519915</v>
      </c>
      <c r="O240" s="56">
        <f>+SUM(START:END!O240)</f>
        <v>117</v>
      </c>
      <c r="P240" s="28">
        <f>+SUM(START:END!P240)</f>
        <v>200581.71000000002</v>
      </c>
      <c r="Q240" s="31">
        <f>+SUM(START:END!Q240)</f>
        <v>46016.450000000012</v>
      </c>
      <c r="R240" s="150">
        <f>IF(O240=0,0,J240/O240)</f>
        <v>0.66666666666666663</v>
      </c>
      <c r="S240" s="55">
        <f>L240-Q240</f>
        <v>-10202.790000000015</v>
      </c>
      <c r="T240" s="75"/>
      <c r="U240" s="14"/>
      <c r="V240" s="28"/>
      <c r="W240" s="28"/>
      <c r="X240" s="28"/>
      <c r="Y240" s="28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76"/>
        <v>Carrosserie% profit / ventes</v>
      </c>
      <c r="B241" s="12" t="s">
        <v>99</v>
      </c>
      <c r="C241" s="27" t="s">
        <v>87</v>
      </c>
      <c r="D241" s="75"/>
      <c r="E241" s="137"/>
      <c r="F241" s="141">
        <f>IFERROR(F240/E240,0)</f>
        <v>0.23509399544307572</v>
      </c>
      <c r="G241" s="130"/>
      <c r="H241" s="137"/>
      <c r="I241" s="141">
        <f>IFERROR(I240/H240,0)</f>
        <v>0</v>
      </c>
      <c r="J241" s="56"/>
      <c r="K241" s="14"/>
      <c r="L241" s="151">
        <f>IFERROR(L240/K240,0)</f>
        <v>0.23135247977277704</v>
      </c>
      <c r="M241" s="150"/>
      <c r="N241" s="55">
        <f>IFERROR(N240/M240,0)</f>
        <v>51927.2324620578</v>
      </c>
      <c r="O241" s="56"/>
      <c r="P241" s="14"/>
      <c r="Q241" s="151">
        <f>IFERROR(Q240/P240,0)</f>
        <v>0.22941498504524668</v>
      </c>
      <c r="R241" s="56"/>
      <c r="S241" s="55">
        <f>IFERROR(S240/R240,0)</f>
        <v>-15304.185000000023</v>
      </c>
      <c r="T241" s="75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76"/>
        <v>Carrosserie</v>
      </c>
      <c r="B242" s="12" t="s">
        <v>99</v>
      </c>
      <c r="C242" s="27"/>
      <c r="D242" s="75"/>
      <c r="E242" s="187"/>
      <c r="F242" s="187"/>
      <c r="G242" s="130"/>
      <c r="H242" s="187"/>
      <c r="I242" s="187"/>
      <c r="J242" s="130"/>
      <c r="K242" s="75"/>
      <c r="L242" s="129"/>
      <c r="M242" s="130"/>
      <c r="N242" s="129"/>
      <c r="O242" s="130"/>
      <c r="P242" s="75"/>
      <c r="Q242" s="129"/>
      <c r="R242" s="132"/>
      <c r="S242" s="129"/>
      <c r="T242" s="75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76"/>
        <v>CarrosserieM/O Carrosserie</v>
      </c>
      <c r="B243" s="12" t="s">
        <v>99</v>
      </c>
      <c r="C243" s="15" t="s">
        <v>101</v>
      </c>
      <c r="D243" s="376">
        <f>+SUM(START:END!D243)</f>
        <v>0</v>
      </c>
      <c r="E243" s="77">
        <f>+SUM(START:END!E243)</f>
        <v>0</v>
      </c>
      <c r="F243" s="77">
        <f>+SUM(START:END!F243)</f>
        <v>0</v>
      </c>
      <c r="G243" s="188">
        <f>+SUM(START:END!G243)</f>
        <v>0</v>
      </c>
      <c r="H243" s="77">
        <f>+SUM(START:END!H243)</f>
        <v>0</v>
      </c>
      <c r="I243" s="77">
        <f>+SUM(START:END!I243)</f>
        <v>0</v>
      </c>
      <c r="J243" s="157">
        <f>+SUM(START:END!J243)</f>
        <v>0</v>
      </c>
      <c r="K243" s="158">
        <f>+SUM(START:END!K243)</f>
        <v>0</v>
      </c>
      <c r="L243" s="105">
        <f>+SUM(START:END!L243)</f>
        <v>0</v>
      </c>
      <c r="M243" s="162">
        <f>IFERROR((K243-E243)/E243,0)</f>
        <v>0</v>
      </c>
      <c r="N243" s="106">
        <f>L243-F243</f>
        <v>0</v>
      </c>
      <c r="O243" s="157">
        <f>+SUM(START:END!O243)</f>
        <v>0</v>
      </c>
      <c r="P243" s="158">
        <f>+SUM(START:END!P243)</f>
        <v>0</v>
      </c>
      <c r="Q243" s="105">
        <f>+SUM(START:END!Q243)</f>
        <v>0</v>
      </c>
      <c r="R243" s="150">
        <f>IF(O243=0,0,J243/O243)</f>
        <v>0</v>
      </c>
      <c r="S243" s="106">
        <f>L243-Q243</f>
        <v>0</v>
      </c>
      <c r="T243" s="141"/>
      <c r="U243" s="14"/>
      <c r="V243" s="28"/>
      <c r="W243" s="28"/>
      <c r="X243" s="28"/>
      <c r="Y243" s="28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76"/>
        <v>Carrosserie% profit / ventes</v>
      </c>
      <c r="B244" s="12" t="s">
        <v>99</v>
      </c>
      <c r="C244" s="27" t="s">
        <v>87</v>
      </c>
      <c r="D244" s="14"/>
      <c r="E244" s="137"/>
      <c r="F244" s="141" t="e">
        <f>F243/E243</f>
        <v>#DIV/0!</v>
      </c>
      <c r="G244" s="38"/>
      <c r="H244" s="137"/>
      <c r="I244" s="141" t="e">
        <f>I243/H243</f>
        <v>#DIV/0!</v>
      </c>
      <c r="J244" s="56"/>
      <c r="K244" s="14"/>
      <c r="L244" s="151">
        <f>IFERROR(L243/K243,0)</f>
        <v>0</v>
      </c>
      <c r="M244" s="150"/>
      <c r="N244" s="55">
        <f>IFERROR(N243/F243,0)</f>
        <v>0</v>
      </c>
      <c r="O244" s="56"/>
      <c r="P244" s="14"/>
      <c r="Q244" s="151">
        <f>IFERROR(Q243/P243,0)</f>
        <v>0</v>
      </c>
      <c r="R244" s="56"/>
      <c r="S244" s="55">
        <f>IF(Q243=0,0,S243/Q243)</f>
        <v>0</v>
      </c>
      <c r="T244" s="141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76"/>
        <v>Carrosserie</v>
      </c>
      <c r="B245" s="12" t="s">
        <v>99</v>
      </c>
      <c r="C245" s="82"/>
      <c r="D245" s="108"/>
      <c r="E245" s="152"/>
      <c r="F245" s="197"/>
      <c r="G245" s="23"/>
      <c r="H245" s="152"/>
      <c r="I245" s="197"/>
      <c r="J245" s="154"/>
      <c r="K245" s="189"/>
      <c r="L245" s="153"/>
      <c r="M245" s="155"/>
      <c r="N245" s="88"/>
      <c r="O245" s="154"/>
      <c r="P245" s="189"/>
      <c r="Q245" s="153"/>
      <c r="R245" s="154"/>
      <c r="S245" s="88"/>
      <c r="T245" s="141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76"/>
        <v>CarrosserieM/O Esthétique Carr.</v>
      </c>
      <c r="B246" s="12" t="s">
        <v>99</v>
      </c>
      <c r="C246" s="15" t="s">
        <v>102</v>
      </c>
      <c r="D246" s="156">
        <f>+SUM(START:END!D246)</f>
        <v>0</v>
      </c>
      <c r="E246" s="77">
        <f>+SUM(START:END!E246)</f>
        <v>0</v>
      </c>
      <c r="F246" s="77">
        <f>+SUM(START:END!F246)</f>
        <v>0</v>
      </c>
      <c r="G246" s="157">
        <f>+SUM(START:END!G246)</f>
        <v>0</v>
      </c>
      <c r="H246" s="77">
        <f>+SUM(START:END!H246)</f>
        <v>0</v>
      </c>
      <c r="I246" s="77">
        <f>+SUM(START:END!I246)</f>
        <v>0</v>
      </c>
      <c r="J246" s="157">
        <f>+SUM(START:END!J246)</f>
        <v>0</v>
      </c>
      <c r="K246" s="28">
        <f>+SUM(START:END!K246)</f>
        <v>0</v>
      </c>
      <c r="L246" s="31">
        <f>+SUM(START:END!L246)</f>
        <v>0</v>
      </c>
      <c r="M246" s="150">
        <f>IFERROR((K246-E246)/E246,0)</f>
        <v>0</v>
      </c>
      <c r="N246" s="106">
        <f>L246-F246</f>
        <v>0</v>
      </c>
      <c r="O246" s="157">
        <f>+SUM(START:END!O246)</f>
        <v>0</v>
      </c>
      <c r="P246" s="28">
        <f>+SUM(START:END!P246)</f>
        <v>0</v>
      </c>
      <c r="Q246" s="31">
        <f>+SUM(START:END!Q246)</f>
        <v>0</v>
      </c>
      <c r="R246" s="150">
        <f>IF(O246=0,0,J246/O246)</f>
        <v>0</v>
      </c>
      <c r="S246" s="55">
        <f>L246-Q246</f>
        <v>0</v>
      </c>
      <c r="T246" s="141"/>
      <c r="U246" s="14"/>
      <c r="V246" s="28"/>
      <c r="W246" s="28"/>
      <c r="X246" s="28"/>
      <c r="Y246" s="28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76"/>
        <v>Carrosserie% profit / ventes</v>
      </c>
      <c r="B247" s="12" t="s">
        <v>99</v>
      </c>
      <c r="C247" s="27" t="s">
        <v>87</v>
      </c>
      <c r="D247" s="14"/>
      <c r="E247" s="14"/>
      <c r="F247" s="141" t="e">
        <f>F246/E246</f>
        <v>#DIV/0!</v>
      </c>
      <c r="G247" s="38"/>
      <c r="H247" s="14"/>
      <c r="I247" s="141" t="e">
        <f>I246/H246</f>
        <v>#DIV/0!</v>
      </c>
      <c r="J247" s="38"/>
      <c r="K247" s="14"/>
      <c r="L247" s="151">
        <f>IFERROR(L246/K246,0)</f>
        <v>0</v>
      </c>
      <c r="M247" s="39"/>
      <c r="N247" s="40">
        <f>IF(L246=0,0,N246/L246)</f>
        <v>0</v>
      </c>
      <c r="O247" s="38"/>
      <c r="P247" s="14"/>
      <c r="Q247" s="151">
        <f>IFERROR(Q246/P246,0)</f>
        <v>0</v>
      </c>
      <c r="R247" s="39"/>
      <c r="S247" s="40">
        <f>IF(Q246=0,0,S246/Q246)</f>
        <v>0</v>
      </c>
      <c r="T247" s="141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76"/>
        <v>Carrosserie</v>
      </c>
      <c r="B248" s="12" t="s">
        <v>99</v>
      </c>
      <c r="C248" s="27"/>
      <c r="D248" s="14"/>
      <c r="E248" s="14"/>
      <c r="F248" s="141"/>
      <c r="G248" s="38"/>
      <c r="H248" s="14"/>
      <c r="I248" s="141"/>
      <c r="J248" s="38"/>
      <c r="K248" s="14"/>
      <c r="L248" s="151"/>
      <c r="M248" s="39"/>
      <c r="N248" s="40"/>
      <c r="O248" s="38"/>
      <c r="P248" s="14"/>
      <c r="Q248" s="151"/>
      <c r="R248" s="39"/>
      <c r="S248" s="40"/>
      <c r="T248" s="141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76"/>
        <v>CarrosserieTotal Mécanique</v>
      </c>
      <c r="B249" s="12" t="s">
        <v>99</v>
      </c>
      <c r="C249" s="58" t="s">
        <v>96</v>
      </c>
      <c r="D249" s="59"/>
      <c r="E249" s="59">
        <f t="shared" ref="E249:F249" si="77">E243+E246+E240</f>
        <v>211713.82481596206</v>
      </c>
      <c r="F249" s="59">
        <f t="shared" si="77"/>
        <v>49772.648966519911</v>
      </c>
      <c r="G249" s="62"/>
      <c r="H249" s="59">
        <f t="shared" ref="H249:I249" si="78">H243+H246+H240</f>
        <v>0</v>
      </c>
      <c r="I249" s="59">
        <f t="shared" si="78"/>
        <v>0</v>
      </c>
      <c r="J249" s="62"/>
      <c r="K249" s="59">
        <f t="shared" ref="K249:L249" si="79">K243+K246+K240</f>
        <v>154801.28</v>
      </c>
      <c r="L249" s="61">
        <f t="shared" si="79"/>
        <v>35813.659999999996</v>
      </c>
      <c r="M249" s="186">
        <f>L250-F250</f>
        <v>-3.7415156702986785E-3</v>
      </c>
      <c r="N249" s="61">
        <f>L249-F249</f>
        <v>-13958.988966519915</v>
      </c>
      <c r="O249" s="62"/>
      <c r="P249" s="59">
        <f t="shared" ref="P249:Q249" si="80">P243+P246+P240</f>
        <v>200581.71000000002</v>
      </c>
      <c r="Q249" s="61">
        <f t="shared" si="80"/>
        <v>46016.450000000012</v>
      </c>
      <c r="R249" s="438">
        <f>L250-Q250</f>
        <v>1.9374947275303533E-3</v>
      </c>
      <c r="S249" s="61">
        <f>L249-Q249</f>
        <v>-10202.790000000015</v>
      </c>
      <c r="T249" s="141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76"/>
        <v>Carrosserie</v>
      </c>
      <c r="B250" s="12" t="s">
        <v>99</v>
      </c>
      <c r="C250" s="64"/>
      <c r="D250" s="65"/>
      <c r="E250" s="65"/>
      <c r="F250" s="375">
        <f>F249/E249</f>
        <v>0.23509399544307572</v>
      </c>
      <c r="G250" s="67"/>
      <c r="H250" s="65"/>
      <c r="I250" s="375" t="e">
        <f>I249/H249</f>
        <v>#DIV/0!</v>
      </c>
      <c r="J250" s="67"/>
      <c r="K250" s="65"/>
      <c r="L250" s="69">
        <f>IF(K249=0,0,L249/K249)</f>
        <v>0.23135247977277704</v>
      </c>
      <c r="M250" s="68"/>
      <c r="N250" s="69">
        <f>N249/F249</f>
        <v>-0.28045501407629669</v>
      </c>
      <c r="O250" s="67"/>
      <c r="P250" s="65"/>
      <c r="Q250" s="69">
        <f>IF(P249=0,0,Q249/P249)</f>
        <v>0.22941498504524668</v>
      </c>
      <c r="R250" s="68"/>
      <c r="S250" s="69">
        <f>S249/Q249</f>
        <v>-0.22172049343224026</v>
      </c>
      <c r="T250" s="141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76"/>
        <v>Carrosserie</v>
      </c>
      <c r="B251" s="12" t="s">
        <v>99</v>
      </c>
      <c r="C251" s="27"/>
      <c r="D251" s="14"/>
      <c r="E251" s="14"/>
      <c r="F251" s="77"/>
      <c r="G251" s="38"/>
      <c r="H251" s="14"/>
      <c r="I251" s="77"/>
      <c r="J251" s="38"/>
      <c r="K251" s="14"/>
      <c r="L251" s="37"/>
      <c r="M251" s="38"/>
      <c r="N251" s="37"/>
      <c r="O251" s="38"/>
      <c r="P251" s="14"/>
      <c r="Q251" s="37"/>
      <c r="R251" s="38"/>
      <c r="S251" s="37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76"/>
        <v>CarrosserieDEPENSES</v>
      </c>
      <c r="B252" s="12" t="s">
        <v>99</v>
      </c>
      <c r="C252" s="74" t="s">
        <v>30</v>
      </c>
      <c r="D252" s="14"/>
      <c r="E252" s="14"/>
      <c r="F252" s="77"/>
      <c r="G252" s="38"/>
      <c r="H252" s="14"/>
      <c r="I252" s="77"/>
      <c r="J252" s="38"/>
      <c r="K252" s="14"/>
      <c r="L252" s="37"/>
      <c r="M252" s="38"/>
      <c r="N252" s="37"/>
      <c r="O252" s="38"/>
      <c r="P252" s="14"/>
      <c r="Q252" s="37"/>
      <c r="R252" s="38"/>
      <c r="S252" s="37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76"/>
        <v>CarrosserieSalaires cadres</v>
      </c>
      <c r="B253" s="12" t="s">
        <v>99</v>
      </c>
      <c r="C253" s="99" t="s">
        <v>41</v>
      </c>
      <c r="D253" s="14"/>
      <c r="E253" s="14"/>
      <c r="F253" s="28">
        <f>+SUM(START:END!F253)</f>
        <v>651.60881226053641</v>
      </c>
      <c r="G253" s="38"/>
      <c r="H253" s="14"/>
      <c r="I253" s="28">
        <f>+SUM(START:END!I253)</f>
        <v>0</v>
      </c>
      <c r="J253" s="38"/>
      <c r="K253" s="14"/>
      <c r="L253" s="31">
        <f>+SUM(START:END!L253)</f>
        <v>1419.92</v>
      </c>
      <c r="M253" s="38"/>
      <c r="N253" s="55">
        <f t="shared" ref="N253:N283" si="81">L253-F253</f>
        <v>768.31118773946366</v>
      </c>
      <c r="O253" s="38"/>
      <c r="P253" s="14"/>
      <c r="Q253" s="31">
        <f>+SUM(START:END!Q253)</f>
        <v>1803.76</v>
      </c>
      <c r="R253" s="38"/>
      <c r="S253" s="31">
        <f t="shared" ref="S253:S284" si="82">L253-Q253</f>
        <v>-383.83999999999992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76"/>
        <v>CarrosserieSalaires commis</v>
      </c>
      <c r="B254" s="12" t="s">
        <v>99</v>
      </c>
      <c r="C254" s="100" t="s">
        <v>42</v>
      </c>
      <c r="D254" s="76"/>
      <c r="E254" s="14"/>
      <c r="F254" s="24">
        <f>+SUM(START:END!F254)</f>
        <v>1136.0708045977012</v>
      </c>
      <c r="G254" s="78"/>
      <c r="H254" s="14"/>
      <c r="I254" s="24">
        <f>+SUM(START:END!I254)</f>
        <v>0</v>
      </c>
      <c r="J254" s="38"/>
      <c r="K254" s="14"/>
      <c r="L254" s="31">
        <f>+SUM(START:END!L254)</f>
        <v>0</v>
      </c>
      <c r="M254" s="38"/>
      <c r="N254" s="55">
        <f t="shared" si="81"/>
        <v>-1136.0708045977012</v>
      </c>
      <c r="O254" s="38"/>
      <c r="P254" s="14"/>
      <c r="Q254" s="31">
        <f>+SUM(START:END!Q254)</f>
        <v>0</v>
      </c>
      <c r="R254" s="38"/>
      <c r="S254" s="55">
        <f t="shared" si="82"/>
        <v>0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76"/>
        <v>CarrosserieSalaires autres</v>
      </c>
      <c r="B255" s="12" t="s">
        <v>99</v>
      </c>
      <c r="C255" s="99" t="s">
        <v>43</v>
      </c>
      <c r="D255" s="101"/>
      <c r="E255" s="102"/>
      <c r="F255" s="28">
        <f>+SUM(START:END!F255)</f>
        <v>742.60536398467434</v>
      </c>
      <c r="G255" s="103"/>
      <c r="H255" s="102"/>
      <c r="I255" s="28">
        <f>+SUM(START:END!I255)</f>
        <v>0</v>
      </c>
      <c r="J255" s="104"/>
      <c r="K255" s="102"/>
      <c r="L255" s="105">
        <f>+SUM(START:END!L255)</f>
        <v>0.19</v>
      </c>
      <c r="M255" s="104"/>
      <c r="N255" s="106">
        <f t="shared" si="81"/>
        <v>-742.41536398467429</v>
      </c>
      <c r="O255" s="104"/>
      <c r="P255" s="102"/>
      <c r="Q255" s="105">
        <f>+SUM(START:END!Q255)</f>
        <v>2.46</v>
      </c>
      <c r="R255" s="104"/>
      <c r="S255" s="106">
        <f t="shared" si="82"/>
        <v>-2.27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76"/>
        <v>CarrosserieSalaires spécialistes</v>
      </c>
      <c r="B256" s="12" t="s">
        <v>99</v>
      </c>
      <c r="C256" s="99" t="s">
        <v>44</v>
      </c>
      <c r="D256" s="76"/>
      <c r="E256" s="14"/>
      <c r="F256" s="28">
        <f>+SUM(START:END!F256)</f>
        <v>7311.7241379310344</v>
      </c>
      <c r="G256" s="78"/>
      <c r="H256" s="14"/>
      <c r="I256" s="28">
        <f>+SUM(START:END!I256)</f>
        <v>0</v>
      </c>
      <c r="J256" s="38"/>
      <c r="K256" s="14"/>
      <c r="L256" s="31">
        <f>+SUM(START:END!L256)</f>
        <v>9583.0400000000009</v>
      </c>
      <c r="M256" s="38"/>
      <c r="N256" s="55">
        <f t="shared" si="81"/>
        <v>2271.3158620689665</v>
      </c>
      <c r="O256" s="38"/>
      <c r="P256" s="14"/>
      <c r="Q256" s="31">
        <f>+SUM(START:END!Q256)</f>
        <v>8395.0399999999991</v>
      </c>
      <c r="R256" s="38"/>
      <c r="S256" s="55">
        <f t="shared" si="82"/>
        <v>1188.0000000000018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76"/>
        <v>Carrosserie[...]</v>
      </c>
      <c r="B257" s="12" t="s">
        <v>99</v>
      </c>
      <c r="C257" s="27" t="s">
        <v>20</v>
      </c>
      <c r="D257" s="76"/>
      <c r="E257" s="14"/>
      <c r="F257" s="28">
        <f>+SUM(START:END!F257)</f>
        <v>0</v>
      </c>
      <c r="G257" s="78"/>
      <c r="H257" s="14"/>
      <c r="I257" s="28">
        <f>+SUM(START:END!I257)</f>
        <v>0</v>
      </c>
      <c r="J257" s="38"/>
      <c r="K257" s="14"/>
      <c r="L257" s="31">
        <f>+SUM(START:END!L257)</f>
        <v>0</v>
      </c>
      <c r="M257" s="38"/>
      <c r="N257" s="55">
        <f t="shared" si="81"/>
        <v>0</v>
      </c>
      <c r="O257" s="38"/>
      <c r="P257" s="14"/>
      <c r="Q257" s="31">
        <f>+SUM(START:END!Q257)</f>
        <v>0</v>
      </c>
      <c r="R257" s="38"/>
      <c r="S257" s="55">
        <f t="shared" si="82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76"/>
        <v>Carrosserie[...]</v>
      </c>
      <c r="B258" s="12" t="s">
        <v>99</v>
      </c>
      <c r="C258" s="27" t="s">
        <v>20</v>
      </c>
      <c r="D258" s="76"/>
      <c r="E258" s="14"/>
      <c r="F258" s="28">
        <f>+SUM(START:END!F258)</f>
        <v>0</v>
      </c>
      <c r="G258" s="78"/>
      <c r="H258" s="14"/>
      <c r="I258" s="28">
        <f>+SUM(START:END!I258)</f>
        <v>0</v>
      </c>
      <c r="J258" s="38"/>
      <c r="K258" s="14"/>
      <c r="L258" s="31">
        <f>+SUM(START:END!L258)</f>
        <v>0</v>
      </c>
      <c r="M258" s="38"/>
      <c r="N258" s="55">
        <f t="shared" si="81"/>
        <v>0</v>
      </c>
      <c r="O258" s="38"/>
      <c r="P258" s="14"/>
      <c r="Q258" s="31">
        <f>+SUM(START:END!Q258)</f>
        <v>0</v>
      </c>
      <c r="R258" s="38"/>
      <c r="S258" s="55">
        <f t="shared" si="82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76"/>
        <v>Carrosserie[...]</v>
      </c>
      <c r="B259" s="12" t="s">
        <v>99</v>
      </c>
      <c r="C259" s="27" t="s">
        <v>20</v>
      </c>
      <c r="D259" s="76"/>
      <c r="E259" s="14"/>
      <c r="F259" s="28">
        <f>+SUM(START:END!F259)</f>
        <v>0</v>
      </c>
      <c r="G259" s="78"/>
      <c r="H259" s="14"/>
      <c r="I259" s="28">
        <f>+SUM(START:END!I259)</f>
        <v>0</v>
      </c>
      <c r="J259" s="38"/>
      <c r="K259" s="14"/>
      <c r="L259" s="31">
        <f>+SUM(START:END!L259)</f>
        <v>0</v>
      </c>
      <c r="M259" s="38"/>
      <c r="N259" s="55">
        <f t="shared" si="81"/>
        <v>0</v>
      </c>
      <c r="O259" s="38"/>
      <c r="P259" s="14"/>
      <c r="Q259" s="31">
        <f>+SUM(START:END!Q259)</f>
        <v>0</v>
      </c>
      <c r="R259" s="38"/>
      <c r="S259" s="55">
        <f t="shared" si="82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76"/>
        <v>CarrosserieSalaires en absences</v>
      </c>
      <c r="B260" s="12" t="s">
        <v>99</v>
      </c>
      <c r="C260" s="100" t="s">
        <v>45</v>
      </c>
      <c r="D260" s="76"/>
      <c r="E260" s="14"/>
      <c r="F260" s="24">
        <f>+SUM(START:END!F260)</f>
        <v>1199.4869957792259</v>
      </c>
      <c r="G260" s="78"/>
      <c r="H260" s="14"/>
      <c r="I260" s="24">
        <f>+SUM(START:END!I260)</f>
        <v>0</v>
      </c>
      <c r="J260" s="38"/>
      <c r="K260" s="14"/>
      <c r="L260" s="31">
        <f>+SUM(START:END!L260)</f>
        <v>735.57999999999993</v>
      </c>
      <c r="M260" s="38"/>
      <c r="N260" s="55">
        <f t="shared" si="81"/>
        <v>-463.90699577922601</v>
      </c>
      <c r="O260" s="38"/>
      <c r="P260" s="14"/>
      <c r="Q260" s="31">
        <f>+SUM(START:END!Q260)</f>
        <v>1846.19</v>
      </c>
      <c r="R260" s="38"/>
      <c r="S260" s="55">
        <f t="shared" si="82"/>
        <v>-1110.6100000000001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76"/>
        <v>CarrosserieDéduction à la source</v>
      </c>
      <c r="B261" s="12" t="s">
        <v>99</v>
      </c>
      <c r="C261" s="99" t="s">
        <v>46</v>
      </c>
      <c r="D261" s="101"/>
      <c r="E261" s="102"/>
      <c r="F261" s="28">
        <f>+SUM(START:END!F261)</f>
        <v>1192.408172048348</v>
      </c>
      <c r="G261" s="103"/>
      <c r="H261" s="102"/>
      <c r="I261" s="28">
        <f>+SUM(START:END!I261)</f>
        <v>0</v>
      </c>
      <c r="J261" s="104"/>
      <c r="K261" s="102"/>
      <c r="L261" s="105">
        <f>+SUM(START:END!L261)</f>
        <v>2639.2799999999997</v>
      </c>
      <c r="M261" s="104"/>
      <c r="N261" s="106">
        <f t="shared" si="81"/>
        <v>1446.8718279516518</v>
      </c>
      <c r="O261" s="104"/>
      <c r="P261" s="102"/>
      <c r="Q261" s="105">
        <f>+SUM(START:END!Q261)</f>
        <v>3706.84</v>
      </c>
      <c r="R261" s="104"/>
      <c r="S261" s="106">
        <f t="shared" si="82"/>
        <v>-1067.5600000000004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76"/>
        <v>CarrosserieBénéfices marginaux</v>
      </c>
      <c r="B262" s="12" t="s">
        <v>99</v>
      </c>
      <c r="C262" s="99" t="s">
        <v>47</v>
      </c>
      <c r="D262" s="76"/>
      <c r="E262" s="14"/>
      <c r="F262" s="28">
        <f>+SUM(START:END!F262)</f>
        <v>834.99340219821579</v>
      </c>
      <c r="G262" s="78"/>
      <c r="H262" s="14"/>
      <c r="I262" s="28">
        <f>+SUM(START:END!I262)</f>
        <v>0</v>
      </c>
      <c r="J262" s="38"/>
      <c r="K262" s="14"/>
      <c r="L262" s="31">
        <f>+SUM(START:END!L262)</f>
        <v>169.12</v>
      </c>
      <c r="M262" s="38"/>
      <c r="N262" s="55">
        <f t="shared" si="81"/>
        <v>-665.87340219821579</v>
      </c>
      <c r="O262" s="38"/>
      <c r="P262" s="14"/>
      <c r="Q262" s="31">
        <f>+SUM(START:END!Q262)</f>
        <v>3551.91</v>
      </c>
      <c r="R262" s="38"/>
      <c r="S262" s="55">
        <f t="shared" si="82"/>
        <v>-3382.79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76"/>
        <v>CarrosserieCsst</v>
      </c>
      <c r="B263" s="12" t="s">
        <v>99</v>
      </c>
      <c r="C263" s="99" t="s">
        <v>48</v>
      </c>
      <c r="D263" s="76"/>
      <c r="E263" s="14"/>
      <c r="F263" s="28">
        <f>+SUM(START:END!F263)</f>
        <v>398.90041568620023</v>
      </c>
      <c r="G263" s="78"/>
      <c r="H263" s="14"/>
      <c r="I263" s="28">
        <f>+SUM(START:END!I263)</f>
        <v>0</v>
      </c>
      <c r="J263" s="38"/>
      <c r="K263" s="14"/>
      <c r="L263" s="31">
        <f>+SUM(START:END!L263)</f>
        <v>590.42000000000007</v>
      </c>
      <c r="M263" s="38"/>
      <c r="N263" s="55">
        <f t="shared" si="81"/>
        <v>191.51958431379984</v>
      </c>
      <c r="O263" s="38"/>
      <c r="P263" s="14"/>
      <c r="Q263" s="31">
        <f>+SUM(START:END!Q263)</f>
        <v>1017.17</v>
      </c>
      <c r="R263" s="38"/>
      <c r="S263" s="55">
        <f t="shared" si="82"/>
        <v>-426.74999999999989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76"/>
        <v>Carrosserie[...]</v>
      </c>
      <c r="B264" s="12" t="s">
        <v>99</v>
      </c>
      <c r="C264" s="27" t="s">
        <v>20</v>
      </c>
      <c r="D264" s="83"/>
      <c r="E264" s="108"/>
      <c r="F264" s="28">
        <f>+SUM(START:END!F264)</f>
        <v>0</v>
      </c>
      <c r="G264" s="85"/>
      <c r="H264" s="108"/>
      <c r="I264" s="28">
        <f>+SUM(START:END!I264)</f>
        <v>0</v>
      </c>
      <c r="J264" s="23"/>
      <c r="K264" s="108"/>
      <c r="L264" s="31">
        <f>+SUM(START:END!L264)</f>
        <v>0</v>
      </c>
      <c r="M264" s="23"/>
      <c r="N264" s="88">
        <f t="shared" si="81"/>
        <v>0</v>
      </c>
      <c r="O264" s="23"/>
      <c r="P264" s="108"/>
      <c r="Q264" s="31">
        <f>+SUM(START:END!Q264)</f>
        <v>0</v>
      </c>
      <c r="R264" s="23"/>
      <c r="S264" s="88">
        <f t="shared" si="82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76"/>
        <v>CarrosserieTOTAL PERSONNEL</v>
      </c>
      <c r="B265" s="12" t="s">
        <v>99</v>
      </c>
      <c r="C265" s="90" t="s">
        <v>49</v>
      </c>
      <c r="D265" s="91" t="s">
        <v>39</v>
      </c>
      <c r="E265" s="92" t="e">
        <f>F265/F$243</f>
        <v>#DIV/0!</v>
      </c>
      <c r="F265" s="96">
        <f>+SUM(F253:F264)</f>
        <v>13467.798104485935</v>
      </c>
      <c r="G265" s="94" t="s">
        <v>39</v>
      </c>
      <c r="H265" s="92" t="e">
        <f>I265/I$243</f>
        <v>#DIV/0!</v>
      </c>
      <c r="I265" s="96">
        <f>+SUM(I253:I264)</f>
        <v>0</v>
      </c>
      <c r="J265" s="94" t="s">
        <v>39</v>
      </c>
      <c r="K265" s="92">
        <f>IF(L243=0,0,L265/L$243)</f>
        <v>0</v>
      </c>
      <c r="L265" s="93">
        <f>+SUM(L253:L264)</f>
        <v>15137.550000000003</v>
      </c>
      <c r="M265" s="140"/>
      <c r="N265" s="110">
        <f t="shared" si="81"/>
        <v>1669.7518955140677</v>
      </c>
      <c r="O265" s="94" t="s">
        <v>39</v>
      </c>
      <c r="P265" s="92">
        <f>IF(Q243=0,0,Q265/Q$243)</f>
        <v>0</v>
      </c>
      <c r="Q265" s="93">
        <f>+SUM(Q253:Q264)</f>
        <v>20323.369999999995</v>
      </c>
      <c r="R265" s="140"/>
      <c r="S265" s="110">
        <f t="shared" si="82"/>
        <v>-5185.8199999999924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76"/>
        <v>CarrosseriePublicité 2</v>
      </c>
      <c r="B266" s="12" t="s">
        <v>99</v>
      </c>
      <c r="C266" s="190" t="s">
        <v>50</v>
      </c>
      <c r="D266" s="76"/>
      <c r="E266" s="14"/>
      <c r="F266" s="28">
        <f>+SUM(START:END!F266)</f>
        <v>0</v>
      </c>
      <c r="G266" s="78"/>
      <c r="H266" s="14"/>
      <c r="I266" s="28">
        <f>+SUM(START:END!I266)</f>
        <v>0</v>
      </c>
      <c r="J266" s="38"/>
      <c r="K266" s="14"/>
      <c r="L266" s="31">
        <f>+SUM(START:END!L266)</f>
        <v>193.37</v>
      </c>
      <c r="M266" s="38"/>
      <c r="N266" s="55">
        <f t="shared" si="81"/>
        <v>193.37</v>
      </c>
      <c r="O266" s="38"/>
      <c r="P266" s="14"/>
      <c r="Q266" s="31">
        <f>+SUM(START:END!Q266)</f>
        <v>60.68</v>
      </c>
      <c r="R266" s="38"/>
      <c r="S266" s="55">
        <f t="shared" si="82"/>
        <v>132.69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76"/>
        <v>CarrosserieService gratuit 2</v>
      </c>
      <c r="B267" s="12" t="s">
        <v>99</v>
      </c>
      <c r="C267" s="99" t="s">
        <v>51</v>
      </c>
      <c r="D267" s="76"/>
      <c r="E267" s="14"/>
      <c r="F267" s="28">
        <f>+SUM(START:END!F267)</f>
        <v>643.78708944405628</v>
      </c>
      <c r="G267" s="78"/>
      <c r="H267" s="14"/>
      <c r="I267" s="28">
        <f>+SUM(START:END!I267)</f>
        <v>0</v>
      </c>
      <c r="J267" s="38"/>
      <c r="K267" s="14"/>
      <c r="L267" s="31">
        <f>+SUM(START:END!L267)</f>
        <v>4864.71</v>
      </c>
      <c r="M267" s="38"/>
      <c r="N267" s="55">
        <f t="shared" si="81"/>
        <v>4220.9229105559434</v>
      </c>
      <c r="O267" s="38"/>
      <c r="P267" s="14"/>
      <c r="Q267" s="31">
        <f>+SUM(START:END!Q267)</f>
        <v>570.98</v>
      </c>
      <c r="R267" s="38"/>
      <c r="S267" s="55">
        <f t="shared" si="82"/>
        <v>4293.7299999999996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76"/>
        <v>CarrosserieFrais véhicules de cie</v>
      </c>
      <c r="B268" s="12" t="s">
        <v>99</v>
      </c>
      <c r="C268" s="100" t="s">
        <v>52</v>
      </c>
      <c r="D268" s="83"/>
      <c r="E268" s="108"/>
      <c r="F268" s="24">
        <f>+SUM(START:END!F268)</f>
        <v>916.66666666666663</v>
      </c>
      <c r="G268" s="85"/>
      <c r="H268" s="108"/>
      <c r="I268" s="24">
        <f>+SUM(START:END!I268)</f>
        <v>0</v>
      </c>
      <c r="J268" s="23"/>
      <c r="K268" s="108"/>
      <c r="L268" s="31">
        <f>+SUM(START:END!L268)</f>
        <v>315.59000000000003</v>
      </c>
      <c r="M268" s="23"/>
      <c r="N268" s="88">
        <f t="shared" si="81"/>
        <v>-601.0766666666666</v>
      </c>
      <c r="O268" s="23"/>
      <c r="P268" s="108"/>
      <c r="Q268" s="31">
        <f>+SUM(START:END!Q268)</f>
        <v>1421.9499999999998</v>
      </c>
      <c r="R268" s="23"/>
      <c r="S268" s="88">
        <f t="shared" si="82"/>
        <v>-1106.3599999999997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76"/>
        <v>CarrosserieInformatique</v>
      </c>
      <c r="B269" s="12" t="s">
        <v>99</v>
      </c>
      <c r="C269" s="99" t="s">
        <v>53</v>
      </c>
      <c r="D269" s="76"/>
      <c r="E269" s="14"/>
      <c r="F269" s="28">
        <f>+SUM(START:END!F269)</f>
        <v>2649.9535806666668</v>
      </c>
      <c r="G269" s="78"/>
      <c r="H269" s="14"/>
      <c r="I269" s="28">
        <f>+SUM(START:END!I269)</f>
        <v>0</v>
      </c>
      <c r="J269" s="38"/>
      <c r="K269" s="14"/>
      <c r="L269" s="105">
        <f>+SUM(START:END!L269)</f>
        <v>2888.24</v>
      </c>
      <c r="M269" s="38"/>
      <c r="N269" s="55">
        <f t="shared" si="81"/>
        <v>238.28641933333301</v>
      </c>
      <c r="O269" s="38"/>
      <c r="P269" s="14"/>
      <c r="Q269" s="105">
        <f>+SUM(START:END!Q269)</f>
        <v>2888.9</v>
      </c>
      <c r="R269" s="38"/>
      <c r="S269" s="55">
        <f t="shared" si="82"/>
        <v>-0.66000000000030923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76"/>
        <v>CarrosserieFrais de déplacement</v>
      </c>
      <c r="B270" s="12" t="s">
        <v>99</v>
      </c>
      <c r="C270" s="99" t="s">
        <v>54</v>
      </c>
      <c r="D270" s="76"/>
      <c r="E270" s="14"/>
      <c r="F270" s="28">
        <f>+SUM(START:END!F270)</f>
        <v>437.53851954166663</v>
      </c>
      <c r="G270" s="78"/>
      <c r="H270" s="14"/>
      <c r="I270" s="28">
        <f>+SUM(START:END!I270)</f>
        <v>0</v>
      </c>
      <c r="J270" s="38"/>
      <c r="K270" s="14"/>
      <c r="L270" s="31">
        <f>+SUM(START:END!L270)</f>
        <v>316.90999999999997</v>
      </c>
      <c r="M270" s="38"/>
      <c r="N270" s="55">
        <f t="shared" si="81"/>
        <v>-120.62851954166666</v>
      </c>
      <c r="O270" s="38"/>
      <c r="P270" s="14"/>
      <c r="Q270" s="31">
        <f>+SUM(START:END!Q270)</f>
        <v>601.9</v>
      </c>
      <c r="R270" s="38"/>
      <c r="S270" s="55">
        <f t="shared" si="82"/>
        <v>-284.99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76"/>
        <v>CarrosserieServices extérieurs</v>
      </c>
      <c r="B271" s="12" t="s">
        <v>99</v>
      </c>
      <c r="C271" s="99" t="s">
        <v>55</v>
      </c>
      <c r="D271" s="83"/>
      <c r="E271" s="108"/>
      <c r="F271" s="24">
        <f>+SUM(START:END!F271)</f>
        <v>1826.1269817777779</v>
      </c>
      <c r="G271" s="85"/>
      <c r="H271" s="108"/>
      <c r="I271" s="24">
        <f>+SUM(START:END!I271)</f>
        <v>0</v>
      </c>
      <c r="J271" s="23"/>
      <c r="K271" s="108"/>
      <c r="L271" s="31">
        <f>+SUM(START:END!L271)</f>
        <v>939.55</v>
      </c>
      <c r="M271" s="23"/>
      <c r="N271" s="88">
        <f t="shared" si="81"/>
        <v>-886.57698177777797</v>
      </c>
      <c r="O271" s="23"/>
      <c r="P271" s="108"/>
      <c r="Q271" s="31">
        <f>+SUM(START:END!Q271)</f>
        <v>1303.3600000000001</v>
      </c>
      <c r="R271" s="23"/>
      <c r="S271" s="88">
        <f t="shared" si="82"/>
        <v>-363.81000000000017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76"/>
        <v>CarrosserieFournitures d'atelier</v>
      </c>
      <c r="B272" s="12" t="s">
        <v>99</v>
      </c>
      <c r="C272" s="191" t="s">
        <v>98</v>
      </c>
      <c r="D272" s="76"/>
      <c r="E272" s="14"/>
      <c r="F272" s="28">
        <f>+SUM(START:END!F272)</f>
        <v>0</v>
      </c>
      <c r="G272" s="78"/>
      <c r="H272" s="14"/>
      <c r="I272" s="28">
        <f>+SUM(START:END!I272)</f>
        <v>0</v>
      </c>
      <c r="J272" s="38"/>
      <c r="K272" s="14"/>
      <c r="L272" s="52">
        <f>+SUM(START:END!L272)</f>
        <v>0</v>
      </c>
      <c r="M272" s="38"/>
      <c r="N272" s="55">
        <f t="shared" si="81"/>
        <v>0</v>
      </c>
      <c r="O272" s="38"/>
      <c r="P272" s="14"/>
      <c r="Q272" s="52">
        <f>+SUM(START:END!Q272)</f>
        <v>0</v>
      </c>
      <c r="R272" s="38"/>
      <c r="S272" s="55">
        <f t="shared" si="82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76"/>
        <v>CarrosserieFournitures autres</v>
      </c>
      <c r="B273" s="12" t="s">
        <v>99</v>
      </c>
      <c r="C273" s="99" t="s">
        <v>56</v>
      </c>
      <c r="D273" s="76"/>
      <c r="E273" s="14"/>
      <c r="F273" s="28">
        <f>+SUM(START:END!F273)</f>
        <v>236.92667575583633</v>
      </c>
      <c r="G273" s="78"/>
      <c r="H273" s="14"/>
      <c r="I273" s="28">
        <f>+SUM(START:END!I273)</f>
        <v>0</v>
      </c>
      <c r="J273" s="38"/>
      <c r="K273" s="14"/>
      <c r="L273" s="31">
        <f>+SUM(START:END!L273)</f>
        <v>0</v>
      </c>
      <c r="M273" s="38"/>
      <c r="N273" s="55">
        <f t="shared" si="81"/>
        <v>-236.92667575583633</v>
      </c>
      <c r="O273" s="38"/>
      <c r="P273" s="14"/>
      <c r="Q273" s="31">
        <f>+SUM(START:END!Q273)</f>
        <v>0</v>
      </c>
      <c r="R273" s="38"/>
      <c r="S273" s="55">
        <f t="shared" si="82"/>
        <v>0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76"/>
        <v>CarrosserieUniformes</v>
      </c>
      <c r="B274" s="12" t="s">
        <v>99</v>
      </c>
      <c r="C274" s="99" t="s">
        <v>57</v>
      </c>
      <c r="D274" s="76"/>
      <c r="E274" s="14"/>
      <c r="F274" s="28">
        <f>+SUM(START:END!F274)</f>
        <v>122.34623402842013</v>
      </c>
      <c r="G274" s="78"/>
      <c r="H274" s="14"/>
      <c r="I274" s="28">
        <f>+SUM(START:END!I274)</f>
        <v>0</v>
      </c>
      <c r="J274" s="38"/>
      <c r="K274" s="14"/>
      <c r="L274" s="31">
        <f>+SUM(START:END!L274)</f>
        <v>0</v>
      </c>
      <c r="M274" s="38"/>
      <c r="N274" s="55">
        <f t="shared" si="81"/>
        <v>-122.34623402842013</v>
      </c>
      <c r="O274" s="38"/>
      <c r="P274" s="14"/>
      <c r="Q274" s="31">
        <f>+SUM(START:END!Q274)</f>
        <v>0</v>
      </c>
      <c r="R274" s="38"/>
      <c r="S274" s="55">
        <f t="shared" si="82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76"/>
        <v>CarrosseriePapeterie</v>
      </c>
      <c r="B275" s="12" t="s">
        <v>99</v>
      </c>
      <c r="C275" s="99" t="s">
        <v>58</v>
      </c>
      <c r="D275" s="76"/>
      <c r="E275" s="14"/>
      <c r="F275" s="28">
        <f>+SUM(START:END!F275)</f>
        <v>334.00982789999995</v>
      </c>
      <c r="G275" s="78"/>
      <c r="H275" s="14"/>
      <c r="I275" s="28">
        <f>+SUM(START:END!I275)</f>
        <v>0</v>
      </c>
      <c r="J275" s="38"/>
      <c r="K275" s="14"/>
      <c r="L275" s="30">
        <f>+SUM(START:END!L275)</f>
        <v>237.49</v>
      </c>
      <c r="M275" s="38"/>
      <c r="N275" s="55">
        <f t="shared" si="81"/>
        <v>-96.519827899999939</v>
      </c>
      <c r="O275" s="38"/>
      <c r="P275" s="14"/>
      <c r="Q275" s="30">
        <f>+SUM(START:END!Q275)</f>
        <v>318.72000000000003</v>
      </c>
      <c r="R275" s="38"/>
      <c r="S275" s="55">
        <f t="shared" si="82"/>
        <v>-81.230000000000018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76"/>
        <v>CarrosserieTéléphone</v>
      </c>
      <c r="B276" s="12" t="s">
        <v>99</v>
      </c>
      <c r="C276" s="99" t="s">
        <v>59</v>
      </c>
      <c r="D276" s="76"/>
      <c r="E276" s="14"/>
      <c r="F276" s="28">
        <f>+SUM(START:END!F276)</f>
        <v>113.19010944305556</v>
      </c>
      <c r="G276" s="78"/>
      <c r="H276" s="14"/>
      <c r="I276" s="28">
        <f>+SUM(START:END!I276)</f>
        <v>0</v>
      </c>
      <c r="J276" s="38"/>
      <c r="K276" s="14"/>
      <c r="L276" s="31">
        <f>+SUM(START:END!L276)</f>
        <v>42.18</v>
      </c>
      <c r="M276" s="38"/>
      <c r="N276" s="55">
        <f t="shared" si="81"/>
        <v>-71.010109443055569</v>
      </c>
      <c r="O276" s="38"/>
      <c r="P276" s="14"/>
      <c r="Q276" s="31">
        <f>+SUM(START:END!Q276)</f>
        <v>68.16</v>
      </c>
      <c r="R276" s="38"/>
      <c r="S276" s="55">
        <f t="shared" si="82"/>
        <v>-25.979999999999997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76"/>
        <v>CarrosserieFrais postaux</v>
      </c>
      <c r="B277" s="12" t="s">
        <v>99</v>
      </c>
      <c r="C277" s="99" t="s">
        <v>60</v>
      </c>
      <c r="D277" s="76"/>
      <c r="E277" s="14"/>
      <c r="F277" s="28">
        <f>+SUM(START:END!F277)</f>
        <v>54.138128556944437</v>
      </c>
      <c r="G277" s="78"/>
      <c r="H277" s="14"/>
      <c r="I277" s="28">
        <f>+SUM(START:END!I277)</f>
        <v>0</v>
      </c>
      <c r="J277" s="38"/>
      <c r="K277" s="14"/>
      <c r="L277" s="31">
        <f>+SUM(START:END!L277)</f>
        <v>46.370000000000005</v>
      </c>
      <c r="M277" s="38"/>
      <c r="N277" s="55">
        <f t="shared" si="81"/>
        <v>-7.7681285569444327</v>
      </c>
      <c r="O277" s="38"/>
      <c r="P277" s="14"/>
      <c r="Q277" s="31">
        <f>+SUM(START:END!Q277)</f>
        <v>68.48</v>
      </c>
      <c r="R277" s="38"/>
      <c r="S277" s="55">
        <f t="shared" si="82"/>
        <v>-22.11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76"/>
        <v>CarrosserieDivers</v>
      </c>
      <c r="B278" s="12" t="s">
        <v>99</v>
      </c>
      <c r="C278" s="99" t="s">
        <v>61</v>
      </c>
      <c r="D278" s="76"/>
      <c r="E278" s="14"/>
      <c r="F278" s="28">
        <f>+SUM(START:END!F278)</f>
        <v>205.70478383194447</v>
      </c>
      <c r="G278" s="78"/>
      <c r="H278" s="14"/>
      <c r="I278" s="28">
        <f>+SUM(START:END!I278)</f>
        <v>0</v>
      </c>
      <c r="J278" s="38"/>
      <c r="K278" s="14"/>
      <c r="L278" s="31">
        <f>+SUM(START:END!L278)</f>
        <v>41.3</v>
      </c>
      <c r="M278" s="38"/>
      <c r="N278" s="55">
        <f t="shared" si="81"/>
        <v>-164.40478383194448</v>
      </c>
      <c r="O278" s="38"/>
      <c r="P278" s="14"/>
      <c r="Q278" s="31">
        <f>+SUM(START:END!Q278)</f>
        <v>82.800000000000011</v>
      </c>
      <c r="R278" s="38"/>
      <c r="S278" s="55">
        <f t="shared" si="82"/>
        <v>-41.500000000000014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76"/>
        <v>CarrosserieFormation</v>
      </c>
      <c r="B279" s="12" t="s">
        <v>99</v>
      </c>
      <c r="C279" s="99" t="s">
        <v>62</v>
      </c>
      <c r="D279" s="76"/>
      <c r="E279" s="14"/>
      <c r="F279" s="28">
        <f>+SUM(START:END!F279)</f>
        <v>176.54591388792622</v>
      </c>
      <c r="G279" s="78"/>
      <c r="H279" s="14"/>
      <c r="I279" s="28">
        <f>+SUM(START:END!I279)</f>
        <v>0</v>
      </c>
      <c r="J279" s="38"/>
      <c r="K279" s="14"/>
      <c r="L279" s="31">
        <f>+SUM(START:END!L279)</f>
        <v>295.27</v>
      </c>
      <c r="M279" s="38"/>
      <c r="N279" s="55">
        <f t="shared" si="81"/>
        <v>118.72408611207376</v>
      </c>
      <c r="O279" s="38"/>
      <c r="P279" s="14"/>
      <c r="Q279" s="31">
        <f>+SUM(START:END!Q279)</f>
        <v>191.37</v>
      </c>
      <c r="R279" s="38"/>
      <c r="S279" s="55">
        <f t="shared" si="82"/>
        <v>103.89999999999998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76"/>
        <v>CarrosserieFrais bancaires</v>
      </c>
      <c r="B280" s="12" t="s">
        <v>99</v>
      </c>
      <c r="C280" s="99" t="s">
        <v>63</v>
      </c>
      <c r="D280" s="76"/>
      <c r="E280" s="14"/>
      <c r="F280" s="28">
        <f>+SUM(START:END!F280)</f>
        <v>336.51785487537188</v>
      </c>
      <c r="G280" s="78"/>
      <c r="H280" s="14"/>
      <c r="I280" s="28">
        <f>+SUM(START:END!I280)</f>
        <v>0</v>
      </c>
      <c r="J280" s="38"/>
      <c r="K280" s="14"/>
      <c r="L280" s="31">
        <f>+SUM(START:END!L280)</f>
        <v>385.76</v>
      </c>
      <c r="M280" s="38"/>
      <c r="N280" s="55">
        <f t="shared" si="81"/>
        <v>49.242145124628109</v>
      </c>
      <c r="O280" s="38"/>
      <c r="P280" s="14"/>
      <c r="Q280" s="31">
        <f>+SUM(START:END!Q280)</f>
        <v>378.12175000000025</v>
      </c>
      <c r="R280" s="38"/>
      <c r="S280" s="55">
        <f t="shared" si="82"/>
        <v>7.6382499999997435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76"/>
        <v>Carrosserie[...]</v>
      </c>
      <c r="B281" s="12" t="s">
        <v>99</v>
      </c>
      <c r="C281" s="99" t="s">
        <v>20</v>
      </c>
      <c r="D281" s="76"/>
      <c r="E281" s="14"/>
      <c r="F281" s="28">
        <f>+SUM(START:END!F281)</f>
        <v>0</v>
      </c>
      <c r="G281" s="78"/>
      <c r="H281" s="14"/>
      <c r="I281" s="28">
        <f>+SUM(START:END!I281)</f>
        <v>0</v>
      </c>
      <c r="J281" s="38"/>
      <c r="K281" s="14"/>
      <c r="L281" s="31">
        <f>+SUM(START:END!L281)</f>
        <v>0</v>
      </c>
      <c r="M281" s="38"/>
      <c r="N281" s="55">
        <f t="shared" si="81"/>
        <v>0</v>
      </c>
      <c r="O281" s="38"/>
      <c r="P281" s="14"/>
      <c r="Q281" s="31">
        <f>+SUM(START:END!Q281)</f>
        <v>0</v>
      </c>
      <c r="R281" s="38"/>
      <c r="S281" s="55">
        <f t="shared" si="82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76"/>
        <v>Carrosserie[...]</v>
      </c>
      <c r="B282" s="12" t="s">
        <v>99</v>
      </c>
      <c r="C282" s="99" t="s">
        <v>20</v>
      </c>
      <c r="D282" s="76"/>
      <c r="E282" s="14"/>
      <c r="F282" s="28">
        <f>+SUM(START:END!F282)</f>
        <v>0</v>
      </c>
      <c r="G282" s="78"/>
      <c r="H282" s="14"/>
      <c r="I282" s="28">
        <f>+SUM(START:END!I282)</f>
        <v>0</v>
      </c>
      <c r="J282" s="38"/>
      <c r="K282" s="14"/>
      <c r="L282" s="31">
        <f>+SUM(START:END!L282)</f>
        <v>0</v>
      </c>
      <c r="M282" s="38"/>
      <c r="N282" s="55">
        <f t="shared" si="81"/>
        <v>0</v>
      </c>
      <c r="O282" s="38"/>
      <c r="P282" s="14"/>
      <c r="Q282" s="31">
        <f>+SUM(START:END!Q282)</f>
        <v>0</v>
      </c>
      <c r="R282" s="38"/>
      <c r="S282" s="55">
        <f t="shared" si="82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76"/>
        <v>Carrosserie[...]</v>
      </c>
      <c r="B283" s="12" t="s">
        <v>99</v>
      </c>
      <c r="C283" s="99" t="s">
        <v>20</v>
      </c>
      <c r="D283" s="76"/>
      <c r="E283" s="14"/>
      <c r="F283" s="28">
        <f>+SUM(START:END!F283)</f>
        <v>0</v>
      </c>
      <c r="G283" s="78"/>
      <c r="H283" s="14"/>
      <c r="I283" s="28">
        <f>+SUM(START:END!I283)</f>
        <v>0</v>
      </c>
      <c r="J283" s="38"/>
      <c r="K283" s="14"/>
      <c r="L283" s="31">
        <f>+SUM(START:END!L283)</f>
        <v>0</v>
      </c>
      <c r="M283" s="38"/>
      <c r="N283" s="55">
        <f t="shared" si="81"/>
        <v>0</v>
      </c>
      <c r="O283" s="38"/>
      <c r="P283" s="14"/>
      <c r="Q283" s="31">
        <f>+SUM(START:END!Q283)</f>
        <v>0</v>
      </c>
      <c r="R283" s="38"/>
      <c r="S283" s="55">
        <f t="shared" si="82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0" t="s">
        <v>64</v>
      </c>
      <c r="D284" s="91" t="s">
        <v>39</v>
      </c>
      <c r="E284" s="92">
        <f>F284/F$249</f>
        <v>0.16180477699295392</v>
      </c>
      <c r="F284" s="96">
        <f>+SUM(F266:F283)</f>
        <v>8053.452366376333</v>
      </c>
      <c r="G284" s="94" t="s">
        <v>39</v>
      </c>
      <c r="H284" s="92" t="e">
        <f>I284/I$249</f>
        <v>#DIV/0!</v>
      </c>
      <c r="I284" s="96">
        <f>+SUM(I266:I283)</f>
        <v>0</v>
      </c>
      <c r="J284" s="94" t="s">
        <v>39</v>
      </c>
      <c r="K284" s="92">
        <f>L284/L$249</f>
        <v>0.29504775552121737</v>
      </c>
      <c r="L284" s="93">
        <f>+SUM(L266:L283)</f>
        <v>10566.74</v>
      </c>
      <c r="M284" s="97"/>
      <c r="N284" s="93">
        <f>+SUM(N266:N283)</f>
        <v>2513.2876336236664</v>
      </c>
      <c r="O284" s="94" t="s">
        <v>39</v>
      </c>
      <c r="P284" s="92">
        <f>Q284/Q$249</f>
        <v>0.17288212693504168</v>
      </c>
      <c r="Q284" s="93">
        <f>+SUM(Q266:Q283)</f>
        <v>7955.4217500000004</v>
      </c>
      <c r="R284" s="97"/>
      <c r="S284" s="93">
        <f t="shared" si="82"/>
        <v>2611.3182499999994</v>
      </c>
      <c r="T284" s="71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2"/>
      <c r="D285" s="83"/>
      <c r="E285" s="108"/>
      <c r="F285" s="77"/>
      <c r="G285" s="85"/>
      <c r="H285" s="108"/>
      <c r="I285" s="77"/>
      <c r="J285" s="23"/>
      <c r="K285" s="108"/>
      <c r="L285" s="88"/>
      <c r="M285" s="23"/>
      <c r="N285" s="88"/>
      <c r="O285" s="23"/>
      <c r="P285" s="108"/>
      <c r="Q285" s="88"/>
      <c r="R285" s="23"/>
      <c r="S285" s="88"/>
      <c r="T285" s="71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0" t="s">
        <v>65</v>
      </c>
      <c r="D286" s="91" t="s">
        <v>39</v>
      </c>
      <c r="E286" s="92">
        <f>F286/F$249</f>
        <v>0.4323911006894321</v>
      </c>
      <c r="F286" s="96">
        <f>F265+F284</f>
        <v>21521.250470862269</v>
      </c>
      <c r="G286" s="94" t="s">
        <v>39</v>
      </c>
      <c r="H286" s="92" t="e">
        <f>I286/I$249</f>
        <v>#DIV/0!</v>
      </c>
      <c r="I286" s="96">
        <f>I265+I284</f>
        <v>0</v>
      </c>
      <c r="J286" s="94" t="s">
        <v>39</v>
      </c>
      <c r="K286" s="92">
        <f>L286/L$249</f>
        <v>0.71772306991243018</v>
      </c>
      <c r="L286" s="93">
        <f>L265+L284</f>
        <v>25704.29</v>
      </c>
      <c r="M286" s="97"/>
      <c r="N286" s="110">
        <f>L286-F286</f>
        <v>4183.0395291377317</v>
      </c>
      <c r="O286" s="94" t="s">
        <v>39</v>
      </c>
      <c r="P286" s="92">
        <f>Q286/Q$249</f>
        <v>0.61453657876694068</v>
      </c>
      <c r="Q286" s="93">
        <f>Q265+Q284</f>
        <v>28278.791749999997</v>
      </c>
      <c r="R286" s="97"/>
      <c r="S286" s="110">
        <f>L286-Q286</f>
        <v>-2574.5017499999958</v>
      </c>
      <c r="T286" s="71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27"/>
      <c r="D287" s="76"/>
      <c r="E287" s="14"/>
      <c r="F287" s="77"/>
      <c r="G287" s="78"/>
      <c r="H287" s="14"/>
      <c r="I287" s="55"/>
      <c r="J287" s="38"/>
      <c r="K287" s="14"/>
      <c r="L287" s="55"/>
      <c r="M287" s="38"/>
      <c r="N287" s="55">
        <f>L287-F287</f>
        <v>0</v>
      </c>
      <c r="O287" s="38"/>
      <c r="P287" s="14"/>
      <c r="Q287" s="55"/>
      <c r="R287" s="38"/>
      <c r="S287" s="55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20" t="s">
        <v>72</v>
      </c>
      <c r="D288" s="145"/>
      <c r="E288" s="121"/>
      <c r="F288" s="377">
        <f>F249-F286</f>
        <v>28251.398495657642</v>
      </c>
      <c r="G288" s="146"/>
      <c r="H288" s="121"/>
      <c r="I288" s="123">
        <f>I249-I286</f>
        <v>0</v>
      </c>
      <c r="J288" s="147"/>
      <c r="K288" s="122"/>
      <c r="L288" s="123">
        <f>L249-L286</f>
        <v>10109.369999999995</v>
      </c>
      <c r="M288" s="418"/>
      <c r="N288" s="205">
        <f>L288-F288</f>
        <v>-18142.028495657647</v>
      </c>
      <c r="O288" s="147"/>
      <c r="P288" s="122"/>
      <c r="Q288" s="123">
        <f>Q249-Q286</f>
        <v>17737.658250000015</v>
      </c>
      <c r="R288" s="418"/>
      <c r="S288" s="205">
        <f>L288-Q288</f>
        <v>-7628.2882500000196</v>
      </c>
      <c r="T288" s="71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77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103</v>
      </c>
      <c r="L290" s="2"/>
      <c r="M290" s="2"/>
      <c r="N290" s="1"/>
      <c r="O290" s="1"/>
      <c r="P290" s="2"/>
      <c r="Q290" s="1"/>
      <c r="R290" s="2"/>
      <c r="S290" s="421" t="str">
        <f>$S$1</f>
        <v xml:space="preserve"> Volks Juin / Juillet 2023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472" t="s">
        <v>5</v>
      </c>
      <c r="E292" s="473"/>
      <c r="F292" s="474"/>
      <c r="G292" s="475" t="s">
        <v>74</v>
      </c>
      <c r="H292" s="473"/>
      <c r="I292" s="474"/>
      <c r="J292" s="475" t="s">
        <v>7</v>
      </c>
      <c r="K292" s="473"/>
      <c r="L292" s="474"/>
      <c r="M292" s="470" t="s">
        <v>472</v>
      </c>
      <c r="N292" s="471"/>
      <c r="O292" s="472" t="s">
        <v>9</v>
      </c>
      <c r="P292" s="473"/>
      <c r="Q292" s="474"/>
      <c r="R292" s="470" t="s">
        <v>473</v>
      </c>
      <c r="S292" s="471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3">+B293&amp;C293</f>
        <v>Pièces</v>
      </c>
      <c r="B293" s="12" t="s">
        <v>103</v>
      </c>
      <c r="C293" s="27"/>
      <c r="D293" s="75" t="s">
        <v>84</v>
      </c>
      <c r="E293" s="75" t="s">
        <v>104</v>
      </c>
      <c r="F293" s="129" t="s">
        <v>13</v>
      </c>
      <c r="G293" s="130" t="s">
        <v>84</v>
      </c>
      <c r="H293" s="75" t="s">
        <v>104</v>
      </c>
      <c r="I293" s="129" t="s">
        <v>13</v>
      </c>
      <c r="J293" s="130" t="s">
        <v>84</v>
      </c>
      <c r="K293" s="75" t="s">
        <v>104</v>
      </c>
      <c r="L293" s="129" t="s">
        <v>13</v>
      </c>
      <c r="M293" s="130" t="s">
        <v>40</v>
      </c>
      <c r="N293" s="129" t="s">
        <v>475</v>
      </c>
      <c r="O293" s="75" t="s">
        <v>84</v>
      </c>
      <c r="P293" s="75" t="s">
        <v>104</v>
      </c>
      <c r="Q293" s="129" t="s">
        <v>13</v>
      </c>
      <c r="R293" s="130" t="s">
        <v>85</v>
      </c>
      <c r="S293" s="129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3"/>
        <v>PiècesPièces Ro Clients</v>
      </c>
      <c r="B294" s="12" t="s">
        <v>103</v>
      </c>
      <c r="C294" s="27" t="s">
        <v>105</v>
      </c>
      <c r="D294" s="77">
        <f>+SUM(START:END!D294)</f>
        <v>168078.3893394192</v>
      </c>
      <c r="E294" s="141">
        <f>IF(D294=0,0,F294/D294)</f>
        <v>0.36099999999999999</v>
      </c>
      <c r="F294" s="80">
        <f>+SUM(START:END!F294)</f>
        <v>60676.29855153033</v>
      </c>
      <c r="G294" s="77">
        <f>+SUM(START:END!G294)</f>
        <v>0</v>
      </c>
      <c r="H294" s="141">
        <f>IF(G294=0,0,I294/G294)</f>
        <v>0</v>
      </c>
      <c r="I294" s="80">
        <f>+SUM(START:END!I294)</f>
        <v>0</v>
      </c>
      <c r="J294" s="28">
        <f>+SUM(START:END!J294)</f>
        <v>204520.47999999998</v>
      </c>
      <c r="K294" s="141">
        <f>IF(J294=0,0,L294/J294)</f>
        <v>0.34264304484323532</v>
      </c>
      <c r="L294" s="31">
        <f>+SUM(START:END!L294)</f>
        <v>70077.52</v>
      </c>
      <c r="M294" s="150">
        <f t="shared" ref="M294:M300" si="84">(+J294-D294)/D294</f>
        <v>0.21681603925290632</v>
      </c>
      <c r="N294" s="55">
        <f t="shared" ref="N294:N303" si="85">L294-F294</f>
        <v>9401.2214484696742</v>
      </c>
      <c r="O294" s="28">
        <f>+SUM(START:END!O294)</f>
        <v>158187.87</v>
      </c>
      <c r="P294" s="141">
        <f>IF(O294=0,0,Q294/O294)</f>
        <v>0.35771156157548617</v>
      </c>
      <c r="Q294" s="31">
        <f>+SUM(START:END!Q294)</f>
        <v>56585.63</v>
      </c>
      <c r="R294" s="150">
        <f t="shared" ref="R294:R303" si="86">IF(O294=0,0,(J294-O294)/O294)</f>
        <v>0.29289609879695572</v>
      </c>
      <c r="S294" s="55">
        <f t="shared" ref="S294:S303" si="87">L294-Q294</f>
        <v>13491.890000000007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3"/>
        <v>PiècesPièces Ro Carrosserie</v>
      </c>
      <c r="B295" s="12" t="s">
        <v>103</v>
      </c>
      <c r="C295" s="27" t="s">
        <v>106</v>
      </c>
      <c r="D295" s="77">
        <f>+SUM(START:END!D295)</f>
        <v>122054.30865985816</v>
      </c>
      <c r="E295" s="141">
        <f t="shared" ref="E295:E302" si="88">IF(D295=0,0,F295/D295)</f>
        <v>0.248</v>
      </c>
      <c r="F295" s="80">
        <f>+SUM(START:END!F295)</f>
        <v>30269.468547644821</v>
      </c>
      <c r="G295" s="77">
        <f>+SUM(START:END!G295)</f>
        <v>0</v>
      </c>
      <c r="H295" s="141">
        <f t="shared" ref="H295:H302" si="89">IF(G295=0,0,I295/G295)</f>
        <v>0</v>
      </c>
      <c r="I295" s="80">
        <f>+SUM(START:END!I295)</f>
        <v>0</v>
      </c>
      <c r="J295" s="28">
        <f>+SUM(START:END!J295)</f>
        <v>87643.41</v>
      </c>
      <c r="K295" s="141">
        <f t="shared" ref="K295:K302" si="90">IF(J295=0,0,L295/J295)</f>
        <v>0.2836412914559121</v>
      </c>
      <c r="L295" s="31">
        <f>+SUM(START:END!L295)</f>
        <v>24859.29</v>
      </c>
      <c r="M295" s="150">
        <f t="shared" si="84"/>
        <v>-0.28193104395646285</v>
      </c>
      <c r="N295" s="55">
        <f t="shared" si="85"/>
        <v>-5410.1785476448204</v>
      </c>
      <c r="O295" s="28">
        <f>+SUM(START:END!O295)</f>
        <v>104910.22</v>
      </c>
      <c r="P295" s="141">
        <f t="shared" ref="P295:P302" si="91">IF(O295=0,0,Q295/O295)</f>
        <v>0.24325046692305097</v>
      </c>
      <c r="Q295" s="31">
        <f>+SUM(START:END!Q295)</f>
        <v>25519.46</v>
      </c>
      <c r="R295" s="150">
        <f t="shared" si="86"/>
        <v>-0.16458653885198218</v>
      </c>
      <c r="S295" s="55">
        <f t="shared" si="87"/>
        <v>-660.16999999999825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3"/>
        <v>PiècesP/A Garantie</v>
      </c>
      <c r="B296" s="12" t="s">
        <v>103</v>
      </c>
      <c r="C296" s="27" t="s">
        <v>107</v>
      </c>
      <c r="D296" s="77">
        <f>+SUM(START:END!D296)</f>
        <v>127487.13888273374</v>
      </c>
      <c r="E296" s="141">
        <f t="shared" si="88"/>
        <v>0.24299999999999999</v>
      </c>
      <c r="F296" s="80">
        <f>+SUM(START:END!F296)</f>
        <v>30979.374748504299</v>
      </c>
      <c r="G296" s="77">
        <f>+SUM(START:END!G296)</f>
        <v>0</v>
      </c>
      <c r="H296" s="141">
        <f t="shared" si="89"/>
        <v>0</v>
      </c>
      <c r="I296" s="80">
        <f>+SUM(START:END!I296)</f>
        <v>0</v>
      </c>
      <c r="J296" s="28">
        <f>+SUM(START:END!J296)</f>
        <v>68597.47</v>
      </c>
      <c r="K296" s="141">
        <f t="shared" si="90"/>
        <v>0.23440325131524528</v>
      </c>
      <c r="L296" s="31">
        <f>+SUM(START:END!L296)</f>
        <v>16079.47</v>
      </c>
      <c r="M296" s="150">
        <f t="shared" si="84"/>
        <v>-0.46192635115062164</v>
      </c>
      <c r="N296" s="55">
        <f t="shared" si="85"/>
        <v>-14899.904748504299</v>
      </c>
      <c r="O296" s="28">
        <f>+SUM(START:END!O296)</f>
        <v>125316.84999999999</v>
      </c>
      <c r="P296" s="141">
        <f t="shared" si="91"/>
        <v>0.2379126190931227</v>
      </c>
      <c r="Q296" s="31">
        <f>+SUM(START:END!Q296)</f>
        <v>29814.459999999992</v>
      </c>
      <c r="R296" s="150">
        <f t="shared" si="86"/>
        <v>-0.45260776982504741</v>
      </c>
      <c r="S296" s="55">
        <f t="shared" si="87"/>
        <v>-13734.989999999993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3"/>
        <v>PiècesVentes Internes</v>
      </c>
      <c r="B297" s="12" t="s">
        <v>103</v>
      </c>
      <c r="C297" s="27" t="s">
        <v>108</v>
      </c>
      <c r="D297" s="77">
        <f>+SUM(START:END!D297)</f>
        <v>123972.43325055874</v>
      </c>
      <c r="E297" s="141">
        <f t="shared" si="88"/>
        <v>0.31600000000000006</v>
      </c>
      <c r="F297" s="80">
        <f>+SUM(START:END!F297)</f>
        <v>39175.288907176568</v>
      </c>
      <c r="G297" s="77">
        <f>+SUM(START:END!G297)</f>
        <v>0</v>
      </c>
      <c r="H297" s="141">
        <f t="shared" si="89"/>
        <v>0</v>
      </c>
      <c r="I297" s="80">
        <f>+SUM(START:END!I297)</f>
        <v>0</v>
      </c>
      <c r="J297" s="28">
        <f>+SUM(START:END!J297)</f>
        <v>82767.950000000012</v>
      </c>
      <c r="K297" s="141">
        <f t="shared" si="90"/>
        <v>0.30859795367651366</v>
      </c>
      <c r="L297" s="31">
        <f>+SUM(START:END!L297)</f>
        <v>25542.020000000004</v>
      </c>
      <c r="M297" s="150">
        <f t="shared" si="84"/>
        <v>-0.33236810934638178</v>
      </c>
      <c r="N297" s="55">
        <f t="shared" si="85"/>
        <v>-13633.268907176564</v>
      </c>
      <c r="O297" s="28">
        <f>+SUM(START:END!O297)</f>
        <v>106706.53</v>
      </c>
      <c r="P297" s="141">
        <f t="shared" si="91"/>
        <v>0.3295046704264491</v>
      </c>
      <c r="Q297" s="31">
        <f>+SUM(START:END!Q297)</f>
        <v>35160.300000000003</v>
      </c>
      <c r="R297" s="150">
        <f t="shared" si="86"/>
        <v>-0.22434034730583019</v>
      </c>
      <c r="S297" s="55">
        <f t="shared" si="87"/>
        <v>-9618.2799999999988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3"/>
        <v>PiècesVentes Détails</v>
      </c>
      <c r="B298" s="12" t="s">
        <v>103</v>
      </c>
      <c r="C298" s="27" t="s">
        <v>109</v>
      </c>
      <c r="D298" s="77">
        <f>+SUM(START:END!D298)</f>
        <v>37161.451882082023</v>
      </c>
      <c r="E298" s="141">
        <f t="shared" si="88"/>
        <v>0.29799999999999999</v>
      </c>
      <c r="F298" s="80">
        <f>+SUM(START:END!F298)</f>
        <v>11074.112660860443</v>
      </c>
      <c r="G298" s="77">
        <f>+SUM(START:END!G298)</f>
        <v>0</v>
      </c>
      <c r="H298" s="141">
        <f t="shared" si="89"/>
        <v>0</v>
      </c>
      <c r="I298" s="80">
        <f>+SUM(START:END!I298)</f>
        <v>0</v>
      </c>
      <c r="J298" s="28">
        <f>+SUM(START:END!J298)</f>
        <v>33250.800000000003</v>
      </c>
      <c r="K298" s="141">
        <f t="shared" si="90"/>
        <v>0.24723735970262367</v>
      </c>
      <c r="L298" s="31">
        <f>+SUM(START:END!L298)</f>
        <v>8220.84</v>
      </c>
      <c r="M298" s="150">
        <f t="shared" si="84"/>
        <v>-0.10523409834715318</v>
      </c>
      <c r="N298" s="55">
        <f t="shared" si="85"/>
        <v>-2853.2726608604426</v>
      </c>
      <c r="O298" s="28">
        <f>+SUM(START:END!O298)</f>
        <v>39168.47</v>
      </c>
      <c r="P298" s="141">
        <f t="shared" si="91"/>
        <v>0.28552557707768517</v>
      </c>
      <c r="Q298" s="31">
        <f>+SUM(START:END!Q298)</f>
        <v>11183.6</v>
      </c>
      <c r="R298" s="150">
        <f t="shared" si="86"/>
        <v>-0.15108249058490153</v>
      </c>
      <c r="S298" s="55">
        <f t="shared" si="87"/>
        <v>-2962.76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3"/>
        <v>PiècesVentes de Gros</v>
      </c>
      <c r="B299" s="12" t="s">
        <v>103</v>
      </c>
      <c r="C299" s="27" t="s">
        <v>110</v>
      </c>
      <c r="D299" s="77">
        <f>+SUM(START:END!D299)</f>
        <v>168075.92843380384</v>
      </c>
      <c r="E299" s="141">
        <f t="shared" si="88"/>
        <v>0.17499999999999999</v>
      </c>
      <c r="F299" s="80">
        <f>+SUM(START:END!F299)</f>
        <v>29413.287475915669</v>
      </c>
      <c r="G299" s="77">
        <f>+SUM(START:END!G299)</f>
        <v>0</v>
      </c>
      <c r="H299" s="141">
        <f t="shared" si="89"/>
        <v>0</v>
      </c>
      <c r="I299" s="80">
        <f>+SUM(START:END!I299)</f>
        <v>0</v>
      </c>
      <c r="J299" s="28">
        <f>+SUM(START:END!J299)</f>
        <v>239029.9</v>
      </c>
      <c r="K299" s="141">
        <f t="shared" si="90"/>
        <v>0.18383139515181984</v>
      </c>
      <c r="L299" s="31">
        <f>+SUM(START:END!L299)</f>
        <v>43941.199999999983</v>
      </c>
      <c r="M299" s="150">
        <f t="shared" si="84"/>
        <v>0.42215427412701245</v>
      </c>
      <c r="N299" s="55">
        <f t="shared" si="85"/>
        <v>14527.912524084313</v>
      </c>
      <c r="O299" s="28">
        <f>+SUM(START:END!O299)</f>
        <v>148745.77000000002</v>
      </c>
      <c r="P299" s="141">
        <f t="shared" si="91"/>
        <v>0.17827128798351713</v>
      </c>
      <c r="Q299" s="31">
        <f>+SUM(START:END!Q299)</f>
        <v>26517.100000000006</v>
      </c>
      <c r="R299" s="150">
        <f t="shared" si="86"/>
        <v>0.60696939482716017</v>
      </c>
      <c r="S299" s="55">
        <f t="shared" si="87"/>
        <v>17424.099999999977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3"/>
        <v>Pièces[...]</v>
      </c>
      <c r="B300" s="12" t="s">
        <v>103</v>
      </c>
      <c r="C300" s="27" t="s">
        <v>20</v>
      </c>
      <c r="D300" s="77">
        <f>+SUM(START:END!D300)</f>
        <v>0</v>
      </c>
      <c r="E300" s="141">
        <f t="shared" si="88"/>
        <v>0</v>
      </c>
      <c r="F300" s="80">
        <f>+SUM(START:END!F300)</f>
        <v>0</v>
      </c>
      <c r="G300" s="77">
        <f>+SUM(START:END!G300)</f>
        <v>0</v>
      </c>
      <c r="H300" s="141">
        <f t="shared" si="89"/>
        <v>0</v>
      </c>
      <c r="I300" s="80">
        <f>+SUM(START:END!I300)</f>
        <v>0</v>
      </c>
      <c r="J300" s="28">
        <f>+SUM(START:END!J300)</f>
        <v>0</v>
      </c>
      <c r="K300" s="141">
        <f t="shared" si="90"/>
        <v>0</v>
      </c>
      <c r="L300" s="31">
        <f>+SUM(START:END!L300)</f>
        <v>0</v>
      </c>
      <c r="M300" s="150" t="e">
        <f t="shared" si="84"/>
        <v>#DIV/0!</v>
      </c>
      <c r="N300" s="55">
        <f t="shared" si="85"/>
        <v>0</v>
      </c>
      <c r="O300" s="28">
        <f>+SUM(START:END!O300)</f>
        <v>0</v>
      </c>
      <c r="P300" s="141">
        <f t="shared" si="91"/>
        <v>0</v>
      </c>
      <c r="Q300" s="31">
        <f>+SUM(START:END!Q300)</f>
        <v>0</v>
      </c>
      <c r="R300" s="150">
        <f t="shared" si="86"/>
        <v>0</v>
      </c>
      <c r="S300" s="55">
        <f t="shared" si="87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3"/>
        <v>PiècesEscomptes</v>
      </c>
      <c r="B301" s="12" t="s">
        <v>103</v>
      </c>
      <c r="C301" s="27" t="s">
        <v>111</v>
      </c>
      <c r="D301" s="77">
        <f>+SUM(START:END!D301)</f>
        <v>0</v>
      </c>
      <c r="E301" s="141">
        <f t="shared" si="88"/>
        <v>0</v>
      </c>
      <c r="F301" s="80">
        <f>+SUM(START:END!F301)</f>
        <v>12667.21515382478</v>
      </c>
      <c r="G301" s="77">
        <f>+SUM(START:END!G301)</f>
        <v>0</v>
      </c>
      <c r="H301" s="141">
        <f t="shared" si="89"/>
        <v>0</v>
      </c>
      <c r="I301" s="80">
        <f>+SUM(START:END!I301)</f>
        <v>0</v>
      </c>
      <c r="J301" s="28">
        <f>+SUM(START:END!J301)</f>
        <v>0</v>
      </c>
      <c r="K301" s="141">
        <f t="shared" si="90"/>
        <v>0</v>
      </c>
      <c r="L301" s="31">
        <f>+SUM(START:END!L301)</f>
        <v>15104.76</v>
      </c>
      <c r="M301" s="150"/>
      <c r="N301" s="55">
        <f t="shared" si="85"/>
        <v>2437.5448461752203</v>
      </c>
      <c r="O301" s="28">
        <f>+SUM(START:END!O301)</f>
        <v>0</v>
      </c>
      <c r="P301" s="141">
        <f t="shared" si="91"/>
        <v>0</v>
      </c>
      <c r="Q301" s="31">
        <f>+SUM(START:END!Q301)</f>
        <v>22104.61</v>
      </c>
      <c r="R301" s="150">
        <f t="shared" si="86"/>
        <v>0</v>
      </c>
      <c r="S301" s="55">
        <f t="shared" si="87"/>
        <v>-6999.85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3"/>
        <v>PiècesRectif. Inventaire</v>
      </c>
      <c r="B302" s="12" t="s">
        <v>103</v>
      </c>
      <c r="C302" s="82" t="s">
        <v>112</v>
      </c>
      <c r="D302" s="77">
        <f>+SUM(START:END!D302)</f>
        <v>0</v>
      </c>
      <c r="E302" s="141">
        <f t="shared" si="88"/>
        <v>0</v>
      </c>
      <c r="F302" s="80">
        <f>+SUM(START:END!F302)</f>
        <v>0</v>
      </c>
      <c r="G302" s="77">
        <f>+SUM(START:END!G302)</f>
        <v>0</v>
      </c>
      <c r="H302" s="141">
        <f t="shared" si="89"/>
        <v>0</v>
      </c>
      <c r="I302" s="80">
        <f>+SUM(START:END!I302)</f>
        <v>0</v>
      </c>
      <c r="J302" s="28">
        <f>+SUM(START:END!J302)</f>
        <v>0</v>
      </c>
      <c r="K302" s="141">
        <f t="shared" si="90"/>
        <v>0</v>
      </c>
      <c r="L302" s="31">
        <f>+SUM(START:END!L302)</f>
        <v>0</v>
      </c>
      <c r="M302" s="150"/>
      <c r="N302" s="55">
        <f t="shared" si="85"/>
        <v>0</v>
      </c>
      <c r="O302" s="28">
        <f>+SUM(START:END!O302)</f>
        <v>0</v>
      </c>
      <c r="P302" s="141">
        <f t="shared" si="91"/>
        <v>0</v>
      </c>
      <c r="Q302" s="31">
        <f>+SUM(START:END!Q302)</f>
        <v>0</v>
      </c>
      <c r="R302" s="150">
        <f t="shared" si="86"/>
        <v>0</v>
      </c>
      <c r="S302" s="55">
        <f t="shared" si="87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3"/>
        <v>PiècesSous-total Pièces</v>
      </c>
      <c r="B303" s="12" t="s">
        <v>103</v>
      </c>
      <c r="C303" s="50" t="s">
        <v>113</v>
      </c>
      <c r="D303" s="177">
        <f>SUM(D294:D302)</f>
        <v>746829.65044845571</v>
      </c>
      <c r="E303" s="192">
        <f>IF(D303&lt;=0,0,F303/D303)</f>
        <v>0.28688610035340883</v>
      </c>
      <c r="F303" s="181">
        <f>SUM(F294:F302)</f>
        <v>214255.0460454569</v>
      </c>
      <c r="G303" s="177">
        <f>SUM(G294:G302)</f>
        <v>0</v>
      </c>
      <c r="H303" s="192">
        <f>IF(G303&lt;=0,0,I303/G303)</f>
        <v>0</v>
      </c>
      <c r="I303" s="181">
        <f>SUM(I294:I302)</f>
        <v>0</v>
      </c>
      <c r="J303" s="177">
        <f>SUM(J294:J302)</f>
        <v>715810.01</v>
      </c>
      <c r="K303" s="192">
        <f>IF(J303&lt;=0,0,L303/J303)</f>
        <v>0.28474748488079954</v>
      </c>
      <c r="L303" s="179">
        <f>SUM(L294:L302)</f>
        <v>203825.09999999998</v>
      </c>
      <c r="M303" s="193">
        <f>(+J303-D303)/D303</f>
        <v>-4.1535094957503425E-2</v>
      </c>
      <c r="N303" s="179">
        <f t="shared" si="85"/>
        <v>-10429.94604545692</v>
      </c>
      <c r="O303" s="177">
        <f>SUM(O294:O302)</f>
        <v>683035.71</v>
      </c>
      <c r="P303" s="192">
        <f>IF(O303&lt;=0,0,Q303/O303)</f>
        <v>0.3028906936651965</v>
      </c>
      <c r="Q303" s="179">
        <f>SUM(Q294:Q302)</f>
        <v>206885.15999999997</v>
      </c>
      <c r="R303" s="193">
        <f t="shared" si="86"/>
        <v>4.798328918996058E-2</v>
      </c>
      <c r="S303" s="179">
        <f t="shared" si="87"/>
        <v>-3060.0599999999977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3"/>
        <v>Pièces</v>
      </c>
      <c r="B304" s="12" t="s">
        <v>103</v>
      </c>
      <c r="C304" s="27"/>
      <c r="D304" s="14"/>
      <c r="E304" s="14"/>
      <c r="F304" s="37"/>
      <c r="G304" s="38"/>
      <c r="H304" s="14"/>
      <c r="I304" s="37"/>
      <c r="J304" s="38"/>
      <c r="K304" s="14"/>
      <c r="L304" s="37"/>
      <c r="M304" s="38"/>
      <c r="N304" s="40">
        <f>N303/F303</f>
        <v>-4.8680048558782024E-2</v>
      </c>
      <c r="O304" s="38"/>
      <c r="P304" s="14"/>
      <c r="Q304" s="37"/>
      <c r="R304" s="38"/>
      <c r="S304" s="40">
        <f>IF(Q303=0,0,S303/Q303)</f>
        <v>-1.4791104398208157E-2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3"/>
        <v>Pièces</v>
      </c>
      <c r="B305" s="12" t="s">
        <v>103</v>
      </c>
      <c r="C305" s="82"/>
      <c r="D305" s="108"/>
      <c r="E305" s="108"/>
      <c r="F305" s="194"/>
      <c r="G305" s="23"/>
      <c r="H305" s="195"/>
      <c r="I305" s="194"/>
      <c r="J305" s="23"/>
      <c r="K305" s="108"/>
      <c r="L305" s="194"/>
      <c r="M305" s="23"/>
      <c r="N305" s="160"/>
      <c r="O305" s="23"/>
      <c r="P305" s="108"/>
      <c r="Q305" s="194"/>
      <c r="R305" s="23"/>
      <c r="S305" s="160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3"/>
        <v>PiècesVentes Pneus</v>
      </c>
      <c r="B306" s="12" t="s">
        <v>103</v>
      </c>
      <c r="C306" s="27" t="s">
        <v>114</v>
      </c>
      <c r="D306" s="77">
        <f>+SUM(START:END!D306)</f>
        <v>48833.044777390547</v>
      </c>
      <c r="E306" s="141">
        <f t="shared" ref="E306:E307" si="92">IF(D306=0,0,F306/D306)</f>
        <v>0.18</v>
      </c>
      <c r="F306" s="107">
        <f>+SUM(START:END!F306)</f>
        <v>8789.9480599302988</v>
      </c>
      <c r="G306" s="77">
        <f>+SUM(START:END!G306)</f>
        <v>0</v>
      </c>
      <c r="H306" s="141">
        <f t="shared" ref="H306:H307" si="93">IF(G306=0,0,I306/G306)</f>
        <v>0</v>
      </c>
      <c r="I306" s="107">
        <f>+SUM(START:END!I306)</f>
        <v>0</v>
      </c>
      <c r="J306" s="28">
        <f>+SUM(START:END!J306)</f>
        <v>36876.82</v>
      </c>
      <c r="K306" s="141">
        <f t="shared" ref="K306:K307" si="94">IF(J306=0,0,L306/J306)</f>
        <v>0.19710023803570911</v>
      </c>
      <c r="L306" s="31">
        <f>+SUM(START:END!L306)</f>
        <v>7268.4299999999985</v>
      </c>
      <c r="M306" s="150">
        <f>(+J306-D306)/D306</f>
        <v>-0.2448388142065272</v>
      </c>
      <c r="N306" s="55">
        <f>L306-F306</f>
        <v>-1521.5180599303003</v>
      </c>
      <c r="O306" s="28">
        <f>+SUM(START:END!O306)</f>
        <v>58784.979999999996</v>
      </c>
      <c r="P306" s="141">
        <f t="shared" ref="P306:P307" si="95">IF(O306=0,0,Q306/O306)</f>
        <v>0.19306071040595746</v>
      </c>
      <c r="Q306" s="31">
        <f>+SUM(START:END!Q306)</f>
        <v>11349.07</v>
      </c>
      <c r="R306" s="150">
        <f t="shared" ref="R306:R308" si="96">IF(O306=0,0,(J306-O306)/O306)</f>
        <v>-0.37268295404710516</v>
      </c>
      <c r="S306" s="55">
        <f t="shared" ref="S306:S308" si="97">L306-Q306</f>
        <v>-4080.6400000000012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3"/>
        <v>PiècesHuiles et Graisse</v>
      </c>
      <c r="B307" s="12" t="s">
        <v>103</v>
      </c>
      <c r="C307" s="82" t="s">
        <v>115</v>
      </c>
      <c r="D307" s="77">
        <f>+SUM(START:END!D307)</f>
        <v>45827.570261153727</v>
      </c>
      <c r="E307" s="141">
        <f t="shared" si="92"/>
        <v>0.313</v>
      </c>
      <c r="F307" s="89">
        <f>+SUM(START:END!F307)</f>
        <v>14344.029491741116</v>
      </c>
      <c r="G307" s="77">
        <f>+SUM(START:END!G307)</f>
        <v>0</v>
      </c>
      <c r="H307" s="141">
        <f t="shared" si="93"/>
        <v>0</v>
      </c>
      <c r="I307" s="89">
        <f>+SUM(START:END!I307)</f>
        <v>0</v>
      </c>
      <c r="J307" s="28">
        <f>+SUM(START:END!J307)</f>
        <v>44205.17</v>
      </c>
      <c r="K307" s="141">
        <f t="shared" si="94"/>
        <v>0.2532314659122451</v>
      </c>
      <c r="L307" s="31">
        <f>+SUM(START:END!L307)</f>
        <v>11194.14</v>
      </c>
      <c r="M307" s="150">
        <f>(+J307-D307)/D307</f>
        <v>-3.5402275353205344E-2</v>
      </c>
      <c r="N307" s="55">
        <f>L307-F307</f>
        <v>-3149.8894917411162</v>
      </c>
      <c r="O307" s="28">
        <f>+SUM(START:END!O307)</f>
        <v>52705.32</v>
      </c>
      <c r="P307" s="141">
        <f t="shared" si="95"/>
        <v>0.32155539516693954</v>
      </c>
      <c r="Q307" s="31">
        <f>+SUM(START:END!Q307)</f>
        <v>16947.68</v>
      </c>
      <c r="R307" s="150">
        <f t="shared" si="96"/>
        <v>-0.16127688817751229</v>
      </c>
      <c r="S307" s="55">
        <f t="shared" si="97"/>
        <v>-5753.5400000000009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3"/>
        <v>PiècesSous-total Pièces et Acc.</v>
      </c>
      <c r="B308" s="12" t="s">
        <v>103</v>
      </c>
      <c r="C308" s="50" t="s">
        <v>116</v>
      </c>
      <c r="D308" s="177">
        <f>D303+D306+D307</f>
        <v>841490.265487</v>
      </c>
      <c r="E308" s="192">
        <f>IF(D308&lt;=0,0,F308/D308)</f>
        <v>0.28210548990693662</v>
      </c>
      <c r="F308" s="179">
        <f t="shared" ref="F308" si="98">F303+F306+F307</f>
        <v>237389.02359712831</v>
      </c>
      <c r="G308" s="180">
        <f>G303+G306+G307</f>
        <v>0</v>
      </c>
      <c r="H308" s="192">
        <f>IF(G308&lt;=0,0,I308/G308)</f>
        <v>0</v>
      </c>
      <c r="I308" s="179">
        <f t="shared" ref="I308" si="99">I303+I306+I307</f>
        <v>0</v>
      </c>
      <c r="J308" s="180">
        <f>J303+J306+J307</f>
        <v>796892</v>
      </c>
      <c r="K308" s="192">
        <f>IF(J308&lt;=0,0,L308/J308)</f>
        <v>0.27894328215115721</v>
      </c>
      <c r="L308" s="179">
        <f t="shared" ref="L308" si="100">L303+L306+L307</f>
        <v>222287.66999999998</v>
      </c>
      <c r="M308" s="193">
        <f>(+J308-D308)/D308</f>
        <v>-5.2999146058082341E-2</v>
      </c>
      <c r="N308" s="179">
        <f>L308-F308</f>
        <v>-15101.353597128327</v>
      </c>
      <c r="O308" s="180">
        <f>O303+O306+O307</f>
        <v>794526.00999999989</v>
      </c>
      <c r="P308" s="192">
        <f>IF(O308&lt;=0,0,Q308/O308)</f>
        <v>0.29600278284155856</v>
      </c>
      <c r="Q308" s="179">
        <f t="shared" ref="Q308" si="101">Q303+Q306+Q307</f>
        <v>235181.90999999997</v>
      </c>
      <c r="R308" s="193">
        <f t="shared" si="96"/>
        <v>2.9778634937327065E-3</v>
      </c>
      <c r="S308" s="179">
        <f t="shared" si="97"/>
        <v>-12894.239999999991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3"/>
        <v>Pièces</v>
      </c>
      <c r="B309" s="12" t="s">
        <v>103</v>
      </c>
      <c r="C309" s="27"/>
      <c r="D309" s="14"/>
      <c r="E309" s="14"/>
      <c r="F309" s="37"/>
      <c r="G309" s="38"/>
      <c r="H309" s="14"/>
      <c r="I309" s="37"/>
      <c r="J309" s="38"/>
      <c r="K309" s="14"/>
      <c r="L309" s="37"/>
      <c r="M309" s="38"/>
      <c r="N309" s="40">
        <f>N308/F308</f>
        <v>-6.3614371752742691E-2</v>
      </c>
      <c r="O309" s="38"/>
      <c r="P309" s="14"/>
      <c r="Q309" s="37"/>
      <c r="R309" s="38"/>
      <c r="S309" s="40">
        <f>IF(Q308=0,0,S308/Q308)</f>
        <v>-5.4826665877490285E-2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3"/>
        <v>PiècesPièces recond. MCPA</v>
      </c>
      <c r="B310" s="12" t="s">
        <v>103</v>
      </c>
      <c r="C310" s="27" t="s">
        <v>197</v>
      </c>
      <c r="D310" s="77">
        <f>+SUM(START:END!D310)</f>
        <v>0</v>
      </c>
      <c r="E310" s="141">
        <f t="shared" ref="E310" si="102">IF(D310=0,0,F310/D310)</f>
        <v>0</v>
      </c>
      <c r="F310" s="55">
        <f>+SUM(START:END!F310)</f>
        <v>0</v>
      </c>
      <c r="G310" s="56">
        <f>+SUM(START:END!G310)</f>
        <v>0</v>
      </c>
      <c r="H310" s="141">
        <f t="shared" ref="H310" si="103">IF(G310=0,0,I310/G310)</f>
        <v>0</v>
      </c>
      <c r="I310" s="55">
        <f>+SUM(START:END!I310)</f>
        <v>0</v>
      </c>
      <c r="J310" s="29">
        <f>+SUM(START:END!J310)</f>
        <v>0</v>
      </c>
      <c r="K310" s="141">
        <f t="shared" ref="K310" si="104">IF(J310=0,0,L310/J310)</f>
        <v>0</v>
      </c>
      <c r="L310" s="31">
        <f>+SUM(START:END!L310)</f>
        <v>0</v>
      </c>
      <c r="M310" s="38"/>
      <c r="N310" s="40"/>
      <c r="O310" s="29">
        <f>+SUM(START:END!O310)</f>
        <v>0</v>
      </c>
      <c r="P310" s="141">
        <f t="shared" ref="P310" si="105">IF(O310=0,0,Q310/O310)</f>
        <v>0</v>
      </c>
      <c r="Q310" s="31">
        <f>+SUM(START:END!Q310)</f>
        <v>0</v>
      </c>
      <c r="R310" s="38"/>
      <c r="S310" s="40"/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3"/>
        <v>PiècesAutostock</v>
      </c>
      <c r="B311" s="12" t="s">
        <v>103</v>
      </c>
      <c r="C311" s="82" t="s">
        <v>117</v>
      </c>
      <c r="D311" s="86">
        <f>+SUM(START:END!D311)</f>
        <v>0</v>
      </c>
      <c r="E311" s="196">
        <f t="shared" ref="E311" si="106">IF(D311=0,0,F311/D311)</f>
        <v>0</v>
      </c>
      <c r="F311" s="139">
        <f>+SUM(START:END!F311)</f>
        <v>0</v>
      </c>
      <c r="G311" s="161">
        <f>+SUM(START:END!G311)</f>
        <v>0</v>
      </c>
      <c r="H311" s="196">
        <f t="shared" ref="H311" si="107">IF(G311=0,0,I311/G311)</f>
        <v>0</v>
      </c>
      <c r="I311" s="139">
        <f>+SUM(START:END!I311)</f>
        <v>0</v>
      </c>
      <c r="J311" s="43">
        <f>+SUM(START:END!J311)</f>
        <v>0</v>
      </c>
      <c r="K311" s="197">
        <f t="shared" ref="K311" si="108">IF(J311=0,0,L311/J311)</f>
        <v>0</v>
      </c>
      <c r="L311" s="22">
        <f>+SUM(START:END!L311)</f>
        <v>0</v>
      </c>
      <c r="M311" s="197">
        <f>IF(F311=0,0,(+L311-F311)/F311)</f>
        <v>0</v>
      </c>
      <c r="N311" s="88">
        <f>L311-F311</f>
        <v>0</v>
      </c>
      <c r="O311" s="43">
        <f>+SUM(START:END!O311)</f>
        <v>0</v>
      </c>
      <c r="P311" s="197">
        <f t="shared" ref="P311" si="109">IF(O311=0,0,Q311/O311)</f>
        <v>0</v>
      </c>
      <c r="Q311" s="22">
        <f>+SUM(START:END!Q311)</f>
        <v>0</v>
      </c>
      <c r="R311" s="197">
        <f>IF(S311=0,0,(+O311-K311)/K311)</f>
        <v>0</v>
      </c>
      <c r="S311" s="88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3"/>
        <v>Pièces</v>
      </c>
      <c r="B312" s="12" t="s">
        <v>103</v>
      </c>
      <c r="C312" s="27"/>
      <c r="D312" s="77"/>
      <c r="E312" s="141"/>
      <c r="F312" s="55"/>
      <c r="G312" s="56"/>
      <c r="H312" s="141"/>
      <c r="I312" s="55"/>
      <c r="J312" s="56"/>
      <c r="K312" s="141"/>
      <c r="L312" s="55"/>
      <c r="M312" s="150"/>
      <c r="N312" s="55"/>
      <c r="O312" s="56"/>
      <c r="P312" s="141"/>
      <c r="Q312" s="55"/>
      <c r="R312" s="150"/>
      <c r="S312" s="55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3"/>
        <v>PiècesTotal Dépt. Pièces</v>
      </c>
      <c r="B313" s="12" t="s">
        <v>103</v>
      </c>
      <c r="C313" s="58" t="s">
        <v>118</v>
      </c>
      <c r="D313" s="59">
        <f>D308+D311+D310</f>
        <v>841490.265487</v>
      </c>
      <c r="E313" s="198">
        <f>IF(D313&lt;=0,0,F313/D313)</f>
        <v>0.28210548990693662</v>
      </c>
      <c r="F313" s="61">
        <f>F308+F311+F310</f>
        <v>237389.02359712831</v>
      </c>
      <c r="G313" s="62">
        <f>G308+G311+G310</f>
        <v>0</v>
      </c>
      <c r="H313" s="198">
        <f>IF(G313&lt;=0,0,I313/G313)</f>
        <v>0</v>
      </c>
      <c r="I313" s="61">
        <f>I308+I311+I310</f>
        <v>0</v>
      </c>
      <c r="J313" s="62">
        <f>J308+J311+J310</f>
        <v>796892</v>
      </c>
      <c r="K313" s="198">
        <f>IF(J313&lt;=0,0,L313/J313)</f>
        <v>0.27894328215115721</v>
      </c>
      <c r="L313" s="61">
        <f>L308+L311+L310</f>
        <v>222287.66999999998</v>
      </c>
      <c r="M313" s="199">
        <f>(+J313-D313)/D313</f>
        <v>-5.2999146058082341E-2</v>
      </c>
      <c r="N313" s="200">
        <f>L313-F313</f>
        <v>-15101.353597128327</v>
      </c>
      <c r="O313" s="62">
        <f>O308+O311+O310</f>
        <v>794526.00999999989</v>
      </c>
      <c r="P313" s="198">
        <f>IF(O313&lt;=0,0,Q313/O313)</f>
        <v>0.29600278284155856</v>
      </c>
      <c r="Q313" s="61">
        <f>Q308+Q311+Q310</f>
        <v>235181.90999999997</v>
      </c>
      <c r="R313" s="199">
        <f>IF(O313=0,0,(J313-O313)/O313)</f>
        <v>2.9778634937327065E-3</v>
      </c>
      <c r="S313" s="200">
        <f>L313-Q313</f>
        <v>-12894.239999999991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3"/>
        <v>Pièces</v>
      </c>
      <c r="B314" s="12" t="s">
        <v>103</v>
      </c>
      <c r="C314" s="202"/>
      <c r="D314" s="203"/>
      <c r="E314" s="204"/>
      <c r="F314" s="205"/>
      <c r="G314" s="206"/>
      <c r="H314" s="204"/>
      <c r="I314" s="205"/>
      <c r="J314" s="206"/>
      <c r="K314" s="204"/>
      <c r="L314" s="205"/>
      <c r="M314" s="207"/>
      <c r="N314" s="69">
        <f>N313/F313</f>
        <v>-6.3614371752742691E-2</v>
      </c>
      <c r="O314" s="206"/>
      <c r="P314" s="204"/>
      <c r="Q314" s="205"/>
      <c r="R314" s="207"/>
      <c r="S314" s="69">
        <f>IF(Q313=0,0,S313/Q313)</f>
        <v>-5.4826665877490285E-2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3"/>
        <v>Pièces</v>
      </c>
      <c r="B315" s="12" t="s">
        <v>103</v>
      </c>
      <c r="C315" s="50"/>
      <c r="D315" s="109"/>
      <c r="E315" s="163"/>
      <c r="F315" s="165"/>
      <c r="G315" s="164"/>
      <c r="H315" s="163"/>
      <c r="I315" s="165"/>
      <c r="J315" s="164"/>
      <c r="K315" s="163"/>
      <c r="L315" s="165"/>
      <c r="M315" s="38"/>
      <c r="N315" s="40"/>
      <c r="O315" s="164"/>
      <c r="P315" s="163"/>
      <c r="Q315" s="165"/>
      <c r="R315" s="38"/>
      <c r="S315" s="40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3"/>
        <v>PiècesDEPENSES</v>
      </c>
      <c r="B316" s="12" t="s">
        <v>103</v>
      </c>
      <c r="C316" s="74" t="s">
        <v>30</v>
      </c>
      <c r="D316" s="14"/>
      <c r="E316" s="14"/>
      <c r="F316" s="55"/>
      <c r="G316" s="38"/>
      <c r="H316" s="14"/>
      <c r="I316" s="55"/>
      <c r="J316" s="38"/>
      <c r="K316" s="14"/>
      <c r="L316" s="37"/>
      <c r="M316" s="38"/>
      <c r="N316" s="37"/>
      <c r="O316" s="38"/>
      <c r="P316" s="14"/>
      <c r="Q316" s="37"/>
      <c r="R316" s="38"/>
      <c r="S316" s="37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3"/>
        <v>PiècesSalaires cadres</v>
      </c>
      <c r="B317" s="12" t="s">
        <v>103</v>
      </c>
      <c r="C317" s="99" t="s">
        <v>41</v>
      </c>
      <c r="D317" s="14"/>
      <c r="E317" s="14"/>
      <c r="F317" s="28">
        <f>+SUM(START:END!F317)</f>
        <v>5212.8704980842913</v>
      </c>
      <c r="G317" s="38"/>
      <c r="H317" s="14"/>
      <c r="I317" s="28">
        <f>+SUM(START:END!I317)</f>
        <v>0</v>
      </c>
      <c r="J317" s="38"/>
      <c r="K317" s="14"/>
      <c r="L317" s="31">
        <f>+SUM(START:END!L317)</f>
        <v>14841.41</v>
      </c>
      <c r="M317" s="38"/>
      <c r="N317" s="55">
        <f t="shared" ref="N317:N347" si="110">L317-F317</f>
        <v>9628.5395019157077</v>
      </c>
      <c r="O317" s="38"/>
      <c r="P317" s="14"/>
      <c r="Q317" s="31">
        <f>+SUM(START:END!Q317)</f>
        <v>9108.67</v>
      </c>
      <c r="R317" s="38"/>
      <c r="S317" s="31">
        <f t="shared" ref="S317:S347" si="111">L317-Q317</f>
        <v>5732.74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3"/>
        <v>PiècesSalaires commis</v>
      </c>
      <c r="B318" s="12" t="s">
        <v>103</v>
      </c>
      <c r="C318" s="100" t="s">
        <v>42</v>
      </c>
      <c r="D318" s="76"/>
      <c r="E318" s="14"/>
      <c r="F318" s="22">
        <f>+SUM(START:END!F318)</f>
        <v>57871.928275862076</v>
      </c>
      <c r="G318" s="78"/>
      <c r="H318" s="14"/>
      <c r="I318" s="22">
        <f>+SUM(START:END!I318)</f>
        <v>0</v>
      </c>
      <c r="J318" s="38"/>
      <c r="K318" s="14"/>
      <c r="L318" s="31">
        <f>+SUM(START:END!L318)</f>
        <v>46165.599999999999</v>
      </c>
      <c r="M318" s="38"/>
      <c r="N318" s="55">
        <f t="shared" si="110"/>
        <v>-11706.328275862077</v>
      </c>
      <c r="O318" s="38"/>
      <c r="P318" s="14"/>
      <c r="Q318" s="31">
        <f>+SUM(START:END!Q318)</f>
        <v>6498.62</v>
      </c>
      <c r="R318" s="38"/>
      <c r="S318" s="55">
        <f t="shared" si="111"/>
        <v>39666.979999999996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3"/>
        <v>PiècesSalaires autres</v>
      </c>
      <c r="B319" s="12" t="s">
        <v>103</v>
      </c>
      <c r="C319" s="99" t="s">
        <v>43</v>
      </c>
      <c r="D319" s="101"/>
      <c r="E319" s="102"/>
      <c r="F319" s="28">
        <f>+SUM(START:END!F319)</f>
        <v>4592.1839080459758</v>
      </c>
      <c r="G319" s="103"/>
      <c r="H319" s="102"/>
      <c r="I319" s="28">
        <f>+SUM(START:END!I319)</f>
        <v>0</v>
      </c>
      <c r="J319" s="104"/>
      <c r="K319" s="102"/>
      <c r="L319" s="105">
        <f>+SUM(START:END!L319)</f>
        <v>1770.15</v>
      </c>
      <c r="M319" s="104"/>
      <c r="N319" s="106">
        <f t="shared" si="110"/>
        <v>-2822.0339080459757</v>
      </c>
      <c r="O319" s="104"/>
      <c r="P319" s="102"/>
      <c r="Q319" s="105">
        <f>+SUM(START:END!Q319)</f>
        <v>52814.17</v>
      </c>
      <c r="R319" s="104"/>
      <c r="S319" s="106">
        <f t="shared" si="111"/>
        <v>-51044.02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3"/>
        <v>PiècesSalaires spécialistes</v>
      </c>
      <c r="B320" s="12" t="s">
        <v>103</v>
      </c>
      <c r="C320" s="99" t="s">
        <v>44</v>
      </c>
      <c r="D320" s="76"/>
      <c r="E320" s="14"/>
      <c r="F320" s="28">
        <f>+SUM(START:END!F320)</f>
        <v>0</v>
      </c>
      <c r="G320" s="78"/>
      <c r="H320" s="14"/>
      <c r="I320" s="28">
        <f>+SUM(START:END!I320)</f>
        <v>0</v>
      </c>
      <c r="J320" s="38"/>
      <c r="K320" s="14"/>
      <c r="L320" s="31">
        <f>+SUM(START:END!L320)</f>
        <v>0</v>
      </c>
      <c r="M320" s="38"/>
      <c r="N320" s="55">
        <f t="shared" si="110"/>
        <v>0</v>
      </c>
      <c r="O320" s="38"/>
      <c r="P320" s="14"/>
      <c r="Q320" s="31">
        <f>+SUM(START:END!Q320)</f>
        <v>0</v>
      </c>
      <c r="R320" s="38"/>
      <c r="S320" s="55">
        <f t="shared" si="111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3"/>
        <v>Pièces[...]</v>
      </c>
      <c r="B321" s="12" t="s">
        <v>103</v>
      </c>
      <c r="C321" s="208" t="s">
        <v>20</v>
      </c>
      <c r="D321" s="76"/>
      <c r="E321" s="14"/>
      <c r="F321" s="28">
        <f>+SUM(START:END!F321)</f>
        <v>0</v>
      </c>
      <c r="G321" s="78"/>
      <c r="H321" s="14"/>
      <c r="I321" s="28">
        <f>+SUM(START:END!I321)</f>
        <v>0</v>
      </c>
      <c r="J321" s="38"/>
      <c r="K321" s="14"/>
      <c r="L321" s="31">
        <f>+SUM(START:END!L321)</f>
        <v>0</v>
      </c>
      <c r="M321" s="38"/>
      <c r="N321" s="55">
        <f t="shared" si="110"/>
        <v>0</v>
      </c>
      <c r="O321" s="38"/>
      <c r="P321" s="14"/>
      <c r="Q321" s="31">
        <f>+SUM(START:END!Q321)</f>
        <v>0</v>
      </c>
      <c r="R321" s="38"/>
      <c r="S321" s="55">
        <f t="shared" si="111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3"/>
        <v>Pièces[...]</v>
      </c>
      <c r="B322" s="12" t="s">
        <v>103</v>
      </c>
      <c r="C322" s="208" t="s">
        <v>20</v>
      </c>
      <c r="D322" s="76"/>
      <c r="E322" s="14"/>
      <c r="F322" s="28">
        <f>+SUM(START:END!F322)</f>
        <v>0</v>
      </c>
      <c r="G322" s="78"/>
      <c r="H322" s="14"/>
      <c r="I322" s="28">
        <f>+SUM(START:END!I322)</f>
        <v>0</v>
      </c>
      <c r="J322" s="38"/>
      <c r="K322" s="14"/>
      <c r="L322" s="31">
        <f>+SUM(START:END!L322)</f>
        <v>0</v>
      </c>
      <c r="M322" s="38"/>
      <c r="N322" s="55">
        <f t="shared" si="110"/>
        <v>0</v>
      </c>
      <c r="O322" s="38"/>
      <c r="P322" s="14"/>
      <c r="Q322" s="31">
        <f>+SUM(START:END!Q322)</f>
        <v>0</v>
      </c>
      <c r="R322" s="38"/>
      <c r="S322" s="55">
        <f t="shared" si="111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3"/>
        <v>Pièces[...]</v>
      </c>
      <c r="B323" s="12" t="s">
        <v>103</v>
      </c>
      <c r="C323" s="208" t="s">
        <v>20</v>
      </c>
      <c r="D323" s="76"/>
      <c r="E323" s="14"/>
      <c r="F323" s="28">
        <f>+SUM(START:END!F323)</f>
        <v>0</v>
      </c>
      <c r="G323" s="78"/>
      <c r="H323" s="14"/>
      <c r="I323" s="28">
        <f>+SUM(START:END!I323)</f>
        <v>0</v>
      </c>
      <c r="J323" s="38"/>
      <c r="K323" s="14"/>
      <c r="L323" s="31">
        <f>+SUM(START:END!L323)</f>
        <v>0</v>
      </c>
      <c r="M323" s="38"/>
      <c r="N323" s="55">
        <f t="shared" si="110"/>
        <v>0</v>
      </c>
      <c r="O323" s="38"/>
      <c r="P323" s="14"/>
      <c r="Q323" s="31">
        <f>+SUM(START:END!Q323)</f>
        <v>0</v>
      </c>
      <c r="R323" s="38"/>
      <c r="S323" s="55">
        <f t="shared" si="111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3"/>
        <v>PiècesSalaires en absences</v>
      </c>
      <c r="B324" s="12" t="s">
        <v>103</v>
      </c>
      <c r="C324" s="100" t="s">
        <v>45</v>
      </c>
      <c r="D324" s="76"/>
      <c r="E324" s="14"/>
      <c r="F324" s="22">
        <f>+SUM(START:END!F324)</f>
        <v>8347.7904513076846</v>
      </c>
      <c r="G324" s="78"/>
      <c r="H324" s="14"/>
      <c r="I324" s="22">
        <f>+SUM(START:END!I324)</f>
        <v>0</v>
      </c>
      <c r="J324" s="38"/>
      <c r="K324" s="14"/>
      <c r="L324" s="31">
        <f>+SUM(START:END!L324)</f>
        <v>6692.85</v>
      </c>
      <c r="M324" s="38"/>
      <c r="N324" s="55">
        <f t="shared" si="110"/>
        <v>-1654.9404513076843</v>
      </c>
      <c r="O324" s="38"/>
      <c r="P324" s="14"/>
      <c r="Q324" s="31">
        <f>+SUM(START:END!Q324)</f>
        <v>8593.48</v>
      </c>
      <c r="R324" s="38"/>
      <c r="S324" s="55">
        <f t="shared" si="111"/>
        <v>-1900.6299999999992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3"/>
        <v>PiècesDéduction à la source</v>
      </c>
      <c r="B325" s="12" t="s">
        <v>103</v>
      </c>
      <c r="C325" s="99" t="s">
        <v>46</v>
      </c>
      <c r="D325" s="101"/>
      <c r="E325" s="102"/>
      <c r="F325" s="28">
        <f>+SUM(START:END!F325)</f>
        <v>8298.5256094585875</v>
      </c>
      <c r="G325" s="103"/>
      <c r="H325" s="102"/>
      <c r="I325" s="28">
        <f>+SUM(START:END!I325)</f>
        <v>0</v>
      </c>
      <c r="J325" s="104"/>
      <c r="K325" s="102"/>
      <c r="L325" s="105">
        <f>+SUM(START:END!L325)</f>
        <v>14546.92</v>
      </c>
      <c r="M325" s="104"/>
      <c r="N325" s="106">
        <f t="shared" si="110"/>
        <v>6248.3943905414126</v>
      </c>
      <c r="O325" s="104"/>
      <c r="P325" s="102"/>
      <c r="Q325" s="105">
        <f>+SUM(START:END!Q325)</f>
        <v>12795.89</v>
      </c>
      <c r="R325" s="104"/>
      <c r="S325" s="106">
        <f t="shared" si="111"/>
        <v>1751.0300000000007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3"/>
        <v>PiècesBénéfices marginaux</v>
      </c>
      <c r="B326" s="12" t="s">
        <v>103</v>
      </c>
      <c r="C326" s="99" t="s">
        <v>47</v>
      </c>
      <c r="D326" s="76"/>
      <c r="E326" s="14"/>
      <c r="F326" s="28">
        <f>+SUM(START:END!F326)</f>
        <v>5811.1092277803455</v>
      </c>
      <c r="G326" s="78"/>
      <c r="H326" s="14"/>
      <c r="I326" s="28">
        <f>+SUM(START:END!I326)</f>
        <v>0</v>
      </c>
      <c r="J326" s="38"/>
      <c r="K326" s="14"/>
      <c r="L326" s="31">
        <f>+SUM(START:END!L326)</f>
        <v>2074.0100000000002</v>
      </c>
      <c r="M326" s="38"/>
      <c r="N326" s="55">
        <f t="shared" si="110"/>
        <v>-3737.0992277803452</v>
      </c>
      <c r="O326" s="38"/>
      <c r="P326" s="14"/>
      <c r="Q326" s="31">
        <f>+SUM(START:END!Q326)</f>
        <v>12685.33</v>
      </c>
      <c r="R326" s="38"/>
      <c r="S326" s="55">
        <f t="shared" si="111"/>
        <v>-10611.32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3"/>
        <v>PiècesCsst</v>
      </c>
      <c r="B327" s="12" t="s">
        <v>103</v>
      </c>
      <c r="C327" s="99" t="s">
        <v>48</v>
      </c>
      <c r="D327" s="76"/>
      <c r="E327" s="14"/>
      <c r="F327" s="28">
        <f>+SUM(START:END!F327)</f>
        <v>2776.1343747830238</v>
      </c>
      <c r="G327" s="78"/>
      <c r="H327" s="14"/>
      <c r="I327" s="28">
        <f>+SUM(START:END!I327)</f>
        <v>0</v>
      </c>
      <c r="J327" s="38"/>
      <c r="K327" s="14"/>
      <c r="L327" s="31">
        <f>+SUM(START:END!L327)</f>
        <v>2734.92</v>
      </c>
      <c r="M327" s="38"/>
      <c r="N327" s="55">
        <f t="shared" si="110"/>
        <v>-41.214374783023686</v>
      </c>
      <c r="O327" s="38"/>
      <c r="P327" s="14"/>
      <c r="Q327" s="31">
        <f>+SUM(START:END!Q327)</f>
        <v>3799.05</v>
      </c>
      <c r="R327" s="38"/>
      <c r="S327" s="55">
        <f t="shared" si="111"/>
        <v>-1064.1300000000001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3"/>
        <v>Pièces[...]</v>
      </c>
      <c r="B328" s="12" t="s">
        <v>103</v>
      </c>
      <c r="C328" s="27" t="s">
        <v>20</v>
      </c>
      <c r="D328" s="83"/>
      <c r="E328" s="108"/>
      <c r="F328" s="28">
        <f>+SUM(START:END!F328)</f>
        <v>0</v>
      </c>
      <c r="G328" s="85"/>
      <c r="H328" s="108"/>
      <c r="I328" s="28">
        <f>+SUM(START:END!I328)</f>
        <v>0</v>
      </c>
      <c r="J328" s="23"/>
      <c r="K328" s="108"/>
      <c r="L328" s="31">
        <f>+SUM(START:END!L328)</f>
        <v>0</v>
      </c>
      <c r="M328" s="23"/>
      <c r="N328" s="88">
        <f t="shared" si="110"/>
        <v>0</v>
      </c>
      <c r="O328" s="23"/>
      <c r="P328" s="108"/>
      <c r="Q328" s="31">
        <f>+SUM(START:END!Q328)</f>
        <v>0</v>
      </c>
      <c r="R328" s="23"/>
      <c r="S328" s="88">
        <f t="shared" si="111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3"/>
        <v>PiècesTOTAL PERSONNEL</v>
      </c>
      <c r="B329" s="12" t="s">
        <v>103</v>
      </c>
      <c r="C329" s="90" t="s">
        <v>49</v>
      </c>
      <c r="D329" s="91" t="s">
        <v>39</v>
      </c>
      <c r="E329" s="92">
        <f>F329/F$313</f>
        <v>0.39138516573959203</v>
      </c>
      <c r="F329" s="93">
        <f>+SUM(F317:F328)</f>
        <v>92910.542345321985</v>
      </c>
      <c r="G329" s="94" t="s">
        <v>39</v>
      </c>
      <c r="H329" s="92" t="e">
        <f>I329/I$313</f>
        <v>#DIV/0!</v>
      </c>
      <c r="I329" s="93">
        <f>+SUM(I317:I328)</f>
        <v>0</v>
      </c>
      <c r="J329" s="94" t="s">
        <v>39</v>
      </c>
      <c r="K329" s="92">
        <f>L329/L$313</f>
        <v>0.39959868219411354</v>
      </c>
      <c r="L329" s="93">
        <f>+SUM(L317:L328)</f>
        <v>88825.859999999986</v>
      </c>
      <c r="M329" s="140"/>
      <c r="N329" s="110">
        <f t="shared" si="110"/>
        <v>-4084.6823453219986</v>
      </c>
      <c r="O329" s="94" t="s">
        <v>39</v>
      </c>
      <c r="P329" s="92">
        <f>Q329/Q$313</f>
        <v>0.45197017916896753</v>
      </c>
      <c r="Q329" s="93">
        <f>+SUM(Q317:Q328)</f>
        <v>106295.20999999999</v>
      </c>
      <c r="R329" s="140"/>
      <c r="S329" s="110">
        <f t="shared" si="111"/>
        <v>-17469.350000000006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3"/>
        <v>PiècesPublicité 2</v>
      </c>
      <c r="B330" s="12" t="s">
        <v>103</v>
      </c>
      <c r="C330" s="190" t="s">
        <v>50</v>
      </c>
      <c r="D330" s="76"/>
      <c r="E330" s="14"/>
      <c r="F330" s="28">
        <f>+SUM(START:END!F330)</f>
        <v>9078.0238791666652</v>
      </c>
      <c r="G330" s="78"/>
      <c r="H330" s="14"/>
      <c r="I330" s="28">
        <f>+SUM(START:END!I330)</f>
        <v>0</v>
      </c>
      <c r="J330" s="38"/>
      <c r="K330" s="14"/>
      <c r="L330" s="31">
        <f>+SUM(START:END!L330)</f>
        <v>10184.07</v>
      </c>
      <c r="M330" s="38"/>
      <c r="N330" s="55">
        <f t="shared" si="110"/>
        <v>1106.0461208333345</v>
      </c>
      <c r="O330" s="38"/>
      <c r="P330" s="14"/>
      <c r="Q330" s="31">
        <f>+SUM(START:END!Q330)</f>
        <v>4005.83</v>
      </c>
      <c r="R330" s="38"/>
      <c r="S330" s="55">
        <f t="shared" si="111"/>
        <v>6178.24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3"/>
        <v>PiècesService gratuit 2</v>
      </c>
      <c r="B331" s="12" t="s">
        <v>103</v>
      </c>
      <c r="C331" s="99" t="s">
        <v>51</v>
      </c>
      <c r="D331" s="76"/>
      <c r="E331" s="14"/>
      <c r="F331" s="28">
        <f>+SUM(START:END!F331)</f>
        <v>1979.6763717642386</v>
      </c>
      <c r="G331" s="78"/>
      <c r="H331" s="14"/>
      <c r="I331" s="28">
        <f>+SUM(START:END!I331)</f>
        <v>0</v>
      </c>
      <c r="J331" s="38"/>
      <c r="K331" s="14"/>
      <c r="L331" s="31">
        <f>+SUM(START:END!L331)</f>
        <v>3392.58</v>
      </c>
      <c r="M331" s="38"/>
      <c r="N331" s="55">
        <f t="shared" si="110"/>
        <v>1412.9036282357613</v>
      </c>
      <c r="O331" s="38"/>
      <c r="P331" s="14"/>
      <c r="Q331" s="31">
        <f>+SUM(START:END!Q331)</f>
        <v>1642.5700000000002</v>
      </c>
      <c r="R331" s="38"/>
      <c r="S331" s="55">
        <f t="shared" si="111"/>
        <v>1750.0099999999998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3"/>
        <v>PiècesFrais véhicules de cie</v>
      </c>
      <c r="B332" s="12" t="s">
        <v>103</v>
      </c>
      <c r="C332" s="100" t="s">
        <v>52</v>
      </c>
      <c r="D332" s="83"/>
      <c r="E332" s="108"/>
      <c r="F332" s="22">
        <f>+SUM(START:END!F332)</f>
        <v>951.66666666666663</v>
      </c>
      <c r="G332" s="85"/>
      <c r="H332" s="108"/>
      <c r="I332" s="22">
        <f>+SUM(START:END!I332)</f>
        <v>0</v>
      </c>
      <c r="J332" s="23"/>
      <c r="K332" s="108"/>
      <c r="L332" s="31">
        <f>+SUM(START:END!L332)</f>
        <v>1990.29</v>
      </c>
      <c r="M332" s="23"/>
      <c r="N332" s="88">
        <f t="shared" si="110"/>
        <v>1038.6233333333334</v>
      </c>
      <c r="O332" s="23"/>
      <c r="P332" s="108"/>
      <c r="Q332" s="31">
        <f>+SUM(START:END!Q332)</f>
        <v>1003.8</v>
      </c>
      <c r="R332" s="23"/>
      <c r="S332" s="88">
        <f t="shared" si="111"/>
        <v>986.49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3"/>
        <v>PiècesInformatique</v>
      </c>
      <c r="B333" s="12" t="s">
        <v>103</v>
      </c>
      <c r="C333" s="99" t="s">
        <v>53</v>
      </c>
      <c r="D333" s="76"/>
      <c r="E333" s="14"/>
      <c r="F333" s="28">
        <f>+SUM(START:END!F333)</f>
        <v>7023.3142166666676</v>
      </c>
      <c r="G333" s="78"/>
      <c r="H333" s="14"/>
      <c r="I333" s="28">
        <f>+SUM(START:END!I333)</f>
        <v>0</v>
      </c>
      <c r="J333" s="38"/>
      <c r="K333" s="14"/>
      <c r="L333" s="105">
        <f>+SUM(START:END!L333)</f>
        <v>7818.41</v>
      </c>
      <c r="M333" s="38"/>
      <c r="N333" s="55">
        <f t="shared" si="110"/>
        <v>795.09578333333229</v>
      </c>
      <c r="O333" s="38"/>
      <c r="P333" s="14"/>
      <c r="Q333" s="105">
        <f>+SUM(START:END!Q333)</f>
        <v>7823.93</v>
      </c>
      <c r="R333" s="38"/>
      <c r="S333" s="55">
        <f t="shared" si="111"/>
        <v>-5.5200000000004366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3"/>
        <v>PiècesFrais de déplacement</v>
      </c>
      <c r="B334" s="12" t="s">
        <v>103</v>
      </c>
      <c r="C334" s="99" t="s">
        <v>54</v>
      </c>
      <c r="D334" s="76"/>
      <c r="E334" s="14"/>
      <c r="F334" s="28">
        <f>+SUM(START:END!F334)</f>
        <v>1562.6375697916665</v>
      </c>
      <c r="G334" s="78"/>
      <c r="H334" s="14"/>
      <c r="I334" s="28">
        <f>+SUM(START:END!I334)</f>
        <v>0</v>
      </c>
      <c r="J334" s="38"/>
      <c r="K334" s="14"/>
      <c r="L334" s="31">
        <f>+SUM(START:END!L334)</f>
        <v>1131.92</v>
      </c>
      <c r="M334" s="38"/>
      <c r="N334" s="55">
        <f t="shared" si="110"/>
        <v>-430.71756979166639</v>
      </c>
      <c r="O334" s="38"/>
      <c r="P334" s="14"/>
      <c r="Q334" s="31">
        <f>+SUM(START:END!Q334)</f>
        <v>2149.5</v>
      </c>
      <c r="R334" s="38"/>
      <c r="S334" s="55">
        <f t="shared" si="111"/>
        <v>-1017.5799999999999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3"/>
        <v>PiècesServices extérieurs</v>
      </c>
      <c r="B335" s="12" t="s">
        <v>103</v>
      </c>
      <c r="C335" s="209" t="s">
        <v>55</v>
      </c>
      <c r="D335" s="83"/>
      <c r="E335" s="108"/>
      <c r="F335" s="22">
        <f>+SUM(START:END!F335)</f>
        <v>16459.551077777774</v>
      </c>
      <c r="G335" s="85"/>
      <c r="H335" s="108"/>
      <c r="I335" s="22">
        <f>+SUM(START:END!I335)</f>
        <v>0</v>
      </c>
      <c r="J335" s="23"/>
      <c r="K335" s="108"/>
      <c r="L335" s="45">
        <f>+SUM(START:END!L335)</f>
        <v>35296.46</v>
      </c>
      <c r="M335" s="23"/>
      <c r="N335" s="88">
        <f t="shared" si="110"/>
        <v>18836.908922222225</v>
      </c>
      <c r="O335" s="23"/>
      <c r="P335" s="108"/>
      <c r="Q335" s="45">
        <f>+SUM(START:END!Q335)</f>
        <v>20230.29</v>
      </c>
      <c r="R335" s="23"/>
      <c r="S335" s="88">
        <f t="shared" si="111"/>
        <v>15066.169999999998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3"/>
        <v>PiècesFournitures d'atelier</v>
      </c>
      <c r="B336" s="12" t="s">
        <v>103</v>
      </c>
      <c r="C336" s="99" t="s">
        <v>98</v>
      </c>
      <c r="D336" s="76"/>
      <c r="E336" s="14"/>
      <c r="F336" s="28">
        <f>+SUM(START:END!F336)</f>
        <v>0</v>
      </c>
      <c r="G336" s="78"/>
      <c r="H336" s="14"/>
      <c r="I336" s="28">
        <f>+SUM(START:END!I336)</f>
        <v>0</v>
      </c>
      <c r="J336" s="38"/>
      <c r="K336" s="14"/>
      <c r="L336" s="31">
        <f>+SUM(START:END!L336)</f>
        <v>0</v>
      </c>
      <c r="M336" s="38"/>
      <c r="N336" s="55">
        <f t="shared" si="110"/>
        <v>0</v>
      </c>
      <c r="O336" s="38"/>
      <c r="P336" s="14"/>
      <c r="Q336" s="31">
        <f>+SUM(START:END!Q336)</f>
        <v>0</v>
      </c>
      <c r="R336" s="38"/>
      <c r="S336" s="55">
        <f t="shared" si="111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3"/>
        <v>PiècesFournitures autres</v>
      </c>
      <c r="B337" s="12" t="s">
        <v>103</v>
      </c>
      <c r="C337" s="99" t="s">
        <v>56</v>
      </c>
      <c r="D337" s="76"/>
      <c r="E337" s="14"/>
      <c r="F337" s="28">
        <f>+SUM(START:END!F337)</f>
        <v>236.92667575583633</v>
      </c>
      <c r="G337" s="78"/>
      <c r="H337" s="14"/>
      <c r="I337" s="28">
        <f>+SUM(START:END!I337)</f>
        <v>0</v>
      </c>
      <c r="J337" s="38"/>
      <c r="K337" s="14"/>
      <c r="L337" s="31">
        <f>+SUM(START:END!L337)</f>
        <v>428.39</v>
      </c>
      <c r="M337" s="38"/>
      <c r="N337" s="55">
        <f t="shared" si="110"/>
        <v>191.46332424416366</v>
      </c>
      <c r="O337" s="38"/>
      <c r="P337" s="14"/>
      <c r="Q337" s="31">
        <f>+SUM(START:END!Q337)</f>
        <v>0</v>
      </c>
      <c r="R337" s="38"/>
      <c r="S337" s="55">
        <f t="shared" si="111"/>
        <v>428.39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3"/>
        <v>PiècesUniformes</v>
      </c>
      <c r="B338" s="12" t="s">
        <v>103</v>
      </c>
      <c r="C338" s="99" t="s">
        <v>57</v>
      </c>
      <c r="D338" s="76"/>
      <c r="E338" s="14"/>
      <c r="F338" s="28">
        <f>+SUM(START:END!F338)</f>
        <v>122.34623402842013</v>
      </c>
      <c r="G338" s="78"/>
      <c r="H338" s="14"/>
      <c r="I338" s="28">
        <f>+SUM(START:END!I338)</f>
        <v>0</v>
      </c>
      <c r="J338" s="38"/>
      <c r="K338" s="14"/>
      <c r="L338" s="31">
        <f>+SUM(START:END!L338)</f>
        <v>0</v>
      </c>
      <c r="M338" s="38"/>
      <c r="N338" s="55">
        <f t="shared" si="110"/>
        <v>-122.34623402842013</v>
      </c>
      <c r="O338" s="38"/>
      <c r="P338" s="14"/>
      <c r="Q338" s="31">
        <f>+SUM(START:END!Q338)</f>
        <v>0</v>
      </c>
      <c r="R338" s="38"/>
      <c r="S338" s="55">
        <f t="shared" si="111"/>
        <v>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3"/>
        <v>PiècesPapeterie</v>
      </c>
      <c r="B339" s="12" t="s">
        <v>103</v>
      </c>
      <c r="C339" s="99" t="s">
        <v>58</v>
      </c>
      <c r="D339" s="76"/>
      <c r="E339" s="14"/>
      <c r="F339" s="28">
        <f>+SUM(START:END!F339)</f>
        <v>1192.8922424999996</v>
      </c>
      <c r="G339" s="78"/>
      <c r="H339" s="14"/>
      <c r="I339" s="28">
        <f>+SUM(START:END!I339)</f>
        <v>0</v>
      </c>
      <c r="J339" s="38"/>
      <c r="K339" s="14"/>
      <c r="L339" s="30">
        <f>+SUM(START:END!L339)</f>
        <v>1498.25</v>
      </c>
      <c r="M339" s="38"/>
      <c r="N339" s="55">
        <f t="shared" si="110"/>
        <v>305.35775750000039</v>
      </c>
      <c r="O339" s="38"/>
      <c r="P339" s="14"/>
      <c r="Q339" s="30">
        <f>+SUM(START:END!Q339)</f>
        <v>1138.26</v>
      </c>
      <c r="R339" s="38"/>
      <c r="S339" s="55">
        <f t="shared" si="111"/>
        <v>359.99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3"/>
        <v>PiècesTéléphone</v>
      </c>
      <c r="B340" s="12" t="s">
        <v>103</v>
      </c>
      <c r="C340" s="99" t="s">
        <v>59</v>
      </c>
      <c r="D340" s="76"/>
      <c r="E340" s="14"/>
      <c r="F340" s="28">
        <f>+SUM(START:END!F340)</f>
        <v>404.25039086805555</v>
      </c>
      <c r="G340" s="78"/>
      <c r="H340" s="14"/>
      <c r="I340" s="28">
        <f>+SUM(START:END!I340)</f>
        <v>0</v>
      </c>
      <c r="J340" s="38"/>
      <c r="K340" s="14"/>
      <c r="L340" s="31">
        <f>+SUM(START:END!L340)</f>
        <v>150.63</v>
      </c>
      <c r="M340" s="38"/>
      <c r="N340" s="55">
        <f t="shared" si="110"/>
        <v>-253.62039086805555</v>
      </c>
      <c r="O340" s="38"/>
      <c r="P340" s="14"/>
      <c r="Q340" s="31">
        <f>+SUM(START:END!Q340)</f>
        <v>243.35000000000002</v>
      </c>
      <c r="R340" s="38"/>
      <c r="S340" s="55">
        <f t="shared" si="111"/>
        <v>-92.720000000000027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3"/>
        <v>PiècesFrais postaux</v>
      </c>
      <c r="B341" s="12" t="s">
        <v>103</v>
      </c>
      <c r="C341" s="99" t="s">
        <v>60</v>
      </c>
      <c r="D341" s="76"/>
      <c r="E341" s="14"/>
      <c r="F341" s="28">
        <f>+SUM(START:END!F341)</f>
        <v>193.3504591319444</v>
      </c>
      <c r="G341" s="78"/>
      <c r="H341" s="14"/>
      <c r="I341" s="28">
        <f>+SUM(START:END!I341)</f>
        <v>0</v>
      </c>
      <c r="J341" s="38"/>
      <c r="K341" s="14"/>
      <c r="L341" s="31">
        <f>+SUM(START:END!L341)</f>
        <v>1840.3999999999999</v>
      </c>
      <c r="M341" s="38"/>
      <c r="N341" s="55">
        <f t="shared" si="110"/>
        <v>1647.0495408680554</v>
      </c>
      <c r="O341" s="38"/>
      <c r="P341" s="14"/>
      <c r="Q341" s="31">
        <f>+SUM(START:END!Q341)</f>
        <v>178.94</v>
      </c>
      <c r="R341" s="38"/>
      <c r="S341" s="55">
        <f t="shared" si="111"/>
        <v>1661.4599999999998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3"/>
        <v>PiècesDivers</v>
      </c>
      <c r="B342" s="12" t="s">
        <v>103</v>
      </c>
      <c r="C342" s="99" t="s">
        <v>61</v>
      </c>
      <c r="D342" s="76"/>
      <c r="E342" s="14"/>
      <c r="F342" s="28">
        <f>+SUM(START:END!F342)</f>
        <v>734.65994225694442</v>
      </c>
      <c r="G342" s="78"/>
      <c r="H342" s="14"/>
      <c r="I342" s="28">
        <f>+SUM(START:END!I342)</f>
        <v>0</v>
      </c>
      <c r="J342" s="38"/>
      <c r="K342" s="14"/>
      <c r="L342" s="31">
        <f>+SUM(START:END!L342)</f>
        <v>147.47999999999999</v>
      </c>
      <c r="M342" s="38"/>
      <c r="N342" s="55">
        <f t="shared" si="110"/>
        <v>-587.1799422569444</v>
      </c>
      <c r="O342" s="38"/>
      <c r="P342" s="14"/>
      <c r="Q342" s="31">
        <f>+SUM(START:END!Q342)</f>
        <v>295.7</v>
      </c>
      <c r="R342" s="38"/>
      <c r="S342" s="55">
        <f t="shared" si="111"/>
        <v>-148.22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3"/>
        <v>PiècesFormation</v>
      </c>
      <c r="B343" s="12" t="s">
        <v>103</v>
      </c>
      <c r="C343" s="99" t="s">
        <v>62</v>
      </c>
      <c r="D343" s="76"/>
      <c r="E343" s="14"/>
      <c r="F343" s="28">
        <f>+SUM(START:END!F343)</f>
        <v>1057.504197899646</v>
      </c>
      <c r="G343" s="78"/>
      <c r="H343" s="14"/>
      <c r="I343" s="28">
        <f>+SUM(START:END!I343)</f>
        <v>0</v>
      </c>
      <c r="J343" s="38"/>
      <c r="K343" s="14"/>
      <c r="L343" s="31">
        <f>+SUM(START:END!L343)</f>
        <v>-407.05</v>
      </c>
      <c r="M343" s="38"/>
      <c r="N343" s="55">
        <f t="shared" si="110"/>
        <v>-1464.5541978996459</v>
      </c>
      <c r="O343" s="38"/>
      <c r="P343" s="14"/>
      <c r="Q343" s="31">
        <f>+SUM(START:END!Q343)</f>
        <v>683.45</v>
      </c>
      <c r="R343" s="38"/>
      <c r="S343" s="55">
        <f t="shared" si="111"/>
        <v>-1090.5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3"/>
        <v>PiècesFrais bancaires</v>
      </c>
      <c r="B344" s="12" t="s">
        <v>103</v>
      </c>
      <c r="C344" s="99" t="s">
        <v>63</v>
      </c>
      <c r="D344" s="76"/>
      <c r="E344" s="14"/>
      <c r="F344" s="28">
        <f>+SUM(START:END!F344)</f>
        <v>2015.7308450922301</v>
      </c>
      <c r="G344" s="78"/>
      <c r="H344" s="14"/>
      <c r="I344" s="28">
        <f>+SUM(START:END!I344)</f>
        <v>0</v>
      </c>
      <c r="J344" s="38"/>
      <c r="K344" s="14"/>
      <c r="L344" s="30">
        <f>+SUM(START:END!L344)</f>
        <v>3086.01</v>
      </c>
      <c r="M344" s="38"/>
      <c r="N344" s="55">
        <f t="shared" si="110"/>
        <v>1070.2791549077701</v>
      </c>
      <c r="O344" s="38"/>
      <c r="P344" s="14"/>
      <c r="Q344" s="31">
        <f>+SUM(START:END!Q344)</f>
        <v>3024.974000000002</v>
      </c>
      <c r="R344" s="38"/>
      <c r="S344" s="55">
        <f t="shared" si="111"/>
        <v>61.035999999998239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3"/>
        <v>Pièces[...]</v>
      </c>
      <c r="B345" s="12" t="s">
        <v>103</v>
      </c>
      <c r="C345" s="99" t="s">
        <v>20</v>
      </c>
      <c r="D345" s="76"/>
      <c r="E345" s="14"/>
      <c r="F345" s="28">
        <f>+SUM(START:END!F345)</f>
        <v>0</v>
      </c>
      <c r="G345" s="78"/>
      <c r="H345" s="14"/>
      <c r="I345" s="28">
        <f>+SUM(START:END!I345)</f>
        <v>0</v>
      </c>
      <c r="J345" s="38"/>
      <c r="K345" s="14"/>
      <c r="L345" s="31">
        <f>+SUM(START:END!L345)</f>
        <v>0</v>
      </c>
      <c r="M345" s="38"/>
      <c r="N345" s="55">
        <f t="shared" si="110"/>
        <v>0</v>
      </c>
      <c r="O345" s="38"/>
      <c r="P345" s="14"/>
      <c r="Q345" s="31">
        <f>+SUM(START:END!Q345)</f>
        <v>0</v>
      </c>
      <c r="R345" s="38"/>
      <c r="S345" s="55">
        <f t="shared" si="111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3"/>
        <v>Pièces[...]</v>
      </c>
      <c r="B346" s="12" t="s">
        <v>103</v>
      </c>
      <c r="C346" s="99" t="s">
        <v>20</v>
      </c>
      <c r="D346" s="76"/>
      <c r="E346" s="14"/>
      <c r="F346" s="28">
        <f>+SUM(START:END!F346)</f>
        <v>0</v>
      </c>
      <c r="G346" s="78"/>
      <c r="H346" s="14"/>
      <c r="I346" s="28">
        <f>+SUM(START:END!I346)</f>
        <v>0</v>
      </c>
      <c r="J346" s="38"/>
      <c r="K346" s="14"/>
      <c r="L346" s="31">
        <f>+SUM(START:END!L346)</f>
        <v>0</v>
      </c>
      <c r="M346" s="38"/>
      <c r="N346" s="55">
        <f t="shared" si="110"/>
        <v>0</v>
      </c>
      <c r="O346" s="38"/>
      <c r="P346" s="14"/>
      <c r="Q346" s="31">
        <f>+SUM(START:END!Q346)</f>
        <v>0</v>
      </c>
      <c r="R346" s="38"/>
      <c r="S346" s="55">
        <f t="shared" si="111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3"/>
        <v>Pièces[...]</v>
      </c>
      <c r="B347" s="12" t="s">
        <v>103</v>
      </c>
      <c r="C347" s="99" t="s">
        <v>20</v>
      </c>
      <c r="D347" s="76"/>
      <c r="E347" s="14"/>
      <c r="F347" s="28">
        <f>+SUM(START:END!F347)</f>
        <v>0</v>
      </c>
      <c r="G347" s="78"/>
      <c r="H347" s="14"/>
      <c r="I347" s="28">
        <f>+SUM(START:END!I347)</f>
        <v>0</v>
      </c>
      <c r="J347" s="38"/>
      <c r="K347" s="14"/>
      <c r="L347" s="31">
        <f>+SUM(START:END!L347)</f>
        <v>0</v>
      </c>
      <c r="M347" s="38"/>
      <c r="N347" s="55">
        <f t="shared" si="110"/>
        <v>0</v>
      </c>
      <c r="O347" s="38"/>
      <c r="P347" s="14"/>
      <c r="Q347" s="31">
        <f>+SUM(START:END!Q347)</f>
        <v>0</v>
      </c>
      <c r="R347" s="38"/>
      <c r="S347" s="55">
        <f t="shared" si="111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0" t="s">
        <v>64</v>
      </c>
      <c r="D348" s="91" t="s">
        <v>39</v>
      </c>
      <c r="E348" s="92">
        <f>F348/F$313</f>
        <v>0.18119005722169823</v>
      </c>
      <c r="F348" s="93">
        <f>+SUM(F330:F347)</f>
        <v>43012.530769366749</v>
      </c>
      <c r="G348" s="94" t="s">
        <v>39</v>
      </c>
      <c r="H348" s="92" t="e">
        <f>I348/I$313</f>
        <v>#DIV/0!</v>
      </c>
      <c r="I348" s="93">
        <f>+SUM(I330:I347)</f>
        <v>0</v>
      </c>
      <c r="J348" s="94" t="s">
        <v>39</v>
      </c>
      <c r="K348" s="92">
        <f>L348/L$313</f>
        <v>0.29942209570148448</v>
      </c>
      <c r="L348" s="93">
        <f>+SUM(L330:L347)</f>
        <v>66557.84</v>
      </c>
      <c r="M348" s="97"/>
      <c r="N348" s="93">
        <f>+SUM(N330:N347)</f>
        <v>23545.309230633244</v>
      </c>
      <c r="O348" s="94" t="s">
        <v>39</v>
      </c>
      <c r="P348" s="92">
        <f>Q348/Q$313</f>
        <v>0.18037354148539742</v>
      </c>
      <c r="Q348" s="93">
        <f>+SUM(Q330:Q347)</f>
        <v>42420.593999999997</v>
      </c>
      <c r="R348" s="97"/>
      <c r="S348" s="93">
        <f>+SUM(S330:S347)</f>
        <v>24137.245999999992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2"/>
      <c r="D349" s="83"/>
      <c r="E349" s="108"/>
      <c r="F349" s="55"/>
      <c r="G349" s="85"/>
      <c r="H349" s="108"/>
      <c r="I349" s="55"/>
      <c r="J349" s="23"/>
      <c r="K349" s="108"/>
      <c r="L349" s="88"/>
      <c r="M349" s="23"/>
      <c r="N349" s="88"/>
      <c r="O349" s="23"/>
      <c r="P349" s="108"/>
      <c r="Q349" s="88"/>
      <c r="R349" s="23"/>
      <c r="S349" s="88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0" t="s">
        <v>65</v>
      </c>
      <c r="D350" s="91" t="s">
        <v>39</v>
      </c>
      <c r="E350" s="92">
        <f>F350/F$313</f>
        <v>0.57257522296129026</v>
      </c>
      <c r="F350" s="93">
        <f>F329+F348</f>
        <v>135923.07311468874</v>
      </c>
      <c r="G350" s="94" t="s">
        <v>39</v>
      </c>
      <c r="H350" s="92" t="e">
        <f>I350/I$313</f>
        <v>#DIV/0!</v>
      </c>
      <c r="I350" s="93">
        <f>I329+I348</f>
        <v>0</v>
      </c>
      <c r="J350" s="94" t="s">
        <v>39</v>
      </c>
      <c r="K350" s="92">
        <f>L350/L$313</f>
        <v>0.69902077789559802</v>
      </c>
      <c r="L350" s="93">
        <f>L329+L348</f>
        <v>155383.69999999998</v>
      </c>
      <c r="M350" s="97"/>
      <c r="N350" s="110">
        <f>L350-F350</f>
        <v>19460.626885311241</v>
      </c>
      <c r="O350" s="94" t="s">
        <v>39</v>
      </c>
      <c r="P350" s="92">
        <f>Q350/Q$313</f>
        <v>0.63234372065436506</v>
      </c>
      <c r="Q350" s="93">
        <f>Q329+Q348</f>
        <v>148715.804</v>
      </c>
      <c r="R350" s="97"/>
      <c r="S350" s="110">
        <f>L350-Q350</f>
        <v>6667.8959999999788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27"/>
      <c r="D351" s="76"/>
      <c r="E351" s="14"/>
      <c r="F351" s="55"/>
      <c r="G351" s="78"/>
      <c r="H351" s="14"/>
      <c r="I351" s="55"/>
      <c r="J351" s="38"/>
      <c r="K351" s="14"/>
      <c r="L351" s="55"/>
      <c r="M351" s="38"/>
      <c r="N351" s="55">
        <f>L351-F351</f>
        <v>0</v>
      </c>
      <c r="O351" s="38"/>
      <c r="P351" s="14"/>
      <c r="Q351" s="55"/>
      <c r="R351" s="38"/>
      <c r="S351" s="55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20" t="s">
        <v>72</v>
      </c>
      <c r="D352" s="145"/>
      <c r="E352" s="121"/>
      <c r="F352" s="123">
        <f>F313-F350</f>
        <v>101465.95048243957</v>
      </c>
      <c r="G352" s="146"/>
      <c r="H352" s="121"/>
      <c r="I352" s="123">
        <f>I313-I350</f>
        <v>0</v>
      </c>
      <c r="J352" s="147"/>
      <c r="K352" s="122"/>
      <c r="L352" s="123">
        <f>L313-L350</f>
        <v>66903.97</v>
      </c>
      <c r="M352" s="418"/>
      <c r="N352" s="205">
        <f>L352-F352</f>
        <v>-34561.980482439569</v>
      </c>
      <c r="O352" s="147"/>
      <c r="P352" s="122"/>
      <c r="Q352" s="123">
        <f>Q313-Q350</f>
        <v>86466.105999999971</v>
      </c>
      <c r="R352" s="418"/>
      <c r="S352" s="205">
        <f>L352-Q352</f>
        <v>-19562.135999999969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1"/>
      <c r="D353" s="76"/>
      <c r="E353" s="14"/>
      <c r="F353" s="109"/>
      <c r="G353" s="76"/>
      <c r="H353" s="14"/>
      <c r="I353" s="109"/>
      <c r="J353" s="71"/>
      <c r="K353" s="71"/>
      <c r="L353" s="109"/>
      <c r="M353" s="71"/>
      <c r="N353" s="109"/>
      <c r="O353" s="71"/>
      <c r="P353" s="71"/>
      <c r="Q353" s="109"/>
      <c r="R353" s="71"/>
      <c r="S353" s="109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1"/>
      <c r="D354" s="76"/>
      <c r="E354" s="14"/>
      <c r="F354" s="109"/>
      <c r="G354" s="76"/>
      <c r="H354" s="14"/>
      <c r="I354" s="109">
        <f>+I193</f>
        <v>0</v>
      </c>
      <c r="J354" s="71"/>
      <c r="K354" s="71"/>
      <c r="L354" s="109"/>
      <c r="M354" s="71"/>
      <c r="N354" s="109"/>
      <c r="O354" s="71"/>
      <c r="P354" s="71"/>
      <c r="Q354" s="109"/>
      <c r="R354" s="71"/>
      <c r="S354" s="109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119</v>
      </c>
      <c r="L355" s="2"/>
      <c r="M355" s="2"/>
      <c r="N355" s="1"/>
      <c r="O355" s="1"/>
      <c r="P355" s="2"/>
      <c r="Q355" s="1"/>
      <c r="R355" s="2"/>
      <c r="S355" s="5" t="str">
        <f>$S$1</f>
        <v xml:space="preserve"> Volks Juin / Juillet 2023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 thickTop="1">
      <c r="B357" s="7"/>
      <c r="C357" s="13"/>
      <c r="D357" s="472" t="s">
        <v>5</v>
      </c>
      <c r="E357" s="473"/>
      <c r="F357" s="474"/>
      <c r="G357" s="475" t="s">
        <v>74</v>
      </c>
      <c r="H357" s="473"/>
      <c r="I357" s="474"/>
      <c r="J357" s="475" t="s">
        <v>7</v>
      </c>
      <c r="K357" s="473"/>
      <c r="L357" s="474"/>
      <c r="M357" s="475" t="s">
        <v>8</v>
      </c>
      <c r="N357" s="474"/>
      <c r="O357" s="472" t="s">
        <v>9</v>
      </c>
      <c r="P357" s="473"/>
      <c r="Q357" s="474"/>
      <c r="R357" s="475" t="s">
        <v>10</v>
      </c>
      <c r="S357" s="483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 thickBot="1">
      <c r="A358" t="str">
        <f t="shared" ref="A358:A393" si="112">+B358&amp;C358</f>
        <v>Boutique</v>
      </c>
      <c r="B358" s="12" t="s">
        <v>119</v>
      </c>
      <c r="C358" s="27"/>
      <c r="D358" s="210" t="s">
        <v>84</v>
      </c>
      <c r="E358" s="210" t="s">
        <v>104</v>
      </c>
      <c r="F358" s="211" t="s">
        <v>13</v>
      </c>
      <c r="G358" s="212" t="s">
        <v>84</v>
      </c>
      <c r="H358" s="210" t="s">
        <v>104</v>
      </c>
      <c r="I358" s="211" t="s">
        <v>13</v>
      </c>
      <c r="J358" s="130" t="s">
        <v>84</v>
      </c>
      <c r="K358" s="75" t="s">
        <v>104</v>
      </c>
      <c r="L358" s="129" t="s">
        <v>13</v>
      </c>
      <c r="M358" s="130" t="s">
        <v>40</v>
      </c>
      <c r="N358" s="129" t="s">
        <v>13</v>
      </c>
      <c r="O358" s="130" t="s">
        <v>84</v>
      </c>
      <c r="P358" s="75" t="s">
        <v>104</v>
      </c>
      <c r="Q358" s="129" t="s">
        <v>13</v>
      </c>
      <c r="R358" s="130" t="s">
        <v>85</v>
      </c>
      <c r="S358" s="131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 thickTop="1">
      <c r="A359" t="str">
        <f t="shared" si="112"/>
        <v>BoutiqueBoutique</v>
      </c>
      <c r="B359" s="12" t="s">
        <v>119</v>
      </c>
      <c r="C359" s="58" t="s">
        <v>119</v>
      </c>
      <c r="D359" s="213">
        <f>+SUM(START:END!D359)</f>
        <v>0</v>
      </c>
      <c r="E359" s="214">
        <f>IFERROR(F359/D359,0)</f>
        <v>0</v>
      </c>
      <c r="F359" s="215">
        <f>+SUM(START:END!F359)</f>
        <v>0</v>
      </c>
      <c r="G359" s="213">
        <f>+SUM(START:END!G359)</f>
        <v>0</v>
      </c>
      <c r="H359" s="214">
        <f>IFERROR(I359/G359,0)</f>
        <v>0</v>
      </c>
      <c r="I359" s="213">
        <f>+SUM(START:END!I359)</f>
        <v>0</v>
      </c>
      <c r="J359" s="216">
        <f>+SUM(START:END!J359)</f>
        <v>0</v>
      </c>
      <c r="K359" s="198">
        <f>IFERROR(L359/J359,0)</f>
        <v>0</v>
      </c>
      <c r="L359" s="217">
        <f>+SUM(START:END!L359)</f>
        <v>0</v>
      </c>
      <c r="M359" s="199">
        <f>IF(G359=0,0,(+J359-G359)/G359)</f>
        <v>0</v>
      </c>
      <c r="N359" s="200">
        <f>L359-I359</f>
        <v>0</v>
      </c>
      <c r="O359" s="216">
        <f>+SUM(START:END!O359)</f>
        <v>0</v>
      </c>
      <c r="P359" s="198">
        <f>IFERROR(Q359/O359,0)</f>
        <v>0</v>
      </c>
      <c r="Q359" s="217">
        <f>+SUM(START:END!Q359)</f>
        <v>0</v>
      </c>
      <c r="R359" s="199">
        <f>IF(O359=0,0,(J359-O359)/O359)</f>
        <v>0</v>
      </c>
      <c r="S359" s="201">
        <f>L359-Q359</f>
        <v>0</v>
      </c>
      <c r="T359" s="11"/>
      <c r="U359" s="11"/>
      <c r="X359" s="218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 thickBot="1">
      <c r="A360" t="str">
        <f t="shared" si="112"/>
        <v>Boutique</v>
      </c>
      <c r="B360" s="12" t="s">
        <v>119</v>
      </c>
      <c r="C360" s="202"/>
      <c r="D360" s="203"/>
      <c r="E360" s="204"/>
      <c r="F360" s="205"/>
      <c r="G360" s="206"/>
      <c r="H360" s="204"/>
      <c r="I360" s="205"/>
      <c r="J360" s="206"/>
      <c r="K360" s="204"/>
      <c r="L360" s="205"/>
      <c r="M360" s="207"/>
      <c r="N360" s="69"/>
      <c r="O360" s="206"/>
      <c r="P360" s="204"/>
      <c r="Q360" s="205"/>
      <c r="R360" s="207"/>
      <c r="S360" s="70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 thickTop="1">
      <c r="A361" t="str">
        <f t="shared" si="112"/>
        <v>BoutiqueTotal Dépt. Boutique</v>
      </c>
      <c r="B361" s="12" t="s">
        <v>119</v>
      </c>
      <c r="C361" s="50" t="s">
        <v>120</v>
      </c>
      <c r="D361" s="219">
        <f>+D359</f>
        <v>0</v>
      </c>
      <c r="E361" s="163">
        <f>IF(D361&lt;=0,0,F361/D361)</f>
        <v>0</v>
      </c>
      <c r="F361" s="165">
        <f t="shared" ref="F361" si="113">+F359</f>
        <v>0</v>
      </c>
      <c r="G361" s="164">
        <f>+G359</f>
        <v>0</v>
      </c>
      <c r="H361" s="163">
        <f>IF(G361&lt;=0,0,I361/G361)</f>
        <v>0</v>
      </c>
      <c r="I361" s="165">
        <f t="shared" ref="I361" si="114">+I359</f>
        <v>0</v>
      </c>
      <c r="J361" s="164">
        <f>+J359</f>
        <v>0</v>
      </c>
      <c r="K361" s="163">
        <f>IF(J361&lt;=0,0,L361/J361)</f>
        <v>0</v>
      </c>
      <c r="L361" s="165">
        <f t="shared" ref="L361" si="115">+L359</f>
        <v>0</v>
      </c>
      <c r="M361" s="220">
        <f>IF(G361=0,0,(+J361-G361)/G361)</f>
        <v>0</v>
      </c>
      <c r="N361" s="221">
        <f>L361-I361</f>
        <v>0</v>
      </c>
      <c r="O361" s="164">
        <f>+O359</f>
        <v>0</v>
      </c>
      <c r="P361" s="163">
        <f>IF(O361&lt;=0,0,Q361/O361)</f>
        <v>0</v>
      </c>
      <c r="Q361" s="165">
        <f t="shared" ref="Q361" si="116">+Q359</f>
        <v>0</v>
      </c>
      <c r="R361" s="38">
        <f>IF(O361=0,0,(J361-O361)/O361)</f>
        <v>0</v>
      </c>
      <c r="S361" s="41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tr">
        <f t="shared" si="112"/>
        <v>Boutique</v>
      </c>
      <c r="B362" s="12" t="s">
        <v>119</v>
      </c>
      <c r="C362" s="74"/>
      <c r="D362" s="14"/>
      <c r="E362" s="14"/>
      <c r="F362" s="55"/>
      <c r="G362" s="38"/>
      <c r="H362" s="222"/>
      <c r="I362" s="55"/>
      <c r="J362" s="38"/>
      <c r="K362" s="14"/>
      <c r="L362" s="37"/>
      <c r="M362" s="38"/>
      <c r="N362" s="223">
        <f>IF(H362=0,0,(+K362-H362)/H362)</f>
        <v>0</v>
      </c>
      <c r="O362" s="38"/>
      <c r="P362" s="14"/>
      <c r="Q362" s="37"/>
      <c r="R362" s="38"/>
      <c r="S362" s="57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tr">
        <f t="shared" si="112"/>
        <v>BoutiqueDEPENSES</v>
      </c>
      <c r="B363" s="12" t="s">
        <v>119</v>
      </c>
      <c r="C363" s="74" t="s">
        <v>30</v>
      </c>
      <c r="D363" s="14"/>
      <c r="E363" s="14"/>
      <c r="F363" s="55"/>
      <c r="G363" s="38"/>
      <c r="H363" s="14"/>
      <c r="I363" s="55"/>
      <c r="J363" s="38"/>
      <c r="K363" s="14"/>
      <c r="L363" s="37"/>
      <c r="M363" s="38"/>
      <c r="N363" s="37"/>
      <c r="O363" s="38"/>
      <c r="P363" s="14"/>
      <c r="Q363" s="37"/>
      <c r="R363" s="38"/>
      <c r="S363" s="57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tr">
        <f t="shared" si="112"/>
        <v>BoutiqueSalaires cadres</v>
      </c>
      <c r="B364" s="12" t="s">
        <v>119</v>
      </c>
      <c r="C364" s="99" t="s">
        <v>41</v>
      </c>
      <c r="D364" s="14"/>
      <c r="E364" s="14"/>
      <c r="F364" s="28">
        <f>+SUM(START:END!F364)</f>
        <v>0</v>
      </c>
      <c r="G364" s="38"/>
      <c r="H364" s="14"/>
      <c r="I364" s="28">
        <f>+SUM(START:END!I364)</f>
        <v>0</v>
      </c>
      <c r="J364" s="38"/>
      <c r="K364" s="14"/>
      <c r="L364" s="31">
        <f>+SUM(START:END!L364)</f>
        <v>0</v>
      </c>
      <c r="M364" s="38"/>
      <c r="N364" s="37"/>
      <c r="O364" s="38"/>
      <c r="P364" s="14"/>
      <c r="Q364" s="31">
        <f>+SUM(START:END!Q364)</f>
        <v>0</v>
      </c>
      <c r="R364" s="38"/>
      <c r="S364" s="32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tr">
        <f t="shared" si="112"/>
        <v>BoutiqueSalaires commis</v>
      </c>
      <c r="B365" s="12" t="s">
        <v>119</v>
      </c>
      <c r="C365" s="100" t="s">
        <v>42</v>
      </c>
      <c r="D365" s="76"/>
      <c r="E365" s="14"/>
      <c r="F365" s="22">
        <f>+SUM(START:END!F365)</f>
        <v>0</v>
      </c>
      <c r="G365" s="78"/>
      <c r="H365" s="14"/>
      <c r="I365" s="22">
        <f>+SUM(START:END!I365)</f>
        <v>0</v>
      </c>
      <c r="J365" s="38"/>
      <c r="K365" s="14"/>
      <c r="L365" s="22">
        <f>+SUM(START:END!L365)</f>
        <v>0</v>
      </c>
      <c r="M365" s="38"/>
      <c r="N365" s="55">
        <f t="shared" ref="N365:N393" si="117">L365-I365</f>
        <v>0</v>
      </c>
      <c r="O365" s="38"/>
      <c r="P365" s="14"/>
      <c r="Q365" s="22">
        <f>+SUM(START:END!Q365)</f>
        <v>0</v>
      </c>
      <c r="R365" s="38"/>
      <c r="S365" s="80">
        <f t="shared" ref="S365:S393" si="118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tr">
        <f t="shared" si="112"/>
        <v>BoutiqueSalaires autres</v>
      </c>
      <c r="B366" s="12" t="s">
        <v>119</v>
      </c>
      <c r="C366" s="99" t="s">
        <v>43</v>
      </c>
      <c r="D366" s="101"/>
      <c r="E366" s="102"/>
      <c r="F366" s="28">
        <f>+SUM(START:END!F366)</f>
        <v>0</v>
      </c>
      <c r="G366" s="103"/>
      <c r="H366" s="102"/>
      <c r="I366" s="28">
        <f>+SUM(START:END!I366)</f>
        <v>0</v>
      </c>
      <c r="J366" s="104"/>
      <c r="K366" s="102"/>
      <c r="L366" s="31">
        <f>+SUM(START:END!L366)</f>
        <v>0</v>
      </c>
      <c r="M366" s="104"/>
      <c r="N366" s="106">
        <f t="shared" si="117"/>
        <v>0</v>
      </c>
      <c r="O366" s="104"/>
      <c r="P366" s="102"/>
      <c r="Q366" s="31">
        <f>+SUM(START:END!Q366)</f>
        <v>0</v>
      </c>
      <c r="R366" s="104"/>
      <c r="S366" s="107">
        <f t="shared" si="118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tr">
        <f t="shared" si="112"/>
        <v>BoutiqueSalaires spécialistes</v>
      </c>
      <c r="B367" s="12" t="s">
        <v>119</v>
      </c>
      <c r="C367" s="99" t="s">
        <v>44</v>
      </c>
      <c r="D367" s="76"/>
      <c r="E367" s="14"/>
      <c r="F367" s="28">
        <f>+SUM(START:END!F367)</f>
        <v>0</v>
      </c>
      <c r="G367" s="78"/>
      <c r="H367" s="14"/>
      <c r="I367" s="28">
        <f>+SUM(START:END!I367)</f>
        <v>0</v>
      </c>
      <c r="J367" s="38"/>
      <c r="K367" s="14"/>
      <c r="L367" s="31">
        <f>+SUM(START:END!L367)</f>
        <v>0</v>
      </c>
      <c r="M367" s="38"/>
      <c r="N367" s="55">
        <f t="shared" si="117"/>
        <v>0</v>
      </c>
      <c r="O367" s="38"/>
      <c r="P367" s="14"/>
      <c r="Q367" s="31">
        <f>+SUM(START:END!Q367)</f>
        <v>0</v>
      </c>
      <c r="R367" s="38"/>
      <c r="S367" s="80">
        <f t="shared" si="118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2"/>
        <v>Boutique[...]</v>
      </c>
      <c r="B368" s="12" t="s">
        <v>119</v>
      </c>
      <c r="C368" s="27" t="s">
        <v>20</v>
      </c>
      <c r="D368" s="76"/>
      <c r="E368" s="14"/>
      <c r="F368" s="28">
        <f>+SUM(START:END!F368)</f>
        <v>0</v>
      </c>
      <c r="G368" s="78"/>
      <c r="H368" s="14"/>
      <c r="I368" s="28">
        <f>+SUM(START:END!I368)</f>
        <v>0</v>
      </c>
      <c r="J368" s="38"/>
      <c r="K368" s="14"/>
      <c r="L368" s="31">
        <f>+SUM(START:END!L368)</f>
        <v>0</v>
      </c>
      <c r="M368" s="38"/>
      <c r="N368" s="55">
        <f t="shared" si="117"/>
        <v>0</v>
      </c>
      <c r="O368" s="38"/>
      <c r="P368" s="14"/>
      <c r="Q368" s="31">
        <f>+SUM(START:END!Q368)</f>
        <v>0</v>
      </c>
      <c r="R368" s="38"/>
      <c r="S368" s="80">
        <f t="shared" si="118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2"/>
        <v>Boutique[...]</v>
      </c>
      <c r="B369" s="12" t="s">
        <v>119</v>
      </c>
      <c r="C369" s="27" t="s">
        <v>20</v>
      </c>
      <c r="D369" s="76"/>
      <c r="E369" s="14"/>
      <c r="F369" s="28">
        <f>+SUM(START:END!F369)</f>
        <v>0</v>
      </c>
      <c r="G369" s="78"/>
      <c r="H369" s="14"/>
      <c r="I369" s="28">
        <f>+SUM(START:END!I369)</f>
        <v>0</v>
      </c>
      <c r="J369" s="38"/>
      <c r="K369" s="14"/>
      <c r="L369" s="31">
        <f>+SUM(START:END!L369)</f>
        <v>0</v>
      </c>
      <c r="M369" s="38"/>
      <c r="N369" s="55">
        <f t="shared" si="117"/>
        <v>0</v>
      </c>
      <c r="O369" s="38"/>
      <c r="P369" s="14"/>
      <c r="Q369" s="31">
        <f>+SUM(START:END!Q369)</f>
        <v>0</v>
      </c>
      <c r="R369" s="38"/>
      <c r="S369" s="80">
        <f t="shared" si="118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2"/>
        <v>Boutique[...]</v>
      </c>
      <c r="B370" s="12" t="s">
        <v>119</v>
      </c>
      <c r="C370" s="27" t="s">
        <v>20</v>
      </c>
      <c r="D370" s="76"/>
      <c r="E370" s="14"/>
      <c r="F370" s="28">
        <f>+SUM(START:END!F370)</f>
        <v>0</v>
      </c>
      <c r="G370" s="78"/>
      <c r="H370" s="14"/>
      <c r="I370" s="28">
        <f>+SUM(START:END!I370)</f>
        <v>0</v>
      </c>
      <c r="J370" s="38"/>
      <c r="K370" s="14"/>
      <c r="L370" s="31">
        <f>+SUM(START:END!L370)</f>
        <v>0</v>
      </c>
      <c r="M370" s="38"/>
      <c r="N370" s="55">
        <f t="shared" si="117"/>
        <v>0</v>
      </c>
      <c r="O370" s="38"/>
      <c r="P370" s="14"/>
      <c r="Q370" s="31">
        <f>+SUM(START:END!Q370)</f>
        <v>0</v>
      </c>
      <c r="R370" s="38"/>
      <c r="S370" s="80">
        <f t="shared" si="118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tr">
        <f t="shared" si="112"/>
        <v>BoutiqueSalaires en absences</v>
      </c>
      <c r="B371" s="12" t="s">
        <v>119</v>
      </c>
      <c r="C371" s="100" t="s">
        <v>45</v>
      </c>
      <c r="D371" s="76"/>
      <c r="E371" s="14"/>
      <c r="F371" s="22">
        <f>+SUM(START:END!F371)</f>
        <v>0</v>
      </c>
      <c r="G371" s="78"/>
      <c r="H371" s="14"/>
      <c r="I371" s="22">
        <f>+SUM(START:END!I371)</f>
        <v>0</v>
      </c>
      <c r="J371" s="38"/>
      <c r="K371" s="14"/>
      <c r="L371" s="22">
        <f>+SUM(START:END!L371)</f>
        <v>0</v>
      </c>
      <c r="M371" s="38"/>
      <c r="N371" s="55">
        <f t="shared" si="117"/>
        <v>0</v>
      </c>
      <c r="O371" s="38"/>
      <c r="P371" s="14"/>
      <c r="Q371" s="22">
        <f>+SUM(START:END!Q371)</f>
        <v>0</v>
      </c>
      <c r="R371" s="38"/>
      <c r="S371" s="80">
        <f t="shared" si="118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tr">
        <f t="shared" si="112"/>
        <v>BoutiqueDéduction à la source</v>
      </c>
      <c r="B372" s="12" t="s">
        <v>119</v>
      </c>
      <c r="C372" s="99" t="s">
        <v>46</v>
      </c>
      <c r="D372" s="101"/>
      <c r="E372" s="102"/>
      <c r="F372" s="28">
        <f>+SUM(START:END!F372)</f>
        <v>0</v>
      </c>
      <c r="G372" s="103"/>
      <c r="H372" s="102"/>
      <c r="I372" s="28">
        <f>+SUM(START:END!I372)</f>
        <v>0</v>
      </c>
      <c r="J372" s="104"/>
      <c r="K372" s="102"/>
      <c r="L372" s="31">
        <f>+SUM(START:END!L372)</f>
        <v>0</v>
      </c>
      <c r="M372" s="104"/>
      <c r="N372" s="106">
        <f t="shared" si="117"/>
        <v>0</v>
      </c>
      <c r="O372" s="104"/>
      <c r="P372" s="102"/>
      <c r="Q372" s="31">
        <f>+SUM(START:END!Q372)</f>
        <v>0</v>
      </c>
      <c r="R372" s="104"/>
      <c r="S372" s="107">
        <f t="shared" si="118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tr">
        <f t="shared" si="112"/>
        <v>BoutiqueBénéfices marginaux</v>
      </c>
      <c r="B373" s="12" t="s">
        <v>119</v>
      </c>
      <c r="C373" s="99" t="s">
        <v>47</v>
      </c>
      <c r="D373" s="76"/>
      <c r="E373" s="14"/>
      <c r="F373" s="28">
        <f>+SUM(START:END!F373)</f>
        <v>0</v>
      </c>
      <c r="G373" s="78"/>
      <c r="H373" s="14"/>
      <c r="I373" s="28">
        <f>+SUM(START:END!I373)</f>
        <v>0</v>
      </c>
      <c r="J373" s="38"/>
      <c r="K373" s="14"/>
      <c r="L373" s="31">
        <f>+SUM(START:END!L373)</f>
        <v>0</v>
      </c>
      <c r="M373" s="38"/>
      <c r="N373" s="55">
        <f t="shared" si="117"/>
        <v>0</v>
      </c>
      <c r="O373" s="38"/>
      <c r="P373" s="14"/>
      <c r="Q373" s="31">
        <f>+SUM(START:END!Q373)</f>
        <v>0</v>
      </c>
      <c r="R373" s="38"/>
      <c r="S373" s="80">
        <f t="shared" si="118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tr">
        <f t="shared" si="112"/>
        <v>BoutiqueCsst</v>
      </c>
      <c r="B374" s="12" t="s">
        <v>119</v>
      </c>
      <c r="C374" s="99" t="s">
        <v>48</v>
      </c>
      <c r="D374" s="76"/>
      <c r="E374" s="14"/>
      <c r="F374" s="28">
        <f>+SUM(START:END!F374)</f>
        <v>0</v>
      </c>
      <c r="G374" s="78"/>
      <c r="H374" s="14"/>
      <c r="I374" s="28">
        <f>+SUM(START:END!I374)</f>
        <v>0</v>
      </c>
      <c r="J374" s="38"/>
      <c r="K374" s="14"/>
      <c r="L374" s="31">
        <f>+SUM(START:END!L374)</f>
        <v>0</v>
      </c>
      <c r="M374" s="38"/>
      <c r="N374" s="55">
        <f t="shared" si="117"/>
        <v>0</v>
      </c>
      <c r="O374" s="38"/>
      <c r="P374" s="14"/>
      <c r="Q374" s="31">
        <f>+SUM(START:END!Q374)</f>
        <v>0</v>
      </c>
      <c r="R374" s="38"/>
      <c r="S374" s="80">
        <f t="shared" si="118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2"/>
        <v>Boutique[...]</v>
      </c>
      <c r="B375" s="12" t="s">
        <v>119</v>
      </c>
      <c r="C375" s="27" t="s">
        <v>20</v>
      </c>
      <c r="D375" s="83"/>
      <c r="E375" s="108"/>
      <c r="F375" s="28">
        <f>+SUM(START:END!F375)</f>
        <v>0</v>
      </c>
      <c r="G375" s="85"/>
      <c r="H375" s="108"/>
      <c r="I375" s="28">
        <f>+SUM(START:END!I375)</f>
        <v>0</v>
      </c>
      <c r="J375" s="23"/>
      <c r="K375" s="108"/>
      <c r="L375" s="31">
        <f>+SUM(START:END!L375)</f>
        <v>0</v>
      </c>
      <c r="M375" s="23"/>
      <c r="N375" s="88">
        <f t="shared" si="117"/>
        <v>0</v>
      </c>
      <c r="O375" s="23"/>
      <c r="P375" s="108"/>
      <c r="Q375" s="31">
        <f>+SUM(START:END!Q375)</f>
        <v>0</v>
      </c>
      <c r="R375" s="23"/>
      <c r="S375" s="89">
        <f t="shared" si="118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tr">
        <f t="shared" si="112"/>
        <v>BoutiqueTOTAL PERSONNEL</v>
      </c>
      <c r="B376" s="12" t="s">
        <v>119</v>
      </c>
      <c r="C376" s="90" t="s">
        <v>49</v>
      </c>
      <c r="D376" s="91" t="s">
        <v>39</v>
      </c>
      <c r="E376" s="92">
        <f>IFERROR(F376/F$359,0)</f>
        <v>0</v>
      </c>
      <c r="F376" s="93">
        <f>+SUM(F364:F375)</f>
        <v>0</v>
      </c>
      <c r="G376" s="94" t="s">
        <v>39</v>
      </c>
      <c r="H376" s="92">
        <f>IFERROR(I376/I$359,0)</f>
        <v>0</v>
      </c>
      <c r="I376" s="93">
        <f>+SUM(I364:I375)</f>
        <v>0</v>
      </c>
      <c r="J376" s="94" t="s">
        <v>39</v>
      </c>
      <c r="K376" s="92">
        <f>IFERROR(L376/L$359,0)</f>
        <v>0</v>
      </c>
      <c r="L376" s="93">
        <f>+SUM(L364:L375)</f>
        <v>0</v>
      </c>
      <c r="M376" s="140"/>
      <c r="N376" s="110">
        <f t="shared" si="117"/>
        <v>0</v>
      </c>
      <c r="O376" s="94" t="s">
        <v>39</v>
      </c>
      <c r="P376" s="92">
        <f>IFERROR(Q376/Q$359,0)</f>
        <v>0</v>
      </c>
      <c r="Q376" s="93">
        <f>+SUM(Q364:Q375)</f>
        <v>0</v>
      </c>
      <c r="R376" s="140"/>
      <c r="S376" s="111">
        <f t="shared" si="118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tr">
        <f t="shared" si="112"/>
        <v>BoutiquePublicité 2</v>
      </c>
      <c r="B377" s="12" t="s">
        <v>119</v>
      </c>
      <c r="C377" s="190" t="s">
        <v>50</v>
      </c>
      <c r="D377" s="76"/>
      <c r="E377" s="14"/>
      <c r="F377" s="28">
        <f>+SUM(START:END!F377)</f>
        <v>0</v>
      </c>
      <c r="G377" s="78"/>
      <c r="H377" s="14"/>
      <c r="I377" s="28">
        <f>+SUM(START:END!I377)</f>
        <v>0</v>
      </c>
      <c r="J377" s="38"/>
      <c r="K377" s="14"/>
      <c r="L377" s="31">
        <f>+SUM(START:END!L377)</f>
        <v>0</v>
      </c>
      <c r="M377" s="38"/>
      <c r="N377" s="55">
        <f t="shared" si="117"/>
        <v>0</v>
      </c>
      <c r="O377" s="38"/>
      <c r="P377" s="14"/>
      <c r="Q377" s="31">
        <f>+SUM(START:END!Q377)</f>
        <v>0</v>
      </c>
      <c r="R377" s="38"/>
      <c r="S377" s="80">
        <f t="shared" si="118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tr">
        <f t="shared" si="112"/>
        <v>BoutiqueService gratuit 2</v>
      </c>
      <c r="B378" s="12" t="s">
        <v>119</v>
      </c>
      <c r="C378" s="99" t="s">
        <v>51</v>
      </c>
      <c r="D378" s="76"/>
      <c r="E378" s="14"/>
      <c r="F378" s="28">
        <f>+SUM(START:END!F378)</f>
        <v>0</v>
      </c>
      <c r="G378" s="78"/>
      <c r="H378" s="14"/>
      <c r="I378" s="28">
        <f>+SUM(START:END!I378)</f>
        <v>0</v>
      </c>
      <c r="J378" s="38"/>
      <c r="K378" s="14"/>
      <c r="L378" s="31">
        <f>+SUM(START:END!L378)</f>
        <v>0</v>
      </c>
      <c r="M378" s="38"/>
      <c r="N378" s="55">
        <f t="shared" si="117"/>
        <v>0</v>
      </c>
      <c r="O378" s="38"/>
      <c r="P378" s="14"/>
      <c r="Q378" s="31">
        <f>+SUM(START:END!Q378)</f>
        <v>0</v>
      </c>
      <c r="R378" s="38"/>
      <c r="S378" s="80">
        <f t="shared" si="118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tr">
        <f t="shared" si="112"/>
        <v>BoutiqueFrais véhicules de cie</v>
      </c>
      <c r="B379" s="12" t="s">
        <v>119</v>
      </c>
      <c r="C379" s="100" t="s">
        <v>52</v>
      </c>
      <c r="D379" s="83"/>
      <c r="E379" s="108"/>
      <c r="F379" s="22">
        <f>+SUM(START:END!F379)</f>
        <v>0</v>
      </c>
      <c r="G379" s="85"/>
      <c r="H379" s="108"/>
      <c r="I379" s="22">
        <f>+SUM(START:END!I379)</f>
        <v>0</v>
      </c>
      <c r="J379" s="23"/>
      <c r="K379" s="108"/>
      <c r="L379" s="22">
        <f>+SUM(START:END!L379)</f>
        <v>0</v>
      </c>
      <c r="M379" s="23"/>
      <c r="N379" s="88">
        <f t="shared" si="117"/>
        <v>0</v>
      </c>
      <c r="O379" s="23"/>
      <c r="P379" s="108"/>
      <c r="Q379" s="22">
        <f>+SUM(START:END!Q379)</f>
        <v>0</v>
      </c>
      <c r="R379" s="23"/>
      <c r="S379" s="89">
        <f t="shared" si="118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tr">
        <f t="shared" si="112"/>
        <v>BoutiqueInformatique</v>
      </c>
      <c r="B380" s="12" t="s">
        <v>119</v>
      </c>
      <c r="C380" s="99" t="s">
        <v>53</v>
      </c>
      <c r="D380" s="76"/>
      <c r="E380" s="14"/>
      <c r="F380" s="28">
        <f>+SUM(START:END!F380)</f>
        <v>0</v>
      </c>
      <c r="G380" s="78"/>
      <c r="H380" s="14"/>
      <c r="I380" s="28">
        <f>+SUM(START:END!I380)</f>
        <v>0</v>
      </c>
      <c r="J380" s="38"/>
      <c r="K380" s="14"/>
      <c r="L380" s="31">
        <f>+SUM(START:END!L380)</f>
        <v>0</v>
      </c>
      <c r="M380" s="38"/>
      <c r="N380" s="55">
        <f t="shared" si="117"/>
        <v>0</v>
      </c>
      <c r="O380" s="38"/>
      <c r="P380" s="14"/>
      <c r="Q380" s="31">
        <f>+SUM(START:END!Q380)</f>
        <v>0</v>
      </c>
      <c r="R380" s="38"/>
      <c r="S380" s="80">
        <f t="shared" si="118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tr">
        <f t="shared" si="112"/>
        <v>BoutiqueFrais de déplacement</v>
      </c>
      <c r="B381" s="12" t="s">
        <v>119</v>
      </c>
      <c r="C381" s="99" t="s">
        <v>54</v>
      </c>
      <c r="D381" s="76"/>
      <c r="E381" s="14"/>
      <c r="F381" s="28">
        <f>+SUM(START:END!F381)</f>
        <v>0</v>
      </c>
      <c r="G381" s="78"/>
      <c r="H381" s="14"/>
      <c r="I381" s="28">
        <f>+SUM(START:END!I381)</f>
        <v>0</v>
      </c>
      <c r="J381" s="38"/>
      <c r="K381" s="14"/>
      <c r="L381" s="31">
        <f>+SUM(START:END!L381)</f>
        <v>0</v>
      </c>
      <c r="M381" s="38"/>
      <c r="N381" s="55">
        <f t="shared" si="117"/>
        <v>0</v>
      </c>
      <c r="O381" s="38"/>
      <c r="P381" s="14"/>
      <c r="Q381" s="31">
        <f>+SUM(START:END!Q381)</f>
        <v>0</v>
      </c>
      <c r="R381" s="38"/>
      <c r="S381" s="80">
        <f t="shared" si="118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tr">
        <f t="shared" si="112"/>
        <v>BoutiqueServices extérieurs</v>
      </c>
      <c r="B382" s="12" t="s">
        <v>119</v>
      </c>
      <c r="C382" s="99" t="s">
        <v>55</v>
      </c>
      <c r="D382" s="83"/>
      <c r="E382" s="108"/>
      <c r="F382" s="22">
        <f>+SUM(START:END!F382)</f>
        <v>0</v>
      </c>
      <c r="G382" s="85"/>
      <c r="H382" s="108"/>
      <c r="I382" s="22">
        <f>+SUM(START:END!I382)</f>
        <v>0</v>
      </c>
      <c r="J382" s="23"/>
      <c r="K382" s="108"/>
      <c r="L382" s="22">
        <f>+SUM(START:END!L382)</f>
        <v>0</v>
      </c>
      <c r="M382" s="23"/>
      <c r="N382" s="88">
        <f t="shared" si="117"/>
        <v>0</v>
      </c>
      <c r="O382" s="23"/>
      <c r="P382" s="108"/>
      <c r="Q382" s="22">
        <f>+SUM(START:END!Q382)</f>
        <v>0</v>
      </c>
      <c r="R382" s="23"/>
      <c r="S382" s="89">
        <f t="shared" si="118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tr">
        <f t="shared" si="112"/>
        <v>BoutiqueFournitures autres</v>
      </c>
      <c r="B383" s="12" t="s">
        <v>119</v>
      </c>
      <c r="C383" s="190" t="s">
        <v>56</v>
      </c>
      <c r="D383" s="76"/>
      <c r="E383" s="14"/>
      <c r="F383" s="28">
        <f>+SUM(START:END!F383)</f>
        <v>0</v>
      </c>
      <c r="G383" s="78"/>
      <c r="H383" s="14"/>
      <c r="I383" s="28">
        <f>+SUM(START:END!I383)</f>
        <v>0</v>
      </c>
      <c r="J383" s="38"/>
      <c r="K383" s="14"/>
      <c r="L383" s="31">
        <f>+SUM(START:END!L383)</f>
        <v>0</v>
      </c>
      <c r="M383" s="38"/>
      <c r="N383" s="55">
        <f t="shared" si="117"/>
        <v>0</v>
      </c>
      <c r="O383" s="38"/>
      <c r="P383" s="14"/>
      <c r="Q383" s="31">
        <f>+SUM(START:END!Q383)</f>
        <v>0</v>
      </c>
      <c r="R383" s="38"/>
      <c r="S383" s="80">
        <f t="shared" si="118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tr">
        <f t="shared" si="112"/>
        <v>BoutiqueUniformes</v>
      </c>
      <c r="B384" s="12" t="s">
        <v>119</v>
      </c>
      <c r="C384" s="99" t="s">
        <v>57</v>
      </c>
      <c r="D384" s="76"/>
      <c r="E384" s="14"/>
      <c r="F384" s="28">
        <f>+SUM(START:END!F384)</f>
        <v>0</v>
      </c>
      <c r="G384" s="78"/>
      <c r="H384" s="14"/>
      <c r="I384" s="28">
        <f>+SUM(START:END!I384)</f>
        <v>0</v>
      </c>
      <c r="J384" s="38"/>
      <c r="K384" s="14"/>
      <c r="L384" s="31">
        <f>+SUM(START:END!L384)</f>
        <v>0</v>
      </c>
      <c r="M384" s="38"/>
      <c r="N384" s="55">
        <f t="shared" si="117"/>
        <v>0</v>
      </c>
      <c r="O384" s="38"/>
      <c r="P384" s="14"/>
      <c r="Q384" s="31">
        <f>+SUM(START:END!Q384)</f>
        <v>0</v>
      </c>
      <c r="R384" s="38"/>
      <c r="S384" s="80">
        <f t="shared" si="118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tr">
        <f t="shared" si="112"/>
        <v>BoutiquePapeterie</v>
      </c>
      <c r="B385" s="12" t="s">
        <v>119</v>
      </c>
      <c r="C385" s="99" t="s">
        <v>58</v>
      </c>
      <c r="D385" s="76"/>
      <c r="E385" s="14"/>
      <c r="F385" s="28">
        <f>+SUM(START:END!F385)</f>
        <v>0</v>
      </c>
      <c r="G385" s="78"/>
      <c r="H385" s="14"/>
      <c r="I385" s="28">
        <f>+SUM(START:END!I385)</f>
        <v>0</v>
      </c>
      <c r="J385" s="38"/>
      <c r="K385" s="14"/>
      <c r="L385" s="31">
        <f>+SUM(START:END!L385)</f>
        <v>0</v>
      </c>
      <c r="M385" s="38"/>
      <c r="N385" s="55">
        <f t="shared" si="117"/>
        <v>0</v>
      </c>
      <c r="O385" s="38"/>
      <c r="P385" s="14"/>
      <c r="Q385" s="31">
        <f>+SUM(START:END!Q385)</f>
        <v>0</v>
      </c>
      <c r="R385" s="38"/>
      <c r="S385" s="80">
        <f t="shared" si="118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tr">
        <f t="shared" si="112"/>
        <v>BoutiqueTéléphone</v>
      </c>
      <c r="B386" s="12" t="s">
        <v>119</v>
      </c>
      <c r="C386" s="99" t="s">
        <v>59</v>
      </c>
      <c r="D386" s="76"/>
      <c r="E386" s="14"/>
      <c r="F386" s="28">
        <f>+SUM(START:END!F386)</f>
        <v>0</v>
      </c>
      <c r="G386" s="78"/>
      <c r="H386" s="14"/>
      <c r="I386" s="28">
        <f>+SUM(START:END!I386)</f>
        <v>0</v>
      </c>
      <c r="J386" s="38"/>
      <c r="K386" s="14"/>
      <c r="L386" s="31">
        <f>+SUM(START:END!L386)</f>
        <v>0</v>
      </c>
      <c r="M386" s="38"/>
      <c r="N386" s="55">
        <f t="shared" si="117"/>
        <v>0</v>
      </c>
      <c r="O386" s="38"/>
      <c r="P386" s="14"/>
      <c r="Q386" s="31">
        <f>+SUM(START:END!Q386)</f>
        <v>0</v>
      </c>
      <c r="R386" s="38"/>
      <c r="S386" s="80">
        <f t="shared" si="118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tr">
        <f t="shared" si="112"/>
        <v>BoutiqueFrais postaux</v>
      </c>
      <c r="B387" s="12" t="s">
        <v>119</v>
      </c>
      <c r="C387" s="99" t="s">
        <v>60</v>
      </c>
      <c r="D387" s="76"/>
      <c r="E387" s="14"/>
      <c r="F387" s="28">
        <f>+SUM(START:END!F387)</f>
        <v>0</v>
      </c>
      <c r="G387" s="78"/>
      <c r="H387" s="14"/>
      <c r="I387" s="28">
        <f>+SUM(START:END!I387)</f>
        <v>0</v>
      </c>
      <c r="J387" s="38"/>
      <c r="K387" s="14"/>
      <c r="L387" s="31">
        <f>+SUM(START:END!L387)</f>
        <v>0</v>
      </c>
      <c r="M387" s="38"/>
      <c r="N387" s="55">
        <f t="shared" si="117"/>
        <v>0</v>
      </c>
      <c r="O387" s="38"/>
      <c r="P387" s="14"/>
      <c r="Q387" s="31">
        <f>+SUM(START:END!Q387)</f>
        <v>0</v>
      </c>
      <c r="R387" s="38"/>
      <c r="S387" s="80">
        <f t="shared" si="118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tr">
        <f t="shared" si="112"/>
        <v>BoutiqueDivers</v>
      </c>
      <c r="B388" s="12" t="s">
        <v>119</v>
      </c>
      <c r="C388" s="99" t="s">
        <v>61</v>
      </c>
      <c r="D388" s="76"/>
      <c r="E388" s="14"/>
      <c r="F388" s="28">
        <f>+SUM(START:END!F388)</f>
        <v>0</v>
      </c>
      <c r="G388" s="78"/>
      <c r="H388" s="14"/>
      <c r="I388" s="28">
        <f>+SUM(START:END!I388)</f>
        <v>0</v>
      </c>
      <c r="J388" s="38"/>
      <c r="K388" s="14"/>
      <c r="L388" s="31">
        <f>+SUM(START:END!L388)</f>
        <v>0</v>
      </c>
      <c r="M388" s="38"/>
      <c r="N388" s="55">
        <f t="shared" si="117"/>
        <v>0</v>
      </c>
      <c r="O388" s="38"/>
      <c r="P388" s="14"/>
      <c r="Q388" s="31">
        <f>+SUM(START:END!Q388)</f>
        <v>0</v>
      </c>
      <c r="R388" s="38"/>
      <c r="S388" s="80">
        <f t="shared" si="118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tr">
        <f t="shared" si="112"/>
        <v>BoutiqueFormation</v>
      </c>
      <c r="B389" s="12" t="s">
        <v>119</v>
      </c>
      <c r="C389" s="99" t="s">
        <v>62</v>
      </c>
      <c r="D389" s="76"/>
      <c r="E389" s="14"/>
      <c r="F389" s="28">
        <f>+SUM(START:END!F389)</f>
        <v>0</v>
      </c>
      <c r="G389" s="78"/>
      <c r="H389" s="14"/>
      <c r="I389" s="28">
        <f>+SUM(START:END!I389)</f>
        <v>0</v>
      </c>
      <c r="J389" s="38"/>
      <c r="K389" s="14"/>
      <c r="L389" s="31">
        <f>+SUM(START:END!L389)</f>
        <v>0</v>
      </c>
      <c r="M389" s="38"/>
      <c r="N389" s="55">
        <f t="shared" si="117"/>
        <v>0</v>
      </c>
      <c r="O389" s="38"/>
      <c r="P389" s="14"/>
      <c r="Q389" s="31">
        <f>+SUM(START:END!Q389)</f>
        <v>0</v>
      </c>
      <c r="R389" s="38"/>
      <c r="S389" s="80">
        <f t="shared" si="118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tr">
        <f t="shared" si="112"/>
        <v>BoutiqueFrais bancaires</v>
      </c>
      <c r="B390" s="12" t="s">
        <v>119</v>
      </c>
      <c r="C390" s="99" t="s">
        <v>63</v>
      </c>
      <c r="D390" s="76"/>
      <c r="E390" s="14"/>
      <c r="F390" s="28">
        <f>+SUM(START:END!F390)</f>
        <v>0</v>
      </c>
      <c r="G390" s="78"/>
      <c r="H390" s="14"/>
      <c r="I390" s="28">
        <f>+SUM(START:END!I390)</f>
        <v>0</v>
      </c>
      <c r="J390" s="38"/>
      <c r="K390" s="14"/>
      <c r="L390" s="31">
        <f>+SUM(START:END!L390)</f>
        <v>0</v>
      </c>
      <c r="M390" s="38"/>
      <c r="N390" s="55">
        <f t="shared" si="117"/>
        <v>0</v>
      </c>
      <c r="O390" s="38"/>
      <c r="P390" s="14"/>
      <c r="Q390" s="31">
        <f>+SUM(START:END!Q390)</f>
        <v>0</v>
      </c>
      <c r="R390" s="38"/>
      <c r="S390" s="80">
        <f t="shared" si="118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2"/>
        <v>Boutique[...]</v>
      </c>
      <c r="B391" s="12" t="s">
        <v>119</v>
      </c>
      <c r="C391" s="99" t="s">
        <v>20</v>
      </c>
      <c r="D391" s="76"/>
      <c r="E391" s="14"/>
      <c r="F391" s="28">
        <f>+SUM(START:END!F391)</f>
        <v>0</v>
      </c>
      <c r="G391" s="78"/>
      <c r="H391" s="14"/>
      <c r="I391" s="28">
        <f>+SUM(START:END!I391)</f>
        <v>0</v>
      </c>
      <c r="J391" s="38"/>
      <c r="K391" s="14"/>
      <c r="L391" s="31">
        <f>+SUM(START:END!L391)</f>
        <v>0</v>
      </c>
      <c r="M391" s="38"/>
      <c r="N391" s="55">
        <f t="shared" si="117"/>
        <v>0</v>
      </c>
      <c r="O391" s="38"/>
      <c r="P391" s="14"/>
      <c r="Q391" s="31">
        <f>+SUM(START:END!Q391)</f>
        <v>0</v>
      </c>
      <c r="R391" s="38"/>
      <c r="S391" s="80">
        <f t="shared" si="118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2"/>
        <v>Boutique[...]</v>
      </c>
      <c r="B392" s="12" t="s">
        <v>119</v>
      </c>
      <c r="C392" s="99" t="s">
        <v>20</v>
      </c>
      <c r="D392" s="76"/>
      <c r="E392" s="14"/>
      <c r="F392" s="28">
        <f>+SUM(START:END!F392)</f>
        <v>0</v>
      </c>
      <c r="G392" s="78"/>
      <c r="H392" s="14"/>
      <c r="I392" s="28">
        <f>+SUM(START:END!I392)</f>
        <v>0</v>
      </c>
      <c r="J392" s="38"/>
      <c r="K392" s="14"/>
      <c r="L392" s="31">
        <f>+SUM(START:END!L392)</f>
        <v>0</v>
      </c>
      <c r="M392" s="38"/>
      <c r="N392" s="55">
        <f t="shared" si="117"/>
        <v>0</v>
      </c>
      <c r="O392" s="38"/>
      <c r="P392" s="14"/>
      <c r="Q392" s="31">
        <f>+SUM(START:END!Q392)</f>
        <v>0</v>
      </c>
      <c r="R392" s="38"/>
      <c r="S392" s="80">
        <f t="shared" si="118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2"/>
        <v>Boutique[...]</v>
      </c>
      <c r="B393" s="12" t="s">
        <v>119</v>
      </c>
      <c r="C393" s="99" t="s">
        <v>20</v>
      </c>
      <c r="D393" s="83"/>
      <c r="E393" s="108"/>
      <c r="F393" s="28">
        <f>+SUM(START:END!F393)</f>
        <v>0</v>
      </c>
      <c r="G393" s="85"/>
      <c r="H393" s="108"/>
      <c r="I393" s="28">
        <f>+SUM(START:END!I393)</f>
        <v>0</v>
      </c>
      <c r="J393" s="23"/>
      <c r="K393" s="108"/>
      <c r="L393" s="31">
        <f>+SUM(START:END!L393)</f>
        <v>0</v>
      </c>
      <c r="M393" s="23"/>
      <c r="N393" s="88">
        <f t="shared" si="117"/>
        <v>0</v>
      </c>
      <c r="O393" s="23"/>
      <c r="P393" s="108"/>
      <c r="Q393" s="31">
        <f>+SUM(START:END!Q393)</f>
        <v>0</v>
      </c>
      <c r="R393" s="23"/>
      <c r="S393" s="89">
        <f t="shared" si="118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0" t="s">
        <v>64</v>
      </c>
      <c r="D394" s="91" t="s">
        <v>39</v>
      </c>
      <c r="E394" s="92">
        <f>IFERROR(F394/F$359,0)</f>
        <v>0</v>
      </c>
      <c r="F394" s="93">
        <f>+SUM(F377:F393)</f>
        <v>0</v>
      </c>
      <c r="G394" s="94" t="s">
        <v>39</v>
      </c>
      <c r="H394" s="92">
        <f>IFERROR(I394/I$359,0)</f>
        <v>0</v>
      </c>
      <c r="I394" s="93">
        <f>+SUM(I377:I393)</f>
        <v>0</v>
      </c>
      <c r="J394" s="94" t="s">
        <v>39</v>
      </c>
      <c r="K394" s="92">
        <f>IFERROR(L394/L$359,0)</f>
        <v>0</v>
      </c>
      <c r="L394" s="93">
        <f>+SUM(L377:L393)</f>
        <v>0</v>
      </c>
      <c r="M394" s="140"/>
      <c r="N394" s="93">
        <f>+SUM(N377:N393)</f>
        <v>0</v>
      </c>
      <c r="O394" s="94" t="s">
        <v>39</v>
      </c>
      <c r="P394" s="92">
        <f>IFERROR(Q394/Q$359,0)</f>
        <v>0</v>
      </c>
      <c r="Q394" s="93">
        <f>+SUM(Q377:Q393)</f>
        <v>0</v>
      </c>
      <c r="R394" s="140"/>
      <c r="S394" s="111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27"/>
      <c r="D395" s="14"/>
      <c r="E395" s="14"/>
      <c r="F395" s="37"/>
      <c r="G395" s="38"/>
      <c r="H395" s="14"/>
      <c r="I395" s="37"/>
      <c r="J395" s="38"/>
      <c r="K395" s="14"/>
      <c r="L395" s="37"/>
      <c r="M395" s="73"/>
      <c r="N395" s="72"/>
      <c r="O395" s="38"/>
      <c r="P395" s="14"/>
      <c r="Q395" s="37"/>
      <c r="R395" s="38"/>
      <c r="S395" s="224"/>
      <c r="T395" s="225"/>
      <c r="U395" s="225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0" t="s">
        <v>65</v>
      </c>
      <c r="D396" s="91" t="s">
        <v>39</v>
      </c>
      <c r="E396" s="92">
        <f>IFERROR(F396/F$359,0)</f>
        <v>0</v>
      </c>
      <c r="F396" s="93">
        <f>F376+F394</f>
        <v>0</v>
      </c>
      <c r="G396" s="94" t="s">
        <v>39</v>
      </c>
      <c r="H396" s="92">
        <f>IFERROR(I396/I$359,0)</f>
        <v>0</v>
      </c>
      <c r="I396" s="93">
        <f>I376+I394</f>
        <v>0</v>
      </c>
      <c r="J396" s="94" t="s">
        <v>39</v>
      </c>
      <c r="K396" s="92">
        <f>IFERROR(L396/L$359,0)</f>
        <v>0</v>
      </c>
      <c r="L396" s="93">
        <f>L376+L394</f>
        <v>0</v>
      </c>
      <c r="M396" s="226"/>
      <c r="N396" s="93">
        <f>L396-I396</f>
        <v>0</v>
      </c>
      <c r="O396" s="94" t="s">
        <v>39</v>
      </c>
      <c r="P396" s="92">
        <f>IFERROR(Q396/Q$359,0)</f>
        <v>0</v>
      </c>
      <c r="Q396" s="93">
        <f>Q376+Q394</f>
        <v>0</v>
      </c>
      <c r="R396" s="97"/>
      <c r="S396" s="98">
        <f>L396-Q396</f>
        <v>0</v>
      </c>
      <c r="T396" s="225"/>
      <c r="U396" s="225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 thickBot="1">
      <c r="B397" s="7"/>
      <c r="C397" s="27"/>
      <c r="D397" s="14"/>
      <c r="E397" s="14"/>
      <c r="F397" s="55"/>
      <c r="G397" s="38"/>
      <c r="H397" s="14"/>
      <c r="I397" s="55"/>
      <c r="J397" s="38"/>
      <c r="K397" s="14"/>
      <c r="L397" s="55"/>
      <c r="M397" s="73"/>
      <c r="N397" s="72"/>
      <c r="O397" s="38"/>
      <c r="P397" s="14"/>
      <c r="Q397" s="55"/>
      <c r="R397" s="38"/>
      <c r="S397" s="224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 thickTop="1" thickBot="1">
      <c r="B398" s="7"/>
      <c r="C398" s="227" t="s">
        <v>72</v>
      </c>
      <c r="D398" s="228"/>
      <c r="E398" s="228"/>
      <c r="F398" s="229">
        <f>F361-F396</f>
        <v>0</v>
      </c>
      <c r="G398" s="230"/>
      <c r="H398" s="228"/>
      <c r="I398" s="229">
        <f>I361-I396</f>
        <v>0</v>
      </c>
      <c r="J398" s="231"/>
      <c r="K398" s="232"/>
      <c r="L398" s="229">
        <f>L361-L396</f>
        <v>0</v>
      </c>
      <c r="M398" s="230"/>
      <c r="N398" s="229">
        <f>L398-I398</f>
        <v>0</v>
      </c>
      <c r="O398" s="231"/>
      <c r="P398" s="232"/>
      <c r="Q398" s="229">
        <f>Q361-Q396</f>
        <v>0</v>
      </c>
      <c r="R398" s="231"/>
      <c r="S398" s="233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>
      <c r="B399" s="7"/>
      <c r="C399" s="71"/>
      <c r="D399" s="76"/>
      <c r="E399" s="14"/>
      <c r="F399" s="109"/>
      <c r="G399" s="76"/>
      <c r="H399" s="14"/>
      <c r="I399" s="109"/>
      <c r="J399" s="71"/>
      <c r="K399" s="71"/>
      <c r="L399" s="109"/>
      <c r="M399" s="71"/>
      <c r="N399" s="109"/>
      <c r="O399" s="71"/>
      <c r="P399" s="71"/>
      <c r="Q399" s="109"/>
      <c r="R399" s="71"/>
      <c r="S399" s="109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77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121</v>
      </c>
      <c r="AF401" s="6"/>
      <c r="AG401" s="6"/>
      <c r="AH401" s="1"/>
      <c r="AI401" s="1"/>
      <c r="AJ401" s="234"/>
      <c r="AK401" s="2"/>
      <c r="AL401" s="1"/>
      <c r="AM401" s="6"/>
      <c r="AN401" s="6"/>
      <c r="AO401" s="5" t="str">
        <f>$S$1</f>
        <v xml:space="preserve"> Volks Juin / Juillet 2023</v>
      </c>
      <c r="AP401" s="225"/>
      <c r="AQ401" s="225"/>
      <c r="AR401" s="225"/>
      <c r="AS401" s="225"/>
      <c r="AT401" s="225"/>
      <c r="AU401" s="225"/>
      <c r="AV401" s="225"/>
      <c r="AW401" s="225"/>
      <c r="AX401" s="225"/>
      <c r="AY401" s="225"/>
      <c r="AZ401" s="225"/>
      <c r="BA401" s="225"/>
      <c r="BB401" s="225"/>
      <c r="BC401" s="225"/>
      <c r="BD401" s="225"/>
      <c r="BE401" s="225"/>
      <c r="BF401" s="225"/>
      <c r="BG401" s="225"/>
      <c r="BH401" s="225"/>
      <c r="BI401" s="225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35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25"/>
      <c r="AQ402" s="225"/>
      <c r="AR402" s="225"/>
      <c r="AS402" s="225"/>
      <c r="AT402" s="225"/>
      <c r="AU402" s="225"/>
      <c r="AV402" s="225"/>
      <c r="AW402" s="225"/>
      <c r="AX402" s="225"/>
      <c r="AY402" s="225"/>
      <c r="AZ402" s="225"/>
      <c r="BA402" s="225"/>
      <c r="BB402" s="225"/>
      <c r="BC402" s="225"/>
      <c r="BD402" s="225"/>
      <c r="BE402" s="225"/>
      <c r="BF402" s="225"/>
      <c r="BG402" s="225"/>
      <c r="BH402" s="225"/>
      <c r="BI402" s="225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36"/>
      <c r="W403" s="237"/>
      <c r="X403" s="484" t="s">
        <v>122</v>
      </c>
      <c r="Y403" s="485"/>
      <c r="Z403" s="486"/>
      <c r="AA403" s="480"/>
      <c r="AB403" s="481"/>
      <c r="AC403" s="487"/>
      <c r="AD403" s="488" t="s">
        <v>7</v>
      </c>
      <c r="AE403" s="485"/>
      <c r="AF403" s="486"/>
      <c r="AG403" s="480" t="s">
        <v>472</v>
      </c>
      <c r="AH403" s="481"/>
      <c r="AI403" s="487"/>
      <c r="AJ403" s="488" t="s">
        <v>123</v>
      </c>
      <c r="AK403" s="485"/>
      <c r="AL403" s="485"/>
      <c r="AM403" s="480" t="s">
        <v>124</v>
      </c>
      <c r="AN403" s="481"/>
      <c r="AO403" s="482"/>
      <c r="AP403" s="225"/>
      <c r="AQ403" s="225"/>
      <c r="AR403" s="225"/>
      <c r="AS403" s="225"/>
      <c r="AT403" s="225"/>
      <c r="AU403" s="225"/>
      <c r="AV403" s="225"/>
      <c r="AW403" s="225"/>
      <c r="AX403" s="225"/>
      <c r="AY403" s="225"/>
      <c r="AZ403" s="225"/>
      <c r="BA403" s="225"/>
      <c r="BB403" s="225"/>
      <c r="BC403" s="225"/>
      <c r="BD403" s="225"/>
      <c r="BE403" s="225"/>
      <c r="BF403" s="225"/>
      <c r="BG403" s="225"/>
      <c r="BH403" s="225"/>
      <c r="BI403" s="225"/>
    </row>
    <row r="404" spans="1:61" ht="15.75" customHeight="1">
      <c r="A404" t="str">
        <f t="shared" ref="A404:A483" si="119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2"/>
      <c r="W404" s="238" t="s">
        <v>125</v>
      </c>
      <c r="X404" s="238" t="s">
        <v>126</v>
      </c>
      <c r="Y404" s="238" t="s">
        <v>127</v>
      </c>
      <c r="Z404" s="239" t="s">
        <v>128</v>
      </c>
      <c r="AA404" s="238"/>
      <c r="AB404" s="238"/>
      <c r="AC404" s="239"/>
      <c r="AD404" s="240" t="s">
        <v>126</v>
      </c>
      <c r="AE404" s="238" t="s">
        <v>127</v>
      </c>
      <c r="AF404" s="238" t="s">
        <v>128</v>
      </c>
      <c r="AG404" s="240" t="s">
        <v>129</v>
      </c>
      <c r="AH404" s="238" t="s">
        <v>130</v>
      </c>
      <c r="AI404" s="238" t="s">
        <v>131</v>
      </c>
      <c r="AJ404" s="240" t="s">
        <v>126</v>
      </c>
      <c r="AK404" s="238" t="s">
        <v>127</v>
      </c>
      <c r="AL404" s="238" t="s">
        <v>128</v>
      </c>
      <c r="AM404" s="241" t="s">
        <v>129</v>
      </c>
      <c r="AN404" s="238" t="s">
        <v>130</v>
      </c>
      <c r="AO404" s="133" t="s">
        <v>131</v>
      </c>
      <c r="AP404" s="225"/>
      <c r="AQ404" s="225"/>
      <c r="AR404" s="225"/>
      <c r="AS404" s="225"/>
      <c r="AT404" s="225"/>
      <c r="AU404" s="225"/>
      <c r="AV404" s="225"/>
      <c r="AW404" s="225"/>
      <c r="AX404" s="225"/>
      <c r="AY404" s="225"/>
      <c r="AZ404" s="225"/>
      <c r="BA404" s="225"/>
      <c r="BB404" s="225"/>
      <c r="BC404" s="225"/>
      <c r="BD404" s="225"/>
      <c r="BE404" s="225"/>
      <c r="BF404" s="225"/>
      <c r="BG404" s="225"/>
      <c r="BH404" s="225"/>
      <c r="BI404" s="225"/>
    </row>
    <row r="405" spans="1:61" ht="15.75" customHeight="1">
      <c r="A405" t="str">
        <f t="shared" si="119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25"/>
      <c r="U405" s="225"/>
      <c r="V405" s="100" t="s">
        <v>15</v>
      </c>
      <c r="W405" s="242"/>
      <c r="X405" s="242"/>
      <c r="Y405" s="242"/>
      <c r="Z405" s="243">
        <f>F5+F93+E193+E249+D313+D361</f>
        <v>9346028.7778564896</v>
      </c>
      <c r="AA405" s="242"/>
      <c r="AB405" s="242"/>
      <c r="AC405" s="243"/>
      <c r="AD405" s="244"/>
      <c r="AE405" s="245"/>
      <c r="AF405" s="245">
        <f>L5+L93+K193+K249+J313+J361</f>
        <v>10172889.5</v>
      </c>
      <c r="AG405" s="244"/>
      <c r="AH405" s="245"/>
      <c r="AI405" s="246"/>
      <c r="AJ405" s="244"/>
      <c r="AK405" s="245"/>
      <c r="AL405" s="245">
        <f>Q5+Q93+P193+P249+O313+O361</f>
        <v>10597372.750000002</v>
      </c>
      <c r="AM405" s="247"/>
      <c r="AN405" s="245"/>
      <c r="AO405" s="449"/>
      <c r="AP405" s="225"/>
      <c r="AQ405" s="465"/>
      <c r="AR405" s="465"/>
      <c r="AS405" s="225"/>
      <c r="AT405" s="225"/>
      <c r="AU405" s="225"/>
      <c r="AV405" s="225"/>
      <c r="AW405" s="225"/>
      <c r="AX405" s="225"/>
      <c r="AY405" s="225"/>
      <c r="AZ405" s="225"/>
      <c r="BA405" s="225"/>
      <c r="BB405" s="225"/>
      <c r="BC405" s="225"/>
      <c r="BD405" s="225"/>
      <c r="BE405" s="225"/>
      <c r="BF405" s="225"/>
      <c r="BG405" s="225"/>
      <c r="BH405" s="225"/>
      <c r="BI405" s="225"/>
    </row>
    <row r="406" spans="1:61" ht="15.75" customHeight="1">
      <c r="A406" t="str">
        <f t="shared" si="119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25"/>
      <c r="U406" s="225"/>
      <c r="V406" s="248" t="s">
        <v>132</v>
      </c>
      <c r="W406" s="249"/>
      <c r="X406" s="249"/>
      <c r="Y406" s="249"/>
      <c r="Z406" s="250">
        <f>F27+F107+F193+F249+F313+F361</f>
        <v>1339678.4319540977</v>
      </c>
      <c r="AA406" s="249"/>
      <c r="AB406" s="249"/>
      <c r="AC406" s="250"/>
      <c r="AD406" s="251"/>
      <c r="AE406" s="252"/>
      <c r="AF406" s="252">
        <f>L27+L107+L193+L249+L313+L361</f>
        <v>1288302.4900000002</v>
      </c>
      <c r="AG406" s="251"/>
      <c r="AH406" s="252">
        <f>AF406-Z406</f>
        <v>-51375.941954097478</v>
      </c>
      <c r="AI406" s="253">
        <f>AH406/Z406</f>
        <v>-3.8349458145085523E-2</v>
      </c>
      <c r="AJ406" s="251"/>
      <c r="AK406" s="252"/>
      <c r="AL406" s="252">
        <f>Q27+Q107+Q193+Q249+Q313+Q361</f>
        <v>1497150.13</v>
      </c>
      <c r="AM406" s="254"/>
      <c r="AN406" s="252">
        <f>AF406-AL406</f>
        <v>-208847.63999999966</v>
      </c>
      <c r="AO406" s="450">
        <f>IF(AL406=0,0,AN406/AL406)</f>
        <v>-0.1394967918147258</v>
      </c>
      <c r="AP406" s="225"/>
      <c r="AQ406" s="465"/>
      <c r="AR406" s="465"/>
      <c r="AS406" s="225"/>
      <c r="AT406" s="225"/>
      <c r="AU406" s="225"/>
      <c r="AV406" s="225"/>
      <c r="AW406" s="225"/>
      <c r="AX406" s="225"/>
      <c r="AY406" s="225"/>
      <c r="AZ406" s="225"/>
      <c r="BA406" s="225"/>
      <c r="BB406" s="225"/>
      <c r="BC406" s="225"/>
      <c r="BD406" s="225"/>
      <c r="BE406" s="225"/>
      <c r="BF406" s="225"/>
      <c r="BG406" s="225"/>
      <c r="BH406" s="225"/>
      <c r="BI406" s="225"/>
    </row>
    <row r="407" spans="1:61" ht="15.75" customHeight="1">
      <c r="A407" t="str">
        <f t="shared" si="119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25"/>
      <c r="U407" s="225"/>
      <c r="V407" s="255" t="s">
        <v>133</v>
      </c>
      <c r="W407" s="256"/>
      <c r="X407" s="256"/>
      <c r="Y407" s="256"/>
      <c r="Z407" s="257"/>
      <c r="AA407" s="256"/>
      <c r="AB407" s="256"/>
      <c r="AC407" s="257"/>
      <c r="AD407" s="258"/>
      <c r="AE407" s="256"/>
      <c r="AF407" s="259"/>
      <c r="AG407" s="258"/>
      <c r="AH407" s="259"/>
      <c r="AI407" s="260"/>
      <c r="AJ407" s="258"/>
      <c r="AK407" s="256"/>
      <c r="AL407" s="259"/>
      <c r="AM407" s="261"/>
      <c r="AN407" s="259"/>
      <c r="AO407" s="451"/>
      <c r="AP407" s="225"/>
      <c r="AQ407" s="465"/>
      <c r="AR407" s="465"/>
      <c r="AS407" s="225"/>
      <c r="AT407" s="225"/>
      <c r="AU407" s="225"/>
      <c r="AV407" s="225"/>
      <c r="AW407" s="225"/>
      <c r="AX407" s="225"/>
      <c r="AY407" s="225"/>
      <c r="AZ407" s="225"/>
      <c r="BA407" s="225"/>
      <c r="BB407" s="225"/>
      <c r="BC407" s="225"/>
      <c r="BD407" s="225"/>
      <c r="BE407" s="225"/>
      <c r="BF407" s="225"/>
      <c r="BG407" s="225"/>
      <c r="BH407" s="225"/>
      <c r="BI407" s="225"/>
    </row>
    <row r="408" spans="1:61" ht="15.75" customHeight="1">
      <c r="A408" t="str">
        <f t="shared" si="119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25"/>
      <c r="U408" s="225"/>
      <c r="V408" s="99" t="s">
        <v>31</v>
      </c>
      <c r="W408" s="262" t="s">
        <v>134</v>
      </c>
      <c r="X408" s="256"/>
      <c r="Y408" s="263">
        <f t="shared" ref="Y408:Y417" si="120">Z408/(D$13+D$96)</f>
        <v>715.32406585473939</v>
      </c>
      <c r="Z408" s="257">
        <f>+SUM(START:END!Z408)</f>
        <v>124951.24800828571</v>
      </c>
      <c r="AA408" s="256"/>
      <c r="AB408" s="263"/>
      <c r="AC408" s="257"/>
      <c r="AD408" s="264"/>
      <c r="AE408" s="263">
        <f t="shared" ref="AE408:AE413" si="121">IF(AF408=0,0,AF408/(J$13+J$96))</f>
        <v>890.02671052631581</v>
      </c>
      <c r="AF408" s="257">
        <f>+SUM(START:END!AF408)</f>
        <v>135284.06</v>
      </c>
      <c r="AG408" s="258">
        <f t="shared" ref="AG408:AH423" si="122">AE408-Y408</f>
        <v>174.70264467157642</v>
      </c>
      <c r="AH408" s="259">
        <f t="shared" si="122"/>
        <v>10332.81199171429</v>
      </c>
      <c r="AI408" s="260">
        <f t="shared" ref="AI408:AI417" si="123">IF(Z408=0,0,AH408/Z408)</f>
        <v>8.2694748203148052E-2</v>
      </c>
      <c r="AJ408" s="264"/>
      <c r="AK408" s="259">
        <f t="shared" ref="AK408:AK417" si="124">AL408/(O$13+O$96)</f>
        <v>948.32785310734459</v>
      </c>
      <c r="AL408" s="257">
        <f t="shared" ref="AL408:AL417" si="125">+SUMIF($C:$C,$V408,Q:Q)</f>
        <v>167854.03</v>
      </c>
      <c r="AM408" s="261">
        <f t="shared" ref="AM408:AM417" si="126">AE408-Y408</f>
        <v>174.70264467157642</v>
      </c>
      <c r="AN408" s="259">
        <f t="shared" ref="AN408:AN430" si="127">AF408-AL408</f>
        <v>-32569.97</v>
      </c>
      <c r="AO408" s="452">
        <f t="shared" ref="AO408:AO430" si="128">IF(AL408=0,0,AN408/AL408)</f>
        <v>-0.19403746219259677</v>
      </c>
      <c r="AP408" s="225"/>
      <c r="AQ408" s="465"/>
      <c r="AR408" s="465"/>
      <c r="AS408" s="225"/>
      <c r="AT408" s="225"/>
      <c r="AU408" s="225"/>
      <c r="AV408" s="225"/>
      <c r="AW408" s="225"/>
      <c r="AX408" s="225"/>
      <c r="AY408" s="225"/>
      <c r="AZ408" s="225"/>
      <c r="BA408" s="225"/>
      <c r="BB408" s="225"/>
      <c r="BC408" s="225"/>
      <c r="BD408" s="225"/>
      <c r="BE408" s="225"/>
      <c r="BF408" s="225"/>
      <c r="BG408" s="225"/>
      <c r="BH408" s="225"/>
      <c r="BI408" s="225"/>
    </row>
    <row r="409" spans="1:61" ht="15.75" customHeight="1">
      <c r="A409" t="str">
        <f t="shared" si="119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25"/>
      <c r="U409" s="225"/>
      <c r="V409" s="100" t="s">
        <v>32</v>
      </c>
      <c r="W409" s="265" t="s">
        <v>135</v>
      </c>
      <c r="X409" s="242"/>
      <c r="Y409" s="266">
        <f t="shared" si="120"/>
        <v>477.77802386515441</v>
      </c>
      <c r="Z409" s="243">
        <f>+SUM(START:END!Z409)</f>
        <v>83457.223379657138</v>
      </c>
      <c r="AA409" s="242"/>
      <c r="AB409" s="266"/>
      <c r="AC409" s="243"/>
      <c r="AD409" s="267"/>
      <c r="AE409" s="266">
        <f t="shared" si="121"/>
        <v>441.65302631578953</v>
      </c>
      <c r="AF409" s="243">
        <f>+SUM(START:END!AF409)</f>
        <v>67131.260000000009</v>
      </c>
      <c r="AG409" s="244">
        <f t="shared" si="122"/>
        <v>-36.124997549364878</v>
      </c>
      <c r="AH409" s="245">
        <f t="shared" si="122"/>
        <v>-16325.963379657129</v>
      </c>
      <c r="AI409" s="268">
        <f t="shared" si="123"/>
        <v>-0.19562073501281393</v>
      </c>
      <c r="AJ409" s="267"/>
      <c r="AK409" s="245">
        <f t="shared" si="124"/>
        <v>502.69435028248586</v>
      </c>
      <c r="AL409" s="243">
        <f t="shared" si="125"/>
        <v>88976.9</v>
      </c>
      <c r="AM409" s="247">
        <f t="shared" si="126"/>
        <v>-36.124997549364878</v>
      </c>
      <c r="AN409" s="245">
        <f t="shared" si="127"/>
        <v>-21845.639999999985</v>
      </c>
      <c r="AO409" s="449">
        <f t="shared" si="128"/>
        <v>-0.24552035415933784</v>
      </c>
      <c r="AP409" s="225"/>
      <c r="AQ409" s="465"/>
      <c r="AR409" s="465"/>
      <c r="AS409" s="225"/>
      <c r="AT409" s="225"/>
      <c r="AU409" s="225"/>
      <c r="AV409" s="225"/>
      <c r="AW409" s="225"/>
      <c r="AX409" s="225"/>
      <c r="AY409" s="225"/>
      <c r="AZ409" s="225"/>
      <c r="BA409" s="225"/>
      <c r="BB409" s="225"/>
      <c r="BC409" s="225"/>
      <c r="BD409" s="225"/>
      <c r="BE409" s="225"/>
      <c r="BF409" s="225"/>
      <c r="BG409" s="225"/>
      <c r="BH409" s="225"/>
      <c r="BI409" s="225"/>
    </row>
    <row r="410" spans="1:61" ht="15.75" customHeight="1">
      <c r="A410" t="str">
        <f t="shared" si="119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25"/>
      <c r="U410" s="225"/>
      <c r="V410" s="99" t="s">
        <v>33</v>
      </c>
      <c r="W410" s="262" t="s">
        <v>136</v>
      </c>
      <c r="X410" s="256"/>
      <c r="Y410" s="263">
        <f t="shared" si="120"/>
        <v>86.024595041432832</v>
      </c>
      <c r="Z410" s="257">
        <f>+SUM(START:END!Z410)</f>
        <v>15026.588679063387</v>
      </c>
      <c r="AA410" s="256"/>
      <c r="AB410" s="263"/>
      <c r="AC410" s="257"/>
      <c r="AD410" s="264"/>
      <c r="AE410" s="263">
        <f t="shared" si="121"/>
        <v>68.346315789473678</v>
      </c>
      <c r="AF410" s="257">
        <f>+SUM(START:END!AF410)</f>
        <v>10388.64</v>
      </c>
      <c r="AG410" s="258">
        <f t="shared" si="122"/>
        <v>-17.678279251959154</v>
      </c>
      <c r="AH410" s="259">
        <f t="shared" si="122"/>
        <v>-4637.9486790633873</v>
      </c>
      <c r="AI410" s="260">
        <f t="shared" si="123"/>
        <v>-0.30864947315191116</v>
      </c>
      <c r="AJ410" s="264"/>
      <c r="AK410" s="259">
        <f t="shared" si="124"/>
        <v>78.508700564971747</v>
      </c>
      <c r="AL410" s="257">
        <f t="shared" si="125"/>
        <v>13896.039999999999</v>
      </c>
      <c r="AM410" s="261">
        <f t="shared" si="126"/>
        <v>-17.678279251959154</v>
      </c>
      <c r="AN410" s="259">
        <f t="shared" si="127"/>
        <v>-3507.3999999999996</v>
      </c>
      <c r="AO410" s="452">
        <f t="shared" si="128"/>
        <v>-0.2524028428242866</v>
      </c>
      <c r="AP410" s="225"/>
      <c r="AQ410" s="465"/>
      <c r="AR410" s="465"/>
      <c r="AS410" s="225"/>
      <c r="AT410" s="225"/>
      <c r="AU410" s="225"/>
      <c r="AV410" s="225"/>
      <c r="AW410" s="225"/>
      <c r="AX410" s="225"/>
      <c r="AY410" s="225"/>
      <c r="AZ410" s="225"/>
      <c r="BA410" s="225"/>
      <c r="BB410" s="225"/>
      <c r="BC410" s="225"/>
      <c r="BD410" s="225"/>
      <c r="BE410" s="225"/>
      <c r="BF410" s="225"/>
      <c r="BG410" s="225"/>
      <c r="BH410" s="225"/>
      <c r="BI410" s="225"/>
    </row>
    <row r="411" spans="1:61" ht="15.75" customHeight="1">
      <c r="A411" t="str">
        <f t="shared" si="119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25"/>
      <c r="U411" s="225"/>
      <c r="V411" s="99" t="s">
        <v>34</v>
      </c>
      <c r="W411" s="262" t="s">
        <v>137</v>
      </c>
      <c r="X411" s="256"/>
      <c r="Y411" s="263">
        <f t="shared" si="120"/>
        <v>9.8738218243876243</v>
      </c>
      <c r="Z411" s="257">
        <f>+SUM(START:END!Z411)</f>
        <v>1724.7376657102693</v>
      </c>
      <c r="AA411" s="256"/>
      <c r="AB411" s="263"/>
      <c r="AC411" s="257"/>
      <c r="AD411" s="264"/>
      <c r="AE411" s="263">
        <f t="shared" si="121"/>
        <v>4.3438815789473679</v>
      </c>
      <c r="AF411" s="257">
        <f>+SUM(START:END!AF411)</f>
        <v>660.27</v>
      </c>
      <c r="AG411" s="258">
        <f t="shared" si="122"/>
        <v>-5.5299402454402564</v>
      </c>
      <c r="AH411" s="259">
        <f t="shared" si="122"/>
        <v>-1064.4676657102693</v>
      </c>
      <c r="AI411" s="260">
        <f t="shared" si="123"/>
        <v>-0.61717656364390217</v>
      </c>
      <c r="AJ411" s="264"/>
      <c r="AK411" s="259">
        <f t="shared" si="124"/>
        <v>4.3540112994350277</v>
      </c>
      <c r="AL411" s="257">
        <f t="shared" si="125"/>
        <v>770.66</v>
      </c>
      <c r="AM411" s="261">
        <f t="shared" si="126"/>
        <v>-5.5299402454402564</v>
      </c>
      <c r="AN411" s="259">
        <f t="shared" si="127"/>
        <v>-110.38999999999999</v>
      </c>
      <c r="AO411" s="452">
        <f t="shared" si="128"/>
        <v>-0.14324085848493498</v>
      </c>
      <c r="AP411" s="225"/>
      <c r="AQ411" s="465"/>
      <c r="AR411" s="465"/>
      <c r="AS411" s="225"/>
      <c r="AT411" s="225"/>
      <c r="AU411" s="225"/>
      <c r="AV411" s="225"/>
      <c r="AW411" s="225"/>
      <c r="AX411" s="225"/>
      <c r="AY411" s="225"/>
      <c r="AZ411" s="225"/>
      <c r="BA411" s="225"/>
      <c r="BB411" s="225"/>
      <c r="BC411" s="225"/>
      <c r="BD411" s="225"/>
      <c r="BE411" s="225"/>
      <c r="BF411" s="225"/>
      <c r="BG411" s="225"/>
      <c r="BH411" s="225"/>
      <c r="BI411" s="225"/>
    </row>
    <row r="412" spans="1:61" ht="15.75" customHeight="1">
      <c r="A412" t="str">
        <f t="shared" si="119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25"/>
      <c r="U412" s="225"/>
      <c r="V412" s="100" t="s">
        <v>35</v>
      </c>
      <c r="W412" s="265"/>
      <c r="X412" s="242"/>
      <c r="Y412" s="266">
        <f t="shared" si="120"/>
        <v>116.72642789242259</v>
      </c>
      <c r="Z412" s="243">
        <f>+SUM(START:END!Z412)</f>
        <v>20389.517893934757</v>
      </c>
      <c r="AA412" s="242"/>
      <c r="AB412" s="266"/>
      <c r="AC412" s="243"/>
      <c r="AD412" s="267"/>
      <c r="AE412" s="266">
        <f t="shared" si="121"/>
        <v>112.07348684210525</v>
      </c>
      <c r="AF412" s="243">
        <f>+SUM(START:END!AF412)</f>
        <v>17035.169999999998</v>
      </c>
      <c r="AG412" s="244">
        <f t="shared" si="122"/>
        <v>-4.6529410503173381</v>
      </c>
      <c r="AH412" s="245">
        <f t="shared" si="122"/>
        <v>-3354.3478939347588</v>
      </c>
      <c r="AI412" s="268">
        <f t="shared" si="123"/>
        <v>-0.16451335001562603</v>
      </c>
      <c r="AJ412" s="267"/>
      <c r="AK412" s="245">
        <f t="shared" si="124"/>
        <v>131.66333333333333</v>
      </c>
      <c r="AL412" s="243">
        <f t="shared" si="125"/>
        <v>23304.41</v>
      </c>
      <c r="AM412" s="247">
        <f t="shared" si="126"/>
        <v>-4.6529410503173381</v>
      </c>
      <c r="AN412" s="245">
        <f t="shared" si="127"/>
        <v>-6269.2400000000016</v>
      </c>
      <c r="AO412" s="449">
        <f t="shared" si="128"/>
        <v>-0.26901517781398465</v>
      </c>
      <c r="AP412" s="225"/>
      <c r="AQ412" s="465"/>
      <c r="AR412" s="465"/>
      <c r="AS412" s="225"/>
      <c r="AT412" s="225"/>
      <c r="AU412" s="225"/>
      <c r="AV412" s="225"/>
      <c r="AW412" s="225"/>
      <c r="AX412" s="225"/>
      <c r="AY412" s="225"/>
      <c r="AZ412" s="225"/>
      <c r="BA412" s="225"/>
      <c r="BB412" s="225"/>
      <c r="BC412" s="225"/>
      <c r="BD412" s="225"/>
      <c r="BE412" s="225"/>
      <c r="BF412" s="225"/>
      <c r="BG412" s="225"/>
      <c r="BH412" s="225"/>
      <c r="BI412" s="225"/>
    </row>
    <row r="413" spans="1:61" ht="15.75" customHeight="1">
      <c r="A413" t="str">
        <f t="shared" si="119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25"/>
      <c r="U413" s="225"/>
      <c r="V413" s="99" t="s">
        <v>36</v>
      </c>
      <c r="W413" s="262" t="s">
        <v>138</v>
      </c>
      <c r="X413" s="260"/>
      <c r="Y413" s="263">
        <f t="shared" si="120"/>
        <v>208.04148990947704</v>
      </c>
      <c r="Z413" s="257">
        <f>+SUM(START:END!Z413)</f>
        <v>36340.233808058598</v>
      </c>
      <c r="AA413" s="260"/>
      <c r="AB413" s="263"/>
      <c r="AC413" s="257"/>
      <c r="AD413" s="264"/>
      <c r="AE413" s="263">
        <f t="shared" si="121"/>
        <v>261.83598684210529</v>
      </c>
      <c r="AF413" s="257">
        <f>+SUM(START:END!AF413)</f>
        <v>39799.07</v>
      </c>
      <c r="AG413" s="258">
        <f t="shared" si="122"/>
        <v>53.794496932628249</v>
      </c>
      <c r="AH413" s="259">
        <f t="shared" si="122"/>
        <v>3458.8361919414019</v>
      </c>
      <c r="AI413" s="260">
        <f t="shared" si="123"/>
        <v>9.5179249814688602E-2</v>
      </c>
      <c r="AJ413" s="264"/>
      <c r="AK413" s="259">
        <f t="shared" si="124"/>
        <v>168.63152542372882</v>
      </c>
      <c r="AL413" s="257">
        <f t="shared" si="125"/>
        <v>29847.78</v>
      </c>
      <c r="AM413" s="261">
        <f t="shared" si="126"/>
        <v>53.794496932628249</v>
      </c>
      <c r="AN413" s="259">
        <f t="shared" si="127"/>
        <v>9951.2900000000009</v>
      </c>
      <c r="AO413" s="452">
        <f t="shared" si="128"/>
        <v>0.3334013450916618</v>
      </c>
      <c r="AP413" s="225"/>
      <c r="AQ413" s="465"/>
      <c r="AR413" s="465"/>
      <c r="AS413" s="225"/>
      <c r="AT413" s="225"/>
      <c r="AU413" s="225"/>
      <c r="AV413" s="225"/>
      <c r="AW413" s="225"/>
      <c r="AX413" s="225"/>
      <c r="AY413" s="225"/>
      <c r="AZ413" s="225"/>
      <c r="BA413" s="225"/>
      <c r="BB413" s="225"/>
      <c r="BC413" s="225"/>
      <c r="BD413" s="225"/>
      <c r="BE413" s="225"/>
      <c r="BF413" s="225"/>
      <c r="BG413" s="225"/>
      <c r="BH413" s="225"/>
      <c r="BI413" s="225"/>
    </row>
    <row r="414" spans="1:61" ht="15.75" customHeight="1">
      <c r="A414" t="str">
        <f t="shared" si="119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25"/>
      <c r="U414" s="225"/>
      <c r="V414" s="99" t="s">
        <v>37</v>
      </c>
      <c r="W414" s="262" t="s">
        <v>139</v>
      </c>
      <c r="X414" s="256"/>
      <c r="Y414" s="263">
        <f t="shared" si="120"/>
        <v>104.17758217500811</v>
      </c>
      <c r="Z414" s="257">
        <f>+SUM(START:END!Z414)</f>
        <v>18197.51288767123</v>
      </c>
      <c r="AA414" s="256"/>
      <c r="AB414" s="263"/>
      <c r="AC414" s="257"/>
      <c r="AD414" s="264"/>
      <c r="AE414" s="263">
        <f>IF(AF414=0,0,AF414/(J$13+J$13))</f>
        <v>66.825109890109886</v>
      </c>
      <c r="AF414" s="257">
        <f>+SUM(START:END!AF414)</f>
        <v>12162.17</v>
      </c>
      <c r="AG414" s="258">
        <f t="shared" si="122"/>
        <v>-37.352472284898226</v>
      </c>
      <c r="AH414" s="259">
        <f t="shared" si="122"/>
        <v>-6035.3428876712296</v>
      </c>
      <c r="AI414" s="260">
        <f t="shared" si="123"/>
        <v>-0.33165756908242994</v>
      </c>
      <c r="AJ414" s="264"/>
      <c r="AK414" s="259">
        <f t="shared" si="124"/>
        <v>56.204237288135594</v>
      </c>
      <c r="AL414" s="257">
        <f t="shared" si="125"/>
        <v>9948.15</v>
      </c>
      <c r="AM414" s="261">
        <f t="shared" si="126"/>
        <v>-37.352472284898226</v>
      </c>
      <c r="AN414" s="259">
        <f t="shared" si="127"/>
        <v>2214.0200000000004</v>
      </c>
      <c r="AO414" s="452">
        <f t="shared" si="128"/>
        <v>0.22255595261430522</v>
      </c>
      <c r="AP414" s="225"/>
      <c r="AQ414" s="465"/>
      <c r="AR414" s="465"/>
      <c r="AS414" s="225"/>
      <c r="AT414" s="225"/>
      <c r="AU414" s="225"/>
      <c r="AV414" s="225"/>
      <c r="AW414" s="225"/>
      <c r="AX414" s="225"/>
      <c r="AY414" s="225"/>
      <c r="AZ414" s="225"/>
      <c r="BA414" s="225"/>
      <c r="BB414" s="225"/>
      <c r="BC414" s="225"/>
      <c r="BD414" s="225"/>
      <c r="BE414" s="225"/>
      <c r="BF414" s="225"/>
      <c r="BG414" s="225"/>
      <c r="BH414" s="225"/>
      <c r="BI414" s="225"/>
    </row>
    <row r="415" spans="1:61" ht="15.75" hidden="1" customHeight="1">
      <c r="A415" t="str">
        <f t="shared" si="119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25"/>
      <c r="U415" s="225"/>
      <c r="V415" s="99" t="s">
        <v>20</v>
      </c>
      <c r="W415" s="262"/>
      <c r="X415" s="260"/>
      <c r="Y415" s="263">
        <f t="shared" si="120"/>
        <v>0</v>
      </c>
      <c r="Z415" s="257">
        <f t="shared" ref="Z415:Z417" si="129">+SUMIF($C:$C,$V415,F:F)</f>
        <v>0</v>
      </c>
      <c r="AA415" s="256"/>
      <c r="AB415" s="263"/>
      <c r="AC415" s="257"/>
      <c r="AD415" s="264"/>
      <c r="AE415" s="263">
        <f t="shared" ref="AE415:AE417" si="130">IF(AF415=0,0,AF415/(J$13+J$13))</f>
        <v>0</v>
      </c>
      <c r="AF415" s="257">
        <f t="shared" ref="AF415:AF417" si="131">+SUMIF($C:$C,$V415,L:L)</f>
        <v>0</v>
      </c>
      <c r="AG415" s="258">
        <f t="shared" si="122"/>
        <v>0</v>
      </c>
      <c r="AH415" s="259">
        <f t="shared" si="122"/>
        <v>0</v>
      </c>
      <c r="AI415" s="260">
        <f t="shared" si="123"/>
        <v>0</v>
      </c>
      <c r="AJ415" s="264"/>
      <c r="AK415" s="259">
        <f t="shared" si="124"/>
        <v>0</v>
      </c>
      <c r="AL415" s="257">
        <f t="shared" si="125"/>
        <v>0</v>
      </c>
      <c r="AM415" s="261">
        <f t="shared" si="126"/>
        <v>0</v>
      </c>
      <c r="AN415" s="259">
        <f t="shared" si="127"/>
        <v>0</v>
      </c>
      <c r="AO415" s="452">
        <f t="shared" si="128"/>
        <v>0</v>
      </c>
      <c r="AP415" s="225"/>
      <c r="AQ415" s="465"/>
      <c r="AR415" s="465"/>
      <c r="AS415" s="225"/>
      <c r="AT415" s="225"/>
      <c r="AU415" s="225"/>
      <c r="AV415" s="225"/>
      <c r="AW415" s="225"/>
      <c r="AX415" s="225"/>
      <c r="AY415" s="225"/>
      <c r="AZ415" s="225"/>
      <c r="BA415" s="225"/>
      <c r="BB415" s="225"/>
      <c r="BC415" s="225"/>
      <c r="BD415" s="225"/>
      <c r="BE415" s="225"/>
      <c r="BF415" s="225"/>
      <c r="BG415" s="225"/>
      <c r="BH415" s="225"/>
      <c r="BI415" s="225"/>
    </row>
    <row r="416" spans="1:61" ht="15.75" hidden="1" customHeight="1">
      <c r="A416" t="str">
        <f t="shared" si="119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25"/>
      <c r="U416" s="225"/>
      <c r="V416" s="99" t="s">
        <v>20</v>
      </c>
      <c r="W416" s="262"/>
      <c r="X416" s="260"/>
      <c r="Y416" s="263">
        <f t="shared" si="120"/>
        <v>0</v>
      </c>
      <c r="Z416" s="257">
        <f t="shared" si="129"/>
        <v>0</v>
      </c>
      <c r="AA416" s="256"/>
      <c r="AB416" s="263"/>
      <c r="AC416" s="257"/>
      <c r="AD416" s="264"/>
      <c r="AE416" s="263">
        <f t="shared" si="130"/>
        <v>0</v>
      </c>
      <c r="AF416" s="257">
        <f t="shared" si="131"/>
        <v>0</v>
      </c>
      <c r="AG416" s="258">
        <f t="shared" si="122"/>
        <v>0</v>
      </c>
      <c r="AH416" s="259">
        <f t="shared" si="122"/>
        <v>0</v>
      </c>
      <c r="AI416" s="260">
        <f t="shared" si="123"/>
        <v>0</v>
      </c>
      <c r="AJ416" s="264"/>
      <c r="AK416" s="259">
        <f t="shared" si="124"/>
        <v>0</v>
      </c>
      <c r="AL416" s="257">
        <f t="shared" si="125"/>
        <v>0</v>
      </c>
      <c r="AM416" s="261">
        <f t="shared" si="126"/>
        <v>0</v>
      </c>
      <c r="AN416" s="259">
        <f t="shared" si="127"/>
        <v>0</v>
      </c>
      <c r="AO416" s="452">
        <f t="shared" si="128"/>
        <v>0</v>
      </c>
      <c r="AP416" s="225"/>
      <c r="AQ416" s="465"/>
      <c r="AR416" s="465"/>
      <c r="AS416" s="225"/>
      <c r="AT416" s="225"/>
      <c r="AU416" s="225"/>
      <c r="AV416" s="225"/>
      <c r="AW416" s="225"/>
      <c r="AX416" s="225"/>
      <c r="AY416" s="225"/>
      <c r="AZ416" s="225"/>
      <c r="BA416" s="225"/>
      <c r="BB416" s="225"/>
      <c r="BC416" s="225"/>
      <c r="BD416" s="225"/>
      <c r="BE416" s="225"/>
      <c r="BF416" s="225"/>
      <c r="BG416" s="225"/>
      <c r="BH416" s="225"/>
      <c r="BI416" s="225"/>
    </row>
    <row r="417" spans="1:61" ht="15.75" hidden="1" customHeight="1">
      <c r="A417" t="str">
        <f t="shared" si="119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25"/>
      <c r="U417" s="225"/>
      <c r="V417" s="99" t="s">
        <v>20</v>
      </c>
      <c r="W417" s="262" t="s">
        <v>139</v>
      </c>
      <c r="X417" s="256"/>
      <c r="Y417" s="263">
        <f t="shared" si="120"/>
        <v>0</v>
      </c>
      <c r="Z417" s="257">
        <f t="shared" si="129"/>
        <v>0</v>
      </c>
      <c r="AA417" s="256"/>
      <c r="AB417" s="263"/>
      <c r="AC417" s="257"/>
      <c r="AD417" s="264"/>
      <c r="AE417" s="263">
        <f t="shared" si="130"/>
        <v>0</v>
      </c>
      <c r="AF417" s="257">
        <f t="shared" si="131"/>
        <v>0</v>
      </c>
      <c r="AG417" s="258">
        <f t="shared" si="122"/>
        <v>0</v>
      </c>
      <c r="AH417" s="259">
        <f t="shared" si="122"/>
        <v>0</v>
      </c>
      <c r="AI417" s="260">
        <f t="shared" si="123"/>
        <v>0</v>
      </c>
      <c r="AJ417" s="264"/>
      <c r="AK417" s="259">
        <f t="shared" si="124"/>
        <v>0</v>
      </c>
      <c r="AL417" s="257">
        <f t="shared" si="125"/>
        <v>0</v>
      </c>
      <c r="AM417" s="261">
        <f t="shared" si="126"/>
        <v>0</v>
      </c>
      <c r="AN417" s="259">
        <f t="shared" si="127"/>
        <v>0</v>
      </c>
      <c r="AO417" s="452">
        <f t="shared" si="128"/>
        <v>0</v>
      </c>
      <c r="AP417" s="225"/>
      <c r="AQ417" s="465"/>
      <c r="AR417" s="465"/>
      <c r="AS417" s="225"/>
      <c r="AT417" s="225"/>
      <c r="AU417" s="225"/>
      <c r="AV417" s="225"/>
      <c r="AW417" s="225"/>
      <c r="AX417" s="225"/>
      <c r="AY417" s="225"/>
      <c r="AZ417" s="225"/>
      <c r="BA417" s="225"/>
      <c r="BB417" s="225"/>
      <c r="BC417" s="225"/>
      <c r="BD417" s="225"/>
      <c r="BE417" s="225"/>
      <c r="BF417" s="225"/>
      <c r="BG417" s="225"/>
      <c r="BH417" s="225"/>
      <c r="BI417" s="225"/>
    </row>
    <row r="418" spans="1:61" ht="15.75" customHeight="1">
      <c r="A418" t="str">
        <f t="shared" si="119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25"/>
      <c r="U418" s="225"/>
      <c r="V418" s="269" t="s">
        <v>38</v>
      </c>
      <c r="W418" s="270"/>
      <c r="X418" s="271">
        <f>Z418/Z406</f>
        <v>0.22399932339334938</v>
      </c>
      <c r="Y418" s="270"/>
      <c r="Z418" s="272">
        <f>SUM(Z408:Z417)</f>
        <v>300087.06232238113</v>
      </c>
      <c r="AA418" s="271"/>
      <c r="AB418" s="270"/>
      <c r="AC418" s="272"/>
      <c r="AD418" s="273">
        <f>AF418/AF406</f>
        <v>0.2192502476650495</v>
      </c>
      <c r="AE418" s="270"/>
      <c r="AF418" s="272">
        <f>SUM(AF408:AF417)</f>
        <v>282460.64</v>
      </c>
      <c r="AG418" s="274"/>
      <c r="AH418" s="275">
        <f t="shared" si="122"/>
        <v>-17626.422322381113</v>
      </c>
      <c r="AI418" s="271">
        <f>AH418/Z418</f>
        <v>-5.8737694940827499E-2</v>
      </c>
      <c r="AJ418" s="273">
        <f>IF($AL$406=0,0,AL418/$AL$406)</f>
        <v>0.22348992482136712</v>
      </c>
      <c r="AK418" s="270"/>
      <c r="AL418" s="272">
        <f>SUM(AL408:AL417)</f>
        <v>334597.96999999997</v>
      </c>
      <c r="AM418" s="276"/>
      <c r="AN418" s="275">
        <f t="shared" si="127"/>
        <v>-52137.329999999958</v>
      </c>
      <c r="AO418" s="450">
        <f t="shared" si="128"/>
        <v>-0.15582081983342566</v>
      </c>
      <c r="AP418" s="225"/>
      <c r="AQ418" s="465"/>
      <c r="AR418" s="465"/>
      <c r="AS418" s="225"/>
      <c r="AT418" s="225"/>
      <c r="AU418" s="225"/>
      <c r="AV418" s="225"/>
      <c r="AW418" s="225"/>
      <c r="AX418" s="225"/>
      <c r="AY418" s="225"/>
      <c r="AZ418" s="225"/>
      <c r="BA418" s="225"/>
      <c r="BB418" s="225"/>
      <c r="BC418" s="225"/>
      <c r="BD418" s="225"/>
      <c r="BE418" s="225"/>
      <c r="BF418" s="225"/>
      <c r="BG418" s="225"/>
      <c r="BH418" s="225"/>
      <c r="BI418" s="225"/>
    </row>
    <row r="419" spans="1:61" ht="15.75" customHeight="1">
      <c r="A419" t="str">
        <f t="shared" si="119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277"/>
      <c r="P419" s="148"/>
      <c r="Q419" s="11"/>
      <c r="R419" s="11"/>
      <c r="S419" s="11"/>
      <c r="T419" s="225"/>
      <c r="U419" s="225"/>
      <c r="V419" s="99" t="s">
        <v>140</v>
      </c>
      <c r="W419" s="262" t="s">
        <v>141</v>
      </c>
      <c r="X419" s="256"/>
      <c r="Y419" s="256"/>
      <c r="Z419" s="257">
        <f>+SUM(START:END!Z419)</f>
        <v>31451.478773946365</v>
      </c>
      <c r="AA419" s="256"/>
      <c r="AB419" s="256"/>
      <c r="AC419" s="257"/>
      <c r="AD419" s="264"/>
      <c r="AE419" s="263"/>
      <c r="AF419" s="257">
        <f>+SUM(START:END!AF419)</f>
        <v>32808.15</v>
      </c>
      <c r="AG419" s="258"/>
      <c r="AH419" s="259">
        <f t="shared" si="122"/>
        <v>1356.6712260536369</v>
      </c>
      <c r="AI419" s="260">
        <f t="shared" ref="AI419:AI431" si="132">IF(Z419=0,0,AH419/Z419)</f>
        <v>4.3135371656275512E-2</v>
      </c>
      <c r="AJ419" s="264"/>
      <c r="AK419" s="256"/>
      <c r="AL419" s="257">
        <f>+SUM(START:END!AL419)</f>
        <v>32322.32</v>
      </c>
      <c r="AM419" s="261"/>
      <c r="AN419" s="259">
        <f t="shared" si="127"/>
        <v>485.83000000000175</v>
      </c>
      <c r="AO419" s="452">
        <f t="shared" si="128"/>
        <v>1.5030789869044109E-2</v>
      </c>
      <c r="AP419" s="225"/>
      <c r="AQ419" s="465"/>
      <c r="AR419" s="465"/>
      <c r="AS419" s="225"/>
      <c r="AT419" s="225"/>
      <c r="AU419" s="225"/>
      <c r="AV419" s="225"/>
      <c r="AW419" s="225"/>
      <c r="AX419" s="225"/>
      <c r="AY419" s="225"/>
      <c r="AZ419" s="225"/>
      <c r="BA419" s="225"/>
      <c r="BB419" s="225"/>
      <c r="BC419" s="225"/>
      <c r="BD419" s="225"/>
      <c r="BE419" s="225"/>
      <c r="BF419" s="225"/>
      <c r="BG419" s="225"/>
      <c r="BH419" s="225"/>
      <c r="BI419" s="225"/>
    </row>
    <row r="420" spans="1:61" ht="15.75" customHeight="1">
      <c r="A420" t="str">
        <f t="shared" si="119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277"/>
      <c r="P420" s="148"/>
      <c r="Q420" s="11"/>
      <c r="R420" s="11"/>
      <c r="S420" s="11"/>
      <c r="T420" s="225"/>
      <c r="U420" s="225"/>
      <c r="V420" s="99" t="s">
        <v>41</v>
      </c>
      <c r="W420" s="262" t="s">
        <v>142</v>
      </c>
      <c r="X420" s="256"/>
      <c r="Y420" s="256"/>
      <c r="Z420" s="257">
        <f>+SUM(START:END!Z420)</f>
        <v>86008.086206896551</v>
      </c>
      <c r="AA420" s="256"/>
      <c r="AB420" s="256"/>
      <c r="AC420" s="257"/>
      <c r="AD420" s="264"/>
      <c r="AE420" s="263"/>
      <c r="AF420" s="257">
        <f>+SUM(START:END!AF420)</f>
        <v>83548.679999999993</v>
      </c>
      <c r="AG420" s="258"/>
      <c r="AH420" s="259">
        <f t="shared" si="122"/>
        <v>-2459.4062068965577</v>
      </c>
      <c r="AI420" s="260">
        <f t="shared" si="132"/>
        <v>-2.8595057922581126E-2</v>
      </c>
      <c r="AJ420" s="264"/>
      <c r="AK420" s="256"/>
      <c r="AL420" s="257">
        <f>+SUM(START:END!AL420)</f>
        <v>80206.06</v>
      </c>
      <c r="AM420" s="261"/>
      <c r="AN420" s="259">
        <f t="shared" si="127"/>
        <v>3342.6199999999953</v>
      </c>
      <c r="AO420" s="452">
        <f t="shared" si="128"/>
        <v>4.1675404576661607E-2</v>
      </c>
      <c r="AP420" s="225"/>
      <c r="AQ420" s="465"/>
      <c r="AR420" s="465"/>
      <c r="AS420" s="225"/>
      <c r="AT420" s="225"/>
      <c r="AU420" s="225"/>
      <c r="AV420" s="225"/>
      <c r="AW420" s="225"/>
      <c r="AX420" s="225"/>
      <c r="AY420" s="225"/>
      <c r="AZ420" s="225"/>
      <c r="BA420" s="225"/>
      <c r="BB420" s="225"/>
      <c r="BC420" s="225"/>
      <c r="BD420" s="225"/>
      <c r="BE420" s="225"/>
      <c r="BF420" s="225"/>
      <c r="BG420" s="225"/>
      <c r="BH420" s="225"/>
      <c r="BI420" s="225"/>
    </row>
    <row r="421" spans="1:61" ht="15.75" customHeight="1">
      <c r="A421" t="str">
        <f t="shared" si="119"/>
        <v>Salaires commis</v>
      </c>
      <c r="B421" s="7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78"/>
      <c r="P421" s="148"/>
      <c r="Q421" s="225"/>
      <c r="R421" s="225"/>
      <c r="S421" s="225"/>
      <c r="T421" s="225"/>
      <c r="U421" s="225"/>
      <c r="V421" s="100" t="s">
        <v>42</v>
      </c>
      <c r="W421" s="265" t="s">
        <v>143</v>
      </c>
      <c r="X421" s="242"/>
      <c r="Y421" s="242"/>
      <c r="Z421" s="243">
        <f>+SUM(START:END!Z421)</f>
        <v>104174.14068965518</v>
      </c>
      <c r="AA421" s="242"/>
      <c r="AB421" s="242"/>
      <c r="AC421" s="243"/>
      <c r="AD421" s="267"/>
      <c r="AE421" s="266"/>
      <c r="AF421" s="243">
        <f>+SUM(START:END!AF421)</f>
        <v>93346.5</v>
      </c>
      <c r="AG421" s="244"/>
      <c r="AH421" s="245">
        <f t="shared" si="122"/>
        <v>-10827.640689655178</v>
      </c>
      <c r="AI421" s="268">
        <f t="shared" si="132"/>
        <v>-0.10393789301235289</v>
      </c>
      <c r="AJ421" s="267"/>
      <c r="AK421" s="242"/>
      <c r="AL421" s="243">
        <f>+SUM(START:END!AL421)</f>
        <v>38459.410000000003</v>
      </c>
      <c r="AM421" s="247"/>
      <c r="AN421" s="245">
        <f t="shared" si="127"/>
        <v>54887.09</v>
      </c>
      <c r="AO421" s="449">
        <f t="shared" si="128"/>
        <v>1.4271433181112241</v>
      </c>
      <c r="AP421" s="225"/>
      <c r="AQ421" s="465"/>
      <c r="AR421" s="465"/>
      <c r="AS421" s="225"/>
      <c r="AT421" s="225"/>
      <c r="AU421" s="225"/>
      <c r="AV421" s="225"/>
      <c r="AW421" s="225"/>
      <c r="AX421" s="225"/>
      <c r="AY421" s="225"/>
      <c r="AZ421" s="225"/>
      <c r="BA421" s="225"/>
      <c r="BB421" s="225"/>
      <c r="BC421" s="225"/>
      <c r="BD421" s="225"/>
      <c r="BE421" s="225"/>
      <c r="BF421" s="225"/>
      <c r="BG421" s="225"/>
      <c r="BH421" s="225"/>
      <c r="BI421" s="225"/>
    </row>
    <row r="422" spans="1:61" ht="15.75" customHeight="1">
      <c r="A422" t="str">
        <f t="shared" si="119"/>
        <v>Salaires autres</v>
      </c>
      <c r="B422" s="7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78"/>
      <c r="P422" s="148"/>
      <c r="Q422" s="225"/>
      <c r="R422" s="225"/>
      <c r="S422" s="225"/>
      <c r="T422" s="225"/>
      <c r="U422" s="225"/>
      <c r="V422" s="99" t="s">
        <v>43</v>
      </c>
      <c r="W422" s="262" t="s">
        <v>144</v>
      </c>
      <c r="X422" s="256"/>
      <c r="Y422" s="256"/>
      <c r="Z422" s="257">
        <f>+SUM(START:END!Z422)</f>
        <v>63274.502681992337</v>
      </c>
      <c r="AA422" s="256"/>
      <c r="AB422" s="256"/>
      <c r="AC422" s="257"/>
      <c r="AD422" s="264"/>
      <c r="AE422" s="263"/>
      <c r="AF422" s="257">
        <f>+SUM(START:END!AF422)</f>
        <v>61780.09</v>
      </c>
      <c r="AG422" s="258"/>
      <c r="AH422" s="259">
        <f t="shared" si="122"/>
        <v>-1494.4126819923404</v>
      </c>
      <c r="AI422" s="260">
        <f t="shared" si="132"/>
        <v>-2.3617928528067975E-2</v>
      </c>
      <c r="AJ422" s="264"/>
      <c r="AK422" s="256"/>
      <c r="AL422" s="257">
        <f>+SUM(START:END!AL422)</f>
        <v>113578.6</v>
      </c>
      <c r="AM422" s="261"/>
      <c r="AN422" s="259">
        <f t="shared" si="127"/>
        <v>-51798.510000000009</v>
      </c>
      <c r="AO422" s="452">
        <f t="shared" si="128"/>
        <v>-0.45605871176436413</v>
      </c>
      <c r="AP422" s="225"/>
      <c r="AQ422" s="465"/>
      <c r="AR422" s="465"/>
      <c r="AS422" s="225"/>
      <c r="AT422" s="225"/>
      <c r="AU422" s="225"/>
      <c r="AV422" s="225"/>
      <c r="AW422" s="225"/>
      <c r="AX422" s="225"/>
      <c r="AY422" s="225"/>
      <c r="AZ422" s="225"/>
      <c r="BA422" s="225"/>
      <c r="BB422" s="225"/>
      <c r="BC422" s="225"/>
      <c r="BD422" s="225"/>
      <c r="BE422" s="225"/>
      <c r="BF422" s="225"/>
      <c r="BG422" s="225"/>
      <c r="BH422" s="225"/>
      <c r="BI422" s="225"/>
    </row>
    <row r="423" spans="1:61" ht="15.75" customHeight="1">
      <c r="A423" t="str">
        <f t="shared" si="119"/>
        <v>Salaires spécialistes</v>
      </c>
      <c r="B423" s="7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78"/>
      <c r="P423" s="148"/>
      <c r="Q423" s="225"/>
      <c r="R423" s="225"/>
      <c r="S423" s="225"/>
      <c r="T423" s="225"/>
      <c r="U423" s="225"/>
      <c r="V423" s="99" t="s">
        <v>44</v>
      </c>
      <c r="W423" s="262" t="s">
        <v>145</v>
      </c>
      <c r="X423" s="256"/>
      <c r="Y423" s="256"/>
      <c r="Z423" s="257">
        <f>+SUM(START:END!Z423)</f>
        <v>69476.097772684516</v>
      </c>
      <c r="AA423" s="256"/>
      <c r="AB423" s="256"/>
      <c r="AC423" s="257"/>
      <c r="AD423" s="264"/>
      <c r="AE423" s="263"/>
      <c r="AF423" s="257">
        <f>+SUM(START:END!AF423)</f>
        <v>67161.75</v>
      </c>
      <c r="AG423" s="258"/>
      <c r="AH423" s="259">
        <f t="shared" si="122"/>
        <v>-2314.3477726845158</v>
      </c>
      <c r="AI423" s="260">
        <f t="shared" si="132"/>
        <v>-3.3311424315405833E-2</v>
      </c>
      <c r="AJ423" s="264"/>
      <c r="AK423" s="256"/>
      <c r="AL423" s="257">
        <f>+SUM(START:END!AL423)</f>
        <v>79214.19</v>
      </c>
      <c r="AM423" s="261"/>
      <c r="AN423" s="259">
        <f t="shared" si="127"/>
        <v>-12052.440000000002</v>
      </c>
      <c r="AO423" s="452">
        <f t="shared" si="128"/>
        <v>-0.15215001251669685</v>
      </c>
      <c r="AP423" s="225"/>
      <c r="AQ423" s="465"/>
      <c r="AR423" s="465"/>
      <c r="AS423" s="225"/>
      <c r="AT423" s="225"/>
      <c r="AU423" s="225"/>
      <c r="AV423" s="225"/>
      <c r="AW423" s="225"/>
      <c r="AX423" s="225"/>
      <c r="AY423" s="225"/>
      <c r="AZ423" s="225"/>
      <c r="BA423" s="225"/>
      <c r="BB423" s="225"/>
      <c r="BC423" s="225"/>
      <c r="BD423" s="225"/>
      <c r="BE423" s="225"/>
      <c r="BF423" s="225"/>
      <c r="BG423" s="225"/>
      <c r="BH423" s="225"/>
      <c r="BI423" s="225"/>
    </row>
    <row r="424" spans="1:61" ht="15.75" hidden="1" customHeight="1">
      <c r="A424" t="str">
        <f t="shared" si="119"/>
        <v>[...]</v>
      </c>
      <c r="B424" s="7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78"/>
      <c r="P424" s="148"/>
      <c r="Q424" s="225"/>
      <c r="R424" s="225"/>
      <c r="S424" s="225"/>
      <c r="T424" s="225"/>
      <c r="U424" s="225"/>
      <c r="V424" s="99" t="s">
        <v>20</v>
      </c>
      <c r="W424" s="262"/>
      <c r="X424" s="256"/>
      <c r="Y424" s="256"/>
      <c r="Z424" s="257">
        <f>+SUM(START:END!Z424)</f>
        <v>0</v>
      </c>
      <c r="AA424" s="256"/>
      <c r="AB424" s="256"/>
      <c r="AC424" s="257"/>
      <c r="AD424" s="264"/>
      <c r="AE424" s="263"/>
      <c r="AF424" s="257">
        <f>+SUM(START:END!AF424)</f>
        <v>0</v>
      </c>
      <c r="AG424" s="258"/>
      <c r="AH424" s="259">
        <f t="shared" ref="AH424:AH450" si="133">AF424-Z424</f>
        <v>0</v>
      </c>
      <c r="AI424" s="260">
        <f t="shared" si="132"/>
        <v>0</v>
      </c>
      <c r="AJ424" s="264"/>
      <c r="AK424" s="256"/>
      <c r="AL424" s="257">
        <f>+SUM(START:END!AL424)</f>
        <v>0</v>
      </c>
      <c r="AM424" s="261"/>
      <c r="AN424" s="259">
        <f t="shared" si="127"/>
        <v>0</v>
      </c>
      <c r="AO424" s="452">
        <f t="shared" si="128"/>
        <v>0</v>
      </c>
      <c r="AP424" s="225"/>
      <c r="AQ424" s="465"/>
      <c r="AR424" s="465"/>
      <c r="AS424" s="225"/>
      <c r="AT424" s="225"/>
      <c r="AU424" s="225"/>
      <c r="AV424" s="225"/>
      <c r="AW424" s="225"/>
      <c r="AX424" s="225"/>
      <c r="AY424" s="225"/>
      <c r="AZ424" s="225"/>
      <c r="BA424" s="225"/>
      <c r="BB424" s="225"/>
      <c r="BC424" s="225"/>
      <c r="BD424" s="225"/>
      <c r="BE424" s="225"/>
      <c r="BF424" s="225"/>
      <c r="BG424" s="225"/>
      <c r="BH424" s="225"/>
      <c r="BI424" s="225"/>
    </row>
    <row r="425" spans="1:61" ht="15.75" hidden="1" customHeight="1">
      <c r="A425" t="str">
        <f t="shared" si="119"/>
        <v>[...]</v>
      </c>
      <c r="B425" s="7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78"/>
      <c r="P425" s="148"/>
      <c r="Q425" s="225"/>
      <c r="R425" s="225"/>
      <c r="S425" s="225"/>
      <c r="T425" s="225"/>
      <c r="U425" s="225"/>
      <c r="V425" s="99" t="s">
        <v>20</v>
      </c>
      <c r="W425" s="262"/>
      <c r="X425" s="256"/>
      <c r="Y425" s="256"/>
      <c r="Z425" s="257">
        <f>+SUM(START:END!Z425)</f>
        <v>0</v>
      </c>
      <c r="AA425" s="256"/>
      <c r="AB425" s="256"/>
      <c r="AC425" s="257"/>
      <c r="AD425" s="264"/>
      <c r="AE425" s="263"/>
      <c r="AF425" s="257">
        <f>+SUM(START:END!AF425)</f>
        <v>0</v>
      </c>
      <c r="AG425" s="258"/>
      <c r="AH425" s="259">
        <f t="shared" si="133"/>
        <v>0</v>
      </c>
      <c r="AI425" s="260">
        <f t="shared" si="132"/>
        <v>0</v>
      </c>
      <c r="AJ425" s="264"/>
      <c r="AK425" s="256"/>
      <c r="AL425" s="257">
        <f>+SUM(START:END!AL425)</f>
        <v>0</v>
      </c>
      <c r="AM425" s="261"/>
      <c r="AN425" s="259">
        <f t="shared" si="127"/>
        <v>0</v>
      </c>
      <c r="AO425" s="452">
        <f t="shared" si="128"/>
        <v>0</v>
      </c>
      <c r="AP425" s="225"/>
      <c r="AQ425" s="465"/>
      <c r="AR425" s="465"/>
      <c r="AS425" s="225"/>
      <c r="AT425" s="225"/>
      <c r="AU425" s="225"/>
      <c r="AV425" s="225"/>
      <c r="AW425" s="225"/>
      <c r="AX425" s="225"/>
      <c r="AY425" s="225"/>
      <c r="AZ425" s="225"/>
      <c r="BA425" s="225"/>
      <c r="BB425" s="225"/>
      <c r="BC425" s="225"/>
      <c r="BD425" s="225"/>
      <c r="BE425" s="225"/>
      <c r="BF425" s="225"/>
      <c r="BG425" s="225"/>
      <c r="BH425" s="225"/>
      <c r="BI425" s="225"/>
    </row>
    <row r="426" spans="1:61" ht="15.75" hidden="1" customHeight="1">
      <c r="A426" t="str">
        <f t="shared" si="119"/>
        <v>[...]</v>
      </c>
      <c r="B426" s="7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78"/>
      <c r="P426" s="148"/>
      <c r="Q426" s="225"/>
      <c r="R426" s="225"/>
      <c r="S426" s="225"/>
      <c r="T426" s="225"/>
      <c r="U426" s="225"/>
      <c r="V426" s="99" t="s">
        <v>20</v>
      </c>
      <c r="W426" s="262"/>
      <c r="X426" s="256"/>
      <c r="Y426" s="256"/>
      <c r="Z426" s="257">
        <f>+SUM(START:END!Z426)</f>
        <v>0</v>
      </c>
      <c r="AA426" s="256"/>
      <c r="AB426" s="256"/>
      <c r="AC426" s="257"/>
      <c r="AD426" s="264"/>
      <c r="AE426" s="263"/>
      <c r="AF426" s="257">
        <f>+SUM(START:END!AF426)</f>
        <v>0</v>
      </c>
      <c r="AG426" s="258"/>
      <c r="AH426" s="259">
        <f t="shared" si="133"/>
        <v>0</v>
      </c>
      <c r="AI426" s="260">
        <f t="shared" si="132"/>
        <v>0</v>
      </c>
      <c r="AJ426" s="264"/>
      <c r="AK426" s="256"/>
      <c r="AL426" s="257">
        <f>+SUM(START:END!AL426)</f>
        <v>0</v>
      </c>
      <c r="AM426" s="261"/>
      <c r="AN426" s="259">
        <f t="shared" si="127"/>
        <v>0</v>
      </c>
      <c r="AO426" s="452">
        <f t="shared" si="128"/>
        <v>0</v>
      </c>
      <c r="AP426" s="225"/>
      <c r="AQ426" s="465"/>
      <c r="AR426" s="465"/>
      <c r="AS426" s="225"/>
      <c r="AT426" s="225"/>
      <c r="AU426" s="225"/>
      <c r="AV426" s="225"/>
      <c r="AW426" s="225"/>
      <c r="AX426" s="225"/>
      <c r="AY426" s="225"/>
      <c r="AZ426" s="225"/>
      <c r="BA426" s="225"/>
      <c r="BB426" s="225"/>
      <c r="BC426" s="225"/>
      <c r="BD426" s="225"/>
      <c r="BE426" s="225"/>
      <c r="BF426" s="225"/>
      <c r="BG426" s="225"/>
      <c r="BH426" s="225"/>
      <c r="BI426" s="225"/>
    </row>
    <row r="427" spans="1:61" ht="15.75" customHeight="1">
      <c r="A427" t="str">
        <f t="shared" si="119"/>
        <v>Salaires en absences</v>
      </c>
      <c r="B427" s="7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78"/>
      <c r="P427" s="148"/>
      <c r="Q427" s="225"/>
      <c r="R427" s="225"/>
      <c r="S427" s="225"/>
      <c r="T427" s="225"/>
      <c r="U427" s="225"/>
      <c r="V427" s="100" t="s">
        <v>45</v>
      </c>
      <c r="W427" s="265" t="s">
        <v>146</v>
      </c>
      <c r="X427" s="242"/>
      <c r="Y427" s="242"/>
      <c r="Z427" s="243">
        <f>+SUM(START:END!Z427)</f>
        <v>76868.927241403668</v>
      </c>
      <c r="AA427" s="242"/>
      <c r="AB427" s="242"/>
      <c r="AC427" s="243"/>
      <c r="AD427" s="267"/>
      <c r="AE427" s="266"/>
      <c r="AF427" s="243">
        <f>+SUM(START:END!AF427)</f>
        <v>77523.48</v>
      </c>
      <c r="AG427" s="244"/>
      <c r="AH427" s="245">
        <f t="shared" si="133"/>
        <v>654.5527585963282</v>
      </c>
      <c r="AI427" s="268">
        <f t="shared" si="132"/>
        <v>8.5151800875369645E-3</v>
      </c>
      <c r="AJ427" s="267"/>
      <c r="AK427" s="242"/>
      <c r="AL427" s="243">
        <f>+SUM(START:END!AL427)</f>
        <v>98978.890000000014</v>
      </c>
      <c r="AM427" s="247"/>
      <c r="AN427" s="245">
        <f t="shared" si="127"/>
        <v>-21455.410000000018</v>
      </c>
      <c r="AO427" s="449">
        <f t="shared" si="128"/>
        <v>-0.21676753497639764</v>
      </c>
      <c r="AP427" s="225"/>
      <c r="AQ427" s="465"/>
      <c r="AR427" s="465"/>
      <c r="AS427" s="225"/>
      <c r="AT427" s="225"/>
      <c r="AU427" s="225"/>
      <c r="AV427" s="225"/>
      <c r="AW427" s="225"/>
      <c r="AX427" s="225"/>
      <c r="AY427" s="225"/>
      <c r="AZ427" s="225"/>
      <c r="BA427" s="225"/>
      <c r="BB427" s="225"/>
      <c r="BC427" s="225"/>
      <c r="BD427" s="225"/>
      <c r="BE427" s="225"/>
      <c r="BF427" s="225"/>
      <c r="BG427" s="225"/>
      <c r="BH427" s="225"/>
      <c r="BI427" s="225"/>
    </row>
    <row r="428" spans="1:61" ht="15.75" customHeight="1">
      <c r="A428" t="str">
        <f t="shared" si="119"/>
        <v>Déduction à la source</v>
      </c>
      <c r="B428" s="7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78"/>
      <c r="P428" s="148"/>
      <c r="Q428" s="225"/>
      <c r="R428" s="225"/>
      <c r="S428" s="225"/>
      <c r="T428" s="225"/>
      <c r="U428" s="225"/>
      <c r="V428" s="99" t="s">
        <v>46</v>
      </c>
      <c r="W428" s="262" t="s">
        <v>147</v>
      </c>
      <c r="X428" s="256"/>
      <c r="Y428" s="256"/>
      <c r="Z428" s="257">
        <f>+SUM(START:END!Z428)</f>
        <v>76415.281984524452</v>
      </c>
      <c r="AA428" s="256"/>
      <c r="AB428" s="256"/>
      <c r="AC428" s="257"/>
      <c r="AD428" s="264"/>
      <c r="AE428" s="263"/>
      <c r="AF428" s="257">
        <f>+SUM(START:END!AF428)</f>
        <v>95794.239999999991</v>
      </c>
      <c r="AG428" s="258"/>
      <c r="AH428" s="259">
        <f t="shared" si="133"/>
        <v>19378.958015475539</v>
      </c>
      <c r="AI428" s="260">
        <f t="shared" si="132"/>
        <v>0.2536005562264384</v>
      </c>
      <c r="AJ428" s="264"/>
      <c r="AK428" s="256"/>
      <c r="AL428" s="257">
        <f>+SUM(START:END!AL428)</f>
        <v>98145.549999999988</v>
      </c>
      <c r="AM428" s="261"/>
      <c r="AN428" s="259">
        <f t="shared" si="127"/>
        <v>-2351.3099999999977</v>
      </c>
      <c r="AO428" s="452">
        <f t="shared" si="128"/>
        <v>-2.3957377588693506E-2</v>
      </c>
      <c r="AP428" s="225"/>
      <c r="AQ428" s="465"/>
      <c r="AR428" s="465"/>
      <c r="AS428" s="225"/>
      <c r="AT428" s="225"/>
      <c r="AU428" s="225"/>
      <c r="AV428" s="225"/>
      <c r="AW428" s="225"/>
      <c r="AX428" s="225"/>
      <c r="AY428" s="225"/>
      <c r="AZ428" s="225"/>
      <c r="BA428" s="225"/>
      <c r="BB428" s="225"/>
      <c r="BC428" s="225"/>
      <c r="BD428" s="225"/>
      <c r="BE428" s="225"/>
      <c r="BF428" s="225"/>
      <c r="BG428" s="225"/>
      <c r="BH428" s="225"/>
      <c r="BI428" s="225"/>
    </row>
    <row r="429" spans="1:61" ht="15.75" customHeight="1">
      <c r="A429" t="str">
        <f t="shared" si="119"/>
        <v>Bénéfices marginaux</v>
      </c>
      <c r="B429" s="7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78"/>
      <c r="P429" s="148"/>
      <c r="Q429" s="225"/>
      <c r="R429" s="225"/>
      <c r="S429" s="225"/>
      <c r="T429" s="225"/>
      <c r="U429" s="225"/>
      <c r="V429" s="99" t="s">
        <v>47</v>
      </c>
      <c r="W429" s="262" t="s">
        <v>148</v>
      </c>
      <c r="X429" s="256"/>
      <c r="Y429" s="256"/>
      <c r="Z429" s="257">
        <f>+SUM(START:END!Z429)</f>
        <v>53510.4151245342</v>
      </c>
      <c r="AA429" s="256"/>
      <c r="AB429" s="256"/>
      <c r="AC429" s="257"/>
      <c r="AD429" s="264"/>
      <c r="AE429" s="263"/>
      <c r="AF429" s="257">
        <f>+SUM(START:END!AF429)</f>
        <v>42219.360000000001</v>
      </c>
      <c r="AG429" s="258"/>
      <c r="AH429" s="259">
        <f t="shared" si="133"/>
        <v>-11291.055124534199</v>
      </c>
      <c r="AI429" s="260">
        <f t="shared" si="132"/>
        <v>-0.21100668156389091</v>
      </c>
      <c r="AJ429" s="264"/>
      <c r="AK429" s="256"/>
      <c r="AL429" s="257">
        <f>+SUM(START:END!AL429)</f>
        <v>51424.599999999991</v>
      </c>
      <c r="AM429" s="261"/>
      <c r="AN429" s="259">
        <f t="shared" si="127"/>
        <v>-9205.2399999999907</v>
      </c>
      <c r="AO429" s="452">
        <f t="shared" si="128"/>
        <v>-0.17900460091084797</v>
      </c>
      <c r="AP429" s="225"/>
      <c r="AQ429" s="465"/>
      <c r="AR429" s="465"/>
      <c r="AS429" s="225"/>
      <c r="AT429" s="225"/>
      <c r="AU429" s="225"/>
      <c r="AV429" s="225"/>
      <c r="AW429" s="225"/>
      <c r="AX429" s="225"/>
      <c r="AY429" s="225"/>
      <c r="AZ429" s="225"/>
      <c r="BA429" s="225"/>
      <c r="BB429" s="225"/>
      <c r="BC429" s="225"/>
      <c r="BD429" s="225"/>
      <c r="BE429" s="225"/>
      <c r="BF429" s="225"/>
      <c r="BG429" s="225"/>
      <c r="BH429" s="225"/>
      <c r="BI429" s="225"/>
    </row>
    <row r="430" spans="1:61" ht="15.75" customHeight="1">
      <c r="A430" t="str">
        <f t="shared" si="119"/>
        <v>Csst</v>
      </c>
      <c r="B430" s="7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78"/>
      <c r="P430" s="148"/>
      <c r="Q430" s="225"/>
      <c r="R430" s="225"/>
      <c r="S430" s="225"/>
      <c r="T430" s="225"/>
      <c r="U430" s="225"/>
      <c r="V430" s="99" t="s">
        <v>48</v>
      </c>
      <c r="W430" s="262"/>
      <c r="X430" s="256"/>
      <c r="Y430" s="256"/>
      <c r="Z430" s="257">
        <f>+SUM(START:END!Z430)</f>
        <v>25563.46766396454</v>
      </c>
      <c r="AA430" s="256"/>
      <c r="AB430" s="256"/>
      <c r="AC430" s="257"/>
      <c r="AD430" s="264"/>
      <c r="AE430" s="263"/>
      <c r="AF430" s="257">
        <f>+SUM(START:END!AF430)</f>
        <v>21605.050000000003</v>
      </c>
      <c r="AG430" s="258"/>
      <c r="AH430" s="259">
        <f t="shared" si="133"/>
        <v>-3958.4176639645375</v>
      </c>
      <c r="AI430" s="279">
        <f t="shared" si="132"/>
        <v>-0.15484666305833414</v>
      </c>
      <c r="AJ430" s="264"/>
      <c r="AK430" s="256"/>
      <c r="AL430" s="257">
        <f>+SUM(START:END!AL430)</f>
        <v>36505.270000000004</v>
      </c>
      <c r="AM430" s="261"/>
      <c r="AN430" s="259">
        <f t="shared" si="127"/>
        <v>-14900.220000000001</v>
      </c>
      <c r="AO430" s="452">
        <f t="shared" si="128"/>
        <v>-0.40816627297921643</v>
      </c>
      <c r="AP430" s="225"/>
      <c r="AQ430" s="465"/>
      <c r="AR430" s="465"/>
      <c r="AS430" s="225"/>
      <c r="AT430" s="225"/>
      <c r="AU430" s="225"/>
      <c r="AV430" s="225"/>
      <c r="AW430" s="225"/>
      <c r="AX430" s="225"/>
      <c r="AY430" s="225"/>
      <c r="AZ430" s="225"/>
      <c r="BA430" s="225"/>
      <c r="BB430" s="225"/>
      <c r="BC430" s="225"/>
      <c r="BD430" s="225"/>
      <c r="BE430" s="225"/>
      <c r="BF430" s="225"/>
      <c r="BG430" s="225"/>
      <c r="BH430" s="225"/>
      <c r="BI430" s="225"/>
    </row>
    <row r="431" spans="1:61" ht="15.75" hidden="1" customHeight="1">
      <c r="A431" t="str">
        <f t="shared" si="119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25"/>
      <c r="U431" s="225"/>
      <c r="V431" s="27" t="s">
        <v>20</v>
      </c>
      <c r="W431" s="262"/>
      <c r="X431" s="256"/>
      <c r="Y431" s="263"/>
      <c r="Z431" s="257">
        <f>+SUM(START:END!Z431)</f>
        <v>0</v>
      </c>
      <c r="AA431" s="256"/>
      <c r="AB431" s="256"/>
      <c r="AC431" s="257"/>
      <c r="AD431" s="264"/>
      <c r="AE431" s="263"/>
      <c r="AF431" s="257">
        <f>+SUM(START:END!AF431)</f>
        <v>0</v>
      </c>
      <c r="AG431" s="258"/>
      <c r="AH431" s="259">
        <f t="shared" si="133"/>
        <v>0</v>
      </c>
      <c r="AI431" s="260">
        <f t="shared" si="132"/>
        <v>0</v>
      </c>
      <c r="AJ431" s="264"/>
      <c r="AK431" s="259"/>
      <c r="AL431" s="257">
        <f>+SUM(START:END!AL431)</f>
        <v>0</v>
      </c>
      <c r="AM431" s="261"/>
      <c r="AN431" s="259"/>
      <c r="AO431" s="449"/>
      <c r="AP431" s="225"/>
      <c r="AQ431" s="465"/>
      <c r="AR431" s="465"/>
      <c r="AS431" s="225"/>
      <c r="AT431" s="225"/>
      <c r="AU431" s="225"/>
      <c r="AV431" s="225"/>
      <c r="AW431" s="225"/>
      <c r="AX431" s="225"/>
      <c r="AY431" s="225"/>
      <c r="AZ431" s="225"/>
      <c r="BA431" s="225"/>
      <c r="BB431" s="225"/>
      <c r="BC431" s="225"/>
      <c r="BD431" s="225"/>
      <c r="BE431" s="225"/>
      <c r="BF431" s="225"/>
      <c r="BG431" s="225"/>
      <c r="BH431" s="225"/>
      <c r="BI431" s="225"/>
    </row>
    <row r="432" spans="1:61" ht="15.75" customHeight="1">
      <c r="A432" t="str">
        <f t="shared" si="119"/>
        <v>TOTAL PERSONNEL</v>
      </c>
      <c r="B432" s="7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R432" s="225"/>
      <c r="S432" s="225"/>
      <c r="T432" s="225"/>
      <c r="U432" s="225"/>
      <c r="V432" s="269" t="s">
        <v>49</v>
      </c>
      <c r="W432" s="270"/>
      <c r="X432" s="271">
        <f>Z432/Z406</f>
        <v>0.43797256426959164</v>
      </c>
      <c r="Y432" s="270"/>
      <c r="Z432" s="272">
        <f>SUM(Z419:Z431)</f>
        <v>586742.39813960181</v>
      </c>
      <c r="AA432" s="271"/>
      <c r="AB432" s="270"/>
      <c r="AC432" s="272"/>
      <c r="AD432" s="273">
        <f>AF432/AF406</f>
        <v>0.44693486542900335</v>
      </c>
      <c r="AE432" s="280"/>
      <c r="AF432" s="272">
        <f>SUM(AF419:AF431)</f>
        <v>575787.30000000005</v>
      </c>
      <c r="AG432" s="281"/>
      <c r="AH432" s="275">
        <f t="shared" si="133"/>
        <v>-10955.09813960176</v>
      </c>
      <c r="AI432" s="271">
        <f>AH432/Z432</f>
        <v>-1.8671052534020641E-2</v>
      </c>
      <c r="AJ432" s="273">
        <f>IF($AL$406=0,0,AL432/$AL$406)</f>
        <v>0.4200212639997567</v>
      </c>
      <c r="AK432" s="270"/>
      <c r="AL432" s="272">
        <f>SUM(AL419:AL431)</f>
        <v>628834.89</v>
      </c>
      <c r="AM432" s="282"/>
      <c r="AN432" s="275">
        <f t="shared" ref="AN432:AN450" si="134">AF432-AL432</f>
        <v>-53047.589999999967</v>
      </c>
      <c r="AO432" s="450">
        <f t="shared" ref="AO432:AO460" si="135">IF(AL432=0,0,AN432/AL432)</f>
        <v>-8.4358534877096228E-2</v>
      </c>
      <c r="AP432" s="225"/>
      <c r="AQ432" s="465"/>
      <c r="AR432" s="465"/>
      <c r="AS432" s="225"/>
      <c r="AT432" s="225"/>
      <c r="AU432" s="225"/>
      <c r="AV432" s="225"/>
      <c r="AW432" s="225"/>
      <c r="AX432" s="225"/>
      <c r="AY432" s="225"/>
      <c r="AZ432" s="225"/>
      <c r="BA432" s="225"/>
      <c r="BB432" s="225"/>
      <c r="BC432" s="225"/>
      <c r="BD432" s="225"/>
      <c r="BE432" s="225"/>
      <c r="BF432" s="225"/>
      <c r="BG432" s="225"/>
      <c r="BH432" s="225"/>
      <c r="BI432" s="225"/>
    </row>
    <row r="433" spans="1:62" ht="15.75" customHeight="1">
      <c r="A433" t="str">
        <f t="shared" si="119"/>
        <v>Publicité 2</v>
      </c>
      <c r="B433" s="7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83"/>
      <c r="S433" s="391"/>
      <c r="T433" s="225"/>
      <c r="U433" s="225"/>
      <c r="V433" s="190" t="s">
        <v>50</v>
      </c>
      <c r="W433" s="284" t="s">
        <v>138</v>
      </c>
      <c r="X433" s="285"/>
      <c r="Y433" s="285"/>
      <c r="Z433" s="286">
        <f>+SUM(START:END!Z433)</f>
        <v>25937.211083333335</v>
      </c>
      <c r="AA433" s="285"/>
      <c r="AB433" s="285"/>
      <c r="AC433" s="286"/>
      <c r="AD433" s="285"/>
      <c r="AE433" s="288"/>
      <c r="AF433" s="286">
        <f>+SUM(START:END!AF433)</f>
        <v>34014.089999999997</v>
      </c>
      <c r="AG433" s="287"/>
      <c r="AH433" s="289">
        <f t="shared" si="133"/>
        <v>8076.8789166666611</v>
      </c>
      <c r="AI433" s="290">
        <f t="shared" ref="AI433:AI450" si="136">IF(Z433=0,0,AH433/Z433)</f>
        <v>0.31140121004978366</v>
      </c>
      <c r="AJ433" s="287"/>
      <c r="AK433" s="285"/>
      <c r="AL433" s="286">
        <f t="shared" ref="AL433:AL450" si="137">+SUMIF($C:$C,$V433,Q:Q)</f>
        <v>24158.29</v>
      </c>
      <c r="AM433" s="291"/>
      <c r="AN433" s="289">
        <f t="shared" si="134"/>
        <v>9855.7999999999956</v>
      </c>
      <c r="AO433" s="451">
        <f t="shared" si="135"/>
        <v>0.40796761691328298</v>
      </c>
      <c r="AP433" s="225"/>
      <c r="AQ433" s="465"/>
      <c r="AR433" s="465"/>
      <c r="AS433" s="225"/>
      <c r="AT433" s="225"/>
      <c r="AU433" s="225"/>
      <c r="AV433" s="225"/>
      <c r="AW433" s="225"/>
      <c r="AX433" s="225"/>
      <c r="AY433" s="225"/>
      <c r="AZ433" s="225"/>
      <c r="BA433" s="225"/>
      <c r="BB433" s="225"/>
      <c r="BC433" s="225"/>
      <c r="BD433" s="225"/>
      <c r="BE433" s="225"/>
      <c r="BF433" s="225"/>
      <c r="BG433" s="225"/>
      <c r="BH433" s="225"/>
      <c r="BI433" s="225"/>
    </row>
    <row r="434" spans="1:62" ht="15.75" customHeight="1">
      <c r="A434" t="str">
        <f t="shared" si="119"/>
        <v>Service gratuit 2</v>
      </c>
      <c r="B434" s="7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Q434" s="283"/>
      <c r="S434" s="225"/>
      <c r="T434" s="225"/>
      <c r="U434" s="225"/>
      <c r="V434" s="99" t="s">
        <v>51</v>
      </c>
      <c r="W434" s="262" t="s">
        <v>149</v>
      </c>
      <c r="X434" s="256"/>
      <c r="Y434" s="256"/>
      <c r="Z434" s="257">
        <f>+SUM(START:END!Z434)</f>
        <v>7430.9533825131348</v>
      </c>
      <c r="AA434" s="256"/>
      <c r="AB434" s="256"/>
      <c r="AC434" s="257"/>
      <c r="AD434" s="264"/>
      <c r="AE434" s="263"/>
      <c r="AF434" s="257">
        <f>+SUM(START:END!AF434)</f>
        <v>17963.349999999999</v>
      </c>
      <c r="AG434" s="258"/>
      <c r="AH434" s="259">
        <f t="shared" si="133"/>
        <v>10532.396617486864</v>
      </c>
      <c r="AI434" s="260">
        <f t="shared" si="136"/>
        <v>1.4173681458252974</v>
      </c>
      <c r="AJ434" s="264"/>
      <c r="AK434" s="256"/>
      <c r="AL434" s="257">
        <f t="shared" si="137"/>
        <v>9292.6899999999987</v>
      </c>
      <c r="AM434" s="261"/>
      <c r="AN434" s="259">
        <f t="shared" si="134"/>
        <v>8670.66</v>
      </c>
      <c r="AO434" s="452">
        <f t="shared" si="135"/>
        <v>0.93306243940129296</v>
      </c>
      <c r="AP434" s="225"/>
      <c r="AQ434" s="465"/>
      <c r="AR434" s="465"/>
      <c r="AS434" s="225"/>
      <c r="AT434" s="225"/>
      <c r="AU434" s="225"/>
      <c r="AV434" s="225"/>
      <c r="AW434" s="225"/>
      <c r="AX434" s="225"/>
      <c r="AY434" s="225"/>
      <c r="AZ434" s="225"/>
      <c r="BA434" s="225"/>
      <c r="BB434" s="225"/>
      <c r="BC434" s="225"/>
      <c r="BD434" s="225"/>
      <c r="BE434" s="225"/>
      <c r="BF434" s="225"/>
      <c r="BG434" s="225"/>
      <c r="BH434" s="225"/>
      <c r="BI434" s="225"/>
    </row>
    <row r="435" spans="1:62" ht="15.75" customHeight="1">
      <c r="A435" t="str">
        <f t="shared" si="119"/>
        <v>Frais véhicules de cie</v>
      </c>
      <c r="B435" s="7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83"/>
      <c r="S435" s="225"/>
      <c r="T435" s="225"/>
      <c r="U435" s="225"/>
      <c r="V435" s="100" t="s">
        <v>52</v>
      </c>
      <c r="W435" s="265" t="s">
        <v>150</v>
      </c>
      <c r="X435" s="242"/>
      <c r="Y435" s="242"/>
      <c r="Z435" s="243">
        <f>+SUM(START:END!Z435)</f>
        <v>44583.333333333328</v>
      </c>
      <c r="AA435" s="242"/>
      <c r="AB435" s="242"/>
      <c r="AC435" s="243"/>
      <c r="AD435" s="267"/>
      <c r="AE435" s="266"/>
      <c r="AF435" s="243">
        <f>+SUM(START:END!AF435)</f>
        <v>47532.78</v>
      </c>
      <c r="AG435" s="244"/>
      <c r="AH435" s="245">
        <f t="shared" si="133"/>
        <v>2949.4466666666704</v>
      </c>
      <c r="AI435" s="268">
        <f t="shared" si="136"/>
        <v>6.6155813084112239E-2</v>
      </c>
      <c r="AJ435" s="267"/>
      <c r="AK435" s="242"/>
      <c r="AL435" s="243">
        <f t="shared" si="137"/>
        <v>50728.520000000004</v>
      </c>
      <c r="AM435" s="247"/>
      <c r="AN435" s="245">
        <f t="shared" si="134"/>
        <v>-3195.7400000000052</v>
      </c>
      <c r="AO435" s="449">
        <f t="shared" si="135"/>
        <v>-6.2996909825084685E-2</v>
      </c>
      <c r="AP435" s="225"/>
      <c r="AQ435" s="465"/>
      <c r="AR435" s="465"/>
      <c r="AS435" s="225"/>
      <c r="AT435" s="225"/>
      <c r="AU435" s="225"/>
      <c r="AV435" s="225"/>
      <c r="AW435" s="225"/>
      <c r="AX435" s="225"/>
      <c r="AY435" s="225"/>
      <c r="AZ435" s="225"/>
      <c r="BA435" s="225"/>
      <c r="BB435" s="225"/>
      <c r="BC435" s="225"/>
      <c r="BD435" s="225"/>
      <c r="BE435" s="225"/>
      <c r="BF435" s="225"/>
      <c r="BG435" s="225"/>
      <c r="BH435" s="225"/>
      <c r="BI435" s="225"/>
      <c r="BJ435" s="225"/>
    </row>
    <row r="436" spans="1:62" ht="15.75" customHeight="1">
      <c r="A436" t="str">
        <f t="shared" si="119"/>
        <v>Informatique</v>
      </c>
      <c r="B436" s="7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83"/>
      <c r="S436" s="225"/>
      <c r="T436" s="225"/>
      <c r="U436" s="225"/>
      <c r="V436" s="99" t="s">
        <v>53</v>
      </c>
      <c r="W436" s="262" t="s">
        <v>151</v>
      </c>
      <c r="X436" s="256"/>
      <c r="Y436" s="256"/>
      <c r="Z436" s="257">
        <f>+SUM(START:END!Z436)</f>
        <v>39709.741066666669</v>
      </c>
      <c r="AA436" s="256"/>
      <c r="AB436" s="256"/>
      <c r="AC436" s="257"/>
      <c r="AD436" s="264"/>
      <c r="AE436" s="263"/>
      <c r="AF436" s="257">
        <f>+SUM(START:END!AF436)</f>
        <v>40881.449999999997</v>
      </c>
      <c r="AG436" s="258"/>
      <c r="AH436" s="259">
        <f t="shared" si="133"/>
        <v>1171.7089333333279</v>
      </c>
      <c r="AI436" s="260">
        <f t="shared" si="136"/>
        <v>2.9506838923129847E-2</v>
      </c>
      <c r="AJ436" s="264"/>
      <c r="AK436" s="256"/>
      <c r="AL436" s="257">
        <f t="shared" si="137"/>
        <v>38645.82</v>
      </c>
      <c r="AM436" s="261"/>
      <c r="AN436" s="259">
        <f t="shared" si="134"/>
        <v>2235.6299999999974</v>
      </c>
      <c r="AO436" s="452">
        <f t="shared" si="135"/>
        <v>5.7849205942583116E-2</v>
      </c>
      <c r="AP436" s="225"/>
      <c r="AQ436" s="465"/>
      <c r="AR436" s="465"/>
      <c r="AS436" s="225"/>
      <c r="AT436" s="225"/>
      <c r="AU436" s="225"/>
      <c r="AV436" s="225"/>
      <c r="AW436" s="225"/>
      <c r="AX436" s="225"/>
      <c r="AY436" s="225"/>
      <c r="AZ436" s="225"/>
      <c r="BA436" s="225"/>
      <c r="BB436" s="225"/>
      <c r="BC436" s="225"/>
      <c r="BD436" s="225"/>
      <c r="BE436" s="225"/>
      <c r="BF436" s="225"/>
      <c r="BG436" s="225"/>
      <c r="BH436" s="225"/>
      <c r="BI436" s="225"/>
      <c r="BJ436" s="225"/>
    </row>
    <row r="437" spans="1:62" ht="15.75" customHeight="1">
      <c r="A437" t="str">
        <f t="shared" si="119"/>
        <v>Frais de déplacement</v>
      </c>
      <c r="B437" s="7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83"/>
      <c r="S437" s="225"/>
      <c r="T437" s="225"/>
      <c r="U437" s="225"/>
      <c r="V437" s="99" t="s">
        <v>54</v>
      </c>
      <c r="W437" s="262" t="s">
        <v>152</v>
      </c>
      <c r="X437" s="256"/>
      <c r="Y437" s="256"/>
      <c r="Z437" s="257">
        <f>+SUM(START:END!Z437)</f>
        <v>6250.5502791666659</v>
      </c>
      <c r="AA437" s="256"/>
      <c r="AB437" s="256"/>
      <c r="AC437" s="257"/>
      <c r="AD437" s="264"/>
      <c r="AE437" s="263"/>
      <c r="AF437" s="257">
        <f>+SUM(START:END!AF437)</f>
        <v>7069.26</v>
      </c>
      <c r="AG437" s="258"/>
      <c r="AH437" s="259">
        <f t="shared" si="133"/>
        <v>818.70972083333436</v>
      </c>
      <c r="AI437" s="260">
        <f t="shared" si="136"/>
        <v>0.13098202306477344</v>
      </c>
      <c r="AJ437" s="264"/>
      <c r="AK437" s="256"/>
      <c r="AL437" s="257">
        <f t="shared" si="137"/>
        <v>10177.34</v>
      </c>
      <c r="AM437" s="261"/>
      <c r="AN437" s="259">
        <f t="shared" si="134"/>
        <v>-3108.08</v>
      </c>
      <c r="AO437" s="452">
        <f t="shared" si="135"/>
        <v>-0.30539217516561301</v>
      </c>
      <c r="AP437" s="225"/>
      <c r="AQ437" s="465"/>
      <c r="AR437" s="465"/>
      <c r="AS437" s="225"/>
      <c r="AT437" s="225"/>
      <c r="AU437" s="225"/>
      <c r="AV437" s="225"/>
      <c r="AW437" s="225"/>
      <c r="AX437" s="225"/>
      <c r="AY437" s="225"/>
      <c r="AZ437" s="225"/>
      <c r="BA437" s="225"/>
      <c r="BB437" s="225"/>
      <c r="BC437" s="225"/>
      <c r="BD437" s="225"/>
      <c r="BE437" s="225"/>
      <c r="BF437" s="225"/>
      <c r="BG437" s="225"/>
      <c r="BH437" s="225"/>
      <c r="BI437" s="225"/>
      <c r="BJ437" s="225"/>
    </row>
    <row r="438" spans="1:62" ht="15.75" customHeight="1">
      <c r="A438" t="str">
        <f t="shared" si="119"/>
        <v>Services extérieurs</v>
      </c>
      <c r="B438" s="7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83"/>
      <c r="S438" s="225"/>
      <c r="T438" s="225"/>
      <c r="U438" s="225"/>
      <c r="V438" s="99" t="s">
        <v>55</v>
      </c>
      <c r="W438" s="262" t="s">
        <v>153</v>
      </c>
      <c r="X438" s="256"/>
      <c r="Y438" s="256"/>
      <c r="Z438" s="257">
        <f>+SUM(START:END!Z438)</f>
        <v>41375.197311111107</v>
      </c>
      <c r="AA438" s="256"/>
      <c r="AB438" s="256"/>
      <c r="AC438" s="257"/>
      <c r="AD438" s="264"/>
      <c r="AE438" s="263"/>
      <c r="AF438" s="257">
        <f>+SUM(START:END!AF438)</f>
        <v>57703.83</v>
      </c>
      <c r="AG438" s="258"/>
      <c r="AH438" s="259">
        <f t="shared" si="133"/>
        <v>16328.632688888894</v>
      </c>
      <c r="AI438" s="260">
        <f t="shared" si="136"/>
        <v>0.39464785064611452</v>
      </c>
      <c r="AJ438" s="264"/>
      <c r="AK438" s="256"/>
      <c r="AL438" s="257">
        <f t="shared" si="137"/>
        <v>42437.950000000004</v>
      </c>
      <c r="AM438" s="261"/>
      <c r="AN438" s="259">
        <f t="shared" si="134"/>
        <v>15265.879999999997</v>
      </c>
      <c r="AO438" s="452">
        <f t="shared" si="135"/>
        <v>0.35972237113244149</v>
      </c>
      <c r="AP438" s="225"/>
      <c r="AQ438" s="465"/>
      <c r="AR438" s="465"/>
      <c r="AS438" s="225"/>
      <c r="AT438" s="225"/>
      <c r="AU438" s="225"/>
      <c r="AV438" s="225"/>
      <c r="AW438" s="225"/>
      <c r="AX438" s="225"/>
      <c r="AY438" s="225"/>
      <c r="AZ438" s="225"/>
      <c r="BA438" s="225"/>
      <c r="BB438" s="225"/>
      <c r="BC438" s="225"/>
      <c r="BD438" s="225"/>
      <c r="BE438" s="225"/>
      <c r="BF438" s="225"/>
      <c r="BG438" s="225"/>
      <c r="BH438" s="225"/>
      <c r="BI438" s="225"/>
      <c r="BJ438" s="225"/>
    </row>
    <row r="439" spans="1:62" ht="15.75" customHeight="1">
      <c r="B439" s="7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83"/>
      <c r="S439" s="225"/>
      <c r="T439" s="225"/>
      <c r="U439" s="225"/>
      <c r="V439" s="191" t="s">
        <v>98</v>
      </c>
      <c r="W439" s="292"/>
      <c r="X439" s="293"/>
      <c r="Y439" s="293"/>
      <c r="Z439" s="294">
        <f>+SUM(START:END!Z439)</f>
        <v>0</v>
      </c>
      <c r="AA439" s="285"/>
      <c r="AB439" s="285"/>
      <c r="AC439" s="286"/>
      <c r="AD439" s="295"/>
      <c r="AE439" s="296"/>
      <c r="AF439" s="294">
        <f>+SUM(START:END!AF439)</f>
        <v>0</v>
      </c>
      <c r="AG439" s="444"/>
      <c r="AH439" s="289">
        <f t="shared" si="133"/>
        <v>0</v>
      </c>
      <c r="AI439" s="290">
        <f t="shared" si="136"/>
        <v>0</v>
      </c>
      <c r="AJ439" s="295"/>
      <c r="AK439" s="293"/>
      <c r="AL439" s="294">
        <f t="shared" si="137"/>
        <v>0</v>
      </c>
      <c r="AM439" s="291"/>
      <c r="AN439" s="289">
        <f t="shared" si="134"/>
        <v>0</v>
      </c>
      <c r="AO439" s="451">
        <f t="shared" si="135"/>
        <v>0</v>
      </c>
      <c r="AP439" s="225"/>
      <c r="AQ439" s="465"/>
      <c r="AR439" s="465"/>
      <c r="AS439" s="225"/>
      <c r="AT439" s="225"/>
      <c r="AU439" s="225"/>
      <c r="AV439" s="225"/>
      <c r="AW439" s="225"/>
      <c r="AX439" s="225"/>
      <c r="AY439" s="225"/>
      <c r="AZ439" s="225"/>
      <c r="BA439" s="225"/>
      <c r="BB439" s="225"/>
      <c r="BC439" s="225"/>
      <c r="BD439" s="225"/>
      <c r="BE439" s="225"/>
      <c r="BF439" s="225"/>
      <c r="BG439" s="225"/>
      <c r="BH439" s="225"/>
      <c r="BI439" s="225"/>
      <c r="BJ439" s="225"/>
    </row>
    <row r="440" spans="1:62" ht="15.75" customHeight="1">
      <c r="A440" t="str">
        <f t="shared" si="119"/>
        <v>Fournitures autres</v>
      </c>
      <c r="B440" s="7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97"/>
      <c r="Q440" s="283"/>
      <c r="R440" s="225"/>
      <c r="S440" s="225"/>
      <c r="T440" s="225"/>
      <c r="U440" s="225"/>
      <c r="V440" s="99" t="s">
        <v>56</v>
      </c>
      <c r="W440" s="262" t="s">
        <v>154</v>
      </c>
      <c r="X440" s="256"/>
      <c r="Y440" s="263"/>
      <c r="Z440" s="257">
        <f>+SUM(START:END!Z440)</f>
        <v>4120.4639261884586</v>
      </c>
      <c r="AA440" s="256"/>
      <c r="AB440" s="263"/>
      <c r="AC440" s="257"/>
      <c r="AD440" s="264"/>
      <c r="AE440" s="263"/>
      <c r="AF440" s="257">
        <f>+SUM(START:END!AF440)</f>
        <v>13752.76</v>
      </c>
      <c r="AG440" s="258"/>
      <c r="AH440" s="259">
        <f t="shared" si="133"/>
        <v>9632.2960738115416</v>
      </c>
      <c r="AI440" s="260">
        <f t="shared" si="136"/>
        <v>2.3376727102478672</v>
      </c>
      <c r="AJ440" s="264"/>
      <c r="AK440" s="256"/>
      <c r="AL440" s="257">
        <f t="shared" si="137"/>
        <v>2598.14</v>
      </c>
      <c r="AM440" s="261"/>
      <c r="AN440" s="259">
        <f t="shared" si="134"/>
        <v>11154.62</v>
      </c>
      <c r="AO440" s="452">
        <f t="shared" si="135"/>
        <v>4.2933098293394512</v>
      </c>
      <c r="AP440" s="225"/>
      <c r="AQ440" s="465"/>
      <c r="AR440" s="465"/>
      <c r="AS440" s="225"/>
      <c r="AT440" s="225"/>
      <c r="AU440" s="225"/>
      <c r="AV440" s="225"/>
      <c r="AW440" s="225"/>
      <c r="AX440" s="225"/>
      <c r="AY440" s="225"/>
      <c r="AZ440" s="225"/>
      <c r="BA440" s="225"/>
      <c r="BB440" s="225"/>
      <c r="BC440" s="225"/>
      <c r="BD440" s="225"/>
      <c r="BE440" s="225"/>
      <c r="BF440" s="225"/>
      <c r="BG440" s="225"/>
      <c r="BH440" s="225"/>
      <c r="BI440" s="225"/>
      <c r="BJ440" s="225"/>
    </row>
    <row r="441" spans="1:62" ht="15.75" customHeight="1">
      <c r="A441" t="str">
        <f t="shared" si="119"/>
        <v>Uniformes</v>
      </c>
      <c r="B441" s="7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Q441" s="283"/>
      <c r="S441" s="225"/>
      <c r="T441" s="225"/>
      <c r="U441" s="225"/>
      <c r="V441" s="99" t="s">
        <v>57</v>
      </c>
      <c r="W441" s="262" t="s">
        <v>155</v>
      </c>
      <c r="X441" s="256"/>
      <c r="Y441" s="256"/>
      <c r="Z441" s="257">
        <f>+SUM(START:END!Z441)</f>
        <v>2127.7605917986111</v>
      </c>
      <c r="AA441" s="256"/>
      <c r="AB441" s="256"/>
      <c r="AC441" s="257"/>
      <c r="AD441" s="264"/>
      <c r="AE441" s="263"/>
      <c r="AF441" s="257">
        <f>+SUM(START:END!AF441)</f>
        <v>2323.98</v>
      </c>
      <c r="AG441" s="258"/>
      <c r="AH441" s="259">
        <f t="shared" si="133"/>
        <v>196.21940820138889</v>
      </c>
      <c r="AI441" s="279">
        <f t="shared" si="136"/>
        <v>9.221874347974611E-2</v>
      </c>
      <c r="AJ441" s="264"/>
      <c r="AK441" s="256"/>
      <c r="AL441" s="257">
        <f t="shared" si="137"/>
        <v>837.90000000000009</v>
      </c>
      <c r="AM441" s="261"/>
      <c r="AN441" s="259">
        <f t="shared" si="134"/>
        <v>1486.08</v>
      </c>
      <c r="AO441" s="452">
        <f t="shared" si="135"/>
        <v>1.7735767991407085</v>
      </c>
      <c r="AP441" s="225"/>
      <c r="AQ441" s="465"/>
      <c r="AR441" s="465"/>
      <c r="AS441" s="225"/>
      <c r="AT441" s="225"/>
      <c r="AU441" s="225"/>
      <c r="AV441" s="225"/>
      <c r="AW441" s="225"/>
      <c r="AX441" s="225"/>
      <c r="AY441" s="225"/>
      <c r="AZ441" s="225"/>
      <c r="BA441" s="225"/>
      <c r="BB441" s="225"/>
      <c r="BC441" s="225"/>
      <c r="BD441" s="225"/>
      <c r="BE441" s="225"/>
      <c r="BF441" s="225"/>
      <c r="BG441" s="225"/>
      <c r="BH441" s="225"/>
      <c r="BI441" s="225"/>
      <c r="BJ441" s="225"/>
    </row>
    <row r="442" spans="1:62" ht="15.75" customHeight="1">
      <c r="A442" t="str">
        <f t="shared" si="119"/>
        <v>Papeterie</v>
      </c>
      <c r="B442" s="7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97"/>
      <c r="Q442" s="283"/>
      <c r="R442" s="225"/>
      <c r="S442" s="225"/>
      <c r="T442" s="225"/>
      <c r="U442" s="225"/>
      <c r="V442" s="99" t="s">
        <v>58</v>
      </c>
      <c r="W442" s="262" t="s">
        <v>156</v>
      </c>
      <c r="X442" s="256"/>
      <c r="Y442" s="256"/>
      <c r="Z442" s="257">
        <f>+SUM(START:END!Z442)</f>
        <v>4771.5689699999984</v>
      </c>
      <c r="AA442" s="256"/>
      <c r="AB442" s="256"/>
      <c r="AC442" s="257"/>
      <c r="AD442" s="264"/>
      <c r="AE442" s="263"/>
      <c r="AF442" s="257">
        <f>+SUM(START:END!AF442)</f>
        <v>4759.2199999999993</v>
      </c>
      <c r="AG442" s="258"/>
      <c r="AH442" s="259">
        <f t="shared" si="133"/>
        <v>-12.348969999999099</v>
      </c>
      <c r="AI442" s="260">
        <f t="shared" si="136"/>
        <v>-2.5880313325952202E-3</v>
      </c>
      <c r="AJ442" s="264"/>
      <c r="AK442" s="256"/>
      <c r="AL442" s="257">
        <f t="shared" si="137"/>
        <v>5271.9000000000005</v>
      </c>
      <c r="AM442" s="261"/>
      <c r="AN442" s="259">
        <f t="shared" si="134"/>
        <v>-512.6800000000012</v>
      </c>
      <c r="AO442" s="452">
        <f t="shared" si="135"/>
        <v>-9.7247671617443646E-2</v>
      </c>
      <c r="AP442" s="225"/>
      <c r="AQ442" s="465"/>
      <c r="AR442" s="465"/>
      <c r="AS442" s="225"/>
      <c r="AT442" s="225"/>
      <c r="AU442" s="225"/>
      <c r="AV442" s="225"/>
      <c r="AW442" s="225"/>
      <c r="AX442" s="225"/>
      <c r="AY442" s="225"/>
      <c r="AZ442" s="225"/>
      <c r="BA442" s="225"/>
      <c r="BB442" s="225"/>
      <c r="BC442" s="225"/>
      <c r="BD442" s="225"/>
      <c r="BE442" s="225"/>
      <c r="BF442" s="225"/>
      <c r="BG442" s="225"/>
      <c r="BH442" s="225"/>
      <c r="BI442" s="225"/>
      <c r="BJ442" s="225"/>
    </row>
    <row r="443" spans="1:62" ht="15.75" customHeight="1">
      <c r="A443" t="str">
        <f t="shared" si="119"/>
        <v>Téléphone</v>
      </c>
      <c r="B443" s="7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83"/>
      <c r="S443" s="225"/>
      <c r="T443" s="225"/>
      <c r="U443" s="225"/>
      <c r="V443" s="99" t="s">
        <v>59</v>
      </c>
      <c r="W443" s="262" t="s">
        <v>157</v>
      </c>
      <c r="X443" s="256"/>
      <c r="Y443" s="256"/>
      <c r="Z443" s="257">
        <f>+SUM(START:END!Z443)</f>
        <v>1617.0015634722222</v>
      </c>
      <c r="AA443" s="256"/>
      <c r="AB443" s="256"/>
      <c r="AC443" s="257"/>
      <c r="AD443" s="264"/>
      <c r="AE443" s="263"/>
      <c r="AF443" s="257">
        <f>+SUM(START:END!AF443)</f>
        <v>1158.04</v>
      </c>
      <c r="AG443" s="258"/>
      <c r="AH443" s="259">
        <f t="shared" si="133"/>
        <v>-458.96156347222222</v>
      </c>
      <c r="AI443" s="279">
        <f t="shared" si="136"/>
        <v>-0.28383495343485271</v>
      </c>
      <c r="AJ443" s="264"/>
      <c r="AK443" s="256"/>
      <c r="AL443" s="257">
        <f t="shared" si="137"/>
        <v>1634.6100000000001</v>
      </c>
      <c r="AM443" s="261"/>
      <c r="AN443" s="259">
        <f t="shared" si="134"/>
        <v>-476.57000000000016</v>
      </c>
      <c r="AO443" s="452">
        <f t="shared" si="135"/>
        <v>-0.29154966628125373</v>
      </c>
      <c r="AP443" s="225"/>
      <c r="AQ443" s="465"/>
      <c r="AR443" s="465"/>
      <c r="AS443" s="225"/>
      <c r="AT443" s="225"/>
      <c r="AU443" s="225"/>
      <c r="AV443" s="225"/>
      <c r="AW443" s="225"/>
      <c r="AX443" s="225"/>
      <c r="AY443" s="225"/>
      <c r="AZ443" s="225"/>
      <c r="BA443" s="225"/>
      <c r="BB443" s="225"/>
      <c r="BC443" s="225"/>
      <c r="BD443" s="225"/>
      <c r="BE443" s="225"/>
      <c r="BF443" s="225"/>
      <c r="BG443" s="225"/>
      <c r="BH443" s="225"/>
      <c r="BI443" s="225"/>
      <c r="BJ443" s="225"/>
    </row>
    <row r="444" spans="1:62" ht="15.75" customHeight="1">
      <c r="A444" t="str">
        <f t="shared" si="119"/>
        <v>Frais postaux</v>
      </c>
      <c r="B444" s="7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83"/>
      <c r="S444" s="225"/>
      <c r="T444" s="225"/>
      <c r="U444" s="225"/>
      <c r="V444" s="99" t="s">
        <v>60</v>
      </c>
      <c r="W444" s="262" t="s">
        <v>158</v>
      </c>
      <c r="X444" s="256"/>
      <c r="Y444" s="256"/>
      <c r="Z444" s="257">
        <f>+SUM(START:END!Z444)</f>
        <v>773.40183652777762</v>
      </c>
      <c r="AA444" s="256"/>
      <c r="AB444" s="256"/>
      <c r="AC444" s="257"/>
      <c r="AD444" s="264"/>
      <c r="AE444" s="263"/>
      <c r="AF444" s="257">
        <f>+SUM(START:END!AF444)</f>
        <v>2303.6799999999998</v>
      </c>
      <c r="AG444" s="258"/>
      <c r="AH444" s="259">
        <f t="shared" si="133"/>
        <v>1530.2781634722223</v>
      </c>
      <c r="AI444" s="260">
        <f t="shared" si="136"/>
        <v>1.9786326993254568</v>
      </c>
      <c r="AJ444" s="264"/>
      <c r="AK444" s="256"/>
      <c r="AL444" s="257">
        <f t="shared" si="137"/>
        <v>938.01</v>
      </c>
      <c r="AM444" s="261"/>
      <c r="AN444" s="259">
        <f t="shared" si="134"/>
        <v>1365.6699999999998</v>
      </c>
      <c r="AO444" s="452">
        <f t="shared" si="135"/>
        <v>1.4559226447479237</v>
      </c>
      <c r="AP444" s="225"/>
      <c r="AQ444" s="465"/>
      <c r="AR444" s="465"/>
      <c r="AS444" s="225"/>
      <c r="AT444" s="225"/>
      <c r="AU444" s="225"/>
      <c r="AV444" s="225"/>
      <c r="AW444" s="225"/>
      <c r="AX444" s="225"/>
      <c r="AY444" s="225"/>
      <c r="AZ444" s="225"/>
      <c r="BA444" s="225"/>
      <c r="BB444" s="225"/>
      <c r="BC444" s="225"/>
      <c r="BD444" s="225"/>
      <c r="BE444" s="225"/>
      <c r="BF444" s="225"/>
      <c r="BG444" s="225"/>
      <c r="BH444" s="225"/>
      <c r="BI444" s="225"/>
      <c r="BJ444" s="225"/>
    </row>
    <row r="445" spans="1:62" ht="15.75" customHeight="1">
      <c r="A445" t="str">
        <f t="shared" si="119"/>
        <v>Divers</v>
      </c>
      <c r="B445" s="7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83"/>
      <c r="R445" s="225"/>
      <c r="S445" s="225"/>
      <c r="T445" s="225"/>
      <c r="U445" s="225"/>
      <c r="V445" s="99" t="s">
        <v>61</v>
      </c>
      <c r="W445" s="262" t="s">
        <v>159</v>
      </c>
      <c r="X445" s="256"/>
      <c r="Y445" s="263"/>
      <c r="Z445" s="257">
        <f>+SUM(START:END!Z445)</f>
        <v>2938.6397690277777</v>
      </c>
      <c r="AA445" s="256"/>
      <c r="AB445" s="263"/>
      <c r="AC445" s="257"/>
      <c r="AD445" s="264"/>
      <c r="AE445" s="263"/>
      <c r="AF445" s="257">
        <f>+SUM(START:END!AF445)</f>
        <v>618.71</v>
      </c>
      <c r="AG445" s="258"/>
      <c r="AH445" s="259">
        <f t="shared" si="133"/>
        <v>-2319.9297690277776</v>
      </c>
      <c r="AI445" s="279">
        <f t="shared" si="136"/>
        <v>-0.78945701119239442</v>
      </c>
      <c r="AJ445" s="264"/>
      <c r="AK445" s="256"/>
      <c r="AL445" s="257">
        <f t="shared" si="137"/>
        <v>1182.8200000000002</v>
      </c>
      <c r="AM445" s="261"/>
      <c r="AN445" s="259">
        <f t="shared" si="134"/>
        <v>-564.11000000000013</v>
      </c>
      <c r="AO445" s="452">
        <f t="shared" si="135"/>
        <v>-0.47691956510711692</v>
      </c>
      <c r="AP445" s="225"/>
      <c r="AQ445" s="465"/>
      <c r="AR445" s="465"/>
      <c r="AS445" s="225"/>
      <c r="AT445" s="225"/>
      <c r="AU445" s="225"/>
      <c r="AV445" s="225"/>
      <c r="AW445" s="225"/>
      <c r="AX445" s="225"/>
      <c r="AY445" s="225"/>
      <c r="AZ445" s="225"/>
      <c r="BA445" s="225"/>
      <c r="BB445" s="225"/>
      <c r="BC445" s="225"/>
      <c r="BD445" s="225"/>
      <c r="BE445" s="225"/>
      <c r="BF445" s="225"/>
      <c r="BG445" s="225"/>
      <c r="BH445" s="225"/>
      <c r="BI445" s="225"/>
      <c r="BJ445" s="225"/>
    </row>
    <row r="446" spans="1:62" ht="15.75" customHeight="1">
      <c r="A446" t="str">
        <f t="shared" si="119"/>
        <v>Formation</v>
      </c>
      <c r="B446" s="7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83"/>
      <c r="R446" s="225"/>
      <c r="S446" s="225"/>
      <c r="T446" s="225"/>
      <c r="U446" s="225"/>
      <c r="V446" s="99" t="s">
        <v>62</v>
      </c>
      <c r="W446" s="262" t="s">
        <v>160</v>
      </c>
      <c r="X446" s="256"/>
      <c r="Y446" s="263"/>
      <c r="Z446" s="257">
        <f>+SUM(START:END!Z446)</f>
        <v>7026.6666666666679</v>
      </c>
      <c r="AA446" s="256"/>
      <c r="AB446" s="263"/>
      <c r="AC446" s="257"/>
      <c r="AD446" s="264"/>
      <c r="AE446" s="263"/>
      <c r="AF446" s="257">
        <f>+SUM(START:END!AF446)</f>
        <v>9414.86</v>
      </c>
      <c r="AG446" s="258"/>
      <c r="AH446" s="445">
        <f t="shared" si="133"/>
        <v>2388.1933333333327</v>
      </c>
      <c r="AI446" s="260">
        <f t="shared" si="136"/>
        <v>0.33987571157495239</v>
      </c>
      <c r="AJ446" s="264"/>
      <c r="AK446" s="256"/>
      <c r="AL446" s="257">
        <f t="shared" si="137"/>
        <v>8685.1</v>
      </c>
      <c r="AM446" s="261"/>
      <c r="AN446" s="259">
        <f t="shared" si="134"/>
        <v>729.76000000000022</v>
      </c>
      <c r="AO446" s="452">
        <f t="shared" si="135"/>
        <v>8.4024363565186375E-2</v>
      </c>
      <c r="AP446" s="225"/>
      <c r="AQ446" s="465"/>
      <c r="AR446" s="465"/>
      <c r="AS446" s="225"/>
      <c r="AT446" s="225"/>
      <c r="AU446" s="225"/>
      <c r="AV446" s="225"/>
      <c r="AW446" s="225"/>
      <c r="AX446" s="225"/>
      <c r="AY446" s="225"/>
      <c r="AZ446" s="225"/>
      <c r="BA446" s="225"/>
      <c r="BB446" s="225"/>
      <c r="BC446" s="225"/>
      <c r="BD446" s="225"/>
      <c r="BE446" s="225"/>
      <c r="BF446" s="225"/>
      <c r="BG446" s="225"/>
      <c r="BH446" s="225"/>
      <c r="BI446" s="225"/>
      <c r="BJ446" s="225"/>
    </row>
    <row r="447" spans="1:62" ht="15.75" customHeight="1">
      <c r="A447" t="str">
        <f t="shared" si="119"/>
        <v>Frais bancaires</v>
      </c>
      <c r="B447" s="7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83"/>
      <c r="R447" s="225"/>
      <c r="S447" s="225"/>
      <c r="T447" s="225"/>
      <c r="U447" s="225"/>
      <c r="V447" s="99" t="s">
        <v>63</v>
      </c>
      <c r="W447" s="262" t="s">
        <v>161</v>
      </c>
      <c r="X447" s="256"/>
      <c r="Y447" s="263"/>
      <c r="Z447" s="257">
        <f>+SUM(START:END!Z447)</f>
        <v>13393.676135104588</v>
      </c>
      <c r="AA447" s="256"/>
      <c r="AB447" s="263"/>
      <c r="AC447" s="257"/>
      <c r="AD447" s="264"/>
      <c r="AE447" s="263"/>
      <c r="AF447" s="257">
        <f>+SUM(START:END!AF447)</f>
        <v>15430.170000000002</v>
      </c>
      <c r="AG447" s="258"/>
      <c r="AH447" s="259">
        <f t="shared" si="133"/>
        <v>2036.4938648954139</v>
      </c>
      <c r="AI447" s="260">
        <f t="shared" si="136"/>
        <v>0.15204891057189293</v>
      </c>
      <c r="AJ447" s="264"/>
      <c r="AK447" s="256"/>
      <c r="AL447" s="257">
        <f t="shared" si="137"/>
        <v>15124.87000000001</v>
      </c>
      <c r="AM447" s="261"/>
      <c r="AN447" s="259">
        <f t="shared" si="134"/>
        <v>305.299999999992</v>
      </c>
      <c r="AO447" s="452">
        <f t="shared" si="135"/>
        <v>2.018529746040738E-2</v>
      </c>
      <c r="AP447" s="225"/>
      <c r="AQ447" s="465"/>
      <c r="AR447" s="465"/>
      <c r="AS447" s="225"/>
      <c r="AT447" s="225"/>
      <c r="AU447" s="225"/>
      <c r="AV447" s="225"/>
      <c r="AW447" s="225"/>
      <c r="AX447" s="225"/>
      <c r="AY447" s="225"/>
      <c r="AZ447" s="225"/>
      <c r="BA447" s="225"/>
      <c r="BB447" s="225"/>
      <c r="BC447" s="225"/>
      <c r="BD447" s="225"/>
      <c r="BE447" s="225"/>
      <c r="BF447" s="225"/>
      <c r="BG447" s="225"/>
      <c r="BH447" s="225"/>
      <c r="BI447" s="225"/>
      <c r="BJ447" s="225"/>
    </row>
    <row r="448" spans="1:62" ht="15.75" hidden="1" customHeight="1">
      <c r="A448" t="str">
        <f t="shared" si="119"/>
        <v>Mitsubishi</v>
      </c>
      <c r="B448" s="7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83"/>
      <c r="R448" s="225"/>
      <c r="S448" s="225"/>
      <c r="T448" s="225"/>
      <c r="U448" s="225"/>
      <c r="V448" s="99" t="s">
        <v>212</v>
      </c>
      <c r="W448" s="262"/>
      <c r="X448" s="256"/>
      <c r="Y448" s="263"/>
      <c r="Z448" s="257">
        <f>+SUM(START:END!Z448)</f>
        <v>0</v>
      </c>
      <c r="AA448" s="256"/>
      <c r="AB448" s="256"/>
      <c r="AC448" s="257"/>
      <c r="AD448" s="264"/>
      <c r="AE448" s="263"/>
      <c r="AF448" s="257">
        <f>+SUM(START:END!AF448)</f>
        <v>0</v>
      </c>
      <c r="AG448" s="258"/>
      <c r="AH448" s="259">
        <f t="shared" si="133"/>
        <v>0</v>
      </c>
      <c r="AI448" s="260">
        <f t="shared" si="136"/>
        <v>0</v>
      </c>
      <c r="AJ448" s="264"/>
      <c r="AK448" s="256"/>
      <c r="AL448" s="257">
        <f t="shared" si="137"/>
        <v>0</v>
      </c>
      <c r="AM448" s="261"/>
      <c r="AN448" s="259">
        <f t="shared" si="134"/>
        <v>0</v>
      </c>
      <c r="AO448" s="452">
        <f t="shared" si="135"/>
        <v>0</v>
      </c>
      <c r="AP448" s="225"/>
      <c r="AQ448" s="465"/>
      <c r="AR448" s="465"/>
      <c r="AS448" s="225"/>
      <c r="AT448" s="225"/>
      <c r="AU448" s="225"/>
      <c r="AV448" s="225"/>
      <c r="AW448" s="225"/>
      <c r="AX448" s="225"/>
      <c r="AY448" s="225"/>
      <c r="AZ448" s="225"/>
      <c r="BA448" s="225"/>
      <c r="BB448" s="225"/>
      <c r="BC448" s="225"/>
      <c r="BD448" s="225"/>
      <c r="BE448" s="225"/>
      <c r="BF448" s="225"/>
      <c r="BG448" s="225"/>
      <c r="BH448" s="225"/>
      <c r="BI448" s="225"/>
      <c r="BJ448" s="225"/>
    </row>
    <row r="449" spans="1:62" ht="15.75" hidden="1" customHeight="1">
      <c r="A449" t="str">
        <f t="shared" si="119"/>
        <v>[...]</v>
      </c>
      <c r="B449" s="7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83"/>
      <c r="R449" s="225"/>
      <c r="S449" s="225"/>
      <c r="T449" s="225"/>
      <c r="U449" s="225"/>
      <c r="V449" s="99" t="s">
        <v>20</v>
      </c>
      <c r="W449" s="262"/>
      <c r="X449" s="256"/>
      <c r="Y449" s="263"/>
      <c r="Z449" s="257">
        <f>+SUM(START:END!Z449)</f>
        <v>0</v>
      </c>
      <c r="AA449" s="256"/>
      <c r="AB449" s="256"/>
      <c r="AC449" s="257"/>
      <c r="AD449" s="264"/>
      <c r="AE449" s="263"/>
      <c r="AF449" s="257">
        <f>+SUM(START:END!AF449)</f>
        <v>0</v>
      </c>
      <c r="AG449" s="258"/>
      <c r="AH449" s="259">
        <f t="shared" si="133"/>
        <v>0</v>
      </c>
      <c r="AI449" s="260">
        <f t="shared" si="136"/>
        <v>0</v>
      </c>
      <c r="AJ449" s="264"/>
      <c r="AK449" s="256"/>
      <c r="AL449" s="257">
        <f t="shared" si="137"/>
        <v>0</v>
      </c>
      <c r="AM449" s="261"/>
      <c r="AN449" s="259">
        <f t="shared" si="134"/>
        <v>0</v>
      </c>
      <c r="AO449" s="452">
        <f t="shared" si="135"/>
        <v>0</v>
      </c>
      <c r="AP449" s="225"/>
      <c r="AQ449" s="465"/>
      <c r="AR449" s="465"/>
      <c r="AS449" s="225"/>
      <c r="AT449" s="225"/>
      <c r="AU449" s="225"/>
      <c r="AV449" s="225"/>
      <c r="AW449" s="225"/>
      <c r="AX449" s="225"/>
      <c r="AY449" s="225"/>
      <c r="AZ449" s="225"/>
      <c r="BA449" s="225"/>
      <c r="BB449" s="225"/>
      <c r="BC449" s="225"/>
      <c r="BD449" s="225"/>
      <c r="BE449" s="225"/>
      <c r="BF449" s="225"/>
      <c r="BG449" s="225"/>
      <c r="BH449" s="225"/>
      <c r="BI449" s="225"/>
      <c r="BJ449" s="225"/>
    </row>
    <row r="450" spans="1:62" ht="15.75" hidden="1" customHeight="1">
      <c r="A450" t="str">
        <f t="shared" si="119"/>
        <v>[...]</v>
      </c>
      <c r="B450" s="7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97"/>
      <c r="Q450" s="283"/>
      <c r="R450" s="225"/>
      <c r="S450" s="225"/>
      <c r="T450" s="225"/>
      <c r="U450" s="225"/>
      <c r="V450" s="99" t="s">
        <v>20</v>
      </c>
      <c r="W450" s="262"/>
      <c r="X450" s="256"/>
      <c r="Y450" s="263"/>
      <c r="Z450" s="257">
        <f>+SUM(START:END!Z450)</f>
        <v>0</v>
      </c>
      <c r="AA450" s="256"/>
      <c r="AB450" s="256"/>
      <c r="AC450" s="257"/>
      <c r="AD450" s="264"/>
      <c r="AE450" s="263"/>
      <c r="AF450" s="257">
        <f>+SUM(START:END!AF450)</f>
        <v>0</v>
      </c>
      <c r="AG450" s="258"/>
      <c r="AH450" s="259">
        <f t="shared" si="133"/>
        <v>0</v>
      </c>
      <c r="AI450" s="260">
        <f t="shared" si="136"/>
        <v>0</v>
      </c>
      <c r="AJ450" s="264"/>
      <c r="AK450" s="256"/>
      <c r="AL450" s="257">
        <f t="shared" si="137"/>
        <v>0</v>
      </c>
      <c r="AM450" s="261"/>
      <c r="AN450" s="259">
        <f t="shared" si="134"/>
        <v>0</v>
      </c>
      <c r="AO450" s="452">
        <f t="shared" si="135"/>
        <v>0</v>
      </c>
      <c r="AP450" s="225"/>
      <c r="AQ450" s="465"/>
      <c r="AR450" s="465"/>
      <c r="AS450" s="225"/>
      <c r="AT450" s="225"/>
      <c r="AU450" s="225"/>
      <c r="AV450" s="225"/>
      <c r="AW450" s="225"/>
      <c r="AX450" s="225"/>
      <c r="AY450" s="225"/>
      <c r="AZ450" s="225"/>
      <c r="BA450" s="225"/>
      <c r="BB450" s="225"/>
      <c r="BC450" s="225"/>
      <c r="BD450" s="225"/>
      <c r="BE450" s="225"/>
      <c r="BF450" s="225"/>
      <c r="BG450" s="225"/>
      <c r="BH450" s="225"/>
      <c r="BI450" s="225"/>
      <c r="BJ450" s="225"/>
    </row>
    <row r="451" spans="1:62" ht="15.75" customHeight="1">
      <c r="A451" t="str">
        <f t="shared" si="119"/>
        <v>TOTAL SEMI-FIXES</v>
      </c>
      <c r="B451" s="7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83"/>
      <c r="R451" s="225"/>
      <c r="S451" s="225"/>
      <c r="T451" s="225"/>
      <c r="U451" s="225"/>
      <c r="V451" s="269" t="s">
        <v>64</v>
      </c>
      <c r="W451" s="298"/>
      <c r="X451" s="271">
        <f>Z451/+Z406</f>
        <v>0.15082437777264557</v>
      </c>
      <c r="Y451" s="270"/>
      <c r="Z451" s="272">
        <f>+SUM(Z433:Z450)</f>
        <v>202056.16591491029</v>
      </c>
      <c r="AA451" s="271"/>
      <c r="AB451" s="270"/>
      <c r="AC451" s="272"/>
      <c r="AD451" s="273">
        <f>AF451/AF406</f>
        <v>0.19787758075356973</v>
      </c>
      <c r="AE451" s="270"/>
      <c r="AF451" s="272">
        <f>+SUM(AF433:AF450)</f>
        <v>254926.18000000002</v>
      </c>
      <c r="AG451" s="281"/>
      <c r="AH451" s="299">
        <f>+SUM(AH433:AH450)</f>
        <v>52870.014085089657</v>
      </c>
      <c r="AI451" s="271">
        <f>AH451/Z451</f>
        <v>0.26165998867539747</v>
      </c>
      <c r="AJ451" s="273">
        <f>IF($AL$406=0,0,AL451/$AL$406)</f>
        <v>0.14141130923189382</v>
      </c>
      <c r="AK451" s="271"/>
      <c r="AL451" s="272">
        <f>+SUM(AL433:AL450)</f>
        <v>211713.96000000002</v>
      </c>
      <c r="AM451" s="282"/>
      <c r="AN451" s="275">
        <f>+SUM(AN433:AN450)</f>
        <v>43212.219999999987</v>
      </c>
      <c r="AO451" s="453">
        <f t="shared" si="135"/>
        <v>0.20410661630437588</v>
      </c>
      <c r="AP451" s="225"/>
      <c r="AQ451" s="465"/>
      <c r="AR451" s="465"/>
      <c r="AS451" s="225"/>
      <c r="AT451" s="225"/>
      <c r="AU451" s="225"/>
      <c r="AV451" s="225"/>
      <c r="AW451" s="225"/>
      <c r="AX451" s="225"/>
      <c r="AY451" s="225"/>
      <c r="AZ451" s="225"/>
      <c r="BA451" s="225"/>
      <c r="BB451" s="225"/>
      <c r="BC451" s="225"/>
      <c r="BD451" s="225"/>
      <c r="BE451" s="225"/>
      <c r="BF451" s="225"/>
      <c r="BG451" s="225"/>
      <c r="BH451" s="225"/>
      <c r="BI451" s="225"/>
      <c r="BJ451" s="225"/>
    </row>
    <row r="452" spans="1:62" ht="15.75" customHeight="1">
      <c r="A452" t="str">
        <f t="shared" si="119"/>
        <v>Loyer</v>
      </c>
      <c r="B452" s="7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99" t="s">
        <v>162</v>
      </c>
      <c r="W452" s="262" t="s">
        <v>163</v>
      </c>
      <c r="X452" s="256"/>
      <c r="Y452" s="263"/>
      <c r="Z452" s="257">
        <f>+SUM(START:END!Z452)</f>
        <v>52000.000000000007</v>
      </c>
      <c r="AA452" s="256"/>
      <c r="AB452" s="263"/>
      <c r="AC452" s="257"/>
      <c r="AD452" s="264"/>
      <c r="AE452" s="263"/>
      <c r="AF452" s="257">
        <f>+SUM(START:END!AF452)</f>
        <v>52000</v>
      </c>
      <c r="AG452" s="258"/>
      <c r="AH452" s="259">
        <f t="shared" ref="AH452:AH460" si="138">AF452-Z452</f>
        <v>0</v>
      </c>
      <c r="AI452" s="260">
        <f t="shared" ref="AI452:AI460" si="139">IF(Z452=0,0,AH452/Z452)</f>
        <v>0</v>
      </c>
      <c r="AJ452" s="264"/>
      <c r="AK452" s="256"/>
      <c r="AL452" s="257">
        <f>+SUM(START:END!AL452)</f>
        <v>52000</v>
      </c>
      <c r="AM452" s="261"/>
      <c r="AN452" s="259">
        <f t="shared" ref="AN452:AN460" si="140">AF452-AL452</f>
        <v>0</v>
      </c>
      <c r="AO452" s="452">
        <f t="shared" si="135"/>
        <v>0</v>
      </c>
      <c r="AP452" s="225"/>
      <c r="AQ452" s="465"/>
      <c r="AR452" s="465"/>
      <c r="AS452" s="225"/>
      <c r="AT452" s="225"/>
      <c r="AU452" s="225"/>
      <c r="AV452" s="225"/>
      <c r="AW452" s="225"/>
      <c r="AX452" s="225"/>
      <c r="AY452" s="225"/>
      <c r="AZ452" s="225"/>
      <c r="BA452" s="225"/>
      <c r="BB452" s="225"/>
      <c r="BC452" s="225"/>
      <c r="BD452" s="225"/>
      <c r="BE452" s="225"/>
      <c r="BF452" s="225"/>
      <c r="BG452" s="225"/>
      <c r="BH452" s="225"/>
      <c r="BI452" s="225"/>
      <c r="BJ452" s="225"/>
    </row>
    <row r="453" spans="1:62" ht="15.75" customHeight="1">
      <c r="A453" t="str">
        <f t="shared" si="119"/>
        <v>Taxes foncières</v>
      </c>
      <c r="B453" s="7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99" t="s">
        <v>164</v>
      </c>
      <c r="W453" s="262" t="s">
        <v>165</v>
      </c>
      <c r="X453" s="256"/>
      <c r="Y453" s="263"/>
      <c r="Z453" s="257">
        <f>+SUM(START:END!Z453)</f>
        <v>10563.210000000001</v>
      </c>
      <c r="AA453" s="256"/>
      <c r="AB453" s="263"/>
      <c r="AC453" s="257"/>
      <c r="AD453" s="264"/>
      <c r="AE453" s="263"/>
      <c r="AF453" s="257">
        <f>+SUM(START:END!AF453)</f>
        <v>9867.75</v>
      </c>
      <c r="AG453" s="258"/>
      <c r="AH453" s="259">
        <f t="shared" si="138"/>
        <v>-695.46000000000095</v>
      </c>
      <c r="AI453" s="260">
        <f t="shared" si="139"/>
        <v>-6.5837941307613959E-2</v>
      </c>
      <c r="AJ453" s="264"/>
      <c r="AK453" s="256"/>
      <c r="AL453" s="257">
        <f>+SUM(START:END!AL453)</f>
        <v>9860</v>
      </c>
      <c r="AM453" s="261"/>
      <c r="AN453" s="259">
        <f t="shared" si="140"/>
        <v>7.75</v>
      </c>
      <c r="AO453" s="452">
        <f t="shared" si="135"/>
        <v>7.8600405679513183E-4</v>
      </c>
      <c r="AP453" s="225"/>
      <c r="AQ453" s="465"/>
      <c r="AR453" s="465"/>
      <c r="AS453" s="225"/>
      <c r="AT453" s="225"/>
      <c r="AU453" s="225"/>
      <c r="AV453" s="225"/>
      <c r="AW453" s="225"/>
      <c r="AX453" s="225"/>
      <c r="AY453" s="225"/>
      <c r="AZ453" s="225"/>
      <c r="BA453" s="225"/>
      <c r="BB453" s="225"/>
      <c r="BC453" s="225"/>
      <c r="BD453" s="225"/>
      <c r="BE453" s="225"/>
      <c r="BF453" s="225"/>
      <c r="BG453" s="225"/>
      <c r="BH453" s="225"/>
      <c r="BI453" s="225"/>
      <c r="BJ453" s="225"/>
    </row>
    <row r="454" spans="1:62" ht="15.75" customHeight="1">
      <c r="A454" t="str">
        <f t="shared" si="119"/>
        <v>Taxes d`affaires</v>
      </c>
      <c r="B454" s="7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100" t="s">
        <v>166</v>
      </c>
      <c r="W454" s="265" t="s">
        <v>167</v>
      </c>
      <c r="X454" s="242"/>
      <c r="Y454" s="266"/>
      <c r="Z454" s="243">
        <f>+SUM(START:END!Z454)</f>
        <v>7027.65</v>
      </c>
      <c r="AA454" s="242"/>
      <c r="AB454" s="266"/>
      <c r="AC454" s="243"/>
      <c r="AD454" s="267"/>
      <c r="AE454" s="266"/>
      <c r="AF454" s="243">
        <f>+SUM(START:END!AF454)</f>
        <v>6559.9999999999991</v>
      </c>
      <c r="AG454" s="244"/>
      <c r="AH454" s="245">
        <f t="shared" si="138"/>
        <v>-467.65000000000055</v>
      </c>
      <c r="AI454" s="268">
        <f t="shared" si="139"/>
        <v>-6.6544292900187194E-2</v>
      </c>
      <c r="AJ454" s="267"/>
      <c r="AK454" s="242"/>
      <c r="AL454" s="243">
        <f>+SUM(START:END!AL454)</f>
        <v>6559.9999999999991</v>
      </c>
      <c r="AM454" s="247"/>
      <c r="AN454" s="245">
        <f t="shared" si="140"/>
        <v>0</v>
      </c>
      <c r="AO454" s="449">
        <f t="shared" si="135"/>
        <v>0</v>
      </c>
      <c r="AP454" s="225"/>
      <c r="AQ454" s="465"/>
      <c r="AR454" s="465"/>
      <c r="AS454" s="225"/>
      <c r="AT454" s="225"/>
      <c r="AU454" s="225"/>
      <c r="AV454" s="225"/>
      <c r="AW454" s="225"/>
      <c r="AX454" s="225"/>
      <c r="AY454" s="225"/>
      <c r="AZ454" s="225"/>
      <c r="BA454" s="225"/>
      <c r="BB454" s="225"/>
      <c r="BC454" s="225"/>
      <c r="BD454" s="225"/>
      <c r="BE454" s="225"/>
      <c r="BF454" s="225"/>
      <c r="BG454" s="225"/>
      <c r="BH454" s="225"/>
      <c r="BI454" s="225"/>
      <c r="BJ454" s="225"/>
    </row>
    <row r="455" spans="1:62" ht="15.75" customHeight="1">
      <c r="A455" t="str">
        <f t="shared" si="119"/>
        <v>Taxe sur le capital</v>
      </c>
      <c r="B455" s="7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99" t="s">
        <v>168</v>
      </c>
      <c r="W455" s="262"/>
      <c r="X455" s="256"/>
      <c r="Y455" s="263"/>
      <c r="Z455" s="257">
        <f>+SUM(START:END!Z455)</f>
        <v>0</v>
      </c>
      <c r="AA455" s="256"/>
      <c r="AB455" s="263"/>
      <c r="AC455" s="257"/>
      <c r="AD455" s="264"/>
      <c r="AE455" s="263"/>
      <c r="AF455" s="257">
        <f>+SUM(START:END!AF455)</f>
        <v>0</v>
      </c>
      <c r="AG455" s="258"/>
      <c r="AH455" s="259">
        <f t="shared" si="138"/>
        <v>0</v>
      </c>
      <c r="AI455" s="260">
        <f t="shared" si="139"/>
        <v>0</v>
      </c>
      <c r="AJ455" s="264"/>
      <c r="AK455" s="256"/>
      <c r="AL455" s="257">
        <f>+SUM(START:END!AL455)</f>
        <v>0</v>
      </c>
      <c r="AM455" s="261"/>
      <c r="AN455" s="259">
        <f t="shared" si="140"/>
        <v>0</v>
      </c>
      <c r="AO455" s="452">
        <f t="shared" si="135"/>
        <v>0</v>
      </c>
      <c r="AP455" s="225"/>
      <c r="AQ455" s="465"/>
      <c r="AR455" s="465"/>
      <c r="AS455" s="225"/>
      <c r="AT455" s="225"/>
      <c r="AU455" s="225"/>
      <c r="AV455" s="225"/>
      <c r="AW455" s="225"/>
      <c r="AX455" s="225"/>
      <c r="AY455" s="225"/>
      <c r="AZ455" s="225"/>
      <c r="BA455" s="225"/>
      <c r="BB455" s="225"/>
      <c r="BC455" s="225"/>
      <c r="BD455" s="225"/>
      <c r="BE455" s="225"/>
      <c r="BF455" s="225"/>
      <c r="BG455" s="225"/>
      <c r="BH455" s="225"/>
      <c r="BI455" s="225"/>
      <c r="BJ455" s="225"/>
    </row>
    <row r="456" spans="1:62" ht="15.75" customHeight="1">
      <c r="A456" t="str">
        <f t="shared" si="119"/>
        <v>Assurances</v>
      </c>
      <c r="B456" s="7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100" t="s">
        <v>169</v>
      </c>
      <c r="W456" s="265" t="s">
        <v>170</v>
      </c>
      <c r="X456" s="242"/>
      <c r="Y456" s="266"/>
      <c r="Z456" s="243">
        <f>+SUM(START:END!Z456)</f>
        <v>8712.5566666666655</v>
      </c>
      <c r="AA456" s="242"/>
      <c r="AB456" s="266"/>
      <c r="AC456" s="243"/>
      <c r="AD456" s="267"/>
      <c r="AE456" s="266"/>
      <c r="AF456" s="243">
        <f>+SUM(START:END!AF456)</f>
        <v>8542</v>
      </c>
      <c r="AG456" s="244"/>
      <c r="AH456" s="245">
        <f t="shared" si="138"/>
        <v>-170.55666666666548</v>
      </c>
      <c r="AI456" s="268">
        <f t="shared" si="139"/>
        <v>-1.9575960672852496E-2</v>
      </c>
      <c r="AJ456" s="267"/>
      <c r="AK456" s="242"/>
      <c r="AL456" s="243">
        <f>+SUM(START:END!AL456)</f>
        <v>8542</v>
      </c>
      <c r="AM456" s="247"/>
      <c r="AN456" s="245">
        <f t="shared" si="140"/>
        <v>0</v>
      </c>
      <c r="AO456" s="449">
        <f t="shared" si="135"/>
        <v>0</v>
      </c>
      <c r="AP456" s="225"/>
      <c r="AQ456" s="465"/>
      <c r="AR456" s="465"/>
      <c r="AS456" s="225"/>
      <c r="AT456" s="225"/>
      <c r="AU456" s="225"/>
      <c r="AV456" s="225"/>
      <c r="AW456" s="225"/>
      <c r="AX456" s="225"/>
      <c r="AY456" s="225"/>
      <c r="AZ456" s="225"/>
      <c r="BA456" s="225"/>
      <c r="BB456" s="225"/>
      <c r="BC456" s="225"/>
      <c r="BD456" s="225"/>
      <c r="BE456" s="225"/>
      <c r="BF456" s="225"/>
      <c r="BG456" s="225"/>
      <c r="BH456" s="225"/>
      <c r="BI456" s="225"/>
      <c r="BJ456" s="225"/>
    </row>
    <row r="457" spans="1:62" ht="15.75" customHeight="1">
      <c r="A457" t="str">
        <f t="shared" si="119"/>
        <v>Chauffage, éclairage</v>
      </c>
      <c r="B457" s="7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99" t="s">
        <v>171</v>
      </c>
      <c r="W457" s="262" t="s">
        <v>172</v>
      </c>
      <c r="X457" s="300"/>
      <c r="Y457" s="301"/>
      <c r="Z457" s="257">
        <f>+SUM(START:END!Z457)</f>
        <v>5021.8964995833339</v>
      </c>
      <c r="AA457" s="300"/>
      <c r="AB457" s="301"/>
      <c r="AC457" s="257"/>
      <c r="AD457" s="264"/>
      <c r="AE457" s="263"/>
      <c r="AF457" s="257">
        <f>+SUM(START:END!AF457)</f>
        <v>2730.56</v>
      </c>
      <c r="AG457" s="258"/>
      <c r="AH457" s="259">
        <f t="shared" si="138"/>
        <v>-2291.336499583334</v>
      </c>
      <c r="AI457" s="260">
        <f t="shared" si="139"/>
        <v>-0.45626916042045984</v>
      </c>
      <c r="AJ457" s="264"/>
      <c r="AK457" s="256"/>
      <c r="AL457" s="257">
        <f>+SUM(START:END!AL457)</f>
        <v>1932.27</v>
      </c>
      <c r="AM457" s="261"/>
      <c r="AN457" s="259">
        <f t="shared" si="140"/>
        <v>798.29</v>
      </c>
      <c r="AO457" s="452">
        <f t="shared" si="135"/>
        <v>0.41313584540462772</v>
      </c>
      <c r="AP457" s="225"/>
      <c r="AQ457" s="465"/>
      <c r="AR457" s="465"/>
      <c r="AS457" s="225"/>
      <c r="AT457" s="225"/>
      <c r="AU457" s="225"/>
      <c r="AV457" s="225"/>
      <c r="AW457" s="225"/>
      <c r="AX457" s="225"/>
      <c r="AY457" s="225"/>
      <c r="AZ457" s="225"/>
      <c r="BA457" s="225"/>
      <c r="BB457" s="225"/>
      <c r="BC457" s="225"/>
      <c r="BD457" s="225"/>
      <c r="BE457" s="225"/>
      <c r="BF457" s="225"/>
      <c r="BG457" s="225"/>
      <c r="BH457" s="225"/>
      <c r="BI457" s="225"/>
      <c r="BJ457" s="225"/>
    </row>
    <row r="458" spans="1:62" ht="15.75" customHeight="1">
      <c r="A458" t="str">
        <f t="shared" si="119"/>
        <v>Honoraires</v>
      </c>
      <c r="B458" s="7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99" t="s">
        <v>173</v>
      </c>
      <c r="W458" s="262" t="s">
        <v>174</v>
      </c>
      <c r="X458" s="256"/>
      <c r="Y458" s="263"/>
      <c r="Z458" s="257">
        <f>+SUM(START:END!Z458)</f>
        <v>12613.718755555561</v>
      </c>
      <c r="AA458" s="256"/>
      <c r="AB458" s="263"/>
      <c r="AC458" s="257"/>
      <c r="AD458" s="264"/>
      <c r="AE458" s="263"/>
      <c r="AF458" s="257">
        <f>+SUM(START:END!AF458)</f>
        <v>13100.24</v>
      </c>
      <c r="AG458" s="258"/>
      <c r="AH458" s="259">
        <f t="shared" si="138"/>
        <v>486.52124444443871</v>
      </c>
      <c r="AI458" s="260">
        <f t="shared" si="139"/>
        <v>3.8570801670217696E-2</v>
      </c>
      <c r="AJ458" s="264"/>
      <c r="AK458" s="256"/>
      <c r="AL458" s="257">
        <f>+SUM(START:END!AL458)</f>
        <v>12246.66</v>
      </c>
      <c r="AM458" s="261"/>
      <c r="AN458" s="259">
        <f t="shared" si="140"/>
        <v>853.57999999999993</v>
      </c>
      <c r="AO458" s="452">
        <f t="shared" si="135"/>
        <v>6.9699003646708571E-2</v>
      </c>
      <c r="AP458" s="225"/>
      <c r="AQ458" s="465"/>
      <c r="AR458" s="465"/>
      <c r="AS458" s="225"/>
      <c r="AT458" s="225"/>
      <c r="AU458" s="225"/>
      <c r="AV458" s="225"/>
      <c r="AW458" s="225"/>
      <c r="AX458" s="225"/>
      <c r="AY458" s="225"/>
      <c r="AZ458" s="225"/>
      <c r="BA458" s="225"/>
      <c r="BB458" s="225"/>
      <c r="BC458" s="225"/>
      <c r="BD458" s="225"/>
      <c r="BE458" s="225"/>
      <c r="BF458" s="225"/>
      <c r="BG458" s="225"/>
      <c r="BH458" s="225"/>
      <c r="BI458" s="225"/>
      <c r="BJ458" s="225"/>
    </row>
    <row r="459" spans="1:62" ht="15.75" customHeight="1">
      <c r="A459" t="str">
        <f t="shared" si="119"/>
        <v>Réparation équipement</v>
      </c>
      <c r="B459" s="7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100" t="s">
        <v>175</v>
      </c>
      <c r="W459" s="265" t="s">
        <v>176</v>
      </c>
      <c r="X459" s="242"/>
      <c r="Y459" s="266"/>
      <c r="Z459" s="243">
        <f>+SUM(START:END!Z459)</f>
        <v>3036.362391944444</v>
      </c>
      <c r="AA459" s="242"/>
      <c r="AB459" s="266"/>
      <c r="AC459" s="243"/>
      <c r="AD459" s="267"/>
      <c r="AE459" s="266"/>
      <c r="AF459" s="243">
        <f>+SUM(START:END!AF459)</f>
        <v>448.8</v>
      </c>
      <c r="AG459" s="244"/>
      <c r="AH459" s="245">
        <f t="shared" si="138"/>
        <v>-2587.5623919444438</v>
      </c>
      <c r="AI459" s="268">
        <f t="shared" si="139"/>
        <v>-0.85219155618885301</v>
      </c>
      <c r="AJ459" s="267"/>
      <c r="AK459" s="242"/>
      <c r="AL459" s="243">
        <f>+SUM(START:END!AL459)</f>
        <v>2985</v>
      </c>
      <c r="AM459" s="247"/>
      <c r="AN459" s="245">
        <f t="shared" si="140"/>
        <v>-2536.1999999999998</v>
      </c>
      <c r="AO459" s="449">
        <f t="shared" si="135"/>
        <v>-0.84964824120603011</v>
      </c>
      <c r="AP459" s="225"/>
      <c r="AQ459" s="465"/>
      <c r="AR459" s="465"/>
      <c r="AS459" s="225"/>
      <c r="AT459" s="225"/>
      <c r="AU459" s="225"/>
      <c r="AV459" s="225"/>
      <c r="AW459" s="225"/>
      <c r="AX459" s="225"/>
      <c r="AY459" s="225"/>
      <c r="AZ459" s="225"/>
      <c r="BA459" s="225"/>
      <c r="BB459" s="225"/>
      <c r="BC459" s="225"/>
      <c r="BD459" s="225"/>
      <c r="BE459" s="225"/>
      <c r="BF459" s="225"/>
      <c r="BG459" s="225"/>
      <c r="BH459" s="225"/>
      <c r="BI459" s="225"/>
      <c r="BJ459" s="225"/>
    </row>
    <row r="460" spans="1:62" ht="15.75" customHeight="1">
      <c r="A460" t="str">
        <f t="shared" si="119"/>
        <v>Location équipement</v>
      </c>
      <c r="B460" s="7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302"/>
      <c r="V460" s="99" t="s">
        <v>177</v>
      </c>
      <c r="W460" s="262" t="s">
        <v>178</v>
      </c>
      <c r="X460" s="256"/>
      <c r="Y460" s="263"/>
      <c r="Z460" s="257">
        <f>+SUM(START:END!Z460)</f>
        <v>160.66874999999999</v>
      </c>
      <c r="AA460" s="256"/>
      <c r="AB460" s="263"/>
      <c r="AC460" s="257"/>
      <c r="AD460" s="264"/>
      <c r="AE460" s="263"/>
      <c r="AF460" s="257">
        <f>+SUM(START:END!AF460)</f>
        <v>561.12</v>
      </c>
      <c r="AG460" s="258"/>
      <c r="AH460" s="259">
        <f t="shared" si="138"/>
        <v>400.45125000000002</v>
      </c>
      <c r="AI460" s="303">
        <f t="shared" si="139"/>
        <v>2.4924028474734512</v>
      </c>
      <c r="AJ460" s="256"/>
      <c r="AK460" s="256"/>
      <c r="AL460" s="257">
        <f>+SUM(START:END!AL460)</f>
        <v>0</v>
      </c>
      <c r="AM460" s="261"/>
      <c r="AN460" s="259">
        <f t="shared" si="140"/>
        <v>561.12</v>
      </c>
      <c r="AO460" s="452">
        <f t="shared" si="135"/>
        <v>0</v>
      </c>
      <c r="AP460" s="225"/>
      <c r="AQ460" s="465"/>
      <c r="AR460" s="465"/>
      <c r="AS460" s="225"/>
      <c r="AT460" s="225"/>
      <c r="AU460" s="225"/>
      <c r="AV460" s="225"/>
      <c r="AW460" s="225"/>
      <c r="AX460" s="225"/>
      <c r="AY460" s="225"/>
      <c r="AZ460" s="225"/>
      <c r="BA460" s="225"/>
      <c r="BB460" s="225"/>
      <c r="BC460" s="225"/>
      <c r="BD460" s="225"/>
      <c r="BE460" s="225"/>
      <c r="BF460" s="225"/>
      <c r="BG460" s="225"/>
      <c r="BH460" s="225"/>
      <c r="BI460" s="225"/>
      <c r="BJ460" s="225"/>
    </row>
    <row r="461" spans="1:62" ht="15.75" customHeight="1">
      <c r="A461" t="str">
        <f t="shared" si="119"/>
        <v>Dons</v>
      </c>
      <c r="B461" s="7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302"/>
      <c r="V461" s="99" t="s">
        <v>179</v>
      </c>
      <c r="W461" s="262" t="s">
        <v>180</v>
      </c>
      <c r="X461" s="256"/>
      <c r="Y461" s="263"/>
      <c r="Z461" s="257">
        <f>+SUM(START:END!Z461)</f>
        <v>0</v>
      </c>
      <c r="AA461" s="256"/>
      <c r="AB461" s="263"/>
      <c r="AC461" s="257"/>
      <c r="AD461" s="264"/>
      <c r="AE461" s="263"/>
      <c r="AF461" s="257">
        <f>+SUM(START:END!AF461)</f>
        <v>0</v>
      </c>
      <c r="AG461" s="258"/>
      <c r="AH461" s="259">
        <v>0</v>
      </c>
      <c r="AI461" s="279">
        <v>0</v>
      </c>
      <c r="AJ461" s="256"/>
      <c r="AK461" s="256"/>
      <c r="AL461" s="257">
        <f>+SUM(START:END!AL461)</f>
        <v>0</v>
      </c>
      <c r="AM461" s="261"/>
      <c r="AN461" s="259">
        <v>0</v>
      </c>
      <c r="AO461" s="452">
        <v>0</v>
      </c>
      <c r="AP461" s="225"/>
      <c r="AQ461" s="465"/>
      <c r="AR461" s="465"/>
      <c r="AS461" s="225"/>
      <c r="AT461" s="225"/>
      <c r="AU461" s="225"/>
      <c r="AV461" s="225"/>
      <c r="AW461" s="225"/>
      <c r="AX461" s="225"/>
      <c r="AY461" s="225"/>
      <c r="AZ461" s="225"/>
      <c r="BA461" s="225"/>
      <c r="BB461" s="225"/>
      <c r="BC461" s="225"/>
      <c r="BD461" s="225"/>
      <c r="BE461" s="225"/>
      <c r="BF461" s="225"/>
      <c r="BG461" s="225"/>
      <c r="BH461" s="225"/>
      <c r="BI461" s="225"/>
      <c r="BJ461" s="225"/>
    </row>
    <row r="462" spans="1:62" ht="15.75" hidden="1" customHeight="1">
      <c r="A462" t="str">
        <f t="shared" si="119"/>
        <v>[...]</v>
      </c>
      <c r="B462" s="7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302"/>
      <c r="V462" s="99" t="s">
        <v>20</v>
      </c>
      <c r="W462" s="262"/>
      <c r="X462" s="256"/>
      <c r="Y462" s="263"/>
      <c r="Z462" s="257">
        <f>+SUM(START:END!Z462)</f>
        <v>0</v>
      </c>
      <c r="AA462" s="256"/>
      <c r="AB462" s="256"/>
      <c r="AC462" s="257"/>
      <c r="AD462" s="264"/>
      <c r="AE462" s="263"/>
      <c r="AF462" s="257">
        <f>+SUM(START:END!AF462)</f>
        <v>0</v>
      </c>
      <c r="AG462" s="258"/>
      <c r="AH462" s="259">
        <f>AF462-Z462</f>
        <v>0</v>
      </c>
      <c r="AI462" s="260">
        <f>IF(Z462=0,0,AH462/Z462)</f>
        <v>0</v>
      </c>
      <c r="AJ462" s="256"/>
      <c r="AK462" s="256"/>
      <c r="AL462" s="257">
        <f>+SUM(START:END!AL462)</f>
        <v>0</v>
      </c>
      <c r="AM462" s="261"/>
      <c r="AN462" s="259">
        <v>0</v>
      </c>
      <c r="AO462" s="452">
        <v>1</v>
      </c>
      <c r="AP462" s="225"/>
      <c r="AQ462" s="465"/>
      <c r="AR462" s="465"/>
      <c r="AS462" s="225"/>
      <c r="AT462" s="225"/>
      <c r="AU462" s="225"/>
      <c r="AV462" s="225"/>
      <c r="AW462" s="225"/>
      <c r="AX462" s="225"/>
      <c r="AY462" s="225"/>
      <c r="AZ462" s="225"/>
      <c r="BA462" s="225"/>
      <c r="BB462" s="225"/>
      <c r="BC462" s="225"/>
      <c r="BD462" s="225"/>
      <c r="BE462" s="225"/>
      <c r="BF462" s="225"/>
      <c r="BG462" s="225"/>
      <c r="BH462" s="225"/>
      <c r="BI462" s="225"/>
      <c r="BJ462" s="225"/>
    </row>
    <row r="463" spans="1:62" ht="15.75" hidden="1" customHeight="1">
      <c r="A463" t="str">
        <f t="shared" si="119"/>
        <v>[...]</v>
      </c>
      <c r="B463" s="7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302"/>
      <c r="V463" s="99" t="s">
        <v>20</v>
      </c>
      <c r="W463" s="262"/>
      <c r="X463" s="256"/>
      <c r="Y463" s="263"/>
      <c r="Z463" s="257">
        <f>+SUM(START:END!Z463)</f>
        <v>0</v>
      </c>
      <c r="AA463" s="256"/>
      <c r="AB463" s="256"/>
      <c r="AC463" s="257"/>
      <c r="AD463" s="264"/>
      <c r="AE463" s="263"/>
      <c r="AF463" s="257">
        <f>+SUM(START:END!AF463)</f>
        <v>0</v>
      </c>
      <c r="AG463" s="258"/>
      <c r="AH463" s="259">
        <f>AF463-Z463</f>
        <v>0</v>
      </c>
      <c r="AI463" s="260">
        <f>IF(Z463=0,0,AH463/Z463)</f>
        <v>0</v>
      </c>
      <c r="AJ463" s="256"/>
      <c r="AK463" s="256"/>
      <c r="AL463" s="257">
        <f>+SUM(START:END!AL463)</f>
        <v>0</v>
      </c>
      <c r="AM463" s="261"/>
      <c r="AN463" s="259">
        <v>0</v>
      </c>
      <c r="AO463" s="452">
        <v>2</v>
      </c>
      <c r="AP463" s="225"/>
      <c r="AQ463" s="465"/>
      <c r="AR463" s="465"/>
      <c r="AS463" s="225"/>
      <c r="AT463" s="225"/>
      <c r="AU463" s="225"/>
      <c r="AV463" s="225"/>
      <c r="AW463" s="225"/>
      <c r="AX463" s="225"/>
      <c r="AY463" s="225"/>
      <c r="AZ463" s="225"/>
      <c r="BA463" s="225"/>
      <c r="BB463" s="225"/>
      <c r="BC463" s="225"/>
      <c r="BD463" s="225"/>
      <c r="BE463" s="225"/>
      <c r="BF463" s="225"/>
      <c r="BG463" s="225"/>
      <c r="BH463" s="225"/>
      <c r="BI463" s="225"/>
      <c r="BJ463" s="225"/>
    </row>
    <row r="464" spans="1:62" ht="15.75" hidden="1" customHeight="1">
      <c r="A464" t="str">
        <f t="shared" si="119"/>
        <v>[...]</v>
      </c>
      <c r="B464" s="7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99" t="s">
        <v>20</v>
      </c>
      <c r="W464" s="262"/>
      <c r="X464" s="256"/>
      <c r="Y464" s="263"/>
      <c r="Z464" s="257">
        <f>+SUM(START:END!Z464)</f>
        <v>0</v>
      </c>
      <c r="AA464" s="256"/>
      <c r="AB464" s="256"/>
      <c r="AC464" s="257"/>
      <c r="AD464" s="264"/>
      <c r="AE464" s="263"/>
      <c r="AF464" s="257">
        <f>+SUM(START:END!AF464)</f>
        <v>0</v>
      </c>
      <c r="AG464" s="258"/>
      <c r="AH464" s="259">
        <f>AF464-Z464</f>
        <v>0</v>
      </c>
      <c r="AI464" s="260">
        <f>IF(Z464=0,0,AH464/Z464)</f>
        <v>0</v>
      </c>
      <c r="AJ464" s="256"/>
      <c r="AK464" s="256"/>
      <c r="AL464" s="257">
        <f>+SUM(START:END!AL464)</f>
        <v>0</v>
      </c>
      <c r="AM464" s="261"/>
      <c r="AN464" s="259">
        <v>0</v>
      </c>
      <c r="AO464" s="452">
        <v>3</v>
      </c>
      <c r="AP464" s="225"/>
      <c r="AQ464" s="465"/>
      <c r="AR464" s="465"/>
      <c r="AS464" s="225"/>
      <c r="AT464" s="225"/>
      <c r="AU464" s="225"/>
      <c r="AV464" s="225"/>
      <c r="AW464" s="225"/>
      <c r="AX464" s="225"/>
      <c r="AY464" s="225"/>
      <c r="AZ464" s="225"/>
      <c r="BA464" s="225"/>
      <c r="BB464" s="225"/>
      <c r="BC464" s="225"/>
      <c r="BD464" s="225"/>
      <c r="BE464" s="225"/>
      <c r="BF464" s="225"/>
      <c r="BG464" s="225"/>
      <c r="BH464" s="225"/>
      <c r="BI464" s="225"/>
      <c r="BJ464" s="225"/>
    </row>
    <row r="465" spans="1:62" ht="15.75" customHeight="1">
      <c r="A465" t="str">
        <f t="shared" si="119"/>
        <v>TOTAL DÉPENSES FIXES</v>
      </c>
      <c r="B465" s="7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69" t="s">
        <v>181</v>
      </c>
      <c r="W465" s="270"/>
      <c r="X465" s="271">
        <f>Z465/+Z406</f>
        <v>7.3999894824870016E-2</v>
      </c>
      <c r="Y465" s="270"/>
      <c r="Z465" s="272">
        <f>SUM(Z452:Z464)</f>
        <v>99136.063063750014</v>
      </c>
      <c r="AA465" s="271"/>
      <c r="AB465" s="270"/>
      <c r="AC465" s="272"/>
      <c r="AD465" s="273">
        <f>AF465/AF406</f>
        <v>7.2817114558243218E-2</v>
      </c>
      <c r="AE465" s="270"/>
      <c r="AF465" s="272">
        <f>SUM(AF452:AF464)</f>
        <v>93810.47</v>
      </c>
      <c r="AG465" s="281"/>
      <c r="AH465" s="299">
        <f>SUM(AH452:AH464)</f>
        <v>-5325.593063750006</v>
      </c>
      <c r="AI465" s="271">
        <f>IF(Z465=0,0,AH465/Z465)</f>
        <v>-5.3720037886973104E-2</v>
      </c>
      <c r="AJ465" s="273">
        <f>IF($AL$406=0,0,AL465/$AL$406)</f>
        <v>6.2870067679852537E-2</v>
      </c>
      <c r="AK465" s="271"/>
      <c r="AL465" s="272">
        <f>SUM(AL452:AL464)</f>
        <v>94125.930000000008</v>
      </c>
      <c r="AM465" s="282"/>
      <c r="AN465" s="275">
        <f>SUM(AN452:AN464)</f>
        <v>-315.45999999999992</v>
      </c>
      <c r="AO465" s="453">
        <f t="shared" ref="AO465:AO482" si="141">IF(AL465=0,0,AN465/AL465)</f>
        <v>-3.3514675499089347E-3</v>
      </c>
      <c r="AP465" s="225"/>
      <c r="AQ465" s="465"/>
      <c r="AR465" s="465"/>
      <c r="AS465" s="225"/>
      <c r="AT465" s="225"/>
      <c r="AU465" s="225"/>
      <c r="AV465" s="225"/>
      <c r="AW465" s="225"/>
      <c r="AX465" s="225"/>
      <c r="AY465" s="225"/>
      <c r="AZ465" s="225"/>
      <c r="BA465" s="225"/>
      <c r="BB465" s="225"/>
      <c r="BC465" s="225"/>
      <c r="BD465" s="225"/>
      <c r="BE465" s="225"/>
      <c r="BF465" s="225"/>
      <c r="BG465" s="225"/>
      <c r="BH465" s="225"/>
      <c r="BI465" s="225"/>
      <c r="BJ465" s="225"/>
    </row>
    <row r="466" spans="1:62" ht="15.75" customHeight="1">
      <c r="A466" t="str">
        <f t="shared" si="119"/>
        <v/>
      </c>
      <c r="B466" s="7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99"/>
      <c r="W466" s="256"/>
      <c r="X466" s="256"/>
      <c r="Y466" s="256"/>
      <c r="Z466" s="304"/>
      <c r="AA466" s="256"/>
      <c r="AB466" s="256"/>
      <c r="AC466" s="304"/>
      <c r="AD466" s="264"/>
      <c r="AE466" s="256"/>
      <c r="AF466" s="304"/>
      <c r="AG466" s="264"/>
      <c r="AH466" s="259">
        <f t="shared" ref="AH466:AH480" si="142">AF466-Z466</f>
        <v>0</v>
      </c>
      <c r="AI466" s="260"/>
      <c r="AJ466" s="264"/>
      <c r="AK466" s="256"/>
      <c r="AL466" s="304"/>
      <c r="AM466" s="305"/>
      <c r="AN466" s="259">
        <f t="shared" ref="AN466:AN482" si="143">AF466-AL466</f>
        <v>0</v>
      </c>
      <c r="AO466" s="454">
        <f t="shared" si="141"/>
        <v>0</v>
      </c>
      <c r="AP466" s="225"/>
      <c r="AQ466" s="465"/>
      <c r="AR466" s="465"/>
      <c r="AS466" s="225"/>
      <c r="AT466" s="225"/>
      <c r="AU466" s="225"/>
      <c r="AV466" s="225"/>
      <c r="AW466" s="225"/>
      <c r="AX466" s="225"/>
      <c r="AY466" s="225"/>
      <c r="AZ466" s="225"/>
      <c r="BA466" s="225"/>
      <c r="BB466" s="225"/>
      <c r="BC466" s="225"/>
      <c r="BD466" s="225"/>
      <c r="BE466" s="225"/>
      <c r="BF466" s="225"/>
      <c r="BG466" s="225"/>
      <c r="BH466" s="225"/>
      <c r="BI466" s="225"/>
      <c r="BJ466" s="225"/>
    </row>
    <row r="467" spans="1:62" ht="15.75" customHeight="1">
      <c r="A467" t="str">
        <f t="shared" si="119"/>
        <v>TOTAL DES DÉPENSES</v>
      </c>
      <c r="B467" s="7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69" t="s">
        <v>65</v>
      </c>
      <c r="W467" s="270"/>
      <c r="X467" s="271">
        <f>Z467/+Z406</f>
        <v>0.88679616026045671</v>
      </c>
      <c r="Y467" s="270"/>
      <c r="Z467" s="272">
        <f>Z418+Z432+Z451+Z465</f>
        <v>1188021.6894406434</v>
      </c>
      <c r="AA467" s="271"/>
      <c r="AB467" s="270"/>
      <c r="AC467" s="272"/>
      <c r="AD467" s="273">
        <f>AF467/AF406</f>
        <v>0.93687980840586582</v>
      </c>
      <c r="AE467" s="270"/>
      <c r="AF467" s="272">
        <f>AF418+AF432+AF451+AF465</f>
        <v>1206984.5900000001</v>
      </c>
      <c r="AG467" s="281"/>
      <c r="AH467" s="275">
        <f t="shared" si="142"/>
        <v>18962.900559356669</v>
      </c>
      <c r="AI467" s="271">
        <f>AH467/Z467</f>
        <v>1.5961746092602886E-2</v>
      </c>
      <c r="AJ467" s="273">
        <f>IF($AL$406=0,0,AL467/$AL$406)</f>
        <v>0.84779256573287021</v>
      </c>
      <c r="AK467" s="271"/>
      <c r="AL467" s="272">
        <f>AL418+AL432+AL451+AL465</f>
        <v>1269272.75</v>
      </c>
      <c r="AM467" s="282"/>
      <c r="AN467" s="275">
        <f t="shared" si="143"/>
        <v>-62288.159999999916</v>
      </c>
      <c r="AO467" s="450">
        <f t="shared" si="141"/>
        <v>-4.9073896843684635E-2</v>
      </c>
      <c r="AP467" s="225"/>
      <c r="AQ467" s="465"/>
      <c r="AR467" s="465"/>
      <c r="AS467" s="225"/>
      <c r="AT467" s="225"/>
      <c r="AU467" s="225"/>
      <c r="AV467" s="225"/>
      <c r="AW467" s="225"/>
      <c r="AX467" s="225"/>
      <c r="AY467" s="225"/>
      <c r="AZ467" s="225"/>
      <c r="BA467" s="225"/>
      <c r="BB467" s="225"/>
      <c r="BC467" s="225"/>
      <c r="BD467" s="225"/>
      <c r="BE467" s="225"/>
      <c r="BF467" s="225"/>
      <c r="BG467" s="225"/>
      <c r="BH467" s="225"/>
      <c r="BI467" s="225"/>
      <c r="BJ467" s="225"/>
    </row>
    <row r="468" spans="1:62" ht="15.75" customHeight="1">
      <c r="A468" t="str">
        <f t="shared" si="119"/>
        <v>Revenus autres</v>
      </c>
      <c r="B468" s="7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99" t="s">
        <v>182</v>
      </c>
      <c r="W468" s="301"/>
      <c r="X468" s="301"/>
      <c r="Y468" s="256"/>
      <c r="Z468" s="286">
        <f>+SUM(START:END!Z468)</f>
        <v>2849.5299999999997</v>
      </c>
      <c r="AA468" s="306"/>
      <c r="AB468" s="307"/>
      <c r="AC468" s="286"/>
      <c r="AD468" s="308"/>
      <c r="AE468" s="307"/>
      <c r="AF468" s="257">
        <f>+SUM(START:END!AF468)</f>
        <v>105188.19</v>
      </c>
      <c r="AG468" s="309"/>
      <c r="AH468" s="259">
        <f t="shared" si="142"/>
        <v>102338.66</v>
      </c>
      <c r="AI468" s="303">
        <f>IF(AH468=0,0,AH468/Z468)</f>
        <v>35.914224451049826</v>
      </c>
      <c r="AJ468" s="308"/>
      <c r="AK468" s="306"/>
      <c r="AL468" s="310">
        <f>+SUM(START:END!AL468)</f>
        <v>69268.490000000005</v>
      </c>
      <c r="AM468" s="311"/>
      <c r="AN468" s="259">
        <f t="shared" si="143"/>
        <v>35919.699999999997</v>
      </c>
      <c r="AO468" s="452">
        <f t="shared" si="141"/>
        <v>0.51855757213705678</v>
      </c>
      <c r="AP468" s="225"/>
      <c r="AQ468" s="465"/>
      <c r="AR468" s="465"/>
      <c r="AS468" s="225"/>
      <c r="AT468" s="225"/>
      <c r="AU468" s="225"/>
      <c r="AV468" s="225"/>
      <c r="AW468" s="225"/>
      <c r="AX468" s="225"/>
      <c r="AY468" s="225"/>
      <c r="AZ468" s="225"/>
      <c r="BA468" s="225"/>
      <c r="BB468" s="225"/>
      <c r="BC468" s="225"/>
      <c r="BD468" s="225"/>
      <c r="BE468" s="225"/>
      <c r="BF468" s="225"/>
      <c r="BG468" s="225"/>
      <c r="BH468" s="225"/>
      <c r="BI468" s="225"/>
      <c r="BJ468" s="225"/>
    </row>
    <row r="469" spans="1:62" ht="17.399999999999999">
      <c r="A469" t="str">
        <f t="shared" si="119"/>
        <v>Holdbacks</v>
      </c>
      <c r="B469" s="7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99" t="s">
        <v>69</v>
      </c>
      <c r="W469" s="256"/>
      <c r="X469" s="256"/>
      <c r="Y469" s="256"/>
      <c r="Z469" s="257">
        <f>+SUM(START:END!Z469)</f>
        <v>122141.40699054583</v>
      </c>
      <c r="AA469" s="300"/>
      <c r="AB469" s="259"/>
      <c r="AC469" s="257"/>
      <c r="AD469" s="312"/>
      <c r="AE469" s="301"/>
      <c r="AF469" s="257">
        <f>+SUM(START:END!AF469)</f>
        <v>106168.1</v>
      </c>
      <c r="AG469" s="313"/>
      <c r="AH469" s="259">
        <f t="shared" si="142"/>
        <v>-15973.306990545825</v>
      </c>
      <c r="AI469" s="279">
        <f>IF(Z469=0,0,AH469/Z469)</f>
        <v>-0.13077716545202575</v>
      </c>
      <c r="AJ469" s="312"/>
      <c r="AK469" s="300"/>
      <c r="AL469" s="314">
        <f>+SUM(START:END!AL469)</f>
        <v>135227</v>
      </c>
      <c r="AM469" s="315"/>
      <c r="AN469" s="259">
        <f t="shared" si="143"/>
        <v>-29058.899999999994</v>
      </c>
      <c r="AO469" s="452">
        <f t="shared" si="141"/>
        <v>-0.21488977792896385</v>
      </c>
      <c r="AP469" s="225"/>
      <c r="AQ469" s="465"/>
      <c r="AR469" s="465"/>
      <c r="AS469" s="225"/>
      <c r="AT469" s="225"/>
      <c r="AU469" s="225"/>
      <c r="AV469" s="225"/>
      <c r="AW469" s="225"/>
      <c r="AX469" s="225"/>
      <c r="AY469" s="225"/>
      <c r="AZ469" s="225"/>
      <c r="BA469" s="225"/>
      <c r="BB469" s="225"/>
      <c r="BC469" s="225"/>
      <c r="BD469" s="225"/>
      <c r="BE469" s="225"/>
      <c r="BF469" s="225"/>
      <c r="BG469" s="225"/>
      <c r="BH469" s="225"/>
      <c r="BI469" s="225"/>
      <c r="BJ469" s="225"/>
    </row>
    <row r="470" spans="1:62" ht="15.75" customHeight="1">
      <c r="A470" t="str">
        <f t="shared" si="119"/>
        <v>Variable Margin Program</v>
      </c>
      <c r="B470" s="7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99" t="s">
        <v>66</v>
      </c>
      <c r="W470" s="256"/>
      <c r="X470" s="256"/>
      <c r="Y470" s="256"/>
      <c r="Z470" s="257">
        <f>+SUM(START:END!Z470)</f>
        <v>16584.689512713256</v>
      </c>
      <c r="AA470" s="300"/>
      <c r="AB470" s="301"/>
      <c r="AC470" s="257"/>
      <c r="AD470" s="312"/>
      <c r="AE470" s="301"/>
      <c r="AF470" s="257">
        <f>+SUM(START:END!AF470)</f>
        <v>0</v>
      </c>
      <c r="AG470" s="313"/>
      <c r="AH470" s="259">
        <f t="shared" si="142"/>
        <v>-16584.689512713256</v>
      </c>
      <c r="AI470" s="279">
        <f t="shared" ref="AI470:AI479" si="144">IF(AH470=0,0,AH470/Z470)</f>
        <v>-1</v>
      </c>
      <c r="AJ470" s="312"/>
      <c r="AK470" s="300"/>
      <c r="AL470" s="314">
        <f>+SUM(START:END!AL470)</f>
        <v>22000</v>
      </c>
      <c r="AM470" s="315"/>
      <c r="AN470" s="259">
        <f t="shared" si="143"/>
        <v>-22000</v>
      </c>
      <c r="AO470" s="452">
        <f t="shared" si="141"/>
        <v>-1</v>
      </c>
      <c r="AP470" s="225"/>
      <c r="AQ470" s="465"/>
      <c r="AR470" s="465"/>
      <c r="AS470" s="225"/>
      <c r="AT470" s="225"/>
      <c r="AU470" s="225"/>
      <c r="AV470" s="225"/>
      <c r="AW470" s="225"/>
      <c r="AX470" s="225"/>
      <c r="AY470" s="225"/>
      <c r="AZ470" s="225"/>
      <c r="BA470" s="225"/>
      <c r="BB470" s="225"/>
      <c r="BC470" s="225"/>
      <c r="BD470" s="225"/>
      <c r="BE470" s="225"/>
      <c r="BF470" s="225"/>
      <c r="BG470" s="225"/>
      <c r="BH470" s="225"/>
      <c r="BI470" s="225"/>
      <c r="BJ470" s="225"/>
    </row>
    <row r="471" spans="1:62" ht="15.75" customHeight="1">
      <c r="A471" t="str">
        <f t="shared" si="119"/>
        <v>Floorplan assistance 1%</v>
      </c>
      <c r="B471" s="7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99" t="s">
        <v>67</v>
      </c>
      <c r="W471" s="256"/>
      <c r="X471" s="256"/>
      <c r="Y471" s="256"/>
      <c r="Z471" s="257">
        <f>+SUM(START:END!Z471)</f>
        <v>0</v>
      </c>
      <c r="AA471" s="300"/>
      <c r="AB471" s="301"/>
      <c r="AC471" s="257"/>
      <c r="AD471" s="312"/>
      <c r="AE471" s="301"/>
      <c r="AF471" s="257">
        <f>+SUM(START:END!AF471)</f>
        <v>0</v>
      </c>
      <c r="AG471" s="313"/>
      <c r="AH471" s="259">
        <f t="shared" si="142"/>
        <v>0</v>
      </c>
      <c r="AI471" s="279">
        <f t="shared" si="144"/>
        <v>0</v>
      </c>
      <c r="AJ471" s="312"/>
      <c r="AK471" s="300"/>
      <c r="AL471" s="314">
        <f>+SUM(START:END!AL471)</f>
        <v>0</v>
      </c>
      <c r="AM471" s="315"/>
      <c r="AN471" s="259">
        <f t="shared" si="143"/>
        <v>0</v>
      </c>
      <c r="AO471" s="452">
        <f t="shared" si="141"/>
        <v>0</v>
      </c>
      <c r="AP471" s="225"/>
      <c r="AQ471" s="465"/>
      <c r="AR471" s="465"/>
      <c r="AS471" s="225"/>
      <c r="AT471" s="225"/>
      <c r="AU471" s="225"/>
      <c r="AV471" s="225"/>
      <c r="AW471" s="225"/>
      <c r="AX471" s="225"/>
      <c r="AY471" s="225"/>
      <c r="AZ471" s="225"/>
      <c r="BA471" s="225"/>
      <c r="BB471" s="225"/>
      <c r="BC471" s="225"/>
      <c r="BD471" s="225"/>
      <c r="BE471" s="225"/>
      <c r="BF471" s="225"/>
      <c r="BG471" s="225"/>
      <c r="BH471" s="225"/>
      <c r="BI471" s="225"/>
      <c r="BJ471" s="225"/>
    </row>
    <row r="472" spans="1:62" ht="15.75" customHeight="1">
      <c r="A472" t="str">
        <f t="shared" si="119"/>
        <v>Programme neuf 3</v>
      </c>
      <c r="B472" s="7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99" t="s">
        <v>68</v>
      </c>
      <c r="W472" s="256"/>
      <c r="X472" s="256"/>
      <c r="Y472" s="256"/>
      <c r="Z472" s="257">
        <f>+SUM(START:END!Z472)</f>
        <v>0</v>
      </c>
      <c r="AA472" s="300"/>
      <c r="AB472" s="301"/>
      <c r="AC472" s="257"/>
      <c r="AD472" s="312"/>
      <c r="AE472" s="301"/>
      <c r="AF472" s="257">
        <f>+SUM(START:END!AF472)</f>
        <v>0</v>
      </c>
      <c r="AG472" s="313"/>
      <c r="AH472" s="259">
        <f t="shared" si="142"/>
        <v>0</v>
      </c>
      <c r="AI472" s="279">
        <f t="shared" si="144"/>
        <v>0</v>
      </c>
      <c r="AJ472" s="312"/>
      <c r="AK472" s="300"/>
      <c r="AL472" s="314">
        <f>+SUM(START:END!AL472)</f>
        <v>0</v>
      </c>
      <c r="AM472" s="315"/>
      <c r="AN472" s="259">
        <f t="shared" si="143"/>
        <v>0</v>
      </c>
      <c r="AO472" s="452">
        <f t="shared" si="141"/>
        <v>0</v>
      </c>
      <c r="AP472" s="225"/>
      <c r="AQ472" s="465"/>
      <c r="AR472" s="465"/>
      <c r="AS472" s="225"/>
      <c r="AT472" s="225"/>
      <c r="AU472" s="225"/>
      <c r="AV472" s="225"/>
      <c r="AW472" s="225"/>
      <c r="AX472" s="225"/>
      <c r="AY472" s="225"/>
      <c r="AZ472" s="225"/>
      <c r="BA472" s="225"/>
      <c r="BB472" s="225"/>
      <c r="BC472" s="225"/>
      <c r="BD472" s="225"/>
      <c r="BE472" s="225"/>
      <c r="BF472" s="225"/>
      <c r="BG472" s="225"/>
      <c r="BH472" s="225"/>
      <c r="BI472" s="225"/>
      <c r="BJ472" s="225"/>
    </row>
    <row r="473" spans="1:62" ht="15.75" customHeight="1">
      <c r="A473" t="str">
        <f t="shared" si="119"/>
        <v>Remarketing Bonus</v>
      </c>
      <c r="B473" s="7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99" t="s">
        <v>80</v>
      </c>
      <c r="W473" s="256"/>
      <c r="X473" s="256"/>
      <c r="Y473" s="256"/>
      <c r="Z473" s="257">
        <f>+SUM(START:END!Z473)</f>
        <v>0</v>
      </c>
      <c r="AA473" s="300"/>
      <c r="AB473" s="301"/>
      <c r="AC473" s="257"/>
      <c r="AD473" s="312"/>
      <c r="AE473" s="301"/>
      <c r="AF473" s="257">
        <f>+SUM(START:END!AF473)</f>
        <v>0</v>
      </c>
      <c r="AG473" s="313"/>
      <c r="AH473" s="259">
        <f t="shared" si="142"/>
        <v>0</v>
      </c>
      <c r="AI473" s="279">
        <f t="shared" si="144"/>
        <v>0</v>
      </c>
      <c r="AJ473" s="312"/>
      <c r="AK473" s="300"/>
      <c r="AL473" s="314">
        <f>+SUM(START:END!AL473)</f>
        <v>0</v>
      </c>
      <c r="AM473" s="315"/>
      <c r="AN473" s="259">
        <f t="shared" si="143"/>
        <v>0</v>
      </c>
      <c r="AO473" s="452">
        <f t="shared" si="141"/>
        <v>0</v>
      </c>
      <c r="AP473" s="225"/>
      <c r="AQ473" s="465"/>
      <c r="AR473" s="465"/>
      <c r="AS473" s="225"/>
      <c r="AT473" s="225"/>
      <c r="AU473" s="225"/>
      <c r="AV473" s="225"/>
      <c r="AW473" s="225"/>
      <c r="AX473" s="225"/>
      <c r="AY473" s="225"/>
      <c r="AZ473" s="225"/>
      <c r="BA473" s="225"/>
      <c r="BB473" s="225"/>
      <c r="BC473" s="225"/>
      <c r="BD473" s="225"/>
      <c r="BE473" s="225"/>
      <c r="BF473" s="225"/>
      <c r="BG473" s="225"/>
      <c r="BH473" s="225"/>
      <c r="BI473" s="225"/>
      <c r="BJ473" s="225"/>
    </row>
    <row r="474" spans="1:62" ht="15.75" customHeight="1">
      <c r="A474" t="str">
        <f t="shared" si="119"/>
        <v>Programme used 2</v>
      </c>
      <c r="B474" s="7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99" t="s">
        <v>81</v>
      </c>
      <c r="W474" s="256"/>
      <c r="X474" s="256"/>
      <c r="Y474" s="256"/>
      <c r="Z474" s="257">
        <f>+SUM(START:END!Z474)</f>
        <v>0</v>
      </c>
      <c r="AA474" s="300"/>
      <c r="AB474" s="301"/>
      <c r="AC474" s="257"/>
      <c r="AD474" s="312"/>
      <c r="AE474" s="301"/>
      <c r="AF474" s="257">
        <f>+SUM(START:END!AF474)</f>
        <v>0</v>
      </c>
      <c r="AG474" s="313"/>
      <c r="AH474" s="259">
        <f t="shared" si="142"/>
        <v>0</v>
      </c>
      <c r="AI474" s="279">
        <f t="shared" si="144"/>
        <v>0</v>
      </c>
      <c r="AJ474" s="312"/>
      <c r="AK474" s="300"/>
      <c r="AL474" s="314">
        <f>+SUM(START:END!AL474)</f>
        <v>0</v>
      </c>
      <c r="AM474" s="315"/>
      <c r="AN474" s="259">
        <f t="shared" si="143"/>
        <v>0</v>
      </c>
      <c r="AO474" s="452">
        <f t="shared" si="141"/>
        <v>0</v>
      </c>
      <c r="AP474" s="225"/>
      <c r="AQ474" s="465"/>
      <c r="AR474" s="465"/>
      <c r="AS474" s="225"/>
      <c r="AT474" s="225"/>
      <c r="AU474" s="225"/>
      <c r="AV474" s="225"/>
      <c r="AW474" s="225"/>
      <c r="AX474" s="225"/>
      <c r="AY474" s="225"/>
      <c r="AZ474" s="225"/>
      <c r="BA474" s="225"/>
      <c r="BB474" s="225"/>
      <c r="BC474" s="225"/>
      <c r="BD474" s="225"/>
      <c r="BE474" s="225"/>
      <c r="BF474" s="225"/>
      <c r="BG474" s="225"/>
      <c r="BH474" s="225"/>
      <c r="BI474" s="225"/>
      <c r="BJ474" s="225"/>
    </row>
    <row r="475" spans="1:62" ht="15.75" customHeight="1">
      <c r="A475" t="str">
        <f t="shared" si="119"/>
        <v>Programme used 3</v>
      </c>
      <c r="B475" s="7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99" t="s">
        <v>82</v>
      </c>
      <c r="W475" s="256"/>
      <c r="X475" s="256"/>
      <c r="Y475" s="256"/>
      <c r="Z475" s="257">
        <f>+SUM(START:END!Z475)</f>
        <v>0</v>
      </c>
      <c r="AA475" s="300"/>
      <c r="AB475" s="301"/>
      <c r="AC475" s="257"/>
      <c r="AD475" s="312"/>
      <c r="AE475" s="301"/>
      <c r="AF475" s="257">
        <f>+SUM(START:END!AF475)</f>
        <v>0</v>
      </c>
      <c r="AG475" s="313"/>
      <c r="AH475" s="259">
        <f t="shared" si="142"/>
        <v>0</v>
      </c>
      <c r="AI475" s="279">
        <f t="shared" si="144"/>
        <v>0</v>
      </c>
      <c r="AJ475" s="312"/>
      <c r="AK475" s="300"/>
      <c r="AL475" s="314">
        <f>+SUM(START:END!AL475)</f>
        <v>0</v>
      </c>
      <c r="AM475" s="315"/>
      <c r="AN475" s="259">
        <f t="shared" si="143"/>
        <v>0</v>
      </c>
      <c r="AO475" s="452">
        <f t="shared" si="141"/>
        <v>0</v>
      </c>
      <c r="AP475" s="225"/>
      <c r="AQ475" s="465"/>
      <c r="AR475" s="465"/>
      <c r="AS475" s="225"/>
      <c r="AT475" s="225"/>
      <c r="AU475" s="225"/>
      <c r="AV475" s="225"/>
      <c r="AW475" s="225"/>
      <c r="AX475" s="225"/>
      <c r="AY475" s="225"/>
      <c r="AZ475" s="225"/>
      <c r="BA475" s="225"/>
      <c r="BB475" s="225"/>
      <c r="BC475" s="225"/>
      <c r="BD475" s="225"/>
      <c r="BE475" s="225"/>
      <c r="BF475" s="225"/>
      <c r="BG475" s="225"/>
      <c r="BH475" s="225"/>
      <c r="BI475" s="225"/>
      <c r="BJ475" s="225"/>
    </row>
    <row r="476" spans="1:62" ht="15.75" customHeight="1">
      <c r="A476" t="str">
        <f t="shared" si="119"/>
        <v>Facility Fund</v>
      </c>
      <c r="B476" s="7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99" t="s">
        <v>196</v>
      </c>
      <c r="W476" s="256"/>
      <c r="X476" s="256"/>
      <c r="Y476" s="256"/>
      <c r="Z476" s="257">
        <f>+SUM(START:END!Z476)</f>
        <v>0</v>
      </c>
      <c r="AA476" s="256"/>
      <c r="AB476" s="256"/>
      <c r="AC476" s="257"/>
      <c r="AD476" s="312"/>
      <c r="AE476" s="301"/>
      <c r="AF476" s="257">
        <f>+SUM(START:END!AF476)</f>
        <v>0</v>
      </c>
      <c r="AG476" s="258"/>
      <c r="AH476" s="259">
        <f t="shared" si="142"/>
        <v>0</v>
      </c>
      <c r="AI476" s="260">
        <f t="shared" si="144"/>
        <v>0</v>
      </c>
      <c r="AJ476" s="312"/>
      <c r="AK476" s="300"/>
      <c r="AL476" s="314">
        <f>+SUM(START:END!AL476)</f>
        <v>0</v>
      </c>
      <c r="AM476" s="315"/>
      <c r="AN476" s="259">
        <f t="shared" si="143"/>
        <v>0</v>
      </c>
      <c r="AO476" s="452">
        <f t="shared" si="141"/>
        <v>0</v>
      </c>
      <c r="AP476" s="225"/>
      <c r="AQ476" s="465"/>
      <c r="AR476" s="465"/>
      <c r="AS476" s="225"/>
      <c r="AT476" s="225"/>
      <c r="AU476" s="225"/>
      <c r="AV476" s="225"/>
      <c r="AW476" s="225"/>
      <c r="AX476" s="225"/>
      <c r="AY476" s="225"/>
      <c r="AZ476" s="225"/>
      <c r="BA476" s="225"/>
      <c r="BB476" s="225"/>
      <c r="BC476" s="225"/>
      <c r="BD476" s="225"/>
      <c r="BE476" s="225"/>
      <c r="BF476" s="225"/>
      <c r="BG476" s="225"/>
      <c r="BH476" s="225"/>
      <c r="BI476" s="225"/>
      <c r="BJ476" s="225"/>
    </row>
    <row r="477" spans="1:62" ht="15.75" hidden="1" customHeight="1">
      <c r="A477" t="str">
        <f t="shared" si="119"/>
        <v>[...]</v>
      </c>
      <c r="B477" s="7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99" t="s">
        <v>20</v>
      </c>
      <c r="W477" s="256"/>
      <c r="X477" s="256"/>
      <c r="Y477" s="256"/>
      <c r="Z477" s="257">
        <f>+SUM(START:END!Z477)</f>
        <v>0</v>
      </c>
      <c r="AA477" s="256"/>
      <c r="AB477" s="256"/>
      <c r="AC477" s="257"/>
      <c r="AD477" s="312"/>
      <c r="AE477" s="301"/>
      <c r="AF477" s="257">
        <f>+SUM(START:END!AF477)</f>
        <v>0</v>
      </c>
      <c r="AG477" s="258"/>
      <c r="AH477" s="259">
        <f t="shared" si="142"/>
        <v>0</v>
      </c>
      <c r="AI477" s="260">
        <f t="shared" si="144"/>
        <v>0</v>
      </c>
      <c r="AJ477" s="312"/>
      <c r="AK477" s="300"/>
      <c r="AL477" s="314">
        <f>+SUM(START:END!AL477)</f>
        <v>0</v>
      </c>
      <c r="AM477" s="315"/>
      <c r="AN477" s="259">
        <f t="shared" si="143"/>
        <v>0</v>
      </c>
      <c r="AO477" s="452">
        <f t="shared" si="141"/>
        <v>0</v>
      </c>
      <c r="AP477" s="225"/>
      <c r="AQ477" s="465"/>
      <c r="AR477" s="465"/>
      <c r="AS477" s="225"/>
      <c r="AT477" s="225"/>
      <c r="AU477" s="225"/>
      <c r="AV477" s="225"/>
      <c r="AW477" s="225"/>
      <c r="AX477" s="225"/>
      <c r="AY477" s="225"/>
      <c r="AZ477" s="225"/>
      <c r="BA477" s="225"/>
      <c r="BB477" s="225"/>
      <c r="BC477" s="225"/>
      <c r="BD477" s="225"/>
      <c r="BE477" s="225"/>
      <c r="BF477" s="225"/>
      <c r="BG477" s="225"/>
      <c r="BH477" s="225"/>
      <c r="BI477" s="225"/>
      <c r="BJ477" s="225"/>
    </row>
    <row r="478" spans="1:62" ht="15.75" hidden="1" customHeight="1">
      <c r="A478" t="str">
        <f t="shared" si="119"/>
        <v>[...]</v>
      </c>
      <c r="B478" s="7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99" t="s">
        <v>20</v>
      </c>
      <c r="W478" s="256"/>
      <c r="X478" s="256"/>
      <c r="Y478" s="256"/>
      <c r="Z478" s="257">
        <f>+SUM(START:END!Z478)</f>
        <v>0</v>
      </c>
      <c r="AA478" s="256"/>
      <c r="AB478" s="256"/>
      <c r="AC478" s="257"/>
      <c r="AD478" s="312"/>
      <c r="AE478" s="301"/>
      <c r="AF478" s="257">
        <f>+SUM(START:END!AF478)</f>
        <v>0</v>
      </c>
      <c r="AG478" s="258"/>
      <c r="AH478" s="259">
        <f t="shared" si="142"/>
        <v>0</v>
      </c>
      <c r="AI478" s="260">
        <f t="shared" si="144"/>
        <v>0</v>
      </c>
      <c r="AJ478" s="312"/>
      <c r="AK478" s="300"/>
      <c r="AL478" s="314">
        <f>+SUM(START:END!AL478)</f>
        <v>0</v>
      </c>
      <c r="AM478" s="315"/>
      <c r="AN478" s="259">
        <f t="shared" si="143"/>
        <v>0</v>
      </c>
      <c r="AO478" s="452">
        <f t="shared" si="141"/>
        <v>0</v>
      </c>
      <c r="AP478" s="225"/>
      <c r="AQ478" s="465"/>
      <c r="AR478" s="465"/>
      <c r="AS478" s="225"/>
      <c r="AT478" s="225"/>
      <c r="AU478" s="225"/>
      <c r="AV478" s="225"/>
      <c r="AW478" s="225"/>
      <c r="AX478" s="225"/>
      <c r="AY478" s="225"/>
      <c r="AZ478" s="225"/>
      <c r="BA478" s="225"/>
      <c r="BB478" s="225"/>
      <c r="BC478" s="225"/>
      <c r="BD478" s="225"/>
      <c r="BE478" s="225"/>
      <c r="BF478" s="225"/>
      <c r="BG478" s="225"/>
      <c r="BH478" s="225"/>
      <c r="BI478" s="225"/>
      <c r="BJ478" s="225"/>
    </row>
    <row r="479" spans="1:62" ht="15.75" customHeight="1">
      <c r="A479" t="str">
        <f t="shared" si="119"/>
        <v>Frais administration</v>
      </c>
      <c r="B479" s="7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100" t="s">
        <v>70</v>
      </c>
      <c r="W479" s="256"/>
      <c r="X479" s="256"/>
      <c r="Y479" s="256"/>
      <c r="Z479" s="257">
        <f>+SUM(START:END!Z479)</f>
        <v>65774.024956800014</v>
      </c>
      <c r="AA479" s="300"/>
      <c r="AB479" s="301"/>
      <c r="AC479" s="257"/>
      <c r="AD479" s="312"/>
      <c r="AE479" s="301"/>
      <c r="AF479" s="257">
        <f>+SUM(START:END!AF479)</f>
        <v>68844</v>
      </c>
      <c r="AG479" s="313"/>
      <c r="AH479" s="259">
        <f t="shared" si="142"/>
        <v>3069.9750431999855</v>
      </c>
      <c r="AI479" s="279">
        <f t="shared" si="144"/>
        <v>4.6674580812354524E-2</v>
      </c>
      <c r="AJ479" s="312"/>
      <c r="AK479" s="300"/>
      <c r="AL479" s="314">
        <f>+SUM(START:END!AL479)</f>
        <v>65604.489999999991</v>
      </c>
      <c r="AM479" s="315"/>
      <c r="AN479" s="259">
        <f t="shared" si="143"/>
        <v>3239.5100000000093</v>
      </c>
      <c r="AO479" s="452">
        <f t="shared" si="141"/>
        <v>4.9379394611557985E-2</v>
      </c>
      <c r="AP479" s="225"/>
      <c r="AQ479" s="465"/>
      <c r="AR479" s="465"/>
      <c r="AS479" s="225"/>
      <c r="AT479" s="225"/>
      <c r="AU479" s="225"/>
      <c r="AV479" s="225"/>
      <c r="AW479" s="225"/>
      <c r="AX479" s="225"/>
      <c r="AY479" s="225"/>
      <c r="AZ479" s="225"/>
      <c r="BA479" s="225"/>
      <c r="BB479" s="225"/>
      <c r="BC479" s="225"/>
      <c r="BD479" s="225"/>
      <c r="BE479" s="225"/>
      <c r="BF479" s="225"/>
      <c r="BG479" s="225"/>
      <c r="BH479" s="225"/>
      <c r="BI479" s="225"/>
      <c r="BJ479" s="225"/>
    </row>
    <row r="480" spans="1:62" ht="15.75" customHeight="1">
      <c r="A480" t="str">
        <f t="shared" si="119"/>
        <v>TOTAL AUTRES REVENUS</v>
      </c>
      <c r="B480" s="7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69" t="s">
        <v>183</v>
      </c>
      <c r="W480" s="270"/>
      <c r="X480" s="271">
        <f>Z480/+Z406</f>
        <v>0.15477568834008343</v>
      </c>
      <c r="Y480" s="298"/>
      <c r="Z480" s="272">
        <f>SUM(Z468:Z479)</f>
        <v>207349.6514600591</v>
      </c>
      <c r="AA480" s="271"/>
      <c r="AB480" s="298"/>
      <c r="AC480" s="272"/>
      <c r="AD480" s="271">
        <f>AF480/+AF406</f>
        <v>0.21749572959375402</v>
      </c>
      <c r="AE480" s="298"/>
      <c r="AF480" s="272">
        <f>SUM(AF468:AF479)</f>
        <v>280200.29000000004</v>
      </c>
      <c r="AG480" s="281"/>
      <c r="AH480" s="275">
        <f t="shared" si="142"/>
        <v>72850.638539940934</v>
      </c>
      <c r="AI480" s="271">
        <f>AH480/Z480</f>
        <v>0.35134198696241287</v>
      </c>
      <c r="AJ480" s="316"/>
      <c r="AK480" s="317"/>
      <c r="AL480" s="272">
        <f>SUM(AL468:AL479)</f>
        <v>292099.98</v>
      </c>
      <c r="AM480" s="318"/>
      <c r="AN480" s="275">
        <f t="shared" si="143"/>
        <v>-11899.689999999944</v>
      </c>
      <c r="AO480" s="453">
        <f t="shared" si="141"/>
        <v>-4.0738414292256865E-2</v>
      </c>
      <c r="AP480" s="225"/>
      <c r="AQ480" s="465"/>
      <c r="AR480" s="465"/>
      <c r="AS480" s="225"/>
      <c r="AT480" s="225"/>
      <c r="AU480" s="225"/>
      <c r="AV480" s="225"/>
      <c r="AW480" s="225"/>
      <c r="AX480" s="225"/>
      <c r="AY480" s="225"/>
      <c r="AZ480" s="225"/>
      <c r="BA480" s="225"/>
      <c r="BB480" s="225"/>
      <c r="BC480" s="225"/>
      <c r="BD480" s="225"/>
      <c r="BE480" s="225"/>
      <c r="BF480" s="225"/>
      <c r="BG480" s="225"/>
      <c r="BH480" s="225"/>
      <c r="BI480" s="225"/>
      <c r="BJ480" s="225"/>
    </row>
    <row r="481" spans="1:62" ht="15.75" customHeight="1" thickBot="1">
      <c r="A481" t="str">
        <f t="shared" si="119"/>
        <v/>
      </c>
      <c r="B481" s="7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319"/>
      <c r="W481" s="320"/>
      <c r="X481" s="320"/>
      <c r="Y481" s="321"/>
      <c r="Z481" s="322">
        <f>+SUM(START:END!Z480)</f>
        <v>207349.6514600591</v>
      </c>
      <c r="AA481" s="320"/>
      <c r="AB481" s="323"/>
      <c r="AC481" s="322"/>
      <c r="AD481" s="320"/>
      <c r="AE481" s="323"/>
      <c r="AF481" s="324"/>
      <c r="AG481" s="325"/>
      <c r="AH481" s="326"/>
      <c r="AI481" s="327"/>
      <c r="AJ481" s="328"/>
      <c r="AK481" s="329"/>
      <c r="AL481" s="324"/>
      <c r="AM481" s="330"/>
      <c r="AN481" s="326">
        <f t="shared" si="143"/>
        <v>0</v>
      </c>
      <c r="AO481" s="455">
        <f t="shared" si="141"/>
        <v>0</v>
      </c>
      <c r="AP481" s="225"/>
      <c r="AQ481" s="465"/>
      <c r="AR481" s="465"/>
      <c r="AS481" s="225"/>
      <c r="AT481" s="225"/>
      <c r="AU481" s="225"/>
      <c r="AV481" s="225"/>
      <c r="AW481" s="225"/>
      <c r="AX481" s="225"/>
      <c r="AY481" s="225"/>
      <c r="AZ481" s="225"/>
      <c r="BA481" s="225"/>
      <c r="BB481" s="225"/>
      <c r="BC481" s="225"/>
      <c r="BD481" s="225"/>
      <c r="BE481" s="225"/>
      <c r="BF481" s="225"/>
      <c r="BG481" s="225"/>
      <c r="BH481" s="225"/>
      <c r="BI481" s="225"/>
      <c r="BJ481" s="225"/>
    </row>
    <row r="482" spans="1:62" ht="15.75" customHeight="1" thickTop="1" thickBot="1">
      <c r="A482" t="str">
        <f t="shared" si="119"/>
        <v>BAIIA OPÉRATIONNEL</v>
      </c>
      <c r="B482" s="7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331" t="s">
        <v>184</v>
      </c>
      <c r="W482" s="332"/>
      <c r="X482" s="333" t="s">
        <v>185</v>
      </c>
      <c r="Y482" s="334">
        <f>Z482/Z405</f>
        <v>3.8412720793681472E-2</v>
      </c>
      <c r="Z482" s="335">
        <f>Z406-Z467+Z480</f>
        <v>359006.39397351339</v>
      </c>
      <c r="AA482" s="439"/>
      <c r="AB482" s="440"/>
      <c r="AC482" s="441"/>
      <c r="AD482" s="333" t="s">
        <v>185</v>
      </c>
      <c r="AE482" s="334">
        <f>AF482/AF405</f>
        <v>3.5537414418980978E-2</v>
      </c>
      <c r="AF482" s="336">
        <f>AF406-AF467+AF480</f>
        <v>361518.19000000018</v>
      </c>
      <c r="AG482" s="446"/>
      <c r="AH482" s="446">
        <f>AF482-Z482</f>
        <v>2511.796026486787</v>
      </c>
      <c r="AI482" s="447">
        <f>AH482/Z482</f>
        <v>6.9965217017056835E-3</v>
      </c>
      <c r="AJ482" s="337" t="s">
        <v>185</v>
      </c>
      <c r="AK482" s="334">
        <f>IF($AL$405=0,0,AL482/$AL$405)</f>
        <v>4.906662927375087E-2</v>
      </c>
      <c r="AL482" s="336">
        <f>AL406-AL467+AL480</f>
        <v>519977.35999999987</v>
      </c>
      <c r="AM482" s="456"/>
      <c r="AN482" s="448">
        <f t="shared" si="143"/>
        <v>-158459.16999999969</v>
      </c>
      <c r="AO482" s="457">
        <f t="shared" si="141"/>
        <v>-0.30474244109397325</v>
      </c>
      <c r="AP482" s="225"/>
      <c r="AQ482" s="465"/>
      <c r="AR482" s="465"/>
      <c r="AS482" s="225"/>
      <c r="AT482" s="225"/>
      <c r="AU482" s="225"/>
      <c r="AV482" s="225"/>
      <c r="AW482" s="225"/>
      <c r="AX482" s="225"/>
      <c r="AY482" s="225"/>
      <c r="AZ482" s="225"/>
      <c r="BA482" s="225"/>
      <c r="BB482" s="225"/>
      <c r="BC482" s="225"/>
      <c r="BD482" s="225"/>
      <c r="BE482" s="225"/>
      <c r="BF482" s="225"/>
      <c r="BG482" s="225"/>
      <c r="BH482" s="225"/>
      <c r="BI482" s="225"/>
      <c r="BJ482" s="225"/>
    </row>
    <row r="483" spans="1:62" ht="15.75" customHeight="1" thickTop="1">
      <c r="A483" t="str">
        <f t="shared" si="119"/>
        <v/>
      </c>
      <c r="B483" s="7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6"/>
      <c r="W483" s="6"/>
      <c r="X483" s="6"/>
      <c r="Y483" s="6"/>
      <c r="Z483" s="77"/>
      <c r="AA483" s="14"/>
      <c r="AB483" s="14"/>
      <c r="AC483" s="77"/>
      <c r="AD483" s="14"/>
      <c r="AE483" s="14"/>
      <c r="AF483" s="338"/>
      <c r="AG483" s="14"/>
      <c r="AH483" s="14"/>
      <c r="AI483" s="14"/>
      <c r="AJ483" s="14"/>
      <c r="AK483" s="14"/>
      <c r="AL483" s="77"/>
      <c r="AM483" s="14"/>
      <c r="AN483" s="14"/>
      <c r="AO483" s="14"/>
      <c r="AP483" s="225"/>
      <c r="AQ483" s="465"/>
      <c r="AR483" s="465"/>
      <c r="AS483" s="225"/>
      <c r="AT483" s="225"/>
      <c r="AU483" s="225"/>
      <c r="AV483" s="225"/>
      <c r="AW483" s="225"/>
      <c r="AX483" s="225"/>
      <c r="AY483" s="225"/>
      <c r="AZ483" s="225"/>
      <c r="BA483" s="225"/>
      <c r="BB483" s="225"/>
      <c r="BC483" s="225"/>
      <c r="BD483" s="225"/>
      <c r="BE483" s="225"/>
      <c r="BF483" s="225"/>
      <c r="BG483" s="225"/>
      <c r="BH483" s="225"/>
      <c r="BI483" s="225"/>
      <c r="BJ483" s="225"/>
    </row>
    <row r="484" spans="1:62" ht="35.25" customHeight="1">
      <c r="A484" t="str">
        <f t="shared" ref="A484:A498" si="145">+U484&amp;V484</f>
        <v>Conso</v>
      </c>
      <c r="B484" s="7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6" t="str">
        <f>C1</f>
        <v>Conso</v>
      </c>
      <c r="W484" s="6"/>
      <c r="X484" s="6"/>
      <c r="Y484" s="6"/>
      <c r="Z484" s="1"/>
      <c r="AA484" s="442"/>
      <c r="AB484" s="442"/>
      <c r="AC484" s="442"/>
      <c r="AD484" s="1"/>
      <c r="AE484" s="3" t="s">
        <v>186</v>
      </c>
      <c r="AF484" s="6"/>
      <c r="AG484" s="442"/>
      <c r="AH484" s="442"/>
      <c r="AI484" s="442"/>
      <c r="AJ484" s="234"/>
      <c r="AK484" s="2"/>
      <c r="AL484" s="1"/>
      <c r="AM484" s="442"/>
      <c r="AN484" s="442"/>
      <c r="AO484" s="458" t="str">
        <f>$S$1</f>
        <v xml:space="preserve"> Volks Juin / Juillet 2023</v>
      </c>
      <c r="AP484" s="225"/>
      <c r="AQ484" s="465"/>
      <c r="AR484" s="465"/>
      <c r="AS484" s="225"/>
      <c r="AT484" s="225"/>
      <c r="AU484" s="225"/>
      <c r="AV484" s="225"/>
      <c r="AW484" s="225"/>
      <c r="AX484" s="225"/>
      <c r="AY484" s="225"/>
      <c r="AZ484" s="225"/>
      <c r="BA484" s="225"/>
      <c r="BB484" s="225"/>
      <c r="BC484" s="225"/>
      <c r="BD484" s="225"/>
      <c r="BE484" s="225"/>
      <c r="BF484" s="225"/>
      <c r="BG484" s="225"/>
      <c r="BH484" s="225"/>
      <c r="BI484" s="225"/>
      <c r="BJ484" s="225"/>
    </row>
    <row r="485" spans="1:62" ht="15.75" customHeight="1">
      <c r="A485" t="str">
        <f t="shared" si="145"/>
        <v/>
      </c>
      <c r="B485" s="7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6"/>
      <c r="W485" s="6"/>
      <c r="X485" s="6"/>
      <c r="Y485" s="6"/>
      <c r="Z485" s="77"/>
      <c r="AA485" s="14"/>
      <c r="AB485" s="14"/>
      <c r="AC485" s="77"/>
      <c r="AD485" s="14"/>
      <c r="AE485" s="14"/>
      <c r="AF485" s="338"/>
      <c r="AG485" s="14"/>
      <c r="AH485" s="14"/>
      <c r="AI485" s="14"/>
      <c r="AJ485" s="14"/>
      <c r="AK485" s="14"/>
      <c r="AL485" s="77"/>
      <c r="AM485" s="14"/>
      <c r="AN485" s="14"/>
      <c r="AO485" s="14"/>
      <c r="AP485" s="225"/>
      <c r="AQ485" s="465"/>
      <c r="AR485" s="465"/>
      <c r="AS485" s="225"/>
      <c r="AT485" s="225"/>
      <c r="AU485" s="225"/>
      <c r="AV485" s="225"/>
      <c r="AW485" s="225"/>
      <c r="AX485" s="225"/>
      <c r="AY485" s="225"/>
      <c r="AZ485" s="225"/>
      <c r="BA485" s="225"/>
      <c r="BB485" s="225"/>
      <c r="BC485" s="225"/>
      <c r="BD485" s="225"/>
      <c r="BE485" s="225"/>
      <c r="BF485" s="225"/>
      <c r="BG485" s="225"/>
      <c r="BH485" s="225"/>
      <c r="BI485" s="225"/>
      <c r="BJ485" s="225"/>
    </row>
    <row r="486" spans="1:62" ht="15.75" customHeight="1">
      <c r="A486" t="str">
        <f t="shared" si="145"/>
        <v/>
      </c>
      <c r="B486" s="7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6"/>
      <c r="W486" s="6"/>
      <c r="X486" s="6"/>
      <c r="Y486" s="6"/>
      <c r="Z486" s="77"/>
      <c r="AA486" s="14"/>
      <c r="AB486" s="14"/>
      <c r="AC486" s="77"/>
      <c r="AD486" s="14"/>
      <c r="AE486" s="14"/>
      <c r="AF486" s="338"/>
      <c r="AG486" s="14"/>
      <c r="AH486" s="14"/>
      <c r="AI486" s="14"/>
      <c r="AJ486" s="14"/>
      <c r="AK486" s="14"/>
      <c r="AL486" s="77"/>
      <c r="AM486" s="14"/>
      <c r="AN486" s="14"/>
      <c r="AO486" s="14"/>
      <c r="AP486" s="225"/>
      <c r="AQ486" s="465"/>
      <c r="AR486" s="465"/>
      <c r="AS486" s="225"/>
      <c r="AT486" s="225"/>
      <c r="AU486" s="225"/>
      <c r="AV486" s="225"/>
      <c r="AW486" s="225"/>
      <c r="AX486" s="225"/>
      <c r="AY486" s="225"/>
      <c r="AZ486" s="225"/>
      <c r="BA486" s="225"/>
      <c r="BB486" s="225"/>
      <c r="BC486" s="225"/>
      <c r="BD486" s="225"/>
      <c r="BE486" s="225"/>
      <c r="BF486" s="225"/>
      <c r="BG486" s="225"/>
      <c r="BH486" s="225"/>
      <c r="BI486" s="225"/>
      <c r="BJ486" s="225"/>
    </row>
    <row r="487" spans="1:62" ht="15.75" customHeight="1" thickBot="1">
      <c r="A487" t="str">
        <f t="shared" si="145"/>
        <v/>
      </c>
      <c r="B487" s="7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6"/>
      <c r="W487" s="6"/>
      <c r="X487" s="6"/>
      <c r="Y487" s="6"/>
      <c r="Z487" s="77"/>
      <c r="AA487" s="14"/>
      <c r="AB487" s="14"/>
      <c r="AC487" s="77"/>
      <c r="AD487" s="14"/>
      <c r="AE487" s="14"/>
      <c r="AF487" s="338"/>
      <c r="AG487" s="14"/>
      <c r="AH487" s="14"/>
      <c r="AI487" s="14"/>
      <c r="AJ487" s="14"/>
      <c r="AK487" s="14"/>
      <c r="AL487" s="77"/>
      <c r="AM487" s="14"/>
      <c r="AN487" s="14"/>
      <c r="AO487" s="14"/>
      <c r="AP487" s="225"/>
      <c r="AQ487" s="465"/>
      <c r="AR487" s="465"/>
      <c r="AS487" s="225"/>
      <c r="AT487" s="225"/>
      <c r="AU487" s="225"/>
      <c r="AV487" s="225"/>
      <c r="AW487" s="225"/>
      <c r="AX487" s="225"/>
      <c r="AY487" s="225"/>
      <c r="AZ487" s="225"/>
      <c r="BA487" s="225"/>
      <c r="BB487" s="225"/>
      <c r="BC487" s="225"/>
      <c r="BD487" s="225"/>
      <c r="BE487" s="225"/>
      <c r="BF487" s="225"/>
      <c r="BG487" s="225"/>
      <c r="BH487" s="225"/>
      <c r="BI487" s="225"/>
      <c r="BJ487" s="225"/>
    </row>
    <row r="488" spans="1:62" ht="15.75" customHeight="1" thickTop="1" thickBot="1">
      <c r="A488" t="str">
        <f t="shared" si="145"/>
        <v>BAIIA OPÉRATIONNEL</v>
      </c>
      <c r="B488" s="7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339" t="s">
        <v>184</v>
      </c>
      <c r="W488" s="340"/>
      <c r="X488" s="341" t="s">
        <v>185</v>
      </c>
      <c r="Y488" s="342">
        <f>Z488/Z405</f>
        <v>3.8412720793681472E-2</v>
      </c>
      <c r="Z488" s="343">
        <f>Z482</f>
        <v>359006.39397351339</v>
      </c>
      <c r="AA488" s="439"/>
      <c r="AB488" s="440"/>
      <c r="AC488" s="441"/>
      <c r="AD488" s="341" t="s">
        <v>185</v>
      </c>
      <c r="AE488" s="342">
        <f>AF488/AF405</f>
        <v>3.5537414418980978E-2</v>
      </c>
      <c r="AF488" s="343">
        <f>AF482</f>
        <v>361518.19000000018</v>
      </c>
      <c r="AG488" s="448"/>
      <c r="AH488" s="446">
        <f>AF488-Z488</f>
        <v>2511.796026486787</v>
      </c>
      <c r="AI488" s="447">
        <f>AH488/Z488</f>
        <v>6.9965217017056835E-3</v>
      </c>
      <c r="AJ488" s="341" t="s">
        <v>185</v>
      </c>
      <c r="AK488" s="342">
        <f>IF($AL$405=0,0,AL488/$AL$405)</f>
        <v>4.906662927375087E-2</v>
      </c>
      <c r="AL488" s="344">
        <f>AL482</f>
        <v>519977.35999999987</v>
      </c>
      <c r="AM488" s="459"/>
      <c r="AN488" s="460">
        <f>AF488-AL488</f>
        <v>-158459.16999999969</v>
      </c>
      <c r="AO488" s="461">
        <f>IF(AL488=0,0,AN488/AL488)</f>
        <v>-0.30474244109397325</v>
      </c>
      <c r="AP488" s="225"/>
      <c r="AQ488" s="465"/>
      <c r="AR488" s="465"/>
      <c r="AS488" s="225"/>
      <c r="AT488" s="225"/>
      <c r="AU488" s="225"/>
      <c r="AV488" s="225"/>
      <c r="AW488" s="225"/>
      <c r="AX488" s="225"/>
      <c r="AY488" s="225"/>
      <c r="AZ488" s="225"/>
      <c r="BA488" s="225"/>
      <c r="BB488" s="225"/>
      <c r="BC488" s="225"/>
      <c r="BD488" s="225"/>
      <c r="BE488" s="225"/>
      <c r="BF488" s="225"/>
      <c r="BG488" s="225"/>
      <c r="BH488" s="225"/>
      <c r="BI488" s="225"/>
      <c r="BJ488" s="225"/>
    </row>
    <row r="489" spans="1:62" ht="15.75" customHeight="1" thickTop="1">
      <c r="A489" t="str">
        <f t="shared" si="145"/>
        <v/>
      </c>
      <c r="B489" s="7"/>
      <c r="C489" s="225"/>
      <c r="D489" s="225"/>
      <c r="E489" s="225"/>
      <c r="F489" s="283"/>
      <c r="G489" s="225"/>
      <c r="H489" s="225"/>
      <c r="I489" s="283"/>
      <c r="J489" s="225"/>
      <c r="K489" s="225"/>
      <c r="L489" s="225"/>
      <c r="M489" s="283"/>
      <c r="N489" s="225"/>
      <c r="O489" s="225"/>
      <c r="P489" s="225"/>
      <c r="Q489" s="283"/>
      <c r="R489" s="283"/>
      <c r="S489" s="283"/>
      <c r="T489" s="302"/>
      <c r="U489" s="302"/>
      <c r="V489" s="345"/>
      <c r="W489" s="225"/>
      <c r="X489" s="225"/>
      <c r="Y489" s="225"/>
      <c r="Z489" s="346"/>
      <c r="AA489" s="11"/>
      <c r="AB489" s="11"/>
      <c r="AC489" s="443"/>
      <c r="AD489" s="225"/>
      <c r="AE489" s="225"/>
      <c r="AF489" s="347">
        <f>+SUM(START:END!AF489)</f>
        <v>0</v>
      </c>
      <c r="AG489" s="11"/>
      <c r="AH489" s="11"/>
      <c r="AI489" s="443"/>
      <c r="AJ489" s="225"/>
      <c r="AK489" s="225"/>
      <c r="AL489" s="348"/>
      <c r="AM489" s="349"/>
      <c r="AN489" s="11"/>
      <c r="AO489" s="462"/>
      <c r="AP489" s="225"/>
      <c r="AQ489" s="465"/>
      <c r="AR489" s="465"/>
      <c r="AS489" s="225"/>
      <c r="AT489" s="225"/>
      <c r="AU489" s="225"/>
      <c r="AV489" s="225"/>
      <c r="AW489" s="225"/>
      <c r="AX489" s="225"/>
      <c r="AY489" s="225"/>
      <c r="AZ489" s="225"/>
      <c r="BA489" s="225"/>
      <c r="BB489" s="225"/>
      <c r="BC489" s="225"/>
      <c r="BD489" s="225"/>
      <c r="BE489" s="225"/>
      <c r="BF489" s="225"/>
      <c r="BG489" s="225"/>
      <c r="BH489" s="225"/>
      <c r="BI489" s="225"/>
      <c r="BJ489" s="225"/>
    </row>
    <row r="490" spans="1:62" ht="15.75" customHeight="1">
      <c r="A490" t="str">
        <f t="shared" si="145"/>
        <v>Amortissement</v>
      </c>
      <c r="B490" s="7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99" t="s">
        <v>187</v>
      </c>
      <c r="W490" s="262"/>
      <c r="X490" s="256"/>
      <c r="Y490" s="263"/>
      <c r="Z490" s="257">
        <f>+SUM(START:END!Z490)</f>
        <v>9328.0750000000007</v>
      </c>
      <c r="AA490" s="256"/>
      <c r="AB490" s="263"/>
      <c r="AC490" s="257"/>
      <c r="AD490" s="256"/>
      <c r="AE490" s="263"/>
      <c r="AF490" s="257">
        <f>+SUM(START:END!AF490)</f>
        <v>8629</v>
      </c>
      <c r="AG490" s="256"/>
      <c r="AH490" s="259">
        <f t="shared" ref="AH490:AH497" si="146">AF490-Z490</f>
        <v>-699.07500000000073</v>
      </c>
      <c r="AI490" s="279">
        <f t="shared" ref="AI490:AI496" si="147">IF(Z490=0,0,AH490/Z490)</f>
        <v>-7.4943115272979755E-2</v>
      </c>
      <c r="AJ490" s="256"/>
      <c r="AK490" s="256"/>
      <c r="AL490" s="257">
        <f>+SUM(START:END!AL490)</f>
        <v>8629</v>
      </c>
      <c r="AM490" s="261"/>
      <c r="AN490" s="259">
        <f t="shared" ref="AN490:AN497" si="148">AF490-AL490</f>
        <v>0</v>
      </c>
      <c r="AO490" s="452">
        <f t="shared" ref="AO490:AO497" si="149">IF(AL490=0,0,AN490/AL490)</f>
        <v>0</v>
      </c>
      <c r="AP490" s="225"/>
      <c r="AQ490" s="465"/>
      <c r="AR490" s="465"/>
      <c r="AS490" s="225"/>
      <c r="AT490" s="225"/>
      <c r="AU490" s="225"/>
      <c r="AV490" s="225"/>
      <c r="AW490" s="225"/>
      <c r="AX490" s="225"/>
      <c r="AY490" s="225"/>
      <c r="AZ490" s="225"/>
      <c r="BA490" s="225"/>
      <c r="BB490" s="225"/>
      <c r="BC490" s="225"/>
      <c r="BD490" s="225"/>
      <c r="BE490" s="225"/>
      <c r="BF490" s="225"/>
      <c r="BG490" s="225"/>
      <c r="BH490" s="225"/>
      <c r="BI490" s="225"/>
      <c r="BJ490" s="225"/>
    </row>
    <row r="491" spans="1:62" ht="15.75" customHeight="1">
      <c r="A491" t="str">
        <f t="shared" si="145"/>
        <v>Intérêts sur marge</v>
      </c>
      <c r="B491" s="7"/>
      <c r="C491" s="225"/>
      <c r="D491" s="225"/>
      <c r="E491" s="225"/>
      <c r="F491" s="283"/>
      <c r="G491" s="225"/>
      <c r="H491" s="225"/>
      <c r="I491" s="283"/>
      <c r="J491" s="225"/>
      <c r="K491" s="225"/>
      <c r="L491" s="225"/>
      <c r="M491" s="283"/>
      <c r="N491" s="225"/>
      <c r="O491" s="225"/>
      <c r="P491" s="225"/>
      <c r="Q491" s="283"/>
      <c r="R491" s="283"/>
      <c r="S491" s="283"/>
      <c r="T491" s="225"/>
      <c r="U491" s="225"/>
      <c r="V491" s="99" t="s">
        <v>188</v>
      </c>
      <c r="W491" s="11"/>
      <c r="X491" s="11"/>
      <c r="Y491" s="11"/>
      <c r="Z491" s="257">
        <f>+SUM(START:END!Z491)</f>
        <v>0</v>
      </c>
      <c r="AA491" s="11"/>
      <c r="AB491" s="11"/>
      <c r="AC491" s="257"/>
      <c r="AD491" s="11"/>
      <c r="AE491" s="14"/>
      <c r="AF491" s="257">
        <f>+SUM(START:END!AF491)</f>
        <v>0</v>
      </c>
      <c r="AG491" s="11"/>
      <c r="AH491" s="259">
        <f t="shared" si="146"/>
        <v>0</v>
      </c>
      <c r="AI491" s="279">
        <f t="shared" si="147"/>
        <v>0</v>
      </c>
      <c r="AJ491" s="11"/>
      <c r="AK491" s="11"/>
      <c r="AL491" s="257">
        <f>+SUM(START:END!AL491)</f>
        <v>0</v>
      </c>
      <c r="AM491" s="349"/>
      <c r="AN491" s="259">
        <f t="shared" si="148"/>
        <v>0</v>
      </c>
      <c r="AO491" s="452">
        <f t="shared" si="149"/>
        <v>0</v>
      </c>
      <c r="AP491" s="225"/>
      <c r="AQ491" s="465"/>
      <c r="AR491" s="465"/>
      <c r="AS491" s="225"/>
      <c r="AT491" s="225"/>
      <c r="AU491" s="225"/>
      <c r="AV491" s="225"/>
      <c r="AW491" s="225"/>
      <c r="AX491" s="225"/>
      <c r="AY491" s="225"/>
      <c r="AZ491" s="225"/>
      <c r="BA491" s="225"/>
      <c r="BB491" s="225"/>
      <c r="BC491" s="225"/>
      <c r="BD491" s="225"/>
      <c r="BE491" s="225"/>
      <c r="BF491" s="225"/>
      <c r="BG491" s="225"/>
      <c r="BH491" s="225"/>
      <c r="BI491" s="225"/>
      <c r="BJ491" s="225"/>
    </row>
    <row r="492" spans="1:62" ht="15.75" customHeight="1">
      <c r="A492" t="str">
        <f t="shared" si="145"/>
        <v>Intérêts sur prêt</v>
      </c>
      <c r="B492" s="7"/>
      <c r="C492" s="225"/>
      <c r="D492" s="225"/>
      <c r="E492" s="225"/>
      <c r="F492" s="283"/>
      <c r="G492" s="225"/>
      <c r="H492" s="225"/>
      <c r="I492" s="283"/>
      <c r="J492" s="225"/>
      <c r="K492" s="225"/>
      <c r="L492" s="225"/>
      <c r="M492" s="283"/>
      <c r="N492" s="225"/>
      <c r="O492" s="225"/>
      <c r="P492" s="225"/>
      <c r="Q492" s="283"/>
      <c r="R492" s="283"/>
      <c r="S492" s="283"/>
      <c r="T492" s="225"/>
      <c r="U492" s="225"/>
      <c r="V492" s="99" t="s">
        <v>189</v>
      </c>
      <c r="W492" s="14"/>
      <c r="X492" s="14"/>
      <c r="Y492" s="14"/>
      <c r="Z492" s="257">
        <f>+SUM(START:END!Z492)</f>
        <v>854.41</v>
      </c>
      <c r="AA492" s="11"/>
      <c r="AB492" s="11"/>
      <c r="AC492" s="257"/>
      <c r="AD492" s="11"/>
      <c r="AE492" s="14"/>
      <c r="AF492" s="257">
        <f>+SUM(START:END!AF492)</f>
        <v>0</v>
      </c>
      <c r="AG492" s="11"/>
      <c r="AH492" s="259">
        <f t="shared" si="146"/>
        <v>-854.41</v>
      </c>
      <c r="AI492" s="279">
        <f t="shared" si="147"/>
        <v>-1</v>
      </c>
      <c r="AJ492" s="11"/>
      <c r="AK492" s="11"/>
      <c r="AL492" s="257">
        <f>+SUM(START:END!AL492)</f>
        <v>853.58</v>
      </c>
      <c r="AM492" s="349"/>
      <c r="AN492" s="259">
        <f t="shared" si="148"/>
        <v>-853.58</v>
      </c>
      <c r="AO492" s="452">
        <f t="shared" si="149"/>
        <v>-1</v>
      </c>
      <c r="AP492" s="225"/>
      <c r="AQ492" s="465"/>
      <c r="AR492" s="465"/>
      <c r="AS492" s="225"/>
      <c r="AT492" s="225"/>
      <c r="AU492" s="225"/>
      <c r="AV492" s="225"/>
      <c r="AW492" s="225"/>
      <c r="AX492" s="225"/>
      <c r="AY492" s="225"/>
      <c r="AZ492" s="225"/>
      <c r="BA492" s="225"/>
      <c r="BB492" s="225"/>
      <c r="BC492" s="225"/>
      <c r="BD492" s="225"/>
      <c r="BE492" s="225"/>
      <c r="BF492" s="225"/>
      <c r="BG492" s="225"/>
      <c r="BH492" s="225"/>
      <c r="BI492" s="225"/>
      <c r="BJ492" s="225"/>
    </row>
    <row r="493" spans="1:62" ht="15.75" customHeight="1">
      <c r="A493" t="str">
        <f t="shared" si="145"/>
        <v>Intérêts sur avance</v>
      </c>
      <c r="B493" s="7"/>
      <c r="C493" s="225"/>
      <c r="D493" s="225"/>
      <c r="E493" s="225"/>
      <c r="F493" s="283"/>
      <c r="G493" s="225"/>
      <c r="H493" s="225"/>
      <c r="I493" s="283"/>
      <c r="J493" s="225"/>
      <c r="K493" s="225"/>
      <c r="L493" s="225"/>
      <c r="M493" s="283"/>
      <c r="N493" s="225"/>
      <c r="O493" s="225"/>
      <c r="P493" s="225"/>
      <c r="Q493" s="283"/>
      <c r="R493" s="283"/>
      <c r="S493" s="283"/>
      <c r="T493" s="225"/>
      <c r="U493" s="225"/>
      <c r="V493" s="99" t="s">
        <v>190</v>
      </c>
      <c r="W493" s="14"/>
      <c r="X493" s="14"/>
      <c r="Y493" s="14"/>
      <c r="Z493" s="257">
        <f>+SUM(START:END!Z493)</f>
        <v>0</v>
      </c>
      <c r="AA493" s="11"/>
      <c r="AB493" s="11"/>
      <c r="AC493" s="257"/>
      <c r="AD493" s="11"/>
      <c r="AE493" s="14"/>
      <c r="AF493" s="257">
        <f>+SUM(START:END!AF493)</f>
        <v>0</v>
      </c>
      <c r="AG493" s="11"/>
      <c r="AH493" s="259">
        <f t="shared" si="146"/>
        <v>0</v>
      </c>
      <c r="AI493" s="279">
        <f t="shared" si="147"/>
        <v>0</v>
      </c>
      <c r="AJ493" s="11"/>
      <c r="AK493" s="11"/>
      <c r="AL493" s="257">
        <f>+SUM(START:END!AL493)</f>
        <v>0</v>
      </c>
      <c r="AM493" s="349"/>
      <c r="AN493" s="259">
        <f t="shared" si="148"/>
        <v>0</v>
      </c>
      <c r="AO493" s="452">
        <f t="shared" si="149"/>
        <v>0</v>
      </c>
      <c r="AP493" s="225"/>
      <c r="AQ493" s="465"/>
      <c r="AR493" s="465"/>
      <c r="AS493" s="225"/>
      <c r="AT493" s="225"/>
      <c r="AU493" s="225"/>
      <c r="AV493" s="225"/>
      <c r="AW493" s="225"/>
      <c r="AX493" s="225"/>
      <c r="AY493" s="225"/>
      <c r="AZ493" s="225"/>
      <c r="BA493" s="225"/>
      <c r="BB493" s="225"/>
      <c r="BC493" s="225"/>
      <c r="BD493" s="225"/>
      <c r="BE493" s="225"/>
      <c r="BF493" s="225"/>
      <c r="BG493" s="225"/>
      <c r="BH493" s="225"/>
      <c r="BI493" s="225"/>
      <c r="BJ493" s="225"/>
    </row>
    <row r="494" spans="1:62" ht="15.75" customHeight="1" thickBot="1">
      <c r="A494" t="str">
        <f t="shared" si="145"/>
        <v>Intérêts sur hypothèque</v>
      </c>
      <c r="B494" s="7"/>
      <c r="C494" s="225"/>
      <c r="D494" s="225"/>
      <c r="E494" s="225"/>
      <c r="F494" s="283"/>
      <c r="G494" s="225"/>
      <c r="H494" s="225"/>
      <c r="I494" s="283"/>
      <c r="J494" s="225"/>
      <c r="K494" s="225"/>
      <c r="L494" s="225"/>
      <c r="M494" s="283"/>
      <c r="N494" s="225"/>
      <c r="O494" s="225"/>
      <c r="P494" s="225"/>
      <c r="Q494" s="283"/>
      <c r="R494" s="283"/>
      <c r="S494" s="283"/>
      <c r="T494" s="225"/>
      <c r="U494" s="225"/>
      <c r="V494" s="99" t="s">
        <v>191</v>
      </c>
      <c r="W494" s="14"/>
      <c r="X494" s="14"/>
      <c r="Y494" s="14"/>
      <c r="Z494" s="257">
        <f>+SUM(START:END!Z494)</f>
        <v>0</v>
      </c>
      <c r="AA494" s="256"/>
      <c r="AB494" s="256"/>
      <c r="AC494" s="257"/>
      <c r="AD494" s="11"/>
      <c r="AE494" s="14"/>
      <c r="AF494" s="257">
        <f>+SUM(START:END!AF494)</f>
        <v>0</v>
      </c>
      <c r="AG494" s="258"/>
      <c r="AH494" s="259">
        <f t="shared" si="146"/>
        <v>0</v>
      </c>
      <c r="AI494" s="260">
        <f t="shared" si="147"/>
        <v>0</v>
      </c>
      <c r="AJ494" s="11"/>
      <c r="AK494" s="11"/>
      <c r="AL494" s="257">
        <f>+SUM(START:END!AL494)</f>
        <v>0</v>
      </c>
      <c r="AM494" s="349"/>
      <c r="AN494" s="259">
        <f t="shared" si="148"/>
        <v>0</v>
      </c>
      <c r="AO494" s="452">
        <f t="shared" si="149"/>
        <v>0</v>
      </c>
      <c r="AP494" s="225"/>
      <c r="AQ494" s="465"/>
      <c r="AR494" s="465"/>
      <c r="AS494" s="225"/>
      <c r="AT494" s="225"/>
      <c r="AU494" s="225"/>
      <c r="AV494" s="225"/>
      <c r="AW494" s="225"/>
      <c r="AX494" s="225"/>
      <c r="AY494" s="225"/>
      <c r="AZ494" s="225"/>
      <c r="BA494" s="225"/>
      <c r="BB494" s="225"/>
      <c r="BC494" s="225"/>
      <c r="BD494" s="225"/>
      <c r="BE494" s="225"/>
      <c r="BF494" s="225"/>
      <c r="BG494" s="225"/>
      <c r="BH494" s="225"/>
      <c r="BI494" s="225"/>
      <c r="BJ494" s="225"/>
    </row>
    <row r="495" spans="1:62" ht="15.75" hidden="1" customHeight="1">
      <c r="A495" t="str">
        <f t="shared" si="145"/>
        <v>[...]</v>
      </c>
      <c r="B495" s="7"/>
      <c r="C495" s="225"/>
      <c r="D495" s="225"/>
      <c r="E495" s="225"/>
      <c r="F495" s="283"/>
      <c r="G495" s="225"/>
      <c r="H495" s="225"/>
      <c r="I495" s="283"/>
      <c r="J495" s="225"/>
      <c r="K495" s="225"/>
      <c r="L495" s="225"/>
      <c r="M495" s="283"/>
      <c r="N495" s="225"/>
      <c r="O495" s="225"/>
      <c r="P495" s="225"/>
      <c r="Q495" s="283"/>
      <c r="R495" s="283"/>
      <c r="S495" s="283"/>
      <c r="T495" s="225"/>
      <c r="U495" s="225"/>
      <c r="V495" s="99" t="s">
        <v>20</v>
      </c>
      <c r="W495" s="14"/>
      <c r="X495" s="14"/>
      <c r="Y495" s="14"/>
      <c r="Z495" s="257">
        <f>+SUM(START:END!Z495)</f>
        <v>0</v>
      </c>
      <c r="AA495" s="256"/>
      <c r="AB495" s="256"/>
      <c r="AC495" s="257"/>
      <c r="AD495" s="11"/>
      <c r="AE495" s="14"/>
      <c r="AF495" s="257">
        <f>+SUM(START:END!AF495)</f>
        <v>0</v>
      </c>
      <c r="AG495" s="258"/>
      <c r="AH495" s="259">
        <f t="shared" si="146"/>
        <v>0</v>
      </c>
      <c r="AI495" s="260">
        <f t="shared" si="147"/>
        <v>0</v>
      </c>
      <c r="AJ495" s="11"/>
      <c r="AK495" s="11"/>
      <c r="AL495" s="257">
        <f>+SUM(START:END!AL495)</f>
        <v>0</v>
      </c>
      <c r="AM495" s="349"/>
      <c r="AN495" s="259">
        <f t="shared" si="148"/>
        <v>0</v>
      </c>
      <c r="AO495" s="452">
        <f t="shared" si="149"/>
        <v>0</v>
      </c>
      <c r="AP495" s="225"/>
      <c r="AQ495" s="465"/>
      <c r="AR495" s="465"/>
      <c r="AS495" s="225"/>
      <c r="AT495" s="225"/>
      <c r="AU495" s="225"/>
      <c r="AV495" s="225"/>
      <c r="AW495" s="225"/>
      <c r="AX495" s="225"/>
      <c r="AY495" s="225"/>
      <c r="AZ495" s="225"/>
      <c r="BA495" s="225"/>
      <c r="BB495" s="225"/>
      <c r="BC495" s="225"/>
      <c r="BD495" s="225"/>
      <c r="BE495" s="225"/>
      <c r="BF495" s="225"/>
      <c r="BG495" s="225"/>
      <c r="BH495" s="225"/>
      <c r="BI495" s="225"/>
      <c r="BJ495" s="225"/>
    </row>
    <row r="496" spans="1:62" ht="15.75" hidden="1" customHeight="1" thickBot="1">
      <c r="A496" t="str">
        <f t="shared" si="145"/>
        <v>[...]</v>
      </c>
      <c r="B496" s="7"/>
      <c r="C496" s="225"/>
      <c r="D496" s="225"/>
      <c r="E496" s="225"/>
      <c r="F496" s="283"/>
      <c r="G496" s="225"/>
      <c r="H496" s="225"/>
      <c r="I496" s="283"/>
      <c r="J496" s="225"/>
      <c r="K496" s="225"/>
      <c r="L496" s="225"/>
      <c r="M496" s="283"/>
      <c r="N496" s="225"/>
      <c r="O496" s="225"/>
      <c r="P496" s="225"/>
      <c r="Q496" s="283"/>
      <c r="R496" s="283"/>
      <c r="S496" s="283"/>
      <c r="T496" s="225"/>
      <c r="U496" s="225"/>
      <c r="V496" s="99" t="s">
        <v>20</v>
      </c>
      <c r="W496" s="14"/>
      <c r="X496" s="225"/>
      <c r="Y496" s="14"/>
      <c r="Z496" s="257">
        <f>+SUM(START:END!Z496)</f>
        <v>0</v>
      </c>
      <c r="AA496" s="256"/>
      <c r="AB496" s="256"/>
      <c r="AC496" s="257"/>
      <c r="AD496" s="11"/>
      <c r="AE496" s="14"/>
      <c r="AF496" s="257">
        <f>+SUM(START:END!AF496)</f>
        <v>0</v>
      </c>
      <c r="AG496" s="258"/>
      <c r="AH496" s="259">
        <f t="shared" si="146"/>
        <v>0</v>
      </c>
      <c r="AI496" s="260">
        <f t="shared" si="147"/>
        <v>0</v>
      </c>
      <c r="AJ496" s="11"/>
      <c r="AK496" s="11"/>
      <c r="AL496" s="257">
        <f>+SUM(START:END!AL496)</f>
        <v>0</v>
      </c>
      <c r="AM496" s="349"/>
      <c r="AN496" s="259">
        <f t="shared" si="148"/>
        <v>0</v>
      </c>
      <c r="AO496" s="452">
        <f t="shared" si="149"/>
        <v>0</v>
      </c>
      <c r="AP496" s="225"/>
      <c r="AQ496" s="465"/>
      <c r="AR496" s="465"/>
      <c r="AS496" s="225"/>
      <c r="AT496" s="225"/>
      <c r="AU496" s="225"/>
      <c r="AV496" s="225"/>
      <c r="AW496" s="225"/>
      <c r="AX496" s="225"/>
      <c r="AY496" s="225"/>
      <c r="AZ496" s="225"/>
      <c r="BA496" s="225"/>
      <c r="BB496" s="225"/>
      <c r="BC496" s="225"/>
      <c r="BD496" s="225"/>
      <c r="BE496" s="225"/>
      <c r="BF496" s="225"/>
      <c r="BG496" s="225"/>
      <c r="BH496" s="225"/>
      <c r="BI496" s="225"/>
      <c r="BJ496" s="225"/>
    </row>
    <row r="497" spans="1:62" ht="15.75" customHeight="1" thickTop="1" thickBot="1">
      <c r="A497" t="str">
        <f t="shared" si="145"/>
        <v>Profit Net</v>
      </c>
      <c r="B497" s="7"/>
      <c r="C497" s="225"/>
      <c r="D497" s="225"/>
      <c r="E497" s="225"/>
      <c r="F497" s="283"/>
      <c r="G497" s="225"/>
      <c r="H497" s="225"/>
      <c r="I497" s="283"/>
      <c r="J497" s="225"/>
      <c r="K497" s="225"/>
      <c r="L497" s="225"/>
      <c r="M497" s="283"/>
      <c r="N497" s="225"/>
      <c r="O497" s="225"/>
      <c r="P497" s="225"/>
      <c r="Q497" s="283"/>
      <c r="R497" s="283"/>
      <c r="S497" s="283"/>
      <c r="T497" s="225"/>
      <c r="U497" s="225"/>
      <c r="V497" s="331" t="s">
        <v>192</v>
      </c>
      <c r="W497" s="332"/>
      <c r="X497" s="333" t="s">
        <v>185</v>
      </c>
      <c r="Y497" s="334">
        <f>Z497/Z405</f>
        <v>3.7323222222467423E-2</v>
      </c>
      <c r="Z497" s="335">
        <f>Z488-Z490-Z491-Z492-Z496-Z493-Z494</f>
        <v>348823.9089735134</v>
      </c>
      <c r="AA497" s="439"/>
      <c r="AB497" s="440"/>
      <c r="AC497" s="441"/>
      <c r="AD497" s="333" t="s">
        <v>185</v>
      </c>
      <c r="AE497" s="334">
        <f>AF497/AF405</f>
        <v>3.468917950991212E-2</v>
      </c>
      <c r="AF497" s="336">
        <f>AF488-AF490-AF491-AF492-AF496-AF493-AF494</f>
        <v>352889.19000000018</v>
      </c>
      <c r="AG497" s="446"/>
      <c r="AH497" s="446">
        <f t="shared" si="146"/>
        <v>4065.281026486773</v>
      </c>
      <c r="AI497" s="447">
        <f>AH497/Z497</f>
        <v>1.1654249957950715E-2</v>
      </c>
      <c r="AJ497" s="337" t="s">
        <v>185</v>
      </c>
      <c r="AK497" s="334">
        <f>IF($AL$405=0,0,AL497/$AL$405)</f>
        <v>4.8171824474136739E-2</v>
      </c>
      <c r="AL497" s="336">
        <f>AL488-AL490-AL491-AL492-AL496-AL493-AL494</f>
        <v>510494.77999999985</v>
      </c>
      <c r="AM497" s="456"/>
      <c r="AN497" s="448">
        <f t="shared" si="148"/>
        <v>-157605.58999999968</v>
      </c>
      <c r="AO497" s="463">
        <f t="shared" si="149"/>
        <v>-0.30873105107950316</v>
      </c>
      <c r="AP497" s="225"/>
      <c r="AQ497" s="465"/>
      <c r="AR497" s="465"/>
      <c r="AS497" s="225"/>
      <c r="AT497" s="225"/>
      <c r="AU497" s="225"/>
      <c r="AV497" s="225"/>
      <c r="AW497" s="225"/>
      <c r="AX497" s="225"/>
      <c r="AY497" s="225"/>
      <c r="AZ497" s="225"/>
      <c r="BA497" s="225"/>
      <c r="BB497" s="225"/>
      <c r="BC497" s="225"/>
      <c r="BD497" s="225"/>
      <c r="BE497" s="225"/>
      <c r="BF497" s="225"/>
      <c r="BG497" s="225"/>
      <c r="BH497" s="225"/>
      <c r="BI497" s="225"/>
      <c r="BJ497" s="225"/>
    </row>
    <row r="498" spans="1:62" ht="15.75" customHeight="1" thickTop="1">
      <c r="A498" t="str">
        <f t="shared" si="145"/>
        <v/>
      </c>
      <c r="B498" s="7"/>
      <c r="C498" s="225"/>
      <c r="D498" s="225"/>
      <c r="E498" s="225"/>
      <c r="F498" s="283"/>
      <c r="G498" s="225"/>
      <c r="H498" s="225"/>
      <c r="I498" s="283"/>
      <c r="J498" s="225"/>
      <c r="K498" s="225"/>
      <c r="L498" s="225"/>
      <c r="M498" s="283"/>
      <c r="N498" s="225"/>
      <c r="O498" s="225"/>
      <c r="P498" s="225"/>
      <c r="Q498" s="283"/>
      <c r="R498" s="283"/>
      <c r="S498" s="283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350"/>
      <c r="AF498" s="351"/>
      <c r="AG498" s="225"/>
      <c r="AH498" s="225"/>
      <c r="AI498" s="225"/>
      <c r="AJ498" s="225"/>
      <c r="AK498" s="225"/>
      <c r="AL498" s="225"/>
      <c r="AM498" s="225"/>
      <c r="AN498" s="225"/>
      <c r="AO498" s="225"/>
      <c r="AP498" s="225"/>
      <c r="AQ498" s="225"/>
      <c r="AR498" s="225"/>
      <c r="AS498" s="225"/>
      <c r="AT498" s="225"/>
      <c r="AU498" s="225"/>
      <c r="AV498" s="225"/>
      <c r="AW498" s="225"/>
      <c r="AX498" s="225"/>
      <c r="AY498" s="225"/>
      <c r="AZ498" s="225"/>
      <c r="BA498" s="225"/>
      <c r="BB498" s="225"/>
      <c r="BC498" s="225"/>
      <c r="BD498" s="225"/>
      <c r="BE498" s="225"/>
      <c r="BF498" s="225"/>
      <c r="BG498" s="225"/>
      <c r="BH498" s="225"/>
      <c r="BI498" s="225"/>
      <c r="BJ498" s="225"/>
    </row>
    <row r="499" spans="1:62" ht="15.75" customHeight="1">
      <c r="B499" s="7"/>
      <c r="C499" s="225"/>
      <c r="D499" s="225"/>
      <c r="E499" s="225"/>
      <c r="F499" s="283"/>
      <c r="G499" s="225"/>
      <c r="H499" s="225"/>
      <c r="I499" s="283"/>
      <c r="J499" s="225"/>
      <c r="K499" s="225"/>
      <c r="L499" s="225"/>
      <c r="M499" s="283"/>
      <c r="N499" s="225"/>
      <c r="O499" s="225"/>
      <c r="P499" s="225"/>
      <c r="Q499" s="283"/>
      <c r="R499" s="283"/>
      <c r="S499" s="283"/>
      <c r="T499" s="225"/>
      <c r="U499" s="225"/>
      <c r="V499" s="225"/>
      <c r="W499" s="225"/>
      <c r="X499" s="225"/>
      <c r="Y499" s="225"/>
      <c r="Z499" s="315"/>
      <c r="AA499" s="225"/>
      <c r="AB499" s="225"/>
      <c r="AC499" s="225"/>
      <c r="AD499" s="225"/>
      <c r="AE499" s="225"/>
      <c r="AF499" s="315"/>
      <c r="AG499" s="225"/>
      <c r="AH499" s="315"/>
      <c r="AI499" s="225"/>
      <c r="AJ499" s="225"/>
      <c r="AK499" s="225"/>
      <c r="AL499" s="315"/>
      <c r="AM499" s="225"/>
      <c r="AN499" s="315"/>
      <c r="AO499" s="225"/>
      <c r="AP499" s="225"/>
      <c r="AQ499" s="225"/>
      <c r="AR499" s="225"/>
      <c r="AS499" s="225"/>
      <c r="AT499" s="225"/>
      <c r="AU499" s="225"/>
      <c r="AV499" s="225"/>
      <c r="AW499" s="225"/>
      <c r="AX499" s="225"/>
      <c r="AY499" s="225"/>
      <c r="AZ499" s="225"/>
      <c r="BA499" s="225"/>
      <c r="BB499" s="225"/>
      <c r="BC499" s="225"/>
      <c r="BD499" s="225"/>
      <c r="BE499" s="225"/>
      <c r="BF499" s="225"/>
      <c r="BG499" s="225"/>
      <c r="BH499" s="225"/>
      <c r="BI499" s="225"/>
      <c r="BJ499" s="225"/>
    </row>
    <row r="500" spans="1:62" ht="15.75" customHeight="1">
      <c r="B500" s="7"/>
      <c r="C500" s="225"/>
      <c r="D500" s="225"/>
      <c r="E500" s="225"/>
      <c r="F500" s="283"/>
      <c r="G500" s="225"/>
      <c r="H500" s="225"/>
      <c r="I500" s="283"/>
      <c r="J500" s="225"/>
      <c r="K500" s="225"/>
      <c r="L500" s="225"/>
      <c r="M500" s="283"/>
      <c r="N500" s="225"/>
      <c r="O500" s="225"/>
      <c r="P500" s="225"/>
      <c r="Q500" s="283"/>
      <c r="R500" s="283"/>
      <c r="S500" s="283"/>
      <c r="T500" s="302"/>
      <c r="U500" s="302"/>
      <c r="V500" s="225"/>
      <c r="W500" s="225"/>
      <c r="X500" s="225"/>
      <c r="Y500" s="225"/>
      <c r="Z500" s="315"/>
      <c r="AA500" s="225"/>
      <c r="AB500" s="225"/>
      <c r="AC500" s="225"/>
      <c r="AD500" s="225"/>
      <c r="AE500" s="225"/>
      <c r="AF500" s="315"/>
      <c r="AG500" s="225"/>
      <c r="AH500" s="315"/>
      <c r="AI500" s="225"/>
      <c r="AJ500" s="225"/>
      <c r="AK500" s="225"/>
      <c r="AL500" s="315"/>
      <c r="AM500" s="225"/>
      <c r="AN500" s="315"/>
      <c r="AO500" s="225"/>
      <c r="AP500" s="225"/>
      <c r="AQ500" s="225"/>
      <c r="AR500" s="225"/>
      <c r="AS500" s="225"/>
      <c r="AT500" s="225"/>
      <c r="AU500" s="225"/>
      <c r="AV500" s="225"/>
      <c r="AW500" s="225"/>
      <c r="AX500" s="225"/>
      <c r="AY500" s="225"/>
      <c r="AZ500" s="225"/>
      <c r="BA500" s="225"/>
      <c r="BB500" s="225"/>
      <c r="BC500" s="225"/>
      <c r="BD500" s="225"/>
      <c r="BE500" s="225"/>
      <c r="BF500" s="225"/>
      <c r="BG500" s="225"/>
      <c r="BH500" s="225"/>
      <c r="BI500" s="225"/>
      <c r="BJ500" s="225"/>
    </row>
    <row r="501" spans="1:62" ht="15.75" customHeight="1">
      <c r="B501" s="7"/>
      <c r="C501" s="225"/>
      <c r="D501" s="225"/>
      <c r="E501" s="225"/>
      <c r="F501" s="283"/>
      <c r="G501" s="225"/>
      <c r="H501" s="225"/>
      <c r="I501" s="283"/>
      <c r="J501" s="225"/>
      <c r="K501" s="225"/>
      <c r="L501" s="225"/>
      <c r="M501" s="283"/>
      <c r="N501" s="225"/>
      <c r="O501" s="225"/>
      <c r="P501" s="225"/>
      <c r="Q501" s="283"/>
      <c r="R501" s="283"/>
      <c r="S501" s="283"/>
      <c r="T501" s="302"/>
      <c r="U501" s="302"/>
      <c r="V501" s="225"/>
      <c r="W501" s="225"/>
      <c r="X501" s="225"/>
      <c r="Y501" s="225"/>
      <c r="Z501" s="315"/>
      <c r="AA501" s="225"/>
      <c r="AB501" s="225"/>
      <c r="AC501" s="225"/>
      <c r="AD501" s="225"/>
      <c r="AE501" s="225"/>
      <c r="AF501" s="315"/>
      <c r="AG501" s="225"/>
      <c r="AH501" s="315"/>
      <c r="AI501" s="225"/>
      <c r="AJ501" s="225"/>
      <c r="AK501" s="225"/>
      <c r="AL501" s="315"/>
      <c r="AM501" s="225"/>
      <c r="AN501" s="315"/>
      <c r="AO501" s="225"/>
      <c r="AP501" s="225"/>
      <c r="AQ501" s="225"/>
      <c r="AR501" s="225"/>
      <c r="AS501" s="225"/>
      <c r="AT501" s="225"/>
      <c r="AU501" s="225"/>
      <c r="AV501" s="225"/>
      <c r="AW501" s="225"/>
      <c r="AX501" s="225"/>
      <c r="AY501" s="225"/>
      <c r="AZ501" s="225"/>
      <c r="BA501" s="225"/>
      <c r="BB501" s="225"/>
      <c r="BC501" s="225"/>
      <c r="BD501" s="225"/>
      <c r="BE501" s="225"/>
      <c r="BF501" s="225"/>
      <c r="BG501" s="225"/>
      <c r="BH501" s="225"/>
      <c r="BI501" s="225"/>
      <c r="BJ501" s="225"/>
    </row>
    <row r="502" spans="1:62" ht="15.75" customHeight="1">
      <c r="B502" s="7"/>
      <c r="C502" s="225"/>
      <c r="D502" s="225"/>
      <c r="E502" s="225"/>
      <c r="F502" s="283"/>
      <c r="G502" s="225"/>
      <c r="H502" s="225"/>
      <c r="I502" s="283"/>
      <c r="J502" s="225"/>
      <c r="K502" s="225"/>
      <c r="L502" s="225"/>
      <c r="M502" s="283"/>
      <c r="N502" s="225"/>
      <c r="O502" s="225"/>
      <c r="P502" s="225"/>
      <c r="Q502" s="283"/>
      <c r="R502" s="283"/>
      <c r="S502" s="283"/>
      <c r="T502" s="302"/>
      <c r="U502" s="302"/>
      <c r="V502" s="225"/>
      <c r="W502" s="225"/>
      <c r="X502" s="225"/>
      <c r="Y502" s="225"/>
      <c r="Z502" s="283"/>
      <c r="AA502" s="225"/>
      <c r="AB502" s="225"/>
      <c r="AC502" s="225"/>
      <c r="AD502" s="225"/>
      <c r="AE502" s="225"/>
      <c r="AF502" s="283"/>
      <c r="AG502" s="225"/>
      <c r="AH502" s="283"/>
      <c r="AI502" s="225"/>
      <c r="AJ502" s="225"/>
      <c r="AK502" s="225"/>
      <c r="AL502" s="283"/>
      <c r="AM502" s="225"/>
      <c r="AN502" s="283"/>
      <c r="AO502" s="225"/>
      <c r="AP502" s="225"/>
      <c r="AQ502" s="225"/>
      <c r="AR502" s="225"/>
      <c r="AS502" s="225"/>
      <c r="AT502" s="225"/>
      <c r="AU502" s="225"/>
      <c r="AV502" s="225"/>
      <c r="AW502" s="225"/>
      <c r="AX502" s="225"/>
      <c r="AY502" s="225"/>
      <c r="AZ502" s="225"/>
      <c r="BA502" s="225"/>
      <c r="BB502" s="225"/>
      <c r="BC502" s="225"/>
      <c r="BD502" s="225"/>
      <c r="BE502" s="225"/>
      <c r="BF502" s="225"/>
      <c r="BG502" s="225"/>
      <c r="BH502" s="225"/>
      <c r="BI502" s="225"/>
      <c r="BJ502" s="225"/>
    </row>
    <row r="503" spans="1:62" ht="15.75" customHeight="1">
      <c r="B503" s="7"/>
      <c r="C503" s="225"/>
      <c r="D503" s="225"/>
      <c r="E503" s="225"/>
      <c r="F503" s="283"/>
      <c r="G503" s="225"/>
      <c r="H503" s="225"/>
      <c r="I503" s="283"/>
      <c r="J503" s="225"/>
      <c r="K503" s="225"/>
      <c r="L503" s="225"/>
      <c r="M503" s="283"/>
      <c r="N503" s="225"/>
      <c r="O503" s="225"/>
      <c r="P503" s="225"/>
      <c r="Q503" s="283"/>
      <c r="R503" s="283"/>
      <c r="S503" s="283"/>
      <c r="T503" s="302"/>
      <c r="U503" s="302"/>
      <c r="V503" s="225"/>
      <c r="W503" s="225"/>
      <c r="X503" s="225"/>
      <c r="Y503" s="225"/>
      <c r="Z503" s="283"/>
      <c r="AA503" s="225"/>
      <c r="AB503" s="225"/>
      <c r="AC503" s="225"/>
      <c r="AD503" s="225"/>
      <c r="AE503" s="225"/>
      <c r="AF503" s="283"/>
      <c r="AG503" s="225"/>
      <c r="AH503" s="283"/>
      <c r="AI503" s="225"/>
      <c r="AJ503" s="225"/>
      <c r="AK503" s="225"/>
      <c r="AL503" s="283"/>
      <c r="AM503" s="225"/>
      <c r="AN503" s="283"/>
      <c r="AO503" s="225"/>
      <c r="AP503" s="225"/>
      <c r="AQ503" s="225"/>
      <c r="AR503" s="225"/>
      <c r="AS503" s="225"/>
      <c r="AT503" s="225"/>
      <c r="AU503" s="225"/>
      <c r="AV503" s="225"/>
      <c r="AW503" s="225"/>
      <c r="AX503" s="225"/>
      <c r="AY503" s="225"/>
      <c r="AZ503" s="225"/>
      <c r="BA503" s="225"/>
      <c r="BB503" s="225"/>
      <c r="BC503" s="225"/>
      <c r="BD503" s="225"/>
      <c r="BE503" s="225"/>
      <c r="BF503" s="225"/>
      <c r="BG503" s="225"/>
      <c r="BH503" s="225"/>
      <c r="BI503" s="225"/>
      <c r="BJ503" s="225"/>
    </row>
    <row r="504" spans="1:62" ht="15.75" customHeight="1">
      <c r="B504" s="7"/>
      <c r="C504" s="225"/>
      <c r="D504" s="225"/>
      <c r="E504" s="225"/>
      <c r="F504" s="283"/>
      <c r="G504" s="225"/>
      <c r="H504" s="225"/>
      <c r="I504" s="283"/>
      <c r="J504" s="225"/>
      <c r="K504" s="225"/>
      <c r="L504" s="225"/>
      <c r="M504" s="283"/>
      <c r="N504" s="225"/>
      <c r="O504" s="225"/>
      <c r="P504" s="225"/>
      <c r="Q504" s="283"/>
      <c r="R504" s="283"/>
      <c r="S504" s="283"/>
      <c r="T504" s="302"/>
      <c r="U504" s="302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225"/>
      <c r="AL504" s="225"/>
      <c r="AM504" s="225"/>
      <c r="AN504" s="225"/>
      <c r="AO504" s="225"/>
      <c r="AP504" s="225"/>
      <c r="AQ504" s="225"/>
      <c r="AR504" s="225"/>
      <c r="AS504" s="225"/>
      <c r="AT504" s="225"/>
      <c r="AU504" s="225"/>
      <c r="AV504" s="225"/>
      <c r="AW504" s="225"/>
      <c r="AX504" s="225"/>
      <c r="AY504" s="225"/>
      <c r="AZ504" s="225"/>
      <c r="BA504" s="225"/>
      <c r="BB504" s="225"/>
      <c r="BC504" s="225"/>
      <c r="BD504" s="225"/>
      <c r="BE504" s="225"/>
      <c r="BF504" s="225"/>
      <c r="BG504" s="225"/>
      <c r="BH504" s="225"/>
      <c r="BI504" s="225"/>
      <c r="BJ504" s="225"/>
    </row>
    <row r="505" spans="1:62" ht="15.75" customHeight="1">
      <c r="B505" s="7"/>
      <c r="C505" s="225"/>
      <c r="D505" s="225"/>
      <c r="E505" s="225"/>
      <c r="F505" s="283"/>
      <c r="G505" s="225"/>
      <c r="H505" s="225"/>
      <c r="I505" s="283"/>
      <c r="J505" s="225"/>
      <c r="K505" s="225"/>
      <c r="L505" s="225"/>
      <c r="M505" s="283"/>
      <c r="N505" s="225"/>
      <c r="O505" s="225"/>
      <c r="P505" s="225"/>
      <c r="Q505" s="283"/>
      <c r="R505" s="283"/>
      <c r="S505" s="283"/>
      <c r="T505" s="302"/>
      <c r="U505" s="302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83"/>
      <c r="AG505" s="225"/>
      <c r="AH505" s="225"/>
      <c r="AI505" s="225"/>
      <c r="AJ505" s="225"/>
      <c r="AK505" s="225"/>
      <c r="AL505" s="283"/>
      <c r="AM505" s="225"/>
      <c r="AN505" s="225"/>
      <c r="AO505" s="225"/>
      <c r="AP505" s="225"/>
      <c r="AQ505" s="225"/>
      <c r="AR505" s="225"/>
      <c r="AS505" s="225"/>
      <c r="AT505" s="225"/>
      <c r="AU505" s="225"/>
      <c r="AV505" s="225"/>
      <c r="AW505" s="225"/>
      <c r="AX505" s="225"/>
      <c r="AY505" s="225"/>
      <c r="AZ505" s="225"/>
      <c r="BA505" s="225"/>
      <c r="BB505" s="225"/>
      <c r="BC505" s="225"/>
      <c r="BD505" s="225"/>
      <c r="BE505" s="225"/>
      <c r="BF505" s="225"/>
      <c r="BG505" s="225"/>
      <c r="BH505" s="225"/>
      <c r="BI505" s="225"/>
      <c r="BJ505" s="225"/>
    </row>
    <row r="506" spans="1:62" ht="15.75" customHeight="1">
      <c r="B506" s="7"/>
      <c r="C506" s="225"/>
      <c r="D506" s="225"/>
      <c r="E506" s="225"/>
      <c r="F506" s="283"/>
      <c r="G506" s="225"/>
      <c r="H506" s="225"/>
      <c r="I506" s="283"/>
      <c r="J506" s="225"/>
      <c r="K506" s="225"/>
      <c r="L506" s="225"/>
      <c r="M506" s="283"/>
      <c r="N506" s="225"/>
      <c r="O506" s="225"/>
      <c r="P506" s="225"/>
      <c r="Q506" s="283"/>
      <c r="R506" s="283"/>
      <c r="S506" s="283"/>
      <c r="T506" s="302"/>
      <c r="U506" s="302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225"/>
      <c r="AL506" s="225"/>
      <c r="AM506" s="225"/>
      <c r="AN506" s="225"/>
      <c r="AO506" s="225"/>
      <c r="AP506" s="225"/>
      <c r="AQ506" s="225"/>
      <c r="AR506" s="225"/>
      <c r="AS506" s="225"/>
      <c r="AT506" s="225"/>
      <c r="AU506" s="225"/>
      <c r="AV506" s="225"/>
      <c r="AW506" s="225"/>
      <c r="AX506" s="225"/>
      <c r="AY506" s="225"/>
      <c r="AZ506" s="225"/>
      <c r="BA506" s="225"/>
      <c r="BB506" s="225"/>
      <c r="BC506" s="225"/>
      <c r="BD506" s="225"/>
      <c r="BE506" s="225"/>
      <c r="BF506" s="225"/>
      <c r="BG506" s="225"/>
      <c r="BH506" s="225"/>
      <c r="BI506" s="225"/>
      <c r="BJ506" s="225"/>
    </row>
    <row r="507" spans="1:62" ht="15.75" customHeight="1">
      <c r="B507" s="7"/>
      <c r="C507" s="225"/>
      <c r="D507" s="225"/>
      <c r="E507" s="225"/>
      <c r="F507" s="283"/>
      <c r="G507" s="225"/>
      <c r="H507" s="225"/>
      <c r="I507" s="283"/>
      <c r="J507" s="225"/>
      <c r="K507" s="225"/>
      <c r="L507" s="225"/>
      <c r="M507" s="283"/>
      <c r="N507" s="225"/>
      <c r="O507" s="225"/>
      <c r="P507" s="225"/>
      <c r="Q507" s="283"/>
      <c r="R507" s="283"/>
      <c r="S507" s="283"/>
      <c r="T507" s="302"/>
      <c r="U507" s="302"/>
      <c r="V507" s="225"/>
      <c r="W507" s="302"/>
      <c r="X507" s="302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225"/>
      <c r="AL507" s="225"/>
      <c r="AM507" s="225"/>
      <c r="AN507" s="225"/>
      <c r="AO507" s="225"/>
      <c r="AP507" s="225"/>
      <c r="AQ507" s="225"/>
      <c r="AR507" s="225"/>
      <c r="AS507" s="225"/>
      <c r="AT507" s="225"/>
      <c r="AU507" s="225"/>
      <c r="AV507" s="225"/>
      <c r="AW507" s="225"/>
      <c r="AX507" s="225"/>
      <c r="AY507" s="225"/>
      <c r="AZ507" s="225"/>
      <c r="BA507" s="225"/>
      <c r="BB507" s="225"/>
      <c r="BC507" s="225"/>
      <c r="BD507" s="225"/>
      <c r="BE507" s="225"/>
      <c r="BF507" s="225"/>
      <c r="BG507" s="225"/>
      <c r="BH507" s="225"/>
      <c r="BI507" s="225"/>
      <c r="BJ507" s="225"/>
    </row>
    <row r="508" spans="1:62" ht="15.75" customHeight="1">
      <c r="B508" s="7"/>
      <c r="C508" s="225"/>
      <c r="D508" s="225"/>
      <c r="E508" s="225"/>
      <c r="F508" s="283"/>
      <c r="G508" s="225"/>
      <c r="H508" s="225"/>
      <c r="I508" s="283"/>
      <c r="J508" s="225"/>
      <c r="K508" s="225"/>
      <c r="L508" s="225"/>
      <c r="M508" s="283"/>
      <c r="N508" s="225"/>
      <c r="O508" s="225"/>
      <c r="P508" s="225"/>
      <c r="Q508" s="283"/>
      <c r="R508" s="283"/>
      <c r="S508" s="283"/>
      <c r="T508" s="302"/>
      <c r="U508" s="302"/>
      <c r="V508" s="225"/>
      <c r="W508" s="302"/>
      <c r="X508" s="302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225"/>
      <c r="AL508" s="225"/>
      <c r="AM508" s="225"/>
      <c r="AN508" s="225"/>
      <c r="AO508" s="225"/>
      <c r="AP508" s="225"/>
      <c r="AQ508" s="225"/>
      <c r="AR508" s="225"/>
      <c r="AS508" s="225"/>
      <c r="AT508" s="225"/>
      <c r="AU508" s="225"/>
      <c r="AV508" s="225"/>
      <c r="AW508" s="225"/>
      <c r="AX508" s="225"/>
      <c r="AY508" s="225"/>
      <c r="AZ508" s="225"/>
      <c r="BA508" s="225"/>
      <c r="BB508" s="225"/>
      <c r="BC508" s="225"/>
      <c r="BD508" s="225"/>
      <c r="BE508" s="225"/>
      <c r="BF508" s="225"/>
      <c r="BG508" s="225"/>
      <c r="BH508" s="225"/>
      <c r="BI508" s="225"/>
      <c r="BJ508" s="225"/>
    </row>
    <row r="509" spans="1:62" ht="15.75" customHeight="1">
      <c r="B509" s="7"/>
      <c r="C509" s="225"/>
      <c r="D509" s="225"/>
      <c r="E509" s="225"/>
      <c r="F509" s="283"/>
      <c r="G509" s="225"/>
      <c r="H509" s="225"/>
      <c r="I509" s="283"/>
      <c r="J509" s="225"/>
      <c r="K509" s="225"/>
      <c r="L509" s="225"/>
      <c r="M509" s="283"/>
      <c r="N509" s="225"/>
      <c r="O509" s="225"/>
      <c r="P509" s="225"/>
      <c r="Q509" s="283"/>
      <c r="R509" s="283"/>
      <c r="S509" s="283"/>
      <c r="T509" s="302"/>
      <c r="U509" s="302"/>
      <c r="V509" s="225"/>
      <c r="W509" s="302"/>
      <c r="X509" s="302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225"/>
      <c r="AL509" s="225"/>
      <c r="AM509" s="225"/>
      <c r="AN509" s="225"/>
      <c r="AO509" s="225"/>
      <c r="AP509" s="225"/>
      <c r="AQ509" s="225"/>
      <c r="AR509" s="225"/>
      <c r="AS509" s="225"/>
      <c r="AT509" s="225"/>
      <c r="AU509" s="225"/>
      <c r="AV509" s="225"/>
      <c r="AW509" s="225"/>
      <c r="AX509" s="225"/>
      <c r="AY509" s="225"/>
      <c r="AZ509" s="225"/>
      <c r="BA509" s="225"/>
      <c r="BB509" s="225"/>
      <c r="BC509" s="225"/>
      <c r="BD509" s="225"/>
      <c r="BE509" s="225"/>
      <c r="BF509" s="225"/>
      <c r="BG509" s="225"/>
      <c r="BH509" s="225"/>
      <c r="BI509" s="225"/>
      <c r="BJ509" s="225"/>
    </row>
    <row r="510" spans="1:62" ht="15.75" customHeight="1">
      <c r="B510" s="7"/>
      <c r="C510" s="225"/>
      <c r="D510" s="225"/>
      <c r="E510" s="225"/>
      <c r="F510" s="283"/>
      <c r="G510" s="225"/>
      <c r="H510" s="225"/>
      <c r="I510" s="283"/>
      <c r="J510" s="225"/>
      <c r="K510" s="225"/>
      <c r="L510" s="225"/>
      <c r="M510" s="283"/>
      <c r="N510" s="225"/>
      <c r="O510" s="225"/>
      <c r="P510" s="225"/>
      <c r="Q510" s="283"/>
      <c r="R510" s="283"/>
      <c r="S510" s="283"/>
      <c r="T510" s="302"/>
      <c r="U510" s="302"/>
      <c r="V510" s="225"/>
      <c r="W510" s="302"/>
      <c r="X510" s="302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225"/>
      <c r="AL510" s="225"/>
      <c r="AM510" s="225"/>
      <c r="AN510" s="225"/>
      <c r="AO510" s="225"/>
      <c r="AP510" s="225"/>
      <c r="AQ510" s="225"/>
      <c r="AR510" s="225"/>
      <c r="AS510" s="225"/>
      <c r="AT510" s="225"/>
      <c r="AU510" s="225"/>
      <c r="AV510" s="225"/>
      <c r="AW510" s="225"/>
      <c r="AX510" s="225"/>
      <c r="AY510" s="225"/>
      <c r="AZ510" s="225"/>
      <c r="BA510" s="225"/>
      <c r="BB510" s="225"/>
      <c r="BC510" s="225"/>
      <c r="BD510" s="225"/>
      <c r="BE510" s="225"/>
      <c r="BF510" s="225"/>
      <c r="BG510" s="225"/>
      <c r="BH510" s="225"/>
      <c r="BI510" s="225"/>
      <c r="BJ510" s="225"/>
    </row>
    <row r="511" spans="1:62" ht="15.75" customHeight="1">
      <c r="B511" s="7"/>
      <c r="C511" s="225"/>
      <c r="D511" s="225"/>
      <c r="E511" s="225"/>
      <c r="F511" s="283"/>
      <c r="G511" s="225"/>
      <c r="H511" s="225"/>
      <c r="I511" s="283"/>
      <c r="J511" s="225"/>
      <c r="K511" s="225"/>
      <c r="L511" s="225"/>
      <c r="M511" s="283"/>
      <c r="N511" s="225"/>
      <c r="O511" s="225"/>
      <c r="P511" s="225"/>
      <c r="Q511" s="283"/>
      <c r="R511" s="283"/>
      <c r="S511" s="283"/>
      <c r="T511" s="302"/>
      <c r="U511" s="302"/>
      <c r="V511" s="225"/>
      <c r="W511" s="302"/>
      <c r="X511" s="302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225"/>
      <c r="AL511" s="225"/>
      <c r="AM511" s="225"/>
      <c r="AN511" s="225"/>
      <c r="AO511" s="225"/>
      <c r="AP511" s="225"/>
      <c r="AQ511" s="225"/>
      <c r="AR511" s="225"/>
      <c r="AS511" s="225"/>
      <c r="AT511" s="225"/>
      <c r="AU511" s="225"/>
      <c r="AV511" s="225"/>
      <c r="AW511" s="225"/>
      <c r="AX511" s="225"/>
      <c r="AY511" s="225"/>
      <c r="AZ511" s="225"/>
      <c r="BA511" s="225"/>
      <c r="BB511" s="225"/>
      <c r="BC511" s="225"/>
      <c r="BD511" s="225"/>
      <c r="BE511" s="225"/>
      <c r="BF511" s="225"/>
      <c r="BG511" s="225"/>
      <c r="BH511" s="225"/>
      <c r="BI511" s="225"/>
      <c r="BJ511" s="225"/>
    </row>
    <row r="512" spans="1:62" ht="15.75" customHeight="1">
      <c r="B512" s="7"/>
      <c r="C512" s="225"/>
      <c r="D512" s="225"/>
      <c r="E512" s="225"/>
      <c r="F512" s="283"/>
      <c r="G512" s="225"/>
      <c r="H512" s="225"/>
      <c r="I512" s="283"/>
      <c r="J512" s="225"/>
      <c r="K512" s="225"/>
      <c r="L512" s="225"/>
      <c r="M512" s="283"/>
      <c r="N512" s="225"/>
      <c r="O512" s="225"/>
      <c r="P512" s="225"/>
      <c r="Q512" s="283"/>
      <c r="R512" s="283"/>
      <c r="S512" s="283"/>
      <c r="T512" s="302"/>
      <c r="U512" s="302"/>
      <c r="V512" s="302"/>
      <c r="W512" s="302"/>
      <c r="X512" s="302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225"/>
      <c r="AL512" s="225"/>
      <c r="AM512" s="225"/>
      <c r="AN512" s="225"/>
      <c r="AO512" s="225"/>
      <c r="AP512" s="225"/>
      <c r="AQ512" s="225"/>
      <c r="AR512" s="225"/>
      <c r="AS512" s="225"/>
      <c r="AT512" s="225"/>
      <c r="AU512" s="225"/>
      <c r="AV512" s="225"/>
      <c r="AW512" s="225"/>
      <c r="AX512" s="225"/>
      <c r="AY512" s="225"/>
      <c r="AZ512" s="225"/>
      <c r="BA512" s="225"/>
      <c r="BB512" s="225"/>
      <c r="BC512" s="225"/>
      <c r="BD512" s="225"/>
      <c r="BE512" s="225"/>
      <c r="BF512" s="225"/>
      <c r="BG512" s="225"/>
      <c r="BH512" s="225"/>
      <c r="BI512" s="225"/>
      <c r="BJ512" s="225"/>
    </row>
    <row r="513" spans="2:62" ht="15.75" customHeight="1">
      <c r="B513" s="7"/>
      <c r="C513" s="352"/>
      <c r="D513" s="302"/>
      <c r="E513" s="302"/>
      <c r="F513" s="353"/>
      <c r="G513" s="302"/>
      <c r="H513" s="302"/>
      <c r="I513" s="353"/>
      <c r="J513" s="302"/>
      <c r="K513" s="302"/>
      <c r="L513" s="302"/>
      <c r="M513" s="353"/>
      <c r="N513" s="302"/>
      <c r="O513" s="302"/>
      <c r="P513" s="302"/>
      <c r="Q513" s="353"/>
      <c r="R513" s="353"/>
      <c r="S513" s="353"/>
      <c r="T513" s="302"/>
      <c r="U513" s="302"/>
      <c r="V513" s="302"/>
      <c r="W513" s="302"/>
      <c r="X513" s="302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225"/>
      <c r="AL513" s="225"/>
      <c r="AM513" s="225"/>
      <c r="AN513" s="225"/>
      <c r="AO513" s="225"/>
      <c r="AP513" s="225"/>
      <c r="AQ513" s="225"/>
      <c r="AR513" s="225"/>
      <c r="AS513" s="225"/>
      <c r="AT513" s="225"/>
      <c r="AU513" s="225"/>
      <c r="AV513" s="225"/>
      <c r="AW513" s="225"/>
      <c r="AX513" s="225"/>
      <c r="AY513" s="225"/>
      <c r="AZ513" s="225"/>
      <c r="BA513" s="225"/>
      <c r="BB513" s="225"/>
      <c r="BC513" s="225"/>
      <c r="BD513" s="225"/>
      <c r="BE513" s="225"/>
      <c r="BF513" s="225"/>
      <c r="BG513" s="225"/>
      <c r="BH513" s="225"/>
      <c r="BI513" s="225"/>
      <c r="BJ513" s="225"/>
    </row>
    <row r="514" spans="2:62" ht="15.75" customHeight="1">
      <c r="B514" s="7"/>
      <c r="C514" s="354"/>
      <c r="D514" s="302"/>
      <c r="E514" s="302"/>
      <c r="F514" s="353"/>
      <c r="G514" s="302"/>
      <c r="H514" s="302"/>
      <c r="I514" s="353"/>
      <c r="J514" s="302"/>
      <c r="K514" s="302"/>
      <c r="L514" s="302"/>
      <c r="M514" s="353"/>
      <c r="N514" s="302"/>
      <c r="O514" s="302"/>
      <c r="P514" s="302"/>
      <c r="Q514" s="353"/>
      <c r="R514" s="353"/>
      <c r="S514" s="353"/>
      <c r="T514" s="302"/>
      <c r="U514" s="302"/>
      <c r="V514" s="302"/>
      <c r="W514" s="302"/>
      <c r="X514" s="302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225"/>
      <c r="AL514" s="225"/>
      <c r="AM514" s="225"/>
      <c r="AN514" s="225"/>
      <c r="AO514" s="225"/>
      <c r="AP514" s="225"/>
      <c r="AQ514" s="225"/>
      <c r="AR514" s="225"/>
      <c r="AS514" s="225"/>
      <c r="AT514" s="225"/>
      <c r="AU514" s="225"/>
      <c r="AV514" s="225"/>
      <c r="AW514" s="225"/>
      <c r="AX514" s="225"/>
      <c r="AY514" s="225"/>
      <c r="AZ514" s="225"/>
      <c r="BA514" s="225"/>
      <c r="BB514" s="225"/>
      <c r="BC514" s="225"/>
      <c r="BD514" s="225"/>
      <c r="BE514" s="225"/>
      <c r="BF514" s="225"/>
      <c r="BG514" s="225"/>
      <c r="BH514" s="225"/>
      <c r="BI514" s="225"/>
      <c r="BJ514" s="225"/>
    </row>
    <row r="515" spans="2:62" ht="15.75" customHeight="1">
      <c r="B515" s="7"/>
      <c r="C515" s="302"/>
      <c r="D515" s="302"/>
      <c r="E515" s="302"/>
      <c r="F515" s="353"/>
      <c r="G515" s="302"/>
      <c r="H515" s="302"/>
      <c r="I515" s="353"/>
      <c r="J515" s="302"/>
      <c r="K515" s="302"/>
      <c r="L515" s="302"/>
      <c r="M515" s="353"/>
      <c r="N515" s="302"/>
      <c r="O515" s="302"/>
      <c r="P515" s="302"/>
      <c r="Q515" s="353"/>
      <c r="R515" s="353"/>
      <c r="S515" s="353"/>
      <c r="T515" s="302"/>
      <c r="U515" s="302"/>
      <c r="V515" s="302"/>
      <c r="W515" s="302"/>
      <c r="X515" s="302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225"/>
      <c r="AL515" s="225"/>
      <c r="AM515" s="225"/>
      <c r="AN515" s="225"/>
      <c r="AO515" s="225"/>
      <c r="AP515" s="225"/>
      <c r="AQ515" s="225"/>
      <c r="AR515" s="225"/>
      <c r="AS515" s="225"/>
      <c r="AT515" s="225"/>
      <c r="AU515" s="225"/>
      <c r="AV515" s="225"/>
      <c r="AW515" s="225"/>
      <c r="AX515" s="225"/>
      <c r="AY515" s="225"/>
      <c r="AZ515" s="225"/>
      <c r="BA515" s="225"/>
      <c r="BB515" s="225"/>
      <c r="BC515" s="225"/>
      <c r="BD515" s="225"/>
      <c r="BE515" s="225"/>
      <c r="BF515" s="225"/>
      <c r="BG515" s="225"/>
      <c r="BH515" s="225"/>
      <c r="BI515" s="225"/>
      <c r="BJ515" s="225"/>
    </row>
    <row r="516" spans="2:62" ht="15.75" customHeight="1">
      <c r="B516" s="7"/>
      <c r="C516" s="302"/>
      <c r="D516" s="302"/>
      <c r="E516" s="302"/>
      <c r="F516" s="302"/>
      <c r="G516" s="302"/>
      <c r="H516" s="302"/>
      <c r="I516" s="302"/>
      <c r="J516" s="352"/>
      <c r="K516" s="352"/>
      <c r="L516" s="352"/>
      <c r="M516" s="353"/>
      <c r="N516" s="302"/>
      <c r="O516" s="302"/>
      <c r="P516" s="302"/>
      <c r="Q516" s="302"/>
      <c r="R516" s="302"/>
      <c r="S516" s="353"/>
      <c r="T516" s="302"/>
      <c r="U516" s="302"/>
      <c r="V516" s="302"/>
      <c r="W516" s="302"/>
      <c r="X516" s="302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225"/>
      <c r="AL516" s="225"/>
      <c r="AM516" s="225"/>
      <c r="AN516" s="225"/>
      <c r="AO516" s="225"/>
      <c r="AP516" s="225"/>
      <c r="AQ516" s="225"/>
      <c r="AR516" s="225"/>
      <c r="AS516" s="225"/>
      <c r="AT516" s="225"/>
      <c r="AU516" s="225"/>
      <c r="AV516" s="225"/>
      <c r="AW516" s="225"/>
      <c r="AX516" s="225"/>
      <c r="AY516" s="225"/>
      <c r="AZ516" s="225"/>
      <c r="BA516" s="225"/>
      <c r="BB516" s="225"/>
      <c r="BC516" s="225"/>
      <c r="BD516" s="225"/>
      <c r="BE516" s="225"/>
      <c r="BF516" s="225"/>
      <c r="BG516" s="225"/>
      <c r="BH516" s="225"/>
      <c r="BI516" s="225"/>
      <c r="BJ516" s="225"/>
    </row>
    <row r="517" spans="2:62" ht="15.75" customHeight="1">
      <c r="B517" s="7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53"/>
      <c r="N517" s="302"/>
      <c r="O517" s="302"/>
      <c r="P517" s="302"/>
      <c r="Q517" s="302"/>
      <c r="R517" s="302"/>
      <c r="S517" s="353"/>
      <c r="T517" s="302"/>
      <c r="U517" s="302"/>
      <c r="V517" s="302"/>
      <c r="W517" s="302"/>
      <c r="X517" s="302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225"/>
      <c r="AL517" s="225"/>
      <c r="AM517" s="225"/>
      <c r="AN517" s="225"/>
      <c r="AO517" s="225"/>
      <c r="AP517" s="225"/>
      <c r="AQ517" s="225"/>
      <c r="AR517" s="225"/>
      <c r="AS517" s="225"/>
      <c r="AT517" s="225"/>
      <c r="AU517" s="225"/>
      <c r="AV517" s="225"/>
      <c r="AW517" s="225"/>
      <c r="AX517" s="225"/>
      <c r="AY517" s="225"/>
      <c r="AZ517" s="225"/>
      <c r="BA517" s="225"/>
      <c r="BB517" s="225"/>
      <c r="BC517" s="225"/>
      <c r="BD517" s="225"/>
      <c r="BE517" s="225"/>
      <c r="BF517" s="225"/>
      <c r="BG517" s="225"/>
      <c r="BH517" s="225"/>
      <c r="BI517" s="225"/>
      <c r="BJ517" s="225"/>
    </row>
    <row r="518" spans="2:62" ht="15.75" customHeight="1">
      <c r="B518" s="7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53"/>
      <c r="N518" s="302"/>
      <c r="O518" s="302"/>
      <c r="P518" s="302"/>
      <c r="Q518" s="302"/>
      <c r="R518" s="302"/>
      <c r="S518" s="353"/>
      <c r="T518" s="302"/>
      <c r="U518" s="302"/>
      <c r="V518" s="302"/>
      <c r="W518" s="302"/>
      <c r="X518" s="302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225"/>
      <c r="AL518" s="225"/>
      <c r="AM518" s="225"/>
      <c r="AN518" s="225"/>
      <c r="AO518" s="225"/>
      <c r="AP518" s="225"/>
      <c r="AQ518" s="225"/>
      <c r="AR518" s="225"/>
      <c r="AS518" s="225"/>
      <c r="AT518" s="225"/>
      <c r="AU518" s="225"/>
      <c r="AV518" s="225"/>
      <c r="AW518" s="225"/>
      <c r="AX518" s="225"/>
      <c r="AY518" s="225"/>
      <c r="AZ518" s="225"/>
      <c r="BA518" s="225"/>
      <c r="BB518" s="225"/>
      <c r="BC518" s="225"/>
      <c r="BD518" s="225"/>
      <c r="BE518" s="225"/>
      <c r="BF518" s="225"/>
      <c r="BG518" s="225"/>
      <c r="BH518" s="225"/>
      <c r="BI518" s="225"/>
      <c r="BJ518" s="225"/>
    </row>
    <row r="519" spans="2:62" ht="15.75" customHeight="1">
      <c r="B519" s="7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53"/>
      <c r="N519" s="302"/>
      <c r="O519" s="302"/>
      <c r="P519" s="302"/>
      <c r="Q519" s="302"/>
      <c r="R519" s="302"/>
      <c r="S519" s="353"/>
      <c r="T519" s="302"/>
      <c r="U519" s="302"/>
      <c r="V519" s="302"/>
      <c r="W519" s="302"/>
      <c r="X519" s="302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225"/>
      <c r="AL519" s="225"/>
      <c r="AM519" s="225"/>
      <c r="AN519" s="225"/>
      <c r="AO519" s="225"/>
      <c r="AP519" s="225"/>
      <c r="AQ519" s="225"/>
      <c r="AR519" s="225"/>
      <c r="AS519" s="225"/>
      <c r="AT519" s="225"/>
      <c r="AU519" s="225"/>
      <c r="AV519" s="225"/>
      <c r="AW519" s="225"/>
      <c r="AX519" s="225"/>
      <c r="AY519" s="225"/>
      <c r="AZ519" s="225"/>
      <c r="BA519" s="225"/>
      <c r="BB519" s="225"/>
      <c r="BC519" s="225"/>
      <c r="BD519" s="225"/>
      <c r="BE519" s="225"/>
      <c r="BF519" s="225"/>
      <c r="BG519" s="225"/>
      <c r="BH519" s="225"/>
      <c r="BI519" s="225"/>
      <c r="BJ519" s="225"/>
    </row>
    <row r="520" spans="2:62" ht="15.75" customHeight="1">
      <c r="B520" s="7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53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225"/>
      <c r="AL520" s="225"/>
      <c r="AM520" s="225"/>
      <c r="AN520" s="225"/>
      <c r="AO520" s="225"/>
      <c r="AP520" s="225"/>
      <c r="AQ520" s="225"/>
      <c r="AR520" s="225"/>
      <c r="AS520" s="225"/>
      <c r="AT520" s="225"/>
      <c r="AU520" s="225"/>
      <c r="AV520" s="225"/>
      <c r="AW520" s="225"/>
      <c r="AX520" s="225"/>
      <c r="AY520" s="225"/>
      <c r="AZ520" s="225"/>
      <c r="BA520" s="225"/>
      <c r="BB520" s="225"/>
      <c r="BC520" s="225"/>
      <c r="BD520" s="225"/>
      <c r="BE520" s="225"/>
      <c r="BF520" s="225"/>
      <c r="BG520" s="225"/>
      <c r="BH520" s="225"/>
      <c r="BI520" s="225"/>
      <c r="BJ520" s="225"/>
    </row>
    <row r="521" spans="2:62" ht="15.75" customHeight="1">
      <c r="B521" s="7"/>
      <c r="C521" s="302"/>
      <c r="D521" s="302"/>
      <c r="E521" s="302"/>
      <c r="F521" s="302"/>
      <c r="G521" s="302"/>
      <c r="H521" s="302"/>
      <c r="I521" s="302"/>
      <c r="J521" s="352"/>
      <c r="K521" s="352"/>
      <c r="L521" s="352"/>
      <c r="M521" s="355"/>
      <c r="N521" s="352"/>
      <c r="O521" s="352"/>
      <c r="P521" s="352"/>
      <c r="Q521" s="302"/>
      <c r="R521" s="302"/>
      <c r="S521" s="352"/>
      <c r="T521" s="302"/>
      <c r="U521" s="302"/>
      <c r="V521" s="302"/>
      <c r="W521" s="302"/>
      <c r="X521" s="302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225"/>
      <c r="AL521" s="225"/>
      <c r="AM521" s="225"/>
      <c r="AN521" s="225"/>
      <c r="AO521" s="225"/>
      <c r="AP521" s="225"/>
      <c r="AQ521" s="225"/>
      <c r="AR521" s="225"/>
      <c r="AS521" s="225"/>
      <c r="AT521" s="225"/>
      <c r="AU521" s="225"/>
      <c r="AV521" s="225"/>
      <c r="AW521" s="225"/>
      <c r="AX521" s="225"/>
      <c r="AY521" s="225"/>
      <c r="AZ521" s="225"/>
      <c r="BA521" s="225"/>
      <c r="BB521" s="225"/>
      <c r="BC521" s="225"/>
      <c r="BD521" s="225"/>
      <c r="BE521" s="225"/>
      <c r="BF521" s="225"/>
      <c r="BG521" s="225"/>
      <c r="BH521" s="225"/>
      <c r="BI521" s="225"/>
      <c r="BJ521" s="225"/>
    </row>
    <row r="522" spans="2:62" ht="15.75" customHeight="1">
      <c r="B522" s="7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225"/>
      <c r="AL522" s="225"/>
      <c r="AM522" s="225"/>
      <c r="AN522" s="225"/>
      <c r="AO522" s="225"/>
      <c r="AP522" s="225"/>
      <c r="AQ522" s="225"/>
      <c r="AR522" s="225"/>
      <c r="AS522" s="225"/>
      <c r="AT522" s="225"/>
      <c r="AU522" s="225"/>
      <c r="AV522" s="225"/>
      <c r="AW522" s="225"/>
      <c r="AX522" s="225"/>
      <c r="AY522" s="225"/>
      <c r="AZ522" s="225"/>
      <c r="BA522" s="225"/>
      <c r="BB522" s="225"/>
      <c r="BC522" s="225"/>
      <c r="BD522" s="225"/>
      <c r="BE522" s="225"/>
      <c r="BF522" s="225"/>
      <c r="BG522" s="225"/>
      <c r="BH522" s="225"/>
      <c r="BI522" s="225"/>
      <c r="BJ522" s="225"/>
    </row>
    <row r="523" spans="2:62" ht="15.75" customHeight="1">
      <c r="B523" s="7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225"/>
      <c r="AL523" s="225"/>
      <c r="AM523" s="225"/>
      <c r="AN523" s="225"/>
      <c r="AO523" s="225"/>
      <c r="AP523" s="225"/>
      <c r="AQ523" s="225"/>
      <c r="AR523" s="225"/>
      <c r="AS523" s="225"/>
      <c r="AT523" s="225"/>
      <c r="AU523" s="225"/>
      <c r="AV523" s="225"/>
      <c r="AW523" s="225"/>
      <c r="AX523" s="225"/>
      <c r="AY523" s="225"/>
      <c r="AZ523" s="225"/>
      <c r="BA523" s="225"/>
      <c r="BB523" s="225"/>
      <c r="BC523" s="225"/>
      <c r="BD523" s="225"/>
      <c r="BE523" s="225"/>
      <c r="BF523" s="225"/>
      <c r="BG523" s="225"/>
      <c r="BH523" s="225"/>
      <c r="BI523" s="225"/>
      <c r="BJ523" s="225"/>
    </row>
    <row r="524" spans="2:62" ht="15.75" customHeight="1">
      <c r="B524" s="7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225"/>
      <c r="AL524" s="225"/>
      <c r="AM524" s="225"/>
      <c r="AN524" s="225"/>
      <c r="AO524" s="225"/>
      <c r="AP524" s="225"/>
      <c r="AQ524" s="225"/>
      <c r="AR524" s="225"/>
      <c r="AS524" s="225"/>
      <c r="AT524" s="225"/>
      <c r="AU524" s="225"/>
      <c r="AV524" s="225"/>
      <c r="AW524" s="225"/>
      <c r="AX524" s="225"/>
      <c r="AY524" s="225"/>
      <c r="AZ524" s="225"/>
      <c r="BA524" s="225"/>
      <c r="BB524" s="225"/>
      <c r="BC524" s="225"/>
      <c r="BD524" s="225"/>
      <c r="BE524" s="225"/>
      <c r="BF524" s="225"/>
      <c r="BG524" s="225"/>
      <c r="BH524" s="225"/>
      <c r="BI524" s="225"/>
      <c r="BJ524" s="225"/>
    </row>
    <row r="525" spans="2:62" ht="15.75" customHeight="1">
      <c r="B525" s="7"/>
      <c r="C525" s="356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02"/>
      <c r="U525" s="302"/>
      <c r="V525" s="302"/>
      <c r="W525" s="302"/>
      <c r="X525" s="302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225"/>
      <c r="AL525" s="225"/>
      <c r="AM525" s="225"/>
      <c r="AN525" s="225"/>
      <c r="AO525" s="225"/>
      <c r="AP525" s="225"/>
      <c r="AQ525" s="225"/>
      <c r="AR525" s="225"/>
      <c r="AS525" s="225"/>
      <c r="AT525" s="225"/>
      <c r="AU525" s="225"/>
      <c r="AV525" s="225"/>
      <c r="AW525" s="225"/>
      <c r="AX525" s="225"/>
      <c r="AY525" s="225"/>
      <c r="AZ525" s="225"/>
      <c r="BA525" s="225"/>
      <c r="BB525" s="225"/>
      <c r="BC525" s="225"/>
      <c r="BD525" s="225"/>
      <c r="BE525" s="225"/>
      <c r="BF525" s="225"/>
      <c r="BG525" s="225"/>
      <c r="BH525" s="225"/>
      <c r="BI525" s="225"/>
      <c r="BJ525" s="225"/>
    </row>
    <row r="526" spans="2:62" ht="15.75" customHeight="1">
      <c r="B526" s="7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58"/>
      <c r="R526" s="302"/>
      <c r="S526" s="302"/>
      <c r="T526" s="302"/>
      <c r="U526" s="302"/>
      <c r="V526" s="302"/>
      <c r="W526" s="302"/>
      <c r="X526" s="302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225"/>
      <c r="AL526" s="225"/>
      <c r="AM526" s="225"/>
      <c r="AN526" s="225"/>
      <c r="AO526" s="225"/>
      <c r="AP526" s="225"/>
      <c r="AQ526" s="225"/>
      <c r="AR526" s="225"/>
      <c r="AS526" s="225"/>
      <c r="AT526" s="225"/>
      <c r="AU526" s="225"/>
      <c r="AV526" s="225"/>
      <c r="AW526" s="225"/>
      <c r="AX526" s="225"/>
      <c r="AY526" s="225"/>
      <c r="AZ526" s="225"/>
      <c r="BA526" s="225"/>
      <c r="BB526" s="225"/>
      <c r="BC526" s="225"/>
      <c r="BD526" s="225"/>
      <c r="BE526" s="225"/>
      <c r="BF526" s="225"/>
      <c r="BG526" s="225"/>
      <c r="BH526" s="225"/>
      <c r="BI526" s="225"/>
      <c r="BJ526" s="225"/>
    </row>
    <row r="527" spans="2:62" ht="15.75" customHeight="1">
      <c r="B527" s="7"/>
      <c r="C527" s="302"/>
      <c r="D527" s="302"/>
      <c r="E527" s="302"/>
      <c r="F527" s="302"/>
      <c r="G527" s="302"/>
      <c r="H527" s="302"/>
      <c r="I527" s="302"/>
      <c r="J527" s="302"/>
      <c r="K527" s="302"/>
      <c r="L527" s="359"/>
      <c r="M527" s="360"/>
      <c r="N527" s="360"/>
      <c r="O527" s="302"/>
      <c r="P527" s="359"/>
      <c r="Q527" s="360"/>
      <c r="R527" s="360"/>
      <c r="S527" s="359"/>
      <c r="T527" s="302"/>
      <c r="U527" s="302"/>
      <c r="V527" s="302"/>
      <c r="W527" s="302"/>
      <c r="X527" s="302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  <c r="AS527" s="225"/>
      <c r="AT527" s="225"/>
      <c r="AU527" s="225"/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  <c r="BF527" s="225"/>
      <c r="BG527" s="225"/>
      <c r="BH527" s="225"/>
      <c r="BI527" s="225"/>
      <c r="BJ527" s="225"/>
    </row>
    <row r="528" spans="2:62" ht="15.75" customHeight="1">
      <c r="B528" s="7"/>
      <c r="C528" s="302"/>
      <c r="D528" s="302"/>
      <c r="E528" s="359"/>
      <c r="F528" s="361"/>
      <c r="G528" s="302"/>
      <c r="H528" s="359"/>
      <c r="I528" s="361"/>
      <c r="J528" s="360"/>
      <c r="K528" s="352"/>
      <c r="L528" s="359"/>
      <c r="M528" s="360"/>
      <c r="N528" s="360"/>
      <c r="O528" s="352"/>
      <c r="P528" s="359"/>
      <c r="Q528" s="360"/>
      <c r="R528" s="360"/>
      <c r="S528" s="359"/>
      <c r="T528" s="302"/>
      <c r="U528" s="302"/>
      <c r="V528" s="302"/>
      <c r="W528" s="302"/>
      <c r="X528" s="302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225"/>
      <c r="AL528" s="225"/>
      <c r="AM528" s="225"/>
      <c r="AN528" s="225"/>
      <c r="AO528" s="225"/>
      <c r="AP528" s="225"/>
      <c r="AQ528" s="225"/>
      <c r="AR528" s="225"/>
      <c r="AS528" s="225"/>
      <c r="AT528" s="225"/>
      <c r="AU528" s="225"/>
      <c r="AV528" s="225"/>
      <c r="AW528" s="225"/>
      <c r="AX528" s="225"/>
      <c r="AY528" s="225"/>
      <c r="AZ528" s="225"/>
      <c r="BA528" s="225"/>
      <c r="BB528" s="225"/>
      <c r="BC528" s="225"/>
      <c r="BD528" s="225"/>
      <c r="BE528" s="225"/>
      <c r="BF528" s="225"/>
      <c r="BG528" s="225"/>
      <c r="BH528" s="225"/>
      <c r="BI528" s="225"/>
      <c r="BJ528" s="225"/>
    </row>
    <row r="529" spans="2:62" ht="15.75" customHeight="1">
      <c r="B529" s="7"/>
      <c r="C529" s="302"/>
      <c r="D529" s="362"/>
      <c r="E529" s="361"/>
      <c r="F529" s="361"/>
      <c r="G529" s="362"/>
      <c r="H529" s="361"/>
      <c r="I529" s="361"/>
      <c r="J529" s="361"/>
      <c r="K529" s="361"/>
      <c r="L529" s="361"/>
      <c r="M529" s="361"/>
      <c r="N529" s="361"/>
      <c r="O529" s="361"/>
      <c r="P529" s="361"/>
      <c r="Q529" s="361"/>
      <c r="R529" s="361"/>
      <c r="S529" s="361"/>
      <c r="T529" s="302"/>
      <c r="U529" s="302"/>
      <c r="V529" s="302"/>
      <c r="W529" s="302"/>
      <c r="X529" s="302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  <c r="AS529" s="225"/>
      <c r="AT529" s="225"/>
      <c r="AU529" s="225"/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  <c r="BF529" s="225"/>
      <c r="BG529" s="225"/>
      <c r="BH529" s="225"/>
      <c r="BI529" s="225"/>
      <c r="BJ529" s="225"/>
    </row>
    <row r="530" spans="2:62" ht="15.75" customHeight="1">
      <c r="B530" s="7"/>
      <c r="C530" s="35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  <c r="AS530" s="225"/>
      <c r="AT530" s="225"/>
      <c r="AU530" s="225"/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  <c r="BF530" s="225"/>
      <c r="BG530" s="225"/>
      <c r="BH530" s="225"/>
      <c r="BI530" s="225"/>
      <c r="BJ530" s="225"/>
    </row>
    <row r="531" spans="2:62" ht="15.75" customHeight="1">
      <c r="B531" s="7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225"/>
      <c r="AL531" s="225"/>
      <c r="AM531" s="225"/>
      <c r="AN531" s="225"/>
      <c r="AO531" s="225"/>
      <c r="AP531" s="225"/>
      <c r="AQ531" s="225"/>
      <c r="AR531" s="225"/>
      <c r="AS531" s="225"/>
      <c r="AT531" s="225"/>
      <c r="AU531" s="225"/>
      <c r="AV531" s="225"/>
      <c r="AW531" s="225"/>
      <c r="AX531" s="225"/>
      <c r="AY531" s="225"/>
      <c r="AZ531" s="225"/>
      <c r="BA531" s="225"/>
      <c r="BB531" s="225"/>
      <c r="BC531" s="225"/>
      <c r="BD531" s="225"/>
      <c r="BE531" s="225"/>
      <c r="BF531" s="225"/>
      <c r="BG531" s="225"/>
      <c r="BH531" s="225"/>
      <c r="BI531" s="225"/>
      <c r="BJ531" s="225"/>
    </row>
    <row r="532" spans="2:62" ht="15.75" customHeight="1">
      <c r="B532" s="7"/>
      <c r="C532" s="302"/>
      <c r="D532" s="302"/>
      <c r="E532" s="353"/>
      <c r="F532" s="363"/>
      <c r="G532" s="302"/>
      <c r="H532" s="353"/>
      <c r="I532" s="363"/>
      <c r="J532" s="363"/>
      <c r="K532" s="353"/>
      <c r="L532" s="363"/>
      <c r="M532" s="353"/>
      <c r="N532" s="363"/>
      <c r="O532" s="353"/>
      <c r="P532" s="363"/>
      <c r="Q532" s="353"/>
      <c r="R532" s="353"/>
      <c r="S532" s="353"/>
      <c r="T532" s="302"/>
      <c r="U532" s="302"/>
      <c r="V532" s="302"/>
      <c r="W532" s="302"/>
      <c r="X532" s="302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  <c r="AS532" s="225"/>
      <c r="AT532" s="225"/>
      <c r="AU532" s="225"/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  <c r="BF532" s="225"/>
      <c r="BG532" s="225"/>
      <c r="BH532" s="225"/>
      <c r="BI532" s="225"/>
      <c r="BJ532" s="225"/>
    </row>
    <row r="533" spans="2:62" ht="15.75" customHeight="1">
      <c r="B533" s="7"/>
      <c r="C533" s="302"/>
      <c r="D533" s="302"/>
      <c r="E533" s="353"/>
      <c r="F533" s="363"/>
      <c r="G533" s="302"/>
      <c r="H533" s="353"/>
      <c r="I533" s="363"/>
      <c r="J533" s="363"/>
      <c r="K533" s="353"/>
      <c r="L533" s="363"/>
      <c r="M533" s="353"/>
      <c r="N533" s="363"/>
      <c r="O533" s="353"/>
      <c r="P533" s="363"/>
      <c r="Q533" s="353"/>
      <c r="R533" s="353"/>
      <c r="S533" s="353"/>
      <c r="T533" s="302"/>
      <c r="U533" s="302"/>
      <c r="V533" s="302"/>
      <c r="W533" s="302"/>
      <c r="X533" s="302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  <c r="AS533" s="225"/>
      <c r="AT533" s="225"/>
      <c r="AU533" s="225"/>
      <c r="AV533" s="225"/>
      <c r="AW533" s="225"/>
      <c r="AX533" s="225"/>
      <c r="AY533" s="225"/>
      <c r="AZ533" s="225"/>
      <c r="BA533" s="225"/>
      <c r="BB533" s="225"/>
      <c r="BC533" s="225"/>
      <c r="BD533" s="225"/>
      <c r="BE533" s="225"/>
      <c r="BF533" s="225"/>
      <c r="BG533" s="225"/>
      <c r="BH533" s="225"/>
      <c r="BI533" s="225"/>
      <c r="BJ533" s="225"/>
    </row>
    <row r="534" spans="2:62" ht="15.75" customHeight="1">
      <c r="B534" s="7"/>
      <c r="C534" s="302"/>
      <c r="D534" s="302"/>
      <c r="E534" s="353"/>
      <c r="F534" s="363"/>
      <c r="G534" s="302"/>
      <c r="H534" s="353"/>
      <c r="I534" s="363"/>
      <c r="J534" s="363"/>
      <c r="K534" s="353"/>
      <c r="L534" s="363"/>
      <c r="M534" s="353"/>
      <c r="N534" s="363"/>
      <c r="O534" s="353"/>
      <c r="P534" s="363"/>
      <c r="Q534" s="353"/>
      <c r="R534" s="353"/>
      <c r="S534" s="353"/>
      <c r="T534" s="302"/>
      <c r="U534" s="302"/>
      <c r="V534" s="302"/>
      <c r="W534" s="302"/>
      <c r="X534" s="302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  <c r="AS534" s="225"/>
      <c r="AT534" s="225"/>
      <c r="AU534" s="225"/>
      <c r="AV534" s="225"/>
      <c r="AW534" s="225"/>
      <c r="AX534" s="225"/>
      <c r="AY534" s="225"/>
      <c r="AZ534" s="225"/>
      <c r="BA534" s="225"/>
      <c r="BB534" s="225"/>
      <c r="BC534" s="225"/>
      <c r="BD534" s="225"/>
      <c r="BE534" s="225"/>
      <c r="BF534" s="225"/>
      <c r="BG534" s="225"/>
      <c r="BH534" s="225"/>
      <c r="BI534" s="225"/>
      <c r="BJ534" s="225"/>
    </row>
    <row r="535" spans="2:62" ht="15.75" customHeight="1">
      <c r="B535" s="7"/>
      <c r="C535" s="302"/>
      <c r="D535" s="302"/>
      <c r="E535" s="353"/>
      <c r="F535" s="363"/>
      <c r="G535" s="302"/>
      <c r="H535" s="353"/>
      <c r="I535" s="363"/>
      <c r="J535" s="363"/>
      <c r="K535" s="353"/>
      <c r="L535" s="363"/>
      <c r="M535" s="353"/>
      <c r="N535" s="363"/>
      <c r="O535" s="353"/>
      <c r="P535" s="363"/>
      <c r="Q535" s="353"/>
      <c r="R535" s="353"/>
      <c r="S535" s="353"/>
      <c r="T535" s="302"/>
      <c r="U535" s="302"/>
      <c r="V535" s="302"/>
      <c r="W535" s="302"/>
      <c r="X535" s="302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225"/>
      <c r="AL535" s="225"/>
      <c r="AM535" s="225"/>
      <c r="AN535" s="225"/>
      <c r="AO535" s="225"/>
      <c r="AP535" s="225"/>
      <c r="AQ535" s="225"/>
      <c r="AR535" s="225"/>
      <c r="AS535" s="225"/>
      <c r="AT535" s="225"/>
      <c r="AU535" s="225"/>
      <c r="AV535" s="225"/>
      <c r="AW535" s="225"/>
      <c r="AX535" s="225"/>
      <c r="AY535" s="225"/>
      <c r="AZ535" s="225"/>
      <c r="BA535" s="225"/>
      <c r="BB535" s="225"/>
      <c r="BC535" s="225"/>
      <c r="BD535" s="225"/>
      <c r="BE535" s="225"/>
      <c r="BF535" s="225"/>
      <c r="BG535" s="225"/>
      <c r="BH535" s="225"/>
      <c r="BI535" s="225"/>
      <c r="BJ535" s="225"/>
    </row>
    <row r="536" spans="2:62" ht="15.75" customHeight="1">
      <c r="B536" s="7"/>
      <c r="C536" s="302"/>
      <c r="D536" s="302"/>
      <c r="E536" s="353"/>
      <c r="F536" s="363"/>
      <c r="G536" s="302"/>
      <c r="H536" s="353"/>
      <c r="I536" s="363"/>
      <c r="J536" s="363"/>
      <c r="K536" s="353"/>
      <c r="L536" s="363"/>
      <c r="M536" s="353"/>
      <c r="N536" s="363"/>
      <c r="O536" s="353"/>
      <c r="P536" s="363"/>
      <c r="Q536" s="353"/>
      <c r="R536" s="353"/>
      <c r="S536" s="302"/>
      <c r="T536" s="302"/>
      <c r="U536" s="302"/>
      <c r="V536" s="302"/>
      <c r="W536" s="302"/>
      <c r="X536" s="302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  <c r="AS536" s="225"/>
      <c r="AT536" s="225"/>
      <c r="AU536" s="225"/>
      <c r="AV536" s="225"/>
      <c r="AW536" s="225"/>
      <c r="AX536" s="225"/>
      <c r="AY536" s="225"/>
      <c r="AZ536" s="225"/>
      <c r="BA536" s="225"/>
      <c r="BB536" s="225"/>
      <c r="BC536" s="225"/>
      <c r="BD536" s="225"/>
      <c r="BE536" s="225"/>
      <c r="BF536" s="225"/>
      <c r="BG536" s="225"/>
      <c r="BH536" s="225"/>
      <c r="BI536" s="225"/>
      <c r="BJ536" s="225"/>
    </row>
    <row r="537" spans="2:62" ht="15.75" customHeight="1">
      <c r="B537" s="7"/>
      <c r="C537" s="302"/>
      <c r="D537" s="302"/>
      <c r="E537" s="353"/>
      <c r="F537" s="363"/>
      <c r="G537" s="302"/>
      <c r="H537" s="353"/>
      <c r="I537" s="363"/>
      <c r="J537" s="363"/>
      <c r="K537" s="353"/>
      <c r="L537" s="363"/>
      <c r="M537" s="353"/>
      <c r="N537" s="363"/>
      <c r="O537" s="353"/>
      <c r="P537" s="363"/>
      <c r="Q537" s="353"/>
      <c r="R537" s="353"/>
      <c r="S537" s="353"/>
      <c r="T537" s="302"/>
      <c r="U537" s="302"/>
      <c r="V537" s="302"/>
      <c r="W537" s="302"/>
      <c r="X537" s="302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  <c r="AS537" s="225"/>
      <c r="AT537" s="225"/>
      <c r="AU537" s="225"/>
      <c r="AV537" s="225"/>
      <c r="AW537" s="225"/>
      <c r="AX537" s="225"/>
      <c r="AY537" s="225"/>
      <c r="AZ537" s="225"/>
      <c r="BA537" s="225"/>
      <c r="BB537" s="225"/>
      <c r="BC537" s="225"/>
      <c r="BD537" s="225"/>
      <c r="BE537" s="225"/>
      <c r="BF537" s="225"/>
      <c r="BG537" s="225"/>
      <c r="BH537" s="225"/>
      <c r="BI537" s="225"/>
      <c r="BJ537" s="225"/>
    </row>
    <row r="538" spans="2:62" ht="15.75" customHeight="1">
      <c r="B538" s="7"/>
      <c r="C538" s="302"/>
      <c r="D538" s="302"/>
      <c r="E538" s="353"/>
      <c r="F538" s="364"/>
      <c r="G538" s="302"/>
      <c r="H538" s="353"/>
      <c r="I538" s="364"/>
      <c r="J538" s="363"/>
      <c r="K538" s="353"/>
      <c r="L538" s="363"/>
      <c r="M538" s="353"/>
      <c r="N538" s="363"/>
      <c r="O538" s="353"/>
      <c r="P538" s="302"/>
      <c r="Q538" s="302"/>
      <c r="R538" s="353"/>
      <c r="S538" s="353"/>
      <c r="T538" s="302"/>
      <c r="U538" s="302"/>
      <c r="V538" s="302"/>
      <c r="W538" s="302"/>
      <c r="X538" s="302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225"/>
      <c r="AL538" s="225"/>
      <c r="AM538" s="225"/>
      <c r="AN538" s="225"/>
      <c r="AO538" s="225"/>
      <c r="AP538" s="225"/>
      <c r="AQ538" s="225"/>
      <c r="AR538" s="225"/>
      <c r="AS538" s="225"/>
      <c r="AT538" s="225"/>
      <c r="AU538" s="225"/>
      <c r="AV538" s="225"/>
      <c r="AW538" s="225"/>
      <c r="AX538" s="225"/>
      <c r="AY538" s="225"/>
      <c r="AZ538" s="225"/>
      <c r="BA538" s="225"/>
      <c r="BB538" s="225"/>
      <c r="BC538" s="225"/>
      <c r="BD538" s="225"/>
      <c r="BE538" s="225"/>
      <c r="BF538" s="225"/>
      <c r="BG538" s="225"/>
      <c r="BH538" s="225"/>
      <c r="BI538" s="225"/>
      <c r="BJ538" s="225"/>
    </row>
    <row r="539" spans="2:62" ht="15.75" customHeight="1">
      <c r="B539" s="7"/>
      <c r="C539" s="352"/>
      <c r="D539" s="352"/>
      <c r="E539" s="355"/>
      <c r="F539" s="365"/>
      <c r="G539" s="352"/>
      <c r="H539" s="355"/>
      <c r="I539" s="365"/>
      <c r="J539" s="365"/>
      <c r="K539" s="355"/>
      <c r="L539" s="365"/>
      <c r="M539" s="355"/>
      <c r="N539" s="365"/>
      <c r="O539" s="355"/>
      <c r="P539" s="365"/>
      <c r="Q539" s="355"/>
      <c r="R539" s="355"/>
      <c r="S539" s="352"/>
      <c r="T539" s="302"/>
      <c r="U539" s="302"/>
      <c r="V539" s="302"/>
      <c r="W539" s="302"/>
      <c r="X539" s="302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  <c r="AS539" s="225"/>
      <c r="AT539" s="225"/>
      <c r="AU539" s="225"/>
      <c r="AV539" s="225"/>
      <c r="AW539" s="225"/>
      <c r="AX539" s="225"/>
      <c r="AY539" s="225"/>
      <c r="AZ539" s="225"/>
      <c r="BA539" s="225"/>
      <c r="BB539" s="225"/>
      <c r="BC539" s="225"/>
      <c r="BD539" s="225"/>
      <c r="BE539" s="225"/>
      <c r="BF539" s="225"/>
      <c r="BG539" s="225"/>
      <c r="BH539" s="225"/>
      <c r="BI539" s="225"/>
      <c r="BJ539" s="225"/>
    </row>
    <row r="540" spans="2:62" ht="15.75" customHeight="1">
      <c r="B540" s="7"/>
      <c r="C540" s="302"/>
      <c r="D540" s="302"/>
      <c r="E540" s="353"/>
      <c r="F540" s="302"/>
      <c r="G540" s="302"/>
      <c r="H540" s="353"/>
      <c r="I540" s="302"/>
      <c r="J540" s="363"/>
      <c r="K540" s="353"/>
      <c r="L540" s="363"/>
      <c r="M540" s="353"/>
      <c r="N540" s="363"/>
      <c r="O540" s="353"/>
      <c r="P540" s="352"/>
      <c r="Q540" s="365"/>
      <c r="R540" s="365"/>
      <c r="S540" s="302"/>
      <c r="T540" s="302"/>
      <c r="U540" s="302"/>
      <c r="V540" s="302"/>
      <c r="W540" s="302"/>
      <c r="X540" s="302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  <c r="AX540" s="225"/>
      <c r="AY540" s="225"/>
      <c r="AZ540" s="225"/>
      <c r="BA540" s="225"/>
      <c r="BB540" s="225"/>
      <c r="BC540" s="225"/>
      <c r="BD540" s="225"/>
      <c r="BE540" s="225"/>
      <c r="BF540" s="225"/>
      <c r="BG540" s="225"/>
      <c r="BH540" s="225"/>
      <c r="BI540" s="225"/>
      <c r="BJ540" s="225"/>
    </row>
    <row r="541" spans="2:62" ht="15.75" customHeight="1">
      <c r="B541" s="7"/>
      <c r="C541" s="302"/>
      <c r="D541" s="302"/>
      <c r="E541" s="353"/>
      <c r="F541" s="302"/>
      <c r="G541" s="302"/>
      <c r="H541" s="353"/>
      <c r="I541" s="302"/>
      <c r="J541" s="363"/>
      <c r="K541" s="353"/>
      <c r="L541" s="363"/>
      <c r="M541" s="353"/>
      <c r="N541" s="363"/>
      <c r="O541" s="353"/>
      <c r="P541" s="302"/>
      <c r="Q541" s="302"/>
      <c r="R541" s="353"/>
      <c r="S541" s="302"/>
      <c r="T541" s="302"/>
      <c r="U541" s="302"/>
      <c r="V541" s="302"/>
      <c r="W541" s="302"/>
      <c r="X541" s="302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225"/>
      <c r="AL541" s="225"/>
      <c r="AM541" s="225"/>
      <c r="AN541" s="225"/>
      <c r="AO541" s="225"/>
      <c r="AP541" s="225"/>
      <c r="AQ541" s="225"/>
      <c r="AR541" s="225"/>
      <c r="AS541" s="225"/>
      <c r="AT541" s="225"/>
      <c r="AU541" s="225"/>
      <c r="AV541" s="225"/>
      <c r="AW541" s="225"/>
      <c r="AX541" s="225"/>
      <c r="AY541" s="225"/>
      <c r="AZ541" s="225"/>
      <c r="BA541" s="225"/>
      <c r="BB541" s="225"/>
      <c r="BC541" s="225"/>
      <c r="BD541" s="225"/>
      <c r="BE541" s="225"/>
      <c r="BF541" s="225"/>
      <c r="BG541" s="225"/>
      <c r="BH541" s="225"/>
      <c r="BI541" s="225"/>
      <c r="BJ541" s="225"/>
    </row>
    <row r="542" spans="2:62" ht="15.75" customHeight="1">
      <c r="B542" s="7"/>
      <c r="C542" s="352"/>
      <c r="D542" s="302"/>
      <c r="E542" s="353"/>
      <c r="F542" s="302"/>
      <c r="G542" s="302"/>
      <c r="H542" s="353"/>
      <c r="I542" s="302"/>
      <c r="J542" s="363"/>
      <c r="K542" s="353"/>
      <c r="L542" s="363"/>
      <c r="M542" s="353"/>
      <c r="N542" s="363"/>
      <c r="O542" s="353"/>
      <c r="P542" s="302"/>
      <c r="Q542" s="302"/>
      <c r="R542" s="353"/>
      <c r="S542" s="302"/>
      <c r="T542" s="302"/>
      <c r="U542" s="302"/>
      <c r="V542" s="302"/>
      <c r="W542" s="302"/>
      <c r="X542" s="302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  <c r="AS542" s="225"/>
      <c r="AT542" s="225"/>
      <c r="AU542" s="225"/>
      <c r="AV542" s="225"/>
      <c r="AW542" s="225"/>
      <c r="AX542" s="225"/>
      <c r="AY542" s="225"/>
      <c r="AZ542" s="225"/>
      <c r="BA542" s="225"/>
      <c r="BB542" s="225"/>
      <c r="BC542" s="225"/>
      <c r="BD542" s="225"/>
      <c r="BE542" s="225"/>
      <c r="BF542" s="225"/>
      <c r="BG542" s="225"/>
      <c r="BH542" s="225"/>
      <c r="BI542" s="225"/>
      <c r="BJ542" s="225"/>
    </row>
    <row r="543" spans="2:62" ht="15.75" customHeight="1">
      <c r="B543" s="7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  <c r="AS543" s="225"/>
      <c r="AT543" s="225"/>
      <c r="AU543" s="225"/>
      <c r="AV543" s="225"/>
      <c r="AW543" s="225"/>
      <c r="AX543" s="225"/>
      <c r="AY543" s="225"/>
      <c r="AZ543" s="225"/>
      <c r="BA543" s="225"/>
      <c r="BB543" s="225"/>
      <c r="BC543" s="225"/>
      <c r="BD543" s="225"/>
      <c r="BE543" s="225"/>
      <c r="BF543" s="225"/>
      <c r="BG543" s="225"/>
      <c r="BH543" s="225"/>
      <c r="BI543" s="225"/>
      <c r="BJ543" s="225"/>
    </row>
    <row r="544" spans="2:62" ht="15.75" customHeight="1">
      <c r="B544" s="7"/>
      <c r="C544" s="302"/>
      <c r="D544" s="302"/>
      <c r="E544" s="353"/>
      <c r="F544" s="363"/>
      <c r="G544" s="302"/>
      <c r="H544" s="353"/>
      <c r="I544" s="363"/>
      <c r="J544" s="363"/>
      <c r="K544" s="302"/>
      <c r="L544" s="363"/>
      <c r="M544" s="302"/>
      <c r="N544" s="363"/>
      <c r="O544" s="302"/>
      <c r="P544" s="363"/>
      <c r="Q544" s="353"/>
      <c r="R544" s="353"/>
      <c r="S544" s="302"/>
      <c r="T544" s="302"/>
      <c r="U544" s="302"/>
      <c r="V544" s="302"/>
      <c r="W544" s="302"/>
      <c r="X544" s="302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225"/>
      <c r="AL544" s="225"/>
      <c r="AM544" s="225"/>
      <c r="AN544" s="225"/>
      <c r="AO544" s="225"/>
      <c r="AP544" s="225"/>
      <c r="AQ544" s="225"/>
      <c r="AR544" s="225"/>
      <c r="AS544" s="225"/>
      <c r="AT544" s="225"/>
      <c r="AU544" s="225"/>
      <c r="AV544" s="225"/>
      <c r="AW544" s="225"/>
      <c r="AX544" s="225"/>
      <c r="AY544" s="225"/>
      <c r="AZ544" s="225"/>
      <c r="BA544" s="225"/>
      <c r="BB544" s="225"/>
      <c r="BC544" s="225"/>
      <c r="BD544" s="225"/>
      <c r="BE544" s="225"/>
      <c r="BF544" s="225"/>
      <c r="BG544" s="225"/>
      <c r="BH544" s="225"/>
      <c r="BI544" s="225"/>
      <c r="BJ544" s="225"/>
    </row>
    <row r="545" spans="2:62" ht="15.75" customHeight="1">
      <c r="B545" s="7"/>
      <c r="C545" s="302"/>
      <c r="D545" s="302"/>
      <c r="E545" s="353"/>
      <c r="F545" s="364"/>
      <c r="G545" s="302"/>
      <c r="H545" s="353"/>
      <c r="I545" s="364"/>
      <c r="J545" s="363"/>
      <c r="K545" s="353"/>
      <c r="L545" s="363"/>
      <c r="M545" s="353"/>
      <c r="N545" s="363"/>
      <c r="O545" s="353"/>
      <c r="P545" s="302"/>
      <c r="Q545" s="363"/>
      <c r="R545" s="363"/>
      <c r="S545" s="353"/>
      <c r="T545" s="302"/>
      <c r="U545" s="302"/>
      <c r="V545" s="302"/>
      <c r="W545" s="302"/>
      <c r="X545" s="302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225"/>
      <c r="AL545" s="225"/>
      <c r="AM545" s="225"/>
      <c r="AN545" s="225"/>
      <c r="AO545" s="225"/>
      <c r="AP545" s="225"/>
      <c r="AQ545" s="225"/>
      <c r="AR545" s="225"/>
      <c r="AS545" s="225"/>
      <c r="AT545" s="225"/>
      <c r="AU545" s="225"/>
      <c r="AV545" s="225"/>
      <c r="AW545" s="225"/>
      <c r="AX545" s="225"/>
      <c r="AY545" s="225"/>
      <c r="AZ545" s="225"/>
      <c r="BA545" s="225"/>
      <c r="BB545" s="225"/>
      <c r="BC545" s="225"/>
      <c r="BD545" s="225"/>
      <c r="BE545" s="225"/>
      <c r="BF545" s="225"/>
      <c r="BG545" s="225"/>
      <c r="BH545" s="225"/>
      <c r="BI545" s="225"/>
      <c r="BJ545" s="225"/>
    </row>
    <row r="546" spans="2:62" ht="15.75" customHeight="1">
      <c r="B546" s="7"/>
      <c r="C546" s="302"/>
      <c r="D546" s="302"/>
      <c r="E546" s="353"/>
      <c r="F546" s="364"/>
      <c r="G546" s="302"/>
      <c r="H546" s="353"/>
      <c r="I546" s="364"/>
      <c r="J546" s="363"/>
      <c r="K546" s="353"/>
      <c r="L546" s="363"/>
      <c r="M546" s="353"/>
      <c r="N546" s="363"/>
      <c r="O546" s="353"/>
      <c r="P546" s="302"/>
      <c r="Q546" s="302"/>
      <c r="R546" s="353"/>
      <c r="S546" s="353"/>
      <c r="T546" s="302"/>
      <c r="U546" s="302"/>
      <c r="V546" s="302"/>
      <c r="W546" s="302"/>
      <c r="X546" s="302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  <c r="AS546" s="225"/>
      <c r="AT546" s="225"/>
      <c r="AU546" s="225"/>
      <c r="AV546" s="225"/>
      <c r="AW546" s="225"/>
      <c r="AX546" s="225"/>
      <c r="AY546" s="225"/>
      <c r="AZ546" s="225"/>
      <c r="BA546" s="225"/>
      <c r="BB546" s="225"/>
      <c r="BC546" s="225"/>
      <c r="BD546" s="225"/>
      <c r="BE546" s="225"/>
      <c r="BF546" s="225"/>
      <c r="BG546" s="225"/>
      <c r="BH546" s="225"/>
      <c r="BI546" s="225"/>
      <c r="BJ546" s="225"/>
    </row>
    <row r="547" spans="2:62" ht="15.75" customHeight="1">
      <c r="B547" s="7"/>
      <c r="C547" s="302"/>
      <c r="D547" s="302"/>
      <c r="E547" s="353"/>
      <c r="F547" s="363"/>
      <c r="G547" s="302"/>
      <c r="H547" s="353"/>
      <c r="I547" s="363"/>
      <c r="J547" s="363"/>
      <c r="K547" s="353"/>
      <c r="L547" s="363"/>
      <c r="M547" s="353"/>
      <c r="N547" s="363"/>
      <c r="O547" s="353"/>
      <c r="P547" s="302"/>
      <c r="Q547" s="302"/>
      <c r="R547" s="353"/>
      <c r="S547" s="302"/>
      <c r="T547" s="302"/>
      <c r="U547" s="302"/>
      <c r="V547" s="302"/>
      <c r="W547" s="302"/>
      <c r="X547" s="302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  <c r="AS547" s="225"/>
      <c r="AT547" s="225"/>
      <c r="AU547" s="225"/>
      <c r="AV547" s="225"/>
      <c r="AW547" s="225"/>
      <c r="AX547" s="225"/>
      <c r="AY547" s="225"/>
      <c r="AZ547" s="225"/>
      <c r="BA547" s="225"/>
      <c r="BB547" s="225"/>
      <c r="BC547" s="225"/>
      <c r="BD547" s="225"/>
      <c r="BE547" s="225"/>
      <c r="BF547" s="225"/>
      <c r="BG547" s="225"/>
      <c r="BH547" s="225"/>
      <c r="BI547" s="225"/>
      <c r="BJ547" s="225"/>
    </row>
    <row r="548" spans="2:62" ht="15.75" customHeight="1">
      <c r="B548" s="7"/>
      <c r="C548" s="352"/>
      <c r="D548" s="352"/>
      <c r="E548" s="355"/>
      <c r="F548" s="365"/>
      <c r="G548" s="352"/>
      <c r="H548" s="355"/>
      <c r="I548" s="365"/>
      <c r="J548" s="365"/>
      <c r="K548" s="355"/>
      <c r="L548" s="365"/>
      <c r="M548" s="355"/>
      <c r="N548" s="365"/>
      <c r="O548" s="355"/>
      <c r="P548" s="365"/>
      <c r="Q548" s="352"/>
      <c r="R548" s="355"/>
      <c r="S548" s="352"/>
      <c r="T548" s="302"/>
      <c r="U548" s="302"/>
      <c r="V548" s="302"/>
      <c r="W548" s="302"/>
      <c r="X548" s="302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225"/>
      <c r="AL548" s="225"/>
      <c r="AM548" s="225"/>
      <c r="AN548" s="225"/>
      <c r="AO548" s="225"/>
      <c r="AP548" s="225"/>
      <c r="AQ548" s="225"/>
      <c r="AR548" s="225"/>
      <c r="AS548" s="225"/>
      <c r="AT548" s="225"/>
      <c r="AU548" s="225"/>
      <c r="AV548" s="225"/>
      <c r="AW548" s="225"/>
      <c r="AX548" s="225"/>
      <c r="AY548" s="225"/>
      <c r="AZ548" s="225"/>
      <c r="BA548" s="225"/>
      <c r="BB548" s="225"/>
      <c r="BC548" s="225"/>
      <c r="BD548" s="225"/>
      <c r="BE548" s="225"/>
      <c r="BF548" s="225"/>
      <c r="BG548" s="225"/>
      <c r="BH548" s="225"/>
      <c r="BI548" s="225"/>
      <c r="BJ548" s="225"/>
    </row>
    <row r="549" spans="2:62" ht="15.75" customHeight="1">
      <c r="B549" s="7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52"/>
      <c r="Q549" s="365"/>
      <c r="R549" s="365"/>
      <c r="S549" s="302"/>
      <c r="T549" s="302"/>
      <c r="U549" s="302"/>
      <c r="V549" s="302"/>
      <c r="W549" s="302"/>
      <c r="X549" s="302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225"/>
      <c r="AL549" s="225"/>
      <c r="AM549" s="225"/>
      <c r="AN549" s="225"/>
      <c r="AO549" s="225"/>
      <c r="AP549" s="225"/>
      <c r="AQ549" s="225"/>
      <c r="AR549" s="225"/>
      <c r="AS549" s="225"/>
      <c r="AT549" s="225"/>
      <c r="AU549" s="225"/>
      <c r="AV549" s="225"/>
      <c r="AW549" s="225"/>
      <c r="AX549" s="225"/>
      <c r="AY549" s="225"/>
      <c r="AZ549" s="225"/>
      <c r="BA549" s="225"/>
      <c r="BB549" s="225"/>
      <c r="BC549" s="225"/>
      <c r="BD549" s="225"/>
      <c r="BE549" s="225"/>
      <c r="BF549" s="225"/>
      <c r="BG549" s="225"/>
      <c r="BH549" s="225"/>
      <c r="BI549" s="225"/>
      <c r="BJ549" s="225"/>
    </row>
    <row r="550" spans="2:62" ht="15.75" customHeight="1">
      <c r="B550" s="7"/>
      <c r="C550" s="302"/>
      <c r="D550" s="302"/>
      <c r="E550" s="353"/>
      <c r="F550" s="363"/>
      <c r="G550" s="302"/>
      <c r="H550" s="353"/>
      <c r="I550" s="363"/>
      <c r="J550" s="363"/>
      <c r="K550" s="353"/>
      <c r="L550" s="363"/>
      <c r="M550" s="353"/>
      <c r="N550" s="363"/>
      <c r="O550" s="353"/>
      <c r="P550" s="302"/>
      <c r="Q550" s="302"/>
      <c r="R550" s="353"/>
      <c r="S550" s="302"/>
      <c r="T550" s="302"/>
      <c r="U550" s="302"/>
      <c r="V550" s="302"/>
      <c r="W550" s="302"/>
      <c r="X550" s="302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  <c r="AS550" s="225"/>
      <c r="AT550" s="225"/>
      <c r="AU550" s="225"/>
      <c r="AV550" s="225"/>
      <c r="AW550" s="225"/>
      <c r="AX550" s="225"/>
      <c r="AY550" s="225"/>
      <c r="AZ550" s="225"/>
      <c r="BA550" s="225"/>
      <c r="BB550" s="225"/>
      <c r="BC550" s="225"/>
      <c r="BD550" s="225"/>
      <c r="BE550" s="225"/>
      <c r="BF550" s="225"/>
      <c r="BG550" s="225"/>
      <c r="BH550" s="225"/>
      <c r="BI550" s="225"/>
      <c r="BJ550" s="225"/>
    </row>
    <row r="551" spans="2:62" ht="15.75" customHeight="1">
      <c r="B551" s="7"/>
      <c r="C551" s="352"/>
      <c r="D551" s="302"/>
      <c r="E551" s="353"/>
      <c r="F551" s="363"/>
      <c r="G551" s="302"/>
      <c r="H551" s="353"/>
      <c r="I551" s="363"/>
      <c r="J551" s="363"/>
      <c r="K551" s="353"/>
      <c r="L551" s="363"/>
      <c r="M551" s="353"/>
      <c r="N551" s="363"/>
      <c r="O551" s="353"/>
      <c r="P551" s="302"/>
      <c r="Q551" s="302"/>
      <c r="R551" s="353"/>
      <c r="S551" s="302"/>
      <c r="T551" s="302"/>
      <c r="U551" s="302"/>
      <c r="V551" s="302"/>
      <c r="W551" s="302"/>
      <c r="X551" s="302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  <c r="AS551" s="225"/>
      <c r="AT551" s="225"/>
      <c r="AU551" s="225"/>
      <c r="AV551" s="225"/>
      <c r="AW551" s="225"/>
      <c r="AX551" s="225"/>
      <c r="AY551" s="225"/>
      <c r="AZ551" s="225"/>
      <c r="BA551" s="225"/>
      <c r="BB551" s="225"/>
      <c r="BC551" s="225"/>
      <c r="BD551" s="225"/>
      <c r="BE551" s="225"/>
      <c r="BF551" s="225"/>
      <c r="BG551" s="225"/>
      <c r="BH551" s="225"/>
      <c r="BI551" s="225"/>
      <c r="BJ551" s="225"/>
    </row>
    <row r="552" spans="2:62" ht="15.75" customHeight="1">
      <c r="B552" s="7"/>
      <c r="C552" s="302"/>
      <c r="D552" s="302"/>
      <c r="E552" s="353"/>
      <c r="F552" s="363"/>
      <c r="G552" s="302"/>
      <c r="H552" s="353"/>
      <c r="I552" s="363"/>
      <c r="J552" s="363"/>
      <c r="K552" s="353"/>
      <c r="L552" s="363"/>
      <c r="M552" s="353"/>
      <c r="N552" s="363"/>
      <c r="O552" s="353"/>
      <c r="P552" s="302"/>
      <c r="Q552" s="302"/>
      <c r="R552" s="353"/>
      <c r="S552" s="302"/>
      <c r="T552" s="302"/>
      <c r="U552" s="302"/>
      <c r="V552" s="302"/>
      <c r="W552" s="302"/>
      <c r="X552" s="302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225"/>
      <c r="AL552" s="225"/>
      <c r="AM552" s="225"/>
      <c r="AN552" s="225"/>
      <c r="AO552" s="225"/>
      <c r="AP552" s="225"/>
      <c r="AQ552" s="225"/>
      <c r="AR552" s="225"/>
      <c r="AS552" s="225"/>
      <c r="AT552" s="225"/>
      <c r="AU552" s="225"/>
      <c r="AV552" s="225"/>
      <c r="AW552" s="225"/>
      <c r="AX552" s="225"/>
      <c r="AY552" s="225"/>
      <c r="AZ552" s="225"/>
      <c r="BA552" s="225"/>
      <c r="BB552" s="225"/>
      <c r="BC552" s="225"/>
      <c r="BD552" s="225"/>
      <c r="BE552" s="225"/>
      <c r="BF552" s="225"/>
      <c r="BG552" s="225"/>
      <c r="BH552" s="225"/>
      <c r="BI552" s="225"/>
      <c r="BJ552" s="225"/>
    </row>
    <row r="553" spans="2:62" ht="15.75" customHeight="1">
      <c r="B553" s="7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63"/>
      <c r="Q553" s="353"/>
      <c r="R553" s="302"/>
      <c r="S553" s="353"/>
      <c r="T553" s="302"/>
      <c r="U553" s="302"/>
      <c r="V553" s="302"/>
      <c r="W553" s="302"/>
      <c r="X553" s="302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  <c r="AS553" s="225"/>
      <c r="AT553" s="225"/>
      <c r="AU553" s="225"/>
      <c r="AV553" s="225"/>
      <c r="AW553" s="225"/>
      <c r="AX553" s="225"/>
      <c r="AY553" s="225"/>
      <c r="AZ553" s="225"/>
      <c r="BA553" s="225"/>
      <c r="BB553" s="225"/>
      <c r="BC553" s="225"/>
      <c r="BD553" s="225"/>
      <c r="BE553" s="225"/>
      <c r="BF553" s="225"/>
      <c r="BG553" s="225"/>
      <c r="BH553" s="225"/>
      <c r="BI553" s="225"/>
      <c r="BJ553" s="225"/>
    </row>
    <row r="554" spans="2:62" ht="15.75" customHeight="1">
      <c r="B554" s="7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63"/>
      <c r="Q554" s="353"/>
      <c r="R554" s="302"/>
      <c r="S554" s="353"/>
      <c r="T554" s="302"/>
      <c r="U554" s="302"/>
      <c r="V554" s="302"/>
      <c r="W554" s="302"/>
      <c r="X554" s="302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225"/>
      <c r="AL554" s="225"/>
      <c r="AM554" s="225"/>
      <c r="AN554" s="225"/>
      <c r="AO554" s="225"/>
      <c r="AP554" s="225"/>
      <c r="AQ554" s="225"/>
      <c r="AR554" s="225"/>
      <c r="AS554" s="225"/>
      <c r="AT554" s="225"/>
      <c r="AU554" s="225"/>
      <c r="AV554" s="225"/>
      <c r="AW554" s="225"/>
      <c r="AX554" s="225"/>
      <c r="AY554" s="225"/>
      <c r="AZ554" s="225"/>
      <c r="BA554" s="225"/>
      <c r="BB554" s="225"/>
      <c r="BC554" s="225"/>
      <c r="BD554" s="225"/>
      <c r="BE554" s="225"/>
      <c r="BF554" s="225"/>
      <c r="BG554" s="225"/>
      <c r="BH554" s="225"/>
      <c r="BI554" s="225"/>
      <c r="BJ554" s="225"/>
    </row>
    <row r="555" spans="2:62" ht="15.75" customHeight="1">
      <c r="B555" s="7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63"/>
      <c r="Q555" s="353"/>
      <c r="R555" s="302"/>
      <c r="S555" s="353"/>
      <c r="T555" s="302"/>
      <c r="U555" s="302"/>
      <c r="V555" s="302"/>
      <c r="W555" s="302"/>
      <c r="X555" s="302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  <c r="AS555" s="225"/>
      <c r="AT555" s="225"/>
      <c r="AU555" s="225"/>
      <c r="AV555" s="225"/>
      <c r="AW555" s="225"/>
      <c r="AX555" s="225"/>
      <c r="AY555" s="225"/>
      <c r="AZ555" s="225"/>
      <c r="BA555" s="225"/>
      <c r="BB555" s="225"/>
      <c r="BC555" s="225"/>
      <c r="BD555" s="225"/>
      <c r="BE555" s="225"/>
      <c r="BF555" s="225"/>
      <c r="BG555" s="225"/>
      <c r="BH555" s="225"/>
      <c r="BI555" s="225"/>
      <c r="BJ555" s="225"/>
    </row>
    <row r="556" spans="2:62" ht="15.75" customHeight="1">
      <c r="B556" s="7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63"/>
      <c r="Q556" s="353"/>
      <c r="R556" s="302"/>
      <c r="S556" s="353"/>
      <c r="T556" s="302"/>
      <c r="U556" s="302"/>
      <c r="V556" s="302"/>
      <c r="W556" s="302"/>
      <c r="X556" s="302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225"/>
      <c r="AL556" s="225"/>
      <c r="AM556" s="225"/>
      <c r="AN556" s="225"/>
      <c r="AO556" s="225"/>
      <c r="AP556" s="225"/>
      <c r="AQ556" s="225"/>
      <c r="AR556" s="225"/>
      <c r="AS556" s="225"/>
      <c r="AT556" s="225"/>
      <c r="AU556" s="225"/>
      <c r="AV556" s="225"/>
      <c r="AW556" s="225"/>
      <c r="AX556" s="225"/>
      <c r="AY556" s="225"/>
      <c r="AZ556" s="225"/>
      <c r="BA556" s="225"/>
      <c r="BB556" s="225"/>
      <c r="BC556" s="225"/>
      <c r="BD556" s="225"/>
      <c r="BE556" s="225"/>
      <c r="BF556" s="225"/>
      <c r="BG556" s="225"/>
      <c r="BH556" s="225"/>
      <c r="BI556" s="225"/>
      <c r="BJ556" s="225"/>
    </row>
    <row r="557" spans="2:62" ht="15.75" customHeight="1">
      <c r="B557" s="7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63"/>
      <c r="Q557" s="353"/>
      <c r="R557" s="302"/>
      <c r="S557" s="353"/>
      <c r="T557" s="302"/>
      <c r="U557" s="302"/>
      <c r="V557" s="302"/>
      <c r="W557" s="302"/>
      <c r="X557" s="302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  <c r="AS557" s="225"/>
      <c r="AT557" s="225"/>
      <c r="AU557" s="225"/>
      <c r="AV557" s="225"/>
      <c r="AW557" s="225"/>
      <c r="AX557" s="225"/>
      <c r="AY557" s="225"/>
      <c r="AZ557" s="225"/>
      <c r="BA557" s="225"/>
      <c r="BB557" s="225"/>
      <c r="BC557" s="225"/>
      <c r="BD557" s="225"/>
      <c r="BE557" s="225"/>
      <c r="BF557" s="225"/>
      <c r="BG557" s="225"/>
      <c r="BH557" s="225"/>
      <c r="BI557" s="225"/>
      <c r="BJ557" s="225"/>
    </row>
    <row r="558" spans="2:62" ht="15.75" customHeight="1">
      <c r="B558" s="7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63"/>
      <c r="Q558" s="353"/>
      <c r="R558" s="302"/>
      <c r="S558" s="353"/>
      <c r="T558" s="302"/>
      <c r="U558" s="302"/>
      <c r="V558" s="302"/>
      <c r="W558" s="302"/>
      <c r="X558" s="302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  <c r="AS558" s="225"/>
      <c r="AT558" s="225"/>
      <c r="AU558" s="225"/>
      <c r="AV558" s="225"/>
      <c r="AW558" s="225"/>
      <c r="AX558" s="225"/>
      <c r="AY558" s="225"/>
      <c r="AZ558" s="225"/>
      <c r="BA558" s="225"/>
      <c r="BB558" s="225"/>
      <c r="BC558" s="225"/>
      <c r="BD558" s="225"/>
      <c r="BE558" s="225"/>
      <c r="BF558" s="225"/>
      <c r="BG558" s="225"/>
      <c r="BH558" s="225"/>
      <c r="BI558" s="225"/>
      <c r="BJ558" s="225"/>
    </row>
    <row r="559" spans="2:62" ht="15.75" customHeight="1">
      <c r="B559" s="7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63"/>
      <c r="Q559" s="353"/>
      <c r="R559" s="302"/>
      <c r="S559" s="353"/>
      <c r="T559" s="302"/>
      <c r="U559" s="302"/>
      <c r="V559" s="302"/>
      <c r="W559" s="302"/>
      <c r="X559" s="302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225"/>
      <c r="AL559" s="225"/>
      <c r="AM559" s="225"/>
      <c r="AN559" s="225"/>
      <c r="AO559" s="225"/>
      <c r="AP559" s="225"/>
      <c r="AQ559" s="225"/>
      <c r="AR559" s="225"/>
      <c r="AS559" s="225"/>
      <c r="AT559" s="225"/>
      <c r="AU559" s="225"/>
      <c r="AV559" s="225"/>
      <c r="AW559" s="225"/>
      <c r="AX559" s="225"/>
      <c r="AY559" s="225"/>
      <c r="AZ559" s="225"/>
      <c r="BA559" s="225"/>
      <c r="BB559" s="225"/>
      <c r="BC559" s="225"/>
      <c r="BD559" s="225"/>
      <c r="BE559" s="225"/>
      <c r="BF559" s="225"/>
      <c r="BG559" s="225"/>
      <c r="BH559" s="225"/>
      <c r="BI559" s="225"/>
      <c r="BJ559" s="225"/>
    </row>
    <row r="560" spans="2:62" ht="15.75" customHeight="1">
      <c r="B560" s="7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63"/>
      <c r="Q560" s="353"/>
      <c r="R560" s="302"/>
      <c r="S560" s="353"/>
      <c r="T560" s="302"/>
      <c r="U560" s="302"/>
      <c r="V560" s="302"/>
      <c r="W560" s="302"/>
      <c r="X560" s="302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  <c r="AS560" s="225"/>
      <c r="AT560" s="225"/>
      <c r="AU560" s="225"/>
      <c r="AV560" s="225"/>
      <c r="AW560" s="225"/>
      <c r="AX560" s="225"/>
      <c r="AY560" s="225"/>
      <c r="AZ560" s="225"/>
      <c r="BA560" s="225"/>
      <c r="BB560" s="225"/>
      <c r="BC560" s="225"/>
      <c r="BD560" s="225"/>
      <c r="BE560" s="225"/>
      <c r="BF560" s="225"/>
      <c r="BG560" s="225"/>
      <c r="BH560" s="225"/>
      <c r="BI560" s="225"/>
      <c r="BJ560" s="225"/>
    </row>
    <row r="561" spans="2:62" ht="15.75" customHeight="1">
      <c r="B561" s="7"/>
      <c r="C561" s="352"/>
      <c r="D561" s="352"/>
      <c r="E561" s="302"/>
      <c r="F561" s="302"/>
      <c r="G561" s="352"/>
      <c r="H561" s="302"/>
      <c r="I561" s="302"/>
      <c r="J561" s="302"/>
      <c r="K561" s="302"/>
      <c r="L561" s="302"/>
      <c r="M561" s="302"/>
      <c r="N561" s="302"/>
      <c r="O561" s="302"/>
      <c r="P561" s="365"/>
      <c r="Q561" s="355"/>
      <c r="R561" s="302"/>
      <c r="S561" s="355"/>
      <c r="T561" s="302"/>
      <c r="U561" s="302"/>
      <c r="V561" s="302"/>
      <c r="W561" s="302"/>
      <c r="X561" s="302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  <c r="AS561" s="225"/>
      <c r="AT561" s="225"/>
      <c r="AU561" s="225"/>
      <c r="AV561" s="225"/>
      <c r="AW561" s="225"/>
      <c r="AX561" s="225"/>
      <c r="AY561" s="225"/>
      <c r="AZ561" s="225"/>
      <c r="BA561" s="225"/>
      <c r="BB561" s="225"/>
      <c r="BC561" s="225"/>
      <c r="BD561" s="225"/>
      <c r="BE561" s="225"/>
      <c r="BF561" s="225"/>
      <c r="BG561" s="225"/>
      <c r="BH561" s="225"/>
      <c r="BI561" s="225"/>
      <c r="BJ561" s="225"/>
    </row>
    <row r="562" spans="2:62" ht="15.75" customHeight="1">
      <c r="B562" s="7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65"/>
      <c r="Q562" s="365"/>
      <c r="R562" s="302"/>
      <c r="S562" s="302"/>
      <c r="T562" s="302"/>
      <c r="U562" s="302"/>
      <c r="V562" s="302"/>
      <c r="W562" s="302"/>
      <c r="X562" s="302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  <c r="AS562" s="225"/>
      <c r="AT562" s="225"/>
      <c r="AU562" s="225"/>
      <c r="AV562" s="225"/>
      <c r="AW562" s="225"/>
      <c r="AX562" s="225"/>
      <c r="AY562" s="225"/>
      <c r="AZ562" s="225"/>
      <c r="BA562" s="225"/>
      <c r="BB562" s="225"/>
      <c r="BC562" s="225"/>
      <c r="BD562" s="225"/>
      <c r="BE562" s="225"/>
      <c r="BF562" s="225"/>
      <c r="BG562" s="225"/>
      <c r="BH562" s="225"/>
      <c r="BI562" s="225"/>
      <c r="BJ562" s="225"/>
    </row>
    <row r="563" spans="2:62" ht="15.75" customHeight="1">
      <c r="B563" s="7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63"/>
      <c r="Q563" s="353"/>
      <c r="R563" s="302"/>
      <c r="S563" s="353"/>
      <c r="T563" s="302"/>
      <c r="U563" s="302"/>
      <c r="V563" s="302"/>
      <c r="W563" s="302"/>
      <c r="X563" s="302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225"/>
      <c r="AL563" s="225"/>
      <c r="AM563" s="225"/>
      <c r="AN563" s="225"/>
      <c r="AO563" s="225"/>
      <c r="AP563" s="225"/>
      <c r="AQ563" s="225"/>
      <c r="AR563" s="225"/>
      <c r="AS563" s="225"/>
      <c r="AT563" s="225"/>
      <c r="AU563" s="225"/>
      <c r="AV563" s="225"/>
      <c r="AW563" s="225"/>
      <c r="AX563" s="225"/>
      <c r="AY563" s="225"/>
      <c r="AZ563" s="225"/>
      <c r="BA563" s="225"/>
      <c r="BB563" s="225"/>
      <c r="BC563" s="225"/>
      <c r="BD563" s="225"/>
      <c r="BE563" s="225"/>
      <c r="BF563" s="225"/>
      <c r="BG563" s="225"/>
      <c r="BH563" s="225"/>
      <c r="BI563" s="225"/>
      <c r="BJ563" s="225"/>
    </row>
    <row r="564" spans="2:62" ht="15.75" customHeight="1">
      <c r="B564" s="7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63"/>
      <c r="Q564" s="353"/>
      <c r="R564" s="302"/>
      <c r="S564" s="353"/>
      <c r="T564" s="302"/>
      <c r="U564" s="302"/>
      <c r="V564" s="302"/>
      <c r="W564" s="302"/>
      <c r="X564" s="302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  <c r="AS564" s="225"/>
      <c r="AT564" s="225"/>
      <c r="AU564" s="225"/>
      <c r="AV564" s="225"/>
      <c r="AW564" s="225"/>
      <c r="AX564" s="225"/>
      <c r="AY564" s="225"/>
      <c r="AZ564" s="225"/>
      <c r="BA564" s="225"/>
      <c r="BB564" s="225"/>
      <c r="BC564" s="225"/>
      <c r="BD564" s="225"/>
      <c r="BE564" s="225"/>
      <c r="BF564" s="225"/>
      <c r="BG564" s="225"/>
      <c r="BH564" s="225"/>
      <c r="BI564" s="225"/>
      <c r="BJ564" s="225"/>
    </row>
    <row r="565" spans="2:62" ht="15.75" customHeight="1">
      <c r="B565" s="7"/>
      <c r="C565" s="35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65"/>
      <c r="Q565" s="355"/>
      <c r="R565" s="302"/>
      <c r="S565" s="355"/>
      <c r="T565" s="302"/>
      <c r="U565" s="302"/>
      <c r="V565" s="302"/>
      <c r="W565" s="302"/>
      <c r="X565" s="302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  <c r="AS565" s="225"/>
      <c r="AT565" s="225"/>
      <c r="AU565" s="225"/>
      <c r="AV565" s="225"/>
      <c r="AW565" s="225"/>
      <c r="AX565" s="225"/>
      <c r="AY565" s="225"/>
      <c r="AZ565" s="225"/>
      <c r="BA565" s="225"/>
      <c r="BB565" s="225"/>
      <c r="BC565" s="225"/>
      <c r="BD565" s="225"/>
      <c r="BE565" s="225"/>
      <c r="BF565" s="225"/>
      <c r="BG565" s="225"/>
      <c r="BH565" s="225"/>
      <c r="BI565" s="225"/>
      <c r="BJ565" s="225"/>
    </row>
    <row r="566" spans="2:62" ht="15.75" customHeight="1">
      <c r="B566" s="7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65"/>
      <c r="Q566" s="365"/>
      <c r="R566" s="302"/>
      <c r="S566" s="302"/>
      <c r="T566" s="302"/>
      <c r="U566" s="302"/>
      <c r="V566" s="302"/>
      <c r="W566" s="302"/>
      <c r="X566" s="302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  <c r="AS566" s="225"/>
      <c r="AT566" s="225"/>
      <c r="AU566" s="225"/>
      <c r="AV566" s="225"/>
      <c r="AW566" s="225"/>
      <c r="AX566" s="225"/>
      <c r="AY566" s="225"/>
      <c r="AZ566" s="225"/>
      <c r="BA566" s="225"/>
      <c r="BB566" s="225"/>
      <c r="BC566" s="225"/>
      <c r="BD566" s="225"/>
      <c r="BE566" s="225"/>
      <c r="BF566" s="225"/>
      <c r="BG566" s="225"/>
      <c r="BH566" s="225"/>
      <c r="BI566" s="225"/>
      <c r="BJ566" s="225"/>
    </row>
    <row r="567" spans="2:62" ht="15.75" customHeight="1">
      <c r="B567" s="7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63"/>
      <c r="Q567" s="353"/>
      <c r="R567" s="302"/>
      <c r="S567" s="353"/>
      <c r="T567" s="302"/>
      <c r="U567" s="302"/>
      <c r="V567" s="302"/>
      <c r="W567" s="302"/>
      <c r="X567" s="302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  <c r="AS567" s="225"/>
      <c r="AT567" s="225"/>
      <c r="AU567" s="225"/>
      <c r="AV567" s="225"/>
      <c r="AW567" s="225"/>
      <c r="AX567" s="225"/>
      <c r="AY567" s="225"/>
      <c r="AZ567" s="225"/>
      <c r="BA567" s="225"/>
      <c r="BB567" s="225"/>
      <c r="BC567" s="225"/>
      <c r="BD567" s="225"/>
      <c r="BE567" s="225"/>
      <c r="BF567" s="225"/>
      <c r="BG567" s="225"/>
      <c r="BH567" s="225"/>
      <c r="BI567" s="225"/>
      <c r="BJ567" s="225"/>
    </row>
    <row r="568" spans="2:62" ht="15.75" customHeight="1">
      <c r="B568" s="7"/>
      <c r="C568" s="352"/>
      <c r="D568" s="352"/>
      <c r="E568" s="302"/>
      <c r="F568" s="302"/>
      <c r="G568" s="352"/>
      <c r="H568" s="302"/>
      <c r="I568" s="302"/>
      <c r="J568" s="302"/>
      <c r="K568" s="302"/>
      <c r="L568" s="302"/>
      <c r="M568" s="302"/>
      <c r="N568" s="302"/>
      <c r="O568" s="302"/>
      <c r="P568" s="365"/>
      <c r="Q568" s="355"/>
      <c r="R568" s="302"/>
      <c r="S568" s="355"/>
      <c r="T568" s="302"/>
      <c r="U568" s="302"/>
      <c r="V568" s="302"/>
      <c r="W568" s="302"/>
      <c r="X568" s="302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  <c r="AS568" s="225"/>
      <c r="AT568" s="225"/>
      <c r="AU568" s="225"/>
      <c r="AV568" s="225"/>
      <c r="AW568" s="225"/>
      <c r="AX568" s="225"/>
      <c r="AY568" s="225"/>
      <c r="AZ568" s="225"/>
      <c r="BA568" s="225"/>
      <c r="BB568" s="225"/>
      <c r="BC568" s="225"/>
      <c r="BD568" s="225"/>
      <c r="BE568" s="225"/>
      <c r="BF568" s="225"/>
      <c r="BG568" s="225"/>
      <c r="BH568" s="225"/>
      <c r="BI568" s="225"/>
      <c r="BJ568" s="225"/>
    </row>
    <row r="569" spans="2:62" ht="15.75" customHeight="1">
      <c r="B569" s="7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65"/>
      <c r="Q569" s="365"/>
      <c r="R569" s="302"/>
      <c r="S569" s="302"/>
      <c r="T569" s="302"/>
      <c r="U569" s="302"/>
      <c r="V569" s="302"/>
      <c r="W569" s="302"/>
      <c r="X569" s="302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225"/>
      <c r="AL569" s="225"/>
      <c r="AM569" s="225"/>
      <c r="AN569" s="225"/>
      <c r="AO569" s="225"/>
      <c r="AP569" s="225"/>
      <c r="AQ569" s="225"/>
      <c r="AR569" s="225"/>
      <c r="AS569" s="225"/>
      <c r="AT569" s="225"/>
      <c r="AU569" s="225"/>
      <c r="AV569" s="225"/>
      <c r="AW569" s="225"/>
      <c r="AX569" s="225"/>
      <c r="AY569" s="225"/>
      <c r="AZ569" s="225"/>
      <c r="BA569" s="225"/>
      <c r="BB569" s="225"/>
      <c r="BC569" s="225"/>
      <c r="BD569" s="225"/>
      <c r="BE569" s="225"/>
      <c r="BF569" s="225"/>
      <c r="BG569" s="225"/>
      <c r="BH569" s="225"/>
      <c r="BI569" s="225"/>
      <c r="BJ569" s="225"/>
    </row>
    <row r="570" spans="2:62" ht="15.75" customHeight="1">
      <c r="B570" s="7"/>
      <c r="C570" s="302"/>
      <c r="D570" s="302"/>
      <c r="E570" s="353"/>
      <c r="F570" s="363"/>
      <c r="G570" s="302"/>
      <c r="H570" s="353"/>
      <c r="I570" s="363"/>
      <c r="J570" s="363"/>
      <c r="K570" s="353"/>
      <c r="L570" s="363"/>
      <c r="M570" s="353"/>
      <c r="N570" s="363"/>
      <c r="O570" s="353"/>
      <c r="P570" s="363"/>
      <c r="Q570" s="353"/>
      <c r="R570" s="353"/>
      <c r="S570" s="302"/>
      <c r="T570" s="302"/>
      <c r="U570" s="302"/>
      <c r="V570" s="302"/>
      <c r="W570" s="302"/>
      <c r="X570" s="302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225"/>
      <c r="AL570" s="225"/>
      <c r="AM570" s="225"/>
      <c r="AN570" s="225"/>
      <c r="AO570" s="225"/>
      <c r="AP570" s="225"/>
      <c r="AQ570" s="225"/>
      <c r="AR570" s="225"/>
      <c r="AS570" s="225"/>
      <c r="AT570" s="225"/>
      <c r="AU570" s="225"/>
      <c r="AV570" s="225"/>
      <c r="AW570" s="225"/>
      <c r="AX570" s="225"/>
      <c r="AY570" s="225"/>
      <c r="AZ570" s="225"/>
      <c r="BA570" s="225"/>
      <c r="BB570" s="225"/>
      <c r="BC570" s="225"/>
      <c r="BD570" s="225"/>
      <c r="BE570" s="225"/>
      <c r="BF570" s="225"/>
      <c r="BG570" s="225"/>
      <c r="BH570" s="225"/>
      <c r="BI570" s="225"/>
      <c r="BJ570" s="225"/>
    </row>
    <row r="571" spans="2:62" ht="15.75" customHeight="1">
      <c r="B571" s="7"/>
      <c r="C571" s="352"/>
      <c r="D571" s="352"/>
      <c r="E571" s="355"/>
      <c r="F571" s="365"/>
      <c r="G571" s="352"/>
      <c r="H571" s="355"/>
      <c r="I571" s="365"/>
      <c r="J571" s="365"/>
      <c r="K571" s="355"/>
      <c r="L571" s="365"/>
      <c r="M571" s="355"/>
      <c r="N571" s="365"/>
      <c r="O571" s="355"/>
      <c r="P571" s="365"/>
      <c r="Q571" s="355"/>
      <c r="R571" s="355"/>
      <c r="S571" s="355"/>
      <c r="T571" s="302"/>
      <c r="U571" s="302"/>
      <c r="V571" s="302"/>
      <c r="W571" s="302"/>
      <c r="X571" s="302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225"/>
      <c r="AL571" s="225"/>
      <c r="AM571" s="225"/>
      <c r="AN571" s="225"/>
      <c r="AO571" s="225"/>
      <c r="AP571" s="225"/>
      <c r="AQ571" s="225"/>
      <c r="AR571" s="225"/>
      <c r="AS571" s="225"/>
      <c r="AT571" s="225"/>
      <c r="AU571" s="225"/>
      <c r="AV571" s="225"/>
      <c r="AW571" s="225"/>
      <c r="AX571" s="225"/>
      <c r="AY571" s="225"/>
      <c r="AZ571" s="225"/>
      <c r="BA571" s="225"/>
      <c r="BB571" s="225"/>
      <c r="BC571" s="225"/>
      <c r="BD571" s="225"/>
      <c r="BE571" s="225"/>
      <c r="BF571" s="225"/>
      <c r="BG571" s="225"/>
      <c r="BH571" s="225"/>
      <c r="BI571" s="225"/>
      <c r="BJ571" s="225"/>
    </row>
    <row r="572" spans="2:62" ht="15.75" customHeight="1">
      <c r="B572" s="7"/>
      <c r="C572" s="302"/>
      <c r="D572" s="302"/>
      <c r="E572" s="353"/>
      <c r="F572" s="363"/>
      <c r="G572" s="302"/>
      <c r="H572" s="353"/>
      <c r="I572" s="363"/>
      <c r="J572" s="353"/>
      <c r="K572" s="363"/>
      <c r="L572" s="353"/>
      <c r="M572" s="302"/>
      <c r="N572" s="353"/>
      <c r="O572" s="363"/>
      <c r="P572" s="355"/>
      <c r="Q572" s="365"/>
      <c r="R572" s="365"/>
      <c r="S572" s="353"/>
      <c r="T572" s="302"/>
      <c r="U572" s="302"/>
      <c r="V572" s="302"/>
      <c r="W572" s="302"/>
      <c r="X572" s="302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  <c r="AS572" s="225"/>
      <c r="AT572" s="225"/>
      <c r="AU572" s="225"/>
      <c r="AV572" s="225"/>
      <c r="AW572" s="225"/>
      <c r="AX572" s="225"/>
      <c r="AY572" s="225"/>
      <c r="AZ572" s="225"/>
      <c r="BA572" s="225"/>
      <c r="BB572" s="225"/>
      <c r="BC572" s="225"/>
      <c r="BD572" s="225"/>
      <c r="BE572" s="225"/>
      <c r="BF572" s="225"/>
      <c r="BG572" s="225"/>
      <c r="BH572" s="225"/>
      <c r="BI572" s="225"/>
      <c r="BJ572" s="225"/>
    </row>
    <row r="573" spans="2:62" ht="15.75" customHeight="1">
      <c r="B573" s="7"/>
      <c r="C573" s="302"/>
      <c r="D573" s="302"/>
      <c r="E573" s="353"/>
      <c r="F573" s="363"/>
      <c r="G573" s="302"/>
      <c r="H573" s="353"/>
      <c r="I573" s="363"/>
      <c r="J573" s="353"/>
      <c r="K573" s="363"/>
      <c r="L573" s="353"/>
      <c r="M573" s="302"/>
      <c r="N573" s="353"/>
      <c r="O573" s="363"/>
      <c r="P573" s="353"/>
      <c r="Q573" s="302"/>
      <c r="R573" s="363"/>
      <c r="S573" s="353"/>
      <c r="T573" s="302"/>
      <c r="U573" s="302"/>
      <c r="V573" s="302"/>
      <c r="W573" s="302"/>
      <c r="X573" s="302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  <c r="AS573" s="225"/>
      <c r="AT573" s="225"/>
      <c r="AU573" s="225"/>
      <c r="AV573" s="225"/>
      <c r="AW573" s="225"/>
      <c r="AX573" s="225"/>
      <c r="AY573" s="225"/>
      <c r="AZ573" s="225"/>
      <c r="BA573" s="225"/>
      <c r="BB573" s="225"/>
      <c r="BC573" s="225"/>
      <c r="BD573" s="225"/>
      <c r="BE573" s="225"/>
      <c r="BF573" s="225"/>
      <c r="BG573" s="225"/>
      <c r="BH573" s="225"/>
      <c r="BI573" s="225"/>
      <c r="BJ573" s="225"/>
    </row>
    <row r="574" spans="2:62" ht="15.75" customHeight="1">
      <c r="B574" s="7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63"/>
      <c r="S574" s="353"/>
      <c r="T574" s="302"/>
      <c r="U574" s="302"/>
      <c r="V574" s="302"/>
      <c r="W574" s="302"/>
      <c r="X574" s="302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225"/>
      <c r="AL574" s="225"/>
      <c r="AM574" s="225"/>
      <c r="AN574" s="225"/>
      <c r="AO574" s="225"/>
      <c r="AP574" s="225"/>
      <c r="AQ574" s="225"/>
      <c r="AR574" s="225"/>
      <c r="AS574" s="225"/>
      <c r="AT574" s="225"/>
      <c r="AU574" s="225"/>
      <c r="AV574" s="225"/>
      <c r="AW574" s="225"/>
      <c r="AX574" s="225"/>
      <c r="AY574" s="225"/>
      <c r="AZ574" s="225"/>
      <c r="BA574" s="225"/>
      <c r="BB574" s="225"/>
      <c r="BC574" s="225"/>
      <c r="BD574" s="225"/>
      <c r="BE574" s="225"/>
      <c r="BF574" s="225"/>
      <c r="BG574" s="225"/>
      <c r="BH574" s="225"/>
      <c r="BI574" s="225"/>
      <c r="BJ574" s="225"/>
    </row>
    <row r="575" spans="2:62" ht="15.75" customHeight="1">
      <c r="B575" s="7"/>
      <c r="C575" s="302"/>
      <c r="D575" s="302"/>
      <c r="E575" s="353"/>
      <c r="F575" s="363"/>
      <c r="G575" s="302"/>
      <c r="H575" s="353"/>
      <c r="I575" s="363"/>
      <c r="J575" s="353"/>
      <c r="K575" s="363"/>
      <c r="L575" s="353"/>
      <c r="M575" s="302"/>
      <c r="N575" s="353"/>
      <c r="O575" s="363"/>
      <c r="P575" s="353"/>
      <c r="Q575" s="302"/>
      <c r="R575" s="363"/>
      <c r="S575" s="353"/>
      <c r="T575" s="302"/>
      <c r="U575" s="302"/>
      <c r="V575" s="302"/>
      <c r="W575" s="302"/>
      <c r="X575" s="302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  <c r="AS575" s="225"/>
      <c r="AT575" s="225"/>
      <c r="AU575" s="225"/>
      <c r="AV575" s="225"/>
      <c r="AW575" s="225"/>
      <c r="AX575" s="225"/>
      <c r="AY575" s="225"/>
      <c r="AZ575" s="225"/>
      <c r="BA575" s="225"/>
      <c r="BB575" s="225"/>
      <c r="BC575" s="225"/>
      <c r="BD575" s="225"/>
      <c r="BE575" s="225"/>
      <c r="BF575" s="225"/>
      <c r="BG575" s="225"/>
      <c r="BH575" s="225"/>
      <c r="BI575" s="225"/>
      <c r="BJ575" s="225"/>
    </row>
    <row r="576" spans="2:62" ht="15.75" customHeight="1">
      <c r="B576" s="7"/>
      <c r="C576" s="302"/>
      <c r="D576" s="302"/>
      <c r="E576" s="353"/>
      <c r="F576" s="363"/>
      <c r="G576" s="302"/>
      <c r="H576" s="353"/>
      <c r="I576" s="363"/>
      <c r="J576" s="353"/>
      <c r="K576" s="363"/>
      <c r="L576" s="353"/>
      <c r="M576" s="302"/>
      <c r="N576" s="353"/>
      <c r="O576" s="363"/>
      <c r="P576" s="353"/>
      <c r="Q576" s="302"/>
      <c r="R576" s="363"/>
      <c r="S576" s="353"/>
      <c r="T576" s="302"/>
      <c r="U576" s="302"/>
      <c r="V576" s="302"/>
      <c r="W576" s="302"/>
      <c r="X576" s="302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  <c r="AS576" s="225"/>
      <c r="AT576" s="225"/>
      <c r="AU576" s="225"/>
      <c r="AV576" s="225"/>
      <c r="AW576" s="225"/>
      <c r="AX576" s="225"/>
      <c r="AY576" s="225"/>
      <c r="AZ576" s="225"/>
      <c r="BA576" s="225"/>
      <c r="BB576" s="225"/>
      <c r="BC576" s="225"/>
      <c r="BD576" s="225"/>
      <c r="BE576" s="225"/>
      <c r="BF576" s="225"/>
      <c r="BG576" s="225"/>
      <c r="BH576" s="225"/>
      <c r="BI576" s="225"/>
      <c r="BJ576" s="225"/>
    </row>
    <row r="577" spans="2:62" ht="15.75" customHeight="1">
      <c r="B577" s="7"/>
      <c r="C577" s="302"/>
      <c r="D577" s="302"/>
      <c r="E577" s="353"/>
      <c r="F577" s="363"/>
      <c r="G577" s="302"/>
      <c r="H577" s="353"/>
      <c r="I577" s="363"/>
      <c r="J577" s="353"/>
      <c r="K577" s="363"/>
      <c r="L577" s="353"/>
      <c r="M577" s="302"/>
      <c r="N577" s="353"/>
      <c r="O577" s="363"/>
      <c r="P577" s="353"/>
      <c r="Q577" s="302"/>
      <c r="R577" s="363"/>
      <c r="S577" s="353"/>
      <c r="T577" s="302"/>
      <c r="U577" s="302"/>
      <c r="V577" s="302"/>
      <c r="W577" s="302"/>
      <c r="X577" s="302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225"/>
      <c r="AL577" s="225"/>
      <c r="AM577" s="225"/>
      <c r="AN577" s="225"/>
      <c r="AO577" s="225"/>
      <c r="AP577" s="225"/>
      <c r="AQ577" s="225"/>
      <c r="AR577" s="225"/>
      <c r="AS577" s="225"/>
      <c r="AT577" s="225"/>
      <c r="AU577" s="225"/>
      <c r="AV577" s="225"/>
      <c r="AW577" s="225"/>
      <c r="AX577" s="225"/>
      <c r="AY577" s="225"/>
      <c r="AZ577" s="225"/>
      <c r="BA577" s="225"/>
      <c r="BB577" s="225"/>
      <c r="BC577" s="225"/>
      <c r="BD577" s="225"/>
      <c r="BE577" s="225"/>
      <c r="BF577" s="225"/>
      <c r="BG577" s="225"/>
      <c r="BH577" s="225"/>
      <c r="BI577" s="225"/>
      <c r="BJ577" s="225"/>
    </row>
    <row r="578" spans="2:62" ht="15.75" customHeight="1">
      <c r="B578" s="7"/>
      <c r="C578" s="302"/>
      <c r="D578" s="302"/>
      <c r="E578" s="353"/>
      <c r="F578" s="363"/>
      <c r="G578" s="302"/>
      <c r="H578" s="353"/>
      <c r="I578" s="363"/>
      <c r="J578" s="353"/>
      <c r="K578" s="363"/>
      <c r="L578" s="353"/>
      <c r="M578" s="302"/>
      <c r="N578" s="353"/>
      <c r="O578" s="363"/>
      <c r="P578" s="353"/>
      <c r="Q578" s="302"/>
      <c r="R578" s="363"/>
      <c r="S578" s="353"/>
      <c r="T578" s="302"/>
      <c r="U578" s="302"/>
      <c r="V578" s="302"/>
      <c r="W578" s="302"/>
      <c r="X578" s="302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225"/>
      <c r="AL578" s="225"/>
      <c r="AM578" s="225"/>
      <c r="AN578" s="225"/>
      <c r="AO578" s="225"/>
      <c r="AP578" s="225"/>
      <c r="AQ578" s="225"/>
      <c r="AR578" s="225"/>
      <c r="AS578" s="225"/>
      <c r="AT578" s="225"/>
      <c r="AU578" s="225"/>
      <c r="AV578" s="225"/>
      <c r="AW578" s="225"/>
      <c r="AX578" s="225"/>
      <c r="AY578" s="225"/>
      <c r="AZ578" s="225"/>
      <c r="BA578" s="225"/>
      <c r="BB578" s="225"/>
      <c r="BC578" s="225"/>
      <c r="BD578" s="225"/>
      <c r="BE578" s="225"/>
      <c r="BF578" s="225"/>
      <c r="BG578" s="225"/>
      <c r="BH578" s="225"/>
      <c r="BI578" s="225"/>
      <c r="BJ578" s="225"/>
    </row>
    <row r="579" spans="2:62" ht="15.75" customHeight="1">
      <c r="B579" s="7"/>
      <c r="C579" s="302"/>
      <c r="D579" s="302"/>
      <c r="E579" s="353"/>
      <c r="F579" s="363"/>
      <c r="G579" s="302"/>
      <c r="H579" s="353"/>
      <c r="I579" s="363"/>
      <c r="J579" s="353"/>
      <c r="K579" s="363"/>
      <c r="L579" s="353"/>
      <c r="M579" s="302"/>
      <c r="N579" s="353"/>
      <c r="O579" s="363"/>
      <c r="P579" s="353"/>
      <c r="Q579" s="302"/>
      <c r="R579" s="363"/>
      <c r="S579" s="353"/>
      <c r="T579" s="302"/>
      <c r="U579" s="302"/>
      <c r="V579" s="302"/>
      <c r="W579" s="302"/>
      <c r="X579" s="302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  <c r="AS579" s="225"/>
      <c r="AT579" s="225"/>
      <c r="AU579" s="225"/>
      <c r="AV579" s="225"/>
      <c r="AW579" s="225"/>
      <c r="AX579" s="225"/>
      <c r="AY579" s="225"/>
      <c r="AZ579" s="225"/>
      <c r="BA579" s="225"/>
      <c r="BB579" s="225"/>
      <c r="BC579" s="225"/>
      <c r="BD579" s="225"/>
      <c r="BE579" s="225"/>
      <c r="BF579" s="225"/>
      <c r="BG579" s="225"/>
      <c r="BH579" s="225"/>
      <c r="BI579" s="225"/>
      <c r="BJ579" s="225"/>
    </row>
    <row r="580" spans="2:62" ht="15.75" customHeight="1">
      <c r="B580" s="7"/>
      <c r="C580" s="302"/>
      <c r="D580" s="302"/>
      <c r="E580" s="353"/>
      <c r="F580" s="363"/>
      <c r="G580" s="302"/>
      <c r="H580" s="353"/>
      <c r="I580" s="363"/>
      <c r="J580" s="353"/>
      <c r="K580" s="363"/>
      <c r="L580" s="353"/>
      <c r="M580" s="302"/>
      <c r="N580" s="353"/>
      <c r="O580" s="363"/>
      <c r="P580" s="353"/>
      <c r="Q580" s="302"/>
      <c r="R580" s="363"/>
      <c r="S580" s="353"/>
      <c r="T580" s="302"/>
      <c r="U580" s="302"/>
      <c r="V580" s="302"/>
      <c r="W580" s="302"/>
      <c r="X580" s="302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  <c r="AS580" s="225"/>
      <c r="AT580" s="225"/>
      <c r="AU580" s="225"/>
      <c r="AV580" s="225"/>
      <c r="AW580" s="225"/>
      <c r="AX580" s="225"/>
      <c r="AY580" s="225"/>
      <c r="AZ580" s="225"/>
      <c r="BA580" s="225"/>
      <c r="BB580" s="225"/>
      <c r="BC580" s="225"/>
      <c r="BD580" s="225"/>
      <c r="BE580" s="225"/>
      <c r="BF580" s="225"/>
      <c r="BG580" s="225"/>
      <c r="BH580" s="225"/>
      <c r="BI580" s="225"/>
      <c r="BJ580" s="225"/>
    </row>
    <row r="581" spans="2:62" ht="15.75" customHeight="1">
      <c r="B581" s="7"/>
      <c r="C581" s="302"/>
      <c r="D581" s="302"/>
      <c r="E581" s="353"/>
      <c r="F581" s="363"/>
      <c r="G581" s="302"/>
      <c r="H581" s="353"/>
      <c r="I581" s="363"/>
      <c r="J581" s="353"/>
      <c r="K581" s="363"/>
      <c r="L581" s="353"/>
      <c r="M581" s="302"/>
      <c r="N581" s="353"/>
      <c r="O581" s="363"/>
      <c r="P581" s="353"/>
      <c r="Q581" s="302"/>
      <c r="R581" s="363"/>
      <c r="S581" s="353"/>
      <c r="T581" s="302"/>
      <c r="U581" s="302"/>
      <c r="V581" s="302"/>
      <c r="W581" s="302"/>
      <c r="X581" s="302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225"/>
      <c r="AL581" s="225"/>
      <c r="AM581" s="225"/>
      <c r="AN581" s="225"/>
      <c r="AO581" s="225"/>
      <c r="AP581" s="225"/>
      <c r="AQ581" s="225"/>
      <c r="AR581" s="225"/>
      <c r="AS581" s="225"/>
      <c r="AT581" s="225"/>
      <c r="AU581" s="225"/>
      <c r="AV581" s="225"/>
      <c r="AW581" s="225"/>
      <c r="AX581" s="225"/>
      <c r="AY581" s="225"/>
      <c r="AZ581" s="225"/>
      <c r="BA581" s="225"/>
      <c r="BB581" s="225"/>
      <c r="BC581" s="225"/>
      <c r="BD581" s="225"/>
      <c r="BE581" s="225"/>
      <c r="BF581" s="225"/>
      <c r="BG581" s="225"/>
      <c r="BH581" s="225"/>
      <c r="BI581" s="225"/>
      <c r="BJ581" s="225"/>
    </row>
    <row r="582" spans="2:62" ht="15.75" customHeight="1">
      <c r="B582" s="7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  <c r="AS582" s="225"/>
      <c r="AT582" s="225"/>
      <c r="AU582" s="225"/>
      <c r="AV582" s="225"/>
      <c r="AW582" s="225"/>
      <c r="AX582" s="225"/>
      <c r="AY582" s="225"/>
      <c r="AZ582" s="225"/>
      <c r="BA582" s="225"/>
      <c r="BB582" s="225"/>
      <c r="BC582" s="225"/>
      <c r="BD582" s="225"/>
      <c r="BE582" s="225"/>
      <c r="BF582" s="225"/>
      <c r="BG582" s="225"/>
      <c r="BH582" s="225"/>
      <c r="BI582" s="225"/>
      <c r="BJ582" s="225"/>
    </row>
    <row r="583" spans="2:62" ht="15.75" customHeight="1">
      <c r="B583" s="7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  <c r="AS583" s="225"/>
      <c r="AT583" s="225"/>
      <c r="AU583" s="225"/>
      <c r="AV583" s="225"/>
      <c r="AW583" s="225"/>
      <c r="AX583" s="225"/>
      <c r="AY583" s="225"/>
      <c r="AZ583" s="225"/>
      <c r="BA583" s="225"/>
      <c r="BB583" s="225"/>
      <c r="BC583" s="225"/>
      <c r="BD583" s="225"/>
      <c r="BE583" s="225"/>
      <c r="BF583" s="225"/>
      <c r="BG583" s="225"/>
      <c r="BH583" s="225"/>
      <c r="BI583" s="225"/>
      <c r="BJ583" s="225"/>
    </row>
    <row r="584" spans="2:62" ht="15.75" customHeight="1">
      <c r="B584" s="7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225"/>
      <c r="AL584" s="225"/>
      <c r="AM584" s="225"/>
      <c r="AN584" s="225"/>
      <c r="AO584" s="225"/>
      <c r="AP584" s="225"/>
      <c r="AQ584" s="225"/>
      <c r="AR584" s="225"/>
      <c r="AS584" s="225"/>
      <c r="AT584" s="225"/>
      <c r="AU584" s="225"/>
      <c r="AV584" s="225"/>
      <c r="AW584" s="225"/>
      <c r="AX584" s="225"/>
      <c r="AY584" s="225"/>
      <c r="AZ584" s="225"/>
      <c r="BA584" s="225"/>
      <c r="BB584" s="225"/>
      <c r="BC584" s="225"/>
      <c r="BD584" s="225"/>
      <c r="BE584" s="225"/>
      <c r="BF584" s="225"/>
      <c r="BG584" s="225"/>
      <c r="BH584" s="225"/>
      <c r="BI584" s="225"/>
      <c r="BJ584" s="225"/>
    </row>
    <row r="585" spans="2:62" ht="15.75" customHeight="1">
      <c r="B585" s="7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  <c r="AS585" s="225"/>
      <c r="AT585" s="225"/>
      <c r="AU585" s="225"/>
      <c r="AV585" s="225"/>
      <c r="AW585" s="225"/>
      <c r="AX585" s="225"/>
      <c r="AY585" s="225"/>
      <c r="AZ585" s="225"/>
      <c r="BA585" s="225"/>
      <c r="BB585" s="225"/>
      <c r="BC585" s="225"/>
      <c r="BD585" s="225"/>
      <c r="BE585" s="225"/>
      <c r="BF585" s="225"/>
      <c r="BG585" s="225"/>
      <c r="BH585" s="225"/>
      <c r="BI585" s="225"/>
      <c r="BJ585" s="225"/>
    </row>
    <row r="586" spans="2:62" ht="15.75" customHeight="1">
      <c r="B586" s="7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  <c r="AS586" s="225"/>
      <c r="AT586" s="225"/>
      <c r="AU586" s="225"/>
      <c r="AV586" s="225"/>
      <c r="AW586" s="225"/>
      <c r="AX586" s="225"/>
      <c r="AY586" s="225"/>
      <c r="AZ586" s="225"/>
      <c r="BA586" s="225"/>
      <c r="BB586" s="225"/>
      <c r="BC586" s="225"/>
      <c r="BD586" s="225"/>
      <c r="BE586" s="225"/>
      <c r="BF586" s="225"/>
      <c r="BG586" s="225"/>
      <c r="BH586" s="225"/>
      <c r="BI586" s="225"/>
      <c r="BJ586" s="225"/>
    </row>
    <row r="587" spans="2:62" ht="15.75" customHeight="1">
      <c r="B587" s="7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  <c r="AS587" s="225"/>
      <c r="AT587" s="225"/>
      <c r="AU587" s="225"/>
      <c r="AV587" s="225"/>
      <c r="AW587" s="225"/>
      <c r="AX587" s="225"/>
      <c r="AY587" s="225"/>
      <c r="AZ587" s="225"/>
      <c r="BA587" s="225"/>
      <c r="BB587" s="225"/>
      <c r="BC587" s="225"/>
      <c r="BD587" s="225"/>
      <c r="BE587" s="225"/>
      <c r="BF587" s="225"/>
      <c r="BG587" s="225"/>
      <c r="BH587" s="225"/>
      <c r="BI587" s="225"/>
      <c r="BJ587" s="225"/>
    </row>
    <row r="588" spans="2:62" ht="15.75" customHeight="1">
      <c r="B588" s="7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225"/>
      <c r="AL588" s="225"/>
      <c r="AM588" s="225"/>
      <c r="AN588" s="225"/>
      <c r="AO588" s="225"/>
      <c r="AP588" s="225"/>
      <c r="AQ588" s="225"/>
      <c r="AR588" s="225"/>
      <c r="AS588" s="225"/>
      <c r="AT588" s="225"/>
      <c r="AU588" s="225"/>
      <c r="AV588" s="225"/>
      <c r="AW588" s="225"/>
      <c r="AX588" s="225"/>
      <c r="AY588" s="225"/>
      <c r="AZ588" s="225"/>
      <c r="BA588" s="225"/>
      <c r="BB588" s="225"/>
      <c r="BC588" s="225"/>
      <c r="BD588" s="225"/>
      <c r="BE588" s="225"/>
      <c r="BF588" s="225"/>
      <c r="BG588" s="225"/>
      <c r="BH588" s="225"/>
      <c r="BI588" s="225"/>
      <c r="BJ588" s="225"/>
    </row>
    <row r="589" spans="2:62" ht="15.75" customHeight="1">
      <c r="B589" s="7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  <c r="AS589" s="225"/>
      <c r="AT589" s="225"/>
      <c r="AU589" s="225"/>
      <c r="AV589" s="225"/>
      <c r="AW589" s="225"/>
      <c r="AX589" s="225"/>
      <c r="AY589" s="225"/>
      <c r="AZ589" s="225"/>
      <c r="BA589" s="225"/>
      <c r="BB589" s="225"/>
      <c r="BC589" s="225"/>
      <c r="BD589" s="225"/>
      <c r="BE589" s="225"/>
      <c r="BF589" s="225"/>
      <c r="BG589" s="225"/>
      <c r="BH589" s="225"/>
      <c r="BI589" s="225"/>
      <c r="BJ589" s="225"/>
    </row>
    <row r="590" spans="2:62" ht="15.75" customHeight="1">
      <c r="B590" s="7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  <c r="AS590" s="225"/>
      <c r="AT590" s="225"/>
      <c r="AU590" s="225"/>
      <c r="AV590" s="225"/>
      <c r="AW590" s="225"/>
      <c r="AX590" s="225"/>
      <c r="AY590" s="225"/>
      <c r="AZ590" s="225"/>
      <c r="BA590" s="225"/>
      <c r="BB590" s="225"/>
      <c r="BC590" s="225"/>
      <c r="BD590" s="225"/>
      <c r="BE590" s="225"/>
      <c r="BF590" s="225"/>
      <c r="BG590" s="225"/>
      <c r="BH590" s="225"/>
      <c r="BI590" s="225"/>
      <c r="BJ590" s="225"/>
    </row>
    <row r="591" spans="2:62" ht="15.75" customHeight="1">
      <c r="B591" s="7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225"/>
      <c r="AL591" s="225"/>
      <c r="AM591" s="225"/>
      <c r="AN591" s="225"/>
      <c r="AO591" s="225"/>
      <c r="AP591" s="225"/>
      <c r="AQ591" s="225"/>
      <c r="AR591" s="225"/>
      <c r="AS591" s="225"/>
      <c r="AT591" s="225"/>
      <c r="AU591" s="225"/>
      <c r="AV591" s="225"/>
      <c r="AW591" s="225"/>
      <c r="AX591" s="225"/>
      <c r="AY591" s="225"/>
      <c r="AZ591" s="225"/>
      <c r="BA591" s="225"/>
      <c r="BB591" s="225"/>
      <c r="BC591" s="225"/>
      <c r="BD591" s="225"/>
      <c r="BE591" s="225"/>
      <c r="BF591" s="225"/>
      <c r="BG591" s="225"/>
      <c r="BH591" s="225"/>
      <c r="BI591" s="225"/>
      <c r="BJ591" s="225"/>
    </row>
    <row r="592" spans="2:62" ht="15.75" customHeight="1">
      <c r="B592" s="7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  <c r="AS592" s="225"/>
      <c r="AT592" s="225"/>
      <c r="AU592" s="225"/>
      <c r="AV592" s="225"/>
      <c r="AW592" s="225"/>
      <c r="AX592" s="225"/>
      <c r="AY592" s="225"/>
      <c r="AZ592" s="225"/>
      <c r="BA592" s="225"/>
      <c r="BB592" s="225"/>
      <c r="BC592" s="225"/>
      <c r="BD592" s="225"/>
      <c r="BE592" s="225"/>
      <c r="BF592" s="225"/>
      <c r="BG592" s="225"/>
      <c r="BH592" s="225"/>
      <c r="BI592" s="225"/>
      <c r="BJ592" s="225"/>
    </row>
    <row r="593" spans="2:62" ht="15.75" customHeight="1">
      <c r="B593" s="7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</row>
    <row r="594" spans="2:62" ht="15.75" customHeight="1">
      <c r="B594" s="7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  <c r="AS594" s="225"/>
      <c r="AT594" s="225"/>
      <c r="AU594" s="225"/>
      <c r="AV594" s="225"/>
      <c r="AW594" s="225"/>
      <c r="AX594" s="225"/>
      <c r="AY594" s="225"/>
      <c r="AZ594" s="225"/>
      <c r="BA594" s="225"/>
      <c r="BB594" s="225"/>
      <c r="BC594" s="225"/>
      <c r="BD594" s="225"/>
      <c r="BE594" s="225"/>
      <c r="BF594" s="225"/>
      <c r="BG594" s="225"/>
      <c r="BH594" s="225"/>
      <c r="BI594" s="225"/>
      <c r="BJ594" s="225"/>
    </row>
    <row r="595" spans="2:62" ht="15.75" customHeight="1">
      <c r="B595" s="7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  <c r="AX595" s="225"/>
      <c r="AY595" s="225"/>
      <c r="AZ595" s="225"/>
      <c r="BA595" s="225"/>
      <c r="BB595" s="225"/>
      <c r="BC595" s="225"/>
      <c r="BD595" s="225"/>
      <c r="BE595" s="225"/>
      <c r="BF595" s="225"/>
      <c r="BG595" s="225"/>
      <c r="BH595" s="225"/>
      <c r="BI595" s="225"/>
      <c r="BJ595" s="225"/>
    </row>
    <row r="596" spans="2:62" ht="15.75" customHeight="1">
      <c r="B596" s="7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225"/>
      <c r="AL596" s="225"/>
      <c r="AM596" s="225"/>
      <c r="AN596" s="225"/>
      <c r="AO596" s="225"/>
      <c r="AP596" s="225"/>
      <c r="AQ596" s="225"/>
      <c r="AR596" s="225"/>
      <c r="AS596" s="225"/>
      <c r="AT596" s="225"/>
      <c r="AU596" s="225"/>
      <c r="AV596" s="225"/>
      <c r="AW596" s="225"/>
      <c r="AX596" s="225"/>
      <c r="AY596" s="225"/>
      <c r="AZ596" s="225"/>
      <c r="BA596" s="225"/>
      <c r="BB596" s="225"/>
      <c r="BC596" s="225"/>
      <c r="BD596" s="225"/>
      <c r="BE596" s="225"/>
      <c r="BF596" s="225"/>
      <c r="BG596" s="225"/>
      <c r="BH596" s="225"/>
      <c r="BI596" s="225"/>
      <c r="BJ596" s="225"/>
    </row>
    <row r="597" spans="2:62" ht="15.75" customHeight="1">
      <c r="B597" s="7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  <c r="AS597" s="225"/>
      <c r="AT597" s="225"/>
      <c r="AU597" s="225"/>
      <c r="AV597" s="225"/>
      <c r="AW597" s="225"/>
      <c r="AX597" s="225"/>
      <c r="AY597" s="225"/>
      <c r="AZ597" s="225"/>
      <c r="BA597" s="225"/>
      <c r="BB597" s="225"/>
      <c r="BC597" s="225"/>
      <c r="BD597" s="225"/>
      <c r="BE597" s="225"/>
      <c r="BF597" s="225"/>
      <c r="BG597" s="225"/>
      <c r="BH597" s="225"/>
      <c r="BI597" s="225"/>
      <c r="BJ597" s="225"/>
    </row>
    <row r="598" spans="2:62" ht="15.75" customHeight="1">
      <c r="B598" s="7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225"/>
      <c r="AL598" s="225"/>
      <c r="AM598" s="225"/>
      <c r="AN598" s="225"/>
      <c r="AO598" s="225"/>
      <c r="AP598" s="225"/>
      <c r="AQ598" s="225"/>
      <c r="AR598" s="225"/>
      <c r="AS598" s="225"/>
      <c r="AT598" s="225"/>
      <c r="AU598" s="225"/>
      <c r="AV598" s="225"/>
      <c r="AW598" s="225"/>
      <c r="AX598" s="225"/>
      <c r="AY598" s="225"/>
      <c r="AZ598" s="225"/>
      <c r="BA598" s="225"/>
      <c r="BB598" s="225"/>
      <c r="BC598" s="225"/>
      <c r="BD598" s="225"/>
      <c r="BE598" s="225"/>
      <c r="BF598" s="225"/>
      <c r="BG598" s="225"/>
      <c r="BH598" s="225"/>
      <c r="BI598" s="225"/>
      <c r="BJ598" s="225"/>
    </row>
    <row r="599" spans="2:62" ht="15.75" customHeight="1">
      <c r="B599" s="7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225"/>
      <c r="AL599" s="225"/>
      <c r="AM599" s="225"/>
      <c r="AN599" s="225"/>
      <c r="AO599" s="225"/>
      <c r="AP599" s="225"/>
      <c r="AQ599" s="225"/>
      <c r="AR599" s="225"/>
      <c r="AS599" s="225"/>
      <c r="AT599" s="225"/>
      <c r="AU599" s="225"/>
      <c r="AV599" s="225"/>
      <c r="AW599" s="225"/>
      <c r="AX599" s="225"/>
      <c r="AY599" s="225"/>
      <c r="AZ599" s="225"/>
      <c r="BA599" s="225"/>
      <c r="BB599" s="225"/>
      <c r="BC599" s="225"/>
      <c r="BD599" s="225"/>
      <c r="BE599" s="225"/>
      <c r="BF599" s="225"/>
      <c r="BG599" s="225"/>
      <c r="BH599" s="225"/>
      <c r="BI599" s="225"/>
      <c r="BJ599" s="225"/>
    </row>
    <row r="600" spans="2:62" ht="15.75" customHeight="1">
      <c r="B600" s="7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225"/>
      <c r="AL600" s="225"/>
      <c r="AM600" s="225"/>
      <c r="AN600" s="225"/>
      <c r="AO600" s="225"/>
      <c r="AP600" s="225"/>
      <c r="AQ600" s="225"/>
      <c r="AR600" s="225"/>
      <c r="AS600" s="225"/>
      <c r="AT600" s="225"/>
      <c r="AU600" s="225"/>
      <c r="AV600" s="225"/>
      <c r="AW600" s="225"/>
      <c r="AX600" s="225"/>
      <c r="AY600" s="225"/>
      <c r="AZ600" s="225"/>
      <c r="BA600" s="225"/>
      <c r="BB600" s="225"/>
      <c r="BC600" s="225"/>
      <c r="BD600" s="225"/>
      <c r="BE600" s="225"/>
      <c r="BF600" s="225"/>
      <c r="BG600" s="225"/>
      <c r="BH600" s="225"/>
      <c r="BI600" s="225"/>
      <c r="BJ600" s="225"/>
    </row>
    <row r="601" spans="2:62" ht="15.75" customHeight="1">
      <c r="B601" s="7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225"/>
      <c r="AL601" s="225"/>
      <c r="AM601" s="225"/>
      <c r="AN601" s="225"/>
      <c r="AO601" s="225"/>
      <c r="AP601" s="225"/>
      <c r="AQ601" s="225"/>
      <c r="AR601" s="225"/>
      <c r="AS601" s="225"/>
      <c r="AT601" s="225"/>
      <c r="AU601" s="225"/>
      <c r="AV601" s="225"/>
      <c r="AW601" s="225"/>
      <c r="AX601" s="225"/>
      <c r="AY601" s="225"/>
      <c r="AZ601" s="225"/>
      <c r="BA601" s="225"/>
      <c r="BB601" s="225"/>
      <c r="BC601" s="225"/>
      <c r="BD601" s="225"/>
      <c r="BE601" s="225"/>
      <c r="BF601" s="225"/>
      <c r="BG601" s="225"/>
      <c r="BH601" s="225"/>
      <c r="BI601" s="225"/>
      <c r="BJ601" s="225"/>
    </row>
    <row r="602" spans="2:62" ht="15.75" customHeight="1">
      <c r="B602" s="7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225"/>
      <c r="AL602" s="225"/>
      <c r="AM602" s="225"/>
      <c r="AN602" s="225"/>
      <c r="AO602" s="225"/>
      <c r="AP602" s="225"/>
      <c r="AQ602" s="225"/>
      <c r="AR602" s="225"/>
      <c r="AS602" s="225"/>
      <c r="AT602" s="225"/>
      <c r="AU602" s="225"/>
      <c r="AV602" s="225"/>
      <c r="AW602" s="225"/>
      <c r="AX602" s="225"/>
      <c r="AY602" s="225"/>
      <c r="AZ602" s="225"/>
      <c r="BA602" s="225"/>
      <c r="BB602" s="225"/>
      <c r="BC602" s="225"/>
      <c r="BD602" s="225"/>
      <c r="BE602" s="225"/>
      <c r="BF602" s="225"/>
      <c r="BG602" s="225"/>
      <c r="BH602" s="225"/>
      <c r="BI602" s="225"/>
      <c r="BJ602" s="225"/>
    </row>
    <row r="603" spans="2:62" ht="15.75" customHeight="1">
      <c r="B603" s="7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225"/>
      <c r="AL603" s="225"/>
      <c r="AM603" s="225"/>
      <c r="AN603" s="225"/>
      <c r="AO603" s="225"/>
      <c r="AP603" s="225"/>
      <c r="AQ603" s="225"/>
      <c r="AR603" s="225"/>
      <c r="AS603" s="225"/>
      <c r="AT603" s="225"/>
      <c r="AU603" s="225"/>
      <c r="AV603" s="225"/>
      <c r="AW603" s="225"/>
      <c r="AX603" s="225"/>
      <c r="AY603" s="225"/>
      <c r="AZ603" s="225"/>
      <c r="BA603" s="225"/>
      <c r="BB603" s="225"/>
      <c r="BC603" s="225"/>
      <c r="BD603" s="225"/>
      <c r="BE603" s="225"/>
      <c r="BF603" s="225"/>
      <c r="BG603" s="225"/>
      <c r="BH603" s="225"/>
      <c r="BI603" s="225"/>
      <c r="BJ603" s="225"/>
    </row>
    <row r="604" spans="2:62" ht="15.75" customHeight="1">
      <c r="B604" s="7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225"/>
      <c r="AL604" s="225"/>
      <c r="AM604" s="225"/>
      <c r="AN604" s="225"/>
      <c r="AO604" s="225"/>
      <c r="AP604" s="225"/>
      <c r="AQ604" s="225"/>
      <c r="AR604" s="225"/>
      <c r="AS604" s="225"/>
      <c r="AT604" s="225"/>
      <c r="AU604" s="225"/>
      <c r="AV604" s="225"/>
      <c r="AW604" s="225"/>
      <c r="AX604" s="225"/>
      <c r="AY604" s="225"/>
      <c r="AZ604" s="225"/>
      <c r="BA604" s="225"/>
      <c r="BB604" s="225"/>
      <c r="BC604" s="225"/>
      <c r="BD604" s="225"/>
      <c r="BE604" s="225"/>
      <c r="BF604" s="225"/>
      <c r="BG604" s="225"/>
      <c r="BH604" s="225"/>
      <c r="BI604" s="225"/>
      <c r="BJ604" s="225"/>
    </row>
    <row r="605" spans="2:62" ht="15.75" customHeight="1">
      <c r="B605" s="7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  <c r="AS605" s="225"/>
      <c r="AT605" s="225"/>
      <c r="AU605" s="225"/>
      <c r="AV605" s="225"/>
      <c r="AW605" s="225"/>
      <c r="AX605" s="225"/>
      <c r="AY605" s="225"/>
      <c r="AZ605" s="225"/>
      <c r="BA605" s="225"/>
      <c r="BB605" s="225"/>
      <c r="BC605" s="225"/>
      <c r="BD605" s="225"/>
      <c r="BE605" s="225"/>
      <c r="BF605" s="225"/>
      <c r="BG605" s="225"/>
      <c r="BH605" s="225"/>
      <c r="BI605" s="225"/>
      <c r="BJ605" s="225"/>
    </row>
    <row r="606" spans="2:62" ht="15.75" customHeight="1">
      <c r="B606" s="7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225"/>
      <c r="AL606" s="225"/>
      <c r="AM606" s="225"/>
      <c r="AN606" s="225"/>
      <c r="AO606" s="225"/>
      <c r="AP606" s="225"/>
      <c r="AQ606" s="225"/>
      <c r="AR606" s="225"/>
      <c r="AS606" s="225"/>
      <c r="AT606" s="225"/>
      <c r="AU606" s="225"/>
      <c r="AV606" s="225"/>
      <c r="AW606" s="225"/>
      <c r="AX606" s="225"/>
      <c r="AY606" s="225"/>
      <c r="AZ606" s="225"/>
      <c r="BA606" s="225"/>
      <c r="BB606" s="225"/>
      <c r="BC606" s="225"/>
      <c r="BD606" s="225"/>
      <c r="BE606" s="225"/>
      <c r="BF606" s="225"/>
      <c r="BG606" s="225"/>
      <c r="BH606" s="225"/>
      <c r="BI606" s="225"/>
      <c r="BJ606" s="225"/>
    </row>
    <row r="607" spans="2:62" ht="15.75" customHeight="1">
      <c r="B607" s="7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225"/>
      <c r="AL607" s="225"/>
      <c r="AM607" s="225"/>
      <c r="AN607" s="225"/>
      <c r="AO607" s="225"/>
      <c r="AP607" s="225"/>
      <c r="AQ607" s="225"/>
      <c r="AR607" s="225"/>
      <c r="AS607" s="225"/>
      <c r="AT607" s="225"/>
      <c r="AU607" s="225"/>
      <c r="AV607" s="225"/>
      <c r="AW607" s="225"/>
      <c r="AX607" s="225"/>
      <c r="AY607" s="225"/>
      <c r="AZ607" s="225"/>
      <c r="BA607" s="225"/>
      <c r="BB607" s="225"/>
      <c r="BC607" s="225"/>
      <c r="BD607" s="225"/>
      <c r="BE607" s="225"/>
      <c r="BF607" s="225"/>
      <c r="BG607" s="225"/>
      <c r="BH607" s="225"/>
      <c r="BI607" s="225"/>
      <c r="BJ607" s="225"/>
    </row>
    <row r="608" spans="2:62" ht="15.75" customHeight="1">
      <c r="B608" s="7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225"/>
      <c r="AL608" s="225"/>
      <c r="AM608" s="225"/>
      <c r="AN608" s="225"/>
      <c r="AO608" s="225"/>
      <c r="AP608" s="225"/>
      <c r="AQ608" s="225"/>
      <c r="AR608" s="225"/>
      <c r="AS608" s="225"/>
      <c r="AT608" s="225"/>
      <c r="AU608" s="225"/>
      <c r="AV608" s="225"/>
      <c r="AW608" s="225"/>
      <c r="AX608" s="225"/>
      <c r="AY608" s="225"/>
      <c r="AZ608" s="225"/>
      <c r="BA608" s="225"/>
      <c r="BB608" s="225"/>
      <c r="BC608" s="225"/>
      <c r="BD608" s="225"/>
      <c r="BE608" s="225"/>
      <c r="BF608" s="225"/>
      <c r="BG608" s="225"/>
      <c r="BH608" s="225"/>
      <c r="BI608" s="225"/>
      <c r="BJ608" s="225"/>
    </row>
    <row r="609" spans="2:62" ht="15.75" customHeight="1">
      <c r="B609" s="7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225"/>
      <c r="AL609" s="225"/>
      <c r="AM609" s="225"/>
      <c r="AN609" s="225"/>
      <c r="AO609" s="225"/>
      <c r="AP609" s="225"/>
      <c r="AQ609" s="225"/>
      <c r="AR609" s="225"/>
      <c r="AS609" s="225"/>
      <c r="AT609" s="225"/>
      <c r="AU609" s="225"/>
      <c r="AV609" s="225"/>
      <c r="AW609" s="225"/>
      <c r="AX609" s="225"/>
      <c r="AY609" s="225"/>
      <c r="AZ609" s="225"/>
      <c r="BA609" s="225"/>
      <c r="BB609" s="225"/>
      <c r="BC609" s="225"/>
      <c r="BD609" s="225"/>
      <c r="BE609" s="225"/>
      <c r="BF609" s="225"/>
      <c r="BG609" s="225"/>
      <c r="BH609" s="225"/>
      <c r="BI609" s="225"/>
      <c r="BJ609" s="225"/>
    </row>
    <row r="610" spans="2:62" ht="15.75" customHeight="1">
      <c r="B610" s="7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225"/>
      <c r="AL610" s="225"/>
      <c r="AM610" s="225"/>
      <c r="AN610" s="225"/>
      <c r="AO610" s="225"/>
      <c r="AP610" s="225"/>
      <c r="AQ610" s="225"/>
      <c r="AR610" s="225"/>
      <c r="AS610" s="225"/>
      <c r="AT610" s="225"/>
      <c r="AU610" s="225"/>
      <c r="AV610" s="225"/>
      <c r="AW610" s="225"/>
      <c r="AX610" s="225"/>
      <c r="AY610" s="225"/>
      <c r="AZ610" s="225"/>
      <c r="BA610" s="225"/>
      <c r="BB610" s="225"/>
      <c r="BC610" s="225"/>
      <c r="BD610" s="225"/>
      <c r="BE610" s="225"/>
      <c r="BF610" s="225"/>
      <c r="BG610" s="225"/>
      <c r="BH610" s="225"/>
      <c r="BI610" s="225"/>
      <c r="BJ610" s="225"/>
    </row>
    <row r="611" spans="2:62" ht="15.75" customHeight="1">
      <c r="B611" s="7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225"/>
      <c r="AL611" s="225"/>
      <c r="AM611" s="225"/>
      <c r="AN611" s="225"/>
      <c r="AO611" s="225"/>
      <c r="AP611" s="225"/>
      <c r="AQ611" s="225"/>
      <c r="AR611" s="225"/>
      <c r="AS611" s="225"/>
      <c r="AT611" s="225"/>
      <c r="AU611" s="225"/>
      <c r="AV611" s="225"/>
      <c r="AW611" s="225"/>
      <c r="AX611" s="225"/>
      <c r="AY611" s="225"/>
      <c r="AZ611" s="225"/>
      <c r="BA611" s="225"/>
      <c r="BB611" s="225"/>
      <c r="BC611" s="225"/>
      <c r="BD611" s="225"/>
      <c r="BE611" s="225"/>
      <c r="BF611" s="225"/>
      <c r="BG611" s="225"/>
      <c r="BH611" s="225"/>
      <c r="BI611" s="225"/>
      <c r="BJ611" s="225"/>
    </row>
    <row r="612" spans="2:62" ht="15.75" customHeight="1">
      <c r="B612" s="7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225"/>
      <c r="AL612" s="225"/>
      <c r="AM612" s="225"/>
      <c r="AN612" s="225"/>
      <c r="AO612" s="225"/>
      <c r="AP612" s="225"/>
      <c r="AQ612" s="225"/>
      <c r="AR612" s="225"/>
      <c r="AS612" s="225"/>
      <c r="AT612" s="225"/>
      <c r="AU612" s="225"/>
      <c r="AV612" s="225"/>
      <c r="AW612" s="225"/>
      <c r="AX612" s="225"/>
      <c r="AY612" s="225"/>
      <c r="AZ612" s="225"/>
      <c r="BA612" s="225"/>
      <c r="BB612" s="225"/>
      <c r="BC612" s="225"/>
      <c r="BD612" s="225"/>
      <c r="BE612" s="225"/>
      <c r="BF612" s="225"/>
      <c r="BG612" s="225"/>
      <c r="BH612" s="225"/>
      <c r="BI612" s="225"/>
      <c r="BJ612" s="225"/>
    </row>
    <row r="613" spans="2:62" ht="15.75" customHeight="1">
      <c r="B613" s="7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225"/>
      <c r="AL613" s="225"/>
      <c r="AM613" s="225"/>
      <c r="AN613" s="225"/>
      <c r="AO613" s="225"/>
      <c r="AP613" s="225"/>
      <c r="AQ613" s="225"/>
      <c r="AR613" s="225"/>
      <c r="AS613" s="225"/>
      <c r="AT613" s="225"/>
      <c r="AU613" s="225"/>
      <c r="AV613" s="225"/>
      <c r="AW613" s="225"/>
      <c r="AX613" s="225"/>
      <c r="AY613" s="225"/>
      <c r="AZ613" s="225"/>
      <c r="BA613" s="225"/>
      <c r="BB613" s="225"/>
      <c r="BC613" s="225"/>
      <c r="BD613" s="225"/>
      <c r="BE613" s="225"/>
      <c r="BF613" s="225"/>
      <c r="BG613" s="225"/>
      <c r="BH613" s="225"/>
      <c r="BI613" s="225"/>
      <c r="BJ613" s="225"/>
    </row>
    <row r="614" spans="2:62" ht="15.75" customHeight="1">
      <c r="B614" s="7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225"/>
      <c r="AL614" s="225"/>
      <c r="AM614" s="225"/>
      <c r="AN614" s="225"/>
      <c r="AO614" s="225"/>
      <c r="AP614" s="225"/>
      <c r="AQ614" s="225"/>
      <c r="AR614" s="225"/>
      <c r="AS614" s="225"/>
      <c r="AT614" s="225"/>
      <c r="AU614" s="225"/>
      <c r="AV614" s="225"/>
      <c r="AW614" s="225"/>
      <c r="AX614" s="225"/>
      <c r="AY614" s="225"/>
      <c r="AZ614" s="225"/>
      <c r="BA614" s="225"/>
      <c r="BB614" s="225"/>
      <c r="BC614" s="225"/>
      <c r="BD614" s="225"/>
      <c r="BE614" s="225"/>
      <c r="BF614" s="225"/>
      <c r="BG614" s="225"/>
      <c r="BH614" s="225"/>
      <c r="BI614" s="225"/>
      <c r="BJ614" s="225"/>
    </row>
    <row r="615" spans="2:62" ht="15.75" customHeight="1">
      <c r="B615" s="7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225"/>
      <c r="AL615" s="225"/>
      <c r="AM615" s="225"/>
      <c r="AN615" s="225"/>
      <c r="AO615" s="225"/>
      <c r="AP615" s="225"/>
      <c r="AQ615" s="225"/>
      <c r="AR615" s="225"/>
      <c r="AS615" s="225"/>
      <c r="AT615" s="225"/>
      <c r="AU615" s="225"/>
      <c r="AV615" s="225"/>
      <c r="AW615" s="225"/>
      <c r="AX615" s="225"/>
      <c r="AY615" s="225"/>
      <c r="AZ615" s="225"/>
      <c r="BA615" s="225"/>
      <c r="BB615" s="225"/>
      <c r="BC615" s="225"/>
      <c r="BD615" s="225"/>
      <c r="BE615" s="225"/>
      <c r="BF615" s="225"/>
      <c r="BG615" s="225"/>
      <c r="BH615" s="225"/>
      <c r="BI615" s="225"/>
      <c r="BJ615" s="225"/>
    </row>
    <row r="616" spans="2:62" ht="15.75" customHeight="1">
      <c r="B616" s="7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225"/>
      <c r="AL616" s="225"/>
      <c r="AM616" s="225"/>
      <c r="AN616" s="225"/>
      <c r="AO616" s="225"/>
      <c r="AP616" s="225"/>
      <c r="AQ616" s="225"/>
      <c r="AR616" s="225"/>
      <c r="AS616" s="225"/>
      <c r="AT616" s="225"/>
      <c r="AU616" s="225"/>
      <c r="AV616" s="225"/>
      <c r="AW616" s="225"/>
      <c r="AX616" s="225"/>
      <c r="AY616" s="225"/>
      <c r="AZ616" s="225"/>
      <c r="BA616" s="225"/>
      <c r="BB616" s="225"/>
      <c r="BC616" s="225"/>
      <c r="BD616" s="225"/>
      <c r="BE616" s="225"/>
      <c r="BF616" s="225"/>
      <c r="BG616" s="225"/>
      <c r="BH616" s="225"/>
      <c r="BI616" s="225"/>
      <c r="BJ616" s="225"/>
    </row>
    <row r="617" spans="2:62" ht="15.75" customHeight="1">
      <c r="B617" s="7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225"/>
      <c r="AL617" s="225"/>
      <c r="AM617" s="225"/>
      <c r="AN617" s="225"/>
      <c r="AO617" s="225"/>
      <c r="AP617" s="225"/>
      <c r="AQ617" s="225"/>
      <c r="AR617" s="225"/>
      <c r="AS617" s="225"/>
      <c r="AT617" s="225"/>
      <c r="AU617" s="225"/>
      <c r="AV617" s="225"/>
      <c r="AW617" s="225"/>
      <c r="AX617" s="225"/>
      <c r="AY617" s="225"/>
      <c r="AZ617" s="225"/>
      <c r="BA617" s="225"/>
      <c r="BB617" s="225"/>
      <c r="BC617" s="225"/>
      <c r="BD617" s="225"/>
      <c r="BE617" s="225"/>
      <c r="BF617" s="225"/>
      <c r="BG617" s="225"/>
      <c r="BH617" s="225"/>
      <c r="BI617" s="225"/>
      <c r="BJ617" s="225"/>
    </row>
    <row r="618" spans="2:62" ht="15.75" customHeight="1">
      <c r="B618" s="7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225"/>
      <c r="AL618" s="225"/>
      <c r="AM618" s="225"/>
      <c r="AN618" s="225"/>
      <c r="AO618" s="225"/>
      <c r="AP618" s="225"/>
      <c r="AQ618" s="225"/>
      <c r="AR618" s="225"/>
      <c r="AS618" s="225"/>
      <c r="AT618" s="225"/>
      <c r="AU618" s="225"/>
      <c r="AV618" s="225"/>
      <c r="AW618" s="225"/>
      <c r="AX618" s="225"/>
      <c r="AY618" s="225"/>
      <c r="AZ618" s="225"/>
      <c r="BA618" s="225"/>
      <c r="BB618" s="225"/>
      <c r="BC618" s="225"/>
      <c r="BD618" s="225"/>
      <c r="BE618" s="225"/>
      <c r="BF618" s="225"/>
      <c r="BG618" s="225"/>
      <c r="BH618" s="225"/>
      <c r="BI618" s="225"/>
      <c r="BJ618" s="225"/>
    </row>
    <row r="619" spans="2:62" ht="15.75" customHeight="1">
      <c r="B619" s="7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225"/>
      <c r="AL619" s="225"/>
      <c r="AM619" s="225"/>
      <c r="AN619" s="225"/>
      <c r="AO619" s="225"/>
      <c r="AP619" s="225"/>
      <c r="AQ619" s="225"/>
      <c r="AR619" s="225"/>
      <c r="AS619" s="225"/>
      <c r="AT619" s="225"/>
      <c r="AU619" s="225"/>
      <c r="AV619" s="225"/>
      <c r="AW619" s="225"/>
      <c r="AX619" s="225"/>
      <c r="AY619" s="225"/>
      <c r="AZ619" s="225"/>
      <c r="BA619" s="225"/>
      <c r="BB619" s="225"/>
      <c r="BC619" s="225"/>
      <c r="BD619" s="225"/>
      <c r="BE619" s="225"/>
      <c r="BF619" s="225"/>
      <c r="BG619" s="225"/>
      <c r="BH619" s="225"/>
      <c r="BI619" s="225"/>
      <c r="BJ619" s="225"/>
    </row>
    <row r="620" spans="2:62" ht="15.75" customHeight="1">
      <c r="B620" s="7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225"/>
      <c r="AL620" s="225"/>
      <c r="AM620" s="225"/>
      <c r="AN620" s="225"/>
      <c r="AO620" s="225"/>
      <c r="AP620" s="225"/>
      <c r="AQ620" s="225"/>
      <c r="AR620" s="225"/>
      <c r="AS620" s="225"/>
      <c r="AT620" s="225"/>
      <c r="AU620" s="225"/>
      <c r="AV620" s="225"/>
      <c r="AW620" s="225"/>
      <c r="AX620" s="225"/>
      <c r="AY620" s="225"/>
      <c r="AZ620" s="225"/>
      <c r="BA620" s="225"/>
      <c r="BB620" s="225"/>
      <c r="BC620" s="225"/>
      <c r="BD620" s="225"/>
      <c r="BE620" s="225"/>
      <c r="BF620" s="225"/>
      <c r="BG620" s="225"/>
      <c r="BH620" s="225"/>
      <c r="BI620" s="225"/>
      <c r="BJ620" s="225"/>
    </row>
    <row r="621" spans="2:62" ht="15.75" customHeight="1">
      <c r="B621" s="7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225"/>
      <c r="AL621" s="225"/>
      <c r="AM621" s="225"/>
      <c r="AN621" s="225"/>
      <c r="AO621" s="225"/>
      <c r="AP621" s="225"/>
      <c r="AQ621" s="225"/>
      <c r="AR621" s="225"/>
      <c r="AS621" s="225"/>
      <c r="AT621" s="225"/>
      <c r="AU621" s="225"/>
      <c r="AV621" s="225"/>
      <c r="AW621" s="225"/>
      <c r="AX621" s="225"/>
      <c r="AY621" s="225"/>
      <c r="AZ621" s="225"/>
      <c r="BA621" s="225"/>
      <c r="BB621" s="225"/>
      <c r="BC621" s="225"/>
      <c r="BD621" s="225"/>
      <c r="BE621" s="225"/>
      <c r="BF621" s="225"/>
      <c r="BG621" s="225"/>
      <c r="BH621" s="225"/>
      <c r="BI621" s="225"/>
      <c r="BJ621" s="225"/>
    </row>
    <row r="622" spans="2:62" ht="15.75" customHeight="1">
      <c r="B622" s="7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225"/>
      <c r="AL622" s="225"/>
      <c r="AM622" s="225"/>
      <c r="AN622" s="225"/>
      <c r="AO622" s="225"/>
      <c r="AP622" s="225"/>
      <c r="AQ622" s="225"/>
      <c r="AR622" s="225"/>
      <c r="AS622" s="225"/>
      <c r="AT622" s="225"/>
      <c r="AU622" s="225"/>
      <c r="AV622" s="225"/>
      <c r="AW622" s="225"/>
      <c r="AX622" s="225"/>
      <c r="AY622" s="225"/>
      <c r="AZ622" s="225"/>
      <c r="BA622" s="225"/>
      <c r="BB622" s="225"/>
      <c r="BC622" s="225"/>
      <c r="BD622" s="225"/>
      <c r="BE622" s="225"/>
      <c r="BF622" s="225"/>
      <c r="BG622" s="225"/>
      <c r="BH622" s="225"/>
      <c r="BI622" s="225"/>
      <c r="BJ622" s="225"/>
    </row>
    <row r="623" spans="2:62" ht="15.75" customHeight="1">
      <c r="B623" s="7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225"/>
      <c r="AL623" s="225"/>
      <c r="AM623" s="225"/>
      <c r="AN623" s="225"/>
      <c r="AO623" s="225"/>
      <c r="AP623" s="225"/>
      <c r="AQ623" s="225"/>
      <c r="AR623" s="225"/>
      <c r="AS623" s="225"/>
      <c r="AT623" s="225"/>
      <c r="AU623" s="225"/>
      <c r="AV623" s="225"/>
      <c r="AW623" s="225"/>
      <c r="AX623" s="225"/>
      <c r="AY623" s="225"/>
      <c r="AZ623" s="225"/>
      <c r="BA623" s="225"/>
      <c r="BB623" s="225"/>
      <c r="BC623" s="225"/>
      <c r="BD623" s="225"/>
      <c r="BE623" s="225"/>
      <c r="BF623" s="225"/>
      <c r="BG623" s="225"/>
      <c r="BH623" s="225"/>
      <c r="BI623" s="225"/>
      <c r="BJ623" s="225"/>
    </row>
    <row r="624" spans="2:62" ht="15.75" customHeight="1">
      <c r="B624" s="7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225"/>
      <c r="AL624" s="225"/>
      <c r="AM624" s="225"/>
      <c r="AN624" s="225"/>
      <c r="AO624" s="225"/>
      <c r="AP624" s="225"/>
      <c r="AQ624" s="225"/>
      <c r="AR624" s="225"/>
      <c r="AS624" s="225"/>
      <c r="AT624" s="225"/>
      <c r="AU624" s="225"/>
      <c r="AV624" s="225"/>
      <c r="AW624" s="225"/>
      <c r="AX624" s="225"/>
      <c r="AY624" s="225"/>
      <c r="AZ624" s="225"/>
      <c r="BA624" s="225"/>
      <c r="BB624" s="225"/>
      <c r="BC624" s="225"/>
      <c r="BD624" s="225"/>
      <c r="BE624" s="225"/>
      <c r="BF624" s="225"/>
      <c r="BG624" s="225"/>
      <c r="BH624" s="225"/>
      <c r="BI624" s="225"/>
      <c r="BJ624" s="225"/>
    </row>
    <row r="625" spans="2:62" ht="15.75" customHeight="1">
      <c r="B625" s="7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225"/>
      <c r="AL625" s="225"/>
      <c r="AM625" s="225"/>
      <c r="AN625" s="225"/>
      <c r="AO625" s="225"/>
      <c r="AP625" s="225"/>
      <c r="AQ625" s="225"/>
      <c r="AR625" s="225"/>
      <c r="AS625" s="225"/>
      <c r="AT625" s="225"/>
      <c r="AU625" s="225"/>
      <c r="AV625" s="225"/>
      <c r="AW625" s="225"/>
      <c r="AX625" s="225"/>
      <c r="AY625" s="225"/>
      <c r="AZ625" s="225"/>
      <c r="BA625" s="225"/>
      <c r="BB625" s="225"/>
      <c r="BC625" s="225"/>
      <c r="BD625" s="225"/>
      <c r="BE625" s="225"/>
      <c r="BF625" s="225"/>
      <c r="BG625" s="225"/>
      <c r="BH625" s="225"/>
      <c r="BI625" s="225"/>
      <c r="BJ625" s="225"/>
    </row>
    <row r="626" spans="2:62" ht="15.75" customHeight="1">
      <c r="B626" s="7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225"/>
      <c r="AL626" s="225"/>
      <c r="AM626" s="225"/>
      <c r="AN626" s="225"/>
      <c r="AO626" s="225"/>
      <c r="AP626" s="225"/>
      <c r="AQ626" s="225"/>
      <c r="AR626" s="225"/>
      <c r="AS626" s="225"/>
      <c r="AT626" s="225"/>
      <c r="AU626" s="225"/>
      <c r="AV626" s="225"/>
      <c r="AW626" s="225"/>
      <c r="AX626" s="225"/>
      <c r="AY626" s="225"/>
      <c r="AZ626" s="225"/>
      <c r="BA626" s="225"/>
      <c r="BB626" s="225"/>
      <c r="BC626" s="225"/>
      <c r="BD626" s="225"/>
      <c r="BE626" s="225"/>
      <c r="BF626" s="225"/>
      <c r="BG626" s="225"/>
      <c r="BH626" s="225"/>
      <c r="BI626" s="225"/>
      <c r="BJ626" s="225"/>
    </row>
    <row r="627" spans="2:62" ht="15.75" customHeight="1">
      <c r="B627" s="7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225"/>
      <c r="AL627" s="225"/>
      <c r="AM627" s="225"/>
      <c r="AN627" s="225"/>
      <c r="AO627" s="225"/>
      <c r="AP627" s="225"/>
      <c r="AQ627" s="225"/>
      <c r="AR627" s="225"/>
      <c r="AS627" s="225"/>
      <c r="AT627" s="225"/>
      <c r="AU627" s="225"/>
      <c r="AV627" s="225"/>
      <c r="AW627" s="225"/>
      <c r="AX627" s="225"/>
      <c r="AY627" s="225"/>
      <c r="AZ627" s="225"/>
      <c r="BA627" s="225"/>
      <c r="BB627" s="225"/>
      <c r="BC627" s="225"/>
      <c r="BD627" s="225"/>
      <c r="BE627" s="225"/>
      <c r="BF627" s="225"/>
      <c r="BG627" s="225"/>
      <c r="BH627" s="225"/>
      <c r="BI627" s="225"/>
      <c r="BJ627" s="225"/>
    </row>
    <row r="628" spans="2:62" ht="15.75" customHeight="1">
      <c r="B628" s="7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225"/>
      <c r="AL628" s="225"/>
      <c r="AM628" s="225"/>
      <c r="AN628" s="225"/>
      <c r="AO628" s="225"/>
      <c r="AP628" s="225"/>
      <c r="AQ628" s="225"/>
      <c r="AR628" s="225"/>
      <c r="AS628" s="225"/>
      <c r="AT628" s="225"/>
      <c r="AU628" s="225"/>
      <c r="AV628" s="225"/>
      <c r="AW628" s="225"/>
      <c r="AX628" s="225"/>
      <c r="AY628" s="225"/>
      <c r="AZ628" s="225"/>
      <c r="BA628" s="225"/>
      <c r="BB628" s="225"/>
      <c r="BC628" s="225"/>
      <c r="BD628" s="225"/>
      <c r="BE628" s="225"/>
      <c r="BF628" s="225"/>
      <c r="BG628" s="225"/>
      <c r="BH628" s="225"/>
      <c r="BI628" s="225"/>
      <c r="BJ628" s="225"/>
    </row>
    <row r="629" spans="2:62" ht="15.75" customHeight="1">
      <c r="B629" s="7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225"/>
      <c r="AL629" s="225"/>
      <c r="AM629" s="225"/>
      <c r="AN629" s="225"/>
      <c r="AO629" s="225"/>
      <c r="AP629" s="225"/>
      <c r="AQ629" s="225"/>
      <c r="AR629" s="225"/>
      <c r="AS629" s="225"/>
      <c r="AT629" s="225"/>
      <c r="AU629" s="225"/>
      <c r="AV629" s="225"/>
      <c r="AW629" s="225"/>
      <c r="AX629" s="225"/>
      <c r="AY629" s="225"/>
      <c r="AZ629" s="225"/>
      <c r="BA629" s="225"/>
      <c r="BB629" s="225"/>
      <c r="BC629" s="225"/>
      <c r="BD629" s="225"/>
      <c r="BE629" s="225"/>
      <c r="BF629" s="225"/>
      <c r="BG629" s="225"/>
      <c r="BH629" s="225"/>
      <c r="BI629" s="225"/>
      <c r="BJ629" s="225"/>
    </row>
    <row r="630" spans="2:62" ht="15.75" customHeight="1">
      <c r="B630" s="7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225"/>
      <c r="AL630" s="225"/>
      <c r="AM630" s="225"/>
      <c r="AN630" s="225"/>
      <c r="AO630" s="225"/>
      <c r="AP630" s="225"/>
      <c r="AQ630" s="225"/>
      <c r="AR630" s="225"/>
      <c r="AS630" s="225"/>
      <c r="AT630" s="225"/>
      <c r="AU630" s="225"/>
      <c r="AV630" s="225"/>
      <c r="AW630" s="225"/>
      <c r="AX630" s="225"/>
      <c r="AY630" s="225"/>
      <c r="AZ630" s="225"/>
      <c r="BA630" s="225"/>
      <c r="BB630" s="225"/>
      <c r="BC630" s="225"/>
      <c r="BD630" s="225"/>
      <c r="BE630" s="225"/>
      <c r="BF630" s="225"/>
      <c r="BG630" s="225"/>
      <c r="BH630" s="225"/>
      <c r="BI630" s="225"/>
      <c r="BJ630" s="225"/>
    </row>
    <row r="631" spans="2:62" ht="15.75" customHeight="1">
      <c r="B631" s="7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225"/>
      <c r="AL631" s="225"/>
      <c r="AM631" s="225"/>
      <c r="AN631" s="225"/>
      <c r="AO631" s="225"/>
      <c r="AP631" s="225"/>
      <c r="AQ631" s="225"/>
      <c r="AR631" s="225"/>
      <c r="AS631" s="225"/>
      <c r="AT631" s="225"/>
      <c r="AU631" s="225"/>
      <c r="AV631" s="225"/>
      <c r="AW631" s="225"/>
      <c r="AX631" s="225"/>
      <c r="AY631" s="225"/>
      <c r="AZ631" s="225"/>
      <c r="BA631" s="225"/>
      <c r="BB631" s="225"/>
      <c r="BC631" s="225"/>
      <c r="BD631" s="225"/>
      <c r="BE631" s="225"/>
      <c r="BF631" s="225"/>
      <c r="BG631" s="225"/>
      <c r="BH631" s="225"/>
      <c r="BI631" s="225"/>
      <c r="BJ631" s="225"/>
    </row>
    <row r="632" spans="2:62" ht="15.75" customHeight="1">
      <c r="B632" s="7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225"/>
      <c r="AL632" s="225"/>
      <c r="AM632" s="225"/>
      <c r="AN632" s="225"/>
      <c r="AO632" s="225"/>
      <c r="AP632" s="225"/>
      <c r="AQ632" s="225"/>
      <c r="AR632" s="225"/>
      <c r="AS632" s="225"/>
      <c r="AT632" s="225"/>
      <c r="AU632" s="225"/>
      <c r="AV632" s="225"/>
      <c r="AW632" s="225"/>
      <c r="AX632" s="225"/>
      <c r="AY632" s="225"/>
      <c r="AZ632" s="225"/>
      <c r="BA632" s="225"/>
      <c r="BB632" s="225"/>
      <c r="BC632" s="225"/>
      <c r="BD632" s="225"/>
      <c r="BE632" s="225"/>
      <c r="BF632" s="225"/>
      <c r="BG632" s="225"/>
      <c r="BH632" s="225"/>
      <c r="BI632" s="225"/>
      <c r="BJ632" s="225"/>
    </row>
    <row r="633" spans="2:62" ht="15.75" customHeight="1">
      <c r="B633" s="7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225"/>
      <c r="AL633" s="225"/>
      <c r="AM633" s="225"/>
      <c r="AN633" s="225"/>
      <c r="AO633" s="225"/>
      <c r="AP633" s="225"/>
      <c r="AQ633" s="225"/>
      <c r="AR633" s="225"/>
      <c r="AS633" s="225"/>
      <c r="AT633" s="225"/>
      <c r="AU633" s="225"/>
      <c r="AV633" s="225"/>
      <c r="AW633" s="225"/>
      <c r="AX633" s="225"/>
      <c r="AY633" s="225"/>
      <c r="AZ633" s="225"/>
      <c r="BA633" s="225"/>
      <c r="BB633" s="225"/>
      <c r="BC633" s="225"/>
      <c r="BD633" s="225"/>
      <c r="BE633" s="225"/>
      <c r="BF633" s="225"/>
      <c r="BG633" s="225"/>
      <c r="BH633" s="225"/>
      <c r="BI633" s="225"/>
      <c r="BJ633" s="225"/>
    </row>
    <row r="634" spans="2:62" ht="15.75" customHeight="1">
      <c r="B634" s="7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225"/>
      <c r="AL634" s="225"/>
      <c r="AM634" s="225"/>
      <c r="AN634" s="225"/>
      <c r="AO634" s="225"/>
      <c r="AP634" s="225"/>
      <c r="AQ634" s="225"/>
      <c r="AR634" s="225"/>
      <c r="AS634" s="225"/>
      <c r="AT634" s="225"/>
      <c r="AU634" s="225"/>
      <c r="AV634" s="225"/>
      <c r="AW634" s="225"/>
      <c r="AX634" s="225"/>
      <c r="AY634" s="225"/>
      <c r="AZ634" s="225"/>
      <c r="BA634" s="225"/>
      <c r="BB634" s="225"/>
      <c r="BC634" s="225"/>
      <c r="BD634" s="225"/>
      <c r="BE634" s="225"/>
      <c r="BF634" s="225"/>
      <c r="BG634" s="225"/>
      <c r="BH634" s="225"/>
      <c r="BI634" s="225"/>
      <c r="BJ634" s="225"/>
    </row>
    <row r="635" spans="2:62" ht="15.75" customHeight="1">
      <c r="B635" s="7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225"/>
      <c r="AL635" s="225"/>
      <c r="AM635" s="225"/>
      <c r="AN635" s="225"/>
      <c r="AO635" s="225"/>
      <c r="AP635" s="225"/>
      <c r="AQ635" s="225"/>
      <c r="AR635" s="225"/>
      <c r="AS635" s="225"/>
      <c r="AT635" s="225"/>
      <c r="AU635" s="225"/>
      <c r="AV635" s="225"/>
      <c r="AW635" s="225"/>
      <c r="AX635" s="225"/>
      <c r="AY635" s="225"/>
      <c r="AZ635" s="225"/>
      <c r="BA635" s="225"/>
      <c r="BB635" s="225"/>
      <c r="BC635" s="225"/>
      <c r="BD635" s="225"/>
      <c r="BE635" s="225"/>
      <c r="BF635" s="225"/>
      <c r="BG635" s="225"/>
      <c r="BH635" s="225"/>
      <c r="BI635" s="225"/>
      <c r="BJ635" s="225"/>
    </row>
    <row r="636" spans="2:62" ht="15.75" customHeight="1">
      <c r="B636" s="7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225"/>
      <c r="AL636" s="225"/>
      <c r="AM636" s="225"/>
      <c r="AN636" s="225"/>
      <c r="AO636" s="225"/>
      <c r="AP636" s="225"/>
      <c r="AQ636" s="225"/>
      <c r="AR636" s="225"/>
      <c r="AS636" s="225"/>
      <c r="AT636" s="225"/>
      <c r="AU636" s="225"/>
      <c r="AV636" s="225"/>
      <c r="AW636" s="225"/>
      <c r="AX636" s="225"/>
      <c r="AY636" s="225"/>
      <c r="AZ636" s="225"/>
      <c r="BA636" s="225"/>
      <c r="BB636" s="225"/>
      <c r="BC636" s="225"/>
      <c r="BD636" s="225"/>
      <c r="BE636" s="225"/>
      <c r="BF636" s="225"/>
      <c r="BG636" s="225"/>
      <c r="BH636" s="225"/>
      <c r="BI636" s="225"/>
      <c r="BJ636" s="225"/>
    </row>
    <row r="637" spans="2:62" ht="15.75" customHeight="1">
      <c r="B637" s="7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225"/>
      <c r="AL637" s="225"/>
      <c r="AM637" s="225"/>
      <c r="AN637" s="225"/>
      <c r="AO637" s="225"/>
      <c r="AP637" s="225"/>
      <c r="AQ637" s="225"/>
      <c r="AR637" s="225"/>
      <c r="AS637" s="225"/>
      <c r="AT637" s="225"/>
      <c r="AU637" s="225"/>
      <c r="AV637" s="225"/>
      <c r="AW637" s="225"/>
      <c r="AX637" s="225"/>
      <c r="AY637" s="225"/>
      <c r="AZ637" s="225"/>
      <c r="BA637" s="225"/>
      <c r="BB637" s="225"/>
      <c r="BC637" s="225"/>
      <c r="BD637" s="225"/>
      <c r="BE637" s="225"/>
      <c r="BF637" s="225"/>
      <c r="BG637" s="225"/>
      <c r="BH637" s="225"/>
      <c r="BI637" s="225"/>
      <c r="BJ637" s="225"/>
    </row>
    <row r="638" spans="2:62" ht="15.75" customHeight="1">
      <c r="B638" s="7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225"/>
      <c r="AL638" s="225"/>
      <c r="AM638" s="225"/>
      <c r="AN638" s="225"/>
      <c r="AO638" s="225"/>
      <c r="AP638" s="225"/>
      <c r="AQ638" s="225"/>
      <c r="AR638" s="225"/>
      <c r="AS638" s="225"/>
      <c r="AT638" s="225"/>
      <c r="AU638" s="225"/>
      <c r="AV638" s="225"/>
      <c r="AW638" s="225"/>
      <c r="AX638" s="225"/>
      <c r="AY638" s="225"/>
      <c r="AZ638" s="225"/>
      <c r="BA638" s="225"/>
      <c r="BB638" s="225"/>
      <c r="BC638" s="225"/>
      <c r="BD638" s="225"/>
      <c r="BE638" s="225"/>
      <c r="BF638" s="225"/>
      <c r="BG638" s="225"/>
      <c r="BH638" s="225"/>
      <c r="BI638" s="225"/>
      <c r="BJ638" s="225"/>
    </row>
    <row r="639" spans="2:62" ht="15.75" customHeight="1">
      <c r="B639" s="7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225"/>
      <c r="AL639" s="225"/>
      <c r="AM639" s="225"/>
      <c r="AN639" s="225"/>
      <c r="AO639" s="225"/>
      <c r="AP639" s="225"/>
      <c r="AQ639" s="225"/>
      <c r="AR639" s="225"/>
      <c r="AS639" s="225"/>
      <c r="AT639" s="225"/>
      <c r="AU639" s="225"/>
      <c r="AV639" s="225"/>
      <c r="AW639" s="225"/>
      <c r="AX639" s="225"/>
      <c r="AY639" s="225"/>
      <c r="AZ639" s="225"/>
      <c r="BA639" s="225"/>
      <c r="BB639" s="225"/>
      <c r="BC639" s="225"/>
      <c r="BD639" s="225"/>
      <c r="BE639" s="225"/>
      <c r="BF639" s="225"/>
      <c r="BG639" s="225"/>
      <c r="BH639" s="225"/>
      <c r="BI639" s="225"/>
      <c r="BJ639" s="225"/>
    </row>
    <row r="640" spans="2:62" ht="15.75" customHeight="1">
      <c r="B640" s="7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225"/>
      <c r="AL640" s="225"/>
      <c r="AM640" s="225"/>
      <c r="AN640" s="225"/>
      <c r="AO640" s="225"/>
      <c r="AP640" s="225"/>
      <c r="AQ640" s="225"/>
      <c r="AR640" s="225"/>
      <c r="AS640" s="225"/>
      <c r="AT640" s="225"/>
      <c r="AU640" s="225"/>
      <c r="AV640" s="225"/>
      <c r="AW640" s="225"/>
      <c r="AX640" s="225"/>
      <c r="AY640" s="225"/>
      <c r="AZ640" s="225"/>
      <c r="BA640" s="225"/>
      <c r="BB640" s="225"/>
      <c r="BC640" s="225"/>
      <c r="BD640" s="225"/>
      <c r="BE640" s="225"/>
      <c r="BF640" s="225"/>
      <c r="BG640" s="225"/>
      <c r="BH640" s="225"/>
      <c r="BI640" s="225"/>
      <c r="BJ640" s="225"/>
    </row>
    <row r="641" spans="2:62" ht="15.75" customHeight="1">
      <c r="B641" s="7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225"/>
      <c r="AL641" s="225"/>
      <c r="AM641" s="225"/>
      <c r="AN641" s="225"/>
      <c r="AO641" s="225"/>
      <c r="AP641" s="225"/>
      <c r="AQ641" s="225"/>
      <c r="AR641" s="225"/>
      <c r="AS641" s="225"/>
      <c r="AT641" s="225"/>
      <c r="AU641" s="225"/>
      <c r="AV641" s="225"/>
      <c r="AW641" s="225"/>
      <c r="AX641" s="225"/>
      <c r="AY641" s="225"/>
      <c r="AZ641" s="225"/>
      <c r="BA641" s="225"/>
      <c r="BB641" s="225"/>
      <c r="BC641" s="225"/>
      <c r="BD641" s="225"/>
      <c r="BE641" s="225"/>
      <c r="BF641" s="225"/>
      <c r="BG641" s="225"/>
      <c r="BH641" s="225"/>
      <c r="BI641" s="225"/>
      <c r="BJ641" s="225"/>
    </row>
    <row r="642" spans="2:62" ht="15.75" customHeight="1">
      <c r="B642" s="7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225"/>
      <c r="AL642" s="225"/>
      <c r="AM642" s="225"/>
      <c r="AN642" s="225"/>
      <c r="AO642" s="225"/>
      <c r="AP642" s="225"/>
      <c r="AQ642" s="225"/>
      <c r="AR642" s="225"/>
      <c r="AS642" s="225"/>
      <c r="AT642" s="225"/>
      <c r="AU642" s="225"/>
      <c r="AV642" s="225"/>
      <c r="AW642" s="225"/>
      <c r="AX642" s="225"/>
      <c r="AY642" s="225"/>
      <c r="AZ642" s="225"/>
      <c r="BA642" s="225"/>
      <c r="BB642" s="225"/>
      <c r="BC642" s="225"/>
      <c r="BD642" s="225"/>
      <c r="BE642" s="225"/>
      <c r="BF642" s="225"/>
      <c r="BG642" s="225"/>
      <c r="BH642" s="225"/>
      <c r="BI642" s="225"/>
      <c r="BJ642" s="225"/>
    </row>
    <row r="643" spans="2:62" ht="15.75" customHeight="1">
      <c r="B643" s="7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225"/>
      <c r="AL643" s="225"/>
      <c r="AM643" s="225"/>
      <c r="AN643" s="225"/>
      <c r="AO643" s="225"/>
      <c r="AP643" s="225"/>
      <c r="AQ643" s="225"/>
      <c r="AR643" s="225"/>
      <c r="AS643" s="225"/>
      <c r="AT643" s="225"/>
      <c r="AU643" s="225"/>
      <c r="AV643" s="225"/>
      <c r="AW643" s="225"/>
      <c r="AX643" s="225"/>
      <c r="AY643" s="225"/>
      <c r="AZ643" s="225"/>
      <c r="BA643" s="225"/>
      <c r="BB643" s="225"/>
      <c r="BC643" s="225"/>
      <c r="BD643" s="225"/>
      <c r="BE643" s="225"/>
      <c r="BF643" s="225"/>
      <c r="BG643" s="225"/>
      <c r="BH643" s="225"/>
      <c r="BI643" s="225"/>
      <c r="BJ643" s="225"/>
    </row>
    <row r="644" spans="2:62" ht="15.75" customHeight="1">
      <c r="B644" s="7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225"/>
      <c r="AL644" s="225"/>
      <c r="AM644" s="225"/>
      <c r="AN644" s="225"/>
      <c r="AO644" s="225"/>
      <c r="AP644" s="225"/>
      <c r="AQ644" s="225"/>
      <c r="AR644" s="225"/>
      <c r="AS644" s="225"/>
      <c r="AT644" s="225"/>
      <c r="AU644" s="225"/>
      <c r="AV644" s="225"/>
      <c r="AW644" s="225"/>
      <c r="AX644" s="225"/>
      <c r="AY644" s="225"/>
      <c r="AZ644" s="225"/>
      <c r="BA644" s="225"/>
      <c r="BB644" s="225"/>
      <c r="BC644" s="225"/>
      <c r="BD644" s="225"/>
      <c r="BE644" s="225"/>
      <c r="BF644" s="225"/>
      <c r="BG644" s="225"/>
      <c r="BH644" s="225"/>
      <c r="BI644" s="225"/>
      <c r="BJ644" s="225"/>
    </row>
    <row r="645" spans="2:62" ht="15.75" customHeight="1">
      <c r="B645" s="7"/>
      <c r="C645" s="366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67"/>
      <c r="P645" s="302"/>
      <c r="Q645" s="302"/>
      <c r="R645" s="302"/>
      <c r="S645" s="302"/>
      <c r="T645" s="302"/>
      <c r="U645" s="302"/>
      <c r="V645" s="302"/>
      <c r="W645" s="302"/>
      <c r="X645" s="302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225"/>
      <c r="AL645" s="225"/>
      <c r="AM645" s="225"/>
      <c r="AN645" s="225"/>
      <c r="AO645" s="225"/>
      <c r="AP645" s="225"/>
      <c r="AQ645" s="225"/>
      <c r="AR645" s="225"/>
      <c r="AS645" s="225"/>
      <c r="AT645" s="225"/>
      <c r="AU645" s="225"/>
      <c r="AV645" s="225"/>
      <c r="AW645" s="225"/>
      <c r="AX645" s="225"/>
      <c r="AY645" s="225"/>
      <c r="AZ645" s="225"/>
      <c r="BA645" s="225"/>
      <c r="BB645" s="225"/>
      <c r="BC645" s="225"/>
      <c r="BD645" s="225"/>
      <c r="BE645" s="225"/>
      <c r="BF645" s="225"/>
      <c r="BG645" s="225"/>
      <c r="BH645" s="225"/>
      <c r="BI645" s="225"/>
      <c r="BJ645" s="225"/>
    </row>
    <row r="646" spans="2:62" ht="15.75" customHeight="1">
      <c r="B646" s="7"/>
      <c r="C646" s="356"/>
      <c r="D646" s="360"/>
      <c r="E646" s="360"/>
      <c r="F646" s="360"/>
      <c r="G646" s="360"/>
      <c r="H646" s="360"/>
      <c r="I646" s="360"/>
      <c r="J646" s="360"/>
      <c r="K646" s="360"/>
      <c r="L646" s="360"/>
      <c r="M646" s="360"/>
      <c r="N646" s="360"/>
      <c r="O646" s="360"/>
      <c r="P646" s="360"/>
      <c r="Q646" s="368"/>
      <c r="R646" s="360"/>
      <c r="S646" s="360"/>
      <c r="T646" s="302"/>
      <c r="U646" s="302"/>
      <c r="V646" s="302"/>
      <c r="W646" s="302"/>
      <c r="X646" s="302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225"/>
      <c r="AL646" s="225"/>
      <c r="AM646" s="225"/>
      <c r="AN646" s="225"/>
      <c r="AO646" s="225"/>
      <c r="AP646" s="225"/>
      <c r="AQ646" s="225"/>
      <c r="AR646" s="225"/>
      <c r="AS646" s="225"/>
      <c r="AT646" s="225"/>
      <c r="AU646" s="225"/>
      <c r="AV646" s="225"/>
      <c r="AW646" s="225"/>
      <c r="AX646" s="225"/>
      <c r="AY646" s="225"/>
      <c r="AZ646" s="225"/>
      <c r="BA646" s="225"/>
      <c r="BB646" s="225"/>
      <c r="BC646" s="225"/>
      <c r="BD646" s="225"/>
      <c r="BE646" s="225"/>
      <c r="BF646" s="225"/>
      <c r="BG646" s="225"/>
      <c r="BH646" s="225"/>
      <c r="BI646" s="225"/>
      <c r="BJ646" s="225"/>
    </row>
    <row r="647" spans="2:62" ht="15.75" customHeight="1">
      <c r="B647" s="7"/>
      <c r="C647" s="302"/>
      <c r="D647" s="357"/>
      <c r="E647" s="357"/>
      <c r="F647" s="369"/>
      <c r="G647" s="357"/>
      <c r="H647" s="357"/>
      <c r="I647" s="369"/>
      <c r="J647" s="361"/>
      <c r="K647" s="361"/>
      <c r="L647" s="370"/>
      <c r="M647" s="361"/>
      <c r="N647" s="361"/>
      <c r="O647" s="361"/>
      <c r="P647" s="361"/>
      <c r="Q647" s="358"/>
      <c r="R647" s="357"/>
      <c r="S647" s="369"/>
      <c r="T647" s="302"/>
      <c r="U647" s="302"/>
      <c r="V647" s="302"/>
      <c r="W647" s="302"/>
      <c r="X647" s="302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225"/>
      <c r="AL647" s="225"/>
      <c r="AM647" s="225"/>
      <c r="AN647" s="225"/>
      <c r="AO647" s="225"/>
      <c r="AP647" s="225"/>
      <c r="AQ647" s="225"/>
      <c r="AR647" s="225"/>
      <c r="AS647" s="225"/>
      <c r="AT647" s="225"/>
      <c r="AU647" s="225"/>
      <c r="AV647" s="225"/>
      <c r="AW647" s="225"/>
      <c r="AX647" s="225"/>
      <c r="AY647" s="225"/>
      <c r="AZ647" s="225"/>
      <c r="BA647" s="225"/>
      <c r="BB647" s="225"/>
      <c r="BC647" s="225"/>
      <c r="BD647" s="225"/>
      <c r="BE647" s="225"/>
      <c r="BF647" s="225"/>
      <c r="BG647" s="225"/>
      <c r="BH647" s="225"/>
      <c r="BI647" s="225"/>
      <c r="BJ647" s="225"/>
    </row>
    <row r="648" spans="2:62" ht="15.75" customHeight="1">
      <c r="B648" s="7"/>
      <c r="C648" s="371"/>
      <c r="D648" s="302"/>
      <c r="E648" s="302"/>
      <c r="F648" s="360"/>
      <c r="G648" s="302"/>
      <c r="H648" s="302"/>
      <c r="I648" s="360"/>
      <c r="J648" s="360"/>
      <c r="K648" s="360"/>
      <c r="L648" s="302"/>
      <c r="M648" s="360"/>
      <c r="N648" s="360"/>
      <c r="O648" s="302"/>
      <c r="P648" s="360"/>
      <c r="Q648" s="360"/>
      <c r="R648" s="302"/>
      <c r="S648" s="360"/>
      <c r="T648" s="302"/>
      <c r="U648" s="302"/>
      <c r="V648" s="302"/>
      <c r="W648" s="302"/>
      <c r="X648" s="302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225"/>
      <c r="AL648" s="225"/>
      <c r="AM648" s="225"/>
      <c r="AN648" s="225"/>
      <c r="AO648" s="225"/>
      <c r="AP648" s="225"/>
      <c r="AQ648" s="225"/>
      <c r="AR648" s="225"/>
      <c r="AS648" s="225"/>
      <c r="AT648" s="225"/>
      <c r="AU648" s="225"/>
      <c r="AV648" s="225"/>
      <c r="AW648" s="225"/>
      <c r="AX648" s="225"/>
      <c r="AY648" s="225"/>
      <c r="AZ648" s="225"/>
      <c r="BA648" s="225"/>
      <c r="BB648" s="225"/>
      <c r="BC648" s="225"/>
      <c r="BD648" s="225"/>
      <c r="BE648" s="225"/>
      <c r="BF648" s="225"/>
      <c r="BG648" s="225"/>
      <c r="BH648" s="225"/>
      <c r="BI648" s="225"/>
      <c r="BJ648" s="225"/>
    </row>
    <row r="649" spans="2:62" ht="15.75" customHeight="1">
      <c r="B649" s="7"/>
      <c r="C649" s="302"/>
      <c r="D649" s="302"/>
      <c r="E649" s="302"/>
      <c r="F649" s="353"/>
      <c r="G649" s="302"/>
      <c r="H649" s="302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02"/>
      <c r="U649" s="302"/>
      <c r="V649" s="302"/>
      <c r="W649" s="302"/>
      <c r="X649" s="302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225"/>
      <c r="AL649" s="225"/>
      <c r="AM649" s="225"/>
      <c r="AN649" s="225"/>
      <c r="AO649" s="225"/>
      <c r="AP649" s="225"/>
      <c r="AQ649" s="225"/>
      <c r="AR649" s="225"/>
      <c r="AS649" s="225"/>
      <c r="AT649" s="225"/>
      <c r="AU649" s="225"/>
      <c r="AV649" s="225"/>
      <c r="AW649" s="225"/>
      <c r="AX649" s="225"/>
      <c r="AY649" s="225"/>
      <c r="AZ649" s="225"/>
      <c r="BA649" s="225"/>
      <c r="BB649" s="225"/>
      <c r="BC649" s="225"/>
      <c r="BD649" s="225"/>
      <c r="BE649" s="225"/>
      <c r="BF649" s="225"/>
      <c r="BG649" s="225"/>
      <c r="BH649" s="225"/>
      <c r="BI649" s="225"/>
      <c r="BJ649" s="225"/>
    </row>
    <row r="650" spans="2:62" ht="15.75" customHeight="1">
      <c r="B650" s="7"/>
      <c r="C650" s="352"/>
      <c r="D650" s="352"/>
      <c r="E650" s="352"/>
      <c r="F650" s="355"/>
      <c r="G650" s="352"/>
      <c r="H650" s="352"/>
      <c r="I650" s="355"/>
      <c r="J650" s="355"/>
      <c r="K650" s="355"/>
      <c r="L650" s="355"/>
      <c r="M650" s="355"/>
      <c r="N650" s="355"/>
      <c r="O650" s="355"/>
      <c r="P650" s="355"/>
      <c r="Q650" s="355"/>
      <c r="R650" s="355"/>
      <c r="S650" s="355"/>
      <c r="T650" s="302"/>
      <c r="U650" s="302"/>
      <c r="V650" s="302"/>
      <c r="W650" s="302"/>
      <c r="X650" s="302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225"/>
      <c r="AL650" s="225"/>
      <c r="AM650" s="225"/>
      <c r="AN650" s="225"/>
      <c r="AO650" s="225"/>
      <c r="AP650" s="225"/>
      <c r="AQ650" s="225"/>
      <c r="AR650" s="225"/>
      <c r="AS650" s="225"/>
      <c r="AT650" s="225"/>
      <c r="AU650" s="225"/>
      <c r="AV650" s="225"/>
      <c r="AW650" s="225"/>
      <c r="AX650" s="225"/>
      <c r="AY650" s="225"/>
      <c r="AZ650" s="225"/>
      <c r="BA650" s="225"/>
      <c r="BB650" s="225"/>
      <c r="BC650" s="225"/>
      <c r="BD650" s="225"/>
      <c r="BE650" s="225"/>
      <c r="BF650" s="225"/>
      <c r="BG650" s="225"/>
      <c r="BH650" s="225"/>
      <c r="BI650" s="225"/>
      <c r="BJ650" s="225"/>
    </row>
    <row r="651" spans="2:62" ht="15.75" customHeight="1">
      <c r="B651" s="7"/>
      <c r="C651" s="302"/>
      <c r="D651" s="302"/>
      <c r="E651" s="302"/>
      <c r="F651" s="302"/>
      <c r="G651" s="302"/>
      <c r="H651" s="302"/>
      <c r="I651" s="302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02"/>
      <c r="U651" s="302"/>
      <c r="V651" s="302"/>
      <c r="W651" s="302"/>
      <c r="X651" s="302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225"/>
      <c r="AL651" s="225"/>
      <c r="AM651" s="225"/>
      <c r="AN651" s="225"/>
      <c r="AO651" s="225"/>
      <c r="AP651" s="225"/>
      <c r="AQ651" s="225"/>
      <c r="AR651" s="225"/>
      <c r="AS651" s="225"/>
      <c r="AT651" s="225"/>
      <c r="AU651" s="225"/>
      <c r="AV651" s="225"/>
      <c r="AW651" s="225"/>
      <c r="AX651" s="225"/>
      <c r="AY651" s="225"/>
      <c r="AZ651" s="225"/>
      <c r="BA651" s="225"/>
      <c r="BB651" s="225"/>
      <c r="BC651" s="225"/>
      <c r="BD651" s="225"/>
      <c r="BE651" s="225"/>
      <c r="BF651" s="225"/>
      <c r="BG651" s="225"/>
      <c r="BH651" s="225"/>
      <c r="BI651" s="225"/>
      <c r="BJ651" s="225"/>
    </row>
    <row r="652" spans="2:62" ht="15.75" customHeight="1">
      <c r="B652" s="7"/>
      <c r="C652" s="302"/>
      <c r="D652" s="302"/>
      <c r="E652" s="302"/>
      <c r="F652" s="302"/>
      <c r="G652" s="302"/>
      <c r="H652" s="302"/>
      <c r="I652" s="302"/>
      <c r="J652" s="302"/>
      <c r="K652" s="353"/>
      <c r="L652" s="353"/>
      <c r="M652" s="302"/>
      <c r="N652" s="353"/>
      <c r="O652" s="353"/>
      <c r="P652" s="302"/>
      <c r="Q652" s="353"/>
      <c r="R652" s="353"/>
      <c r="S652" s="302"/>
      <c r="T652" s="302"/>
      <c r="U652" s="302"/>
      <c r="V652" s="302"/>
      <c r="W652" s="302"/>
      <c r="X652" s="302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225"/>
      <c r="AL652" s="225"/>
      <c r="AM652" s="225"/>
      <c r="AN652" s="225"/>
      <c r="AO652" s="225"/>
      <c r="AP652" s="225"/>
      <c r="AQ652" s="225"/>
      <c r="AR652" s="225"/>
      <c r="AS652" s="225"/>
      <c r="AT652" s="225"/>
      <c r="AU652" s="225"/>
      <c r="AV652" s="225"/>
      <c r="AW652" s="225"/>
      <c r="AX652" s="225"/>
      <c r="AY652" s="225"/>
      <c r="AZ652" s="225"/>
      <c r="BA652" s="225"/>
      <c r="BB652" s="225"/>
      <c r="BC652" s="225"/>
      <c r="BD652" s="225"/>
      <c r="BE652" s="225"/>
      <c r="BF652" s="225"/>
      <c r="BG652" s="225"/>
      <c r="BH652" s="225"/>
      <c r="BI652" s="225"/>
      <c r="BJ652" s="225"/>
    </row>
    <row r="653" spans="2:62" ht="15.75" customHeight="1">
      <c r="B653" s="7"/>
      <c r="C653" s="302"/>
      <c r="D653" s="302"/>
      <c r="E653" s="302"/>
      <c r="F653" s="302"/>
      <c r="G653" s="302"/>
      <c r="H653" s="302"/>
      <c r="I653" s="302"/>
      <c r="J653" s="302"/>
      <c r="K653" s="353"/>
      <c r="L653" s="353"/>
      <c r="M653" s="302"/>
      <c r="N653" s="353"/>
      <c r="O653" s="353"/>
      <c r="P653" s="302"/>
      <c r="Q653" s="353"/>
      <c r="R653" s="353"/>
      <c r="S653" s="302"/>
      <c r="T653" s="302"/>
      <c r="U653" s="302"/>
      <c r="V653" s="302"/>
      <c r="W653" s="302"/>
      <c r="X653" s="302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225"/>
      <c r="AL653" s="225"/>
      <c r="AM653" s="225"/>
      <c r="AN653" s="225"/>
      <c r="AO653" s="225"/>
      <c r="AP653" s="225"/>
      <c r="AQ653" s="225"/>
      <c r="AR653" s="225"/>
      <c r="AS653" s="225"/>
      <c r="AT653" s="225"/>
      <c r="AU653" s="225"/>
      <c r="AV653" s="225"/>
      <c r="AW653" s="225"/>
      <c r="AX653" s="225"/>
      <c r="AY653" s="225"/>
      <c r="AZ653" s="225"/>
      <c r="BA653" s="225"/>
      <c r="BB653" s="225"/>
      <c r="BC653" s="225"/>
      <c r="BD653" s="225"/>
      <c r="BE653" s="225"/>
      <c r="BF653" s="225"/>
      <c r="BG653" s="225"/>
      <c r="BH653" s="225"/>
      <c r="BI653" s="225"/>
      <c r="BJ653" s="225"/>
    </row>
    <row r="654" spans="2:62" ht="15.75" customHeight="1">
      <c r="B654" s="7"/>
      <c r="C654" s="302"/>
      <c r="D654" s="302"/>
      <c r="E654" s="302"/>
      <c r="F654" s="302"/>
      <c r="G654" s="302"/>
      <c r="H654" s="302"/>
      <c r="I654" s="302"/>
      <c r="J654" s="302"/>
      <c r="K654" s="353"/>
      <c r="L654" s="353"/>
      <c r="M654" s="302"/>
      <c r="N654" s="353"/>
      <c r="O654" s="353"/>
      <c r="P654" s="302"/>
      <c r="Q654" s="353"/>
      <c r="R654" s="353"/>
      <c r="S654" s="302"/>
      <c r="T654" s="302"/>
      <c r="U654" s="302"/>
      <c r="V654" s="302"/>
      <c r="W654" s="302"/>
      <c r="X654" s="302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225"/>
      <c r="AL654" s="225"/>
      <c r="AM654" s="225"/>
      <c r="AN654" s="225"/>
      <c r="AO654" s="225"/>
      <c r="AP654" s="225"/>
      <c r="AQ654" s="225"/>
      <c r="AR654" s="225"/>
      <c r="AS654" s="225"/>
      <c r="AT654" s="225"/>
      <c r="AU654" s="225"/>
      <c r="AV654" s="225"/>
      <c r="AW654" s="225"/>
      <c r="AX654" s="225"/>
      <c r="AY654" s="225"/>
      <c r="AZ654" s="225"/>
      <c r="BA654" s="225"/>
      <c r="BB654" s="225"/>
      <c r="BC654" s="225"/>
      <c r="BD654" s="225"/>
      <c r="BE654" s="225"/>
      <c r="BF654" s="225"/>
      <c r="BG654" s="225"/>
      <c r="BH654" s="225"/>
      <c r="BI654" s="225"/>
      <c r="BJ654" s="225"/>
    </row>
    <row r="655" spans="2:62" ht="15.75" customHeight="1">
      <c r="B655" s="7"/>
      <c r="C655" s="302"/>
      <c r="D655" s="302"/>
      <c r="E655" s="302"/>
      <c r="F655" s="302"/>
      <c r="G655" s="302"/>
      <c r="H655" s="302"/>
      <c r="I655" s="302"/>
      <c r="J655" s="302"/>
      <c r="K655" s="353"/>
      <c r="L655" s="353"/>
      <c r="M655" s="302"/>
      <c r="N655" s="353"/>
      <c r="O655" s="353"/>
      <c r="P655" s="302"/>
      <c r="Q655" s="353"/>
      <c r="R655" s="353"/>
      <c r="S655" s="302"/>
      <c r="T655" s="302"/>
      <c r="U655" s="302"/>
      <c r="V655" s="302"/>
      <c r="W655" s="302"/>
      <c r="X655" s="302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225"/>
      <c r="AL655" s="225"/>
      <c r="AM655" s="225"/>
      <c r="AN655" s="225"/>
      <c r="AO655" s="225"/>
      <c r="AP655" s="225"/>
      <c r="AQ655" s="225"/>
      <c r="AR655" s="225"/>
      <c r="AS655" s="225"/>
      <c r="AT655" s="225"/>
      <c r="AU655" s="225"/>
      <c r="AV655" s="225"/>
      <c r="AW655" s="225"/>
      <c r="AX655" s="225"/>
      <c r="AY655" s="225"/>
      <c r="AZ655" s="225"/>
      <c r="BA655" s="225"/>
      <c r="BB655" s="225"/>
      <c r="BC655" s="225"/>
      <c r="BD655" s="225"/>
      <c r="BE655" s="225"/>
      <c r="BF655" s="225"/>
      <c r="BG655" s="225"/>
      <c r="BH655" s="225"/>
      <c r="BI655" s="225"/>
      <c r="BJ655" s="225"/>
    </row>
    <row r="656" spans="2:62" ht="15.75" customHeight="1">
      <c r="B656" s="7"/>
      <c r="C656" s="302"/>
      <c r="D656" s="302"/>
      <c r="E656" s="302"/>
      <c r="F656" s="302"/>
      <c r="G656" s="302"/>
      <c r="H656" s="302"/>
      <c r="I656" s="302"/>
      <c r="J656" s="302"/>
      <c r="K656" s="353"/>
      <c r="L656" s="353"/>
      <c r="M656" s="302"/>
      <c r="N656" s="353"/>
      <c r="O656" s="353"/>
      <c r="P656" s="302"/>
      <c r="Q656" s="353"/>
      <c r="R656" s="353"/>
      <c r="S656" s="302"/>
      <c r="T656" s="302"/>
      <c r="U656" s="302"/>
      <c r="V656" s="302"/>
      <c r="W656" s="302"/>
      <c r="X656" s="302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225"/>
      <c r="AL656" s="225"/>
      <c r="AM656" s="225"/>
      <c r="AN656" s="225"/>
      <c r="AO656" s="225"/>
      <c r="AP656" s="225"/>
      <c r="AQ656" s="225"/>
      <c r="AR656" s="225"/>
      <c r="AS656" s="225"/>
      <c r="AT656" s="225"/>
      <c r="AU656" s="225"/>
      <c r="AV656" s="225"/>
      <c r="AW656" s="225"/>
      <c r="AX656" s="225"/>
      <c r="AY656" s="225"/>
      <c r="AZ656" s="225"/>
      <c r="BA656" s="225"/>
      <c r="BB656" s="225"/>
      <c r="BC656" s="225"/>
      <c r="BD656" s="225"/>
      <c r="BE656" s="225"/>
      <c r="BF656" s="225"/>
      <c r="BG656" s="225"/>
      <c r="BH656" s="225"/>
      <c r="BI656" s="225"/>
      <c r="BJ656" s="225"/>
    </row>
    <row r="657" spans="2:62" ht="15.75" customHeight="1">
      <c r="B657" s="7"/>
      <c r="C657" s="302"/>
      <c r="D657" s="302"/>
      <c r="E657" s="302"/>
      <c r="F657" s="302"/>
      <c r="G657" s="302"/>
      <c r="H657" s="302"/>
      <c r="I657" s="302"/>
      <c r="J657" s="302"/>
      <c r="K657" s="353"/>
      <c r="L657" s="355"/>
      <c r="M657" s="302"/>
      <c r="N657" s="353"/>
      <c r="O657" s="353"/>
      <c r="P657" s="302"/>
      <c r="Q657" s="353"/>
      <c r="R657" s="355"/>
      <c r="S657" s="302"/>
      <c r="T657" s="302"/>
      <c r="U657" s="302"/>
      <c r="V657" s="302"/>
      <c r="W657" s="302"/>
      <c r="X657" s="302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225"/>
      <c r="AL657" s="225"/>
      <c r="AM657" s="225"/>
      <c r="AN657" s="225"/>
      <c r="AO657" s="225"/>
      <c r="AP657" s="225"/>
      <c r="AQ657" s="225"/>
      <c r="AR657" s="225"/>
      <c r="AS657" s="225"/>
      <c r="AT657" s="225"/>
      <c r="AU657" s="225"/>
      <c r="AV657" s="225"/>
      <c r="AW657" s="225"/>
      <c r="AX657" s="225"/>
      <c r="AY657" s="225"/>
      <c r="AZ657" s="225"/>
      <c r="BA657" s="225"/>
      <c r="BB657" s="225"/>
      <c r="BC657" s="225"/>
      <c r="BD657" s="225"/>
      <c r="BE657" s="225"/>
      <c r="BF657" s="225"/>
      <c r="BG657" s="225"/>
      <c r="BH657" s="225"/>
      <c r="BI657" s="225"/>
      <c r="BJ657" s="225"/>
    </row>
    <row r="658" spans="2:62" ht="15.75" customHeight="1">
      <c r="B658" s="7"/>
      <c r="C658" s="302"/>
      <c r="D658" s="302"/>
      <c r="E658" s="302"/>
      <c r="F658" s="302"/>
      <c r="G658" s="302"/>
      <c r="H658" s="302"/>
      <c r="I658" s="302"/>
      <c r="J658" s="302"/>
      <c r="K658" s="353"/>
      <c r="L658" s="353"/>
      <c r="M658" s="302"/>
      <c r="N658" s="353"/>
      <c r="O658" s="353"/>
      <c r="P658" s="302"/>
      <c r="Q658" s="353"/>
      <c r="R658" s="353"/>
      <c r="S658" s="302"/>
      <c r="T658" s="302"/>
      <c r="U658" s="302"/>
      <c r="V658" s="302"/>
      <c r="W658" s="302"/>
      <c r="X658" s="302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225"/>
      <c r="AL658" s="225"/>
      <c r="AM658" s="225"/>
      <c r="AN658" s="225"/>
      <c r="AO658" s="225"/>
      <c r="AP658" s="225"/>
      <c r="AQ658" s="225"/>
      <c r="AR658" s="225"/>
      <c r="AS658" s="225"/>
      <c r="AT658" s="225"/>
      <c r="AU658" s="225"/>
      <c r="AV658" s="225"/>
      <c r="AW658" s="225"/>
      <c r="AX658" s="225"/>
      <c r="AY658" s="225"/>
      <c r="AZ658" s="225"/>
      <c r="BA658" s="225"/>
      <c r="BB658" s="225"/>
      <c r="BC658" s="225"/>
      <c r="BD658" s="225"/>
      <c r="BE658" s="225"/>
      <c r="BF658" s="225"/>
      <c r="BG658" s="225"/>
      <c r="BH658" s="225"/>
      <c r="BI658" s="225"/>
      <c r="BJ658" s="225"/>
    </row>
    <row r="659" spans="2:62" ht="15.75" customHeight="1">
      <c r="B659" s="7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55"/>
      <c r="O659" s="355"/>
      <c r="P659" s="302"/>
      <c r="Q659" s="355"/>
      <c r="R659" s="302"/>
      <c r="S659" s="302"/>
      <c r="T659" s="302"/>
      <c r="U659" s="302"/>
      <c r="V659" s="302"/>
      <c r="W659" s="302"/>
      <c r="X659" s="302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225"/>
      <c r="AL659" s="225"/>
      <c r="AM659" s="225"/>
      <c r="AN659" s="225"/>
      <c r="AO659" s="225"/>
      <c r="AP659" s="225"/>
      <c r="AQ659" s="225"/>
      <c r="AR659" s="225"/>
      <c r="AS659" s="225"/>
      <c r="AT659" s="225"/>
      <c r="AU659" s="225"/>
      <c r="AV659" s="225"/>
      <c r="AW659" s="225"/>
      <c r="AX659" s="225"/>
      <c r="AY659" s="225"/>
      <c r="AZ659" s="225"/>
      <c r="BA659" s="225"/>
      <c r="BB659" s="225"/>
      <c r="BC659" s="225"/>
      <c r="BD659" s="225"/>
      <c r="BE659" s="225"/>
      <c r="BF659" s="225"/>
      <c r="BG659" s="225"/>
      <c r="BH659" s="225"/>
      <c r="BI659" s="225"/>
      <c r="BJ659" s="225"/>
    </row>
    <row r="660" spans="2:62" ht="15.75" customHeight="1">
      <c r="B660" s="7"/>
      <c r="C660" s="302"/>
      <c r="D660" s="302"/>
      <c r="E660" s="302"/>
      <c r="F660" s="302"/>
      <c r="G660" s="302"/>
      <c r="H660" s="302"/>
      <c r="I660" s="302"/>
      <c r="J660" s="302"/>
      <c r="K660" s="355"/>
      <c r="L660" s="355"/>
      <c r="M660" s="302"/>
      <c r="N660" s="353"/>
      <c r="O660" s="353"/>
      <c r="P660" s="302"/>
      <c r="Q660" s="353"/>
      <c r="R660" s="355"/>
      <c r="S660" s="302"/>
      <c r="T660" s="302"/>
      <c r="U660" s="302"/>
      <c r="V660" s="302"/>
      <c r="W660" s="302"/>
      <c r="X660" s="302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225"/>
      <c r="AL660" s="225"/>
      <c r="AM660" s="225"/>
      <c r="AN660" s="225"/>
      <c r="AO660" s="225"/>
      <c r="AP660" s="225"/>
      <c r="AQ660" s="225"/>
      <c r="AR660" s="225"/>
      <c r="AS660" s="225"/>
      <c r="AT660" s="225"/>
      <c r="AU660" s="225"/>
      <c r="AV660" s="225"/>
      <c r="AW660" s="225"/>
      <c r="AX660" s="225"/>
      <c r="AY660" s="225"/>
      <c r="AZ660" s="225"/>
      <c r="BA660" s="225"/>
      <c r="BB660" s="225"/>
      <c r="BC660" s="225"/>
      <c r="BD660" s="225"/>
      <c r="BE660" s="225"/>
      <c r="BF660" s="225"/>
      <c r="BG660" s="225"/>
      <c r="BH660" s="225"/>
      <c r="BI660" s="225"/>
      <c r="BJ660" s="225"/>
    </row>
    <row r="661" spans="2:62" ht="15.75" customHeight="1">
      <c r="B661" s="7"/>
      <c r="C661" s="302"/>
      <c r="D661" s="302"/>
      <c r="E661" s="302"/>
      <c r="F661" s="302"/>
      <c r="G661" s="302"/>
      <c r="H661" s="302"/>
      <c r="I661" s="302"/>
      <c r="J661" s="302"/>
      <c r="K661" s="353"/>
      <c r="L661" s="353"/>
      <c r="M661" s="302"/>
      <c r="N661" s="353"/>
      <c r="O661" s="353"/>
      <c r="P661" s="302"/>
      <c r="Q661" s="353"/>
      <c r="R661" s="353"/>
      <c r="S661" s="302"/>
      <c r="T661" s="302"/>
      <c r="U661" s="302"/>
      <c r="V661" s="302"/>
      <c r="W661" s="302"/>
      <c r="X661" s="302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225"/>
      <c r="AL661" s="225"/>
      <c r="AM661" s="225"/>
      <c r="AN661" s="225"/>
      <c r="AO661" s="225"/>
      <c r="AP661" s="225"/>
      <c r="AQ661" s="225"/>
      <c r="AR661" s="225"/>
      <c r="AS661" s="225"/>
      <c r="AT661" s="225"/>
      <c r="AU661" s="225"/>
      <c r="AV661" s="225"/>
      <c r="AW661" s="225"/>
      <c r="AX661" s="225"/>
      <c r="AY661" s="225"/>
      <c r="AZ661" s="225"/>
      <c r="BA661" s="225"/>
      <c r="BB661" s="225"/>
      <c r="BC661" s="225"/>
      <c r="BD661" s="225"/>
      <c r="BE661" s="225"/>
      <c r="BF661" s="225"/>
      <c r="BG661" s="225"/>
      <c r="BH661" s="225"/>
      <c r="BI661" s="225"/>
      <c r="BJ661" s="225"/>
    </row>
    <row r="662" spans="2:62" ht="15.75" customHeight="1">
      <c r="B662" s="7"/>
      <c r="C662" s="302"/>
      <c r="D662" s="302"/>
      <c r="E662" s="302"/>
      <c r="F662" s="302"/>
      <c r="G662" s="302"/>
      <c r="H662" s="302"/>
      <c r="I662" s="302"/>
      <c r="J662" s="302"/>
      <c r="K662" s="353"/>
      <c r="L662" s="353"/>
      <c r="M662" s="302"/>
      <c r="N662" s="353"/>
      <c r="O662" s="353"/>
      <c r="P662" s="302"/>
      <c r="Q662" s="353"/>
      <c r="R662" s="353"/>
      <c r="S662" s="302"/>
      <c r="T662" s="302"/>
      <c r="U662" s="302"/>
      <c r="V662" s="302"/>
      <c r="W662" s="302"/>
      <c r="X662" s="302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225"/>
      <c r="AL662" s="225"/>
      <c r="AM662" s="225"/>
      <c r="AN662" s="225"/>
      <c r="AO662" s="225"/>
      <c r="AP662" s="225"/>
      <c r="AQ662" s="225"/>
      <c r="AR662" s="225"/>
      <c r="AS662" s="225"/>
      <c r="AT662" s="225"/>
      <c r="AU662" s="225"/>
      <c r="AV662" s="225"/>
      <c r="AW662" s="225"/>
      <c r="AX662" s="225"/>
      <c r="AY662" s="225"/>
      <c r="AZ662" s="225"/>
      <c r="BA662" s="225"/>
      <c r="BB662" s="225"/>
      <c r="BC662" s="225"/>
      <c r="BD662" s="225"/>
      <c r="BE662" s="225"/>
      <c r="BF662" s="225"/>
      <c r="BG662" s="225"/>
      <c r="BH662" s="225"/>
      <c r="BI662" s="225"/>
      <c r="BJ662" s="225"/>
    </row>
    <row r="663" spans="2:62" ht="15.75" customHeight="1">
      <c r="B663" s="7"/>
      <c r="C663" s="302"/>
      <c r="D663" s="302"/>
      <c r="E663" s="302"/>
      <c r="F663" s="302"/>
      <c r="G663" s="302"/>
      <c r="H663" s="302"/>
      <c r="I663" s="302"/>
      <c r="J663" s="302"/>
      <c r="K663" s="353"/>
      <c r="L663" s="353"/>
      <c r="M663" s="302"/>
      <c r="N663" s="353"/>
      <c r="O663" s="353"/>
      <c r="P663" s="302"/>
      <c r="Q663" s="353"/>
      <c r="R663" s="353"/>
      <c r="S663" s="302"/>
      <c r="T663" s="302"/>
      <c r="U663" s="302"/>
      <c r="V663" s="302"/>
      <c r="W663" s="302"/>
      <c r="X663" s="302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225"/>
      <c r="AL663" s="225"/>
      <c r="AM663" s="225"/>
      <c r="AN663" s="225"/>
      <c r="AO663" s="225"/>
      <c r="AP663" s="225"/>
      <c r="AQ663" s="225"/>
      <c r="AR663" s="225"/>
      <c r="AS663" s="225"/>
      <c r="AT663" s="225"/>
      <c r="AU663" s="225"/>
      <c r="AV663" s="225"/>
      <c r="AW663" s="225"/>
      <c r="AX663" s="225"/>
      <c r="AY663" s="225"/>
      <c r="AZ663" s="225"/>
      <c r="BA663" s="225"/>
      <c r="BB663" s="225"/>
      <c r="BC663" s="225"/>
      <c r="BD663" s="225"/>
      <c r="BE663" s="225"/>
      <c r="BF663" s="225"/>
      <c r="BG663" s="225"/>
      <c r="BH663" s="225"/>
      <c r="BI663" s="225"/>
      <c r="BJ663" s="225"/>
    </row>
    <row r="664" spans="2:62" ht="15.75" customHeight="1">
      <c r="B664" s="7"/>
      <c r="C664" s="302"/>
      <c r="D664" s="302"/>
      <c r="E664" s="302"/>
      <c r="F664" s="302"/>
      <c r="G664" s="302"/>
      <c r="H664" s="302"/>
      <c r="I664" s="302"/>
      <c r="J664" s="302"/>
      <c r="K664" s="353"/>
      <c r="L664" s="353"/>
      <c r="M664" s="302"/>
      <c r="N664" s="353"/>
      <c r="O664" s="353"/>
      <c r="P664" s="302"/>
      <c r="Q664" s="353"/>
      <c r="R664" s="353"/>
      <c r="S664" s="302"/>
      <c r="T664" s="302"/>
      <c r="U664" s="302"/>
      <c r="V664" s="302"/>
      <c r="W664" s="302"/>
      <c r="X664" s="302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225"/>
      <c r="AL664" s="225"/>
      <c r="AM664" s="225"/>
      <c r="AN664" s="225"/>
      <c r="AO664" s="225"/>
      <c r="AP664" s="225"/>
      <c r="AQ664" s="225"/>
      <c r="AR664" s="225"/>
      <c r="AS664" s="225"/>
      <c r="AT664" s="225"/>
      <c r="AU664" s="225"/>
      <c r="AV664" s="225"/>
      <c r="AW664" s="225"/>
      <c r="AX664" s="225"/>
      <c r="AY664" s="225"/>
      <c r="AZ664" s="225"/>
      <c r="BA664" s="225"/>
      <c r="BB664" s="225"/>
      <c r="BC664" s="225"/>
      <c r="BD664" s="225"/>
      <c r="BE664" s="225"/>
      <c r="BF664" s="225"/>
      <c r="BG664" s="225"/>
      <c r="BH664" s="225"/>
      <c r="BI664" s="225"/>
      <c r="BJ664" s="225"/>
    </row>
    <row r="665" spans="2:62" ht="15.75" customHeight="1">
      <c r="B665" s="7"/>
      <c r="C665" s="302"/>
      <c r="D665" s="302"/>
      <c r="E665" s="302"/>
      <c r="F665" s="302"/>
      <c r="G665" s="302"/>
      <c r="H665" s="302"/>
      <c r="I665" s="302"/>
      <c r="J665" s="302"/>
      <c r="K665" s="353"/>
      <c r="L665" s="353"/>
      <c r="M665" s="302"/>
      <c r="N665" s="353"/>
      <c r="O665" s="353"/>
      <c r="P665" s="302"/>
      <c r="Q665" s="353"/>
      <c r="R665" s="353"/>
      <c r="S665" s="302"/>
      <c r="T665" s="302"/>
      <c r="U665" s="302"/>
      <c r="V665" s="302"/>
      <c r="W665" s="302"/>
      <c r="X665" s="302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225"/>
      <c r="AL665" s="225"/>
      <c r="AM665" s="225"/>
      <c r="AN665" s="225"/>
      <c r="AO665" s="225"/>
      <c r="AP665" s="225"/>
      <c r="AQ665" s="225"/>
      <c r="AR665" s="225"/>
      <c r="AS665" s="225"/>
      <c r="AT665" s="225"/>
      <c r="AU665" s="225"/>
      <c r="AV665" s="225"/>
      <c r="AW665" s="225"/>
      <c r="AX665" s="225"/>
      <c r="AY665" s="225"/>
      <c r="AZ665" s="225"/>
      <c r="BA665" s="225"/>
      <c r="BB665" s="225"/>
      <c r="BC665" s="225"/>
      <c r="BD665" s="225"/>
      <c r="BE665" s="225"/>
      <c r="BF665" s="225"/>
      <c r="BG665" s="225"/>
      <c r="BH665" s="225"/>
      <c r="BI665" s="225"/>
      <c r="BJ665" s="225"/>
    </row>
    <row r="666" spans="2:62" ht="15.75" customHeight="1">
      <c r="B666" s="7"/>
      <c r="C666" s="302"/>
      <c r="D666" s="302"/>
      <c r="E666" s="302"/>
      <c r="F666" s="302"/>
      <c r="G666" s="302"/>
      <c r="H666" s="302"/>
      <c r="I666" s="302"/>
      <c r="J666" s="302"/>
      <c r="K666" s="353"/>
      <c r="L666" s="353"/>
      <c r="M666" s="302"/>
      <c r="N666" s="353"/>
      <c r="O666" s="353"/>
      <c r="P666" s="302"/>
      <c r="Q666" s="353"/>
      <c r="R666" s="353"/>
      <c r="S666" s="302"/>
      <c r="T666" s="302"/>
      <c r="U666" s="302"/>
      <c r="V666" s="302"/>
      <c r="W666" s="302"/>
      <c r="X666" s="302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225"/>
      <c r="AL666" s="225"/>
      <c r="AM666" s="225"/>
      <c r="AN666" s="225"/>
      <c r="AO666" s="225"/>
      <c r="AP666" s="225"/>
      <c r="AQ666" s="225"/>
      <c r="AR666" s="225"/>
      <c r="AS666" s="225"/>
      <c r="AT666" s="225"/>
      <c r="AU666" s="225"/>
      <c r="AV666" s="225"/>
      <c r="AW666" s="225"/>
      <c r="AX666" s="225"/>
      <c r="AY666" s="225"/>
      <c r="AZ666" s="225"/>
      <c r="BA666" s="225"/>
      <c r="BB666" s="225"/>
      <c r="BC666" s="225"/>
      <c r="BD666" s="225"/>
      <c r="BE666" s="225"/>
      <c r="BF666" s="225"/>
      <c r="BG666" s="225"/>
      <c r="BH666" s="225"/>
      <c r="BI666" s="225"/>
      <c r="BJ666" s="225"/>
    </row>
    <row r="667" spans="2:62" ht="15.75" customHeight="1">
      <c r="B667" s="7"/>
      <c r="C667" s="302"/>
      <c r="D667" s="302"/>
      <c r="E667" s="302"/>
      <c r="F667" s="302"/>
      <c r="G667" s="302"/>
      <c r="H667" s="302"/>
      <c r="I667" s="302"/>
      <c r="J667" s="302"/>
      <c r="K667" s="353"/>
      <c r="L667" s="353"/>
      <c r="M667" s="302"/>
      <c r="N667" s="353"/>
      <c r="O667" s="353"/>
      <c r="P667" s="302"/>
      <c r="Q667" s="353"/>
      <c r="R667" s="353"/>
      <c r="S667" s="302"/>
      <c r="T667" s="302"/>
      <c r="U667" s="302"/>
      <c r="V667" s="302"/>
      <c r="W667" s="302"/>
      <c r="X667" s="302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225"/>
      <c r="AL667" s="225"/>
      <c r="AM667" s="225"/>
      <c r="AN667" s="225"/>
      <c r="AO667" s="225"/>
      <c r="AP667" s="225"/>
      <c r="AQ667" s="225"/>
      <c r="AR667" s="225"/>
      <c r="AS667" s="225"/>
      <c r="AT667" s="225"/>
      <c r="AU667" s="225"/>
      <c r="AV667" s="225"/>
      <c r="AW667" s="225"/>
      <c r="AX667" s="225"/>
      <c r="AY667" s="225"/>
      <c r="AZ667" s="225"/>
      <c r="BA667" s="225"/>
      <c r="BB667" s="225"/>
      <c r="BC667" s="225"/>
      <c r="BD667" s="225"/>
      <c r="BE667" s="225"/>
      <c r="BF667" s="225"/>
      <c r="BG667" s="225"/>
      <c r="BH667" s="225"/>
      <c r="BI667" s="225"/>
      <c r="BJ667" s="225"/>
    </row>
    <row r="668" spans="2:62" ht="15.75" customHeight="1">
      <c r="B668" s="7"/>
      <c r="C668" s="302"/>
      <c r="D668" s="302"/>
      <c r="E668" s="302"/>
      <c r="F668" s="302"/>
      <c r="G668" s="302"/>
      <c r="H668" s="302"/>
      <c r="I668" s="302"/>
      <c r="J668" s="302"/>
      <c r="K668" s="353"/>
      <c r="L668" s="353"/>
      <c r="M668" s="302"/>
      <c r="N668" s="353"/>
      <c r="O668" s="353"/>
      <c r="P668" s="302"/>
      <c r="Q668" s="353"/>
      <c r="R668" s="353"/>
      <c r="S668" s="302"/>
      <c r="T668" s="302"/>
      <c r="U668" s="302"/>
      <c r="V668" s="302"/>
      <c r="W668" s="302"/>
      <c r="X668" s="302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225"/>
      <c r="AL668" s="225"/>
      <c r="AM668" s="225"/>
      <c r="AN668" s="225"/>
      <c r="AO668" s="225"/>
      <c r="AP668" s="225"/>
      <c r="AQ668" s="225"/>
      <c r="AR668" s="225"/>
      <c r="AS668" s="225"/>
      <c r="AT668" s="225"/>
      <c r="AU668" s="225"/>
      <c r="AV668" s="225"/>
      <c r="AW668" s="225"/>
      <c r="AX668" s="225"/>
      <c r="AY668" s="225"/>
      <c r="AZ668" s="225"/>
      <c r="BA668" s="225"/>
      <c r="BB668" s="225"/>
      <c r="BC668" s="225"/>
      <c r="BD668" s="225"/>
      <c r="BE668" s="225"/>
      <c r="BF668" s="225"/>
      <c r="BG668" s="225"/>
      <c r="BH668" s="225"/>
      <c r="BI668" s="225"/>
      <c r="BJ668" s="225"/>
    </row>
    <row r="669" spans="2:62" ht="15.75" customHeight="1">
      <c r="B669" s="7"/>
      <c r="C669" s="302"/>
      <c r="D669" s="302"/>
      <c r="E669" s="302"/>
      <c r="F669" s="302"/>
      <c r="G669" s="302"/>
      <c r="H669" s="302"/>
      <c r="I669" s="302"/>
      <c r="J669" s="302"/>
      <c r="K669" s="353"/>
      <c r="L669" s="353"/>
      <c r="M669" s="302"/>
      <c r="N669" s="355"/>
      <c r="O669" s="355"/>
      <c r="P669" s="302"/>
      <c r="Q669" s="355"/>
      <c r="R669" s="353"/>
      <c r="S669" s="302"/>
      <c r="T669" s="302"/>
      <c r="U669" s="302"/>
      <c r="V669" s="302"/>
      <c r="W669" s="302"/>
      <c r="X669" s="302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225"/>
      <c r="AL669" s="225"/>
      <c r="AM669" s="225"/>
      <c r="AN669" s="225"/>
      <c r="AO669" s="225"/>
      <c r="AP669" s="225"/>
      <c r="AQ669" s="225"/>
      <c r="AR669" s="225"/>
      <c r="AS669" s="225"/>
      <c r="AT669" s="225"/>
      <c r="AU669" s="225"/>
      <c r="AV669" s="225"/>
      <c r="AW669" s="225"/>
      <c r="AX669" s="225"/>
      <c r="AY669" s="225"/>
      <c r="AZ669" s="225"/>
      <c r="BA669" s="225"/>
      <c r="BB669" s="225"/>
      <c r="BC669" s="225"/>
      <c r="BD669" s="225"/>
      <c r="BE669" s="225"/>
      <c r="BF669" s="225"/>
      <c r="BG669" s="225"/>
      <c r="BH669" s="225"/>
      <c r="BI669" s="225"/>
      <c r="BJ669" s="225"/>
    </row>
    <row r="670" spans="2:62" ht="15.75" customHeight="1">
      <c r="B670" s="7"/>
      <c r="C670" s="302"/>
      <c r="D670" s="302"/>
      <c r="E670" s="302"/>
      <c r="F670" s="302"/>
      <c r="G670" s="302"/>
      <c r="H670" s="302"/>
      <c r="I670" s="302"/>
      <c r="J670" s="302"/>
      <c r="K670" s="355"/>
      <c r="L670" s="355"/>
      <c r="M670" s="302"/>
      <c r="N670" s="353"/>
      <c r="O670" s="353"/>
      <c r="P670" s="302"/>
      <c r="Q670" s="353"/>
      <c r="R670" s="355"/>
      <c r="S670" s="302"/>
      <c r="T670" s="302"/>
      <c r="U670" s="302"/>
      <c r="V670" s="302"/>
      <c r="W670" s="302"/>
      <c r="X670" s="302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225"/>
      <c r="AL670" s="225"/>
      <c r="AM670" s="225"/>
      <c r="AN670" s="225"/>
      <c r="AO670" s="225"/>
      <c r="AP670" s="225"/>
      <c r="AQ670" s="225"/>
      <c r="AR670" s="225"/>
      <c r="AS670" s="225"/>
      <c r="AT670" s="225"/>
      <c r="AU670" s="225"/>
      <c r="AV670" s="225"/>
      <c r="AW670" s="225"/>
      <c r="AX670" s="225"/>
      <c r="AY670" s="225"/>
      <c r="AZ670" s="225"/>
      <c r="BA670" s="225"/>
      <c r="BB670" s="225"/>
      <c r="BC670" s="225"/>
      <c r="BD670" s="225"/>
      <c r="BE670" s="225"/>
      <c r="BF670" s="225"/>
      <c r="BG670" s="225"/>
      <c r="BH670" s="225"/>
      <c r="BI670" s="225"/>
      <c r="BJ670" s="225"/>
    </row>
    <row r="671" spans="2:62" ht="15.75" customHeight="1">
      <c r="B671" s="7"/>
      <c r="C671" s="302"/>
      <c r="D671" s="302"/>
      <c r="E671" s="302"/>
      <c r="F671" s="302"/>
      <c r="G671" s="302"/>
      <c r="H671" s="302"/>
      <c r="I671" s="302"/>
      <c r="J671" s="302"/>
      <c r="K671" s="353"/>
      <c r="L671" s="353"/>
      <c r="M671" s="302"/>
      <c r="N671" s="353"/>
      <c r="O671" s="353"/>
      <c r="P671" s="302"/>
      <c r="Q671" s="353"/>
      <c r="R671" s="353"/>
      <c r="S671" s="302"/>
      <c r="T671" s="302"/>
      <c r="U671" s="302"/>
      <c r="V671" s="302"/>
      <c r="W671" s="302"/>
      <c r="X671" s="302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225"/>
      <c r="AL671" s="225"/>
      <c r="AM671" s="225"/>
      <c r="AN671" s="225"/>
      <c r="AO671" s="225"/>
      <c r="AP671" s="225"/>
      <c r="AQ671" s="225"/>
      <c r="AR671" s="225"/>
      <c r="AS671" s="225"/>
      <c r="AT671" s="225"/>
      <c r="AU671" s="225"/>
      <c r="AV671" s="225"/>
      <c r="AW671" s="225"/>
      <c r="AX671" s="225"/>
      <c r="AY671" s="225"/>
      <c r="AZ671" s="225"/>
      <c r="BA671" s="225"/>
      <c r="BB671" s="225"/>
      <c r="BC671" s="225"/>
      <c r="BD671" s="225"/>
      <c r="BE671" s="225"/>
      <c r="BF671" s="225"/>
      <c r="BG671" s="225"/>
      <c r="BH671" s="225"/>
      <c r="BI671" s="225"/>
      <c r="BJ671" s="225"/>
    </row>
    <row r="672" spans="2:62" ht="15.75" customHeight="1">
      <c r="B672" s="7"/>
      <c r="C672" s="302"/>
      <c r="D672" s="302"/>
      <c r="E672" s="302"/>
      <c r="F672" s="302"/>
      <c r="G672" s="302"/>
      <c r="H672" s="302"/>
      <c r="I672" s="302"/>
      <c r="J672" s="302"/>
      <c r="K672" s="353"/>
      <c r="L672" s="353"/>
      <c r="M672" s="302"/>
      <c r="N672" s="353"/>
      <c r="O672" s="353"/>
      <c r="P672" s="302"/>
      <c r="Q672" s="353"/>
      <c r="R672" s="353"/>
      <c r="S672" s="302"/>
      <c r="T672" s="302"/>
      <c r="U672" s="302"/>
      <c r="V672" s="302"/>
      <c r="W672" s="302"/>
      <c r="X672" s="302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225"/>
      <c r="AL672" s="225"/>
      <c r="AM672" s="225"/>
      <c r="AN672" s="225"/>
      <c r="AO672" s="225"/>
      <c r="AP672" s="225"/>
      <c r="AQ672" s="225"/>
      <c r="AR672" s="225"/>
      <c r="AS672" s="225"/>
      <c r="AT672" s="225"/>
      <c r="AU672" s="225"/>
      <c r="AV672" s="225"/>
      <c r="AW672" s="225"/>
      <c r="AX672" s="225"/>
      <c r="AY672" s="225"/>
      <c r="AZ672" s="225"/>
      <c r="BA672" s="225"/>
      <c r="BB672" s="225"/>
      <c r="BC672" s="225"/>
      <c r="BD672" s="225"/>
      <c r="BE672" s="225"/>
      <c r="BF672" s="225"/>
      <c r="BG672" s="225"/>
      <c r="BH672" s="225"/>
      <c r="BI672" s="225"/>
      <c r="BJ672" s="225"/>
    </row>
    <row r="673" spans="2:62" ht="15.75" customHeight="1">
      <c r="B673" s="7"/>
      <c r="C673" s="302"/>
      <c r="D673" s="302"/>
      <c r="E673" s="302"/>
      <c r="F673" s="302"/>
      <c r="G673" s="302"/>
      <c r="H673" s="302"/>
      <c r="I673" s="302"/>
      <c r="J673" s="302"/>
      <c r="K673" s="353"/>
      <c r="L673" s="353"/>
      <c r="M673" s="302"/>
      <c r="N673" s="353"/>
      <c r="O673" s="353"/>
      <c r="P673" s="302"/>
      <c r="Q673" s="353"/>
      <c r="R673" s="353"/>
      <c r="S673" s="302"/>
      <c r="T673" s="302"/>
      <c r="U673" s="302"/>
      <c r="V673" s="302"/>
      <c r="W673" s="302"/>
      <c r="X673" s="302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225"/>
      <c r="AL673" s="225"/>
      <c r="AM673" s="225"/>
      <c r="AN673" s="225"/>
      <c r="AO673" s="225"/>
      <c r="AP673" s="225"/>
      <c r="AQ673" s="225"/>
      <c r="AR673" s="225"/>
      <c r="AS673" s="225"/>
      <c r="AT673" s="225"/>
      <c r="AU673" s="225"/>
      <c r="AV673" s="225"/>
      <c r="AW673" s="225"/>
      <c r="AX673" s="225"/>
      <c r="AY673" s="225"/>
      <c r="AZ673" s="225"/>
      <c r="BA673" s="225"/>
      <c r="BB673" s="225"/>
      <c r="BC673" s="225"/>
      <c r="BD673" s="225"/>
      <c r="BE673" s="225"/>
      <c r="BF673" s="225"/>
      <c r="BG673" s="225"/>
      <c r="BH673" s="225"/>
      <c r="BI673" s="225"/>
      <c r="BJ673" s="225"/>
    </row>
    <row r="674" spans="2:62" ht="15.75" customHeight="1">
      <c r="B674" s="7"/>
      <c r="C674" s="302"/>
      <c r="D674" s="302"/>
      <c r="E674" s="302"/>
      <c r="F674" s="302"/>
      <c r="G674" s="302"/>
      <c r="H674" s="302"/>
      <c r="I674" s="302"/>
      <c r="J674" s="302"/>
      <c r="K674" s="353"/>
      <c r="L674" s="353"/>
      <c r="M674" s="302"/>
      <c r="N674" s="353"/>
      <c r="O674" s="353"/>
      <c r="P674" s="302"/>
      <c r="Q674" s="353"/>
      <c r="R674" s="353"/>
      <c r="S674" s="302"/>
      <c r="T674" s="302"/>
      <c r="U674" s="302"/>
      <c r="V674" s="302"/>
      <c r="W674" s="302"/>
      <c r="X674" s="302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225"/>
      <c r="AL674" s="225"/>
      <c r="AM674" s="225"/>
      <c r="AN674" s="225"/>
      <c r="AO674" s="225"/>
      <c r="AP674" s="225"/>
      <c r="AQ674" s="225"/>
      <c r="AR674" s="225"/>
      <c r="AS674" s="225"/>
      <c r="AT674" s="225"/>
      <c r="AU674" s="225"/>
      <c r="AV674" s="225"/>
      <c r="AW674" s="225"/>
      <c r="AX674" s="225"/>
      <c r="AY674" s="225"/>
      <c r="AZ674" s="225"/>
      <c r="BA674" s="225"/>
      <c r="BB674" s="225"/>
      <c r="BC674" s="225"/>
      <c r="BD674" s="225"/>
      <c r="BE674" s="225"/>
      <c r="BF674" s="225"/>
      <c r="BG674" s="225"/>
      <c r="BH674" s="225"/>
      <c r="BI674" s="225"/>
      <c r="BJ674" s="225"/>
    </row>
    <row r="675" spans="2:62" ht="15.75" customHeight="1">
      <c r="B675" s="7"/>
      <c r="C675" s="302"/>
      <c r="D675" s="302"/>
      <c r="E675" s="302"/>
      <c r="F675" s="302"/>
      <c r="G675" s="302"/>
      <c r="H675" s="302"/>
      <c r="I675" s="302"/>
      <c r="J675" s="302"/>
      <c r="K675" s="353"/>
      <c r="L675" s="353"/>
      <c r="M675" s="302"/>
      <c r="N675" s="353"/>
      <c r="O675" s="353"/>
      <c r="P675" s="302"/>
      <c r="Q675" s="353"/>
      <c r="R675" s="353"/>
      <c r="S675" s="302"/>
      <c r="T675" s="302"/>
      <c r="U675" s="302"/>
      <c r="V675" s="302"/>
      <c r="W675" s="302"/>
      <c r="X675" s="302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225"/>
      <c r="AL675" s="225"/>
      <c r="AM675" s="225"/>
      <c r="AN675" s="225"/>
      <c r="AO675" s="225"/>
      <c r="AP675" s="225"/>
      <c r="AQ675" s="225"/>
      <c r="AR675" s="225"/>
      <c r="AS675" s="225"/>
      <c r="AT675" s="225"/>
      <c r="AU675" s="225"/>
      <c r="AV675" s="225"/>
      <c r="AW675" s="225"/>
      <c r="AX675" s="225"/>
      <c r="AY675" s="225"/>
      <c r="AZ675" s="225"/>
      <c r="BA675" s="225"/>
      <c r="BB675" s="225"/>
      <c r="BC675" s="225"/>
      <c r="BD675" s="225"/>
      <c r="BE675" s="225"/>
      <c r="BF675" s="225"/>
      <c r="BG675" s="225"/>
      <c r="BH675" s="225"/>
      <c r="BI675" s="225"/>
      <c r="BJ675" s="225"/>
    </row>
    <row r="676" spans="2:62" ht="15.75" customHeight="1">
      <c r="B676" s="7"/>
      <c r="C676" s="302"/>
      <c r="D676" s="302"/>
      <c r="E676" s="302"/>
      <c r="F676" s="302"/>
      <c r="G676" s="302"/>
      <c r="H676" s="302"/>
      <c r="I676" s="302"/>
      <c r="J676" s="302"/>
      <c r="K676" s="353"/>
      <c r="L676" s="353"/>
      <c r="M676" s="302"/>
      <c r="N676" s="353"/>
      <c r="O676" s="353"/>
      <c r="P676" s="302"/>
      <c r="Q676" s="353"/>
      <c r="R676" s="353"/>
      <c r="S676" s="302"/>
      <c r="T676" s="302"/>
      <c r="U676" s="302"/>
      <c r="V676" s="302"/>
      <c r="W676" s="302"/>
      <c r="X676" s="302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225"/>
      <c r="AL676" s="225"/>
      <c r="AM676" s="225"/>
      <c r="AN676" s="225"/>
      <c r="AO676" s="225"/>
      <c r="AP676" s="225"/>
      <c r="AQ676" s="225"/>
      <c r="AR676" s="225"/>
      <c r="AS676" s="225"/>
      <c r="AT676" s="225"/>
      <c r="AU676" s="225"/>
      <c r="AV676" s="225"/>
      <c r="AW676" s="225"/>
      <c r="AX676" s="225"/>
      <c r="AY676" s="225"/>
      <c r="AZ676" s="225"/>
      <c r="BA676" s="225"/>
      <c r="BB676" s="225"/>
      <c r="BC676" s="225"/>
      <c r="BD676" s="225"/>
      <c r="BE676" s="225"/>
      <c r="BF676" s="225"/>
      <c r="BG676" s="225"/>
      <c r="BH676" s="225"/>
      <c r="BI676" s="225"/>
      <c r="BJ676" s="225"/>
    </row>
    <row r="677" spans="2:62" ht="15.75" customHeight="1">
      <c r="B677" s="7"/>
      <c r="C677" s="302"/>
      <c r="D677" s="302"/>
      <c r="E677" s="302"/>
      <c r="F677" s="302"/>
      <c r="G677" s="302"/>
      <c r="H677" s="302"/>
      <c r="I677" s="302"/>
      <c r="J677" s="302"/>
      <c r="K677" s="353"/>
      <c r="L677" s="353"/>
      <c r="M677" s="302"/>
      <c r="N677" s="353"/>
      <c r="O677" s="353"/>
      <c r="P677" s="302"/>
      <c r="Q677" s="353"/>
      <c r="R677" s="353"/>
      <c r="S677" s="302"/>
      <c r="T677" s="302"/>
      <c r="U677" s="302"/>
      <c r="V677" s="302"/>
      <c r="W677" s="302"/>
      <c r="X677" s="302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  <c r="AS677" s="225"/>
      <c r="AT677" s="225"/>
      <c r="AU677" s="225"/>
      <c r="AV677" s="225"/>
      <c r="AW677" s="225"/>
      <c r="AX677" s="225"/>
      <c r="AY677" s="225"/>
      <c r="AZ677" s="225"/>
      <c r="BA677" s="225"/>
      <c r="BB677" s="225"/>
      <c r="BC677" s="225"/>
      <c r="BD677" s="225"/>
      <c r="BE677" s="225"/>
      <c r="BF677" s="225"/>
      <c r="BG677" s="225"/>
      <c r="BH677" s="225"/>
      <c r="BI677" s="225"/>
      <c r="BJ677" s="225"/>
    </row>
    <row r="678" spans="2:62" ht="15.75" customHeight="1">
      <c r="B678" s="7"/>
      <c r="C678" s="302"/>
      <c r="D678" s="302"/>
      <c r="E678" s="302"/>
      <c r="F678" s="302"/>
      <c r="G678" s="302"/>
      <c r="H678" s="302"/>
      <c r="I678" s="302"/>
      <c r="J678" s="302"/>
      <c r="K678" s="353"/>
      <c r="L678" s="353"/>
      <c r="M678" s="302"/>
      <c r="N678" s="353"/>
      <c r="O678" s="353"/>
      <c r="P678" s="302"/>
      <c r="Q678" s="353"/>
      <c r="R678" s="353"/>
      <c r="S678" s="302"/>
      <c r="T678" s="302"/>
      <c r="U678" s="302"/>
      <c r="V678" s="302"/>
      <c r="W678" s="302"/>
      <c r="X678" s="302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225"/>
      <c r="AL678" s="225"/>
      <c r="AM678" s="225"/>
      <c r="AN678" s="225"/>
      <c r="AO678" s="225"/>
      <c r="AP678" s="225"/>
      <c r="AQ678" s="225"/>
      <c r="AR678" s="225"/>
      <c r="AS678" s="225"/>
      <c r="AT678" s="225"/>
      <c r="AU678" s="225"/>
      <c r="AV678" s="225"/>
      <c r="AW678" s="225"/>
      <c r="AX678" s="225"/>
      <c r="AY678" s="225"/>
      <c r="AZ678" s="225"/>
      <c r="BA678" s="225"/>
      <c r="BB678" s="225"/>
      <c r="BC678" s="225"/>
      <c r="BD678" s="225"/>
      <c r="BE678" s="225"/>
      <c r="BF678" s="225"/>
      <c r="BG678" s="225"/>
      <c r="BH678" s="225"/>
      <c r="BI678" s="225"/>
      <c r="BJ678" s="225"/>
    </row>
    <row r="679" spans="2:62" ht="15.75" customHeight="1">
      <c r="B679" s="7"/>
      <c r="C679" s="302"/>
      <c r="D679" s="302"/>
      <c r="E679" s="302"/>
      <c r="F679" s="302"/>
      <c r="G679" s="302"/>
      <c r="H679" s="302"/>
      <c r="I679" s="302"/>
      <c r="J679" s="302"/>
      <c r="K679" s="353"/>
      <c r="L679" s="353"/>
      <c r="M679" s="302"/>
      <c r="N679" s="353"/>
      <c r="O679" s="353"/>
      <c r="P679" s="302"/>
      <c r="Q679" s="353"/>
      <c r="R679" s="353"/>
      <c r="S679" s="302"/>
      <c r="T679" s="302"/>
      <c r="U679" s="302"/>
      <c r="V679" s="302"/>
      <c r="W679" s="302"/>
      <c r="X679" s="302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225"/>
      <c r="AL679" s="225"/>
      <c r="AM679" s="225"/>
      <c r="AN679" s="225"/>
      <c r="AO679" s="225"/>
      <c r="AP679" s="225"/>
      <c r="AQ679" s="225"/>
      <c r="AR679" s="225"/>
      <c r="AS679" s="225"/>
      <c r="AT679" s="225"/>
      <c r="AU679" s="225"/>
      <c r="AV679" s="225"/>
      <c r="AW679" s="225"/>
      <c r="AX679" s="225"/>
      <c r="AY679" s="225"/>
      <c r="AZ679" s="225"/>
      <c r="BA679" s="225"/>
      <c r="BB679" s="225"/>
      <c r="BC679" s="225"/>
      <c r="BD679" s="225"/>
      <c r="BE679" s="225"/>
      <c r="BF679" s="225"/>
      <c r="BG679" s="225"/>
      <c r="BH679" s="225"/>
      <c r="BI679" s="225"/>
      <c r="BJ679" s="225"/>
    </row>
    <row r="680" spans="2:62" ht="15.75" customHeight="1">
      <c r="B680" s="7"/>
      <c r="C680" s="302"/>
      <c r="D680" s="302"/>
      <c r="E680" s="302"/>
      <c r="F680" s="302"/>
      <c r="G680" s="302"/>
      <c r="H680" s="302"/>
      <c r="I680" s="302"/>
      <c r="J680" s="302"/>
      <c r="K680" s="353"/>
      <c r="L680" s="353"/>
      <c r="M680" s="302"/>
      <c r="N680" s="353"/>
      <c r="O680" s="353"/>
      <c r="P680" s="302"/>
      <c r="Q680" s="353"/>
      <c r="R680" s="353"/>
      <c r="S680" s="302"/>
      <c r="T680" s="302"/>
      <c r="U680" s="302"/>
      <c r="V680" s="302"/>
      <c r="W680" s="302"/>
      <c r="X680" s="302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225"/>
      <c r="AL680" s="225"/>
      <c r="AM680" s="225"/>
      <c r="AN680" s="225"/>
      <c r="AO680" s="225"/>
      <c r="AP680" s="225"/>
      <c r="AQ680" s="225"/>
      <c r="AR680" s="225"/>
      <c r="AS680" s="225"/>
      <c r="AT680" s="225"/>
      <c r="AU680" s="225"/>
      <c r="AV680" s="225"/>
      <c r="AW680" s="225"/>
      <c r="AX680" s="225"/>
      <c r="AY680" s="225"/>
      <c r="AZ680" s="225"/>
      <c r="BA680" s="225"/>
      <c r="BB680" s="225"/>
      <c r="BC680" s="225"/>
      <c r="BD680" s="225"/>
      <c r="BE680" s="225"/>
      <c r="BF680" s="225"/>
      <c r="BG680" s="225"/>
      <c r="BH680" s="225"/>
      <c r="BI680" s="225"/>
      <c r="BJ680" s="225"/>
    </row>
    <row r="681" spans="2:62" ht="15.75" customHeight="1">
      <c r="B681" s="7"/>
      <c r="C681" s="302"/>
      <c r="D681" s="302"/>
      <c r="E681" s="302"/>
      <c r="F681" s="302"/>
      <c r="G681" s="302"/>
      <c r="H681" s="302"/>
      <c r="I681" s="302"/>
      <c r="J681" s="302"/>
      <c r="K681" s="353"/>
      <c r="L681" s="353"/>
      <c r="M681" s="302"/>
      <c r="N681" s="353"/>
      <c r="O681" s="353"/>
      <c r="P681" s="302"/>
      <c r="Q681" s="353"/>
      <c r="R681" s="353"/>
      <c r="S681" s="302"/>
      <c r="T681" s="302"/>
      <c r="U681" s="302"/>
      <c r="V681" s="302"/>
      <c r="W681" s="302"/>
      <c r="X681" s="302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225"/>
      <c r="AL681" s="225"/>
      <c r="AM681" s="225"/>
      <c r="AN681" s="225"/>
      <c r="AO681" s="225"/>
      <c r="AP681" s="225"/>
      <c r="AQ681" s="225"/>
      <c r="AR681" s="225"/>
      <c r="AS681" s="225"/>
      <c r="AT681" s="225"/>
      <c r="AU681" s="225"/>
      <c r="AV681" s="225"/>
      <c r="AW681" s="225"/>
      <c r="AX681" s="225"/>
      <c r="AY681" s="225"/>
      <c r="AZ681" s="225"/>
      <c r="BA681" s="225"/>
      <c r="BB681" s="225"/>
      <c r="BC681" s="225"/>
      <c r="BD681" s="225"/>
      <c r="BE681" s="225"/>
      <c r="BF681" s="225"/>
      <c r="BG681" s="225"/>
      <c r="BH681" s="225"/>
      <c r="BI681" s="225"/>
      <c r="BJ681" s="225"/>
    </row>
    <row r="682" spans="2:62" ht="15.75" customHeight="1">
      <c r="B682" s="7"/>
      <c r="C682" s="302"/>
      <c r="D682" s="302"/>
      <c r="E682" s="302"/>
      <c r="F682" s="302"/>
      <c r="G682" s="302"/>
      <c r="H682" s="302"/>
      <c r="I682" s="302"/>
      <c r="J682" s="302"/>
      <c r="K682" s="353"/>
      <c r="L682" s="353"/>
      <c r="M682" s="302"/>
      <c r="N682" s="353"/>
      <c r="O682" s="353"/>
      <c r="P682" s="302"/>
      <c r="Q682" s="353"/>
      <c r="R682" s="353"/>
      <c r="S682" s="302"/>
      <c r="T682" s="302"/>
      <c r="U682" s="302"/>
      <c r="V682" s="302"/>
      <c r="W682" s="302"/>
      <c r="X682" s="302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  <c r="AS682" s="225"/>
      <c r="AT682" s="225"/>
      <c r="AU682" s="225"/>
      <c r="AV682" s="225"/>
      <c r="AW682" s="225"/>
      <c r="AX682" s="225"/>
      <c r="AY682" s="225"/>
      <c r="AZ682" s="225"/>
      <c r="BA682" s="225"/>
      <c r="BB682" s="225"/>
      <c r="BC682" s="225"/>
      <c r="BD682" s="225"/>
      <c r="BE682" s="225"/>
      <c r="BF682" s="225"/>
      <c r="BG682" s="225"/>
      <c r="BH682" s="225"/>
      <c r="BI682" s="225"/>
      <c r="BJ682" s="225"/>
    </row>
    <row r="683" spans="2:62" ht="15.75" customHeight="1">
      <c r="B683" s="7"/>
      <c r="C683" s="302"/>
      <c r="D683" s="302"/>
      <c r="E683" s="302"/>
      <c r="F683" s="302"/>
      <c r="G683" s="302"/>
      <c r="H683" s="302"/>
      <c r="I683" s="302"/>
      <c r="J683" s="302"/>
      <c r="K683" s="353"/>
      <c r="L683" s="353"/>
      <c r="M683" s="302"/>
      <c r="N683" s="353"/>
      <c r="O683" s="353"/>
      <c r="P683" s="302"/>
      <c r="Q683" s="353"/>
      <c r="R683" s="353"/>
      <c r="S683" s="302"/>
      <c r="T683" s="302"/>
      <c r="U683" s="302"/>
      <c r="V683" s="302"/>
      <c r="W683" s="302"/>
      <c r="X683" s="302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225"/>
      <c r="AL683" s="225"/>
      <c r="AM683" s="225"/>
      <c r="AN683" s="225"/>
      <c r="AO683" s="225"/>
      <c r="AP683" s="225"/>
      <c r="AQ683" s="225"/>
      <c r="AR683" s="225"/>
      <c r="AS683" s="225"/>
      <c r="AT683" s="225"/>
      <c r="AU683" s="225"/>
      <c r="AV683" s="225"/>
      <c r="AW683" s="225"/>
      <c r="AX683" s="225"/>
      <c r="AY683" s="225"/>
      <c r="AZ683" s="225"/>
      <c r="BA683" s="225"/>
      <c r="BB683" s="225"/>
      <c r="BC683" s="225"/>
      <c r="BD683" s="225"/>
      <c r="BE683" s="225"/>
      <c r="BF683" s="225"/>
      <c r="BG683" s="225"/>
      <c r="BH683" s="225"/>
      <c r="BI683" s="225"/>
      <c r="BJ683" s="225"/>
    </row>
    <row r="684" spans="2:62" ht="15.75" customHeight="1">
      <c r="B684" s="7"/>
      <c r="C684" s="302"/>
      <c r="D684" s="302"/>
      <c r="E684" s="302"/>
      <c r="F684" s="302"/>
      <c r="G684" s="302"/>
      <c r="H684" s="302"/>
      <c r="I684" s="302"/>
      <c r="J684" s="302"/>
      <c r="K684" s="353"/>
      <c r="L684" s="353"/>
      <c r="M684" s="302"/>
      <c r="N684" s="302"/>
      <c r="O684" s="302"/>
      <c r="P684" s="302"/>
      <c r="Q684" s="302"/>
      <c r="R684" s="353"/>
      <c r="S684" s="302"/>
      <c r="T684" s="302"/>
      <c r="U684" s="302"/>
      <c r="V684" s="302"/>
      <c r="W684" s="302"/>
      <c r="X684" s="302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225"/>
      <c r="AL684" s="225"/>
      <c r="AM684" s="225"/>
      <c r="AN684" s="225"/>
      <c r="AO684" s="225"/>
      <c r="AP684" s="225"/>
      <c r="AQ684" s="225"/>
      <c r="AR684" s="225"/>
      <c r="AS684" s="225"/>
      <c r="AT684" s="225"/>
      <c r="AU684" s="225"/>
      <c r="AV684" s="225"/>
      <c r="AW684" s="225"/>
      <c r="AX684" s="225"/>
      <c r="AY684" s="225"/>
      <c r="AZ684" s="225"/>
      <c r="BA684" s="225"/>
      <c r="BB684" s="225"/>
      <c r="BC684" s="225"/>
      <c r="BD684" s="225"/>
      <c r="BE684" s="225"/>
      <c r="BF684" s="225"/>
      <c r="BG684" s="225"/>
      <c r="BH684" s="225"/>
      <c r="BI684" s="225"/>
      <c r="BJ684" s="225"/>
    </row>
    <row r="685" spans="2:62" ht="15.75" customHeight="1">
      <c r="B685" s="7"/>
      <c r="C685" s="302"/>
      <c r="D685" s="302"/>
      <c r="E685" s="302"/>
      <c r="F685" s="302"/>
      <c r="G685" s="302"/>
      <c r="H685" s="302"/>
      <c r="I685" s="302"/>
      <c r="J685" s="302"/>
      <c r="K685" s="353"/>
      <c r="L685" s="353"/>
      <c r="M685" s="302"/>
      <c r="N685" s="355"/>
      <c r="O685" s="355"/>
      <c r="P685" s="302"/>
      <c r="Q685" s="355"/>
      <c r="R685" s="353"/>
      <c r="S685" s="302"/>
      <c r="T685" s="302"/>
      <c r="U685" s="302"/>
      <c r="V685" s="302"/>
      <c r="W685" s="302"/>
      <c r="X685" s="302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225"/>
      <c r="AL685" s="225"/>
      <c r="AM685" s="225"/>
      <c r="AN685" s="225"/>
      <c r="AO685" s="225"/>
      <c r="AP685" s="225"/>
      <c r="AQ685" s="225"/>
      <c r="AR685" s="225"/>
      <c r="AS685" s="225"/>
      <c r="AT685" s="225"/>
      <c r="AU685" s="225"/>
      <c r="AV685" s="225"/>
      <c r="AW685" s="225"/>
      <c r="AX685" s="225"/>
      <c r="AY685" s="225"/>
      <c r="AZ685" s="225"/>
      <c r="BA685" s="225"/>
      <c r="BB685" s="225"/>
      <c r="BC685" s="225"/>
      <c r="BD685" s="225"/>
      <c r="BE685" s="225"/>
      <c r="BF685" s="225"/>
      <c r="BG685" s="225"/>
      <c r="BH685" s="225"/>
      <c r="BI685" s="225"/>
      <c r="BJ685" s="225"/>
    </row>
    <row r="686" spans="2:62" ht="15.75" customHeight="1">
      <c r="B686" s="7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53"/>
      <c r="O686" s="353"/>
      <c r="P686" s="302"/>
      <c r="Q686" s="353"/>
      <c r="R686" s="302"/>
      <c r="S686" s="302"/>
      <c r="T686" s="302"/>
      <c r="U686" s="302"/>
      <c r="V686" s="302"/>
      <c r="W686" s="302"/>
      <c r="X686" s="302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225"/>
      <c r="AL686" s="225"/>
      <c r="AM686" s="225"/>
      <c r="AN686" s="225"/>
      <c r="AO686" s="225"/>
      <c r="AP686" s="225"/>
      <c r="AQ686" s="225"/>
      <c r="AR686" s="225"/>
      <c r="AS686" s="225"/>
      <c r="AT686" s="225"/>
      <c r="AU686" s="225"/>
      <c r="AV686" s="225"/>
      <c r="AW686" s="225"/>
      <c r="AX686" s="225"/>
      <c r="AY686" s="225"/>
      <c r="AZ686" s="225"/>
      <c r="BA686" s="225"/>
      <c r="BB686" s="225"/>
      <c r="BC686" s="225"/>
      <c r="BD686" s="225"/>
      <c r="BE686" s="225"/>
      <c r="BF686" s="225"/>
      <c r="BG686" s="225"/>
      <c r="BH686" s="225"/>
      <c r="BI686" s="225"/>
      <c r="BJ686" s="225"/>
    </row>
    <row r="687" spans="2:62" ht="15.75" customHeight="1">
      <c r="B687" s="7"/>
      <c r="C687" s="302"/>
      <c r="D687" s="302"/>
      <c r="E687" s="302"/>
      <c r="F687" s="302"/>
      <c r="G687" s="302"/>
      <c r="H687" s="302"/>
      <c r="I687" s="302"/>
      <c r="J687" s="302"/>
      <c r="K687" s="355"/>
      <c r="L687" s="355"/>
      <c r="M687" s="302"/>
      <c r="N687" s="353"/>
      <c r="O687" s="353"/>
      <c r="P687" s="302"/>
      <c r="Q687" s="353"/>
      <c r="R687" s="355"/>
      <c r="S687" s="302"/>
      <c r="T687" s="302"/>
      <c r="U687" s="302"/>
      <c r="V687" s="302"/>
      <c r="W687" s="302"/>
      <c r="X687" s="302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225"/>
      <c r="AL687" s="225"/>
      <c r="AM687" s="225"/>
      <c r="AN687" s="225"/>
      <c r="AO687" s="225"/>
      <c r="AP687" s="225"/>
      <c r="AQ687" s="225"/>
      <c r="AR687" s="225"/>
      <c r="AS687" s="225"/>
      <c r="AT687" s="225"/>
      <c r="AU687" s="225"/>
      <c r="AV687" s="225"/>
      <c r="AW687" s="225"/>
      <c r="AX687" s="225"/>
      <c r="AY687" s="225"/>
      <c r="AZ687" s="225"/>
      <c r="BA687" s="225"/>
      <c r="BB687" s="225"/>
      <c r="BC687" s="225"/>
      <c r="BD687" s="225"/>
      <c r="BE687" s="225"/>
      <c r="BF687" s="225"/>
      <c r="BG687" s="225"/>
      <c r="BH687" s="225"/>
      <c r="BI687" s="225"/>
      <c r="BJ687" s="225"/>
    </row>
    <row r="688" spans="2:62" ht="15.75" customHeight="1">
      <c r="B688" s="7"/>
      <c r="C688" s="302"/>
      <c r="D688" s="302"/>
      <c r="E688" s="302"/>
      <c r="F688" s="302"/>
      <c r="G688" s="302"/>
      <c r="H688" s="302"/>
      <c r="I688" s="302"/>
      <c r="J688" s="302"/>
      <c r="K688" s="353"/>
      <c r="L688" s="353"/>
      <c r="M688" s="302"/>
      <c r="N688" s="353"/>
      <c r="O688" s="353"/>
      <c r="P688" s="302"/>
      <c r="Q688" s="353"/>
      <c r="R688" s="353"/>
      <c r="S688" s="302"/>
      <c r="T688" s="302"/>
      <c r="U688" s="302"/>
      <c r="V688" s="302"/>
      <c r="W688" s="302"/>
      <c r="X688" s="302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225"/>
      <c r="AL688" s="225"/>
      <c r="AM688" s="225"/>
      <c r="AN688" s="225"/>
      <c r="AO688" s="225"/>
      <c r="AP688" s="225"/>
      <c r="AQ688" s="225"/>
      <c r="AR688" s="225"/>
      <c r="AS688" s="225"/>
      <c r="AT688" s="225"/>
      <c r="AU688" s="225"/>
      <c r="AV688" s="225"/>
      <c r="AW688" s="225"/>
      <c r="AX688" s="225"/>
      <c r="AY688" s="225"/>
      <c r="AZ688" s="225"/>
      <c r="BA688" s="225"/>
      <c r="BB688" s="225"/>
      <c r="BC688" s="225"/>
      <c r="BD688" s="225"/>
      <c r="BE688" s="225"/>
      <c r="BF688" s="225"/>
      <c r="BG688" s="225"/>
      <c r="BH688" s="225"/>
      <c r="BI688" s="225"/>
      <c r="BJ688" s="225"/>
    </row>
    <row r="689" spans="2:62" ht="15.75" customHeight="1">
      <c r="B689" s="7"/>
      <c r="C689" s="302"/>
      <c r="D689" s="302"/>
      <c r="E689" s="302"/>
      <c r="F689" s="302"/>
      <c r="G689" s="302"/>
      <c r="H689" s="302"/>
      <c r="I689" s="302"/>
      <c r="J689" s="302"/>
      <c r="K689" s="353"/>
      <c r="L689" s="353"/>
      <c r="M689" s="302"/>
      <c r="N689" s="353"/>
      <c r="O689" s="353"/>
      <c r="P689" s="302"/>
      <c r="Q689" s="353"/>
      <c r="R689" s="353"/>
      <c r="S689" s="302"/>
      <c r="T689" s="302"/>
      <c r="U689" s="302"/>
      <c r="V689" s="302"/>
      <c r="W689" s="302"/>
      <c r="X689" s="302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225"/>
      <c r="AL689" s="225"/>
      <c r="AM689" s="225"/>
      <c r="AN689" s="225"/>
      <c r="AO689" s="225"/>
      <c r="AP689" s="225"/>
      <c r="AQ689" s="225"/>
      <c r="AR689" s="225"/>
      <c r="AS689" s="225"/>
      <c r="AT689" s="225"/>
      <c r="AU689" s="225"/>
      <c r="AV689" s="225"/>
      <c r="AW689" s="225"/>
      <c r="AX689" s="225"/>
      <c r="AY689" s="225"/>
      <c r="AZ689" s="225"/>
      <c r="BA689" s="225"/>
      <c r="BB689" s="225"/>
      <c r="BC689" s="225"/>
      <c r="BD689" s="225"/>
      <c r="BE689" s="225"/>
      <c r="BF689" s="225"/>
      <c r="BG689" s="225"/>
      <c r="BH689" s="225"/>
      <c r="BI689" s="225"/>
      <c r="BJ689" s="225"/>
    </row>
    <row r="690" spans="2:62" ht="15.75" customHeight="1">
      <c r="B690" s="7"/>
      <c r="C690" s="302"/>
      <c r="D690" s="302"/>
      <c r="E690" s="302"/>
      <c r="F690" s="302"/>
      <c r="G690" s="302"/>
      <c r="H690" s="302"/>
      <c r="I690" s="302"/>
      <c r="J690" s="302"/>
      <c r="K690" s="353"/>
      <c r="L690" s="353"/>
      <c r="M690" s="302"/>
      <c r="N690" s="353"/>
      <c r="O690" s="353"/>
      <c r="P690" s="302"/>
      <c r="Q690" s="353"/>
      <c r="R690" s="353"/>
      <c r="S690" s="302"/>
      <c r="T690" s="302"/>
      <c r="U690" s="302"/>
      <c r="V690" s="302"/>
      <c r="W690" s="302"/>
      <c r="X690" s="302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225"/>
      <c r="AL690" s="225"/>
      <c r="AM690" s="225"/>
      <c r="AN690" s="225"/>
      <c r="AO690" s="225"/>
      <c r="AP690" s="225"/>
      <c r="AQ690" s="225"/>
      <c r="AR690" s="225"/>
      <c r="AS690" s="225"/>
      <c r="AT690" s="225"/>
      <c r="AU690" s="225"/>
      <c r="AV690" s="225"/>
      <c r="AW690" s="225"/>
      <c r="AX690" s="225"/>
      <c r="AY690" s="225"/>
      <c r="AZ690" s="225"/>
      <c r="BA690" s="225"/>
      <c r="BB690" s="225"/>
      <c r="BC690" s="225"/>
      <c r="BD690" s="225"/>
      <c r="BE690" s="225"/>
      <c r="BF690" s="225"/>
      <c r="BG690" s="225"/>
      <c r="BH690" s="225"/>
      <c r="BI690" s="225"/>
      <c r="BJ690" s="225"/>
    </row>
    <row r="691" spans="2:62" ht="15.75" customHeight="1">
      <c r="B691" s="7"/>
      <c r="C691" s="302"/>
      <c r="D691" s="302"/>
      <c r="E691" s="302"/>
      <c r="F691" s="302"/>
      <c r="G691" s="302"/>
      <c r="H691" s="302"/>
      <c r="I691" s="302"/>
      <c r="J691" s="302"/>
      <c r="K691" s="353"/>
      <c r="L691" s="353"/>
      <c r="M691" s="302"/>
      <c r="N691" s="353"/>
      <c r="O691" s="353"/>
      <c r="P691" s="302"/>
      <c r="Q691" s="353"/>
      <c r="R691" s="353"/>
      <c r="S691" s="302"/>
      <c r="T691" s="302"/>
      <c r="U691" s="302"/>
      <c r="V691" s="302"/>
      <c r="W691" s="302"/>
      <c r="X691" s="302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225"/>
      <c r="AL691" s="225"/>
      <c r="AM691" s="225"/>
      <c r="AN691" s="225"/>
      <c r="AO691" s="225"/>
      <c r="AP691" s="225"/>
      <c r="AQ691" s="225"/>
      <c r="AR691" s="225"/>
      <c r="AS691" s="225"/>
      <c r="AT691" s="225"/>
      <c r="AU691" s="225"/>
      <c r="AV691" s="225"/>
      <c r="AW691" s="225"/>
      <c r="AX691" s="225"/>
      <c r="AY691" s="225"/>
      <c r="AZ691" s="225"/>
      <c r="BA691" s="225"/>
      <c r="BB691" s="225"/>
      <c r="BC691" s="225"/>
      <c r="BD691" s="225"/>
      <c r="BE691" s="225"/>
      <c r="BF691" s="225"/>
      <c r="BG691" s="225"/>
      <c r="BH691" s="225"/>
      <c r="BI691" s="225"/>
      <c r="BJ691" s="225"/>
    </row>
    <row r="692" spans="2:62" ht="15.75" customHeight="1">
      <c r="B692" s="7"/>
      <c r="C692" s="302"/>
      <c r="D692" s="302"/>
      <c r="E692" s="302"/>
      <c r="F692" s="302"/>
      <c r="G692" s="302"/>
      <c r="H692" s="302"/>
      <c r="I692" s="302"/>
      <c r="J692" s="302"/>
      <c r="K692" s="353"/>
      <c r="L692" s="353"/>
      <c r="M692" s="302"/>
      <c r="N692" s="353"/>
      <c r="O692" s="353"/>
      <c r="P692" s="302"/>
      <c r="Q692" s="353"/>
      <c r="R692" s="353"/>
      <c r="S692" s="302"/>
      <c r="T692" s="302"/>
      <c r="U692" s="302"/>
      <c r="V692" s="302"/>
      <c r="W692" s="302"/>
      <c r="X692" s="302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225"/>
      <c r="AL692" s="225"/>
      <c r="AM692" s="225"/>
      <c r="AN692" s="225"/>
      <c r="AO692" s="225"/>
      <c r="AP692" s="225"/>
      <c r="AQ692" s="225"/>
      <c r="AR692" s="225"/>
      <c r="AS692" s="225"/>
      <c r="AT692" s="225"/>
      <c r="AU692" s="225"/>
      <c r="AV692" s="225"/>
      <c r="AW692" s="225"/>
      <c r="AX692" s="225"/>
      <c r="AY692" s="225"/>
      <c r="AZ692" s="225"/>
      <c r="BA692" s="225"/>
      <c r="BB692" s="225"/>
      <c r="BC692" s="225"/>
      <c r="BD692" s="225"/>
      <c r="BE692" s="225"/>
      <c r="BF692" s="225"/>
      <c r="BG692" s="225"/>
      <c r="BH692" s="225"/>
      <c r="BI692" s="225"/>
      <c r="BJ692" s="225"/>
    </row>
    <row r="693" spans="2:62" ht="15.75" customHeight="1">
      <c r="B693" s="7"/>
      <c r="C693" s="302"/>
      <c r="D693" s="302"/>
      <c r="E693" s="302"/>
      <c r="F693" s="302"/>
      <c r="G693" s="302"/>
      <c r="H693" s="302"/>
      <c r="I693" s="302"/>
      <c r="J693" s="302"/>
      <c r="K693" s="353"/>
      <c r="L693" s="353"/>
      <c r="M693" s="302"/>
      <c r="N693" s="353"/>
      <c r="O693" s="353"/>
      <c r="P693" s="302"/>
      <c r="Q693" s="353"/>
      <c r="R693" s="353"/>
      <c r="S693" s="302"/>
      <c r="T693" s="302"/>
      <c r="U693" s="302"/>
      <c r="V693" s="302"/>
      <c r="W693" s="302"/>
      <c r="X693" s="302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225"/>
      <c r="AL693" s="225"/>
      <c r="AM693" s="225"/>
      <c r="AN693" s="225"/>
      <c r="AO693" s="225"/>
      <c r="AP693" s="225"/>
      <c r="AQ693" s="225"/>
      <c r="AR693" s="225"/>
      <c r="AS693" s="225"/>
      <c r="AT693" s="225"/>
      <c r="AU693" s="225"/>
      <c r="AV693" s="225"/>
      <c r="AW693" s="225"/>
      <c r="AX693" s="225"/>
      <c r="AY693" s="225"/>
      <c r="AZ693" s="225"/>
      <c r="BA693" s="225"/>
      <c r="BB693" s="225"/>
      <c r="BC693" s="225"/>
      <c r="BD693" s="225"/>
      <c r="BE693" s="225"/>
      <c r="BF693" s="225"/>
      <c r="BG693" s="225"/>
      <c r="BH693" s="225"/>
      <c r="BI693" s="225"/>
      <c r="BJ693" s="225"/>
    </row>
    <row r="694" spans="2:62" ht="15.75" customHeight="1">
      <c r="B694" s="7"/>
      <c r="C694" s="302"/>
      <c r="D694" s="302"/>
      <c r="E694" s="302"/>
      <c r="F694" s="302"/>
      <c r="G694" s="302"/>
      <c r="H694" s="302"/>
      <c r="I694" s="302"/>
      <c r="J694" s="302"/>
      <c r="K694" s="353"/>
      <c r="L694" s="355"/>
      <c r="M694" s="302"/>
      <c r="N694" s="353"/>
      <c r="O694" s="353"/>
      <c r="P694" s="302"/>
      <c r="Q694" s="353"/>
      <c r="R694" s="355"/>
      <c r="S694" s="302"/>
      <c r="T694" s="302"/>
      <c r="U694" s="302"/>
      <c r="V694" s="302"/>
      <c r="W694" s="302"/>
      <c r="X694" s="302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225"/>
      <c r="AL694" s="225"/>
      <c r="AM694" s="225"/>
      <c r="AN694" s="225"/>
      <c r="AO694" s="225"/>
      <c r="AP694" s="225"/>
      <c r="AQ694" s="225"/>
      <c r="AR694" s="225"/>
      <c r="AS694" s="225"/>
      <c r="AT694" s="225"/>
      <c r="AU694" s="225"/>
      <c r="AV694" s="225"/>
      <c r="AW694" s="225"/>
      <c r="AX694" s="225"/>
      <c r="AY694" s="225"/>
      <c r="AZ694" s="225"/>
      <c r="BA694" s="225"/>
      <c r="BB694" s="225"/>
      <c r="BC694" s="225"/>
      <c r="BD694" s="225"/>
      <c r="BE694" s="225"/>
      <c r="BF694" s="225"/>
      <c r="BG694" s="225"/>
      <c r="BH694" s="225"/>
      <c r="BI694" s="225"/>
      <c r="BJ694" s="225"/>
    </row>
    <row r="695" spans="2:62" ht="15.75" customHeight="1">
      <c r="B695" s="7"/>
      <c r="C695" s="302"/>
      <c r="D695" s="302"/>
      <c r="E695" s="302"/>
      <c r="F695" s="302"/>
      <c r="G695" s="302"/>
      <c r="H695" s="302"/>
      <c r="I695" s="302"/>
      <c r="J695" s="302"/>
      <c r="K695" s="353"/>
      <c r="L695" s="353"/>
      <c r="M695" s="302"/>
      <c r="N695" s="353"/>
      <c r="O695" s="353"/>
      <c r="P695" s="302"/>
      <c r="Q695" s="353"/>
      <c r="R695" s="353"/>
      <c r="S695" s="302"/>
      <c r="T695" s="302"/>
      <c r="U695" s="302"/>
      <c r="V695" s="302"/>
      <c r="W695" s="302"/>
      <c r="X695" s="302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225"/>
      <c r="AL695" s="225"/>
      <c r="AM695" s="225"/>
      <c r="AN695" s="225"/>
      <c r="AO695" s="225"/>
      <c r="AP695" s="225"/>
      <c r="AQ695" s="225"/>
      <c r="AR695" s="225"/>
      <c r="AS695" s="225"/>
      <c r="AT695" s="225"/>
      <c r="AU695" s="225"/>
      <c r="AV695" s="225"/>
      <c r="AW695" s="225"/>
      <c r="AX695" s="225"/>
      <c r="AY695" s="225"/>
      <c r="AZ695" s="225"/>
      <c r="BA695" s="225"/>
      <c r="BB695" s="225"/>
      <c r="BC695" s="225"/>
      <c r="BD695" s="225"/>
      <c r="BE695" s="225"/>
      <c r="BF695" s="225"/>
      <c r="BG695" s="225"/>
      <c r="BH695" s="225"/>
      <c r="BI695" s="225"/>
      <c r="BJ695" s="225"/>
    </row>
    <row r="696" spans="2:62" ht="15.75" customHeight="1">
      <c r="B696" s="7"/>
      <c r="C696" s="302"/>
      <c r="D696" s="302"/>
      <c r="E696" s="302"/>
      <c r="F696" s="302"/>
      <c r="G696" s="302"/>
      <c r="H696" s="302"/>
      <c r="I696" s="302"/>
      <c r="J696" s="302"/>
      <c r="K696" s="353"/>
      <c r="L696" s="353"/>
      <c r="M696" s="302"/>
      <c r="N696" s="353"/>
      <c r="O696" s="353"/>
      <c r="P696" s="302"/>
      <c r="Q696" s="353"/>
      <c r="R696" s="353"/>
      <c r="S696" s="302"/>
      <c r="T696" s="302"/>
      <c r="U696" s="302"/>
      <c r="V696" s="302"/>
      <c r="W696" s="302"/>
      <c r="X696" s="302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225"/>
      <c r="AL696" s="225"/>
      <c r="AM696" s="225"/>
      <c r="AN696" s="225"/>
      <c r="AO696" s="225"/>
      <c r="AP696" s="225"/>
      <c r="AQ696" s="225"/>
      <c r="AR696" s="225"/>
      <c r="AS696" s="225"/>
      <c r="AT696" s="225"/>
      <c r="AU696" s="225"/>
      <c r="AV696" s="225"/>
      <c r="AW696" s="225"/>
      <c r="AX696" s="225"/>
      <c r="AY696" s="225"/>
      <c r="AZ696" s="225"/>
      <c r="BA696" s="225"/>
      <c r="BB696" s="225"/>
      <c r="BC696" s="225"/>
      <c r="BD696" s="225"/>
      <c r="BE696" s="225"/>
      <c r="BF696" s="225"/>
      <c r="BG696" s="225"/>
      <c r="BH696" s="225"/>
      <c r="BI696" s="225"/>
      <c r="BJ696" s="225"/>
    </row>
    <row r="697" spans="2:62" ht="15.75" customHeight="1">
      <c r="B697" s="7"/>
      <c r="C697" s="302"/>
      <c r="D697" s="302"/>
      <c r="E697" s="302"/>
      <c r="F697" s="302"/>
      <c r="G697" s="302"/>
      <c r="H697" s="302"/>
      <c r="I697" s="302"/>
      <c r="J697" s="302"/>
      <c r="K697" s="353"/>
      <c r="L697" s="353"/>
      <c r="M697" s="302"/>
      <c r="N697" s="355"/>
      <c r="O697" s="355"/>
      <c r="P697" s="302"/>
      <c r="Q697" s="355"/>
      <c r="R697" s="353"/>
      <c r="S697" s="302"/>
      <c r="T697" s="302"/>
      <c r="U697" s="302"/>
      <c r="V697" s="302"/>
      <c r="W697" s="302"/>
      <c r="X697" s="302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225"/>
      <c r="AL697" s="225"/>
      <c r="AM697" s="225"/>
      <c r="AN697" s="225"/>
      <c r="AO697" s="225"/>
      <c r="AP697" s="225"/>
      <c r="AQ697" s="225"/>
      <c r="AR697" s="225"/>
      <c r="AS697" s="225"/>
      <c r="AT697" s="225"/>
      <c r="AU697" s="225"/>
      <c r="AV697" s="225"/>
      <c r="AW697" s="225"/>
      <c r="AX697" s="225"/>
      <c r="AY697" s="225"/>
      <c r="AZ697" s="225"/>
      <c r="BA697" s="225"/>
      <c r="BB697" s="225"/>
      <c r="BC697" s="225"/>
      <c r="BD697" s="225"/>
      <c r="BE697" s="225"/>
      <c r="BF697" s="225"/>
      <c r="BG697" s="225"/>
      <c r="BH697" s="225"/>
      <c r="BI697" s="225"/>
      <c r="BJ697" s="225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3" type="noConversion"/>
  <conditionalFormatting sqref="D171:D180">
    <cfRule type="expression" dxfId="203" priority="23" stopIfTrue="1">
      <formula>"esterreur(reference)"</formula>
    </cfRule>
  </conditionalFormatting>
  <conditionalFormatting sqref="E185">
    <cfRule type="expression" dxfId="202" priority="24" stopIfTrue="1">
      <formula>"esterreur(reference)"</formula>
    </cfRule>
  </conditionalFormatting>
  <conditionalFormatting sqref="F5">
    <cfRule type="expression" dxfId="201" priority="253" stopIfTrue="1">
      <formula>"esterreur(reference)"</formula>
    </cfRule>
  </conditionalFormatting>
  <conditionalFormatting sqref="F183">
    <cfRule type="expression" dxfId="200" priority="13" stopIfTrue="1">
      <formula>"esterreur(reference)"</formula>
    </cfRule>
  </conditionalFormatting>
  <conditionalFormatting sqref="G42">
    <cfRule type="expression" dxfId="199" priority="28" stopIfTrue="1">
      <formula>"esterreur(reference)"</formula>
    </cfRule>
  </conditionalFormatting>
  <conditionalFormatting sqref="G55">
    <cfRule type="expression" dxfId="198" priority="27" stopIfTrue="1">
      <formula>"esterreur(reference)"</formula>
    </cfRule>
  </conditionalFormatting>
  <conditionalFormatting sqref="G111:G112">
    <cfRule type="expression" dxfId="197" priority="73" stopIfTrue="1">
      <formula>"esterreur(reference)"</formula>
    </cfRule>
  </conditionalFormatting>
  <conditionalFormatting sqref="G171:G180">
    <cfRule type="expression" dxfId="196" priority="22" stopIfTrue="1">
      <formula>"esterreur(reference)"</formula>
    </cfRule>
  </conditionalFormatting>
  <conditionalFormatting sqref="H135:H151">
    <cfRule type="expression" dxfId="195" priority="111" stopIfTrue="1">
      <formula>"esterreur(reference)"</formula>
    </cfRule>
  </conditionalFormatting>
  <conditionalFormatting sqref="H359">
    <cfRule type="expression" dxfId="194" priority="405" stopIfTrue="1">
      <formula>"esterreur(reference)"</formula>
    </cfRule>
  </conditionalFormatting>
  <conditionalFormatting sqref="H196:L196">
    <cfRule type="expression" dxfId="193" priority="10" stopIfTrue="1">
      <formula>"esterreur(reference)"</formula>
    </cfRule>
  </conditionalFormatting>
  <conditionalFormatting sqref="H395:L398">
    <cfRule type="expression" dxfId="192" priority="402" stopIfTrue="1">
      <formula>"esterreur(reference)"</formula>
    </cfRule>
  </conditionalFormatting>
  <conditionalFormatting sqref="I5">
    <cfRule type="expression" dxfId="191" priority="72" stopIfTrue="1">
      <formula>"esterreur(reference)"</formula>
    </cfRule>
  </conditionalFormatting>
  <conditionalFormatting sqref="I376:L376 H377:H394">
    <cfRule type="expression" dxfId="190" priority="403" stopIfTrue="1">
      <formula>"esterreur(reference)"</formula>
    </cfRule>
  </conditionalFormatting>
  <conditionalFormatting sqref="J3 I13:J14 I16:J16 I17 I18:J18 J19 I20:J20 J21:J23 I24:J24 H25:L30 J31:K48 H31:H72 F83:F85 H83:L85 H86:K88 L86:L90 H90:I90 K90 J90:J91 H96:L97 I100:L100 H100:H103 I104:L110 H105:H133 I121:L121 H134:L134 H152:L152 H155:H156 J155:K156 H163:L163 H164 J164:K164 H165:K166 L165:L168 H168:K168 H233:K234 L233:L236 H236:I236 K236 J236:J239 H238:I238 J242:L242 J251:L252 J253:K282 J283:J284 J287:L287 J288:K288 H289:K289 L289:L291 H291:I291 K291 J291:J292 H293:L293 H303:L305 H308:L309 H312:L316 H317:H347 J317:K347 H348:L348 H351:L351 H352:H354 J352:K354 H360:L363 H364:H375 H399 J399:K399">
    <cfRule type="expression" dxfId="189" priority="388" stopIfTrue="1">
      <formula>"esterreur(reference)"</formula>
    </cfRule>
  </conditionalFormatting>
  <conditionalFormatting sqref="J169:J175 H170:I170 K170:L172 H172:I172 I173 L173 K174:L175 H175:I175 I176:J176 L176 J177:L178 H178:I178 I179:J179 L179 K180:L181 J180:J195 H181:I182 L182 K182:K183 H184:I186 H188:I189 H191:I195 H197:H228 J197:K228 H231:L231 H232 J232:K232 K184:L195">
    <cfRule type="expression" dxfId="188" priority="9" stopIfTrue="1">
      <formula>"esterreur(reference)"</formula>
    </cfRule>
  </conditionalFormatting>
  <conditionalFormatting sqref="J49:L72">
    <cfRule type="expression" dxfId="187" priority="116" stopIfTrue="1">
      <formula>"esterreur(reference)"</formula>
    </cfRule>
  </conditionalFormatting>
  <conditionalFormatting sqref="J101:L103">
    <cfRule type="expression" dxfId="186" priority="361" stopIfTrue="1">
      <formula>"esterreur(reference)"</formula>
    </cfRule>
  </conditionalFormatting>
  <conditionalFormatting sqref="J111:L120">
    <cfRule type="expression" dxfId="185" priority="333" stopIfTrue="1">
      <formula>"esterreur(reference)"</formula>
    </cfRule>
  </conditionalFormatting>
  <conditionalFormatting sqref="J122:L133">
    <cfRule type="expression" dxfId="184" priority="261" stopIfTrue="1">
      <formula>"esterreur(reference)"</formula>
    </cfRule>
  </conditionalFormatting>
  <conditionalFormatting sqref="J135:L151">
    <cfRule type="expression" dxfId="183" priority="110" stopIfTrue="1">
      <formula>"esterreur(reference)"</formula>
    </cfRule>
  </conditionalFormatting>
  <conditionalFormatting sqref="J294:L302">
    <cfRule type="expression" dxfId="182" priority="83" stopIfTrue="1">
      <formula>"esterreur(reference)"</formula>
    </cfRule>
  </conditionalFormatting>
  <conditionalFormatting sqref="J306:L307">
    <cfRule type="expression" dxfId="181" priority="277" stopIfTrue="1">
      <formula>"esterreur(reference)"</formula>
    </cfRule>
  </conditionalFormatting>
  <conditionalFormatting sqref="J310:L311">
    <cfRule type="expression" dxfId="180" priority="34" stopIfTrue="1">
      <formula>"esterreur(reference)"</formula>
    </cfRule>
  </conditionalFormatting>
  <conditionalFormatting sqref="J359:L359">
    <cfRule type="expression" dxfId="179" priority="266" stopIfTrue="1">
      <formula>"esterreur(reference)"</formula>
    </cfRule>
  </conditionalFormatting>
  <conditionalFormatting sqref="J364:L375">
    <cfRule type="expression" dxfId="178" priority="273" stopIfTrue="1">
      <formula>"esterreur(reference)"</formula>
    </cfRule>
  </conditionalFormatting>
  <conditionalFormatting sqref="J377:L393">
    <cfRule type="expression" dxfId="177" priority="272" stopIfTrue="1">
      <formula>"esterreur(reference)"</formula>
    </cfRule>
  </conditionalFormatting>
  <conditionalFormatting sqref="K5">
    <cfRule type="expression" dxfId="176" priority="282" stopIfTrue="1">
      <formula>"esterreur(reference)"</formula>
    </cfRule>
  </conditionalFormatting>
  <conditionalFormatting sqref="K394">
    <cfRule type="expression" dxfId="175" priority="406" stopIfTrue="1">
      <formula>"esterreur(reference)"</formula>
    </cfRule>
  </conditionalFormatting>
  <conditionalFormatting sqref="K93:L93">
    <cfRule type="expression" dxfId="174" priority="103" stopIfTrue="1">
      <formula>"esterreur(reference)"</formula>
    </cfRule>
  </conditionalFormatting>
  <conditionalFormatting sqref="K98:L99">
    <cfRule type="expression" dxfId="173" priority="364" stopIfTrue="1">
      <formula>"esterreur(reference)"</formula>
    </cfRule>
  </conditionalFormatting>
  <conditionalFormatting sqref="K238:L240">
    <cfRule type="expression" dxfId="172" priority="84" stopIfTrue="1">
      <formula>"esterreur(reference)"</formula>
    </cfRule>
  </conditionalFormatting>
  <conditionalFormatting sqref="K243:L243">
    <cfRule type="expression" dxfId="171" priority="279" stopIfTrue="1">
      <formula>"esterreur(reference)"</formula>
    </cfRule>
  </conditionalFormatting>
  <conditionalFormatting sqref="K246:L246">
    <cfRule type="expression" dxfId="170" priority="278" stopIfTrue="1">
      <formula>"esterreur(reference)"</formula>
    </cfRule>
  </conditionalFormatting>
  <conditionalFormatting sqref="L5:L14">
    <cfRule type="expression" dxfId="169" priority="71" stopIfTrue="1">
      <formula>"esterreur(reference)"</formula>
    </cfRule>
  </conditionalFormatting>
  <conditionalFormatting sqref="L16:L24">
    <cfRule type="expression" dxfId="168" priority="385" stopIfTrue="1">
      <formula>"esterreur(reference)"</formula>
    </cfRule>
  </conditionalFormatting>
  <conditionalFormatting sqref="L42:L48">
    <cfRule type="expression" dxfId="167" priority="381" stopIfTrue="1">
      <formula>"esterreur(reference)"</formula>
    </cfRule>
  </conditionalFormatting>
  <conditionalFormatting sqref="L75:L82">
    <cfRule type="expression" dxfId="166" priority="256" stopIfTrue="1">
      <formula>"esterreur(reference)"</formula>
    </cfRule>
  </conditionalFormatting>
  <conditionalFormatting sqref="L155:L161">
    <cfRule type="expression" dxfId="165" priority="107" stopIfTrue="1">
      <formula>"esterreur(reference)"</formula>
    </cfRule>
  </conditionalFormatting>
  <conditionalFormatting sqref="L197:L208">
    <cfRule type="expression" dxfId="164" priority="11" stopIfTrue="1">
      <formula>"esterreur(reference)"</formula>
    </cfRule>
  </conditionalFormatting>
  <conditionalFormatting sqref="L210:L227">
    <cfRule type="expression" dxfId="163" priority="12" stopIfTrue="1">
      <formula>"esterreur(reference)"</formula>
    </cfRule>
  </conditionalFormatting>
  <conditionalFormatting sqref="L253:L264">
    <cfRule type="expression" dxfId="162" priority="303" stopIfTrue="1">
      <formula>"esterreur(reference)"</formula>
    </cfRule>
  </conditionalFormatting>
  <conditionalFormatting sqref="L266:L284">
    <cfRule type="expression" dxfId="161" priority="258" stopIfTrue="1">
      <formula>"esterreur(reference)"</formula>
    </cfRule>
  </conditionalFormatting>
  <conditionalFormatting sqref="L317:L328">
    <cfRule type="expression" dxfId="160" priority="284" stopIfTrue="1">
      <formula>"esterreur(reference)"</formula>
    </cfRule>
  </conditionalFormatting>
  <conditionalFormatting sqref="L330:L347">
    <cfRule type="expression" dxfId="159" priority="257" stopIfTrue="1">
      <formula>"esterreur(reference)"</formula>
    </cfRule>
  </conditionalFormatting>
  <conditionalFormatting sqref="L355:L356 H356:I356 K356 J356:J357 H358:L358">
    <cfRule type="expression" dxfId="158" priority="401" stopIfTrue="1">
      <formula>"esterreur(reference)"</formula>
    </cfRule>
  </conditionalFormatting>
  <conditionalFormatting sqref="M95:M96">
    <cfRule type="expression" dxfId="157" priority="26" stopIfTrue="1">
      <formula>"esterreur(reference)"</formula>
    </cfRule>
  </conditionalFormatting>
  <conditionalFormatting sqref="M311">
    <cfRule type="expression" dxfId="156" priority="6" stopIfTrue="1">
      <formula>"esterreur(reference)"</formula>
    </cfRule>
  </conditionalFormatting>
  <conditionalFormatting sqref="O13:O14 O16 O18:O24 O83:Q85">
    <cfRule type="expression" dxfId="155" priority="248" stopIfTrue="1">
      <formula>"esterreur(reference)"</formula>
    </cfRule>
  </conditionalFormatting>
  <conditionalFormatting sqref="O317:P347 O348:Q348 O351:Q351 O352:P352">
    <cfRule type="expression" dxfId="154" priority="144" stopIfTrue="1">
      <formula>"esterreur(reference)"</formula>
    </cfRule>
  </conditionalFormatting>
  <conditionalFormatting sqref="O25:Q72">
    <cfRule type="expression" dxfId="153" priority="117" stopIfTrue="1">
      <formula>"esterreur(reference)"</formula>
    </cfRule>
  </conditionalFormatting>
  <conditionalFormatting sqref="O96:Q97 O155:P156 O163:Q163 O164:P164">
    <cfRule type="expression" dxfId="152" priority="216" stopIfTrue="1">
      <formula>"esterreur(reference)"</formula>
    </cfRule>
  </conditionalFormatting>
  <conditionalFormatting sqref="O100:Q152">
    <cfRule type="expression" dxfId="151" priority="29" stopIfTrue="1">
      <formula>"esterreur(reference)"</formula>
    </cfRule>
  </conditionalFormatting>
  <conditionalFormatting sqref="O196:Q196">
    <cfRule type="expression" dxfId="150" priority="16" stopIfTrue="1">
      <formula>"esterreur(reference)"</formula>
    </cfRule>
  </conditionalFormatting>
  <conditionalFormatting sqref="O242:Q242 O251:Q252 O253:P282 O283:O284 O287:Q287 O288:P288">
    <cfRule type="expression" dxfId="149" priority="64" stopIfTrue="1">
      <formula>"esterreur(reference)"</formula>
    </cfRule>
  </conditionalFormatting>
  <conditionalFormatting sqref="O294:Q316">
    <cfRule type="expression" dxfId="148" priority="31" stopIfTrue="1">
      <formula>"esterreur(reference)"</formula>
    </cfRule>
  </conditionalFormatting>
  <conditionalFormatting sqref="O358:Q393">
    <cfRule type="expression" dxfId="147" priority="118" stopIfTrue="1">
      <formula>"esterreur(reference)"</formula>
    </cfRule>
  </conditionalFormatting>
  <conditionalFormatting sqref="O395:Q398">
    <cfRule type="expression" dxfId="146" priority="125" stopIfTrue="1">
      <formula>"esterreur(reference)"</formula>
    </cfRule>
  </conditionalFormatting>
  <conditionalFormatting sqref="P5">
    <cfRule type="expression" dxfId="145" priority="225" stopIfTrue="1">
      <formula>"esterreur(reference)"</formula>
    </cfRule>
  </conditionalFormatting>
  <conditionalFormatting sqref="P174">
    <cfRule type="expression" dxfId="144" priority="19" stopIfTrue="1">
      <formula>"esterreur(reference)"</formula>
    </cfRule>
  </conditionalFormatting>
  <conditionalFormatting sqref="P177">
    <cfRule type="expression" dxfId="143" priority="20" stopIfTrue="1">
      <formula>"esterreur(reference)"</formula>
    </cfRule>
  </conditionalFormatting>
  <conditionalFormatting sqref="P180">
    <cfRule type="expression" dxfId="142" priority="21" stopIfTrue="1">
      <formula>"esterreur(reference)"</formula>
    </cfRule>
  </conditionalFormatting>
  <conditionalFormatting sqref="P394">
    <cfRule type="expression" dxfId="141" priority="127" stopIfTrue="1">
      <formula>"esterreur(reference)"</formula>
    </cfRule>
  </conditionalFormatting>
  <conditionalFormatting sqref="P93:Q93">
    <cfRule type="expression" dxfId="140" priority="102" stopIfTrue="1">
      <formula>"esterreur(reference)"</formula>
    </cfRule>
  </conditionalFormatting>
  <conditionalFormatting sqref="P98:Q99">
    <cfRule type="expression" dxfId="139" priority="104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38" priority="15" stopIfTrue="1">
      <formula>"esterreur(reference)"</formula>
    </cfRule>
  </conditionalFormatting>
  <conditionalFormatting sqref="P240:Q240">
    <cfRule type="expression" dxfId="137" priority="39" stopIfTrue="1">
      <formula>"esterreur(reference)"</formula>
    </cfRule>
  </conditionalFormatting>
  <conditionalFormatting sqref="P243:Q243">
    <cfRule type="expression" dxfId="136" priority="43" stopIfTrue="1">
      <formula>"esterreur(reference)"</formula>
    </cfRule>
  </conditionalFormatting>
  <conditionalFormatting sqref="P246:Q246">
    <cfRule type="expression" dxfId="135" priority="42" stopIfTrue="1">
      <formula>"esterreur(reference)"</formula>
    </cfRule>
  </conditionalFormatting>
  <conditionalFormatting sqref="Q5:Q14">
    <cfRule type="expression" dxfId="134" priority="70" stopIfTrue="1">
      <formula>"esterreur(reference)"</formula>
    </cfRule>
  </conditionalFormatting>
  <conditionalFormatting sqref="Q16:Q24">
    <cfRule type="expression" dxfId="133" priority="245" stopIfTrue="1">
      <formula>"esterreur(reference)"</formula>
    </cfRule>
  </conditionalFormatting>
  <conditionalFormatting sqref="Q75:Q82">
    <cfRule type="expression" dxfId="132" priority="227" stopIfTrue="1">
      <formula>"esterreur(reference)"</formula>
    </cfRule>
  </conditionalFormatting>
  <conditionalFormatting sqref="Q155:Q161">
    <cfRule type="expression" dxfId="131" priority="187" stopIfTrue="1">
      <formula>"esterreur(reference)"</formula>
    </cfRule>
  </conditionalFormatting>
  <conditionalFormatting sqref="Q197:Q208">
    <cfRule type="expression" dxfId="130" priority="17" stopIfTrue="1">
      <formula>"esterreur(reference)"</formula>
    </cfRule>
  </conditionalFormatting>
  <conditionalFormatting sqref="Q210:Q227">
    <cfRule type="expression" dxfId="129" priority="18" stopIfTrue="1">
      <formula>"esterreur(reference)"</formula>
    </cfRule>
  </conditionalFormatting>
  <conditionalFormatting sqref="Q253:Q264">
    <cfRule type="expression" dxfId="128" priority="51" stopIfTrue="1">
      <formula>"esterreur(reference)"</formula>
    </cfRule>
  </conditionalFormatting>
  <conditionalFormatting sqref="Q266:Q284">
    <cfRule type="expression" dxfId="127" priority="41" stopIfTrue="1">
      <formula>"esterreur(reference)"</formula>
    </cfRule>
  </conditionalFormatting>
  <conditionalFormatting sqref="Q317:Q328">
    <cfRule type="expression" dxfId="126" priority="132" stopIfTrue="1">
      <formula>"esterreur(reference)"</formula>
    </cfRule>
  </conditionalFormatting>
  <conditionalFormatting sqref="Q330:Q347">
    <cfRule type="expression" dxfId="125" priority="128" stopIfTrue="1">
      <formula>"esterreur(reference)"</formula>
    </cfRule>
  </conditionalFormatting>
  <conditionalFormatting sqref="R311">
    <cfRule type="expression" dxfId="124" priority="5" stopIfTrue="1">
      <formula>"esterreur(reference)"</formula>
    </cfRule>
  </conditionalFormatting>
  <conditionalFormatting sqref="S185">
    <cfRule type="expression" dxfId="123" priority="8" stopIfTrue="1">
      <formula>"esterreur(reference)"</formula>
    </cfRule>
  </conditionalFormatting>
  <conditionalFormatting sqref="AG408:AI417 AH419:AI450 AH452:AI459 AH460:AH461 AH462:AI464 AH466:AI467 AH490:AI496">
    <cfRule type="cellIs" dxfId="122" priority="2" operator="greaterThan">
      <formula>0</formula>
    </cfRule>
  </conditionalFormatting>
  <conditionalFormatting sqref="AH468:AI475 AH479:AI479">
    <cfRule type="cellIs" dxfId="121" priority="3" operator="lessThan">
      <formula>0</formula>
    </cfRule>
  </conditionalFormatting>
  <conditionalFormatting sqref="AH476:AI478">
    <cfRule type="cellIs" dxfId="120" priority="4" operator="greaterThan">
      <formula>0</formula>
    </cfRule>
  </conditionalFormatting>
  <conditionalFormatting sqref="AO408:AO417">
    <cfRule type="cellIs" dxfId="119" priority="1" operator="greaterThan">
      <formula>0</formula>
    </cfRule>
  </conditionalFormatting>
  <printOptions horizontalCentered="1"/>
  <pageMargins left="0.23622047244094491" right="0.23622047244094491" top="0.51181102362204722" bottom="0.23622047244094491" header="0" footer="0"/>
  <pageSetup scale="44" fitToWidth="0" fitToHeight="0" orientation="landscape" r:id="rId1"/>
  <headerFooter>
    <oddFooter>&amp;L&amp;9&amp;F&amp;R&amp;9&amp;P de &amp;N</oddFooter>
  </headerFooter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topLeftCell="A31" workbookViewId="0"/>
  </sheetViews>
  <sheetFormatPr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1A4D-08FC-4DBE-9355-16AA21A71194}">
  <sheetPr>
    <tabColor rgb="FFFFC000"/>
  </sheetPr>
  <dimension ref="A1:BJ692"/>
  <sheetViews>
    <sheetView topLeftCell="A114" zoomScale="80" zoomScaleNormal="80" workbookViewId="0">
      <pane xSplit="3" topLeftCell="D1" activePane="topRight" state="frozen"/>
      <selection pane="topRight" activeCell="P163" sqref="P163"/>
    </sheetView>
  </sheetViews>
  <sheetFormatPr defaultColWidth="12.59765625" defaultRowHeight="15" customHeight="1"/>
  <cols>
    <col min="1" max="1" width="37.5" style="489" hidden="1" customWidth="1"/>
    <col min="2" max="2" width="21.8984375" style="489" hidden="1" customWidth="1"/>
    <col min="3" max="3" width="31.19921875" style="489" customWidth="1"/>
    <col min="4" max="4" width="16.5" style="489" customWidth="1"/>
    <col min="5" max="5" width="14.59765625" style="489" customWidth="1"/>
    <col min="6" max="6" width="14" style="489" customWidth="1"/>
    <col min="7" max="7" width="17.69921875" style="489" hidden="1" customWidth="1"/>
    <col min="8" max="8" width="15.09765625" style="489" hidden="1" customWidth="1"/>
    <col min="9" max="9" width="14" style="489" hidden="1" customWidth="1"/>
    <col min="10" max="10" width="15.59765625" style="489" customWidth="1"/>
    <col min="11" max="11" width="15.5" style="489" customWidth="1"/>
    <col min="12" max="12" width="14.8984375" style="489" customWidth="1"/>
    <col min="13" max="14" width="16.19921875" style="489" customWidth="1"/>
    <col min="15" max="15" width="15.5" style="489" customWidth="1"/>
    <col min="16" max="16" width="14.59765625" style="489" customWidth="1"/>
    <col min="17" max="17" width="14" style="489" customWidth="1"/>
    <col min="18" max="18" width="14.69921875" style="489" customWidth="1"/>
    <col min="19" max="19" width="19" style="489" customWidth="1"/>
    <col min="20" max="20" width="4.59765625" style="489" customWidth="1"/>
    <col min="21" max="21" width="31.69921875" style="489" customWidth="1"/>
    <col min="22" max="22" width="34" style="489" customWidth="1"/>
    <col min="23" max="23" width="12.19921875" style="489" customWidth="1"/>
    <col min="24" max="24" width="13.69921875" style="489" customWidth="1"/>
    <col min="25" max="25" width="15.09765625" style="489" customWidth="1"/>
    <col min="26" max="26" width="15" style="489" customWidth="1"/>
    <col min="27" max="27" width="11.09765625" style="489" hidden="1" customWidth="1"/>
    <col min="28" max="28" width="9.3984375" style="489" hidden="1" customWidth="1"/>
    <col min="29" max="29" width="14.5" style="489" hidden="1" customWidth="1"/>
    <col min="30" max="30" width="13.5" style="489" customWidth="1"/>
    <col min="31" max="31" width="14.19921875" style="489" customWidth="1"/>
    <col min="32" max="32" width="14.09765625" style="489" customWidth="1"/>
    <col min="33" max="33" width="9" style="489" customWidth="1"/>
    <col min="34" max="34" width="13.5" style="489" customWidth="1"/>
    <col min="35" max="35" width="10.09765625" style="489" customWidth="1"/>
    <col min="36" max="36" width="10.8984375" style="489" customWidth="1"/>
    <col min="37" max="37" width="11.3984375" style="489" customWidth="1"/>
    <col min="38" max="38" width="12.69921875" style="489" customWidth="1"/>
    <col min="39" max="39" width="9" style="489" customWidth="1"/>
    <col min="40" max="40" width="11" style="489" customWidth="1"/>
    <col min="41" max="41" width="14.69921875" style="489" customWidth="1"/>
    <col min="42" max="42" width="11" style="489" customWidth="1"/>
    <col min="43" max="43" width="48.3984375" style="489" customWidth="1"/>
    <col min="44" max="62" width="11" style="489" customWidth="1"/>
    <col min="63" max="16384" width="12.59765625" style="489"/>
  </cols>
  <sheetData>
    <row r="1" spans="1:40" ht="36" thickBot="1">
      <c r="B1" s="490"/>
      <c r="C1" s="491" t="str">
        <f>[5]Parametres!B1</f>
        <v>Volks</v>
      </c>
      <c r="D1" s="492"/>
      <c r="E1" s="493"/>
      <c r="F1" s="492"/>
      <c r="G1" s="492"/>
      <c r="H1" s="490"/>
      <c r="I1" s="492"/>
      <c r="J1" s="490"/>
      <c r="K1" s="494" t="s">
        <v>0</v>
      </c>
      <c r="L1" s="492"/>
      <c r="M1" s="492"/>
      <c r="N1" s="495"/>
      <c r="O1" s="491"/>
      <c r="P1" s="496"/>
      <c r="Q1" s="491"/>
      <c r="R1" s="496"/>
      <c r="S1" s="497" t="str">
        <f>CONCATENATE("Réalisé,"," ",[5]Parametres!B3," ",[5]Parametres!B4)</f>
        <v>Réalisé, Juillet 2023</v>
      </c>
      <c r="T1" s="492" t="s">
        <v>1</v>
      </c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</row>
    <row r="2" spans="1:40" ht="15" customHeight="1" thickTop="1" thickBot="1">
      <c r="B2" s="498"/>
      <c r="C2" s="499"/>
      <c r="D2" s="500" t="s">
        <v>2</v>
      </c>
      <c r="E2" s="500" t="s">
        <v>3</v>
      </c>
      <c r="F2" s="500" t="s">
        <v>4</v>
      </c>
      <c r="G2" s="500"/>
      <c r="H2" s="500"/>
      <c r="I2" s="500"/>
      <c r="J2" s="500" t="s">
        <v>213</v>
      </c>
      <c r="K2" s="500"/>
      <c r="L2" s="500" t="s">
        <v>210</v>
      </c>
      <c r="M2" s="501"/>
      <c r="N2" s="501"/>
      <c r="O2" s="500" t="s">
        <v>213</v>
      </c>
      <c r="P2" s="500"/>
      <c r="Q2" s="500" t="s">
        <v>210</v>
      </c>
      <c r="R2" s="501"/>
      <c r="S2" s="501"/>
      <c r="T2" s="501"/>
      <c r="U2" s="501"/>
      <c r="V2" s="502" t="s">
        <v>469</v>
      </c>
      <c r="W2" s="503"/>
    </row>
    <row r="3" spans="1:40" ht="21.6" thickTop="1">
      <c r="B3" s="504"/>
      <c r="C3" s="505"/>
      <c r="D3" s="506" t="s">
        <v>5</v>
      </c>
      <c r="E3" s="507"/>
      <c r="F3" s="508"/>
      <c r="G3" s="509"/>
      <c r="H3" s="507"/>
      <c r="I3" s="508"/>
      <c r="J3" s="509" t="s">
        <v>7</v>
      </c>
      <c r="K3" s="507"/>
      <c r="L3" s="508"/>
      <c r="M3" s="509" t="s">
        <v>472</v>
      </c>
      <c r="N3" s="508"/>
      <c r="O3" s="506" t="s">
        <v>9</v>
      </c>
      <c r="P3" s="507"/>
      <c r="Q3" s="508"/>
      <c r="R3" s="509" t="s">
        <v>473</v>
      </c>
      <c r="S3" s="508"/>
      <c r="T3" s="504"/>
      <c r="U3" s="504"/>
      <c r="V3" s="510" t="s">
        <v>218</v>
      </c>
      <c r="W3" s="511">
        <v>0.45</v>
      </c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J3" s="504"/>
      <c r="AK3" s="504"/>
      <c r="AL3" s="504"/>
      <c r="AM3" s="504"/>
      <c r="AN3" s="504"/>
    </row>
    <row r="4" spans="1:40" ht="20.399999999999999">
      <c r="B4" s="504"/>
      <c r="C4" s="512"/>
      <c r="D4" s="513" t="s">
        <v>474</v>
      </c>
      <c r="E4" s="514" t="s">
        <v>12</v>
      </c>
      <c r="F4" s="515" t="s">
        <v>13</v>
      </c>
      <c r="G4" s="516"/>
      <c r="H4" s="514"/>
      <c r="I4" s="515"/>
      <c r="J4" s="516" t="s">
        <v>474</v>
      </c>
      <c r="K4" s="514" t="s">
        <v>14</v>
      </c>
      <c r="L4" s="515" t="s">
        <v>13</v>
      </c>
      <c r="M4" s="516" t="s">
        <v>474</v>
      </c>
      <c r="N4" s="515" t="s">
        <v>13</v>
      </c>
      <c r="O4" s="514" t="s">
        <v>474</v>
      </c>
      <c r="P4" s="514" t="s">
        <v>14</v>
      </c>
      <c r="Q4" s="515" t="s">
        <v>13</v>
      </c>
      <c r="R4" s="516" t="s">
        <v>474</v>
      </c>
      <c r="S4" s="515" t="s">
        <v>13</v>
      </c>
      <c r="T4" s="504"/>
      <c r="U4" s="504"/>
      <c r="V4" s="510" t="s">
        <v>219</v>
      </c>
      <c r="W4" s="511">
        <v>0.1</v>
      </c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J4" s="504"/>
      <c r="AK4" s="504"/>
      <c r="AL4" s="504"/>
      <c r="AM4" s="504"/>
      <c r="AN4" s="504"/>
    </row>
    <row r="5" spans="1:40" ht="20.399999999999999">
      <c r="A5" s="517" t="s">
        <v>224</v>
      </c>
      <c r="B5" s="504" t="s">
        <v>0</v>
      </c>
      <c r="C5" s="518" t="s">
        <v>15</v>
      </c>
      <c r="D5" s="519"/>
      <c r="E5" s="519"/>
      <c r="F5" s="520">
        <f t="array" ref="F5">+INDEX('[5]Budget original'!$A$2:$AO$500,MATCH($A5,'[5]Budget original'!$A$2:$A$500,0),MATCH(F$2,'[5]Budget original'!$A$2:$AO$2,0))</f>
        <v>2357227.2830310399</v>
      </c>
      <c r="G5" s="519"/>
      <c r="H5" s="519"/>
      <c r="I5" s="521"/>
      <c r="J5" s="518"/>
      <c r="K5" s="522"/>
      <c r="L5" s="520">
        <f>-SUMIFS([5]BV_Data_An_Cour!$O:$O,[5]BV_Data_An_Cour!$X:$X,"Oui",[5]BV_Data_An_Cour!$U:$U,$B5)</f>
        <v>2122186.91</v>
      </c>
      <c r="M5" s="523"/>
      <c r="N5" s="524"/>
      <c r="O5" s="518"/>
      <c r="P5" s="522"/>
      <c r="Q5" s="520">
        <f>-SUMIFS([5]BV_Data_An_Prec!$O:$O,[5]BV_Data_An_Prec!$X:$X,"Oui",[5]BV_Data_An_Prec!$U:$U,$B5)</f>
        <v>2657067.04</v>
      </c>
      <c r="R5" s="523"/>
      <c r="S5" s="524"/>
      <c r="T5" s="504"/>
      <c r="U5" s="504"/>
      <c r="V5" s="510" t="s">
        <v>214</v>
      </c>
      <c r="W5" s="511">
        <v>0.22500000000000001</v>
      </c>
      <c r="X5" s="504"/>
      <c r="Y5" s="504"/>
      <c r="Z5" s="504"/>
      <c r="AA5" s="504"/>
      <c r="AB5" s="504"/>
      <c r="AC5" s="504"/>
      <c r="AD5" s="504"/>
      <c r="AE5" s="504"/>
      <c r="AF5" s="504"/>
      <c r="AG5" s="504"/>
      <c r="AH5" s="504"/>
      <c r="AI5" s="504"/>
      <c r="AJ5" s="504"/>
      <c r="AK5" s="504"/>
      <c r="AL5" s="504"/>
      <c r="AM5" s="504"/>
      <c r="AN5" s="504"/>
    </row>
    <row r="6" spans="1:40" ht="20.399999999999999">
      <c r="A6" s="517" t="s">
        <v>225</v>
      </c>
      <c r="B6" s="504" t="s">
        <v>0</v>
      </c>
      <c r="C6" s="525" t="s">
        <v>16</v>
      </c>
      <c r="D6" s="526">
        <f t="array" ref="D6">+INDEX('[5]Budget original'!$A$2:$AO$500,MATCH($A6,'[5]Budget original'!$A$2:$A$500,0),MATCH(D$2,'[5]Budget original'!$A$2:$AO$2,0))</f>
        <v>10.048</v>
      </c>
      <c r="E6" s="526">
        <f t="shared" ref="E6:E12" si="0">IF(D6=0,0,F6/D6)</f>
        <v>1988.4340000000002</v>
      </c>
      <c r="F6" s="526">
        <f t="array" ref="F6">+INDEX('[5]Budget original'!$A$2:$AO$500,MATCH($A6,'[5]Budget original'!$A$2:$A$500,0),MATCH(F$2,'[5]Budget original'!$A$2:$AO$2,0))</f>
        <v>19979.784832000001</v>
      </c>
      <c r="G6" s="527"/>
      <c r="H6" s="526"/>
      <c r="I6" s="526"/>
      <c r="J6" s="527">
        <f>-SUMIFS([5]BV_Data_An_Cour!$O:$O,[5]BV_Data_An_Cour!$U:$U,$B6,[5]BV_Data_An_Cour!$V:$V,$C6,[5]BV_Data_An_Cour!$W:$W,J$2)</f>
        <v>12</v>
      </c>
      <c r="K6" s="526">
        <f t="shared" ref="K6:K12" si="1">IF(J6=0,0,L6/J6)</f>
        <v>1882.194166666668</v>
      </c>
      <c r="L6" s="528">
        <f>-SUMIFS([5]BV_Data_An_Cour!$O:$O,[5]BV_Data_An_Cour!$U:$U,$B6,[5]BV_Data_An_Cour!$V:$V,$C6,[5]BV_Data_An_Cour!$W:$W,L$2)</f>
        <v>22586.330000000016</v>
      </c>
      <c r="M6" s="527">
        <f t="shared" ref="M6:M12" si="2">J6-D6</f>
        <v>1.952</v>
      </c>
      <c r="N6" s="528">
        <f t="shared" ref="N6:N12" si="3">L6-F6</f>
        <v>2606.5451680000151</v>
      </c>
      <c r="O6" s="527">
        <f>-SUMIFS([5]BV_Data_An_Prec!$O:$O,[5]BV_Data_An_Prec!$U:$U,$B6,[5]BV_Data_An_Prec!$V:$V,$C6,[5]BV_Data_An_Prec!$W:$W,O$2)</f>
        <v>13</v>
      </c>
      <c r="P6" s="526">
        <f t="shared" ref="P6:P12" si="4">IF(O6=0,0,Q6/O6)</f>
        <v>2819.2123076923094</v>
      </c>
      <c r="Q6" s="528">
        <f>-SUMIFS([5]BV_Data_An_Prec!$O:$O,[5]BV_Data_An_Prec!$U:$U,$B6,[5]BV_Data_An_Prec!$V:$V,$C6,[5]BV_Data_An_Prec!$W:$W,Q$2)</f>
        <v>36649.760000000024</v>
      </c>
      <c r="R6" s="527">
        <f t="shared" ref="R6:R12" si="5">J6-O6</f>
        <v>-1</v>
      </c>
      <c r="S6" s="528">
        <f t="shared" ref="S6:S12" si="6">L6-Q6</f>
        <v>-14063.430000000008</v>
      </c>
      <c r="T6" s="504"/>
      <c r="U6" s="504"/>
      <c r="V6" s="510" t="s">
        <v>220</v>
      </c>
      <c r="W6" s="511">
        <v>2.5000000000000001E-2</v>
      </c>
      <c r="X6" s="504"/>
      <c r="Y6" s="504"/>
      <c r="Z6" s="504"/>
      <c r="AA6" s="504"/>
      <c r="AB6" s="504"/>
      <c r="AC6" s="504"/>
      <c r="AD6" s="504"/>
      <c r="AE6" s="504"/>
      <c r="AF6" s="504"/>
      <c r="AG6" s="504"/>
      <c r="AH6" s="504"/>
      <c r="AI6" s="504"/>
      <c r="AJ6" s="504"/>
      <c r="AK6" s="504"/>
      <c r="AL6" s="504"/>
      <c r="AM6" s="504"/>
      <c r="AN6" s="504"/>
    </row>
    <row r="7" spans="1:40" ht="20.399999999999999">
      <c r="A7" s="517" t="s">
        <v>226</v>
      </c>
      <c r="B7" s="504" t="s">
        <v>0</v>
      </c>
      <c r="C7" s="525" t="s">
        <v>17</v>
      </c>
      <c r="D7" s="526">
        <f t="array" ref="D7">+INDEX('[5]Budget original'!$A$2:$AO$500,MATCH($A7,'[5]Budget original'!$A$2:$A$500,0),MATCH(D$2,'[5]Budget original'!$A$2:$AO$2,0))</f>
        <v>40.187980800000005</v>
      </c>
      <c r="E7" s="526">
        <f t="shared" si="0"/>
        <v>2556.333633363336</v>
      </c>
      <c r="F7" s="526">
        <f t="array" ref="F7">+INDEX('[5]Budget original'!$A$2:$AO$500,MATCH($A7,'[5]Budget original'!$A$2:$A$500,0),MATCH(F$2,'[5]Budget original'!$A$2:$AO$2,0))</f>
        <v>102733.88697600001</v>
      </c>
      <c r="G7" s="527"/>
      <c r="H7" s="526"/>
      <c r="I7" s="526"/>
      <c r="J7" s="527">
        <f>-SUMIFS([5]BV_Data_An_Cour!$O:$O,[5]BV_Data_An_Cour!$U:$U,$B7,[5]BV_Data_An_Cour!$V:$V,$C7,[5]BV_Data_An_Cour!$W:$W,J$2)</f>
        <v>24</v>
      </c>
      <c r="K7" s="526">
        <f t="shared" si="1"/>
        <v>2577.0195833333323</v>
      </c>
      <c r="L7" s="528">
        <f>-SUMIFS([5]BV_Data_An_Cour!$O:$O,[5]BV_Data_An_Cour!$U:$U,$B7,[5]BV_Data_An_Cour!$V:$V,$C7,[5]BV_Data_An_Cour!$W:$W,L$2)</f>
        <v>61848.469999999972</v>
      </c>
      <c r="M7" s="527">
        <f t="shared" si="2"/>
        <v>-16.187980800000005</v>
      </c>
      <c r="N7" s="528">
        <f t="shared" si="3"/>
        <v>-40885.416976000037</v>
      </c>
      <c r="O7" s="527">
        <f>-SUMIFS([5]BV_Data_An_Prec!$O:$O,[5]BV_Data_An_Prec!$U:$U,$B7,[5]BV_Data_An_Prec!$V:$V,$C7,[5]BV_Data_An_Prec!$W:$W,O$2)</f>
        <v>37</v>
      </c>
      <c r="P7" s="526">
        <f t="shared" si="4"/>
        <v>3278.5564864864823</v>
      </c>
      <c r="Q7" s="528">
        <f>-SUMIFS([5]BV_Data_An_Prec!$O:$O,[5]BV_Data_An_Prec!$U:$U,$B7,[5]BV_Data_An_Prec!$V:$V,$C7,[5]BV_Data_An_Prec!$W:$W,Q$2)</f>
        <v>121306.58999999985</v>
      </c>
      <c r="R7" s="527">
        <f t="shared" si="5"/>
        <v>-13</v>
      </c>
      <c r="S7" s="528">
        <f t="shared" si="6"/>
        <v>-59458.119999999879</v>
      </c>
      <c r="T7" s="504"/>
      <c r="U7" s="504"/>
      <c r="V7" s="510" t="s">
        <v>221</v>
      </c>
      <c r="W7" s="511">
        <v>0.2</v>
      </c>
      <c r="X7" s="504"/>
      <c r="Y7" s="504"/>
      <c r="Z7" s="504"/>
      <c r="AA7" s="504"/>
      <c r="AB7" s="504"/>
      <c r="AC7" s="504"/>
      <c r="AD7" s="504"/>
      <c r="AE7" s="504"/>
      <c r="AF7" s="504"/>
      <c r="AG7" s="504"/>
      <c r="AH7" s="504"/>
      <c r="AI7" s="504"/>
      <c r="AJ7" s="504"/>
      <c r="AK7" s="504"/>
      <c r="AL7" s="504"/>
      <c r="AM7" s="504"/>
      <c r="AN7" s="504"/>
    </row>
    <row r="8" spans="1:40" ht="21" thickBot="1">
      <c r="A8" s="517" t="s">
        <v>227</v>
      </c>
      <c r="B8" s="504" t="s">
        <v>0</v>
      </c>
      <c r="C8" s="525" t="s">
        <v>18</v>
      </c>
      <c r="D8" s="526">
        <f t="array" ref="D8">+INDEX('[5]Budget original'!$A$2:$AO$500,MATCH($A8,'[5]Budget original'!$A$2:$A$500,0),MATCH(D$2,'[5]Budget original'!$A$2:$AO$2,0))</f>
        <v>0</v>
      </c>
      <c r="E8" s="526">
        <f t="shared" si="0"/>
        <v>0</v>
      </c>
      <c r="F8" s="526">
        <f t="array" ref="F8">+INDEX('[5]Budget original'!$A$2:$AO$500,MATCH($A8,'[5]Budget original'!$A$2:$A$500,0),MATCH(F$2,'[5]Budget original'!$A$2:$AO$2,0))</f>
        <v>0</v>
      </c>
      <c r="G8" s="527"/>
      <c r="H8" s="526"/>
      <c r="I8" s="526"/>
      <c r="J8" s="527">
        <f>-SUMIFS([5]BV_Data_An_Cour!$O:$O,[5]BV_Data_An_Cour!$U:$U,$B8,[5]BV_Data_An_Cour!$V:$V,$C8,[5]BV_Data_An_Cour!$W:$W,J$2)</f>
        <v>0</v>
      </c>
      <c r="K8" s="526">
        <f t="shared" si="1"/>
        <v>0</v>
      </c>
      <c r="L8" s="528">
        <f>-SUMIFS([5]BV_Data_An_Cour!$O:$O,[5]BV_Data_An_Cour!$U:$U,$B8,[5]BV_Data_An_Cour!$V:$V,$C8,[5]BV_Data_An_Cour!$W:$W,L$2)</f>
        <v>0</v>
      </c>
      <c r="M8" s="527">
        <f t="shared" si="2"/>
        <v>0</v>
      </c>
      <c r="N8" s="528">
        <f t="shared" si="3"/>
        <v>0</v>
      </c>
      <c r="O8" s="527">
        <f>-SUMIFS([5]BV_Data_An_Prec!$O:$O,[5]BV_Data_An_Prec!$U:$U,$B8,[5]BV_Data_An_Prec!$V:$V,$C8,[5]BV_Data_An_Prec!$W:$W,O$2)</f>
        <v>0</v>
      </c>
      <c r="P8" s="526">
        <f t="shared" si="4"/>
        <v>0</v>
      </c>
      <c r="Q8" s="528">
        <f>-SUMIFS([5]BV_Data_An_Prec!$O:$O,[5]BV_Data_An_Prec!$U:$U,$B8,[5]BV_Data_An_Prec!$V:$V,$C8,[5]BV_Data_An_Prec!$W:$W,Q$2)</f>
        <v>0</v>
      </c>
      <c r="R8" s="527">
        <f t="shared" si="5"/>
        <v>0</v>
      </c>
      <c r="S8" s="528">
        <f t="shared" si="6"/>
        <v>0</v>
      </c>
      <c r="T8" s="504"/>
      <c r="U8" s="504"/>
      <c r="V8" s="529"/>
      <c r="W8" s="530">
        <f>SUM(W3:W7)</f>
        <v>1</v>
      </c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504"/>
      <c r="AI8" s="504"/>
      <c r="AJ8" s="504"/>
      <c r="AK8" s="504"/>
      <c r="AL8" s="504"/>
      <c r="AM8" s="504"/>
      <c r="AN8" s="504"/>
    </row>
    <row r="9" spans="1:40" ht="21" thickTop="1">
      <c r="A9" s="517" t="s">
        <v>228</v>
      </c>
      <c r="B9" s="504" t="s">
        <v>0</v>
      </c>
      <c r="C9" s="525" t="s">
        <v>19</v>
      </c>
      <c r="D9" s="526">
        <f t="array" ref="D9">+INDEX('[5]Budget original'!$A$2:$AO$500,MATCH($A9,'[5]Budget original'!$A$2:$A$500,0),MATCH(D$2,'[5]Budget original'!$A$2:$AO$2,0))</f>
        <v>0</v>
      </c>
      <c r="E9" s="526">
        <f t="shared" si="0"/>
        <v>0</v>
      </c>
      <c r="F9" s="526">
        <f t="array" ref="F9">+INDEX('[5]Budget original'!$A$2:$AO$500,MATCH($A9,'[5]Budget original'!$A$2:$A$500,0),MATCH(F$2,'[5]Budget original'!$A$2:$AO$2,0))</f>
        <v>0</v>
      </c>
      <c r="G9" s="527"/>
      <c r="H9" s="526"/>
      <c r="I9" s="526"/>
      <c r="J9" s="527">
        <f>-SUMIFS([5]BV_Data_An_Cour!$O:$O,[5]BV_Data_An_Cour!$U:$U,$B9,[5]BV_Data_An_Cour!$V:$V,$C9,[5]BV_Data_An_Cour!$W:$W,J$2)</f>
        <v>0</v>
      </c>
      <c r="K9" s="526">
        <f t="shared" si="1"/>
        <v>0</v>
      </c>
      <c r="L9" s="528">
        <f>-SUMIFS([5]BV_Data_An_Cour!$O:$O,[5]BV_Data_An_Cour!$U:$U,$B9,[5]BV_Data_An_Cour!$V:$V,$C9,[5]BV_Data_An_Cour!$W:$W,L$2)</f>
        <v>0</v>
      </c>
      <c r="M9" s="527">
        <f t="shared" si="2"/>
        <v>0</v>
      </c>
      <c r="N9" s="528">
        <f t="shared" si="3"/>
        <v>0</v>
      </c>
      <c r="O9" s="527">
        <f>-SUMIFS([5]BV_Data_An_Prec!$O:$O,[5]BV_Data_An_Prec!$U:$U,$B9,[5]BV_Data_An_Prec!$V:$V,$C9,[5]BV_Data_An_Prec!$W:$W,O$2)</f>
        <v>0</v>
      </c>
      <c r="P9" s="526">
        <f t="shared" si="4"/>
        <v>0</v>
      </c>
      <c r="Q9" s="528">
        <f>-SUMIFS([5]BV_Data_An_Prec!$O:$O,[5]BV_Data_An_Prec!$U:$U,$B9,[5]BV_Data_An_Prec!$V:$V,$C9,[5]BV_Data_An_Prec!$W:$W,Q$2)</f>
        <v>0</v>
      </c>
      <c r="R9" s="527">
        <f t="shared" si="5"/>
        <v>0</v>
      </c>
      <c r="S9" s="528">
        <f t="shared" si="6"/>
        <v>0</v>
      </c>
      <c r="T9" s="504"/>
      <c r="U9" s="504"/>
      <c r="V9" s="504"/>
      <c r="W9" s="504"/>
      <c r="X9" s="504"/>
      <c r="Y9" s="504"/>
      <c r="Z9" s="504"/>
      <c r="AA9" s="504"/>
      <c r="AB9" s="504"/>
      <c r="AC9" s="504"/>
      <c r="AD9" s="504"/>
      <c r="AE9" s="504"/>
      <c r="AF9" s="504"/>
      <c r="AG9" s="504"/>
      <c r="AH9" s="504"/>
      <c r="AI9" s="504"/>
      <c r="AJ9" s="504"/>
      <c r="AK9" s="504"/>
      <c r="AL9" s="504"/>
      <c r="AM9" s="504"/>
      <c r="AN9" s="504"/>
    </row>
    <row r="10" spans="1:40" ht="20.25" hidden="1" customHeight="1">
      <c r="A10" s="517" t="s">
        <v>229</v>
      </c>
      <c r="B10" s="504" t="s">
        <v>0</v>
      </c>
      <c r="C10" s="525" t="s">
        <v>20</v>
      </c>
      <c r="D10" s="526">
        <v>0</v>
      </c>
      <c r="E10" s="526">
        <f t="shared" si="0"/>
        <v>0</v>
      </c>
      <c r="F10" s="526">
        <f t="array" ref="F10">+INDEX('[5]Budget original'!$A$2:$AO$500,MATCH($A10,'[5]Budget original'!$A$2:$A$500,0),MATCH(F$2,'[5]Budget original'!$A$2:$AO$2,0))</f>
        <v>0</v>
      </c>
      <c r="G10" s="527"/>
      <c r="H10" s="526"/>
      <c r="I10" s="526"/>
      <c r="J10" s="527">
        <f>-SUMIFS([5]BV_Data_An_Cour!$O:$O,[5]BV_Data_An_Cour!$U:$U,$B10,[5]BV_Data_An_Cour!$V:$V,$C10,[5]BV_Data_An_Cour!$W:$W,J$2)</f>
        <v>0</v>
      </c>
      <c r="K10" s="526">
        <f t="shared" si="1"/>
        <v>0</v>
      </c>
      <c r="L10" s="528">
        <f>-SUMIFS([5]BV_Data_An_Cour!$O:$O,[5]BV_Data_An_Cour!$U:$U,$B10,[5]BV_Data_An_Cour!$V:$V,$C10,[5]BV_Data_An_Cour!$W:$W,L$2)</f>
        <v>0</v>
      </c>
      <c r="M10" s="527">
        <f t="shared" si="2"/>
        <v>0</v>
      </c>
      <c r="N10" s="528">
        <f t="shared" si="3"/>
        <v>0</v>
      </c>
      <c r="O10" s="527">
        <f>-SUMIFS([5]BV_Data_An_Prec!$O:$O,[5]BV_Data_An_Prec!$U:$U,$B10,[5]BV_Data_An_Prec!$V:$V,$C10,[5]BV_Data_An_Prec!$W:$W,O$2)</f>
        <v>0</v>
      </c>
      <c r="P10" s="526">
        <f t="shared" si="4"/>
        <v>0</v>
      </c>
      <c r="Q10" s="528">
        <f>-SUMIFS([5]BV_Data_An_Prec!$O:$O,[5]BV_Data_An_Prec!$U:$U,$B10,[5]BV_Data_An_Prec!$V:$V,$C10,[5]BV_Data_An_Prec!$W:$W,Q$2)</f>
        <v>0</v>
      </c>
      <c r="R10" s="527">
        <f t="shared" si="5"/>
        <v>0</v>
      </c>
      <c r="S10" s="528">
        <f t="shared" si="6"/>
        <v>0</v>
      </c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</row>
    <row r="11" spans="1:40" ht="20.25" hidden="1" customHeight="1">
      <c r="A11" s="517" t="s">
        <v>229</v>
      </c>
      <c r="B11" s="504" t="s">
        <v>0</v>
      </c>
      <c r="C11" s="525" t="s">
        <v>20</v>
      </c>
      <c r="D11" s="526">
        <v>0</v>
      </c>
      <c r="E11" s="526">
        <f t="shared" si="0"/>
        <v>0</v>
      </c>
      <c r="F11" s="526">
        <f t="array" ref="F11">+INDEX('[5]Budget original'!$A$2:$AO$500,MATCH($A11,'[5]Budget original'!$A$2:$A$500,0),MATCH(F$2,'[5]Budget original'!$A$2:$AO$2,0))</f>
        <v>0</v>
      </c>
      <c r="G11" s="527"/>
      <c r="H11" s="526"/>
      <c r="I11" s="526"/>
      <c r="J11" s="527">
        <f>-SUMIFS([5]BV_Data_An_Cour!$O:$O,[5]BV_Data_An_Cour!$U:$U,$B11,[5]BV_Data_An_Cour!$V:$V,$C11,[5]BV_Data_An_Cour!$W:$W,J$2)</f>
        <v>0</v>
      </c>
      <c r="K11" s="526">
        <f t="shared" si="1"/>
        <v>0</v>
      </c>
      <c r="L11" s="528">
        <f>-SUMIFS([5]BV_Data_An_Cour!$O:$O,[5]BV_Data_An_Cour!$U:$U,$B11,[5]BV_Data_An_Cour!$V:$V,$C11,[5]BV_Data_An_Cour!$W:$W,L$2)</f>
        <v>0</v>
      </c>
      <c r="M11" s="527">
        <f t="shared" si="2"/>
        <v>0</v>
      </c>
      <c r="N11" s="528">
        <f t="shared" si="3"/>
        <v>0</v>
      </c>
      <c r="O11" s="527">
        <f>-SUMIFS([5]BV_Data_An_Prec!$O:$O,[5]BV_Data_An_Prec!$U:$U,$B11,[5]BV_Data_An_Prec!$V:$V,$C11,[5]BV_Data_An_Prec!$W:$W,O$2)</f>
        <v>0</v>
      </c>
      <c r="P11" s="526">
        <f t="shared" si="4"/>
        <v>0</v>
      </c>
      <c r="Q11" s="528">
        <f>-SUMIFS([5]BV_Data_An_Prec!$O:$O,[5]BV_Data_An_Prec!$U:$U,$B11,[5]BV_Data_An_Prec!$V:$V,$C11,[5]BV_Data_An_Prec!$W:$W,Q$2)</f>
        <v>0</v>
      </c>
      <c r="R11" s="527">
        <f t="shared" si="5"/>
        <v>0</v>
      </c>
      <c r="S11" s="528">
        <f t="shared" si="6"/>
        <v>0</v>
      </c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4"/>
      <c r="AK11" s="504"/>
      <c r="AL11" s="504"/>
      <c r="AM11" s="504"/>
      <c r="AN11" s="504"/>
    </row>
    <row r="12" spans="1:40" ht="20.25" hidden="1" customHeight="1">
      <c r="A12" s="517" t="s">
        <v>229</v>
      </c>
      <c r="B12" s="504" t="s">
        <v>0</v>
      </c>
      <c r="C12" s="525" t="s">
        <v>20</v>
      </c>
      <c r="D12" s="526">
        <v>0</v>
      </c>
      <c r="E12" s="526">
        <f t="shared" si="0"/>
        <v>0</v>
      </c>
      <c r="F12" s="526">
        <f t="array" ref="F12">+INDEX('[5]Budget original'!$A$2:$AO$500,MATCH($A12,'[5]Budget original'!$A$2:$A$500,0),MATCH(F$2,'[5]Budget original'!$A$2:$AO$2,0))</f>
        <v>0</v>
      </c>
      <c r="G12" s="527"/>
      <c r="H12" s="526"/>
      <c r="I12" s="526"/>
      <c r="J12" s="527">
        <f>-SUMIFS([5]BV_Data_An_Cour!$O:$O,[5]BV_Data_An_Cour!$U:$U,$B12,[5]BV_Data_An_Cour!$V:$V,$C12,[5]BV_Data_An_Cour!$W:$W,J$2)</f>
        <v>0</v>
      </c>
      <c r="K12" s="526">
        <f t="shared" si="1"/>
        <v>0</v>
      </c>
      <c r="L12" s="528">
        <f>-SUMIFS([5]BV_Data_An_Cour!$O:$O,[5]BV_Data_An_Cour!$U:$U,$B12,[5]BV_Data_An_Cour!$V:$V,$C12,[5]BV_Data_An_Cour!$W:$W,L$2)</f>
        <v>0</v>
      </c>
      <c r="M12" s="527">
        <f t="shared" si="2"/>
        <v>0</v>
      </c>
      <c r="N12" s="528">
        <f t="shared" si="3"/>
        <v>0</v>
      </c>
      <c r="O12" s="527">
        <f>-SUMIFS([5]BV_Data_An_Prec!$O:$O,[5]BV_Data_An_Prec!$U:$U,$B12,[5]BV_Data_An_Prec!$V:$V,$C12,[5]BV_Data_An_Prec!$W:$W,O$2)</f>
        <v>0</v>
      </c>
      <c r="P12" s="526">
        <f t="shared" si="4"/>
        <v>0</v>
      </c>
      <c r="Q12" s="528">
        <f>-SUMIFS([5]BV_Data_An_Prec!$O:$O,[5]BV_Data_An_Prec!$U:$U,$B12,[5]BV_Data_An_Prec!$V:$V,$C12,[5]BV_Data_An_Prec!$W:$W,Q$2)</f>
        <v>0</v>
      </c>
      <c r="R12" s="527">
        <f t="shared" si="5"/>
        <v>0</v>
      </c>
      <c r="S12" s="528">
        <f t="shared" si="6"/>
        <v>0</v>
      </c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L12" s="504"/>
      <c r="AM12" s="504"/>
      <c r="AN12" s="504"/>
    </row>
    <row r="13" spans="1:40" ht="21">
      <c r="A13" s="517" t="s">
        <v>230</v>
      </c>
      <c r="B13" s="504" t="s">
        <v>0</v>
      </c>
      <c r="C13" s="531" t="s">
        <v>21</v>
      </c>
      <c r="D13" s="532">
        <f>+SUM(D6:D12)</f>
        <v>50.235980800000007</v>
      </c>
      <c r="E13" s="532">
        <f>IF(D13&lt;=0,0,F13/D13)</f>
        <v>2442.7446195695657</v>
      </c>
      <c r="F13" s="533">
        <f t="shared" ref="F13" si="7">+SUM(F6:F12)</f>
        <v>122713.67180800001</v>
      </c>
      <c r="G13" s="534"/>
      <c r="H13" s="532"/>
      <c r="I13" s="533"/>
      <c r="J13" s="534">
        <f t="shared" ref="J13" si="8">+SUM(J6:J12)</f>
        <v>36</v>
      </c>
      <c r="K13" s="532">
        <f>IF(J13&lt;=0,0,L13/J13)</f>
        <v>2345.4111111111106</v>
      </c>
      <c r="L13" s="533">
        <f t="shared" ref="L13:O13" si="9">+SUM(L6:L12)</f>
        <v>84434.799999999988</v>
      </c>
      <c r="M13" s="534">
        <f>+SUM(M6:M12)</f>
        <v>-14.235980800000005</v>
      </c>
      <c r="N13" s="533">
        <f t="shared" ref="N13" si="10">+SUM(N6:N12)</f>
        <v>-38278.871808000025</v>
      </c>
      <c r="O13" s="534">
        <f t="shared" si="9"/>
        <v>50</v>
      </c>
      <c r="P13" s="532">
        <f>IF(O13&lt;=0,0,Q13/O13)</f>
        <v>3159.1269999999972</v>
      </c>
      <c r="Q13" s="533">
        <f t="shared" ref="Q13:S13" si="11">+SUM(Q6:Q12)</f>
        <v>157956.34999999986</v>
      </c>
      <c r="R13" s="534">
        <f t="shared" si="11"/>
        <v>-14</v>
      </c>
      <c r="S13" s="533">
        <f t="shared" si="11"/>
        <v>-73521.549999999886</v>
      </c>
      <c r="T13" s="504"/>
      <c r="U13" s="504"/>
      <c r="V13" s="504"/>
      <c r="W13" s="504"/>
      <c r="X13" s="504"/>
      <c r="Y13" s="504"/>
      <c r="Z13" s="504"/>
      <c r="AA13" s="504"/>
      <c r="AB13" s="504"/>
      <c r="AC13" s="504"/>
      <c r="AD13" s="504"/>
      <c r="AE13" s="504"/>
      <c r="AF13" s="504"/>
      <c r="AG13" s="504"/>
      <c r="AH13" s="504"/>
      <c r="AI13" s="504"/>
      <c r="AJ13" s="504"/>
      <c r="AK13" s="504"/>
      <c r="AL13" s="504"/>
      <c r="AM13" s="504"/>
      <c r="AN13" s="504"/>
    </row>
    <row r="14" spans="1:40" ht="20.399999999999999">
      <c r="A14" s="517" t="s">
        <v>0</v>
      </c>
      <c r="B14" s="504" t="s">
        <v>0</v>
      </c>
      <c r="C14" s="525"/>
      <c r="D14" s="504"/>
      <c r="E14" s="526"/>
      <c r="F14" s="535"/>
      <c r="G14" s="525"/>
      <c r="H14" s="526"/>
      <c r="I14" s="535"/>
      <c r="J14" s="525"/>
      <c r="K14" s="526"/>
      <c r="L14" s="535"/>
      <c r="M14" s="536">
        <f>IF(D13=0,0,M13/D13)</f>
        <v>-0.28338216101874142</v>
      </c>
      <c r="N14" s="537">
        <f>IF(F13=0,0,N13/F13)</f>
        <v>-0.31193648795622242</v>
      </c>
      <c r="O14" s="525"/>
      <c r="P14" s="526"/>
      <c r="Q14" s="535"/>
      <c r="R14" s="536">
        <f>R13/O13</f>
        <v>-0.28000000000000003</v>
      </c>
      <c r="S14" s="537">
        <f>IF(Q13=0,0,(S13/Q13))</f>
        <v>-0.46545485509129547</v>
      </c>
      <c r="T14" s="504"/>
      <c r="U14" s="504"/>
      <c r="V14" s="504"/>
      <c r="W14" s="526"/>
      <c r="X14" s="526"/>
      <c r="Y14" s="504"/>
      <c r="Z14" s="504"/>
      <c r="AA14" s="504"/>
      <c r="AB14" s="504"/>
      <c r="AC14" s="504"/>
      <c r="AD14" s="504">
        <v>20</v>
      </c>
      <c r="AE14" s="504">
        <v>1000</v>
      </c>
      <c r="AF14" s="504">
        <f>AD14*AE14</f>
        <v>20000</v>
      </c>
      <c r="AG14" s="504"/>
      <c r="AH14" s="504"/>
      <c r="AI14" s="504"/>
      <c r="AJ14" s="504"/>
      <c r="AK14" s="504"/>
      <c r="AL14" s="504"/>
      <c r="AM14" s="504"/>
      <c r="AN14" s="504"/>
    </row>
    <row r="15" spans="1:40" ht="21">
      <c r="A15" s="517" t="s">
        <v>231</v>
      </c>
      <c r="B15" s="504" t="s">
        <v>0</v>
      </c>
      <c r="C15" s="538" t="s">
        <v>22</v>
      </c>
      <c r="D15" s="522">
        <f t="array" ref="D15">+INDEX('[5]Budget original'!$A$2:$AO$500,MATCH($A15,'[5]Budget original'!$A$2:$A$500,0),MATCH(D$2,'[5]Budget original'!$A$2:$AO$2,0))</f>
        <v>2.4</v>
      </c>
      <c r="E15" s="522">
        <f>IF(D15=0,0,F15/D15)</f>
        <v>2442.5491999999999</v>
      </c>
      <c r="F15" s="520">
        <f t="array" ref="F15">+INDEX('[5]Budget original'!$A$2:$AO$500,MATCH($A15,'[5]Budget original'!$A$2:$A$500,0),MATCH(F$2,'[5]Budget original'!$A$2:$AO$2,0))</f>
        <v>5862.1180799999993</v>
      </c>
      <c r="G15" s="539"/>
      <c r="H15" s="522"/>
      <c r="I15" s="520"/>
      <c r="J15" s="540">
        <f>-SUMIFS([5]BV_Data_An_Cour!$O:$O,[5]BV_Data_An_Cour!$U:$U,$B15,[5]BV_Data_An_Cour!$V:$V,$C15,[5]BV_Data_An_Cour!$W:$W,J$2)</f>
        <v>3</v>
      </c>
      <c r="K15" s="541">
        <f>IF(J15=0,0,L15/J15)</f>
        <v>851.18000000000268</v>
      </c>
      <c r="L15" s="541">
        <f>-SUMIFS([5]BV_Data_An_Cour!$O:$O,[5]BV_Data_An_Cour!$U:$U,$B15,[5]BV_Data_An_Cour!$V:$V,$C15,[5]BV_Data_An_Cour!$W:$W,L$2)</f>
        <v>2553.5400000000081</v>
      </c>
      <c r="M15" s="539">
        <f>J15-D15</f>
        <v>0.60000000000000009</v>
      </c>
      <c r="N15" s="520">
        <f>L15-F15</f>
        <v>-3308.5780799999911</v>
      </c>
      <c r="O15" s="540">
        <f>-SUMIFS([5]BV_Data_An_Prec!$O:$O,[5]BV_Data_An_Prec!$U:$U,$B15,[5]BV_Data_An_Prec!$V:$V,$C15,[5]BV_Data_An_Prec!$W:$W,O$2)</f>
        <v>3</v>
      </c>
      <c r="P15" s="541">
        <f>IF(O15=0,0,Q15/O15)</f>
        <v>2992.6000000000008</v>
      </c>
      <c r="Q15" s="541">
        <f>-SUMIFS([5]BV_Data_An_Prec!$O:$O,[5]BV_Data_An_Prec!$U:$U,$B15,[5]BV_Data_An_Prec!$V:$V,$C15,[5]BV_Data_An_Prec!$W:$W,Q$2)</f>
        <v>8977.8000000000029</v>
      </c>
      <c r="R15" s="539">
        <f>J15-O15</f>
        <v>0</v>
      </c>
      <c r="S15" s="520">
        <f>L15-Q15</f>
        <v>-6424.2599999999948</v>
      </c>
      <c r="T15" s="504"/>
      <c r="U15" s="504"/>
      <c r="V15" s="526"/>
      <c r="W15" s="504"/>
      <c r="X15" s="504"/>
      <c r="Y15" s="504"/>
      <c r="Z15" s="504"/>
      <c r="AA15" s="504"/>
      <c r="AB15" s="504"/>
      <c r="AC15" s="504"/>
      <c r="AD15" s="504">
        <v>25</v>
      </c>
      <c r="AE15" s="504">
        <f>AF15/AD15</f>
        <v>800</v>
      </c>
      <c r="AF15" s="504">
        <f>AF14</f>
        <v>20000</v>
      </c>
      <c r="AG15" s="504"/>
      <c r="AH15" s="504"/>
      <c r="AI15" s="504"/>
      <c r="AJ15" s="504"/>
      <c r="AK15" s="504"/>
      <c r="AL15" s="504"/>
      <c r="AM15" s="504"/>
      <c r="AN15" s="504"/>
    </row>
    <row r="16" spans="1:40" ht="21">
      <c r="A16" s="517" t="s">
        <v>0</v>
      </c>
      <c r="B16" s="504" t="s">
        <v>0</v>
      </c>
      <c r="C16" s="525"/>
      <c r="D16" s="504"/>
      <c r="E16" s="526"/>
      <c r="F16" s="535"/>
      <c r="G16" s="525"/>
      <c r="H16" s="526"/>
      <c r="I16" s="535"/>
      <c r="J16" s="525"/>
      <c r="K16" s="526"/>
      <c r="L16" s="528"/>
      <c r="M16" s="542"/>
      <c r="N16" s="543"/>
      <c r="O16" s="525"/>
      <c r="P16" s="526"/>
      <c r="Q16" s="528"/>
      <c r="R16" s="542"/>
      <c r="S16" s="543"/>
      <c r="T16" s="504"/>
      <c r="U16" s="504"/>
      <c r="V16" s="504"/>
      <c r="W16" s="504"/>
      <c r="X16" s="504"/>
      <c r="Y16" s="504"/>
      <c r="Z16" s="504"/>
      <c r="AA16" s="504"/>
      <c r="AB16" s="504"/>
      <c r="AC16" s="504"/>
      <c r="AD16" s="504"/>
      <c r="AE16" s="504"/>
      <c r="AF16" s="504"/>
      <c r="AG16" s="504"/>
      <c r="AH16" s="504"/>
      <c r="AI16" s="504"/>
      <c r="AJ16" s="504"/>
      <c r="AK16" s="504"/>
      <c r="AL16" s="504"/>
      <c r="AM16" s="504"/>
      <c r="AN16" s="504"/>
    </row>
    <row r="17" spans="1:40" ht="21">
      <c r="A17" s="517" t="s">
        <v>232</v>
      </c>
      <c r="B17" s="504" t="s">
        <v>0</v>
      </c>
      <c r="C17" s="544" t="s">
        <v>23</v>
      </c>
      <c r="D17" s="526">
        <f t="array" ref="D17">+INDEX('[5]Budget original'!$A$2:$AO$500,MATCH($A17,'[5]Budget original'!$A$2:$A$500,0),MATCH(D$2,'[5]Budget original'!$A$2:$AO$2,0))</f>
        <v>1.92</v>
      </c>
      <c r="E17" s="526">
        <f>IF(D17=0,0,F17/D17)</f>
        <v>2442.5491999999995</v>
      </c>
      <c r="F17" s="526">
        <f t="array" ref="F17">+INDEX('[5]Budget original'!$A$2:$AO$500,MATCH($A17,'[5]Budget original'!$A$2:$A$500,0),MATCH(F$2,'[5]Budget original'!$A$2:$AO$2,0))</f>
        <v>4689.6944639999992</v>
      </c>
      <c r="G17" s="527"/>
      <c r="H17" s="526"/>
      <c r="I17" s="526"/>
      <c r="J17" s="539">
        <f>-SUMIFS([5]BV_Data_An_Cour!$O:$O,[5]BV_Data_An_Cour!$U:$U,$B17,[5]BV_Data_An_Cour!$V:$V,$C17,[5]BV_Data_An_Cour!$W:$W,J$2)</f>
        <v>1</v>
      </c>
      <c r="K17" s="526">
        <f>IF(J17=0,0,L17/J17)</f>
        <v>4279.0500000000029</v>
      </c>
      <c r="L17" s="528">
        <f>-SUMIFS([5]BV_Data_An_Cour!$O:$O,[5]BV_Data_An_Cour!$U:$U,$B17,[5]BV_Data_An_Cour!$V:$V,$C17,[5]BV_Data_An_Cour!$W:$W,L$2)</f>
        <v>4279.0500000000029</v>
      </c>
      <c r="M17" s="539">
        <f>J17-D17</f>
        <v>-0.91999999999999993</v>
      </c>
      <c r="N17" s="528">
        <f>L17-F17</f>
        <v>-410.64446399999633</v>
      </c>
      <c r="O17" s="539">
        <f>-SUMIFS([5]BV_Data_An_Prec!$O:$O,[5]BV_Data_An_Prec!$U:$U,$B17,[5]BV_Data_An_Prec!$V:$V,$C17,[5]BV_Data_An_Prec!$W:$W,O$2)</f>
        <v>2</v>
      </c>
      <c r="P17" s="526">
        <f>IF(O17=0,0,Q17/O17)</f>
        <v>4190.7999999999956</v>
      </c>
      <c r="Q17" s="528">
        <f>-SUMIFS([5]BV_Data_An_Prec!$O:$O,[5]BV_Data_An_Prec!$U:$U,$B17,[5]BV_Data_An_Prec!$V:$V,$C17,[5]BV_Data_An_Prec!$W:$W,Q$2)</f>
        <v>8381.5999999999913</v>
      </c>
      <c r="R17" s="527">
        <f>J17-O17</f>
        <v>-1</v>
      </c>
      <c r="S17" s="528">
        <f>L17-Q17</f>
        <v>-4102.5499999999884</v>
      </c>
      <c r="T17" s="504"/>
      <c r="U17" s="504"/>
      <c r="V17" s="545">
        <f>+L13+L15+L17-4000</f>
        <v>87267.39</v>
      </c>
      <c r="W17" s="504"/>
      <c r="X17" s="504"/>
      <c r="Y17" s="504"/>
      <c r="Z17" s="504"/>
      <c r="AA17" s="526"/>
      <c r="AB17" s="504"/>
      <c r="AC17" s="504"/>
      <c r="AD17" s="504"/>
      <c r="AE17" s="504"/>
      <c r="AF17" s="504"/>
      <c r="AG17" s="504"/>
      <c r="AH17" s="504"/>
      <c r="AI17" s="504"/>
      <c r="AJ17" s="504"/>
      <c r="AK17" s="504"/>
      <c r="AL17" s="504"/>
      <c r="AM17" s="504"/>
      <c r="AN17" s="504"/>
    </row>
    <row r="18" spans="1:40" ht="21">
      <c r="A18" s="517" t="s">
        <v>0</v>
      </c>
      <c r="B18" s="504" t="s">
        <v>0</v>
      </c>
      <c r="C18" s="531"/>
      <c r="D18" s="546"/>
      <c r="E18" s="546"/>
      <c r="F18" s="547"/>
      <c r="G18" s="548"/>
      <c r="H18" s="546"/>
      <c r="I18" s="547"/>
      <c r="J18" s="527"/>
      <c r="K18" s="546"/>
      <c r="L18" s="547"/>
      <c r="M18" s="527"/>
      <c r="N18" s="547"/>
      <c r="O18" s="527"/>
      <c r="P18" s="546"/>
      <c r="Q18" s="547"/>
      <c r="R18" s="548"/>
      <c r="S18" s="547"/>
      <c r="T18" s="504"/>
      <c r="U18" s="504"/>
      <c r="V18" s="489">
        <f>+L31/V17</f>
        <v>0.3758112852922495</v>
      </c>
      <c r="W18" s="504"/>
      <c r="X18" s="504"/>
      <c r="Y18" s="504"/>
      <c r="Z18" s="504"/>
      <c r="AA18" s="504"/>
      <c r="AB18" s="504"/>
      <c r="AC18" s="504"/>
      <c r="AD18" s="504"/>
      <c r="AE18" s="504"/>
      <c r="AF18" s="504"/>
      <c r="AG18" s="504"/>
      <c r="AH18" s="504"/>
      <c r="AI18" s="504"/>
      <c r="AJ18" s="504"/>
      <c r="AK18" s="504"/>
      <c r="AL18" s="504"/>
      <c r="AM18" s="504"/>
      <c r="AN18" s="504"/>
    </row>
    <row r="19" spans="1:40" ht="21">
      <c r="A19" s="517" t="s">
        <v>233</v>
      </c>
      <c r="B19" s="504" t="s">
        <v>0</v>
      </c>
      <c r="C19" s="538" t="s">
        <v>24</v>
      </c>
      <c r="D19" s="526">
        <f t="array" ref="D19">+INDEX('[5]Budget original'!$A$2:$AO$500,MATCH($A19,'[5]Budget original'!$A$2:$A$500,0),MATCH(D$2,'[5]Budget original'!$A$2:$AO$2,0))</f>
        <v>0</v>
      </c>
      <c r="E19" s="526">
        <f>IF(D19=0,0,F19/D19)</f>
        <v>0</v>
      </c>
      <c r="F19" s="526">
        <f t="array" ref="F19">+INDEX('[5]Budget original'!$A$2:$AO$500,MATCH($A19,'[5]Budget original'!$A$2:$A$500,0),MATCH(F$2,'[5]Budget original'!$A$2:$AO$2,0))</f>
        <v>9600</v>
      </c>
      <c r="G19" s="527"/>
      <c r="H19" s="526"/>
      <c r="I19" s="526"/>
      <c r="J19" s="539"/>
      <c r="K19" s="526"/>
      <c r="L19" s="528">
        <f>-SUMIFS([5]BV_Data_An_Cour!$O:$O,[5]BV_Data_An_Cour!$U:$U,$B19,[5]BV_Data_An_Cour!$V:$V,$C19,[5]BV_Data_An_Cour!$W:$W,L$2)</f>
        <v>9971</v>
      </c>
      <c r="M19" s="527"/>
      <c r="N19" s="528">
        <f>L19-F19</f>
        <v>371</v>
      </c>
      <c r="O19" s="539"/>
      <c r="P19" s="526"/>
      <c r="Q19" s="528">
        <f>-SUMIFS([5]BV_Data_An_Prec!$O:$O,[5]BV_Data_An_Prec!$U:$U,$B19,[5]BV_Data_An_Prec!$V:$V,$C19,[5]BV_Data_An_Prec!$W:$W,Q$2)</f>
        <v>13968.330000000016</v>
      </c>
      <c r="R19" s="527">
        <f>O19-K19</f>
        <v>0</v>
      </c>
      <c r="S19" s="528">
        <f>L19-Q19</f>
        <v>-3997.3300000000163</v>
      </c>
      <c r="T19" s="504"/>
      <c r="W19" s="526"/>
      <c r="X19" s="549"/>
      <c r="Y19" s="504"/>
      <c r="Z19" s="504"/>
      <c r="AA19" s="504"/>
      <c r="AB19" s="504"/>
      <c r="AC19" s="504"/>
      <c r="AD19" s="504"/>
      <c r="AE19" s="504"/>
      <c r="AF19" s="504"/>
      <c r="AG19" s="504"/>
      <c r="AH19" s="504"/>
      <c r="AI19" s="504"/>
      <c r="AJ19" s="504"/>
      <c r="AK19" s="504"/>
      <c r="AL19" s="504"/>
      <c r="AM19" s="504"/>
      <c r="AN19" s="504"/>
    </row>
    <row r="20" spans="1:40" ht="21">
      <c r="A20" s="517" t="s">
        <v>0</v>
      </c>
      <c r="B20" s="504" t="s">
        <v>0</v>
      </c>
      <c r="C20" s="531"/>
      <c r="D20" s="546"/>
      <c r="E20" s="546"/>
      <c r="F20" s="547"/>
      <c r="G20" s="548"/>
      <c r="H20" s="546"/>
      <c r="I20" s="547"/>
      <c r="J20" s="527"/>
      <c r="K20" s="546"/>
      <c r="L20" s="547"/>
      <c r="M20" s="548"/>
      <c r="N20" s="547"/>
      <c r="O20" s="527"/>
      <c r="P20" s="546"/>
      <c r="Q20" s="547"/>
      <c r="R20" s="548"/>
      <c r="S20" s="547"/>
      <c r="T20" s="504"/>
      <c r="U20" s="504"/>
      <c r="W20" s="526"/>
      <c r="X20" s="549"/>
      <c r="Y20" s="504"/>
      <c r="Z20" s="504"/>
      <c r="AA20" s="504"/>
      <c r="AB20" s="504"/>
      <c r="AC20" s="504"/>
      <c r="AD20" s="504"/>
      <c r="AE20" s="504"/>
      <c r="AF20" s="504"/>
      <c r="AG20" s="504"/>
      <c r="AH20" s="504"/>
      <c r="AI20" s="504"/>
      <c r="AJ20" s="504"/>
      <c r="AK20" s="504"/>
      <c r="AL20" s="504"/>
      <c r="AM20" s="504"/>
      <c r="AN20" s="504"/>
    </row>
    <row r="21" spans="1:40" ht="15.75" customHeight="1">
      <c r="A21" s="517" t="s">
        <v>234</v>
      </c>
      <c r="B21" s="504" t="s">
        <v>0</v>
      </c>
      <c r="C21" s="525" t="s">
        <v>25</v>
      </c>
      <c r="D21" s="526">
        <f t="array" ref="D21">+INDEX('[5]Budget original'!$A$2:$AO$500,MATCH($A21,'[5]Budget original'!$A$2:$A$500,0),MATCH(D$2,'[5]Budget original'!$A$2:$AO$2,0))</f>
        <v>0</v>
      </c>
      <c r="E21" s="526">
        <f t="shared" ref="E21:E23" si="12">IF(D21=0,0,F21/D21)</f>
        <v>0</v>
      </c>
      <c r="F21" s="526">
        <f t="array" ref="F21">+INDEX('[5]Budget original'!$A$2:$AO$500,MATCH($A21,'[5]Budget original'!$A$2:$A$500,0),MATCH(F$2,'[5]Budget original'!$A$2:$AO$2,0))</f>
        <v>9053.3886976000013</v>
      </c>
      <c r="G21" s="527"/>
      <c r="H21" s="526"/>
      <c r="I21" s="526"/>
      <c r="J21" s="527"/>
      <c r="K21" s="526">
        <f>IF(J13=0,0,L21/(J13+J15))</f>
        <v>247.88589743589742</v>
      </c>
      <c r="L21" s="528">
        <f>-SUMIFS([5]BV_Data_An_Cour!$O:$O,[5]BV_Data_An_Cour!$U:$U,$B21,[5]BV_Data_An_Cour!$V:$V,$C21,[5]BV_Data_An_Cour!$W:$W,L$2)</f>
        <v>9667.5499999999993</v>
      </c>
      <c r="M21" s="527"/>
      <c r="N21" s="528">
        <f>L21-F21</f>
        <v>614.16130239999802</v>
      </c>
      <c r="O21" s="527"/>
      <c r="P21" s="526">
        <f>IF(O13=0,0,Q21/(O13+O15))</f>
        <v>208.71698113207546</v>
      </c>
      <c r="Q21" s="528">
        <f>-SUMIFS([5]BV_Data_An_Prec!$O:$O,[5]BV_Data_An_Prec!$U:$U,$B21,[5]BV_Data_An_Prec!$V:$V,$C21,[5]BV_Data_An_Prec!$W:$W,Q$2)</f>
        <v>11062</v>
      </c>
      <c r="R21" s="527">
        <f t="shared" ref="R21:R23" si="13">O21-K21</f>
        <v>-247.88589743589742</v>
      </c>
      <c r="S21" s="528">
        <f t="shared" ref="S21:S24" si="14">L21-Q21</f>
        <v>-1394.4500000000007</v>
      </c>
      <c r="T21" s="504"/>
      <c r="U21" s="504"/>
      <c r="W21" s="504"/>
      <c r="X21" s="549"/>
      <c r="Y21" s="504"/>
      <c r="Z21" s="504"/>
      <c r="AA21" s="504"/>
      <c r="AB21" s="504"/>
      <c r="AC21" s="504"/>
      <c r="AD21" s="504"/>
      <c r="AE21" s="504"/>
      <c r="AF21" s="504"/>
      <c r="AG21" s="504"/>
      <c r="AH21" s="504"/>
      <c r="AI21" s="504"/>
      <c r="AJ21" s="504"/>
      <c r="AK21" s="504"/>
      <c r="AL21" s="504"/>
      <c r="AM21" s="504"/>
      <c r="AN21" s="504"/>
    </row>
    <row r="22" spans="1:40" ht="18" customHeight="1">
      <c r="A22" s="517" t="s">
        <v>235</v>
      </c>
      <c r="B22" s="504" t="s">
        <v>0</v>
      </c>
      <c r="C22" s="525" t="s">
        <v>26</v>
      </c>
      <c r="D22" s="526">
        <f t="array" ref="D22">+INDEX('[5]Budget original'!$A$2:$AO$500,MATCH($A22,'[5]Budget original'!$A$2:$A$500,0),MATCH(D$2,'[5]Budget original'!$A$2:$AO$2,0))</f>
        <v>0</v>
      </c>
      <c r="E22" s="526">
        <f t="shared" si="12"/>
        <v>0</v>
      </c>
      <c r="F22" s="526">
        <f t="array" ref="F22">+INDEX('[5]Budget original'!$A$2:$AO$500,MATCH($A22,'[5]Budget original'!$A$2:$A$500,0),MATCH(F$2,'[5]Budget original'!$A$2:$AO$2,0))</f>
        <v>49793.637836800008</v>
      </c>
      <c r="G22" s="527"/>
      <c r="H22" s="526"/>
      <c r="I22" s="526"/>
      <c r="J22" s="527"/>
      <c r="K22" s="526">
        <f>IF(J13=0,0,L22/(J13+J15))</f>
        <v>1110.4235897435897</v>
      </c>
      <c r="L22" s="528">
        <f>-SUMIFS([5]BV_Data_An_Cour!$O:$O,[5]BV_Data_An_Cour!$U:$U,$B22,[5]BV_Data_An_Cour!$V:$V,$C22,[5]BV_Data_An_Cour!$W:$W,L$2)</f>
        <v>43306.52</v>
      </c>
      <c r="M22" s="527"/>
      <c r="N22" s="528">
        <f>L22-F22</f>
        <v>-6487.117836800011</v>
      </c>
      <c r="O22" s="527"/>
      <c r="P22" s="526">
        <f>IF(O13=0,0,Q22/(O13+O15))</f>
        <v>1043.6471698113207</v>
      </c>
      <c r="Q22" s="528">
        <f>-SUMIFS([5]BV_Data_An_Prec!$O:$O,[5]BV_Data_An_Prec!$U:$U,$B22,[5]BV_Data_An_Prec!$V:$V,$C22,[5]BV_Data_An_Prec!$W:$W,Q$2)</f>
        <v>55313.3</v>
      </c>
      <c r="R22" s="527">
        <f t="shared" si="13"/>
        <v>-1110.4235897435897</v>
      </c>
      <c r="S22" s="528">
        <f t="shared" si="14"/>
        <v>-12006.780000000006</v>
      </c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</row>
    <row r="23" spans="1:40" ht="19.5" customHeight="1">
      <c r="A23" s="517" t="s">
        <v>236</v>
      </c>
      <c r="B23" s="504" t="s">
        <v>0</v>
      </c>
      <c r="C23" s="525" t="s">
        <v>27</v>
      </c>
      <c r="D23" s="526">
        <f t="array" ref="D23">+INDEX('[5]Budget original'!$A$2:$AO$500,MATCH($A23,'[5]Budget original'!$A$2:$A$500,0),MATCH(D$2,'[5]Budget original'!$A$2:$AO$2,0))</f>
        <v>0</v>
      </c>
      <c r="E23" s="526">
        <f t="shared" si="12"/>
        <v>0</v>
      </c>
      <c r="F23" s="526">
        <f t="array" ref="F23">+INDEX('[5]Budget original'!$A$2:$AO$500,MATCH($A23,'[5]Budget original'!$A$2:$A$500,0),MATCH(F$2,'[5]Budget original'!$A$2:$AO$2,0))</f>
        <v>1526.4434432000003</v>
      </c>
      <c r="G23" s="527"/>
      <c r="H23" s="526"/>
      <c r="I23" s="526"/>
      <c r="J23" s="527"/>
      <c r="K23" s="526">
        <f>IF(J13=0,0,L23/(J13+J15))</f>
        <v>0</v>
      </c>
      <c r="L23" s="528">
        <f>-SUMIFS([5]BV_Data_An_Cour!$O:$O,[5]BV_Data_An_Cour!$U:$U,$B23,[5]BV_Data_An_Cour!$V:$V,$C23,[5]BV_Data_An_Cour!$W:$W,L$2)</f>
        <v>0</v>
      </c>
      <c r="M23" s="539"/>
      <c r="N23" s="528">
        <f>L23-F23</f>
        <v>-1526.4434432000003</v>
      </c>
      <c r="O23" s="527"/>
      <c r="P23" s="526">
        <f>IF(O13=0,0,Q23/(O13+O15))</f>
        <v>26.998867924528302</v>
      </c>
      <c r="Q23" s="528">
        <f>-SUMIFS([5]BV_Data_An_Prec!$O:$O,[5]BV_Data_An_Prec!$U:$U,$B23,[5]BV_Data_An_Prec!$V:$V,$C23,[5]BV_Data_An_Prec!$W:$W,Q$2)</f>
        <v>1430.94</v>
      </c>
      <c r="R23" s="527">
        <f t="shared" si="13"/>
        <v>0</v>
      </c>
      <c r="S23" s="528">
        <f t="shared" si="14"/>
        <v>-1430.94</v>
      </c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4"/>
      <c r="AK23" s="504"/>
      <c r="AL23" s="504"/>
      <c r="AM23" s="504"/>
      <c r="AN23" s="504"/>
    </row>
    <row r="24" spans="1:40" ht="18" customHeight="1">
      <c r="A24" s="517" t="s">
        <v>237</v>
      </c>
      <c r="B24" s="504" t="s">
        <v>0</v>
      </c>
      <c r="C24" s="531" t="s">
        <v>28</v>
      </c>
      <c r="D24" s="532">
        <f>+D15+D13</f>
        <v>52.635980800000006</v>
      </c>
      <c r="E24" s="532">
        <f>IF(D24&lt;=0,0,F24/D24)</f>
        <v>1147</v>
      </c>
      <c r="F24" s="533">
        <f>F21+F22+F23</f>
        <v>60373.469977600005</v>
      </c>
      <c r="G24" s="534"/>
      <c r="H24" s="532"/>
      <c r="I24" s="533"/>
      <c r="J24" s="534">
        <f>+J15+J13</f>
        <v>39</v>
      </c>
      <c r="K24" s="532">
        <f>IF(J24&lt;=0,0,L24/J24)</f>
        <v>1358.309487179487</v>
      </c>
      <c r="L24" s="533">
        <f>L21+L22+L23</f>
        <v>52974.069999999992</v>
      </c>
      <c r="M24" s="550">
        <f>J24-D24</f>
        <v>-13.635980800000006</v>
      </c>
      <c r="N24" s="533">
        <f>L24-F24</f>
        <v>-7399.3999776000128</v>
      </c>
      <c r="O24" s="534">
        <f>+O15+O13</f>
        <v>53</v>
      </c>
      <c r="P24" s="532">
        <f>IF(O24&lt;=0,0,Q24/O24)</f>
        <v>1279.3630188679247</v>
      </c>
      <c r="Q24" s="533">
        <f>Q21+Q22+Q23</f>
        <v>67806.240000000005</v>
      </c>
      <c r="R24" s="548"/>
      <c r="S24" s="533">
        <f t="shared" si="14"/>
        <v>-14832.170000000013</v>
      </c>
      <c r="T24" s="504"/>
      <c r="U24" s="504"/>
      <c r="V24" s="504"/>
      <c r="W24" s="504"/>
      <c r="X24" s="504"/>
      <c r="Y24" s="504"/>
      <c r="Z24" s="504"/>
      <c r="AA24" s="504"/>
      <c r="AB24" s="504"/>
      <c r="AC24" s="504"/>
      <c r="AD24" s="504"/>
      <c r="AE24" s="504"/>
      <c r="AF24" s="504"/>
      <c r="AG24" s="504"/>
      <c r="AH24" s="504"/>
      <c r="AI24" s="504"/>
      <c r="AJ24" s="504"/>
      <c r="AK24" s="504"/>
      <c r="AL24" s="504"/>
      <c r="AM24" s="504"/>
      <c r="AN24" s="504"/>
    </row>
    <row r="25" spans="1:40" ht="15.75" customHeight="1">
      <c r="A25" s="517" t="s">
        <v>0</v>
      </c>
      <c r="B25" s="504" t="s">
        <v>0</v>
      </c>
      <c r="C25" s="525"/>
      <c r="D25" s="504"/>
      <c r="E25" s="504"/>
      <c r="F25" s="551"/>
      <c r="G25" s="525"/>
      <c r="H25" s="504"/>
      <c r="I25" s="551"/>
      <c r="J25" s="525"/>
      <c r="K25" s="504"/>
      <c r="L25" s="551"/>
      <c r="M25" s="542"/>
      <c r="N25" s="543">
        <f>IF(N24=0,0,N24/F24)</f>
        <v>-0.12256045545080259</v>
      </c>
      <c r="O25" s="525"/>
      <c r="P25" s="504"/>
      <c r="Q25" s="551"/>
      <c r="R25" s="552"/>
      <c r="S25" s="543">
        <f>IF(Q24=0,0,(S24/Q24))</f>
        <v>-0.21874343718218281</v>
      </c>
      <c r="T25" s="504"/>
      <c r="U25" s="504"/>
      <c r="V25" s="504"/>
      <c r="W25" s="504"/>
      <c r="X25" s="504"/>
      <c r="Y25" s="504"/>
      <c r="Z25" s="504"/>
      <c r="AA25" s="504"/>
      <c r="AB25" s="504"/>
      <c r="AC25" s="504"/>
      <c r="AD25" s="504"/>
      <c r="AE25" s="504"/>
      <c r="AF25" s="504"/>
      <c r="AG25" s="504"/>
      <c r="AH25" s="504"/>
      <c r="AI25" s="504"/>
      <c r="AJ25" s="504"/>
      <c r="AK25" s="504"/>
      <c r="AL25" s="504"/>
      <c r="AM25" s="504"/>
      <c r="AN25" s="504"/>
    </row>
    <row r="26" spans="1:40" ht="15.75" customHeight="1" thickBot="1">
      <c r="A26" s="517" t="s">
        <v>0</v>
      </c>
      <c r="B26" s="504" t="s">
        <v>0</v>
      </c>
      <c r="C26" s="525"/>
      <c r="D26" s="504"/>
      <c r="E26" s="504"/>
      <c r="F26" s="535"/>
      <c r="G26" s="525"/>
      <c r="H26" s="504"/>
      <c r="I26" s="535"/>
      <c r="J26" s="525"/>
      <c r="K26" s="504"/>
      <c r="L26" s="535"/>
      <c r="M26" s="525"/>
      <c r="N26" s="535"/>
      <c r="O26" s="525"/>
      <c r="P26" s="504"/>
      <c r="Q26" s="535"/>
      <c r="R26" s="525"/>
      <c r="S26" s="535"/>
      <c r="T26" s="504"/>
      <c r="U26" s="504"/>
      <c r="V26" s="504"/>
      <c r="W26" s="504"/>
      <c r="X26" s="504"/>
      <c r="Y26" s="504"/>
      <c r="Z26" s="504"/>
      <c r="AA26" s="504"/>
      <c r="AB26" s="504"/>
      <c r="AC26" s="50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</row>
    <row r="27" spans="1:40" ht="18" customHeight="1" thickTop="1">
      <c r="A27" s="517" t="s">
        <v>238</v>
      </c>
      <c r="B27" s="504" t="s">
        <v>0</v>
      </c>
      <c r="C27" s="553" t="s">
        <v>29</v>
      </c>
      <c r="D27" s="554">
        <f>+D13+D15+D17</f>
        <v>54.555980800000007</v>
      </c>
      <c r="E27" s="555">
        <f>IF(D27&lt;=0,0,F27/D27)</f>
        <v>3725.3285771667397</v>
      </c>
      <c r="F27" s="556">
        <f>F13+F17+F24+F19+F15</f>
        <v>203238.9543296</v>
      </c>
      <c r="G27" s="557"/>
      <c r="H27" s="555"/>
      <c r="I27" s="556"/>
      <c r="J27" s="557">
        <f>+J13+J15+J17</f>
        <v>40</v>
      </c>
      <c r="K27" s="555">
        <f>IF(J27&lt;=0,0,L27/J27)</f>
        <v>3855.3114999999998</v>
      </c>
      <c r="L27" s="556">
        <f>L13+L17+L24+L19+L15</f>
        <v>154212.46</v>
      </c>
      <c r="M27" s="557">
        <f>J27-D27</f>
        <v>-14.555980800000007</v>
      </c>
      <c r="N27" s="556">
        <f>L27-F27</f>
        <v>-49026.494329600013</v>
      </c>
      <c r="O27" s="557">
        <f>+O13+O15+O17</f>
        <v>55</v>
      </c>
      <c r="P27" s="555">
        <f>IF(O27&lt;=0,0,Q27/O27)</f>
        <v>4674.3694545454518</v>
      </c>
      <c r="Q27" s="556">
        <f>Q13+Q17+Q24+Q19+Q15</f>
        <v>257090.31999999983</v>
      </c>
      <c r="R27" s="557">
        <f>J27-O27</f>
        <v>-15</v>
      </c>
      <c r="S27" s="556">
        <f>L27-Q27</f>
        <v>-102877.85999999984</v>
      </c>
      <c r="T27" s="504"/>
      <c r="U27" s="504"/>
      <c r="V27" s="504"/>
      <c r="W27" s="504"/>
      <c r="X27" s="504"/>
      <c r="Y27" s="504"/>
      <c r="Z27" s="504"/>
      <c r="AA27" s="504"/>
      <c r="AB27" s="504"/>
      <c r="AC27" s="50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</row>
    <row r="28" spans="1:40" ht="22.5" customHeight="1" thickBot="1">
      <c r="A28" s="517" t="s">
        <v>0</v>
      </c>
      <c r="B28" s="504" t="s">
        <v>0</v>
      </c>
      <c r="C28" s="558"/>
      <c r="D28" s="559"/>
      <c r="E28" s="559"/>
      <c r="F28" s="560"/>
      <c r="G28" s="558"/>
      <c r="H28" s="559"/>
      <c r="I28" s="560"/>
      <c r="J28" s="558"/>
      <c r="K28" s="559"/>
      <c r="L28" s="561">
        <f>L27/F27</f>
        <v>0.75877412629228569</v>
      </c>
      <c r="M28" s="562">
        <f>M27/D27</f>
        <v>-0.26680815900573096</v>
      </c>
      <c r="N28" s="563">
        <f>N27/F27</f>
        <v>-0.24122587370771434</v>
      </c>
      <c r="O28" s="558"/>
      <c r="P28" s="559"/>
      <c r="Q28" s="560"/>
      <c r="R28" s="562">
        <f>R27/O27</f>
        <v>-0.27272727272727271</v>
      </c>
      <c r="S28" s="563">
        <f>IF(Q27=0,0,S27/Q27)</f>
        <v>-0.40016232427576387</v>
      </c>
      <c r="T28" s="504"/>
      <c r="U28" s="504"/>
      <c r="V28" s="504"/>
      <c r="W28" s="504"/>
      <c r="X28" s="504"/>
      <c r="Y28" s="504"/>
      <c r="Z28" s="504"/>
      <c r="AA28" s="504"/>
      <c r="AB28" s="504"/>
      <c r="AC28" s="50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</row>
    <row r="29" spans="1:40" ht="15.75" customHeight="1" thickTop="1">
      <c r="A29" s="517" t="s">
        <v>0</v>
      </c>
      <c r="B29" s="504" t="s">
        <v>0</v>
      </c>
      <c r="C29" s="544"/>
      <c r="D29" s="564"/>
      <c r="E29" s="564"/>
      <c r="F29" s="565"/>
      <c r="G29" s="544"/>
      <c r="H29" s="564"/>
      <c r="I29" s="565"/>
      <c r="J29" s="544"/>
      <c r="K29" s="564"/>
      <c r="L29" s="565"/>
      <c r="M29" s="542"/>
      <c r="N29" s="543"/>
      <c r="O29" s="544"/>
      <c r="P29" s="564"/>
      <c r="Q29" s="565"/>
      <c r="R29" s="542"/>
      <c r="S29" s="543"/>
      <c r="T29" s="504"/>
      <c r="U29" s="504"/>
      <c r="V29" s="504"/>
      <c r="W29" s="504"/>
      <c r="X29" s="504"/>
      <c r="Y29" s="504"/>
      <c r="Z29" s="504"/>
      <c r="AA29" s="504"/>
      <c r="AB29" s="504"/>
      <c r="AC29" s="504"/>
      <c r="AD29" s="50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</row>
    <row r="30" spans="1:40" ht="15.75" customHeight="1">
      <c r="A30" s="517" t="s">
        <v>239</v>
      </c>
      <c r="B30" s="504" t="s">
        <v>0</v>
      </c>
      <c r="C30" s="566" t="s">
        <v>30</v>
      </c>
      <c r="D30" s="504"/>
      <c r="E30" s="567"/>
      <c r="F30" s="551"/>
      <c r="G30" s="525"/>
      <c r="H30" s="567"/>
      <c r="I30" s="551"/>
      <c r="J30" s="525"/>
      <c r="K30" s="567"/>
      <c r="L30" s="535"/>
      <c r="M30" s="525"/>
      <c r="N30" s="535"/>
      <c r="O30" s="525"/>
      <c r="P30" s="567"/>
      <c r="Q30" s="535"/>
      <c r="R30" s="525"/>
      <c r="S30" s="535"/>
      <c r="T30" s="504"/>
      <c r="U30" s="504"/>
      <c r="V30" s="504"/>
      <c r="W30" s="504"/>
      <c r="X30" s="504"/>
      <c r="Y30" s="504"/>
      <c r="Z30" s="504"/>
      <c r="AA30" s="504"/>
      <c r="AB30" s="504"/>
      <c r="AC30" s="504"/>
      <c r="AD30" s="50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</row>
    <row r="31" spans="1:40" ht="15.75" customHeight="1">
      <c r="A31" s="517" t="s">
        <v>240</v>
      </c>
      <c r="B31" s="504" t="s">
        <v>0</v>
      </c>
      <c r="C31" s="525" t="s">
        <v>31</v>
      </c>
      <c r="D31" s="568">
        <f>F31/(F15+F13+F17)</f>
        <v>0.30450317139293837</v>
      </c>
      <c r="E31" s="569">
        <f t="shared" ref="E31:E40" si="15">F31/D$24</f>
        <v>770.95101118358946</v>
      </c>
      <c r="F31" s="526">
        <f t="array" ref="F31">+INDEX('[5]Budget original'!$A$2:$AO$500,MATCH($A31,'[5]Budget original'!$A$2:$A$500,0),MATCH(F$2,'[5]Budget original'!$A$2:$AO$2,0))</f>
        <v>40579.762622400005</v>
      </c>
      <c r="G31" s="570"/>
      <c r="H31" s="569"/>
      <c r="I31" s="526"/>
      <c r="J31" s="570">
        <f>L31/(L15+L13+L17)</f>
        <v>0.35934050486159402</v>
      </c>
      <c r="K31" s="569">
        <f t="shared" ref="K31:K40" si="16">IF(L31=0,0,L31/J$24)</f>
        <v>840.92487179487182</v>
      </c>
      <c r="L31" s="526">
        <f>SUMIFS([5]BV_Data_An_Cour!$O:$O,[5]BV_Data_An_Cour!$U:$U,$B31,[5]BV_Data_An_Cour!$V:$V,$C31,[5]BV_Data_An_Cour!$W:$W,L$2)</f>
        <v>32796.07</v>
      </c>
      <c r="M31" s="525"/>
      <c r="N31" s="551">
        <f t="shared" ref="N31:N53" si="17">L31-F31</f>
        <v>-7783.6926224000053</v>
      </c>
      <c r="O31" s="525"/>
      <c r="P31" s="569">
        <f t="shared" ref="P31:P40" si="18">IF(Q31=0,0,Q31/O$24)</f>
        <v>1067.6588679245283</v>
      </c>
      <c r="Q31" s="528">
        <f>SUMIFS([5]BV_Data_An_Prec!$O:$O,[5]BV_Data_An_Prec!$U:$U,$B31,[5]BV_Data_An_Prec!$V:$V,$C31,[5]BV_Data_An_Prec!$W:$W,Q$2)</f>
        <v>56585.919999999998</v>
      </c>
      <c r="R31" s="525"/>
      <c r="S31" s="551">
        <f t="shared" ref="S31:S53" si="19">L31-Q31</f>
        <v>-23789.85</v>
      </c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</row>
    <row r="32" spans="1:40" ht="15.75" customHeight="1">
      <c r="A32" s="517" t="s">
        <v>241</v>
      </c>
      <c r="B32" s="504" t="s">
        <v>0</v>
      </c>
      <c r="C32" s="518" t="s">
        <v>32</v>
      </c>
      <c r="D32" s="571">
        <f>F32/F24</f>
        <v>0.3</v>
      </c>
      <c r="E32" s="572">
        <f t="shared" si="15"/>
        <v>344.09999999999997</v>
      </c>
      <c r="F32" s="520">
        <f t="array" ref="F32">+INDEX('[5]Budget original'!$A$2:$AO$500,MATCH($A32,'[5]Budget original'!$A$2:$A$500,0),MATCH(F$2,'[5]Budget original'!$A$2:$AO$2,0))</f>
        <v>18112.040993279999</v>
      </c>
      <c r="G32" s="573"/>
      <c r="H32" s="572"/>
      <c r="I32" s="520"/>
      <c r="J32" s="573">
        <f>L32/L24</f>
        <v>0.30073845562555424</v>
      </c>
      <c r="K32" s="572">
        <f t="shared" si="16"/>
        <v>408.49589743589746</v>
      </c>
      <c r="L32" s="520">
        <f>SUMIFS([5]BV_Data_An_Cour!$O:$O,[5]BV_Data_An_Cour!$U:$U,$B32,[5]BV_Data_An_Cour!$V:$V,$C32,[5]BV_Data_An_Cour!$W:$W,L$2)</f>
        <v>15931.34</v>
      </c>
      <c r="M32" s="518"/>
      <c r="N32" s="574">
        <f t="shared" si="17"/>
        <v>-2180.7009932799992</v>
      </c>
      <c r="O32" s="518"/>
      <c r="P32" s="572">
        <f t="shared" si="18"/>
        <v>423.97528301886791</v>
      </c>
      <c r="Q32" s="520">
        <f>SUMIFS([5]BV_Data_An_Prec!$O:$O,[5]BV_Data_An_Prec!$U:$U,$B32,[5]BV_Data_An_Prec!$V:$V,$C32,[5]BV_Data_An_Prec!$W:$W,Q$2)</f>
        <v>22470.69</v>
      </c>
      <c r="R32" s="518"/>
      <c r="S32" s="574">
        <f t="shared" si="19"/>
        <v>-6539.3499999999985</v>
      </c>
      <c r="T32" s="504"/>
      <c r="U32" s="575">
        <f>(L32+L112)/(L104+L24+L19)</f>
        <v>0.26707524493492535</v>
      </c>
      <c r="V32" s="576" t="s">
        <v>467</v>
      </c>
      <c r="X32" s="489">
        <f>L24*U32</f>
        <v>14148.06272044988</v>
      </c>
      <c r="Y32" s="545">
        <f>+L32-X32</f>
        <v>1783.2772795501205</v>
      </c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</row>
    <row r="33" spans="1:40" ht="15.75" customHeight="1">
      <c r="A33" s="517" t="s">
        <v>242</v>
      </c>
      <c r="B33" s="504" t="s">
        <v>0</v>
      </c>
      <c r="C33" s="525" t="s">
        <v>33</v>
      </c>
      <c r="D33" s="577"/>
      <c r="E33" s="569">
        <f t="shared" si="15"/>
        <v>113.25897667238421</v>
      </c>
      <c r="F33" s="526">
        <f t="array" ref="F33">+INDEX('[5]Budget original'!$A$2:$AO$500,MATCH($A33,'[5]Budget original'!$A$2:$A$500,0),MATCH(F$2,'[5]Budget original'!$A$2:$AO$2,0))</f>
        <v>5961.4973215552636</v>
      </c>
      <c r="G33" s="578"/>
      <c r="H33" s="569"/>
      <c r="I33" s="526"/>
      <c r="J33" s="525"/>
      <c r="K33" s="569">
        <f t="shared" si="16"/>
        <v>168.41974358974358</v>
      </c>
      <c r="L33" s="526">
        <f>SUMIFS([5]BV_Data_An_Cour!$O:$O,[5]BV_Data_An_Cour!$U:$U,$B33,[5]BV_Data_An_Cour!$V:$V,$C33,[5]BV_Data_An_Cour!$W:$W,L$2)</f>
        <v>6568.37</v>
      </c>
      <c r="M33" s="525"/>
      <c r="N33" s="551">
        <f t="shared" si="17"/>
        <v>606.87267844473627</v>
      </c>
      <c r="O33" s="525"/>
      <c r="P33" s="569">
        <f t="shared" si="18"/>
        <v>145.8677358490566</v>
      </c>
      <c r="Q33" s="528">
        <f>SUMIFS([5]BV_Data_An_Prec!$O:$O,[5]BV_Data_An_Prec!$U:$U,$B33,[5]BV_Data_An_Prec!$V:$V,$C33,[5]BV_Data_An_Prec!$W:$W,Q$2)</f>
        <v>7730.99</v>
      </c>
      <c r="R33" s="525"/>
      <c r="S33" s="551">
        <f t="shared" si="19"/>
        <v>-1162.6199999999999</v>
      </c>
      <c r="T33" s="504"/>
      <c r="Z33" s="504"/>
      <c r="AA33" s="504"/>
      <c r="AB33" s="504"/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</row>
    <row r="34" spans="1:40" ht="15.75" customHeight="1">
      <c r="A34" s="517" t="s">
        <v>243</v>
      </c>
      <c r="B34" s="504" t="s">
        <v>0</v>
      </c>
      <c r="C34" s="525" t="s">
        <v>34</v>
      </c>
      <c r="D34" s="577"/>
      <c r="E34" s="569">
        <f t="shared" si="15"/>
        <v>5.1177856446126109</v>
      </c>
      <c r="F34" s="526">
        <f t="array" ref="F34">+INDEX('[5]Budget original'!$A$2:$AO$500,MATCH($A34,'[5]Budget original'!$A$2:$A$500,0),MATCH(F$2,'[5]Budget original'!$A$2:$AO$2,0))</f>
        <v>269.37966692834505</v>
      </c>
      <c r="G34" s="578"/>
      <c r="H34" s="569"/>
      <c r="I34" s="526"/>
      <c r="J34" s="525"/>
      <c r="K34" s="569">
        <f t="shared" si="16"/>
        <v>1.0256410256410255</v>
      </c>
      <c r="L34" s="526">
        <f>SUMIFS([5]BV_Data_An_Cour!$O:$O,[5]BV_Data_An_Cour!$U:$U,$B34,[5]BV_Data_An_Cour!$V:$V,$C34,[5]BV_Data_An_Cour!$W:$W,L$2)</f>
        <v>40</v>
      </c>
      <c r="M34" s="525"/>
      <c r="N34" s="551">
        <f t="shared" si="17"/>
        <v>-229.37966692834505</v>
      </c>
      <c r="O34" s="525"/>
      <c r="P34" s="569">
        <f t="shared" si="18"/>
        <v>3.5922641509433961</v>
      </c>
      <c r="Q34" s="528">
        <f>SUMIFS([5]BV_Data_An_Prec!$O:$O,[5]BV_Data_An_Prec!$U:$U,$B34,[5]BV_Data_An_Prec!$V:$V,$C34,[5]BV_Data_An_Prec!$W:$W,Q$2)</f>
        <v>190.39</v>
      </c>
      <c r="R34" s="525"/>
      <c r="S34" s="551">
        <f t="shared" si="19"/>
        <v>-150.38999999999999</v>
      </c>
      <c r="T34" s="504"/>
      <c r="Z34" s="504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</row>
    <row r="35" spans="1:40" ht="15.75" customHeight="1">
      <c r="A35" s="517" t="s">
        <v>244</v>
      </c>
      <c r="B35" s="504" t="s">
        <v>0</v>
      </c>
      <c r="C35" s="518" t="s">
        <v>35</v>
      </c>
      <c r="D35" s="579"/>
      <c r="E35" s="572">
        <f t="shared" si="15"/>
        <v>105.01044339622642</v>
      </c>
      <c r="F35" s="520">
        <f t="array" ref="F35">+INDEX('[5]Budget original'!$A$2:$AO$500,MATCH($A35,'[5]Budget original'!$A$2:$A$500,0),MATCH(F$2,'[5]Budget original'!$A$2:$AO$2,0))</f>
        <v>5527.327682403261</v>
      </c>
      <c r="G35" s="580"/>
      <c r="H35" s="572"/>
      <c r="I35" s="520"/>
      <c r="J35" s="518"/>
      <c r="K35" s="572">
        <f t="shared" si="16"/>
        <v>118.0776923076923</v>
      </c>
      <c r="L35" s="520">
        <f>SUMIFS([5]BV_Data_An_Cour!$O:$O,[5]BV_Data_An_Cour!$U:$U,$B35,[5]BV_Data_An_Cour!$V:$V,$C35,[5]BV_Data_An_Cour!$W:$W,L$2)</f>
        <v>4605.03</v>
      </c>
      <c r="M35" s="518"/>
      <c r="N35" s="574">
        <f t="shared" si="17"/>
        <v>-922.29768240326121</v>
      </c>
      <c r="O35" s="518"/>
      <c r="P35" s="572">
        <f t="shared" si="18"/>
        <v>176.23962264150944</v>
      </c>
      <c r="Q35" s="528">
        <f>SUMIFS([5]BV_Data_An_Prec!$O:$O,[5]BV_Data_An_Prec!$U:$U,$B35,[5]BV_Data_An_Prec!$V:$V,$C35,[5]BV_Data_An_Prec!$W:$W,Q$2)</f>
        <v>9340.7000000000007</v>
      </c>
      <c r="R35" s="518"/>
      <c r="S35" s="574">
        <f t="shared" si="19"/>
        <v>-4735.670000000001</v>
      </c>
      <c r="T35" s="504"/>
      <c r="Z35" s="504"/>
      <c r="AA35" s="504"/>
      <c r="AB35" s="504"/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</row>
    <row r="36" spans="1:40" ht="15.75" customHeight="1">
      <c r="A36" s="517" t="s">
        <v>245</v>
      </c>
      <c r="B36" s="504" t="s">
        <v>0</v>
      </c>
      <c r="C36" s="525" t="s">
        <v>36</v>
      </c>
      <c r="D36" s="577"/>
      <c r="E36" s="569">
        <f t="shared" si="15"/>
        <v>300.75552273170513</v>
      </c>
      <c r="F36" s="526">
        <f t="array" ref="F36">+INDEX('[5]Budget original'!$A$2:$AO$500,MATCH($A36,'[5]Budget original'!$A$2:$A$500,0),MATCH(F$2,'[5]Budget original'!$A$2:$AO$2,0))</f>
        <v>15830.561919999996</v>
      </c>
      <c r="G36" s="578"/>
      <c r="H36" s="569"/>
      <c r="I36" s="526"/>
      <c r="J36" s="525"/>
      <c r="K36" s="569">
        <f t="shared" si="16"/>
        <v>154.58692307692306</v>
      </c>
      <c r="L36" s="581">
        <f>SUMIFS([5]BV_Data_An_Cour!$O:$O,[5]BV_Data_An_Cour!$U:$U,$B36,[5]BV_Data_An_Cour!$V:$V,$C36,[5]BV_Data_An_Cour!$W:$W,L$2)</f>
        <v>6028.8899999999994</v>
      </c>
      <c r="M36" s="504"/>
      <c r="N36" s="551">
        <f t="shared" si="17"/>
        <v>-9801.671919999997</v>
      </c>
      <c r="O36" s="525"/>
      <c r="P36" s="569">
        <f t="shared" si="18"/>
        <v>185.94773584905658</v>
      </c>
      <c r="Q36" s="547">
        <f>SUMIFS([5]BV_Data_An_Prec!$O:$O,[5]BV_Data_An_Prec!$U:$U,$B36,[5]BV_Data_An_Prec!$V:$V,$C36,[5]BV_Data_An_Prec!$W:$W,Q$2)</f>
        <v>9855.23</v>
      </c>
      <c r="R36" s="525"/>
      <c r="S36" s="551">
        <f t="shared" si="19"/>
        <v>-3826.34</v>
      </c>
      <c r="T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</row>
    <row r="37" spans="1:40" ht="15.75" customHeight="1">
      <c r="A37" s="517" t="s">
        <v>246</v>
      </c>
      <c r="B37" s="504" t="s">
        <v>0</v>
      </c>
      <c r="C37" s="525" t="s">
        <v>37</v>
      </c>
      <c r="D37" s="577"/>
      <c r="E37" s="569">
        <f t="shared" si="15"/>
        <v>50.687592283766755</v>
      </c>
      <c r="F37" s="526">
        <f t="array" ref="F37">+INDEX('[5]Budget original'!$A$2:$AO$500,MATCH($A37,'[5]Budget original'!$A$2:$A$500,0),MATCH(F$2,'[5]Budget original'!$A$2:$AO$2,0))</f>
        <v>2667.9911342465753</v>
      </c>
      <c r="G37" s="578"/>
      <c r="H37" s="569"/>
      <c r="I37" s="526"/>
      <c r="J37" s="525"/>
      <c r="K37" s="569">
        <f t="shared" si="16"/>
        <v>90.482564102564112</v>
      </c>
      <c r="L37" s="582">
        <f>SUMIFS([5]BV_Data_An_Cour!$O:$O,[5]BV_Data_An_Cour!$U:$U,$B37,[5]BV_Data_An_Cour!$V:$V,$C37,[5]BV_Data_An_Cour!$W:$W,L$2)</f>
        <v>3528.82</v>
      </c>
      <c r="M37" s="504"/>
      <c r="N37" s="551">
        <f t="shared" si="17"/>
        <v>860.82886575342491</v>
      </c>
      <c r="O37" s="525"/>
      <c r="P37" s="569">
        <f t="shared" si="18"/>
        <v>21.345283018867924</v>
      </c>
      <c r="Q37" s="528">
        <f>SUMIFS([5]BV_Data_An_Prec!$O:$O,[5]BV_Data_An_Prec!$U:$U,$B37,[5]BV_Data_An_Prec!$V:$V,$C37,[5]BV_Data_An_Prec!$W:$W,Q$2)</f>
        <v>1131.3</v>
      </c>
      <c r="R37" s="525"/>
      <c r="S37" s="551">
        <f t="shared" si="19"/>
        <v>2397.5200000000004</v>
      </c>
      <c r="T37" s="504"/>
      <c r="Z37" s="504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</row>
    <row r="38" spans="1:40" ht="15.75" hidden="1" customHeight="1">
      <c r="A38" s="517" t="s">
        <v>229</v>
      </c>
      <c r="B38" s="504" t="s">
        <v>0</v>
      </c>
      <c r="C38" s="525" t="s">
        <v>20</v>
      </c>
      <c r="D38" s="577"/>
      <c r="E38" s="569">
        <f t="shared" si="15"/>
        <v>0</v>
      </c>
      <c r="F38" s="526">
        <f t="array" ref="F38">+INDEX('[5]Budget original'!$A$2:$AO$500,MATCH($A38,'[5]Budget original'!$A$2:$A$500,0),MATCH(F$2,'[5]Budget original'!$A$2:$AO$2,0))</f>
        <v>0</v>
      </c>
      <c r="G38" s="578"/>
      <c r="H38" s="569"/>
      <c r="I38" s="526"/>
      <c r="J38" s="525"/>
      <c r="K38" s="569">
        <f t="shared" si="16"/>
        <v>0</v>
      </c>
      <c r="L38" s="582">
        <f>SUMIFS([5]BV_Data_An_Cour!$O:$O,[5]BV_Data_An_Cour!$U:$U,$B38,[5]BV_Data_An_Cour!$V:$V,$C38,[5]BV_Data_An_Cour!$W:$W,L$2)</f>
        <v>0</v>
      </c>
      <c r="M38" s="504"/>
      <c r="N38" s="551">
        <f t="shared" si="17"/>
        <v>0</v>
      </c>
      <c r="O38" s="525"/>
      <c r="P38" s="569">
        <f t="shared" si="18"/>
        <v>0</v>
      </c>
      <c r="Q38" s="528">
        <f>SUMIFS([5]BV_Data_An_Prec!$O:$O,[5]BV_Data_An_Prec!$U:$U,$B38,[5]BV_Data_An_Prec!$V:$V,$C38,[5]BV_Data_An_Prec!$W:$W,Q$2)</f>
        <v>0</v>
      </c>
      <c r="R38" s="525"/>
      <c r="S38" s="551">
        <f t="shared" si="19"/>
        <v>0</v>
      </c>
      <c r="T38" s="504"/>
      <c r="U38" s="504"/>
      <c r="V38" s="504"/>
      <c r="W38" s="504"/>
      <c r="X38" s="504"/>
      <c r="Y38" s="504"/>
      <c r="Z38" s="504"/>
      <c r="AA38" s="504"/>
      <c r="AB38" s="504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</row>
    <row r="39" spans="1:40" ht="15.75" hidden="1" customHeight="1">
      <c r="A39" s="517" t="s">
        <v>229</v>
      </c>
      <c r="B39" s="504" t="s">
        <v>0</v>
      </c>
      <c r="C39" s="525" t="s">
        <v>20</v>
      </c>
      <c r="D39" s="577"/>
      <c r="E39" s="569">
        <f t="shared" si="15"/>
        <v>0</v>
      </c>
      <c r="F39" s="526">
        <f t="array" ref="F39">+INDEX('[5]Budget original'!$A$2:$AO$500,MATCH($A39,'[5]Budget original'!$A$2:$A$500,0),MATCH(F$2,'[5]Budget original'!$A$2:$AO$2,0))</f>
        <v>0</v>
      </c>
      <c r="G39" s="578"/>
      <c r="H39" s="569"/>
      <c r="I39" s="526"/>
      <c r="J39" s="525"/>
      <c r="K39" s="569">
        <f t="shared" si="16"/>
        <v>0</v>
      </c>
      <c r="L39" s="582">
        <f>SUMIFS([5]BV_Data_An_Cour!$O:$O,[5]BV_Data_An_Cour!$U:$U,$B39,[5]BV_Data_An_Cour!$V:$V,$C39,[5]BV_Data_An_Cour!$W:$W,L$2)</f>
        <v>0</v>
      </c>
      <c r="M39" s="504"/>
      <c r="N39" s="551">
        <f t="shared" si="17"/>
        <v>0</v>
      </c>
      <c r="O39" s="525"/>
      <c r="P39" s="569">
        <f t="shared" si="18"/>
        <v>0</v>
      </c>
      <c r="Q39" s="528">
        <f>SUMIFS([5]BV_Data_An_Prec!$O:$O,[5]BV_Data_An_Prec!$U:$U,$B39,[5]BV_Data_An_Prec!$V:$V,$C39,[5]BV_Data_An_Prec!$W:$W,Q$2)</f>
        <v>0</v>
      </c>
      <c r="R39" s="525"/>
      <c r="S39" s="551">
        <f t="shared" si="19"/>
        <v>0</v>
      </c>
      <c r="T39" s="504"/>
      <c r="U39" s="504"/>
      <c r="V39" s="504"/>
      <c r="W39" s="504"/>
      <c r="X39" s="504"/>
      <c r="Y39" s="504"/>
      <c r="Z39" s="504"/>
      <c r="AA39" s="504"/>
      <c r="AB39" s="504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</row>
    <row r="40" spans="1:40" ht="15.75" hidden="1" customHeight="1">
      <c r="A40" s="517" t="s">
        <v>229</v>
      </c>
      <c r="B40" s="504" t="s">
        <v>0</v>
      </c>
      <c r="C40" s="525" t="s">
        <v>20</v>
      </c>
      <c r="D40" s="577"/>
      <c r="E40" s="569">
        <f t="shared" si="15"/>
        <v>0</v>
      </c>
      <c r="F40" s="526">
        <f t="array" ref="F40">+INDEX('[5]Budget original'!$A$2:$AO$500,MATCH($A40,'[5]Budget original'!$A$2:$A$500,0),MATCH(F$2,'[5]Budget original'!$A$2:$AO$2,0))</f>
        <v>0</v>
      </c>
      <c r="G40" s="578"/>
      <c r="H40" s="569"/>
      <c r="I40" s="526"/>
      <c r="J40" s="525"/>
      <c r="K40" s="569">
        <f t="shared" si="16"/>
        <v>0</v>
      </c>
      <c r="L40" s="583">
        <f>SUMIFS([5]BV_Data_An_Cour!$O:$O,[5]BV_Data_An_Cour!$U:$U,$B40,[5]BV_Data_An_Cour!$V:$V,$C40,[5]BV_Data_An_Cour!$W:$W,L$2)</f>
        <v>0</v>
      </c>
      <c r="M40" s="504"/>
      <c r="N40" s="551">
        <f t="shared" si="17"/>
        <v>0</v>
      </c>
      <c r="O40" s="525"/>
      <c r="P40" s="569">
        <f t="shared" si="18"/>
        <v>0</v>
      </c>
      <c r="Q40" s="528">
        <f>SUMIFS([5]BV_Data_An_Prec!$O:$O,[5]BV_Data_An_Prec!$U:$U,$B40,[5]BV_Data_An_Prec!$V:$V,$C40,[5]BV_Data_An_Prec!$W:$W,Q$2)</f>
        <v>0</v>
      </c>
      <c r="R40" s="525"/>
      <c r="S40" s="551">
        <f t="shared" si="19"/>
        <v>0</v>
      </c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</row>
    <row r="41" spans="1:40" ht="15.75" customHeight="1">
      <c r="A41" s="517" t="s">
        <v>247</v>
      </c>
      <c r="B41" s="504" t="s">
        <v>0</v>
      </c>
      <c r="C41" s="584" t="s">
        <v>38</v>
      </c>
      <c r="D41" s="585" t="s">
        <v>39</v>
      </c>
      <c r="E41" s="586">
        <f>F41/F$27</f>
        <v>0.4376550825810801</v>
      </c>
      <c r="F41" s="587">
        <f>SUM(F31:F40)</f>
        <v>88948.561340813452</v>
      </c>
      <c r="G41" s="588"/>
      <c r="H41" s="586"/>
      <c r="I41" s="587"/>
      <c r="J41" s="588" t="s">
        <v>39</v>
      </c>
      <c r="K41" s="586">
        <f>L41/L$27</f>
        <v>0.45066734555690263</v>
      </c>
      <c r="L41" s="587">
        <f>SUM(L31:L40)</f>
        <v>69498.520000000019</v>
      </c>
      <c r="M41" s="589"/>
      <c r="N41" s="587">
        <f t="shared" si="17"/>
        <v>-19450.041340813434</v>
      </c>
      <c r="O41" s="588" t="s">
        <v>39</v>
      </c>
      <c r="P41" s="586">
        <f>Q41/Q$27</f>
        <v>0.41738335383455927</v>
      </c>
      <c r="Q41" s="590">
        <f>SUM(Q31:Q40)</f>
        <v>107305.22</v>
      </c>
      <c r="R41" s="591"/>
      <c r="S41" s="587">
        <f t="shared" si="19"/>
        <v>-37806.699999999983</v>
      </c>
      <c r="T41" s="504"/>
      <c r="U41" s="504"/>
      <c r="V41" s="504"/>
      <c r="W41" s="504"/>
      <c r="X41" s="504"/>
      <c r="Y41" s="504"/>
      <c r="Z41" s="504"/>
      <c r="AA41" s="504"/>
      <c r="AB41" s="50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</row>
    <row r="42" spans="1:40" ht="15.75" customHeight="1">
      <c r="A42" s="517" t="s">
        <v>248</v>
      </c>
      <c r="B42" s="504" t="s">
        <v>0</v>
      </c>
      <c r="C42" s="592" t="s">
        <v>41</v>
      </c>
      <c r="D42" s="504"/>
      <c r="E42" s="504"/>
      <c r="F42" s="526">
        <f t="array" ref="F42">+INDEX('[5]Budget original'!$A$2:$AO$500,MATCH($A42,'[5]Budget original'!$A$2:$A$500,0),MATCH(F$2,'[5]Budget original'!$A$2:$AO$2,0))</f>
        <v>17292.496551724136</v>
      </c>
      <c r="G42" s="525"/>
      <c r="H42" s="504"/>
      <c r="I42" s="526"/>
      <c r="J42" s="525"/>
      <c r="K42" s="504"/>
      <c r="L42" s="528">
        <f>SUMIFS([5]BV_Data_An_Cour!$O:$O,[5]BV_Data_An_Cour!$U:$U,$B42,[5]BV_Data_An_Cour!$V:$V,$C42,[5]BV_Data_An_Cour!$W:$W,L$2)</f>
        <v>17842.099999999999</v>
      </c>
      <c r="M42" s="525"/>
      <c r="N42" s="551">
        <f t="shared" si="17"/>
        <v>549.60344827586232</v>
      </c>
      <c r="O42" s="525"/>
      <c r="P42" s="504"/>
      <c r="Q42" s="528">
        <f>SUMIFS([5]BV_Data_An_Prec!$O:$O,[5]BV_Data_An_Prec!$U:$U,$B42,[5]BV_Data_An_Prec!$V:$V,$C42,[5]BV_Data_An_Prec!$W:$W,Q$2)</f>
        <v>15898.03</v>
      </c>
      <c r="R42" s="525"/>
      <c r="S42" s="551">
        <f t="shared" si="19"/>
        <v>1944.0699999999979</v>
      </c>
      <c r="T42" s="504"/>
      <c r="U42" s="504"/>
      <c r="V42" s="504"/>
      <c r="W42" s="504"/>
      <c r="X42" s="504"/>
      <c r="Y42" s="504"/>
      <c r="Z42" s="504"/>
      <c r="AA42" s="504"/>
      <c r="AB42" s="50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</row>
    <row r="43" spans="1:40" ht="15.75" customHeight="1">
      <c r="A43" s="517" t="s">
        <v>249</v>
      </c>
      <c r="B43" s="504" t="s">
        <v>0</v>
      </c>
      <c r="C43" s="593" t="s">
        <v>42</v>
      </c>
      <c r="D43" s="577"/>
      <c r="E43" s="504"/>
      <c r="F43" s="520">
        <f t="array" ref="F43">+INDEX('[5]Budget original'!$A$2:$AO$500,MATCH($A43,'[5]Budget original'!$A$2:$A$500,0),MATCH(F$2,'[5]Budget original'!$A$2:$AO$2,0))</f>
        <v>10224.637241379311</v>
      </c>
      <c r="G43" s="578"/>
      <c r="H43" s="504"/>
      <c r="I43" s="520"/>
      <c r="J43" s="525"/>
      <c r="K43" s="504"/>
      <c r="L43" s="528">
        <f>SUMIFS([5]BV_Data_An_Cour!$O:$O,[5]BV_Data_An_Cour!$U:$U,$B43,[5]BV_Data_An_Cour!$V:$V,$C43,[5]BV_Data_An_Cour!$W:$W,L$2)</f>
        <v>9643.58</v>
      </c>
      <c r="M43" s="525"/>
      <c r="N43" s="551">
        <f t="shared" si="17"/>
        <v>-581.05724137931065</v>
      </c>
      <c r="O43" s="525"/>
      <c r="P43" s="504"/>
      <c r="Q43" s="528">
        <f>SUMIFS([5]BV_Data_An_Prec!$O:$O,[5]BV_Data_An_Prec!$U:$U,$B43,[5]BV_Data_An_Prec!$V:$V,$C43,[5]BV_Data_An_Prec!$W:$W,Q$2)</f>
        <v>7132.73</v>
      </c>
      <c r="R43" s="525"/>
      <c r="S43" s="551">
        <f t="shared" si="19"/>
        <v>2510.8500000000004</v>
      </c>
      <c r="T43" s="504"/>
      <c r="U43" s="504"/>
      <c r="V43" s="504"/>
      <c r="W43" s="504"/>
      <c r="X43" s="504"/>
      <c r="Y43" s="504"/>
      <c r="Z43" s="504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</row>
    <row r="44" spans="1:40" ht="15.75" customHeight="1">
      <c r="A44" s="517" t="s">
        <v>250</v>
      </c>
      <c r="B44" s="504" t="s">
        <v>0</v>
      </c>
      <c r="C44" s="592" t="s">
        <v>43</v>
      </c>
      <c r="D44" s="594"/>
      <c r="E44" s="595"/>
      <c r="F44" s="526">
        <f t="array" ref="F44">+INDEX('[5]Budget original'!$A$2:$AO$500,MATCH($A44,'[5]Budget original'!$A$2:$A$500,0),MATCH(F$2,'[5]Budget original'!$A$2:$AO$2,0))</f>
        <v>8208.9839080459769</v>
      </c>
      <c r="G44" s="596"/>
      <c r="H44" s="595"/>
      <c r="I44" s="526"/>
      <c r="J44" s="512"/>
      <c r="K44" s="595"/>
      <c r="L44" s="547">
        <f>SUMIFS([5]BV_Data_An_Cour!$O:$O,[5]BV_Data_An_Cour!$U:$U,$B44,[5]BV_Data_An_Cour!$V:$V,$C44,[5]BV_Data_An_Cour!$W:$W,L$2)</f>
        <v>12343.13</v>
      </c>
      <c r="M44" s="512"/>
      <c r="N44" s="597">
        <f t="shared" si="17"/>
        <v>4134.1460919540223</v>
      </c>
      <c r="O44" s="512"/>
      <c r="P44" s="595"/>
      <c r="Q44" s="547">
        <f>SUMIFS([5]BV_Data_An_Prec!$O:$O,[5]BV_Data_An_Prec!$U:$U,$B44,[5]BV_Data_An_Prec!$V:$V,$C44,[5]BV_Data_An_Prec!$W:$W,Q$2)</f>
        <v>3509.01</v>
      </c>
      <c r="R44" s="512"/>
      <c r="S44" s="597">
        <f t="shared" si="19"/>
        <v>8834.119999999999</v>
      </c>
      <c r="T44" s="504"/>
      <c r="U44" s="504"/>
      <c r="V44" s="504"/>
      <c r="W44" s="504"/>
      <c r="X44" s="504"/>
      <c r="Y44" s="504"/>
      <c r="Z44" s="504"/>
      <c r="AA44" s="504"/>
      <c r="AB44" s="50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</row>
    <row r="45" spans="1:40" ht="15.75" customHeight="1">
      <c r="A45" s="517" t="s">
        <v>251</v>
      </c>
      <c r="B45" s="504" t="s">
        <v>0</v>
      </c>
      <c r="C45" s="592" t="s">
        <v>44</v>
      </c>
      <c r="D45" s="577"/>
      <c r="E45" s="504"/>
      <c r="F45" s="526">
        <f t="array" ref="F45">+INDEX('[5]Budget original'!$A$2:$AO$500,MATCH($A45,'[5]Budget original'!$A$2:$A$500,0),MATCH(F$2,'[5]Budget original'!$A$2:$AO$2,0))</f>
        <v>0</v>
      </c>
      <c r="G45" s="578"/>
      <c r="H45" s="504"/>
      <c r="I45" s="526"/>
      <c r="J45" s="525"/>
      <c r="K45" s="504"/>
      <c r="L45" s="528">
        <f>SUMIFS([5]BV_Data_An_Cour!$O:$O,[5]BV_Data_An_Cour!$U:$U,$B45,[5]BV_Data_An_Cour!$V:$V,$C45,[5]BV_Data_An_Cour!$W:$W,L$2)</f>
        <v>0</v>
      </c>
      <c r="M45" s="525"/>
      <c r="N45" s="551">
        <f t="shared" si="17"/>
        <v>0</v>
      </c>
      <c r="O45" s="525"/>
      <c r="P45" s="504"/>
      <c r="Q45" s="528">
        <f>SUMIFS([5]BV_Data_An_Prec!$O:$O,[5]BV_Data_An_Prec!$U:$U,$B45,[5]BV_Data_An_Prec!$V:$V,$C45,[5]BV_Data_An_Prec!$W:$W,Q$2)</f>
        <v>0</v>
      </c>
      <c r="R45" s="525"/>
      <c r="S45" s="551">
        <f t="shared" si="19"/>
        <v>0</v>
      </c>
      <c r="T45" s="504"/>
      <c r="U45" s="504"/>
      <c r="V45" s="504"/>
      <c r="W45" s="504"/>
      <c r="X45" s="504"/>
      <c r="Y45" s="504"/>
      <c r="Z45" s="504"/>
      <c r="AA45" s="504"/>
      <c r="AB45" s="50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</row>
    <row r="46" spans="1:40" ht="15.75" hidden="1" customHeight="1">
      <c r="A46" s="517" t="s">
        <v>229</v>
      </c>
      <c r="B46" s="504" t="s">
        <v>0</v>
      </c>
      <c r="C46" s="592" t="s">
        <v>20</v>
      </c>
      <c r="D46" s="577"/>
      <c r="E46" s="504"/>
      <c r="F46" s="526">
        <f t="array" ref="F46">+INDEX('[5]Budget original'!$A$2:$AO$500,MATCH($A46,'[5]Budget original'!$A$2:$A$500,0),MATCH(F$2,'[5]Budget original'!$A$2:$AO$2,0))</f>
        <v>0</v>
      </c>
      <c r="G46" s="578"/>
      <c r="H46" s="504"/>
      <c r="I46" s="526"/>
      <c r="J46" s="525"/>
      <c r="K46" s="504"/>
      <c r="L46" s="528">
        <f>SUMIFS([5]BV_Data_An_Cour!$O:$O,[5]BV_Data_An_Cour!$U:$U,$B46,[5]BV_Data_An_Cour!$V:$V,$C46,[5]BV_Data_An_Cour!$W:$W,L$2)</f>
        <v>0</v>
      </c>
      <c r="M46" s="525"/>
      <c r="N46" s="551">
        <f t="shared" si="17"/>
        <v>0</v>
      </c>
      <c r="O46" s="525"/>
      <c r="P46" s="504"/>
      <c r="Q46" s="528">
        <f>SUMIFS([5]BV_Data_An_Prec!$O:$O,[5]BV_Data_An_Prec!$U:$U,$B46,[5]BV_Data_An_Prec!$V:$V,$C46,[5]BV_Data_An_Prec!$W:$W,Q$2)</f>
        <v>0</v>
      </c>
      <c r="R46" s="525"/>
      <c r="S46" s="551">
        <f t="shared" si="19"/>
        <v>0</v>
      </c>
      <c r="T46" s="504"/>
      <c r="U46" s="504"/>
      <c r="V46" s="504"/>
      <c r="W46" s="504"/>
      <c r="X46" s="504"/>
      <c r="Y46" s="504"/>
      <c r="Z46" s="504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</row>
    <row r="47" spans="1:40" ht="15.75" hidden="1" customHeight="1">
      <c r="A47" s="517" t="s">
        <v>229</v>
      </c>
      <c r="B47" s="504" t="s">
        <v>0</v>
      </c>
      <c r="C47" s="592" t="s">
        <v>20</v>
      </c>
      <c r="D47" s="577"/>
      <c r="E47" s="504"/>
      <c r="F47" s="526">
        <f t="array" ref="F47">+INDEX('[5]Budget original'!$A$2:$AO$500,MATCH($A47,'[5]Budget original'!$A$2:$A$500,0),MATCH(F$2,'[5]Budget original'!$A$2:$AO$2,0))</f>
        <v>0</v>
      </c>
      <c r="G47" s="578"/>
      <c r="H47" s="504"/>
      <c r="I47" s="526"/>
      <c r="J47" s="525"/>
      <c r="K47" s="504"/>
      <c r="L47" s="528">
        <f>SUMIFS([5]BV_Data_An_Cour!$O:$O,[5]BV_Data_An_Cour!$U:$U,$B47,[5]BV_Data_An_Cour!$V:$V,$C47,[5]BV_Data_An_Cour!$W:$W,L$2)</f>
        <v>0</v>
      </c>
      <c r="M47" s="525"/>
      <c r="N47" s="551">
        <f t="shared" si="17"/>
        <v>0</v>
      </c>
      <c r="O47" s="525"/>
      <c r="P47" s="504"/>
      <c r="Q47" s="528">
        <f>SUMIFS([5]BV_Data_An_Prec!$O:$O,[5]BV_Data_An_Prec!$U:$U,$B47,[5]BV_Data_An_Prec!$V:$V,$C47,[5]BV_Data_An_Prec!$W:$W,Q$2)</f>
        <v>0</v>
      </c>
      <c r="R47" s="525"/>
      <c r="S47" s="551">
        <f t="shared" si="19"/>
        <v>0</v>
      </c>
      <c r="T47" s="504"/>
      <c r="U47" s="504"/>
      <c r="V47" s="504"/>
      <c r="W47" s="504"/>
      <c r="X47" s="504"/>
      <c r="Y47" s="504"/>
      <c r="Z47" s="504"/>
      <c r="AA47" s="504"/>
      <c r="AB47" s="50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</row>
    <row r="48" spans="1:40" ht="15.75" hidden="1" customHeight="1">
      <c r="A48" s="517" t="s">
        <v>229</v>
      </c>
      <c r="B48" s="504" t="s">
        <v>0</v>
      </c>
      <c r="C48" s="592" t="s">
        <v>20</v>
      </c>
      <c r="D48" s="577"/>
      <c r="E48" s="504"/>
      <c r="F48" s="526">
        <f t="array" ref="F48">+INDEX('[5]Budget original'!$A$2:$AO$500,MATCH($A48,'[5]Budget original'!$A$2:$A$500,0),MATCH(F$2,'[5]Budget original'!$A$2:$AO$2,0))</f>
        <v>0</v>
      </c>
      <c r="G48" s="578"/>
      <c r="H48" s="504"/>
      <c r="I48" s="526"/>
      <c r="J48" s="525"/>
      <c r="K48" s="504"/>
      <c r="L48" s="528">
        <f>SUMIFS([5]BV_Data_An_Cour!$O:$O,[5]BV_Data_An_Cour!$U:$U,$B48,[5]BV_Data_An_Cour!$V:$V,$C48,[5]BV_Data_An_Cour!$W:$W,L$2)</f>
        <v>0</v>
      </c>
      <c r="M48" s="525"/>
      <c r="N48" s="551">
        <f t="shared" si="17"/>
        <v>0</v>
      </c>
      <c r="O48" s="525"/>
      <c r="P48" s="504"/>
      <c r="Q48" s="528">
        <f>SUMIFS([5]BV_Data_An_Prec!$O:$O,[5]BV_Data_An_Prec!$U:$U,$B48,[5]BV_Data_An_Prec!$V:$V,$C48,[5]BV_Data_An_Prec!$W:$W,Q$2)</f>
        <v>0</v>
      </c>
      <c r="R48" s="525"/>
      <c r="S48" s="551">
        <f t="shared" si="19"/>
        <v>0</v>
      </c>
      <c r="T48" s="504"/>
      <c r="U48" s="504"/>
      <c r="V48" s="504"/>
      <c r="W48" s="504"/>
      <c r="X48" s="504"/>
      <c r="Y48" s="504"/>
      <c r="Z48" s="504"/>
      <c r="AA48" s="504"/>
      <c r="AB48" s="50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</row>
    <row r="49" spans="1:40" ht="15.75" customHeight="1">
      <c r="A49" s="517" t="s">
        <v>252</v>
      </c>
      <c r="B49" s="504" t="s">
        <v>0</v>
      </c>
      <c r="C49" s="593" t="s">
        <v>45</v>
      </c>
      <c r="D49" s="577"/>
      <c r="E49" s="504"/>
      <c r="F49" s="520">
        <f t="array" ref="F49">+INDEX('[5]Budget original'!$A$2:$AO$500,MATCH($A49,'[5]Budget original'!$A$2:$A$500,0),MATCH(F$2,'[5]Budget original'!$A$2:$AO$2,0))</f>
        <v>11454.454856244693</v>
      </c>
      <c r="G49" s="578"/>
      <c r="H49" s="504"/>
      <c r="I49" s="520"/>
      <c r="J49" s="525"/>
      <c r="K49" s="504"/>
      <c r="L49" s="520">
        <f>SUMIFS([5]BV_Data_An_Cour!$O:$O,[5]BV_Data_An_Cour!$U:$U,$B49,[5]BV_Data_An_Cour!$V:$V,$C49,[5]BV_Data_An_Cour!$W:$W,L$2)</f>
        <v>10139.23</v>
      </c>
      <c r="M49" s="525"/>
      <c r="N49" s="551">
        <f t="shared" si="17"/>
        <v>-1315.224856244693</v>
      </c>
      <c r="O49" s="525"/>
      <c r="P49" s="504"/>
      <c r="Q49" s="520">
        <f>SUMIFS([5]BV_Data_An_Prec!$O:$O,[5]BV_Data_An_Prec!$U:$U,$B49,[5]BV_Data_An_Prec!$V:$V,$C49,[5]BV_Data_An_Prec!$W:$W,Q$2)</f>
        <v>20543.52</v>
      </c>
      <c r="R49" s="525"/>
      <c r="S49" s="551">
        <f t="shared" si="19"/>
        <v>-10404.290000000001</v>
      </c>
      <c r="T49" s="504"/>
      <c r="U49" s="504"/>
      <c r="V49" s="504"/>
      <c r="W49" s="504"/>
      <c r="X49" s="501"/>
      <c r="Y49" s="504"/>
      <c r="Z49" s="504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</row>
    <row r="50" spans="1:40" ht="15.75" customHeight="1">
      <c r="A50" s="517" t="s">
        <v>253</v>
      </c>
      <c r="B50" s="504" t="s">
        <v>0</v>
      </c>
      <c r="C50" s="592" t="s">
        <v>46</v>
      </c>
      <c r="D50" s="594"/>
      <c r="E50" s="595"/>
      <c r="F50" s="526">
        <f t="array" ref="F50">+INDEX('[5]Budget original'!$A$2:$AO$500,MATCH($A50,'[5]Budget original'!$A$2:$A$500,0),MATCH(F$2,'[5]Budget original'!$A$2:$AO$2,0))</f>
        <v>11386.855901736661</v>
      </c>
      <c r="G50" s="596"/>
      <c r="H50" s="595"/>
      <c r="I50" s="526"/>
      <c r="J50" s="512"/>
      <c r="K50" s="595"/>
      <c r="L50" s="528">
        <f>SUMIFS([5]BV_Data_An_Cour!$O:$O,[5]BV_Data_An_Cour!$U:$U,$B50,[5]BV_Data_An_Cour!$V:$V,$C50,[5]BV_Data_An_Cour!$W:$W,L$2)</f>
        <v>14378.55</v>
      </c>
      <c r="M50" s="512"/>
      <c r="N50" s="597">
        <f t="shared" si="17"/>
        <v>2991.6940982633387</v>
      </c>
      <c r="O50" s="512"/>
      <c r="P50" s="595"/>
      <c r="Q50" s="528">
        <f>SUMIFS([5]BV_Data_An_Prec!$O:$O,[5]BV_Data_An_Prec!$U:$U,$B50,[5]BV_Data_An_Prec!$V:$V,$C50,[5]BV_Data_An_Prec!$W:$W,Q$2)</f>
        <v>17936.939999999999</v>
      </c>
      <c r="R50" s="512"/>
      <c r="S50" s="597">
        <f t="shared" si="19"/>
        <v>-3558.3899999999994</v>
      </c>
      <c r="T50" s="504"/>
      <c r="U50" s="504"/>
      <c r="V50" s="504"/>
      <c r="W50" s="504"/>
      <c r="X50" s="501"/>
      <c r="Y50" s="504"/>
      <c r="Z50" s="504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</row>
    <row r="51" spans="1:40" ht="15.75" customHeight="1">
      <c r="A51" s="517" t="s">
        <v>254</v>
      </c>
      <c r="B51" s="504" t="s">
        <v>0</v>
      </c>
      <c r="C51" s="592" t="s">
        <v>47</v>
      </c>
      <c r="D51" s="577"/>
      <c r="E51" s="504"/>
      <c r="F51" s="526">
        <f t="array" ref="F51">+INDEX('[5]Budget original'!$A$2:$AO$500,MATCH($A51,'[5]Budget original'!$A$2:$A$500,0),MATCH(F$2,'[5]Budget original'!$A$2:$AO$2,0))</f>
        <v>7973.7373263711697</v>
      </c>
      <c r="G51" s="578"/>
      <c r="H51" s="504"/>
      <c r="I51" s="526"/>
      <c r="J51" s="525"/>
      <c r="K51" s="504"/>
      <c r="L51" s="528">
        <f>SUMIFS([5]BV_Data_An_Cour!$O:$O,[5]BV_Data_An_Cour!$U:$U,$B51,[5]BV_Data_An_Cour!$V:$V,$C51,[5]BV_Data_An_Cour!$W:$W,L$2)</f>
        <v>7088.75</v>
      </c>
      <c r="M51" s="525"/>
      <c r="N51" s="551">
        <f t="shared" si="17"/>
        <v>-884.98732637116973</v>
      </c>
      <c r="O51" s="525"/>
      <c r="P51" s="504"/>
      <c r="Q51" s="528">
        <f>SUMIFS([5]BV_Data_An_Prec!$O:$O,[5]BV_Data_An_Prec!$U:$U,$B51,[5]BV_Data_An_Prec!$V:$V,$C51,[5]BV_Data_An_Prec!$W:$W,Q$2)</f>
        <v>7345.74</v>
      </c>
      <c r="R51" s="525"/>
      <c r="S51" s="551">
        <f t="shared" si="19"/>
        <v>-256.98999999999978</v>
      </c>
      <c r="T51" s="504"/>
      <c r="U51" s="504"/>
      <c r="V51" s="504"/>
      <c r="W51" s="504"/>
      <c r="X51" s="501"/>
      <c r="Y51" s="504"/>
      <c r="Z51" s="504"/>
      <c r="AA51" s="504"/>
      <c r="AB51" s="50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</row>
    <row r="52" spans="1:40" ht="15.75" customHeight="1">
      <c r="A52" s="517" t="s">
        <v>255</v>
      </c>
      <c r="B52" s="504" t="s">
        <v>0</v>
      </c>
      <c r="C52" s="592" t="s">
        <v>48</v>
      </c>
      <c r="D52" s="577"/>
      <c r="E52" s="504"/>
      <c r="F52" s="526">
        <f t="array" ref="F52">+INDEX('[5]Budget original'!$A$2:$AO$500,MATCH($A52,'[5]Budget original'!$A$2:$A$500,0),MATCH(F$2,'[5]Budget original'!$A$2:$AO$2,0))</f>
        <v>3809.2841520524616</v>
      </c>
      <c r="G52" s="578"/>
      <c r="H52" s="504"/>
      <c r="I52" s="526"/>
      <c r="J52" s="525"/>
      <c r="K52" s="504"/>
      <c r="L52" s="528">
        <f>SUMIFS([5]BV_Data_An_Cour!$O:$O,[5]BV_Data_An_Cour!$U:$U,$B52,[5]BV_Data_An_Cour!$V:$V,$C52,[5]BV_Data_An_Cour!$W:$W,L$2)</f>
        <v>2311.3000000000002</v>
      </c>
      <c r="M52" s="525"/>
      <c r="N52" s="551">
        <f t="shared" si="17"/>
        <v>-1497.9841520524615</v>
      </c>
      <c r="O52" s="525"/>
      <c r="P52" s="504"/>
      <c r="Q52" s="528">
        <f>SUMIFS([5]BV_Data_An_Prec!$O:$O,[5]BV_Data_An_Prec!$U:$U,$B52,[5]BV_Data_An_Prec!$V:$V,$C52,[5]BV_Data_An_Prec!$W:$W,Q$2)</f>
        <v>5097.38</v>
      </c>
      <c r="R52" s="525"/>
      <c r="S52" s="551">
        <f t="shared" si="19"/>
        <v>-2786.08</v>
      </c>
      <c r="T52" s="504"/>
      <c r="U52" s="504"/>
      <c r="V52" s="504"/>
      <c r="W52" s="504"/>
      <c r="X52" s="501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</row>
    <row r="53" spans="1:40" ht="15.75" hidden="1" customHeight="1">
      <c r="A53" s="517" t="s">
        <v>229</v>
      </c>
      <c r="B53" s="504" t="s">
        <v>0</v>
      </c>
      <c r="C53" s="525" t="s">
        <v>20</v>
      </c>
      <c r="D53" s="579"/>
      <c r="E53" s="598"/>
      <c r="F53" s="526">
        <f t="array" ref="F53">+INDEX('[5]Budget original'!$A$2:$AO$500,MATCH($A53,'[5]Budget original'!$A$2:$A$500,0),MATCH(F$2,'[5]Budget original'!$A$2:$AO$2,0))</f>
        <v>0</v>
      </c>
      <c r="G53" s="580"/>
      <c r="H53" s="598"/>
      <c r="I53" s="526"/>
      <c r="J53" s="518"/>
      <c r="K53" s="598"/>
      <c r="L53" s="528">
        <f>SUMIFS([5]BV_Data_An_Cour!$O:$O,[5]BV_Data_An_Cour!$U:$U,$B53,[5]BV_Data_An_Cour!$V:$V,$C53,[5]BV_Data_An_Cour!$W:$W,L$2)</f>
        <v>0</v>
      </c>
      <c r="M53" s="518"/>
      <c r="N53" s="574">
        <f t="shared" si="17"/>
        <v>0</v>
      </c>
      <c r="O53" s="518"/>
      <c r="P53" s="598"/>
      <c r="Q53" s="528">
        <f>SUMIFS([5]BV_Data_An_Prec!$O:$O,[5]BV_Data_An_Prec!$U:$U,$B53,[5]BV_Data_An_Prec!$V:$V,$C53,[5]BV_Data_An_Prec!$W:$W,Q$2)</f>
        <v>0</v>
      </c>
      <c r="R53" s="518"/>
      <c r="S53" s="574">
        <f t="shared" si="19"/>
        <v>0</v>
      </c>
      <c r="T53" s="504"/>
      <c r="U53" s="504"/>
      <c r="V53" s="504"/>
      <c r="W53" s="504"/>
      <c r="X53" s="501"/>
      <c r="Y53" s="504"/>
      <c r="Z53" s="504"/>
      <c r="AA53" s="504"/>
      <c r="AB53" s="50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</row>
    <row r="54" spans="1:40" ht="15.75" customHeight="1">
      <c r="A54" s="517" t="s">
        <v>256</v>
      </c>
      <c r="B54" s="504" t="s">
        <v>0</v>
      </c>
      <c r="C54" s="584" t="s">
        <v>49</v>
      </c>
      <c r="D54" s="585" t="s">
        <v>39</v>
      </c>
      <c r="E54" s="586">
        <f>F54/F$27</f>
        <v>0.34614648638402523</v>
      </c>
      <c r="F54" s="587">
        <f>+SUM(F42:F53)</f>
        <v>70350.449937554411</v>
      </c>
      <c r="G54" s="588"/>
      <c r="H54" s="586"/>
      <c r="I54" s="587"/>
      <c r="J54" s="588" t="s">
        <v>39</v>
      </c>
      <c r="K54" s="586">
        <f>L54/L$27</f>
        <v>0.47821453597199604</v>
      </c>
      <c r="L54" s="587">
        <f>+SUM(L42:L53)</f>
        <v>73746.64</v>
      </c>
      <c r="M54" s="591"/>
      <c r="N54" s="587">
        <f>+SUM(N42:N53)</f>
        <v>3396.1900624455884</v>
      </c>
      <c r="O54" s="588" t="s">
        <v>39</v>
      </c>
      <c r="P54" s="586">
        <f>Q54/Q$27</f>
        <v>0.3013079216673738</v>
      </c>
      <c r="Q54" s="587">
        <f>+SUM(Q42:Q53)</f>
        <v>77463.35000000002</v>
      </c>
      <c r="R54" s="591"/>
      <c r="S54" s="587">
        <f>+SUM(S42:S53)</f>
        <v>-3716.7100000000028</v>
      </c>
      <c r="T54" s="569"/>
      <c r="U54" s="504"/>
      <c r="V54" s="504"/>
      <c r="W54" s="504"/>
      <c r="X54" s="501"/>
      <c r="Y54" s="504"/>
      <c r="Z54" s="504"/>
      <c r="AA54" s="504"/>
      <c r="AB54" s="50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</row>
    <row r="55" spans="1:40" ht="15.75" hidden="1" customHeight="1">
      <c r="A55" s="517" t="s">
        <v>257</v>
      </c>
      <c r="B55" s="504" t="s">
        <v>0</v>
      </c>
      <c r="C55" s="525" t="s">
        <v>50</v>
      </c>
      <c r="D55" s="577"/>
      <c r="E55" s="504"/>
      <c r="F55" s="526">
        <f t="array" ref="F55">+INDEX('[5]Budget original'!$A$2:$AO$500,MATCH($A55,'[5]Budget original'!$A$2:$A$500,0),MATCH(F$2,'[5]Budget original'!$A$2:$AO$2,0))</f>
        <v>0</v>
      </c>
      <c r="G55" s="578"/>
      <c r="H55" s="504"/>
      <c r="I55" s="526"/>
      <c r="J55" s="525"/>
      <c r="K55" s="504"/>
      <c r="L55" s="528">
        <f>SUMIFS([5]BV_Data_An_Cour!$O:$O,[5]BV_Data_An_Cour!$U:$U,$B55,[5]BV_Data_An_Cour!$V:$V,$C55,[5]BV_Data_An_Cour!$W:$W,L$2)</f>
        <v>0</v>
      </c>
      <c r="M55" s="525"/>
      <c r="N55" s="551">
        <f t="shared" ref="N55:N71" si="20">L55-F55</f>
        <v>0</v>
      </c>
      <c r="O55" s="525"/>
      <c r="P55" s="504"/>
      <c r="Q55" s="528">
        <f>SUMIFS([5]BV_Data_An_Prec!$O:$O,[5]BV_Data_An_Prec!$U:$U,$B55,[5]BV_Data_An_Prec!$V:$V,$C55,[5]BV_Data_An_Prec!$W:$W,Q$2)</f>
        <v>0</v>
      </c>
      <c r="R55" s="525"/>
      <c r="S55" s="551">
        <f t="shared" ref="S55:S71" si="21">L55-Q55</f>
        <v>0</v>
      </c>
      <c r="T55" s="569"/>
      <c r="U55" s="504"/>
      <c r="V55" s="504"/>
      <c r="W55" s="504"/>
      <c r="X55" s="501"/>
      <c r="Y55" s="504"/>
      <c r="Z55" s="504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</row>
    <row r="56" spans="1:40" ht="15.75" hidden="1" customHeight="1">
      <c r="A56" s="517" t="s">
        <v>258</v>
      </c>
      <c r="B56" s="504" t="s">
        <v>0</v>
      </c>
      <c r="C56" s="525" t="s">
        <v>51</v>
      </c>
      <c r="D56" s="577"/>
      <c r="E56" s="504"/>
      <c r="F56" s="526">
        <f t="array" ref="F56">+INDEX('[5]Budget original'!$A$2:$AO$500,MATCH($A56,'[5]Budget original'!$A$2:$A$500,0),MATCH(F$2,'[5]Budget original'!$A$2:$AO$2,0))</f>
        <v>0</v>
      </c>
      <c r="G56" s="578"/>
      <c r="H56" s="504"/>
      <c r="I56" s="526"/>
      <c r="J56" s="525"/>
      <c r="K56" s="504"/>
      <c r="L56" s="528">
        <f>SUMIFS([5]BV_Data_An_Cour!$O:$O,[5]BV_Data_An_Cour!$U:$U,$B56,[5]BV_Data_An_Cour!$V:$V,$C56,[5]BV_Data_An_Cour!$W:$W,L$2)</f>
        <v>0</v>
      </c>
      <c r="M56" s="525"/>
      <c r="N56" s="551">
        <f t="shared" si="20"/>
        <v>0</v>
      </c>
      <c r="O56" s="525"/>
      <c r="P56" s="504"/>
      <c r="Q56" s="528">
        <f>SUMIFS([5]BV_Data_An_Prec!$O:$O,[5]BV_Data_An_Prec!$U:$U,$B56,[5]BV_Data_An_Prec!$V:$V,$C56,[5]BV_Data_An_Prec!$W:$W,Q$2)</f>
        <v>0</v>
      </c>
      <c r="R56" s="525"/>
      <c r="S56" s="551">
        <f t="shared" si="21"/>
        <v>0</v>
      </c>
      <c r="T56" s="569"/>
      <c r="U56" s="504"/>
      <c r="V56" s="504"/>
      <c r="W56" s="504"/>
      <c r="X56" s="501"/>
      <c r="Y56" s="504"/>
      <c r="Z56" s="504"/>
      <c r="AA56" s="504"/>
      <c r="AB56" s="50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</row>
    <row r="57" spans="1:40" ht="15.75" customHeight="1">
      <c r="A57" s="517" t="s">
        <v>259</v>
      </c>
      <c r="B57" s="504" t="s">
        <v>0</v>
      </c>
      <c r="C57" s="518" t="s">
        <v>52</v>
      </c>
      <c r="D57" s="579"/>
      <c r="E57" s="598"/>
      <c r="F57" s="520">
        <f t="array" ref="F57">+INDEX('[5]Budget original'!$A$2:$AO$500,MATCH($A57,'[5]Budget original'!$A$2:$A$500,0),MATCH(F$2,'[5]Budget original'!$A$2:$AO$2,0))</f>
        <v>7945.833333333333</v>
      </c>
      <c r="G57" s="580"/>
      <c r="H57" s="598"/>
      <c r="I57" s="520"/>
      <c r="J57" s="518"/>
      <c r="K57" s="598"/>
      <c r="L57" s="520">
        <f>SUMIFS([5]BV_Data_An_Cour!$O:$O,[5]BV_Data_An_Cour!$U:$U,$B57,[5]BV_Data_An_Cour!$V:$V,$C57,[5]BV_Data_An_Cour!$W:$W,L$2)</f>
        <v>7279.84</v>
      </c>
      <c r="M57" s="518"/>
      <c r="N57" s="574">
        <f t="shared" si="20"/>
        <v>-665.99333333333288</v>
      </c>
      <c r="O57" s="518"/>
      <c r="P57" s="598"/>
      <c r="Q57" s="520">
        <f>SUMIFS([5]BV_Data_An_Prec!$O:$O,[5]BV_Data_An_Prec!$U:$U,$B57,[5]BV_Data_An_Prec!$V:$V,$C57,[5]BV_Data_An_Prec!$W:$W,Q$2)</f>
        <v>6354.05</v>
      </c>
      <c r="R57" s="518"/>
      <c r="S57" s="574">
        <f t="shared" si="21"/>
        <v>925.79</v>
      </c>
      <c r="T57" s="599"/>
      <c r="U57" s="504"/>
      <c r="V57" s="504"/>
      <c r="W57" s="504"/>
      <c r="X57" s="501"/>
      <c r="Y57" s="504"/>
      <c r="Z57" s="504"/>
      <c r="AA57" s="504"/>
      <c r="AB57" s="50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</row>
    <row r="58" spans="1:40" ht="15.75" customHeight="1">
      <c r="A58" s="517" t="s">
        <v>260</v>
      </c>
      <c r="B58" s="504" t="s">
        <v>0</v>
      </c>
      <c r="C58" s="525" t="s">
        <v>53</v>
      </c>
      <c r="D58" s="577"/>
      <c r="E58" s="504"/>
      <c r="F58" s="526">
        <f t="array" ref="F58">+INDEX('[5]Budget original'!$A$2:$AO$500,MATCH($A58,'[5]Budget original'!$A$2:$A$500,0),MATCH(F$2,'[5]Budget original'!$A$2:$AO$2,0))</f>
        <v>6260.866398666667</v>
      </c>
      <c r="G58" s="578"/>
      <c r="H58" s="504"/>
      <c r="I58" s="526"/>
      <c r="J58" s="525"/>
      <c r="K58" s="504"/>
      <c r="L58" s="528">
        <f>SUMIFS([5]BV_Data_An_Cour!$O:$O,[5]BV_Data_An_Cour!$U:$U,$B58,[5]BV_Data_An_Cour!$V:$V,$C58,[5]BV_Data_An_Cour!$W:$W,L$2)</f>
        <v>7196.92</v>
      </c>
      <c r="M58" s="525"/>
      <c r="N58" s="551">
        <f t="shared" si="20"/>
        <v>936.05360133333306</v>
      </c>
      <c r="O58" s="525"/>
      <c r="P58" s="504"/>
      <c r="Q58" s="528">
        <f>SUMIFS([5]BV_Data_An_Prec!$O:$O,[5]BV_Data_An_Prec!$U:$U,$B58,[5]BV_Data_An_Prec!$V:$V,$C58,[5]BV_Data_An_Prec!$W:$W,Q$2)</f>
        <v>7289.36</v>
      </c>
      <c r="R58" s="525"/>
      <c r="S58" s="551">
        <f t="shared" si="21"/>
        <v>-92.4399999999996</v>
      </c>
      <c r="T58" s="569"/>
      <c r="U58" s="504"/>
      <c r="V58" s="504"/>
      <c r="W58" s="504"/>
      <c r="X58" s="504"/>
      <c r="Y58" s="504"/>
      <c r="Z58" s="504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</row>
    <row r="59" spans="1:40" ht="15.75" customHeight="1">
      <c r="A59" s="517" t="s">
        <v>261</v>
      </c>
      <c r="B59" s="504" t="s">
        <v>0</v>
      </c>
      <c r="C59" s="525" t="s">
        <v>54</v>
      </c>
      <c r="D59" s="577"/>
      <c r="E59" s="504"/>
      <c r="F59" s="526">
        <f t="array" ref="F59">+INDEX('[5]Budget original'!$A$2:$AO$500,MATCH($A59,'[5]Budget original'!$A$2:$A$500,0),MATCH(F$2,'[5]Budget original'!$A$2:$AO$2,0))</f>
        <v>1000.0880446666665</v>
      </c>
      <c r="G59" s="578"/>
      <c r="H59" s="504"/>
      <c r="I59" s="526"/>
      <c r="J59" s="525"/>
      <c r="K59" s="504"/>
      <c r="L59" s="528">
        <f>SUMIFS([5]BV_Data_An_Cour!$O:$O,[5]BV_Data_An_Cour!$U:$U,$B59,[5]BV_Data_An_Cour!$V:$V,$C59,[5]BV_Data_An_Cour!$W:$W,L$2)</f>
        <v>818.1</v>
      </c>
      <c r="M59" s="525"/>
      <c r="N59" s="551">
        <f t="shared" si="20"/>
        <v>-181.9880446666665</v>
      </c>
      <c r="O59" s="525"/>
      <c r="P59" s="504"/>
      <c r="Q59" s="528">
        <f>SUMIFS([5]BV_Data_An_Prec!$O:$O,[5]BV_Data_An_Prec!$U:$U,$B59,[5]BV_Data_An_Prec!$V:$V,$C59,[5]BV_Data_An_Prec!$W:$W,Q$2)</f>
        <v>966.86</v>
      </c>
      <c r="R59" s="525"/>
      <c r="S59" s="551">
        <f t="shared" si="21"/>
        <v>-148.76</v>
      </c>
      <c r="T59" s="504"/>
      <c r="U59" s="504"/>
      <c r="V59" s="504"/>
      <c r="W59" s="504"/>
      <c r="X59" s="504"/>
      <c r="Y59" s="504"/>
      <c r="Z59" s="504"/>
      <c r="AA59" s="504"/>
      <c r="AB59" s="50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</row>
    <row r="60" spans="1:40" ht="15.75" customHeight="1">
      <c r="A60" s="517" t="s">
        <v>262</v>
      </c>
      <c r="B60" s="504" t="s">
        <v>0</v>
      </c>
      <c r="C60" s="518" t="s">
        <v>55</v>
      </c>
      <c r="D60" s="579"/>
      <c r="E60" s="598"/>
      <c r="F60" s="520">
        <f t="array" ref="F60">+INDEX('[5]Budget original'!$A$2:$AO$500,MATCH($A60,'[5]Budget original'!$A$2:$A$500,0),MATCH(F$2,'[5]Budget original'!$A$2:$AO$2,0))</f>
        <v>6796.8453297777778</v>
      </c>
      <c r="G60" s="580"/>
      <c r="H60" s="598"/>
      <c r="I60" s="520"/>
      <c r="J60" s="518"/>
      <c r="K60" s="598"/>
      <c r="L60" s="520">
        <f>SUMIFS([5]BV_Data_An_Cour!$O:$O,[5]BV_Data_An_Cour!$U:$U,$B60,[5]BV_Data_An_Cour!$V:$V,$C60,[5]BV_Data_An_Cour!$W:$W,L$2)</f>
        <v>5967.65</v>
      </c>
      <c r="M60" s="518"/>
      <c r="N60" s="574">
        <f t="shared" si="20"/>
        <v>-829.19532977777817</v>
      </c>
      <c r="O60" s="518"/>
      <c r="P60" s="598"/>
      <c r="Q60" s="520">
        <f>SUMIFS([5]BV_Data_An_Prec!$O:$O,[5]BV_Data_An_Prec!$U:$U,$B60,[5]BV_Data_An_Prec!$V:$V,$C60,[5]BV_Data_An_Prec!$W:$W,Q$2)</f>
        <v>6513.05</v>
      </c>
      <c r="R60" s="518"/>
      <c r="S60" s="574">
        <f t="shared" si="21"/>
        <v>-545.40000000000055</v>
      </c>
      <c r="T60" s="504"/>
      <c r="U60" s="504"/>
      <c r="V60" s="504"/>
      <c r="W60" s="504"/>
      <c r="X60" s="504"/>
      <c r="Y60" s="504"/>
      <c r="Z60" s="504"/>
      <c r="AA60" s="504"/>
      <c r="AB60" s="50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</row>
    <row r="61" spans="1:40" ht="15.75" customHeight="1">
      <c r="A61" s="517" t="s">
        <v>263</v>
      </c>
      <c r="B61" s="504" t="s">
        <v>0</v>
      </c>
      <c r="C61" s="525" t="s">
        <v>56</v>
      </c>
      <c r="D61" s="577"/>
      <c r="E61" s="504"/>
      <c r="F61" s="526">
        <f t="array" ref="F61">+INDEX('[5]Budget original'!$A$2:$AO$500,MATCH($A61,'[5]Budget original'!$A$2:$A$500,0),MATCH(F$2,'[5]Budget original'!$A$2:$AO$2,0))</f>
        <v>117.13645759980204</v>
      </c>
      <c r="G61" s="578"/>
      <c r="H61" s="504"/>
      <c r="I61" s="526"/>
      <c r="J61" s="525"/>
      <c r="K61" s="504"/>
      <c r="L61" s="528">
        <f>SUMIFS([5]BV_Data_An_Cour!$O:$O,[5]BV_Data_An_Cour!$U:$U,$B61,[5]BV_Data_An_Cour!$V:$V,$C61,[5]BV_Data_An_Cour!$W:$W,L$2)</f>
        <v>0</v>
      </c>
      <c r="M61" s="525"/>
      <c r="N61" s="551">
        <f t="shared" si="20"/>
        <v>-117.13645759980204</v>
      </c>
      <c r="O61" s="525"/>
      <c r="P61" s="504"/>
      <c r="Q61" s="528">
        <f>SUMIFS([5]BV_Data_An_Prec!$O:$O,[5]BV_Data_An_Prec!$U:$U,$B61,[5]BV_Data_An_Prec!$V:$V,$C61,[5]BV_Data_An_Prec!$W:$W,Q$2)</f>
        <v>0</v>
      </c>
      <c r="R61" s="525"/>
      <c r="S61" s="551">
        <f t="shared" si="21"/>
        <v>0</v>
      </c>
      <c r="T61" s="504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</row>
    <row r="62" spans="1:40" ht="15.75" customHeight="1">
      <c r="A62" s="517" t="s">
        <v>264</v>
      </c>
      <c r="B62" s="504" t="s">
        <v>0</v>
      </c>
      <c r="C62" s="525" t="s">
        <v>57</v>
      </c>
      <c r="D62" s="577"/>
      <c r="E62" s="504"/>
      <c r="F62" s="526">
        <f t="array" ref="F62">+INDEX('[5]Budget original'!$A$2:$AO$500,MATCH($A62,'[5]Budget original'!$A$2:$A$500,0),MATCH(F$2,'[5]Budget original'!$A$2:$AO$2,0))</f>
        <v>60.487931167085833</v>
      </c>
      <c r="G62" s="578"/>
      <c r="H62" s="504"/>
      <c r="I62" s="526"/>
      <c r="J62" s="525"/>
      <c r="K62" s="504"/>
      <c r="L62" s="528">
        <f>SUMIFS([5]BV_Data_An_Cour!$O:$O,[5]BV_Data_An_Cour!$U:$U,$B62,[5]BV_Data_An_Cour!$V:$V,$C62,[5]BV_Data_An_Cour!$W:$W,L$2)</f>
        <v>0</v>
      </c>
      <c r="M62" s="525"/>
      <c r="N62" s="551">
        <f t="shared" si="20"/>
        <v>-60.487931167085833</v>
      </c>
      <c r="O62" s="525"/>
      <c r="P62" s="504"/>
      <c r="Q62" s="528">
        <f>SUMIFS([5]BV_Data_An_Prec!$O:$O,[5]BV_Data_An_Prec!$U:$U,$B62,[5]BV_Data_An_Prec!$V:$V,$C62,[5]BV_Data_An_Prec!$W:$W,Q$2)</f>
        <v>0</v>
      </c>
      <c r="R62" s="525"/>
      <c r="S62" s="551">
        <f t="shared" si="21"/>
        <v>0</v>
      </c>
      <c r="T62" s="504"/>
      <c r="U62" s="504"/>
      <c r="V62" s="504"/>
      <c r="W62" s="504"/>
      <c r="X62" s="504"/>
      <c r="Y62" s="504"/>
      <c r="Z62" s="504"/>
      <c r="AA62" s="504"/>
      <c r="AB62" s="50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</row>
    <row r="63" spans="1:40" ht="15.75" customHeight="1">
      <c r="A63" s="517" t="s">
        <v>265</v>
      </c>
      <c r="B63" s="504" t="s">
        <v>0</v>
      </c>
      <c r="C63" s="525" t="s">
        <v>58</v>
      </c>
      <c r="D63" s="577"/>
      <c r="E63" s="504"/>
      <c r="F63" s="526">
        <f t="array" ref="F63">+INDEX('[5]Budget original'!$A$2:$AO$500,MATCH($A63,'[5]Budget original'!$A$2:$A$500,0),MATCH(F$2,'[5]Budget original'!$A$2:$AO$2,0))</f>
        <v>763.45103519999975</v>
      </c>
      <c r="G63" s="578"/>
      <c r="H63" s="504"/>
      <c r="I63" s="526"/>
      <c r="J63" s="525"/>
      <c r="K63" s="504"/>
      <c r="L63" s="528">
        <f>SUMIFS([5]BV_Data_An_Cour!$O:$O,[5]BV_Data_An_Cour!$U:$U,$B63,[5]BV_Data_An_Cour!$V:$V,$C63,[5]BV_Data_An_Cour!$W:$W,L$2)</f>
        <v>479.83</v>
      </c>
      <c r="M63" s="525"/>
      <c r="N63" s="551">
        <f t="shared" si="20"/>
        <v>-283.62103519999977</v>
      </c>
      <c r="O63" s="525"/>
      <c r="P63" s="504"/>
      <c r="Q63" s="528">
        <f>SUMIFS([5]BV_Data_An_Prec!$O:$O,[5]BV_Data_An_Prec!$U:$U,$B63,[5]BV_Data_An_Prec!$V:$V,$C63,[5]BV_Data_An_Prec!$W:$W,Q$2)</f>
        <v>984.46</v>
      </c>
      <c r="R63" s="525"/>
      <c r="S63" s="551">
        <f t="shared" si="21"/>
        <v>-504.63000000000005</v>
      </c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</row>
    <row r="64" spans="1:40" ht="15.75" customHeight="1">
      <c r="A64" s="517" t="s">
        <v>266</v>
      </c>
      <c r="B64" s="504" t="s">
        <v>0</v>
      </c>
      <c r="C64" s="525" t="s">
        <v>59</v>
      </c>
      <c r="D64" s="577"/>
      <c r="E64" s="504"/>
      <c r="F64" s="526">
        <f t="array" ref="F64">+INDEX('[5]Budget original'!$A$2:$AO$500,MATCH($A64,'[5]Budget original'!$A$2:$A$500,0),MATCH(F$2,'[5]Budget original'!$A$2:$AO$2,0))</f>
        <v>258.72025015555556</v>
      </c>
      <c r="G64" s="578"/>
      <c r="H64" s="504"/>
      <c r="I64" s="526"/>
      <c r="J64" s="525"/>
      <c r="K64" s="504"/>
      <c r="L64" s="528">
        <f>SUMIFS([5]BV_Data_An_Cour!$O:$O,[5]BV_Data_An_Cour!$U:$U,$B64,[5]BV_Data_An_Cour!$V:$V,$C64,[5]BV_Data_An_Cour!$W:$W,L$2)</f>
        <v>233.9</v>
      </c>
      <c r="M64" s="525"/>
      <c r="N64" s="551">
        <f t="shared" si="20"/>
        <v>-24.820250155555556</v>
      </c>
      <c r="O64" s="525"/>
      <c r="P64" s="504"/>
      <c r="Q64" s="528">
        <f>SUMIFS([5]BV_Data_An_Prec!$O:$O,[5]BV_Data_An_Prec!$U:$U,$B64,[5]BV_Data_An_Prec!$V:$V,$C64,[5]BV_Data_An_Prec!$W:$W,Q$2)</f>
        <v>261.12</v>
      </c>
      <c r="R64" s="525"/>
      <c r="S64" s="551">
        <f t="shared" si="21"/>
        <v>-27.22</v>
      </c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</row>
    <row r="65" spans="1:40" ht="15.75" customHeight="1">
      <c r="A65" s="517" t="s">
        <v>267</v>
      </c>
      <c r="B65" s="504" t="s">
        <v>0</v>
      </c>
      <c r="C65" s="525" t="s">
        <v>60</v>
      </c>
      <c r="D65" s="577"/>
      <c r="E65" s="504"/>
      <c r="F65" s="526">
        <f t="array" ref="F65">+INDEX('[5]Budget original'!$A$2:$AO$500,MATCH($A65,'[5]Budget original'!$A$2:$A$500,0),MATCH(F$2,'[5]Budget original'!$A$2:$AO$2,0))</f>
        <v>123.74429384444443</v>
      </c>
      <c r="G65" s="578"/>
      <c r="H65" s="504"/>
      <c r="I65" s="526"/>
      <c r="J65" s="525"/>
      <c r="K65" s="504"/>
      <c r="L65" s="528">
        <f>SUMIFS([5]BV_Data_An_Cour!$O:$O,[5]BV_Data_An_Cour!$U:$U,$B65,[5]BV_Data_An_Cour!$V:$V,$C65,[5]BV_Data_An_Cour!$W:$W,L$2)</f>
        <v>130.12</v>
      </c>
      <c r="M65" s="525"/>
      <c r="N65" s="551">
        <f t="shared" si="20"/>
        <v>6.3757061555555765</v>
      </c>
      <c r="O65" s="525"/>
      <c r="P65" s="504"/>
      <c r="Q65" s="528">
        <f>SUMIFS([5]BV_Data_An_Prec!$O:$O,[5]BV_Data_An_Prec!$U:$U,$B65,[5]BV_Data_An_Prec!$V:$V,$C65,[5]BV_Data_An_Prec!$W:$W,Q$2)</f>
        <v>200.99</v>
      </c>
      <c r="R65" s="525"/>
      <c r="S65" s="551">
        <f t="shared" si="21"/>
        <v>-70.87</v>
      </c>
      <c r="T65" s="504"/>
      <c r="U65" s="504"/>
      <c r="V65" s="504"/>
      <c r="W65" s="504"/>
      <c r="X65" s="504"/>
      <c r="Y65" s="504"/>
      <c r="Z65" s="504"/>
      <c r="AA65" s="504"/>
      <c r="AB65" s="50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</row>
    <row r="66" spans="1:40" ht="15.75" customHeight="1">
      <c r="A66" s="517" t="s">
        <v>268</v>
      </c>
      <c r="B66" s="504" t="s">
        <v>0</v>
      </c>
      <c r="C66" s="525" t="s">
        <v>61</v>
      </c>
      <c r="D66" s="577"/>
      <c r="E66" s="504"/>
      <c r="F66" s="526">
        <f t="array" ref="F66">+INDEX('[5]Budget original'!$A$2:$AO$500,MATCH($A66,'[5]Budget original'!$A$2:$A$500,0),MATCH(F$2,'[5]Budget original'!$A$2:$AO$2,0))</f>
        <v>470.18236304444446</v>
      </c>
      <c r="G66" s="578"/>
      <c r="H66" s="504"/>
      <c r="I66" s="526"/>
      <c r="J66" s="525"/>
      <c r="K66" s="504"/>
      <c r="L66" s="528">
        <f>SUMIFS([5]BV_Data_An_Cour!$O:$O,[5]BV_Data_An_Cour!$U:$U,$B66,[5]BV_Data_An_Cour!$V:$V,$C66,[5]BV_Data_An_Cour!$W:$W,L$2)</f>
        <v>106.21</v>
      </c>
      <c r="M66" s="525"/>
      <c r="N66" s="551">
        <f t="shared" si="20"/>
        <v>-363.97236304444448</v>
      </c>
      <c r="O66" s="525"/>
      <c r="P66" s="504"/>
      <c r="Q66" s="528">
        <f>SUMIFS([5]BV_Data_An_Prec!$O:$O,[5]BV_Data_An_Prec!$U:$U,$B66,[5]BV_Data_An_Prec!$V:$V,$C66,[5]BV_Data_An_Prec!$W:$W,Q$2)</f>
        <v>140.21</v>
      </c>
      <c r="R66" s="525"/>
      <c r="S66" s="551">
        <f t="shared" si="21"/>
        <v>-34.000000000000014</v>
      </c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</row>
    <row r="67" spans="1:40" ht="15.75" customHeight="1">
      <c r="A67" s="517" t="s">
        <v>269</v>
      </c>
      <c r="B67" s="504" t="s">
        <v>0</v>
      </c>
      <c r="C67" s="525" t="s">
        <v>62</v>
      </c>
      <c r="D67" s="577"/>
      <c r="E67" s="504"/>
      <c r="F67" s="526">
        <f t="array" ref="F67">+INDEX('[5]Budget original'!$A$2:$AO$500,MATCH($A67,'[5]Budget original'!$A$2:$A$500,0),MATCH(F$2,'[5]Budget original'!$A$2:$AO$2,0))</f>
        <v>612.74030200304071</v>
      </c>
      <c r="G67" s="578"/>
      <c r="H67" s="504"/>
      <c r="I67" s="526"/>
      <c r="J67" s="525"/>
      <c r="K67" s="504"/>
      <c r="L67" s="528">
        <f>SUMIFS([5]BV_Data_An_Cour!$O:$O,[5]BV_Data_An_Cour!$U:$U,$B67,[5]BV_Data_An_Cour!$V:$V,$C67,[5]BV_Data_An_Cour!$W:$W,L$2)</f>
        <v>177.08</v>
      </c>
      <c r="M67" s="525"/>
      <c r="N67" s="551">
        <f t="shared" si="20"/>
        <v>-435.66030200304067</v>
      </c>
      <c r="O67" s="525"/>
      <c r="P67" s="504"/>
      <c r="Q67" s="528">
        <f>SUMIFS([5]BV_Data_An_Prec!$O:$O,[5]BV_Data_An_Prec!$U:$U,$B67,[5]BV_Data_An_Prec!$V:$V,$C67,[5]BV_Data_An_Prec!$W:$W,Q$2)</f>
        <v>1388.34</v>
      </c>
      <c r="R67" s="525"/>
      <c r="S67" s="551">
        <f t="shared" si="21"/>
        <v>-1211.26</v>
      </c>
      <c r="T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</row>
    <row r="68" spans="1:40" ht="15.75" customHeight="1">
      <c r="A68" s="517" t="s">
        <v>270</v>
      </c>
      <c r="B68" s="504" t="s">
        <v>0</v>
      </c>
      <c r="C68" s="525" t="s">
        <v>63</v>
      </c>
      <c r="D68" s="577"/>
      <c r="E68" s="504"/>
      <c r="F68" s="526">
        <f t="array" ref="F68">+INDEX('[5]Budget original'!$A$2:$AO$500,MATCH($A68,'[5]Budget original'!$A$2:$A$500,0),MATCH(F$2,'[5]Budget original'!$A$2:$AO$2,0))</f>
        <v>1131.0253593673358</v>
      </c>
      <c r="G68" s="578"/>
      <c r="H68" s="504"/>
      <c r="I68" s="526"/>
      <c r="J68" s="525"/>
      <c r="K68" s="504"/>
      <c r="L68" s="528">
        <f>SUMIFS([5]BV_Data_An_Cour!$O:$O,[5]BV_Data_An_Cour!$U:$U,$B68,[5]BV_Data_An_Cour!$V:$V,$C68,[5]BV_Data_An_Cour!$W:$W,L$2)</f>
        <v>3406.43</v>
      </c>
      <c r="M68" s="525"/>
      <c r="N68" s="551">
        <f t="shared" si="20"/>
        <v>2275.4046406326643</v>
      </c>
      <c r="O68" s="525"/>
      <c r="P68" s="504"/>
      <c r="Q68" s="528">
        <f>AL447*W3</f>
        <v>3741.1920000000041</v>
      </c>
      <c r="R68" s="525"/>
      <c r="S68" s="551">
        <f t="shared" si="21"/>
        <v>-334.76200000000426</v>
      </c>
      <c r="T68" s="504"/>
      <c r="X68" s="504"/>
      <c r="Y68" s="504"/>
      <c r="Z68" s="504"/>
      <c r="AA68" s="504"/>
      <c r="AB68" s="50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</row>
    <row r="69" spans="1:40" ht="15.75" hidden="1" customHeight="1">
      <c r="A69" s="517" t="s">
        <v>229</v>
      </c>
      <c r="B69" s="504" t="s">
        <v>0</v>
      </c>
      <c r="C69" s="525" t="s">
        <v>20</v>
      </c>
      <c r="D69" s="577"/>
      <c r="E69" s="504"/>
      <c r="F69" s="526">
        <f t="array" ref="F69">+INDEX('[5]Budget original'!$A$2:$AO$500,MATCH($A69,'[5]Budget original'!$A$2:$A$500,0),MATCH(F$2,'[5]Budget original'!$A$2:$AO$2,0))</f>
        <v>0</v>
      </c>
      <c r="G69" s="578"/>
      <c r="H69" s="504"/>
      <c r="I69" s="526"/>
      <c r="J69" s="525"/>
      <c r="K69" s="504"/>
      <c r="L69" s="528"/>
      <c r="M69" s="525"/>
      <c r="N69" s="551">
        <f t="shared" si="20"/>
        <v>0</v>
      </c>
      <c r="O69" s="525"/>
      <c r="P69" s="504"/>
      <c r="Q69" s="528">
        <f>SUMIFS([5]BV_Data_An_Prec!$O:$O,[5]BV_Data_An_Prec!$U:$U,$B69,[5]BV_Data_An_Prec!$V:$V,$C69,[5]BV_Data_An_Prec!$W:$W,Q$2)</f>
        <v>0</v>
      </c>
      <c r="R69" s="525"/>
      <c r="S69" s="551">
        <f t="shared" si="21"/>
        <v>0</v>
      </c>
      <c r="T69" s="504"/>
      <c r="X69" s="504"/>
      <c r="Y69" s="504"/>
      <c r="Z69" s="504"/>
      <c r="AA69" s="504"/>
      <c r="AB69" s="50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</row>
    <row r="70" spans="1:40" ht="15.75" hidden="1" customHeight="1">
      <c r="A70" s="517" t="s">
        <v>229</v>
      </c>
      <c r="B70" s="504" t="s">
        <v>0</v>
      </c>
      <c r="C70" s="525" t="s">
        <v>20</v>
      </c>
      <c r="D70" s="577"/>
      <c r="E70" s="504"/>
      <c r="F70" s="526">
        <f t="array" ref="F70">+INDEX('[5]Budget original'!$A$2:$AO$500,MATCH($A70,'[5]Budget original'!$A$2:$A$500,0),MATCH(F$2,'[5]Budget original'!$A$2:$AO$2,0))</f>
        <v>0</v>
      </c>
      <c r="G70" s="578"/>
      <c r="H70" s="504"/>
      <c r="I70" s="526"/>
      <c r="J70" s="525"/>
      <c r="K70" s="504"/>
      <c r="L70" s="528">
        <f>SUMIFS([5]BV_Data_An_Cour!$O:$O,[5]BV_Data_An_Cour!$U:$U,$B70,[5]BV_Data_An_Cour!$V:$V,$C70,[5]BV_Data_An_Cour!$W:$W,L$2)</f>
        <v>0</v>
      </c>
      <c r="M70" s="525"/>
      <c r="N70" s="551">
        <f t="shared" si="20"/>
        <v>0</v>
      </c>
      <c r="O70" s="525"/>
      <c r="P70" s="504"/>
      <c r="Q70" s="528">
        <f>SUMIFS([5]BV_Data_An_Prec!$O:$O,[5]BV_Data_An_Prec!$U:$U,$B70,[5]BV_Data_An_Prec!$V:$V,$C70,[5]BV_Data_An_Prec!$W:$W,Q$2)</f>
        <v>0</v>
      </c>
      <c r="R70" s="525"/>
      <c r="S70" s="551">
        <f t="shared" si="21"/>
        <v>0</v>
      </c>
      <c r="T70" s="504"/>
      <c r="X70" s="504"/>
      <c r="Y70" s="504"/>
      <c r="Z70" s="504"/>
      <c r="AA70" s="504"/>
      <c r="AB70" s="50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</row>
    <row r="71" spans="1:40" ht="15.75" hidden="1" customHeight="1">
      <c r="A71" s="517" t="s">
        <v>229</v>
      </c>
      <c r="B71" s="504" t="s">
        <v>0</v>
      </c>
      <c r="C71" s="525" t="s">
        <v>20</v>
      </c>
      <c r="D71" s="577"/>
      <c r="E71" s="504"/>
      <c r="F71" s="526">
        <f t="array" ref="F71">+INDEX('[5]Budget original'!$A$2:$AO$500,MATCH($A71,'[5]Budget original'!$A$2:$A$500,0),MATCH(F$2,'[5]Budget original'!$A$2:$AO$2,0))</f>
        <v>0</v>
      </c>
      <c r="G71" s="578"/>
      <c r="H71" s="504"/>
      <c r="I71" s="526"/>
      <c r="J71" s="525"/>
      <c r="K71" s="504"/>
      <c r="L71" s="528">
        <f>SUMIFS([5]BV_Data_An_Cour!$O:$O,[5]BV_Data_An_Cour!$U:$U,$B71,[5]BV_Data_An_Cour!$V:$V,$C71,[5]BV_Data_An_Cour!$W:$W,L$2)*0.32</f>
        <v>0</v>
      </c>
      <c r="M71" s="525"/>
      <c r="N71" s="551">
        <f t="shared" si="20"/>
        <v>0</v>
      </c>
      <c r="O71" s="525"/>
      <c r="P71" s="504"/>
      <c r="Q71" s="528">
        <f>SUMIFS([5]BV_Data_An_Prec!$O:$O,[5]BV_Data_An_Prec!$U:$U,$B71,[5]BV_Data_An_Prec!$V:$V,$C71,[5]BV_Data_An_Prec!$W:$W,Q$2)*0.32</f>
        <v>0</v>
      </c>
      <c r="R71" s="525"/>
      <c r="S71" s="551">
        <f t="shared" si="21"/>
        <v>0</v>
      </c>
      <c r="T71" s="504"/>
      <c r="X71" s="504"/>
      <c r="Y71" s="504"/>
      <c r="Z71" s="504"/>
      <c r="AA71" s="504"/>
      <c r="AB71" s="50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</row>
    <row r="72" spans="1:40" ht="15.75" customHeight="1">
      <c r="A72" s="517" t="s">
        <v>271</v>
      </c>
      <c r="B72" s="504" t="s">
        <v>0</v>
      </c>
      <c r="C72" s="584" t="s">
        <v>64</v>
      </c>
      <c r="D72" s="585" t="s">
        <v>39</v>
      </c>
      <c r="E72" s="586">
        <f>F72/F$27</f>
        <v>0.12567040203033708</v>
      </c>
      <c r="F72" s="587">
        <f>+SUM(F55:F71)</f>
        <v>25541.121098826152</v>
      </c>
      <c r="G72" s="588"/>
      <c r="H72" s="586"/>
      <c r="I72" s="587"/>
      <c r="J72" s="588" t="s">
        <v>39</v>
      </c>
      <c r="K72" s="586">
        <f>L72/L$27</f>
        <v>0.16727623695257832</v>
      </c>
      <c r="L72" s="587">
        <f>+SUM(L55:L71)</f>
        <v>25796.080000000005</v>
      </c>
      <c r="M72" s="591"/>
      <c r="N72" s="587">
        <f>+SUM(N55:N71)</f>
        <v>254.9589011738467</v>
      </c>
      <c r="O72" s="588" t="s">
        <v>39</v>
      </c>
      <c r="P72" s="586">
        <f>Q72/Q$27</f>
        <v>0.10828735986636921</v>
      </c>
      <c r="Q72" s="587">
        <f>+SUM(Q55:Q71)</f>
        <v>27839.632000000001</v>
      </c>
      <c r="R72" s="591"/>
      <c r="S72" s="587">
        <f>+SUM(S55:S71)</f>
        <v>-2043.5520000000045</v>
      </c>
      <c r="T72" s="504"/>
      <c r="X72" s="504"/>
      <c r="Y72" s="504"/>
      <c r="Z72" s="504"/>
      <c r="AA72" s="504"/>
      <c r="AB72" s="50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</row>
    <row r="73" spans="1:40" ht="15.75" customHeight="1">
      <c r="A73" s="517" t="s">
        <v>0</v>
      </c>
      <c r="B73" s="504" t="s">
        <v>0</v>
      </c>
      <c r="C73" s="518"/>
      <c r="D73" s="579"/>
      <c r="E73" s="598"/>
      <c r="F73" s="551"/>
      <c r="G73" s="580"/>
      <c r="H73" s="598"/>
      <c r="I73" s="551"/>
      <c r="J73" s="518"/>
      <c r="K73" s="598"/>
      <c r="L73" s="574"/>
      <c r="M73" s="518"/>
      <c r="N73" s="574"/>
      <c r="O73" s="518"/>
      <c r="P73" s="598"/>
      <c r="Q73" s="574"/>
      <c r="R73" s="518"/>
      <c r="S73" s="574"/>
      <c r="T73" s="504"/>
      <c r="U73" s="504"/>
      <c r="V73" s="504"/>
      <c r="W73" s="504"/>
      <c r="X73" s="504"/>
      <c r="Y73" s="504"/>
      <c r="Z73" s="504"/>
      <c r="AA73" s="504"/>
      <c r="AB73" s="50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</row>
    <row r="74" spans="1:40" ht="15.75" customHeight="1">
      <c r="A74" s="517" t="s">
        <v>272</v>
      </c>
      <c r="B74" s="504" t="s">
        <v>0</v>
      </c>
      <c r="C74" s="584" t="s">
        <v>65</v>
      </c>
      <c r="D74" s="585" t="s">
        <v>39</v>
      </c>
      <c r="E74" s="586">
        <f>F74/F$27</f>
        <v>0.9094719709954423</v>
      </c>
      <c r="F74" s="587">
        <f>F41+F54+F72</f>
        <v>184840.13237719401</v>
      </c>
      <c r="G74" s="588"/>
      <c r="H74" s="586"/>
      <c r="I74" s="587"/>
      <c r="J74" s="588" t="s">
        <v>39</v>
      </c>
      <c r="K74" s="586">
        <f>L74/L$27</f>
        <v>1.0961581184814773</v>
      </c>
      <c r="L74" s="587">
        <f>L41+L54+L72</f>
        <v>169041.24000000005</v>
      </c>
      <c r="M74" s="591"/>
      <c r="N74" s="600">
        <f t="shared" ref="N74:N82" si="22">L74-F74</f>
        <v>-15798.892377193959</v>
      </c>
      <c r="O74" s="588" t="s">
        <v>39</v>
      </c>
      <c r="P74" s="586">
        <f>Q74/Q$27</f>
        <v>0.8269786353683023</v>
      </c>
      <c r="Q74" s="587">
        <f>Q41+Q54+Q72</f>
        <v>212608.20200000002</v>
      </c>
      <c r="R74" s="591"/>
      <c r="S74" s="600">
        <f>L74-Q74</f>
        <v>-43566.96199999997</v>
      </c>
      <c r="T74" s="504"/>
      <c r="U74" s="504"/>
      <c r="V74" s="504"/>
      <c r="W74" s="504"/>
      <c r="X74" s="504"/>
      <c r="Y74" s="504"/>
      <c r="Z74" s="504"/>
      <c r="AA74" s="504"/>
      <c r="AB74" s="50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</row>
    <row r="75" spans="1:40" ht="15.75" customHeight="1">
      <c r="A75" s="517" t="s">
        <v>273</v>
      </c>
      <c r="B75" s="504" t="s">
        <v>0</v>
      </c>
      <c r="C75" s="525" t="s">
        <v>198</v>
      </c>
      <c r="D75" s="577"/>
      <c r="E75" s="504"/>
      <c r="F75" s="526">
        <f t="array" ref="F75">+INDEX('[5]Budget original'!$A$2:$AO$500,MATCH($A75,'[5]Budget original'!$A$2:$A$500,0),MATCH(F$2,'[5]Budget original'!$A$2:$AO$2,0))</f>
        <v>0</v>
      </c>
      <c r="G75" s="578"/>
      <c r="H75" s="504"/>
      <c r="I75" s="526"/>
      <c r="J75" s="525"/>
      <c r="K75" s="504"/>
      <c r="L75" s="528">
        <f>-SUMIFS([5]BV_Data_An_Cour!$O:$O,[5]BV_Data_An_Cour!$U:$U,$B75,[5]BV_Data_An_Cour!$V:$V,$C75,[5]BV_Data_An_Cour!$W:$W,L$2)-L155</f>
        <v>0</v>
      </c>
      <c r="M75" s="525"/>
      <c r="N75" s="551">
        <f t="shared" si="22"/>
        <v>0</v>
      </c>
      <c r="O75" s="525"/>
      <c r="P75" s="504"/>
      <c r="Q75" s="528">
        <f>-SUMIFS([5]BV_Data_An_Prec!$O:$O,[5]BV_Data_An_Prec!$U:$U,$B75,[5]BV_Data_An_Prec!$V:$V,$C75,[5]BV_Data_An_Prec!$W:$W,Q$2)</f>
        <v>0</v>
      </c>
      <c r="R75" s="525"/>
      <c r="S75" s="551"/>
      <c r="T75" s="504"/>
      <c r="U75" s="504"/>
      <c r="V75" s="504"/>
      <c r="W75" s="504"/>
      <c r="X75" s="504"/>
      <c r="Y75" s="504"/>
      <c r="Z75" s="504"/>
      <c r="AA75" s="504"/>
      <c r="AB75" s="50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</row>
    <row r="76" spans="1:40" ht="15.75" customHeight="1">
      <c r="A76" s="517" t="s">
        <v>274</v>
      </c>
      <c r="B76" s="504" t="s">
        <v>0</v>
      </c>
      <c r="C76" s="525" t="s">
        <v>195</v>
      </c>
      <c r="D76" s="577"/>
      <c r="E76" s="504"/>
      <c r="F76" s="526">
        <f t="array" ref="F76">+INDEX('[5]Budget original'!$A$2:$AO$500,MATCH($A76,'[5]Budget original'!$A$2:$A$500,0),MATCH(F$2,'[5]Budget original'!$A$2:$AO$2,0))</f>
        <v>0</v>
      </c>
      <c r="G76" s="578"/>
      <c r="H76" s="504"/>
      <c r="I76" s="526"/>
      <c r="J76" s="525"/>
      <c r="K76" s="504"/>
      <c r="L76" s="528">
        <f>-SUMIFS([5]BV_Data_An_Cour!$O:$O,[5]BV_Data_An_Cour!$U:$U,$B76,[5]BV_Data_An_Cour!$V:$V,$C76,[5]BV_Data_An_Cour!$W:$W,L$2)</f>
        <v>0</v>
      </c>
      <c r="M76" s="525"/>
      <c r="N76" s="551">
        <f t="shared" si="22"/>
        <v>0</v>
      </c>
      <c r="O76" s="525"/>
      <c r="P76" s="504"/>
      <c r="Q76" s="528">
        <f>-SUMIFS([5]BV_Data_An_Prec!$O:$O,[5]BV_Data_An_Prec!$U:$U,$B76,[5]BV_Data_An_Prec!$V:$V,$C76,[5]BV_Data_An_Prec!$W:$W,Q$2)</f>
        <v>0</v>
      </c>
      <c r="R76" s="525"/>
      <c r="S76" s="551">
        <f t="shared" ref="S76:S82" si="23">L76-Q76</f>
        <v>0</v>
      </c>
      <c r="T76" s="504"/>
      <c r="U76" s="504"/>
      <c r="V76" s="504"/>
      <c r="W76" s="504"/>
      <c r="X76" s="504"/>
      <c r="Y76" s="504"/>
      <c r="Z76" s="504"/>
      <c r="AA76" s="504"/>
      <c r="AB76" s="50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</row>
    <row r="77" spans="1:40" ht="15.75" customHeight="1">
      <c r="A77" s="517" t="s">
        <v>275</v>
      </c>
      <c r="B77" s="504" t="s">
        <v>0</v>
      </c>
      <c r="C77" s="525" t="s">
        <v>68</v>
      </c>
      <c r="D77" s="577"/>
      <c r="E77" s="504"/>
      <c r="F77" s="526">
        <f t="array" ref="F77">+INDEX('[5]Budget original'!$A$2:$AO$500,MATCH($A77,'[5]Budget original'!$A$2:$A$500,0),MATCH(F$2,'[5]Budget original'!$A$2:$AO$2,0))</f>
        <v>0</v>
      </c>
      <c r="G77" s="578"/>
      <c r="H77" s="504"/>
      <c r="I77" s="526"/>
      <c r="J77" s="525"/>
      <c r="K77" s="504"/>
      <c r="L77" s="528">
        <f>-SUMIFS([5]BV_Data_An_Cour!$O:$O,[5]BV_Data_An_Cour!$U:$U,$B77,[5]BV_Data_An_Cour!$V:$V,$C77,[5]BV_Data_An_Cour!$W:$W,L$2)</f>
        <v>0</v>
      </c>
      <c r="M77" s="525"/>
      <c r="N77" s="551">
        <f t="shared" si="22"/>
        <v>0</v>
      </c>
      <c r="O77" s="525"/>
      <c r="P77" s="504"/>
      <c r="Q77" s="528">
        <f>-SUMIFS([5]BV_Data_An_Prec!$O:$O,[5]BV_Data_An_Prec!$U:$U,$B77,[5]BV_Data_An_Prec!$V:$V,$C77,[5]BV_Data_An_Prec!$W:$W,Q$2)</f>
        <v>0</v>
      </c>
      <c r="R77" s="525"/>
      <c r="S77" s="551">
        <f t="shared" si="23"/>
        <v>0</v>
      </c>
      <c r="T77" s="504"/>
      <c r="U77" s="504"/>
      <c r="V77" s="504"/>
      <c r="W77" s="504"/>
      <c r="X77" s="504"/>
      <c r="Y77" s="504"/>
      <c r="Z77" s="504"/>
      <c r="AA77" s="504"/>
      <c r="AB77" s="50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</row>
    <row r="78" spans="1:40" ht="15.75" customHeight="1">
      <c r="A78" s="517" t="s">
        <v>276</v>
      </c>
      <c r="B78" s="504" t="s">
        <v>0</v>
      </c>
      <c r="C78" s="525" t="s">
        <v>69</v>
      </c>
      <c r="D78" s="577"/>
      <c r="E78" s="601">
        <f>+F78/D24</f>
        <v>1181.3417167759831</v>
      </c>
      <c r="F78" s="526">
        <f t="array" ref="F78">+INDEX('[5]Budget original'!$A$2:$AO$500,MATCH($A78,'[5]Budget original'!$A$2:$A$500,0),MATCH(F$2,'[5]Budget original'!$A$2:$AO$2,0))</f>
        <v>62181.079922459692</v>
      </c>
      <c r="G78" s="578"/>
      <c r="H78" s="504"/>
      <c r="I78" s="526"/>
      <c r="J78" s="525"/>
      <c r="K78" s="601">
        <f>+L78/J24</f>
        <v>1094.8346153846155</v>
      </c>
      <c r="L78" s="528">
        <f>-SUMIFS([5]BV_Data_An_Cour!$O:$O,[5]BV_Data_An_Cour!$U:$U,$B78,[5]BV_Data_An_Cour!$V:$V,$C78,[5]BV_Data_An_Cour!$W:$W,L$2)</f>
        <v>42698.55</v>
      </c>
      <c r="M78" s="525"/>
      <c r="N78" s="551">
        <f t="shared" si="22"/>
        <v>-19482.529922459689</v>
      </c>
      <c r="O78" s="525"/>
      <c r="P78" s="504"/>
      <c r="Q78" s="528">
        <f>-SUMIFS([5]BV_Data_An_Prec!$O:$O,[5]BV_Data_An_Prec!$U:$U,$B78,[5]BV_Data_An_Prec!$V:$V,$C78,[5]BV_Data_An_Prec!$W:$W,Q$2)</f>
        <v>69130</v>
      </c>
      <c r="R78" s="525"/>
      <c r="S78" s="551">
        <f t="shared" si="23"/>
        <v>-26431.449999999997</v>
      </c>
      <c r="T78" s="504"/>
      <c r="U78" s="504"/>
      <c r="V78" s="504"/>
      <c r="W78" s="504"/>
      <c r="X78" s="504"/>
      <c r="Y78" s="504"/>
      <c r="Z78" s="504"/>
      <c r="AA78" s="504"/>
      <c r="AB78" s="50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</row>
    <row r="79" spans="1:40" ht="15.75" hidden="1" customHeight="1">
      <c r="A79" s="517" t="s">
        <v>229</v>
      </c>
      <c r="B79" s="504" t="s">
        <v>0</v>
      </c>
      <c r="C79" s="525" t="s">
        <v>20</v>
      </c>
      <c r="D79" s="577"/>
      <c r="E79" s="504"/>
      <c r="F79" s="526">
        <f t="array" ref="F79">+INDEX('[5]Budget original'!$A$2:$AO$500,MATCH($A79,'[5]Budget original'!$A$2:$A$500,0),MATCH(F$2,'[5]Budget original'!$A$2:$AO$2,0))</f>
        <v>0</v>
      </c>
      <c r="G79" s="578"/>
      <c r="H79" s="504"/>
      <c r="I79" s="526"/>
      <c r="J79" s="525"/>
      <c r="K79" s="504"/>
      <c r="L79" s="528">
        <f>-SUMIFS([5]BV_Data_An_Cour!$O:$O,[5]BV_Data_An_Cour!$U:$U,$B79,[5]BV_Data_An_Cour!$V:$V,$C79,[5]BV_Data_An_Cour!$W:$W,L$2)</f>
        <v>0</v>
      </c>
      <c r="M79" s="525"/>
      <c r="N79" s="551">
        <f t="shared" si="22"/>
        <v>0</v>
      </c>
      <c r="O79" s="525"/>
      <c r="P79" s="504"/>
      <c r="Q79" s="528">
        <f>-SUMIFS([5]BV_Data_An_Prec!$O:$O,[5]BV_Data_An_Prec!$U:$U,$B79,[5]BV_Data_An_Prec!$V:$V,$C79,[5]BV_Data_An_Prec!$W:$W,Q$2)</f>
        <v>0</v>
      </c>
      <c r="R79" s="525"/>
      <c r="S79" s="551">
        <f t="shared" si="23"/>
        <v>0</v>
      </c>
      <c r="T79" s="504"/>
      <c r="U79" s="504"/>
      <c r="V79" s="504"/>
      <c r="W79" s="504"/>
      <c r="X79" s="504"/>
      <c r="Y79" s="504"/>
      <c r="Z79" s="504"/>
      <c r="AA79" s="504"/>
      <c r="AB79" s="50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</row>
    <row r="80" spans="1:40" ht="15.75" hidden="1" customHeight="1">
      <c r="A80" s="517" t="s">
        <v>229</v>
      </c>
      <c r="B80" s="504" t="s">
        <v>0</v>
      </c>
      <c r="C80" s="525" t="s">
        <v>20</v>
      </c>
      <c r="D80" s="577"/>
      <c r="E80" s="504"/>
      <c r="F80" s="526">
        <f t="array" ref="F80">+INDEX('[5]Budget original'!$A$2:$AO$500,MATCH($A80,'[5]Budget original'!$A$2:$A$500,0),MATCH(F$2,'[5]Budget original'!$A$2:$AO$2,0))</f>
        <v>0</v>
      </c>
      <c r="G80" s="578"/>
      <c r="H80" s="504"/>
      <c r="I80" s="526"/>
      <c r="J80" s="525"/>
      <c r="K80" s="504"/>
      <c r="L80" s="528">
        <f>-SUMIFS([5]BV_Data_An_Cour!$O:$O,[5]BV_Data_An_Cour!$U:$U,$B80,[5]BV_Data_An_Cour!$V:$V,$C80,[5]BV_Data_An_Cour!$W:$W,L$2)</f>
        <v>0</v>
      </c>
      <c r="M80" s="525"/>
      <c r="N80" s="551">
        <f t="shared" si="22"/>
        <v>0</v>
      </c>
      <c r="O80" s="525"/>
      <c r="P80" s="504"/>
      <c r="Q80" s="528">
        <f>-SUMIFS([5]BV_Data_An_Prec!$O:$O,[5]BV_Data_An_Prec!$U:$U,$B80,[5]BV_Data_An_Prec!$V:$V,$C80,[5]BV_Data_An_Prec!$W:$W,Q$2)</f>
        <v>0</v>
      </c>
      <c r="R80" s="525"/>
      <c r="S80" s="551">
        <f t="shared" si="23"/>
        <v>0</v>
      </c>
      <c r="T80" s="504"/>
      <c r="U80" s="504"/>
      <c r="V80" s="504"/>
      <c r="W80" s="504"/>
      <c r="X80" s="504"/>
      <c r="Y80" s="504"/>
      <c r="Z80" s="504"/>
      <c r="AA80" s="504"/>
      <c r="AB80" s="50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</row>
    <row r="81" spans="1:40" ht="15.75" hidden="1" customHeight="1">
      <c r="A81" s="517" t="s">
        <v>229</v>
      </c>
      <c r="B81" s="504" t="s">
        <v>0</v>
      </c>
      <c r="C81" s="525" t="s">
        <v>20</v>
      </c>
      <c r="D81" s="577"/>
      <c r="E81" s="504"/>
      <c r="F81" s="526">
        <f t="array" ref="F81">+INDEX('[5]Budget original'!$A$2:$AO$500,MATCH($A81,'[5]Budget original'!$A$2:$A$500,0),MATCH(F$2,'[5]Budget original'!$A$2:$AO$2,0))</f>
        <v>0</v>
      </c>
      <c r="G81" s="578"/>
      <c r="H81" s="504"/>
      <c r="I81" s="526"/>
      <c r="J81" s="525"/>
      <c r="K81" s="504"/>
      <c r="L81" s="528">
        <f>-SUMIFS([5]BV_Data_An_Cour!$O:$O,[5]BV_Data_An_Cour!$U:$U,$B81,[5]BV_Data_An_Cour!$V:$V,$C81,[5]BV_Data_An_Cour!$W:$W,L$2)</f>
        <v>0</v>
      </c>
      <c r="M81" s="525"/>
      <c r="N81" s="551">
        <f t="shared" si="22"/>
        <v>0</v>
      </c>
      <c r="O81" s="525"/>
      <c r="P81" s="504"/>
      <c r="Q81" s="528">
        <f>-SUMIFS([5]BV_Data_An_Prec!$O:$O,[5]BV_Data_An_Prec!$U:$U,$B81,[5]BV_Data_An_Prec!$V:$V,$C81,[5]BV_Data_An_Prec!$W:$W,Q$2)</f>
        <v>0</v>
      </c>
      <c r="R81" s="525"/>
      <c r="S81" s="551">
        <f t="shared" si="23"/>
        <v>0</v>
      </c>
      <c r="T81" s="504"/>
      <c r="U81" s="504"/>
      <c r="V81" s="504"/>
      <c r="W81" s="504"/>
      <c r="X81" s="504"/>
      <c r="Y81" s="504"/>
      <c r="Z81" s="504"/>
      <c r="AA81" s="504"/>
      <c r="AB81" s="50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</row>
    <row r="82" spans="1:40" ht="15.75" customHeight="1">
      <c r="A82" s="602" t="s">
        <v>277</v>
      </c>
      <c r="B82" s="603" t="s">
        <v>0</v>
      </c>
      <c r="C82" s="525" t="s">
        <v>70</v>
      </c>
      <c r="D82" s="577"/>
      <c r="E82" s="504"/>
      <c r="F82" s="526">
        <f t="array" ref="F82">+INDEX('[5]Budget original'!$A$2:$AO$500,MATCH($A82,'[5]Budget original'!$A$2:$A$500,0),MATCH(F$2,'[5]Budget original'!$A$2:$AO$2,0))</f>
        <v>19591.052705280003</v>
      </c>
      <c r="G82" s="578"/>
      <c r="H82" s="504"/>
      <c r="I82" s="526"/>
      <c r="J82" s="604">
        <f>+L82/K82</f>
        <v>40</v>
      </c>
      <c r="K82" s="605">
        <f>+L82/J27</f>
        <v>486.15</v>
      </c>
      <c r="L82" s="528">
        <f>-SUMIFS([5]BV_Data_An_Cour!$O:$O,[5]BV_Data_An_Cour!$U:$U,$B82,[5]BV_Data_An_Cour!$V:$V,$C82,[5]BV_Data_An_Cour!$W:$W,L$2)</f>
        <v>19446</v>
      </c>
      <c r="M82" s="525"/>
      <c r="N82" s="551">
        <f t="shared" si="22"/>
        <v>-145.05270528000256</v>
      </c>
      <c r="O82" s="525"/>
      <c r="P82" s="504"/>
      <c r="Q82" s="528">
        <f>-SUMIFS([5]BV_Data_An_Prec!$O:$O,[5]BV_Data_An_Prec!$U:$U,$B82,[5]BV_Data_An_Prec!$V:$V,$C82,[5]BV_Data_An_Prec!$W:$W,Q$2)</f>
        <v>20382</v>
      </c>
      <c r="R82" s="525"/>
      <c r="S82" s="551">
        <f t="shared" si="23"/>
        <v>-936</v>
      </c>
      <c r="T82" s="504"/>
      <c r="U82" s="504"/>
      <c r="V82" s="504"/>
      <c r="W82" s="504"/>
      <c r="X82" s="504"/>
      <c r="Y82" s="504"/>
      <c r="Z82" s="504"/>
      <c r="AA82" s="504"/>
      <c r="AB82" s="50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</row>
    <row r="83" spans="1:40" ht="15.75" customHeight="1">
      <c r="A83" s="517" t="s">
        <v>278</v>
      </c>
      <c r="B83" s="504" t="s">
        <v>0</v>
      </c>
      <c r="C83" s="584" t="s">
        <v>71</v>
      </c>
      <c r="D83" s="585"/>
      <c r="E83" s="586"/>
      <c r="F83" s="587">
        <f>+SUM(F75:F82)</f>
        <v>81772.132627739687</v>
      </c>
      <c r="G83" s="588"/>
      <c r="H83" s="586"/>
      <c r="I83" s="587"/>
      <c r="J83" s="588"/>
      <c r="K83" s="586"/>
      <c r="L83" s="587">
        <f>+SUM(L75:L82)</f>
        <v>62144.55</v>
      </c>
      <c r="M83" s="591"/>
      <c r="N83" s="587">
        <f>+SUM(N75:N82)</f>
        <v>-19627.582627739692</v>
      </c>
      <c r="O83" s="588"/>
      <c r="P83" s="586"/>
      <c r="Q83" s="587">
        <f>+SUM(Q75:Q82)</f>
        <v>89512</v>
      </c>
      <c r="R83" s="591"/>
      <c r="S83" s="587">
        <f>+SUM(S75:S82)</f>
        <v>-27367.449999999997</v>
      </c>
      <c r="T83" s="504"/>
      <c r="U83" s="504"/>
      <c r="V83" s="504"/>
      <c r="W83" s="504"/>
      <c r="X83" s="504"/>
      <c r="Y83" s="504"/>
      <c r="Z83" s="504"/>
      <c r="AA83" s="504"/>
      <c r="AB83" s="50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</row>
    <row r="84" spans="1:40" ht="15.75" customHeight="1">
      <c r="A84" s="517" t="s">
        <v>0</v>
      </c>
      <c r="B84" s="504" t="s">
        <v>0</v>
      </c>
      <c r="C84" s="606"/>
      <c r="D84" s="607"/>
      <c r="E84" s="608"/>
      <c r="F84" s="609"/>
      <c r="G84" s="610"/>
      <c r="H84" s="608"/>
      <c r="I84" s="609"/>
      <c r="J84" s="611"/>
      <c r="K84" s="612"/>
      <c r="L84" s="609"/>
      <c r="M84" s="611"/>
      <c r="N84" s="613"/>
      <c r="O84" s="611"/>
      <c r="P84" s="612"/>
      <c r="Q84" s="609"/>
      <c r="R84" s="611"/>
      <c r="S84" s="613"/>
      <c r="T84" s="504"/>
      <c r="U84" s="504"/>
      <c r="V84" s="504"/>
      <c r="W84" s="504"/>
      <c r="X84" s="504"/>
      <c r="Y84" s="504"/>
      <c r="Z84" s="504"/>
      <c r="AA84" s="504"/>
      <c r="AB84" s="50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</row>
    <row r="85" spans="1:40" ht="22.5" customHeight="1" thickBot="1">
      <c r="A85" s="517" t="s">
        <v>279</v>
      </c>
      <c r="B85" s="504" t="s">
        <v>0</v>
      </c>
      <c r="C85" s="614" t="s">
        <v>72</v>
      </c>
      <c r="D85" s="615"/>
      <c r="E85" s="616"/>
      <c r="F85" s="617">
        <f>F27-F74+F83</f>
        <v>100170.95458014568</v>
      </c>
      <c r="G85" s="618"/>
      <c r="H85" s="616"/>
      <c r="I85" s="617"/>
      <c r="J85" s="618"/>
      <c r="K85" s="615"/>
      <c r="L85" s="617">
        <f>L27-L74+L83</f>
        <v>47315.769999999946</v>
      </c>
      <c r="M85" s="618"/>
      <c r="N85" s="617">
        <f>N27-N41-N54-N72+N83</f>
        <v>-52855.184580145709</v>
      </c>
      <c r="O85" s="618"/>
      <c r="P85" s="615"/>
      <c r="Q85" s="617">
        <f>Q27-Q74+Q83</f>
        <v>133994.11799999981</v>
      </c>
      <c r="R85" s="618"/>
      <c r="S85" s="617">
        <f>S27-S41-S54-S72+S83</f>
        <v>-86678.347999999853</v>
      </c>
      <c r="T85" s="504"/>
      <c r="U85" s="504"/>
      <c r="V85" s="504"/>
      <c r="W85" s="504"/>
      <c r="X85" s="504"/>
      <c r="Y85" s="504"/>
      <c r="Z85" s="504"/>
      <c r="AA85" s="504"/>
      <c r="AB85" s="50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</row>
    <row r="86" spans="1:40" ht="15.75" customHeight="1" thickTop="1">
      <c r="B86" s="619"/>
      <c r="C86" s="619"/>
      <c r="D86" s="619"/>
      <c r="E86" s="619"/>
      <c r="F86" s="619"/>
      <c r="G86" s="619"/>
      <c r="H86" s="619"/>
      <c r="I86" s="619"/>
      <c r="J86" s="620"/>
      <c r="K86" s="619"/>
      <c r="L86" s="621"/>
      <c r="M86" s="619"/>
      <c r="N86" s="619"/>
      <c r="O86" s="619"/>
      <c r="P86" s="619"/>
      <c r="Q86" s="619"/>
      <c r="R86" s="619"/>
      <c r="S86" s="619"/>
      <c r="T86" s="619"/>
      <c r="U86" s="619"/>
      <c r="V86" s="619"/>
      <c r="W86" s="619"/>
      <c r="X86" s="619"/>
      <c r="Y86" s="619"/>
      <c r="Z86" s="619"/>
      <c r="AA86" s="619"/>
      <c r="AB86" s="619"/>
      <c r="AC86" s="619"/>
      <c r="AD86" s="619"/>
      <c r="AE86" s="619"/>
      <c r="AF86" s="619"/>
      <c r="AG86" s="619"/>
      <c r="AH86" s="619"/>
      <c r="AI86" s="619"/>
      <c r="AJ86" s="619"/>
      <c r="AK86" s="619"/>
      <c r="AL86" s="619"/>
      <c r="AM86" s="619"/>
      <c r="AN86" s="619"/>
    </row>
    <row r="87" spans="1:40" ht="12.75" customHeight="1">
      <c r="B87" s="619"/>
      <c r="C87" s="619"/>
      <c r="D87" s="619"/>
      <c r="E87" s="619"/>
      <c r="F87" s="619"/>
      <c r="G87" s="619"/>
      <c r="H87" s="619"/>
      <c r="I87" s="621"/>
      <c r="J87" s="619"/>
      <c r="K87" s="619"/>
      <c r="L87" s="619"/>
      <c r="M87" s="619"/>
      <c r="N87" s="619"/>
      <c r="O87" s="619"/>
      <c r="P87" s="619"/>
      <c r="Q87" s="619"/>
      <c r="R87" s="619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619"/>
      <c r="AD87" s="619"/>
      <c r="AE87" s="619"/>
      <c r="AF87" s="619"/>
      <c r="AG87" s="619"/>
      <c r="AH87" s="619"/>
      <c r="AI87" s="619"/>
      <c r="AJ87" s="619"/>
      <c r="AK87" s="619"/>
      <c r="AL87" s="619"/>
      <c r="AM87" s="619"/>
      <c r="AN87" s="619"/>
    </row>
    <row r="88" spans="1:40" ht="15.75" hidden="1" customHeight="1">
      <c r="B88" s="498"/>
      <c r="C88" s="501"/>
      <c r="D88" s="501"/>
      <c r="E88" s="501"/>
      <c r="F88" s="501"/>
      <c r="G88" s="501"/>
      <c r="H88" s="501"/>
      <c r="I88" s="501"/>
      <c r="J88" s="501"/>
      <c r="K88" s="501"/>
      <c r="L88" s="501"/>
      <c r="M88" s="501"/>
      <c r="N88" s="501"/>
      <c r="O88" s="501"/>
      <c r="P88" s="501"/>
      <c r="Q88" s="501"/>
      <c r="R88" s="501"/>
      <c r="S88" s="501"/>
      <c r="T88" s="501"/>
      <c r="U88" s="501"/>
    </row>
    <row r="89" spans="1:40" ht="33" customHeight="1">
      <c r="B89" s="490"/>
      <c r="C89" s="622" t="str">
        <f>C1</f>
        <v>Volks</v>
      </c>
      <c r="D89" s="492"/>
      <c r="E89" s="492"/>
      <c r="F89" s="492"/>
      <c r="G89" s="492"/>
      <c r="H89" s="490"/>
      <c r="I89" s="490"/>
      <c r="J89" s="490"/>
      <c r="K89" s="494" t="s">
        <v>73</v>
      </c>
      <c r="L89" s="492"/>
      <c r="M89" s="492"/>
      <c r="N89" s="490"/>
      <c r="O89" s="490"/>
      <c r="P89" s="492"/>
      <c r="Q89" s="490"/>
      <c r="R89" s="492"/>
      <c r="S89" s="623" t="str">
        <f>$S$1</f>
        <v>Réalisé, Juillet 2023</v>
      </c>
      <c r="T89" s="490"/>
      <c r="U89" s="490"/>
      <c r="V89" s="490"/>
      <c r="W89" s="490"/>
      <c r="X89" s="490"/>
      <c r="Y89" s="490"/>
      <c r="Z89" s="490"/>
      <c r="AA89" s="490"/>
      <c r="AB89" s="490"/>
      <c r="AC89" s="490"/>
      <c r="AD89" s="490"/>
      <c r="AE89" s="490"/>
      <c r="AF89" s="490"/>
      <c r="AG89" s="490"/>
      <c r="AH89" s="490"/>
      <c r="AI89" s="490"/>
      <c r="AJ89" s="490"/>
      <c r="AK89" s="490"/>
      <c r="AL89" s="490"/>
      <c r="AM89" s="490"/>
      <c r="AN89" s="490"/>
    </row>
    <row r="90" spans="1:40" ht="15.75" customHeight="1" thickBot="1">
      <c r="B90" s="498"/>
      <c r="C90" s="499"/>
      <c r="D90" s="501"/>
      <c r="E90" s="501"/>
      <c r="F90" s="501"/>
      <c r="G90" s="501"/>
      <c r="H90" s="501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</row>
    <row r="91" spans="1:40" ht="15.75" customHeight="1" thickTop="1">
      <c r="B91" s="504"/>
      <c r="C91" s="505"/>
      <c r="D91" s="506" t="s">
        <v>5</v>
      </c>
      <c r="E91" s="507"/>
      <c r="F91" s="508"/>
      <c r="G91" s="509"/>
      <c r="H91" s="507"/>
      <c r="I91" s="508"/>
      <c r="J91" s="509" t="s">
        <v>7</v>
      </c>
      <c r="K91" s="507"/>
      <c r="L91" s="508"/>
      <c r="M91" s="509" t="s">
        <v>472</v>
      </c>
      <c r="N91" s="508"/>
      <c r="O91" s="506" t="s">
        <v>9</v>
      </c>
      <c r="P91" s="507"/>
      <c r="Q91" s="508"/>
      <c r="R91" s="509" t="s">
        <v>473</v>
      </c>
      <c r="S91" s="508"/>
      <c r="T91" s="504"/>
      <c r="U91" s="504"/>
      <c r="V91" s="504"/>
      <c r="W91" s="504"/>
      <c r="X91" s="504"/>
      <c r="Y91" s="504"/>
      <c r="Z91" s="504"/>
      <c r="AA91" s="504"/>
      <c r="AB91" s="50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</row>
    <row r="92" spans="1:40" ht="15.75" customHeight="1">
      <c r="B92" s="504"/>
      <c r="C92" s="525"/>
      <c r="D92" s="513" t="s">
        <v>474</v>
      </c>
      <c r="E92" s="514" t="s">
        <v>12</v>
      </c>
      <c r="F92" s="515" t="s">
        <v>13</v>
      </c>
      <c r="G92" s="516"/>
      <c r="H92" s="514"/>
      <c r="I92" s="515"/>
      <c r="J92" s="516" t="s">
        <v>474</v>
      </c>
      <c r="K92" s="514" t="s">
        <v>14</v>
      </c>
      <c r="L92" s="515" t="s">
        <v>13</v>
      </c>
      <c r="M92" s="516" t="s">
        <v>474</v>
      </c>
      <c r="N92" s="515" t="s">
        <v>13</v>
      </c>
      <c r="O92" s="514" t="s">
        <v>474</v>
      </c>
      <c r="P92" s="514" t="s">
        <v>14</v>
      </c>
      <c r="Q92" s="515" t="s">
        <v>13</v>
      </c>
      <c r="R92" s="516" t="s">
        <v>474</v>
      </c>
      <c r="S92" s="515" t="s">
        <v>13</v>
      </c>
      <c r="T92" s="504"/>
      <c r="U92" s="504"/>
      <c r="V92" s="504"/>
      <c r="W92" s="504"/>
      <c r="X92" s="504"/>
      <c r="Y92" s="504"/>
      <c r="Z92" s="504"/>
      <c r="AA92" s="504"/>
      <c r="AB92" s="50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</row>
    <row r="93" spans="1:40" ht="24" customHeight="1">
      <c r="A93" s="517" t="s">
        <v>280</v>
      </c>
      <c r="B93" s="504" t="s">
        <v>73</v>
      </c>
      <c r="C93" s="518" t="s">
        <v>15</v>
      </c>
      <c r="D93" s="522"/>
      <c r="E93" s="522"/>
      <c r="F93" s="520">
        <f t="array" ref="F93">+INDEX('[5]Budget original'!$A$2:$AO$500,MATCH($A93,'[5]Budget original'!$A$2:$A$500,0),MATCH(F$2,'[5]Budget original'!$A$2:$AO$2,0))</f>
        <v>1504224.6778947767</v>
      </c>
      <c r="G93" s="539"/>
      <c r="H93" s="522"/>
      <c r="I93" s="520"/>
      <c r="J93" s="518"/>
      <c r="K93" s="522"/>
      <c r="L93" s="520">
        <f>-SUMIFS([5]BV_Data_An_Cour!$O:$O,[5]BV_Data_An_Cour!$X:$X,"Oui",[5]BV_Data_An_Cour!$U:$U,$B93)</f>
        <v>1727866.7499999998</v>
      </c>
      <c r="M93" s="624"/>
      <c r="N93" s="625"/>
      <c r="O93" s="518"/>
      <c r="P93" s="522"/>
      <c r="Q93" s="520">
        <f>-SUMIFS([5]BV_Data_An_Prec!$O:$O,[5]BV_Data_An_Prec!$X:$X,"Oui",[5]BV_Data_An_Prec!$U:$U,$B93)</f>
        <v>1722927.0000000002</v>
      </c>
      <c r="R93" s="624"/>
      <c r="S93" s="625"/>
      <c r="T93" s="504"/>
      <c r="U93" s="504"/>
      <c r="V93" s="504"/>
      <c r="W93" s="504"/>
      <c r="X93" s="504"/>
      <c r="Y93" s="504"/>
      <c r="Z93" s="504"/>
      <c r="AA93" s="504"/>
      <c r="AB93" s="50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</row>
    <row r="94" spans="1:40" ht="21.75" customHeight="1">
      <c r="A94" s="517" t="s">
        <v>281</v>
      </c>
      <c r="B94" s="504" t="s">
        <v>73</v>
      </c>
      <c r="C94" s="525" t="s">
        <v>75</v>
      </c>
      <c r="D94" s="526">
        <f t="array" ref="D94">+INDEX('[5]Budget original'!$A$2:$AO$500,MATCH($A94,'[5]Budget original'!$A$2:$A$500,0),MATCH(D$2,'[5]Budget original'!$A$2:$AO$2,0))</f>
        <v>36</v>
      </c>
      <c r="E94" s="526">
        <f t="shared" ref="E94:E97" si="24">IF(D94=0,0,F94/D94)</f>
        <v>1858</v>
      </c>
      <c r="F94" s="526">
        <f t="array" ref="F94">+INDEX('[5]Budget original'!$A$2:$AO$500,MATCH($A94,'[5]Budget original'!$A$2:$A$500,0),MATCH(F$2,'[5]Budget original'!$A$2:$AO$2,0))</f>
        <v>66888</v>
      </c>
      <c r="G94" s="527"/>
      <c r="H94" s="526"/>
      <c r="I94" s="526"/>
      <c r="J94" s="527">
        <f>-SUMIFS([5]BV_Data_An_Cour!$O:$O,[5]BV_Data_An_Cour!$U:$U,$B94,[5]BV_Data_An_Cour!$V:$V,$C94,[5]BV_Data_An_Cour!$W:$W,J$2)</f>
        <v>32</v>
      </c>
      <c r="K94" s="526">
        <f t="shared" ref="K94:K95" si="25">IF(J94=0,0,L94/J94)</f>
        <v>1803.6106250000021</v>
      </c>
      <c r="L94" s="528">
        <f>-SUMIFS([5]BV_Data_An_Cour!$O:$O,[5]BV_Data_An_Cour!$U:$U,$B94,[5]BV_Data_An_Cour!$V:$V,$C94,[5]BV_Data_An_Cour!$W:$W,$L2)</f>
        <v>57715.540000000066</v>
      </c>
      <c r="M94" s="527">
        <f>J94-D94</f>
        <v>-4</v>
      </c>
      <c r="N94" s="528">
        <f>L94-F94</f>
        <v>-9172.4599999999336</v>
      </c>
      <c r="O94" s="527">
        <f>-SUMIFS([5]BV_Data_An_Prec!$O:$O,[5]BV_Data_An_Prec!$U:$U,$B94,[5]BV_Data_An_Prec!$V:$V,$C94,[5]BV_Data_An_Prec!$W:$W,O$2)</f>
        <v>39</v>
      </c>
      <c r="P94" s="526">
        <f t="shared" ref="P94:P95" si="26">IF(O94=0,0,Q94/O94)</f>
        <v>1866.1264102564119</v>
      </c>
      <c r="Q94" s="528">
        <f>-SUMIFS([5]BV_Data_An_Prec!$O:$O,[5]BV_Data_An_Prec!$U:$U,$B94,[5]BV_Data_An_Prec!$V:$V,$C94,[5]BV_Data_An_Prec!$W:$W,$L2)</f>
        <v>72778.930000000066</v>
      </c>
      <c r="R94" s="527">
        <f t="shared" ref="R94:R95" si="27">J94-O94</f>
        <v>-7</v>
      </c>
      <c r="S94" s="528">
        <f t="shared" ref="S94:S95" si="28">L94-Q94</f>
        <v>-15063.39</v>
      </c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</row>
    <row r="95" spans="1:40" ht="18.75" customHeight="1">
      <c r="A95" s="517" t="s">
        <v>282</v>
      </c>
      <c r="B95" s="504" t="s">
        <v>73</v>
      </c>
      <c r="C95" s="525" t="s">
        <v>76</v>
      </c>
      <c r="D95" s="526">
        <f t="array" ref="D95">+INDEX('[5]Budget original'!$A$2:$AO$500,MATCH($A95,'[5]Budget original'!$A$2:$A$500,0),MATCH(D$2,'[5]Budget original'!$A$2:$AO$2,0))</f>
        <v>0</v>
      </c>
      <c r="E95" s="522">
        <f t="shared" si="24"/>
        <v>0</v>
      </c>
      <c r="F95" s="526">
        <f t="array" ref="F95">+INDEX('[5]Budget original'!$A$2:$AO$500,MATCH($A95,'[5]Budget original'!$A$2:$A$500,0),MATCH(F$2,'[5]Budget original'!$A$2:$AO$2,0))</f>
        <v>0</v>
      </c>
      <c r="G95" s="527"/>
      <c r="H95" s="526"/>
      <c r="I95" s="526"/>
      <c r="J95" s="527">
        <f>-SUMIFS([5]BV_Data_An_Cour!$O:$O,[5]BV_Data_An_Cour!$U:$U,$B95,[5]BV_Data_An_Cour!$V:$V,$C95,[5]BV_Data_An_Cour!$W:$W,J$2)</f>
        <v>4</v>
      </c>
      <c r="K95" s="526">
        <f t="shared" si="25"/>
        <v>1549.3474999999985</v>
      </c>
      <c r="L95" s="528">
        <f>-SUMIFS([5]BV_Data_An_Cour!$O:$O,[5]BV_Data_An_Cour!$U:$U,$B95,[5]BV_Data_An_Cour!$V:$V,$C95,[5]BV_Data_An_Cour!$W:$W,$L2)</f>
        <v>6197.389999999994</v>
      </c>
      <c r="M95" s="527">
        <f>J95-D95</f>
        <v>4</v>
      </c>
      <c r="N95" s="528">
        <f>L95-F95</f>
        <v>6197.389999999994</v>
      </c>
      <c r="O95" s="527">
        <f>-SUMIFS([5]BV_Data_An_Prec!$O:$O,[5]BV_Data_An_Prec!$U:$U,$B95,[5]BV_Data_An_Prec!$V:$V,$C95,[5]BV_Data_An_Prec!$W:$W,O$2)</f>
        <v>0</v>
      </c>
      <c r="P95" s="526">
        <f t="shared" si="26"/>
        <v>0</v>
      </c>
      <c r="Q95" s="528">
        <f>-SUMIFS([5]BV_Data_An_Prec!$O:$O,[5]BV_Data_An_Prec!$U:$U,$B95,[5]BV_Data_An_Prec!$V:$V,$C95,[5]BV_Data_An_Prec!$W:$W,$L2)</f>
        <v>0</v>
      </c>
      <c r="R95" s="527">
        <f t="shared" si="27"/>
        <v>4</v>
      </c>
      <c r="S95" s="528">
        <f t="shared" si="28"/>
        <v>6197.389999999994</v>
      </c>
      <c r="T95" s="504"/>
      <c r="U95" s="504"/>
      <c r="V95" s="626"/>
      <c r="W95" s="504"/>
      <c r="X95" s="504"/>
      <c r="Y95" s="504"/>
      <c r="Z95" s="504"/>
      <c r="AA95" s="504"/>
      <c r="AB95" s="50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</row>
    <row r="96" spans="1:40" ht="15.75" customHeight="1">
      <c r="A96" s="517" t="s">
        <v>283</v>
      </c>
      <c r="B96" s="504" t="s">
        <v>73</v>
      </c>
      <c r="C96" s="531" t="s">
        <v>77</v>
      </c>
      <c r="D96" s="532">
        <f>+D95+D94</f>
        <v>36</v>
      </c>
      <c r="E96" s="526">
        <f t="shared" si="24"/>
        <v>1858</v>
      </c>
      <c r="F96" s="533">
        <f>+F94+F95</f>
        <v>66888</v>
      </c>
      <c r="G96" s="534"/>
      <c r="H96" s="532"/>
      <c r="I96" s="533"/>
      <c r="J96" s="534">
        <f t="shared" ref="J96" si="29">+J94+J95</f>
        <v>36</v>
      </c>
      <c r="K96" s="532">
        <f>IF(J96&lt;=0,0,L96/J96)</f>
        <v>1775.3591666666682</v>
      </c>
      <c r="L96" s="533">
        <f>+L94+L95</f>
        <v>63912.930000000058</v>
      </c>
      <c r="M96" s="534">
        <f>J96-D96</f>
        <v>0</v>
      </c>
      <c r="N96" s="533">
        <f>L96-F96</f>
        <v>-2975.0699999999415</v>
      </c>
      <c r="O96" s="534">
        <f>+O94+O95</f>
        <v>39</v>
      </c>
      <c r="P96" s="532">
        <f>IF(O96&lt;=0,0,Q96/O96)</f>
        <v>1866.1264102564119</v>
      </c>
      <c r="Q96" s="533">
        <f>+Q94+Q95</f>
        <v>72778.930000000066</v>
      </c>
      <c r="R96" s="534">
        <f t="shared" ref="R96:S96" si="30">R94+R95</f>
        <v>-3</v>
      </c>
      <c r="S96" s="533">
        <f t="shared" si="30"/>
        <v>-8866.0000000000055</v>
      </c>
      <c r="T96" s="504"/>
      <c r="U96" s="504"/>
      <c r="V96" s="504"/>
      <c r="W96" s="504"/>
      <c r="X96" s="504"/>
      <c r="Y96" s="504"/>
      <c r="Z96" s="504"/>
      <c r="AA96" s="504"/>
      <c r="AB96" s="504"/>
      <c r="AC96" s="569"/>
      <c r="AD96" s="504"/>
      <c r="AE96" s="504"/>
      <c r="AF96" s="569"/>
      <c r="AG96" s="504"/>
      <c r="AH96" s="504"/>
      <c r="AI96" s="504"/>
      <c r="AJ96" s="504"/>
      <c r="AK96" s="504"/>
      <c r="AL96" s="504"/>
      <c r="AM96" s="504"/>
      <c r="AN96" s="504"/>
    </row>
    <row r="97" spans="1:40" ht="15.75" customHeight="1">
      <c r="A97" s="517" t="s">
        <v>73</v>
      </c>
      <c r="B97" s="504" t="s">
        <v>73</v>
      </c>
      <c r="C97" s="525"/>
      <c r="D97" s="504"/>
      <c r="E97" s="526">
        <f t="shared" si="24"/>
        <v>0</v>
      </c>
      <c r="F97" s="535"/>
      <c r="G97" s="525"/>
      <c r="H97" s="504"/>
      <c r="I97" s="535"/>
      <c r="J97" s="525"/>
      <c r="K97" s="504"/>
      <c r="L97" s="535"/>
      <c r="M97" s="627">
        <f>M96/D96</f>
        <v>0</v>
      </c>
      <c r="N97" s="628">
        <f>N96/F96</f>
        <v>-4.4478381772514376E-2</v>
      </c>
      <c r="O97" s="525"/>
      <c r="P97" s="504"/>
      <c r="Q97" s="535"/>
      <c r="R97" s="627">
        <f>R96/O96</f>
        <v>-7.6923076923076927E-2</v>
      </c>
      <c r="S97" s="628">
        <f>IF(Q96=0,0,(S96/Q96))</f>
        <v>-0.12182097208628923</v>
      </c>
      <c r="T97" s="504"/>
      <c r="U97" s="504"/>
      <c r="V97" s="504"/>
      <c r="W97" s="504"/>
      <c r="X97" s="504"/>
      <c r="Y97" s="504"/>
      <c r="Z97" s="504"/>
      <c r="AA97" s="504"/>
      <c r="AB97" s="50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</row>
    <row r="98" spans="1:40" ht="15.75" customHeight="1">
      <c r="A98" s="517" t="s">
        <v>284</v>
      </c>
      <c r="B98" s="504" t="s">
        <v>73</v>
      </c>
      <c r="C98" s="525" t="s">
        <v>194</v>
      </c>
      <c r="D98" s="526"/>
      <c r="E98" s="526"/>
      <c r="F98" s="526"/>
      <c r="G98" s="527"/>
      <c r="H98" s="526"/>
      <c r="I98" s="526"/>
      <c r="J98" s="527"/>
      <c r="K98" s="526"/>
      <c r="L98" s="528"/>
      <c r="M98" s="527"/>
      <c r="N98" s="528"/>
      <c r="O98" s="527"/>
      <c r="P98" s="526"/>
      <c r="Q98" s="528"/>
      <c r="R98" s="527"/>
      <c r="S98" s="528"/>
      <c r="T98" s="504"/>
      <c r="U98" s="504"/>
      <c r="V98" s="504"/>
      <c r="W98" s="526"/>
      <c r="X98" s="526"/>
      <c r="Y98" s="504"/>
      <c r="Z98" s="504"/>
      <c r="AA98" s="504"/>
      <c r="AB98" s="50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</row>
    <row r="99" spans="1:40" ht="15.75" customHeight="1">
      <c r="A99" s="517" t="s">
        <v>285</v>
      </c>
      <c r="B99" s="504" t="s">
        <v>73</v>
      </c>
      <c r="C99" s="525" t="s">
        <v>78</v>
      </c>
      <c r="D99" s="526">
        <f t="array" ref="D99">+INDEX('[5]Budget original'!$A$2:$AO$500,MATCH($A99,'[5]Budget original'!$A$2:$A$500,0),MATCH(D$2,'[5]Budget original'!$A$2:$AO$2,0))</f>
        <v>30.46153846153846</v>
      </c>
      <c r="E99" s="526">
        <f>IF(D99=0,0,F99/D99)</f>
        <v>399</v>
      </c>
      <c r="F99" s="526">
        <f t="array" ref="F99">+INDEX('[5]Budget original'!$A$2:$AO$500,MATCH($A99,'[5]Budget original'!$A$2:$A$500,0),MATCH(F$2,'[5]Budget original'!$A$2:$AO$2,0))</f>
        <v>12154.153846153846</v>
      </c>
      <c r="G99" s="527"/>
      <c r="H99" s="526"/>
      <c r="I99" s="526"/>
      <c r="J99" s="527">
        <f>-SUMIFS([5]BV_Data_An_Cour!$O:$O,[5]BV_Data_An_Cour!$U:$U,$B99,[5]BV_Data_An_Cour!$V:$V,$C99,[5]BV_Data_An_Cour!$W:$W,J$2)</f>
        <v>28</v>
      </c>
      <c r="K99" s="526">
        <f>IF(J99=0,0,L99/J99)</f>
        <v>616.26178571428841</v>
      </c>
      <c r="L99" s="528">
        <f>-SUMIFS([5]BV_Data_An_Cour!$O:$O,[5]BV_Data_An_Cour!$U:$U,$B99,[5]BV_Data_An_Cour!$V:$V,$C99,[5]BV_Data_An_Cour!$W:$W,L$2)</f>
        <v>17255.330000000075</v>
      </c>
      <c r="M99" s="527">
        <f>J99-D99</f>
        <v>-2.4615384615384599</v>
      </c>
      <c r="N99" s="528">
        <f>L99-F99</f>
        <v>5101.1761538462288</v>
      </c>
      <c r="O99" s="527">
        <f>-SUMIFS([5]BV_Data_An_Prec!$O:$O,[5]BV_Data_An_Prec!$U:$U,$B99,[5]BV_Data_An_Prec!$V:$V,$C99,[5]BV_Data_An_Prec!$W:$W,O$2)</f>
        <v>39</v>
      </c>
      <c r="P99" s="526">
        <f>IF(O99=0,0,Q99/O99)</f>
        <v>417.18230769230735</v>
      </c>
      <c r="Q99" s="528">
        <f>-SUMIFS([5]BV_Data_An_Prec!$O:$O,[5]BV_Data_An_Prec!$U:$U,$B99,[5]BV_Data_An_Prec!$V:$V,$C99,[5]BV_Data_An_Prec!$W:$W,Q$2)</f>
        <v>16270.109999999986</v>
      </c>
      <c r="R99" s="527">
        <f>J99-O99</f>
        <v>-11</v>
      </c>
      <c r="S99" s="528">
        <f>L99-Q99</f>
        <v>985.22000000008848</v>
      </c>
      <c r="T99" s="504"/>
      <c r="U99" s="504"/>
      <c r="V99" s="504"/>
      <c r="W99" s="504"/>
      <c r="X99" s="504"/>
      <c r="Y99" s="504"/>
      <c r="Z99" s="504"/>
      <c r="AA99" s="504"/>
      <c r="AB99" s="504"/>
      <c r="AC99" s="569"/>
      <c r="AD99" s="504"/>
      <c r="AE99" s="504"/>
      <c r="AF99" s="629"/>
      <c r="AG99" s="504"/>
      <c r="AH99" s="504"/>
      <c r="AI99" s="504"/>
      <c r="AJ99" s="504"/>
      <c r="AK99" s="504"/>
      <c r="AL99" s="504"/>
      <c r="AM99" s="504"/>
      <c r="AN99" s="504"/>
    </row>
    <row r="100" spans="1:40" ht="15.75" customHeight="1">
      <c r="A100" s="517" t="s">
        <v>73</v>
      </c>
      <c r="B100" s="504" t="s">
        <v>73</v>
      </c>
      <c r="C100" s="518"/>
      <c r="D100" s="522"/>
      <c r="E100" s="522"/>
      <c r="F100" s="520"/>
      <c r="G100" s="539"/>
      <c r="H100" s="522"/>
      <c r="I100" s="520"/>
      <c r="J100" s="539"/>
      <c r="K100" s="522"/>
      <c r="L100" s="520"/>
      <c r="M100" s="540"/>
      <c r="N100" s="630"/>
      <c r="O100" s="539"/>
      <c r="P100" s="522"/>
      <c r="Q100" s="520"/>
      <c r="R100" s="540"/>
      <c r="S100" s="630"/>
      <c r="T100" s="504"/>
      <c r="U100" s="504"/>
      <c r="V100" s="504"/>
      <c r="W100" s="504"/>
      <c r="X100" s="504"/>
      <c r="Y100" s="504"/>
      <c r="Z100" s="504"/>
      <c r="AA100" s="504"/>
      <c r="AB100" s="504"/>
      <c r="AC100" s="504"/>
      <c r="AD100" s="504"/>
      <c r="AE100" s="504"/>
      <c r="AF100" s="629"/>
      <c r="AG100" s="504"/>
      <c r="AH100" s="504"/>
      <c r="AI100" s="504"/>
      <c r="AJ100" s="504"/>
      <c r="AK100" s="504"/>
      <c r="AL100" s="504"/>
      <c r="AM100" s="504"/>
      <c r="AN100" s="504"/>
    </row>
    <row r="101" spans="1:40" ht="15.75" customHeight="1">
      <c r="A101" s="517" t="s">
        <v>286</v>
      </c>
      <c r="B101" s="504" t="s">
        <v>73</v>
      </c>
      <c r="C101" s="525" t="s">
        <v>25</v>
      </c>
      <c r="D101" s="526">
        <f t="array" ref="D101">+INDEX('[5]Budget original'!$A$2:$AO$500,MATCH($A101,'[5]Budget original'!$A$2:$A$500,0),MATCH(D$2,'[5]Budget original'!$A$2:$AO$2,0))</f>
        <v>0</v>
      </c>
      <c r="E101" s="526">
        <f t="shared" ref="E101:E104" si="31">IF(D101=0,0,F101/D101)</f>
        <v>0</v>
      </c>
      <c r="F101" s="528">
        <f t="array" ref="F101">+INDEX('[5]Budget original'!$A$2:$AO$500,MATCH($A101,'[5]Budget original'!$A$2:$A$500,0),MATCH(F$2,'[5]Budget original'!$A$2:$AO$2,0))</f>
        <v>18000</v>
      </c>
      <c r="G101" s="527"/>
      <c r="H101" s="526"/>
      <c r="I101" s="526"/>
      <c r="J101" s="527"/>
      <c r="K101" s="526">
        <f>IF(J96=0,0,L101/J96)</f>
        <v>517.39305555555563</v>
      </c>
      <c r="L101" s="528">
        <f>-SUMIFS([5]BV_Data_An_Cour!$O:$O,[5]BV_Data_An_Cour!$U:$U,$B101,[5]BV_Data_An_Cour!$V:$V,$C101,[5]BV_Data_An_Cour!$W:$W,$L2)</f>
        <v>18626.150000000001</v>
      </c>
      <c r="M101" s="527"/>
      <c r="N101" s="528">
        <f>L101-F101</f>
        <v>626.15000000000146</v>
      </c>
      <c r="O101" s="527"/>
      <c r="P101" s="526">
        <f>IF(O96=0,0,Q101/O96)</f>
        <v>567.12358974358972</v>
      </c>
      <c r="Q101" s="528">
        <f>-SUMIFS([5]BV_Data_An_Prec!$O:$O,[5]BV_Data_An_Prec!$U:$U,$B101,[5]BV_Data_An_Prec!$V:$V,$C101,[5]BV_Data_An_Prec!$W:$W,$L2)</f>
        <v>22117.82</v>
      </c>
      <c r="R101" s="527">
        <f t="shared" ref="R101:R103" si="32">O101-K101</f>
        <v>-517.39305555555563</v>
      </c>
      <c r="S101" s="528">
        <f t="shared" ref="S101:S104" si="33">L101-Q101</f>
        <v>-3491.6699999999983</v>
      </c>
      <c r="T101" s="504"/>
      <c r="U101" s="504"/>
      <c r="V101" s="504"/>
      <c r="W101" s="504"/>
      <c r="X101" s="504"/>
      <c r="Y101" s="504"/>
      <c r="Z101" s="504"/>
      <c r="AA101" s="504"/>
      <c r="AB101" s="50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</row>
    <row r="102" spans="1:40" ht="15.75" customHeight="1">
      <c r="A102" s="517" t="s">
        <v>287</v>
      </c>
      <c r="B102" s="504" t="s">
        <v>73</v>
      </c>
      <c r="C102" s="525" t="s">
        <v>26</v>
      </c>
      <c r="D102" s="526">
        <f t="array" ref="D102">+INDEX('[5]Budget original'!$A$2:$AO$500,MATCH($A102,'[5]Budget original'!$A$2:$A$500,0),MATCH(D$2,'[5]Budget original'!$A$2:$AO$2,0))</f>
        <v>0</v>
      </c>
      <c r="E102" s="526">
        <f t="shared" si="31"/>
        <v>0</v>
      </c>
      <c r="F102" s="528">
        <f t="array" ref="F102">+INDEX('[5]Budget original'!$A$2:$AO$500,MATCH($A102,'[5]Budget original'!$A$2:$A$500,0),MATCH(F$2,'[5]Budget original'!$A$2:$AO$2,0))</f>
        <v>45000</v>
      </c>
      <c r="G102" s="527"/>
      <c r="H102" s="526"/>
      <c r="I102" s="526"/>
      <c r="J102" s="527"/>
      <c r="K102" s="526">
        <f>IF(J96=0,0,L102/J96)</f>
        <v>997.11055555555549</v>
      </c>
      <c r="L102" s="528">
        <f>-SUMIFS([5]BV_Data_An_Cour!$O:$O,[5]BV_Data_An_Cour!$U:$U,$B102,[5]BV_Data_An_Cour!$V:$V,$C102,[5]BV_Data_An_Cour!$W:$W,$L2)</f>
        <v>35895.979999999996</v>
      </c>
      <c r="M102" s="527"/>
      <c r="N102" s="528">
        <f>L102-F102</f>
        <v>-9104.0200000000041</v>
      </c>
      <c r="O102" s="527"/>
      <c r="P102" s="526">
        <f>IF(O96=0,0,Q102/O96)</f>
        <v>1053.2948717948718</v>
      </c>
      <c r="Q102" s="528">
        <f>-SUMIFS([5]BV_Data_An_Prec!$O:$O,[5]BV_Data_An_Prec!$U:$U,$B102,[5]BV_Data_An_Prec!$V:$V,$C102,[5]BV_Data_An_Prec!$W:$W,$L2)</f>
        <v>41078.5</v>
      </c>
      <c r="R102" s="527">
        <f t="shared" si="32"/>
        <v>-997.11055555555549</v>
      </c>
      <c r="S102" s="528">
        <f t="shared" si="33"/>
        <v>-5182.5200000000041</v>
      </c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</row>
    <row r="103" spans="1:40" ht="15.75" customHeight="1">
      <c r="A103" s="517" t="s">
        <v>288</v>
      </c>
      <c r="B103" s="504" t="s">
        <v>73</v>
      </c>
      <c r="C103" s="525" t="s">
        <v>27</v>
      </c>
      <c r="D103" s="526">
        <f t="array" ref="D103">+INDEX('[5]Budget original'!$A$2:$AO$500,MATCH($A103,'[5]Budget original'!$A$2:$A$500,0),MATCH(D$2,'[5]Budget original'!$A$2:$AO$2,0))</f>
        <v>0</v>
      </c>
      <c r="E103" s="522">
        <f t="shared" si="31"/>
        <v>0</v>
      </c>
      <c r="F103" s="528">
        <f t="array" ref="F103">+INDEX('[5]Budget original'!$A$2:$AO$500,MATCH($A103,'[5]Budget original'!$A$2:$A$500,0),MATCH(F$2,'[5]Budget original'!$A$2:$AO$2,0))</f>
        <v>12600</v>
      </c>
      <c r="G103" s="527"/>
      <c r="H103" s="522"/>
      <c r="I103" s="526"/>
      <c r="J103" s="527"/>
      <c r="K103" s="522">
        <f>IF(J96=0,0,L103/J96)</f>
        <v>25.253888888888888</v>
      </c>
      <c r="L103" s="528">
        <f>-SUMIFS([5]BV_Data_An_Cour!$O:$O,[5]BV_Data_An_Cour!$U:$U,$B103,[5]BV_Data_An_Cour!$V:$V,$C103,[5]BV_Data_An_Cour!$W:$W,$L$2)</f>
        <v>909.14</v>
      </c>
      <c r="M103" s="539"/>
      <c r="N103" s="528">
        <f>L103-F103</f>
        <v>-11690.86</v>
      </c>
      <c r="O103" s="527"/>
      <c r="P103" s="522">
        <f>IF(O96=0,0,Q103/O96)</f>
        <v>41.861538461538458</v>
      </c>
      <c r="Q103" s="528">
        <f>-SUMIFS([5]BV_Data_An_Prec!$O:$O,[5]BV_Data_An_Prec!$U:$U,$B103,[5]BV_Data_An_Prec!$V:$V,$C103,[5]BV_Data_An_Prec!$W:$W,$L$2)</f>
        <v>1632.6</v>
      </c>
      <c r="R103" s="527">
        <f t="shared" si="32"/>
        <v>-25.253888888888888</v>
      </c>
      <c r="S103" s="528">
        <f t="shared" si="33"/>
        <v>-723.45999999999992</v>
      </c>
      <c r="T103" s="504"/>
      <c r="U103" s="504"/>
      <c r="V103" s="504"/>
      <c r="W103" s="504"/>
      <c r="X103" s="504"/>
      <c r="Y103" s="504"/>
      <c r="Z103" s="504"/>
      <c r="AA103" s="504"/>
      <c r="AB103" s="50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</row>
    <row r="104" spans="1:40" ht="15.75" customHeight="1">
      <c r="A104" s="517" t="s">
        <v>289</v>
      </c>
      <c r="B104" s="504" t="s">
        <v>73</v>
      </c>
      <c r="C104" s="531" t="s">
        <v>28</v>
      </c>
      <c r="D104" s="532">
        <f>D96</f>
        <v>36</v>
      </c>
      <c r="E104" s="526">
        <f t="shared" si="31"/>
        <v>2100</v>
      </c>
      <c r="F104" s="533">
        <f>F101+F102+F103</f>
        <v>75600</v>
      </c>
      <c r="G104" s="534"/>
      <c r="H104" s="532"/>
      <c r="I104" s="533"/>
      <c r="J104" s="534">
        <f>J96</f>
        <v>36</v>
      </c>
      <c r="K104" s="532">
        <f>IF(J104&lt;=0,0,L104/J104)</f>
        <v>1539.7574999999999</v>
      </c>
      <c r="L104" s="533">
        <f>L101+L102+L103</f>
        <v>55431.27</v>
      </c>
      <c r="M104" s="527">
        <f>J104-D104</f>
        <v>0</v>
      </c>
      <c r="N104" s="533">
        <f>L104-F104</f>
        <v>-20168.730000000003</v>
      </c>
      <c r="O104" s="534">
        <f>O96</f>
        <v>39</v>
      </c>
      <c r="P104" s="532">
        <f>IF(O104&lt;=0,0,Q104/O104)</f>
        <v>1662.28</v>
      </c>
      <c r="Q104" s="533">
        <f>Q101+Q102+Q103</f>
        <v>64828.92</v>
      </c>
      <c r="R104" s="548"/>
      <c r="S104" s="533">
        <f t="shared" si="33"/>
        <v>-9397.6500000000015</v>
      </c>
      <c r="T104" s="504"/>
      <c r="U104" s="504"/>
      <c r="V104" s="504"/>
      <c r="W104" s="504"/>
      <c r="X104" s="504"/>
      <c r="Y104" s="504"/>
      <c r="Z104" s="504"/>
      <c r="AA104" s="504"/>
      <c r="AB104" s="50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</row>
    <row r="105" spans="1:40" ht="15.75" customHeight="1">
      <c r="A105" s="517" t="s">
        <v>73</v>
      </c>
      <c r="B105" s="504" t="s">
        <v>73</v>
      </c>
      <c r="C105" s="525"/>
      <c r="D105" s="504"/>
      <c r="E105" s="504"/>
      <c r="F105" s="551"/>
      <c r="G105" s="525"/>
      <c r="H105" s="631"/>
      <c r="I105" s="551"/>
      <c r="J105" s="525"/>
      <c r="K105" s="504"/>
      <c r="L105" s="551"/>
      <c r="M105" s="542"/>
      <c r="N105" s="543">
        <f>N104/F104</f>
        <v>-0.26678214285714291</v>
      </c>
      <c r="O105" s="525"/>
      <c r="P105" s="504"/>
      <c r="Q105" s="551"/>
      <c r="R105" s="552"/>
      <c r="S105" s="543">
        <f>IF(Q104=0,0,(S104/Q104))</f>
        <v>-0.1449607675093153</v>
      </c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</row>
    <row r="106" spans="1:40" ht="15.75" customHeight="1" thickBot="1">
      <c r="A106" s="517" t="s">
        <v>73</v>
      </c>
      <c r="B106" s="504" t="s">
        <v>73</v>
      </c>
      <c r="C106" s="525"/>
      <c r="D106" s="504"/>
      <c r="E106" s="504"/>
      <c r="F106" s="551"/>
      <c r="G106" s="525"/>
      <c r="H106" s="631"/>
      <c r="I106" s="551"/>
      <c r="J106" s="525"/>
      <c r="K106" s="504"/>
      <c r="L106" s="551"/>
      <c r="M106" s="542"/>
      <c r="N106" s="543"/>
      <c r="O106" s="525"/>
      <c r="P106" s="504"/>
      <c r="Q106" s="551"/>
      <c r="R106" s="552"/>
      <c r="S106" s="543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</row>
    <row r="107" spans="1:40" ht="23.25" customHeight="1" thickTop="1">
      <c r="A107" s="517" t="s">
        <v>290</v>
      </c>
      <c r="B107" s="504" t="s">
        <v>73</v>
      </c>
      <c r="C107" s="553" t="s">
        <v>79</v>
      </c>
      <c r="D107" s="554">
        <f>D96+D99</f>
        <v>66.461538461538453</v>
      </c>
      <c r="E107" s="555">
        <f>IF(D107&lt;=0,0,F107/D107)</f>
        <v>2326.791666666667</v>
      </c>
      <c r="F107" s="556">
        <f>F96+F104+F99</f>
        <v>154642.15384615384</v>
      </c>
      <c r="G107" s="557"/>
      <c r="H107" s="632"/>
      <c r="I107" s="556"/>
      <c r="J107" s="557">
        <f>J96+J99</f>
        <v>64</v>
      </c>
      <c r="K107" s="555">
        <f>IF(J107&lt;=0,0,L107/J107)</f>
        <v>2134.3676562500023</v>
      </c>
      <c r="L107" s="556">
        <f>L96+L104+L99</f>
        <v>136599.53000000014</v>
      </c>
      <c r="M107" s="557">
        <f>J107-D107</f>
        <v>-2.4615384615384528</v>
      </c>
      <c r="N107" s="556">
        <f>L107-F107</f>
        <v>-18042.6238461537</v>
      </c>
      <c r="O107" s="557">
        <f>O96+O99</f>
        <v>78</v>
      </c>
      <c r="P107" s="555">
        <f>IF(O107&lt;=0,0,Q107/O107)</f>
        <v>1972.7943589743595</v>
      </c>
      <c r="Q107" s="556">
        <f>Q96+Q104+Q99</f>
        <v>153877.96000000005</v>
      </c>
      <c r="R107" s="557">
        <f>J107-O107</f>
        <v>-14</v>
      </c>
      <c r="S107" s="556">
        <f>L107-Q107</f>
        <v>-17278.429999999906</v>
      </c>
      <c r="T107" s="504"/>
      <c r="U107" s="504"/>
      <c r="V107" s="504"/>
      <c r="W107" s="504"/>
      <c r="X107" s="504"/>
      <c r="Y107" s="504"/>
      <c r="Z107" s="504"/>
      <c r="AA107" s="504"/>
      <c r="AB107" s="50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</row>
    <row r="108" spans="1:40" ht="19.5" customHeight="1" thickBot="1">
      <c r="A108" s="517" t="s">
        <v>73</v>
      </c>
      <c r="B108" s="504" t="s">
        <v>73</v>
      </c>
      <c r="C108" s="558"/>
      <c r="D108" s="559"/>
      <c r="E108" s="559"/>
      <c r="F108" s="560"/>
      <c r="G108" s="558"/>
      <c r="H108" s="559"/>
      <c r="I108" s="560"/>
      <c r="J108" s="558"/>
      <c r="K108" s="559"/>
      <c r="L108" s="561">
        <f>L107/F107</f>
        <v>0.88332661310380189</v>
      </c>
      <c r="M108" s="562">
        <f>M107/D107</f>
        <v>-3.703703703703691E-2</v>
      </c>
      <c r="N108" s="563">
        <f>N107/F107</f>
        <v>-0.11667338689619812</v>
      </c>
      <c r="O108" s="558"/>
      <c r="P108" s="559"/>
      <c r="Q108" s="560"/>
      <c r="R108" s="633">
        <f>O107/R107</f>
        <v>-5.5714285714285712</v>
      </c>
      <c r="S108" s="634">
        <f>IF(Q107=0,0,(S107/Q107))</f>
        <v>-0.11228658087226982</v>
      </c>
      <c r="T108" s="504"/>
      <c r="U108" s="504"/>
      <c r="V108" s="504"/>
      <c r="W108" s="504"/>
      <c r="X108" s="504"/>
      <c r="Y108" s="504"/>
      <c r="Z108" s="504"/>
      <c r="AA108" s="504"/>
      <c r="AB108" s="50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</row>
    <row r="109" spans="1:40" ht="15.75" customHeight="1" thickTop="1">
      <c r="A109" s="517" t="s">
        <v>73</v>
      </c>
      <c r="B109" s="504" t="s">
        <v>73</v>
      </c>
      <c r="C109" s="544"/>
      <c r="D109" s="564"/>
      <c r="E109" s="564"/>
      <c r="F109" s="565"/>
      <c r="G109" s="544"/>
      <c r="H109" s="564"/>
      <c r="I109" s="565"/>
      <c r="J109" s="544"/>
      <c r="K109" s="564"/>
      <c r="L109" s="565"/>
      <c r="M109" s="542"/>
      <c r="N109" s="543"/>
      <c r="O109" s="544"/>
      <c r="P109" s="564"/>
      <c r="Q109" s="565"/>
      <c r="R109" s="542"/>
      <c r="S109" s="543"/>
      <c r="T109" s="504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</row>
    <row r="110" spans="1:40" ht="15.75" customHeight="1">
      <c r="A110" s="517" t="s">
        <v>291</v>
      </c>
      <c r="B110" s="504" t="s">
        <v>73</v>
      </c>
      <c r="C110" s="566" t="s">
        <v>30</v>
      </c>
      <c r="D110" s="504"/>
      <c r="E110" s="567"/>
      <c r="F110" s="551"/>
      <c r="G110" s="525"/>
      <c r="H110" s="567"/>
      <c r="I110" s="551"/>
      <c r="J110" s="525"/>
      <c r="K110" s="567"/>
      <c r="L110" s="535"/>
      <c r="M110" s="525"/>
      <c r="N110" s="535"/>
      <c r="O110" s="525"/>
      <c r="P110" s="567"/>
      <c r="Q110" s="535"/>
      <c r="R110" s="525"/>
      <c r="S110" s="535"/>
      <c r="T110" s="504"/>
      <c r="U110" s="504"/>
      <c r="V110" s="504"/>
      <c r="W110" s="504"/>
      <c r="X110" s="504"/>
      <c r="Y110" s="504"/>
      <c r="Z110" s="504"/>
      <c r="AA110" s="504"/>
      <c r="AB110" s="50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</row>
    <row r="111" spans="1:40" ht="15.75" customHeight="1">
      <c r="A111" s="517" t="s">
        <v>292</v>
      </c>
      <c r="B111" s="504" t="s">
        <v>73</v>
      </c>
      <c r="C111" s="525" t="s">
        <v>31</v>
      </c>
      <c r="D111" s="635">
        <f>F111/F96</f>
        <v>0.32182155244587968</v>
      </c>
      <c r="E111" s="569">
        <f t="shared" ref="E111:E120" si="34">F111/D$96</f>
        <v>597.94444444444446</v>
      </c>
      <c r="F111" s="526">
        <f t="array" ref="F111">+INDEX('[5]Budget original'!$A$2:$AO$500,MATCH($A111,'[5]Budget original'!$A$2:$A$500,0),MATCH(F$2,'[5]Budget original'!$A$2:$AO$2,0))</f>
        <v>21526</v>
      </c>
      <c r="G111" s="570"/>
      <c r="H111" s="569"/>
      <c r="I111" s="526"/>
      <c r="J111" s="570">
        <f>L111/L96</f>
        <v>0.53527729052634532</v>
      </c>
      <c r="K111" s="569">
        <f t="shared" ref="K111:K120" si="35">IF($J$96=0,0,L111/(J$94+J$95))</f>
        <v>950.30944444444447</v>
      </c>
      <c r="L111" s="528">
        <f>SUMIFS([5]BV_Data_An_Cour!$O:$O,[5]BV_Data_An_Cour!$U:$U,$B111,[5]BV_Data_An_Cour!$V:$V,$C111,[5]BV_Data_An_Cour!$W:$W,$L$2)</f>
        <v>34211.14</v>
      </c>
      <c r="M111" s="525"/>
      <c r="N111" s="551">
        <f t="shared" ref="N111:N152" si="36">L111-F111</f>
        <v>12685.14</v>
      </c>
      <c r="O111" s="525"/>
      <c r="P111" s="569">
        <f t="shared" ref="P111:P120" si="37">IF($J$96=0,0,Q111/(O$94+O$95))</f>
        <v>748.14435897435897</v>
      </c>
      <c r="Q111" s="528">
        <f>SUMIFS([5]BV_Data_An_Prec!$O:$O,[5]BV_Data_An_Prec!$U:$U,$B111,[5]BV_Data_An_Prec!$V:$V,$C111,[5]BV_Data_An_Prec!$W:$W,$L$2)</f>
        <v>29177.63</v>
      </c>
      <c r="R111" s="525"/>
      <c r="S111" s="551">
        <f t="shared" ref="S111:S152" si="38">L111-Q111</f>
        <v>5033.5099999999984</v>
      </c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</row>
    <row r="112" spans="1:40" ht="15.75" customHeight="1">
      <c r="A112" s="517" t="s">
        <v>293</v>
      </c>
      <c r="B112" s="504" t="s">
        <v>73</v>
      </c>
      <c r="C112" s="518" t="s">
        <v>32</v>
      </c>
      <c r="D112" s="636">
        <f>F112/(F104+F19)</f>
        <v>0.26619718309859153</v>
      </c>
      <c r="E112" s="572">
        <f t="shared" si="34"/>
        <v>630</v>
      </c>
      <c r="F112" s="520">
        <f t="array" ref="F112">+INDEX('[5]Budget original'!$A$2:$AO$500,MATCH($A112,'[5]Budget original'!$A$2:$A$500,0),MATCH(F$2,'[5]Budget original'!$A$2:$AO$2,0))</f>
        <v>22680</v>
      </c>
      <c r="G112" s="573"/>
      <c r="H112" s="572"/>
      <c r="I112" s="520"/>
      <c r="J112" s="573">
        <f>L112/(L104+L19)</f>
        <v>0.23980895464331742</v>
      </c>
      <c r="K112" s="572">
        <f t="shared" si="35"/>
        <v>435.66805555555555</v>
      </c>
      <c r="L112" s="528">
        <f>SUMIFS([5]BV_Data_An_Cour!$O:$O,[5]BV_Data_An_Cour!$U:$U,$B112,[5]BV_Data_An_Cour!$V:$V,$C112,[5]BV_Data_An_Cour!$W:$W,$L$2)</f>
        <v>15684.05</v>
      </c>
      <c r="M112" s="518"/>
      <c r="N112" s="574">
        <f t="shared" si="36"/>
        <v>-6995.9500000000007</v>
      </c>
      <c r="O112" s="518"/>
      <c r="P112" s="572">
        <f t="shared" si="37"/>
        <v>435.93333333333339</v>
      </c>
      <c r="Q112" s="528">
        <f>SUMIFS([5]BV_Data_An_Prec!$O:$O,[5]BV_Data_An_Prec!$U:$U,$B112,[5]BV_Data_An_Prec!$V:$V,$C112,[5]BV_Data_An_Prec!$W:$W,$L$2)</f>
        <v>17001.400000000001</v>
      </c>
      <c r="R112" s="518"/>
      <c r="S112" s="574">
        <f t="shared" si="38"/>
        <v>-1317.3500000000022</v>
      </c>
      <c r="T112" s="504"/>
      <c r="U112" s="504"/>
      <c r="V112" s="504"/>
      <c r="W112" s="504"/>
      <c r="X112" s="504"/>
      <c r="Y112" s="504"/>
      <c r="Z112" s="504"/>
      <c r="AA112" s="504"/>
      <c r="AB112" s="50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</row>
    <row r="113" spans="1:40" ht="15.75" customHeight="1">
      <c r="A113" s="517" t="s">
        <v>294</v>
      </c>
      <c r="B113" s="504" t="s">
        <v>73</v>
      </c>
      <c r="C113" s="525" t="s">
        <v>33</v>
      </c>
      <c r="D113" s="577"/>
      <c r="E113" s="569">
        <f t="shared" si="34"/>
        <v>43.638219139208324</v>
      </c>
      <c r="F113" s="526">
        <f t="array" ref="F113">+INDEX('[5]Budget original'!$A$2:$AO$500,MATCH($A113,'[5]Budget original'!$A$2:$A$500,0),MATCH(F$2,'[5]Budget original'!$A$2:$AO$2,0))</f>
        <v>1570.9758890114997</v>
      </c>
      <c r="G113" s="578"/>
      <c r="H113" s="569"/>
      <c r="I113" s="526"/>
      <c r="J113" s="525"/>
      <c r="K113" s="569">
        <f t="shared" si="35"/>
        <v>-47.69638888888889</v>
      </c>
      <c r="L113" s="547">
        <f>SUMIFS([5]BV_Data_An_Cour!$O:$O,[5]BV_Data_An_Cour!$U:$U,$B113,[5]BV_Data_An_Cour!$V:$V,$C113,[5]BV_Data_An_Cour!$W:$W,$L$2)</f>
        <v>-1717.07</v>
      </c>
      <c r="M113" s="525"/>
      <c r="N113" s="551">
        <f t="shared" si="36"/>
        <v>-3288.0458890114996</v>
      </c>
      <c r="O113" s="525"/>
      <c r="P113" s="569">
        <f t="shared" si="37"/>
        <v>34.773589743589746</v>
      </c>
      <c r="Q113" s="547">
        <f>SUMIFS([5]BV_Data_An_Prec!$O:$O,[5]BV_Data_An_Prec!$U:$U,$B113,[5]BV_Data_An_Prec!$V:$V,$C113,[5]BV_Data_An_Prec!$W:$W,$L$2)</f>
        <v>1356.17</v>
      </c>
      <c r="R113" s="525"/>
      <c r="S113" s="551">
        <f t="shared" si="38"/>
        <v>-3073.24</v>
      </c>
      <c r="T113" s="504"/>
      <c r="U113" s="504"/>
      <c r="V113" s="504"/>
      <c r="W113" s="526"/>
      <c r="X113" s="504"/>
      <c r="Y113" s="504"/>
      <c r="Z113" s="504"/>
      <c r="AA113" s="504"/>
      <c r="AB113" s="50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</row>
    <row r="114" spans="1:40" ht="15.75" customHeight="1">
      <c r="A114" s="517" t="s">
        <v>295</v>
      </c>
      <c r="B114" s="504" t="s">
        <v>73</v>
      </c>
      <c r="C114" s="525" t="s">
        <v>34</v>
      </c>
      <c r="D114" s="577"/>
      <c r="E114" s="569">
        <f t="shared" si="34"/>
        <v>15.731566240051016</v>
      </c>
      <c r="F114" s="526">
        <f t="array" ref="F114">+INDEX('[5]Budget original'!$A$2:$AO$500,MATCH($A114,'[5]Budget original'!$A$2:$A$500,0),MATCH(F$2,'[5]Budget original'!$A$2:$AO$2,0))</f>
        <v>566.33638464183662</v>
      </c>
      <c r="G114" s="578"/>
      <c r="H114" s="569"/>
      <c r="I114" s="526"/>
      <c r="J114" s="525"/>
      <c r="K114" s="569">
        <f t="shared" si="35"/>
        <v>17.229722222222222</v>
      </c>
      <c r="L114" s="528">
        <f>SUMIFS([5]BV_Data_An_Cour!$O:$O,[5]BV_Data_An_Cour!$U:$U,$B114,[5]BV_Data_An_Cour!$V:$V,$C114,[5]BV_Data_An_Cour!$W:$W,$L$2)</f>
        <v>620.27</v>
      </c>
      <c r="M114" s="525"/>
      <c r="N114" s="551">
        <f t="shared" si="36"/>
        <v>53.933615358163365</v>
      </c>
      <c r="O114" s="525"/>
      <c r="P114" s="569">
        <f t="shared" si="37"/>
        <v>0</v>
      </c>
      <c r="Q114" s="528">
        <f>SUMIFS([5]BV_Data_An_Prec!$O:$O,[5]BV_Data_An_Prec!$U:$U,$B114,[5]BV_Data_An_Prec!$V:$V,$C114,[5]BV_Data_An_Prec!$W:$W,$L$2)</f>
        <v>0</v>
      </c>
      <c r="R114" s="525"/>
      <c r="S114" s="551">
        <f t="shared" si="38"/>
        <v>620.27</v>
      </c>
      <c r="T114" s="504"/>
      <c r="U114" s="504"/>
      <c r="V114" s="504"/>
      <c r="W114" s="526"/>
      <c r="X114" s="504"/>
      <c r="Y114" s="504"/>
      <c r="Z114" s="504"/>
      <c r="AA114" s="504"/>
      <c r="AB114" s="50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</row>
    <row r="115" spans="1:40" ht="15.75" customHeight="1">
      <c r="A115" s="517" t="s">
        <v>296</v>
      </c>
      <c r="B115" s="504" t="s">
        <v>73</v>
      </c>
      <c r="C115" s="518" t="s">
        <v>35</v>
      </c>
      <c r="D115" s="579"/>
      <c r="E115" s="572">
        <f t="shared" si="34"/>
        <v>125.42456696334297</v>
      </c>
      <c r="F115" s="520">
        <f t="array" ref="F115">+INDEX('[5]Budget original'!$A$2:$AO$500,MATCH($A115,'[5]Budget original'!$A$2:$A$500,0),MATCH(F$2,'[5]Budget original'!$A$2:$AO$2,0))</f>
        <v>4515.2844106803468</v>
      </c>
      <c r="G115" s="580"/>
      <c r="H115" s="572"/>
      <c r="I115" s="520"/>
      <c r="J115" s="518"/>
      <c r="K115" s="572">
        <f t="shared" si="35"/>
        <v>118.6263888888889</v>
      </c>
      <c r="L115" s="520">
        <f>SUMIFS([5]BV_Data_An_Cour!$O:$O,[5]BV_Data_An_Cour!$U:$U,$B115,[5]BV_Data_An_Cour!$V:$V,$C115,[5]BV_Data_An_Cour!$W:$W,$L$2)</f>
        <v>4270.55</v>
      </c>
      <c r="M115" s="518"/>
      <c r="N115" s="574">
        <f t="shared" si="36"/>
        <v>-244.73441068034663</v>
      </c>
      <c r="O115" s="518"/>
      <c r="P115" s="572">
        <f t="shared" si="37"/>
        <v>121.49615384615386</v>
      </c>
      <c r="Q115" s="520">
        <f>SUMIFS([5]BV_Data_An_Prec!$O:$O,[5]BV_Data_An_Prec!$U:$U,$B115,[5]BV_Data_An_Prec!$V:$V,$C115,[5]BV_Data_An_Prec!$W:$W,$L$2)</f>
        <v>4738.3500000000004</v>
      </c>
      <c r="R115" s="518"/>
      <c r="S115" s="574">
        <f t="shared" si="38"/>
        <v>-467.80000000000018</v>
      </c>
      <c r="T115" s="504"/>
      <c r="U115" s="569"/>
      <c r="V115" s="504"/>
      <c r="W115" s="526"/>
      <c r="X115" s="504"/>
      <c r="Y115" s="504"/>
      <c r="Z115" s="504"/>
      <c r="AA115" s="504"/>
      <c r="AB115" s="50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</row>
    <row r="116" spans="1:40" ht="19.5" customHeight="1">
      <c r="A116" s="517" t="s">
        <v>297</v>
      </c>
      <c r="B116" s="504" t="s">
        <v>73</v>
      </c>
      <c r="C116" s="525" t="s">
        <v>36</v>
      </c>
      <c r="D116" s="577"/>
      <c r="E116" s="569">
        <f t="shared" si="34"/>
        <v>69.006410256410234</v>
      </c>
      <c r="F116" s="526">
        <f t="array" ref="F116">+INDEX('[5]Budget original'!$A$2:$AO$500,MATCH($A116,'[5]Budget original'!$A$2:$A$500,0),MATCH(F$2,'[5]Budget original'!$A$2:$AO$2,0))</f>
        <v>2484.2307692307686</v>
      </c>
      <c r="G116" s="578"/>
      <c r="H116" s="569"/>
      <c r="I116" s="526"/>
      <c r="J116" s="525"/>
      <c r="K116" s="569">
        <f t="shared" si="35"/>
        <v>356.96111111111111</v>
      </c>
      <c r="L116" s="528">
        <f>SUMIFS([5]BV_Data_An_Cour!$O:$O,[5]BV_Data_An_Cour!$U:$U,$B116,[5]BV_Data_An_Cour!$V:$V,$C116,[5]BV_Data_An_Cour!$W:$W,$L$2)</f>
        <v>12850.6</v>
      </c>
      <c r="M116" s="525"/>
      <c r="N116" s="551">
        <f t="shared" si="36"/>
        <v>10366.369230769233</v>
      </c>
      <c r="O116" s="525"/>
      <c r="P116" s="569">
        <f t="shared" si="37"/>
        <v>159.16846153846154</v>
      </c>
      <c r="Q116" s="528">
        <f>SUMIFS([5]BV_Data_An_Prec!$O:$O,[5]BV_Data_An_Prec!$U:$U,$B116,[5]BV_Data_An_Prec!$V:$V,$C116,[5]BV_Data_An_Prec!$W:$W,$L$2)</f>
        <v>6207.57</v>
      </c>
      <c r="R116" s="525"/>
      <c r="S116" s="551">
        <f t="shared" si="38"/>
        <v>6643.0300000000007</v>
      </c>
      <c r="T116" s="504"/>
      <c r="U116" s="504"/>
      <c r="V116" s="504"/>
      <c r="W116" s="526"/>
      <c r="Z116" s="504"/>
      <c r="AA116" s="504"/>
      <c r="AB116" s="50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</row>
    <row r="117" spans="1:40" ht="15.75" customHeight="1">
      <c r="A117" s="517" t="s">
        <v>298</v>
      </c>
      <c r="B117" s="504" t="s">
        <v>73</v>
      </c>
      <c r="C117" s="525" t="s">
        <v>37</v>
      </c>
      <c r="D117" s="577"/>
      <c r="E117" s="569">
        <f t="shared" si="34"/>
        <v>187.14308371385081</v>
      </c>
      <c r="F117" s="526">
        <f t="array" ref="F117">+INDEX('[5]Budget original'!$A$2:$AO$500,MATCH($A117,'[5]Budget original'!$A$2:$A$500,0),MATCH(F$2,'[5]Budget original'!$A$2:$AO$2,0))</f>
        <v>6737.151013698629</v>
      </c>
      <c r="G117" s="578"/>
      <c r="H117" s="569"/>
      <c r="I117" s="526"/>
      <c r="J117" s="525"/>
      <c r="K117" s="569">
        <f t="shared" si="35"/>
        <v>64.885000000000005</v>
      </c>
      <c r="L117" s="528">
        <f>SUMIFS([5]BV_Data_An_Cour!$O:$O,[5]BV_Data_An_Cour!$U:$U,$B117,[5]BV_Data_An_Cour!$V:$V,$C117,[5]BV_Data_An_Cour!$W:$W,$L$2)</f>
        <v>2335.86</v>
      </c>
      <c r="M117" s="525"/>
      <c r="N117" s="551">
        <f t="shared" si="36"/>
        <v>-4401.2910136986284</v>
      </c>
      <c r="O117" s="525"/>
      <c r="P117" s="569">
        <f t="shared" si="37"/>
        <v>125.46153846153847</v>
      </c>
      <c r="Q117" s="528">
        <f>SUMIFS([5]BV_Data_An_Prec!$O:$O,[5]BV_Data_An_Prec!$U:$U,$B117,[5]BV_Data_An_Prec!$V:$V,$C117,[5]BV_Data_An_Prec!$W:$W,$L$2)</f>
        <v>4893</v>
      </c>
      <c r="R117" s="525"/>
      <c r="S117" s="551">
        <f t="shared" si="38"/>
        <v>-2557.14</v>
      </c>
      <c r="T117" s="504"/>
      <c r="U117" s="504"/>
      <c r="V117" s="504"/>
      <c r="W117" s="526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</row>
    <row r="118" spans="1:40" ht="15.75" hidden="1" customHeight="1">
      <c r="A118" s="517" t="s">
        <v>299</v>
      </c>
      <c r="B118" s="504" t="s">
        <v>73</v>
      </c>
      <c r="C118" s="525" t="s">
        <v>20</v>
      </c>
      <c r="D118" s="577"/>
      <c r="E118" s="569">
        <f t="shared" si="34"/>
        <v>0</v>
      </c>
      <c r="F118" s="526">
        <f t="array" ref="F118">+INDEX('[5]Budget original'!$A$2:$AO$500,MATCH($A118,'[5]Budget original'!$A$2:$A$500,0),MATCH(F$2,'[5]Budget original'!$A$2:$AO$2,0))</f>
        <v>0</v>
      </c>
      <c r="G118" s="578"/>
      <c r="H118" s="569"/>
      <c r="I118" s="526"/>
      <c r="J118" s="525"/>
      <c r="K118" s="569">
        <f t="shared" si="35"/>
        <v>0</v>
      </c>
      <c r="L118" s="528">
        <f>SUMIFS([5]BV_Data_An_Cour!$O:$O,[5]BV_Data_An_Cour!$U:$U,$B118,[5]BV_Data_An_Cour!$V:$V,$C118,[5]BV_Data_An_Cour!$W:$W,$L$2)</f>
        <v>0</v>
      </c>
      <c r="M118" s="525"/>
      <c r="N118" s="551">
        <f t="shared" si="36"/>
        <v>0</v>
      </c>
      <c r="O118" s="525"/>
      <c r="P118" s="569">
        <f t="shared" si="37"/>
        <v>0</v>
      </c>
      <c r="Q118" s="528">
        <f>SUMIFS([5]BV_Data_An_Prec!$O:$O,[5]BV_Data_An_Prec!$U:$U,$B118,[5]BV_Data_An_Prec!$V:$V,$C118,[5]BV_Data_An_Prec!$W:$W,$L$2)</f>
        <v>0</v>
      </c>
      <c r="R118" s="525"/>
      <c r="S118" s="551">
        <f t="shared" si="38"/>
        <v>0</v>
      </c>
      <c r="T118" s="504"/>
      <c r="U118" s="504"/>
      <c r="V118" s="504"/>
      <c r="W118" s="504"/>
      <c r="X118" s="504"/>
      <c r="Y118" s="504"/>
      <c r="Z118" s="504"/>
      <c r="AA118" s="504"/>
      <c r="AB118" s="50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</row>
    <row r="119" spans="1:40" ht="15.75" hidden="1" customHeight="1">
      <c r="A119" s="517" t="s">
        <v>299</v>
      </c>
      <c r="B119" s="504" t="s">
        <v>73</v>
      </c>
      <c r="C119" s="525" t="s">
        <v>20</v>
      </c>
      <c r="D119" s="577"/>
      <c r="E119" s="569">
        <f t="shared" si="34"/>
        <v>0</v>
      </c>
      <c r="F119" s="526">
        <f t="array" ref="F119">+INDEX('[5]Budget original'!$A$2:$AO$500,MATCH($A119,'[5]Budget original'!$A$2:$A$500,0),MATCH(F$2,'[5]Budget original'!$A$2:$AO$2,0))</f>
        <v>0</v>
      </c>
      <c r="G119" s="578"/>
      <c r="H119" s="569"/>
      <c r="I119" s="526"/>
      <c r="J119" s="525"/>
      <c r="K119" s="569">
        <f t="shared" si="35"/>
        <v>0</v>
      </c>
      <c r="L119" s="528">
        <f>SUMIFS([5]BV_Data_An_Cour!$O:$O,[5]BV_Data_An_Cour!$U:$U,$B119,[5]BV_Data_An_Cour!$V:$V,$C119,[5]BV_Data_An_Cour!$W:$W,$L$2)</f>
        <v>0</v>
      </c>
      <c r="M119" s="525"/>
      <c r="N119" s="551">
        <f t="shared" si="36"/>
        <v>0</v>
      </c>
      <c r="O119" s="525"/>
      <c r="P119" s="569">
        <f t="shared" si="37"/>
        <v>0</v>
      </c>
      <c r="Q119" s="528">
        <f>SUMIFS([5]BV_Data_An_Prec!$O:$O,[5]BV_Data_An_Prec!$U:$U,$B119,[5]BV_Data_An_Prec!$V:$V,$C119,[5]BV_Data_An_Prec!$W:$W,$L$2)</f>
        <v>0</v>
      </c>
      <c r="R119" s="525"/>
      <c r="S119" s="551">
        <f t="shared" si="38"/>
        <v>0</v>
      </c>
      <c r="T119" s="504"/>
      <c r="U119" s="504"/>
      <c r="V119" s="504"/>
      <c r="W119" s="504"/>
      <c r="X119" s="504"/>
      <c r="Y119" s="504"/>
      <c r="Z119" s="504"/>
      <c r="AA119" s="504"/>
      <c r="AB119" s="50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</row>
    <row r="120" spans="1:40" ht="15.75" hidden="1" customHeight="1">
      <c r="A120" s="517" t="s">
        <v>299</v>
      </c>
      <c r="B120" s="504" t="s">
        <v>73</v>
      </c>
      <c r="C120" s="525" t="s">
        <v>20</v>
      </c>
      <c r="D120" s="577"/>
      <c r="E120" s="569">
        <f t="shared" si="34"/>
        <v>0</v>
      </c>
      <c r="F120" s="526">
        <f t="array" ref="F120">+INDEX('[5]Budget original'!$A$2:$AO$500,MATCH($A120,'[5]Budget original'!$A$2:$A$500,0),MATCH(F$2,'[5]Budget original'!$A$2:$AO$2,0))</f>
        <v>0</v>
      </c>
      <c r="G120" s="578"/>
      <c r="H120" s="569"/>
      <c r="I120" s="526"/>
      <c r="J120" s="525"/>
      <c r="K120" s="569">
        <f t="shared" si="35"/>
        <v>0</v>
      </c>
      <c r="L120" s="528">
        <f>SUMIFS([5]BV_Data_An_Cour!$O:$O,[5]BV_Data_An_Cour!$U:$U,$B120,[5]BV_Data_An_Cour!$V:$V,$C120,[5]BV_Data_An_Cour!$W:$W,$L$2)</f>
        <v>0</v>
      </c>
      <c r="M120" s="525"/>
      <c r="N120" s="551">
        <f t="shared" si="36"/>
        <v>0</v>
      </c>
      <c r="O120" s="525"/>
      <c r="P120" s="569">
        <f t="shared" si="37"/>
        <v>0</v>
      </c>
      <c r="Q120" s="528">
        <f>SUMIFS([5]BV_Data_An_Prec!$O:$O,[5]BV_Data_An_Prec!$U:$U,$B120,[5]BV_Data_An_Prec!$V:$V,$C120,[5]BV_Data_An_Prec!$W:$W,$L$2)</f>
        <v>0</v>
      </c>
      <c r="R120" s="525"/>
      <c r="S120" s="551">
        <f t="shared" si="38"/>
        <v>0</v>
      </c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</row>
    <row r="121" spans="1:40" ht="15.75" customHeight="1">
      <c r="A121" s="517" t="s">
        <v>300</v>
      </c>
      <c r="B121" s="504" t="s">
        <v>73</v>
      </c>
      <c r="C121" s="584" t="s">
        <v>38</v>
      </c>
      <c r="D121" s="585" t="s">
        <v>39</v>
      </c>
      <c r="E121" s="586">
        <f>F121/F$107</f>
        <v>0.38850971079356411</v>
      </c>
      <c r="F121" s="587">
        <f>SUM(F111:F120)</f>
        <v>60079.978467263078</v>
      </c>
      <c r="G121" s="588"/>
      <c r="H121" s="586"/>
      <c r="I121" s="587"/>
      <c r="J121" s="588" t="s">
        <v>39</v>
      </c>
      <c r="K121" s="586">
        <f>L121/L$107</f>
        <v>0.49967521850184943</v>
      </c>
      <c r="L121" s="587">
        <f>SUM(L111:L120)</f>
        <v>68255.400000000009</v>
      </c>
      <c r="M121" s="591"/>
      <c r="N121" s="587">
        <f t="shared" si="36"/>
        <v>8175.4215327369311</v>
      </c>
      <c r="O121" s="588" t="s">
        <v>39</v>
      </c>
      <c r="P121" s="586">
        <f>Q121/Q$107</f>
        <v>0.41184663482671574</v>
      </c>
      <c r="Q121" s="587">
        <f>SUM(Q111:Q120)</f>
        <v>63374.119999999995</v>
      </c>
      <c r="R121" s="591"/>
      <c r="S121" s="587">
        <f t="shared" si="38"/>
        <v>4881.2800000000134</v>
      </c>
      <c r="T121" s="504"/>
      <c r="U121" s="504"/>
      <c r="X121" s="504"/>
      <c r="Y121" s="504"/>
      <c r="Z121" s="504"/>
      <c r="AA121" s="504"/>
      <c r="AB121" s="50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</row>
    <row r="122" spans="1:40" ht="15.75" customHeight="1">
      <c r="A122" s="517" t="s">
        <v>301</v>
      </c>
      <c r="B122" s="504" t="s">
        <v>73</v>
      </c>
      <c r="C122" s="592" t="s">
        <v>41</v>
      </c>
      <c r="D122" s="504"/>
      <c r="E122" s="504"/>
      <c r="F122" s="526">
        <f t="array" ref="F122">+INDEX('[5]Budget original'!$A$2:$AO$500,MATCH($A122,'[5]Budget original'!$A$2:$A$500,0),MATCH(F$2,'[5]Budget original'!$A$2:$AO$2,0))</f>
        <v>10057.767432950193</v>
      </c>
      <c r="G122" s="525"/>
      <c r="H122" s="504"/>
      <c r="I122" s="526"/>
      <c r="J122" s="525"/>
      <c r="K122" s="504"/>
      <c r="L122" s="528">
        <f>SUMIFS([5]BV_Data_An_Cour!$O:$O,[5]BV_Data_An_Cour!$U:$U,$B122,[5]BV_Data_An_Cour!$V:$V,$C122,[5]BV_Data_An_Cour!$W:$W,$L$2)</f>
        <v>4280.84</v>
      </c>
      <c r="M122" s="525"/>
      <c r="N122" s="551">
        <f t="shared" si="36"/>
        <v>-5776.9274329501932</v>
      </c>
      <c r="O122" s="525"/>
      <c r="P122" s="504"/>
      <c r="Q122" s="528">
        <f>SUMIFS([5]BV_Data_An_Prec!$O:$O,[5]BV_Data_An_Prec!$U:$U,$B122,[5]BV_Data_An_Prec!$V:$V,$C122,[5]BV_Data_An_Prec!$W:$W,$L$2)</f>
        <v>9642.11</v>
      </c>
      <c r="R122" s="525"/>
      <c r="S122" s="551">
        <f t="shared" si="38"/>
        <v>-5361.27</v>
      </c>
      <c r="T122" s="504"/>
      <c r="U122" s="504"/>
      <c r="V122" s="504"/>
      <c r="W122" s="504"/>
      <c r="X122" s="504"/>
      <c r="Y122" s="504"/>
      <c r="Z122" s="504"/>
      <c r="AA122" s="504"/>
      <c r="AB122" s="50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</row>
    <row r="123" spans="1:40" ht="15.75" customHeight="1">
      <c r="A123" s="517" t="s">
        <v>302</v>
      </c>
      <c r="B123" s="504" t="s">
        <v>73</v>
      </c>
      <c r="C123" s="593" t="s">
        <v>42</v>
      </c>
      <c r="D123" s="577"/>
      <c r="E123" s="504"/>
      <c r="F123" s="520">
        <f t="array" ref="F123">+INDEX('[5]Budget original'!$A$2:$AO$500,MATCH($A123,'[5]Budget original'!$A$2:$A$500,0),MATCH(F$2,'[5]Budget original'!$A$2:$AO$2,0))</f>
        <v>2272.1416091954025</v>
      </c>
      <c r="G123" s="578"/>
      <c r="H123" s="504"/>
      <c r="I123" s="520"/>
      <c r="J123" s="525"/>
      <c r="K123" s="504"/>
      <c r="L123" s="520">
        <f>SUMIFS([5]BV_Data_An_Cour!$O:$O,[5]BV_Data_An_Cour!$U:$U,$B123,[5]BV_Data_An_Cour!$V:$V,$C123,[5]BV_Data_An_Cour!$W:$W,$L$2)</f>
        <v>3874.42</v>
      </c>
      <c r="M123" s="525"/>
      <c r="N123" s="551">
        <f t="shared" si="36"/>
        <v>1602.2783908045976</v>
      </c>
      <c r="O123" s="525"/>
      <c r="P123" s="504"/>
      <c r="Q123" s="520">
        <f>SUMIFS([5]BV_Data_An_Prec!$O:$O,[5]BV_Data_An_Prec!$U:$U,$B123,[5]BV_Data_An_Prec!$V:$V,$C123,[5]BV_Data_An_Prec!$W:$W,$L$2)</f>
        <v>1585.05</v>
      </c>
      <c r="R123" s="525"/>
      <c r="S123" s="551">
        <f t="shared" si="38"/>
        <v>2289.37</v>
      </c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</row>
    <row r="124" spans="1:40" ht="15.75" customHeight="1">
      <c r="A124" s="517" t="s">
        <v>303</v>
      </c>
      <c r="B124" s="504" t="s">
        <v>73</v>
      </c>
      <c r="C124" s="592" t="s">
        <v>43</v>
      </c>
      <c r="D124" s="594"/>
      <c r="E124" s="595"/>
      <c r="F124" s="526">
        <f t="array" ref="F124">+INDEX('[5]Budget original'!$A$2:$AO$500,MATCH($A124,'[5]Budget original'!$A$2:$A$500,0),MATCH(F$2,'[5]Budget original'!$A$2:$AO$2,0))</f>
        <v>7779.2674329501933</v>
      </c>
      <c r="G124" s="596"/>
      <c r="H124" s="595"/>
      <c r="I124" s="526"/>
      <c r="J124" s="512"/>
      <c r="K124" s="595"/>
      <c r="L124" s="528">
        <f>SUMIFS([5]BV_Data_An_Cour!$O:$O,[5]BV_Data_An_Cour!$U:$U,$B124,[5]BV_Data_An_Cour!$V:$V,$C124,[5]BV_Data_An_Cour!$W:$W,$L$2)</f>
        <v>13291.11</v>
      </c>
      <c r="M124" s="512"/>
      <c r="N124" s="597">
        <f t="shared" si="36"/>
        <v>5511.8425670498073</v>
      </c>
      <c r="O124" s="512"/>
      <c r="P124" s="595"/>
      <c r="Q124" s="528">
        <f>SUMIFS([5]BV_Data_An_Prec!$O:$O,[5]BV_Data_An_Prec!$U:$U,$B124,[5]BV_Data_An_Prec!$V:$V,$C124,[5]BV_Data_An_Prec!$W:$W,$L$2)</f>
        <v>7057.01</v>
      </c>
      <c r="R124" s="512"/>
      <c r="S124" s="597">
        <f t="shared" si="38"/>
        <v>6234.1</v>
      </c>
      <c r="T124" s="504"/>
      <c r="U124" s="504"/>
      <c r="V124" s="504"/>
      <c r="W124" s="504"/>
      <c r="X124" s="504"/>
      <c r="Y124" s="504"/>
      <c r="Z124" s="504"/>
      <c r="AA124" s="504"/>
      <c r="AB124" s="50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</row>
    <row r="125" spans="1:40" ht="15.75" customHeight="1">
      <c r="A125" s="517" t="s">
        <v>304</v>
      </c>
      <c r="B125" s="504" t="s">
        <v>73</v>
      </c>
      <c r="C125" s="592" t="s">
        <v>44</v>
      </c>
      <c r="D125" s="577"/>
      <c r="E125" s="504"/>
      <c r="F125" s="526">
        <f t="array" ref="F125">+INDEX('[5]Budget original'!$A$2:$AO$500,MATCH($A125,'[5]Budget original'!$A$2:$A$500,0),MATCH(F$2,'[5]Budget original'!$A$2:$AO$2,0))</f>
        <v>0</v>
      </c>
      <c r="G125" s="578"/>
      <c r="H125" s="504"/>
      <c r="I125" s="526"/>
      <c r="J125" s="525"/>
      <c r="K125" s="504"/>
      <c r="L125" s="528">
        <f>SUMIFS([5]BV_Data_An_Cour!$O:$O,[5]BV_Data_An_Cour!$U:$U,$B125,[5]BV_Data_An_Cour!$V:$V,$C125,[5]BV_Data_An_Cour!$W:$W,$L$2)</f>
        <v>0</v>
      </c>
      <c r="M125" s="525"/>
      <c r="N125" s="551">
        <f t="shared" si="36"/>
        <v>0</v>
      </c>
      <c r="O125" s="525"/>
      <c r="P125" s="504"/>
      <c r="Q125" s="528">
        <f>SUMIFS([5]BV_Data_An_Prec!$O:$O,[5]BV_Data_An_Prec!$U:$U,$B125,[5]BV_Data_An_Prec!$V:$V,$C125,[5]BV_Data_An_Prec!$W:$W,$L$2)</f>
        <v>0</v>
      </c>
      <c r="R125" s="525"/>
      <c r="S125" s="551">
        <f t="shared" si="38"/>
        <v>0</v>
      </c>
      <c r="T125" s="504"/>
      <c r="U125" s="504"/>
      <c r="V125" s="504"/>
      <c r="W125" s="504"/>
      <c r="X125" s="504"/>
      <c r="Y125" s="504"/>
      <c r="Z125" s="504"/>
      <c r="AA125" s="504"/>
      <c r="AB125" s="50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</row>
    <row r="126" spans="1:40" ht="15.75" hidden="1" customHeight="1">
      <c r="A126" s="517" t="s">
        <v>299</v>
      </c>
      <c r="B126" s="504" t="s">
        <v>73</v>
      </c>
      <c r="C126" s="592" t="s">
        <v>20</v>
      </c>
      <c r="D126" s="577"/>
      <c r="E126" s="504"/>
      <c r="F126" s="526">
        <f t="array" ref="F126">+INDEX('[5]Budget original'!$A$2:$AO$500,MATCH($A126,'[5]Budget original'!$A$2:$A$500,0),MATCH(F$2,'[5]Budget original'!$A$2:$AO$2,0))</f>
        <v>0</v>
      </c>
      <c r="G126" s="578"/>
      <c r="H126" s="504"/>
      <c r="I126" s="526"/>
      <c r="J126" s="525"/>
      <c r="K126" s="504"/>
      <c r="L126" s="528">
        <f>SUMIFS([5]BV_Data_An_Cour!$O:$O,[5]BV_Data_An_Cour!$U:$U,$B126,[5]BV_Data_An_Cour!$V:$V,$C126,[5]BV_Data_An_Cour!$W:$W,$L$2)</f>
        <v>0</v>
      </c>
      <c r="M126" s="525"/>
      <c r="N126" s="551">
        <f t="shared" si="36"/>
        <v>0</v>
      </c>
      <c r="O126" s="525"/>
      <c r="P126" s="504"/>
      <c r="Q126" s="528">
        <f>SUMIFS([5]BV_Data_An_Prec!$O:$O,[5]BV_Data_An_Prec!$U:$U,$B126,[5]BV_Data_An_Prec!$V:$V,$C126,[5]BV_Data_An_Prec!$W:$W,$L$2)</f>
        <v>0</v>
      </c>
      <c r="R126" s="525"/>
      <c r="S126" s="551">
        <f t="shared" si="38"/>
        <v>0</v>
      </c>
      <c r="T126" s="504"/>
      <c r="U126" s="504"/>
      <c r="V126" s="504"/>
      <c r="W126" s="504"/>
      <c r="X126" s="504"/>
      <c r="Y126" s="504"/>
      <c r="Z126" s="504"/>
      <c r="AA126" s="504"/>
      <c r="AB126" s="50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</row>
    <row r="127" spans="1:40" ht="15.75" hidden="1" customHeight="1">
      <c r="A127" s="517" t="s">
        <v>299</v>
      </c>
      <c r="B127" s="504" t="s">
        <v>73</v>
      </c>
      <c r="C127" s="592" t="s">
        <v>20</v>
      </c>
      <c r="D127" s="577"/>
      <c r="E127" s="504"/>
      <c r="F127" s="526">
        <f t="array" ref="F127">+INDEX('[5]Budget original'!$A$2:$AO$500,MATCH($A127,'[5]Budget original'!$A$2:$A$500,0),MATCH(F$2,'[5]Budget original'!$A$2:$AO$2,0))</f>
        <v>0</v>
      </c>
      <c r="G127" s="578"/>
      <c r="H127" s="504"/>
      <c r="I127" s="526"/>
      <c r="J127" s="525"/>
      <c r="K127" s="504"/>
      <c r="L127" s="528">
        <f>SUMIFS([5]BV_Data_An_Cour!$O:$O,[5]BV_Data_An_Cour!$U:$U,$B127,[5]BV_Data_An_Cour!$V:$V,$C127,[5]BV_Data_An_Cour!$W:$W,$L$2)</f>
        <v>0</v>
      </c>
      <c r="M127" s="525"/>
      <c r="N127" s="551">
        <f t="shared" si="36"/>
        <v>0</v>
      </c>
      <c r="O127" s="525"/>
      <c r="P127" s="504"/>
      <c r="Q127" s="528">
        <f>SUMIFS([5]BV_Data_An_Prec!$O:$O,[5]BV_Data_An_Prec!$U:$U,$B127,[5]BV_Data_An_Prec!$V:$V,$C127,[5]BV_Data_An_Prec!$W:$W,$L$2)</f>
        <v>0</v>
      </c>
      <c r="R127" s="525"/>
      <c r="S127" s="551">
        <f t="shared" si="38"/>
        <v>0</v>
      </c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</row>
    <row r="128" spans="1:40" ht="15.75" hidden="1" customHeight="1">
      <c r="A128" s="517" t="s">
        <v>299</v>
      </c>
      <c r="B128" s="504" t="s">
        <v>73</v>
      </c>
      <c r="C128" s="592" t="s">
        <v>20</v>
      </c>
      <c r="D128" s="577"/>
      <c r="E128" s="504"/>
      <c r="F128" s="526">
        <f t="array" ref="F128">+INDEX('[5]Budget original'!$A$2:$AO$500,MATCH($A128,'[5]Budget original'!$A$2:$A$500,0),MATCH(F$2,'[5]Budget original'!$A$2:$AO$2,0))</f>
        <v>0</v>
      </c>
      <c r="G128" s="578"/>
      <c r="H128" s="504"/>
      <c r="I128" s="526"/>
      <c r="J128" s="525"/>
      <c r="K128" s="504"/>
      <c r="L128" s="528">
        <f>SUMIFS([5]BV_Data_An_Cour!$O:$O,[5]BV_Data_An_Cour!$U:$U,$B128,[5]BV_Data_An_Cour!$V:$V,$C128,[5]BV_Data_An_Cour!$W:$W,$L$2)</f>
        <v>0</v>
      </c>
      <c r="M128" s="525"/>
      <c r="N128" s="551">
        <f t="shared" si="36"/>
        <v>0</v>
      </c>
      <c r="O128" s="525"/>
      <c r="P128" s="504"/>
      <c r="Q128" s="528">
        <f>SUMIFS([5]BV_Data_An_Prec!$O:$O,[5]BV_Data_An_Prec!$U:$U,$B128,[5]BV_Data_An_Prec!$V:$V,$C128,[5]BV_Data_An_Prec!$W:$W,$L$2)</f>
        <v>0</v>
      </c>
      <c r="R128" s="525"/>
      <c r="S128" s="551">
        <f t="shared" si="38"/>
        <v>0</v>
      </c>
      <c r="T128" s="504"/>
      <c r="U128" s="504"/>
      <c r="V128" s="504"/>
      <c r="W128" s="504"/>
      <c r="X128" s="504"/>
      <c r="Y128" s="504"/>
      <c r="Z128" s="504"/>
      <c r="AA128" s="504"/>
      <c r="AB128" s="50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</row>
    <row r="129" spans="1:40" ht="15.75" customHeight="1">
      <c r="A129" s="517" t="s">
        <v>305</v>
      </c>
      <c r="B129" s="504" t="s">
        <v>73</v>
      </c>
      <c r="C129" s="593" t="s">
        <v>45</v>
      </c>
      <c r="D129" s="577"/>
      <c r="E129" s="504"/>
      <c r="F129" s="526">
        <f t="array" ref="F129">+INDEX('[5]Budget original'!$A$2:$AO$500,MATCH($A129,'[5]Budget original'!$A$2:$A$500,0),MATCH(F$2,'[5]Budget original'!$A$2:$AO$2,0))</f>
        <v>7435.9520234679849</v>
      </c>
      <c r="G129" s="578"/>
      <c r="H129" s="504"/>
      <c r="I129" s="526"/>
      <c r="J129" s="525"/>
      <c r="K129" s="504"/>
      <c r="L129" s="528">
        <f>SUMIFS([5]BV_Data_An_Cour!$O:$O,[5]BV_Data_An_Cour!$U:$U,$B129,[5]BV_Data_An_Cour!$V:$V,$C129,[5]BV_Data_An_Cour!$W:$W,$L$2)</f>
        <v>3725.02</v>
      </c>
      <c r="M129" s="525"/>
      <c r="N129" s="551">
        <f t="shared" si="36"/>
        <v>-3710.9320234679849</v>
      </c>
      <c r="O129" s="525"/>
      <c r="P129" s="504"/>
      <c r="Q129" s="528">
        <f>SUMIFS([5]BV_Data_An_Prec!$O:$O,[5]BV_Data_An_Prec!$U:$U,$B129,[5]BV_Data_An_Prec!$V:$V,$C129,[5]BV_Data_An_Prec!$W:$W,$L$2)</f>
        <v>6326.55</v>
      </c>
      <c r="R129" s="525"/>
      <c r="S129" s="551">
        <f t="shared" si="38"/>
        <v>-2601.5300000000002</v>
      </c>
      <c r="T129" s="504"/>
      <c r="U129" s="504"/>
      <c r="V129" s="504"/>
      <c r="W129" s="504"/>
      <c r="X129" s="504"/>
      <c r="Y129" s="504"/>
      <c r="Z129" s="504"/>
      <c r="AA129" s="504"/>
      <c r="AB129" s="50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</row>
    <row r="130" spans="1:40" ht="15.75" customHeight="1">
      <c r="A130" s="517" t="s">
        <v>306</v>
      </c>
      <c r="B130" s="504" t="s">
        <v>73</v>
      </c>
      <c r="C130" s="592" t="s">
        <v>46</v>
      </c>
      <c r="D130" s="594"/>
      <c r="E130" s="595"/>
      <c r="F130" s="546">
        <f t="array" ref="F130">+INDEX('[5]Budget original'!$A$2:$AO$500,MATCH($A130,'[5]Budget original'!$A$2:$A$500,0),MATCH(F$2,'[5]Budget original'!$A$2:$AO$2,0))</f>
        <v>7392.0684350417505</v>
      </c>
      <c r="G130" s="596"/>
      <c r="H130" s="595"/>
      <c r="I130" s="546"/>
      <c r="J130" s="512"/>
      <c r="K130" s="595"/>
      <c r="L130" s="547">
        <f>SUMIFS([5]BV_Data_An_Cour!$O:$O,[5]BV_Data_An_Cour!$U:$U,$B130,[5]BV_Data_An_Cour!$V:$V,$C130,[5]BV_Data_An_Cour!$W:$W,$L$2)</f>
        <v>5997.26</v>
      </c>
      <c r="M130" s="512"/>
      <c r="N130" s="597">
        <f t="shared" si="36"/>
        <v>-1394.8084350417503</v>
      </c>
      <c r="O130" s="512"/>
      <c r="P130" s="595"/>
      <c r="Q130" s="547">
        <f>SUMIFS([5]BV_Data_An_Prec!$O:$O,[5]BV_Data_An_Prec!$U:$U,$B130,[5]BV_Data_An_Prec!$V:$V,$C130,[5]BV_Data_An_Prec!$W:$W,$L$2)</f>
        <v>3325.6</v>
      </c>
      <c r="R130" s="512"/>
      <c r="S130" s="597">
        <f t="shared" si="38"/>
        <v>2671.6600000000003</v>
      </c>
      <c r="T130" s="504"/>
      <c r="U130" s="504"/>
      <c r="V130" s="504"/>
      <c r="W130" s="504"/>
      <c r="X130" s="504"/>
      <c r="Y130" s="504"/>
      <c r="Z130" s="504"/>
      <c r="AA130" s="504"/>
      <c r="AB130" s="50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</row>
    <row r="131" spans="1:40" ht="15.75" customHeight="1">
      <c r="A131" s="517" t="s">
        <v>307</v>
      </c>
      <c r="B131" s="504" t="s">
        <v>73</v>
      </c>
      <c r="C131" s="592" t="s">
        <v>47</v>
      </c>
      <c r="D131" s="577"/>
      <c r="E131" s="504"/>
      <c r="F131" s="526">
        <f t="array" ref="F131">+INDEX('[5]Budget original'!$A$2:$AO$500,MATCH($A131,'[5]Budget original'!$A$2:$A$500,0),MATCH(F$2,'[5]Budget original'!$A$2:$AO$2,0))</f>
        <v>5176.3553089833122</v>
      </c>
      <c r="G131" s="578"/>
      <c r="H131" s="504"/>
      <c r="I131" s="526"/>
      <c r="J131" s="525"/>
      <c r="K131" s="504"/>
      <c r="L131" s="528">
        <f>SUMIFS([5]BV_Data_An_Cour!$O:$O,[5]BV_Data_An_Cour!$U:$U,$B131,[5]BV_Data_An_Cour!$V:$V,$C131,[5]BV_Data_An_Cour!$W:$W,$L$2)</f>
        <v>2237.7599999999998</v>
      </c>
      <c r="M131" s="525"/>
      <c r="N131" s="551">
        <f t="shared" si="36"/>
        <v>-2938.5953089833124</v>
      </c>
      <c r="O131" s="525"/>
      <c r="P131" s="504"/>
      <c r="Q131" s="528">
        <f>SUMIFS([5]BV_Data_An_Prec!$O:$O,[5]BV_Data_An_Prec!$U:$U,$B131,[5]BV_Data_An_Prec!$V:$V,$C131,[5]BV_Data_An_Prec!$W:$W,$L$2)</f>
        <v>2754.64</v>
      </c>
      <c r="R131" s="525"/>
      <c r="S131" s="551">
        <f t="shared" si="38"/>
        <v>-516.88000000000011</v>
      </c>
      <c r="T131" s="504"/>
      <c r="U131" s="504"/>
      <c r="V131" s="504"/>
      <c r="W131" s="504"/>
      <c r="X131" s="504"/>
      <c r="Y131" s="504"/>
      <c r="Z131" s="504"/>
      <c r="AA131" s="504"/>
      <c r="AB131" s="50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</row>
    <row r="132" spans="1:40" ht="15.75" customHeight="1">
      <c r="A132" s="517" t="s">
        <v>308</v>
      </c>
      <c r="B132" s="504" t="s">
        <v>73</v>
      </c>
      <c r="C132" s="592" t="s">
        <v>48</v>
      </c>
      <c r="D132" s="577"/>
      <c r="E132" s="504"/>
      <c r="F132" s="526">
        <f t="array" ref="F132">+INDEX('[5]Budget original'!$A$2:$AO$500,MATCH($A132,'[5]Budget original'!$A$2:$A$500,0),MATCH(F$2,'[5]Budget original'!$A$2:$AO$2,0))</f>
        <v>2472.8941319260221</v>
      </c>
      <c r="G132" s="578"/>
      <c r="H132" s="504"/>
      <c r="I132" s="526"/>
      <c r="J132" s="525"/>
      <c r="K132" s="504"/>
      <c r="L132" s="528">
        <f>SUMIFS([5]BV_Data_An_Cour!$O:$O,[5]BV_Data_An_Cour!$U:$U,$B132,[5]BV_Data_An_Cour!$V:$V,$C132,[5]BV_Data_An_Cour!$W:$W,$L$2)</f>
        <v>1223.1400000000001</v>
      </c>
      <c r="M132" s="525"/>
      <c r="N132" s="551">
        <f t="shared" si="36"/>
        <v>-1249.754131926022</v>
      </c>
      <c r="O132" s="525"/>
      <c r="P132" s="504"/>
      <c r="Q132" s="528">
        <f>SUMIFS([5]BV_Data_An_Prec!$O:$O,[5]BV_Data_An_Prec!$U:$U,$B132,[5]BV_Data_An_Prec!$V:$V,$C132,[5]BV_Data_An_Prec!$W:$W,$L$2)</f>
        <v>2150.25</v>
      </c>
      <c r="R132" s="525"/>
      <c r="S132" s="551">
        <f t="shared" si="38"/>
        <v>-927.1099999999999</v>
      </c>
      <c r="T132" s="504"/>
      <c r="U132" s="504"/>
      <c r="V132" s="504"/>
      <c r="W132" s="504"/>
      <c r="X132" s="504"/>
      <c r="Y132" s="504"/>
      <c r="Z132" s="504"/>
      <c r="AA132" s="504"/>
      <c r="AB132" s="50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</row>
    <row r="133" spans="1:40" ht="15.75" hidden="1" customHeight="1">
      <c r="A133" s="517" t="s">
        <v>299</v>
      </c>
      <c r="B133" s="504" t="s">
        <v>73</v>
      </c>
      <c r="C133" s="525" t="s">
        <v>20</v>
      </c>
      <c r="D133" s="579"/>
      <c r="E133" s="598"/>
      <c r="F133" s="526">
        <f t="array" ref="F133">+INDEX('[5]Budget original'!$A$2:$AO$500,MATCH($A133,'[5]Budget original'!$A$2:$A$500,0),MATCH(F$2,'[5]Budget original'!$A$2:$AO$2,0))</f>
        <v>0</v>
      </c>
      <c r="G133" s="580"/>
      <c r="H133" s="598"/>
      <c r="I133" s="526"/>
      <c r="J133" s="518"/>
      <c r="K133" s="598"/>
      <c r="L133" s="528">
        <f>SUMIFS([5]BV_Data_An_Cour!$O:$O,[5]BV_Data_An_Cour!$U:$U,$B133,[5]BV_Data_An_Cour!$V:$V,$C133,[5]BV_Data_An_Cour!$W:$W,$L$2)</f>
        <v>0</v>
      </c>
      <c r="M133" s="518"/>
      <c r="N133" s="574">
        <f t="shared" si="36"/>
        <v>0</v>
      </c>
      <c r="O133" s="518"/>
      <c r="P133" s="598"/>
      <c r="Q133" s="528">
        <f>SUMIFS([5]BV_Data_An_Prec!$O:$O,[5]BV_Data_An_Prec!$U:$U,$B133,[5]BV_Data_An_Prec!$V:$V,$C133,[5]BV_Data_An_Prec!$W:$W,$L$2)</f>
        <v>0</v>
      </c>
      <c r="R133" s="518"/>
      <c r="S133" s="574">
        <f t="shared" si="38"/>
        <v>0</v>
      </c>
      <c r="T133" s="504"/>
      <c r="U133" s="504"/>
      <c r="V133" s="504"/>
      <c r="W133" s="504"/>
      <c r="X133" s="504"/>
      <c r="Y133" s="504"/>
      <c r="Z133" s="504"/>
      <c r="AA133" s="504"/>
      <c r="AB133" s="50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</row>
    <row r="134" spans="1:40" ht="15.75" customHeight="1">
      <c r="A134" s="517" t="s">
        <v>309</v>
      </c>
      <c r="B134" s="504" t="s">
        <v>73</v>
      </c>
      <c r="C134" s="584" t="s">
        <v>49</v>
      </c>
      <c r="D134" s="585" t="s">
        <v>39</v>
      </c>
      <c r="E134" s="586">
        <f>F134/F$107</f>
        <v>0.27538704884362963</v>
      </c>
      <c r="F134" s="587">
        <f>+SUM(F122:F133)</f>
        <v>42586.446374514853</v>
      </c>
      <c r="G134" s="588"/>
      <c r="H134" s="586"/>
      <c r="I134" s="587"/>
      <c r="J134" s="588" t="s">
        <v>39</v>
      </c>
      <c r="K134" s="586">
        <f>L134/L$107</f>
        <v>0.25351148719179317</v>
      </c>
      <c r="L134" s="587">
        <f>SUM(L122:L133)</f>
        <v>34629.550000000003</v>
      </c>
      <c r="M134" s="637"/>
      <c r="N134" s="600">
        <f t="shared" si="36"/>
        <v>-7956.8963745148503</v>
      </c>
      <c r="O134" s="588" t="s">
        <v>39</v>
      </c>
      <c r="P134" s="586">
        <f>Q134/Q$107</f>
        <v>0.21342374177562518</v>
      </c>
      <c r="Q134" s="587">
        <f>SUM(Q122:Q133)</f>
        <v>32841.209999999992</v>
      </c>
      <c r="R134" s="637"/>
      <c r="S134" s="600">
        <f t="shared" si="38"/>
        <v>1788.3400000000111</v>
      </c>
      <c r="T134" s="504"/>
      <c r="U134" s="504"/>
      <c r="V134" s="504"/>
      <c r="W134" s="504"/>
      <c r="X134" s="504"/>
      <c r="Y134" s="504"/>
      <c r="Z134" s="504"/>
      <c r="AA134" s="504"/>
      <c r="AB134" s="50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</row>
    <row r="135" spans="1:40" ht="15.75" hidden="1" customHeight="1">
      <c r="A135" s="517" t="s">
        <v>310</v>
      </c>
      <c r="B135" s="504" t="s">
        <v>73</v>
      </c>
      <c r="C135" s="525" t="s">
        <v>50</v>
      </c>
      <c r="D135" s="577"/>
      <c r="E135" s="504"/>
      <c r="F135" s="526">
        <f t="array" ref="F135">+INDEX('[5]Budget original'!$A$2:$AO$500,MATCH($A135,'[5]Budget original'!$A$2:$A$500,0),MATCH(F$2,'[5]Budget original'!$A$2:$AO$2,0))</f>
        <v>0</v>
      </c>
      <c r="G135" s="578"/>
      <c r="H135" s="504"/>
      <c r="I135" s="526"/>
      <c r="J135" s="525"/>
      <c r="K135" s="504"/>
      <c r="L135" s="528">
        <f>SUMIFS([5]BV_Data_An_Cour!$O:$O,[5]BV_Data_An_Cour!$U:$U,$B135,[5]BV_Data_An_Cour!$V:$V,$C135,[5]BV_Data_An_Cour!$W:$W,$L$2)</f>
        <v>0</v>
      </c>
      <c r="M135" s="525"/>
      <c r="N135" s="551">
        <f t="shared" si="36"/>
        <v>0</v>
      </c>
      <c r="O135" s="525"/>
      <c r="P135" s="504"/>
      <c r="Q135" s="528">
        <f>SUMIFS([5]BV_Data_An_Prec!$O:$O,[5]BV_Data_An_Prec!$U:$U,$B135,[5]BV_Data_An_Prec!$V:$V,$C135,[5]BV_Data_An_Prec!$W:$W,$L$2)</f>
        <v>0</v>
      </c>
      <c r="R135" s="525"/>
      <c r="S135" s="551">
        <f t="shared" si="38"/>
        <v>0</v>
      </c>
      <c r="T135" s="504"/>
      <c r="U135" s="504"/>
      <c r="V135" s="504"/>
      <c r="W135" s="504"/>
      <c r="X135" s="504"/>
      <c r="Y135" s="504"/>
      <c r="Z135" s="504"/>
      <c r="AA135" s="504"/>
      <c r="AB135" s="50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</row>
    <row r="136" spans="1:40" ht="15.75" hidden="1" customHeight="1">
      <c r="A136" s="517" t="s">
        <v>311</v>
      </c>
      <c r="B136" s="504" t="s">
        <v>73</v>
      </c>
      <c r="C136" s="525" t="s">
        <v>51</v>
      </c>
      <c r="D136" s="577"/>
      <c r="E136" s="504"/>
      <c r="F136" s="526">
        <f t="array" ref="F136">+INDEX('[5]Budget original'!$A$2:$AO$500,MATCH($A136,'[5]Budget original'!$A$2:$A$500,0),MATCH(F$2,'[5]Budget original'!$A$2:$AO$2,0))</f>
        <v>0</v>
      </c>
      <c r="G136" s="578"/>
      <c r="H136" s="504"/>
      <c r="I136" s="526"/>
      <c r="J136" s="525"/>
      <c r="K136" s="504"/>
      <c r="L136" s="528">
        <f>SUMIFS([5]BV_Data_An_Cour!$O:$O,[5]BV_Data_An_Cour!$U:$U,$B136,[5]BV_Data_An_Cour!$V:$V,$C136,[5]BV_Data_An_Cour!$W:$W,$L$2)</f>
        <v>0</v>
      </c>
      <c r="M136" s="525"/>
      <c r="N136" s="551">
        <f t="shared" si="36"/>
        <v>0</v>
      </c>
      <c r="O136" s="525"/>
      <c r="P136" s="504"/>
      <c r="Q136" s="528">
        <f>SUMIFS([5]BV_Data_An_Prec!$O:$O,[5]BV_Data_An_Prec!$U:$U,$B136,[5]BV_Data_An_Prec!$V:$V,$C136,[5]BV_Data_An_Prec!$W:$W,$L$2)</f>
        <v>0</v>
      </c>
      <c r="R136" s="525"/>
      <c r="S136" s="551">
        <f t="shared" si="38"/>
        <v>0</v>
      </c>
      <c r="T136" s="504"/>
      <c r="U136" s="504"/>
      <c r="V136" s="504"/>
      <c r="W136" s="504"/>
      <c r="X136" s="504"/>
      <c r="Y136" s="504"/>
      <c r="Z136" s="504"/>
      <c r="AA136" s="504"/>
      <c r="AB136" s="50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</row>
    <row r="137" spans="1:40" ht="15.75" customHeight="1">
      <c r="A137" s="517" t="s">
        <v>312</v>
      </c>
      <c r="B137" s="504" t="s">
        <v>73</v>
      </c>
      <c r="C137" s="518" t="s">
        <v>52</v>
      </c>
      <c r="D137" s="579"/>
      <c r="E137" s="598"/>
      <c r="F137" s="520">
        <f t="array" ref="F137">+INDEX('[5]Budget original'!$A$2:$AO$500,MATCH($A137,'[5]Budget original'!$A$2:$A$500,0),MATCH(F$2,'[5]Budget original'!$A$2:$AO$2,0))</f>
        <v>180</v>
      </c>
      <c r="G137" s="580"/>
      <c r="H137" s="598"/>
      <c r="I137" s="520"/>
      <c r="J137" s="518"/>
      <c r="K137" s="598"/>
      <c r="L137" s="520">
        <f>SUMIFS([5]BV_Data_An_Cour!$O:$O,[5]BV_Data_An_Cour!$U:$U,$B137,[5]BV_Data_An_Cour!$V:$V,$C137,[5]BV_Data_An_Cour!$W:$W,$L$2)</f>
        <v>1692.94</v>
      </c>
      <c r="M137" s="518"/>
      <c r="N137" s="574">
        <f t="shared" si="36"/>
        <v>1512.94</v>
      </c>
      <c r="O137" s="518"/>
      <c r="P137" s="598"/>
      <c r="Q137" s="520">
        <f>SUMIFS([5]BV_Data_An_Prec!$O:$O,[5]BV_Data_An_Prec!$U:$U,$B137,[5]BV_Data_An_Prec!$V:$V,$C137,[5]BV_Data_An_Prec!$W:$W,$L$2)</f>
        <v>132.36000000000001</v>
      </c>
      <c r="R137" s="518"/>
      <c r="S137" s="574">
        <f t="shared" si="38"/>
        <v>1560.58</v>
      </c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</row>
    <row r="138" spans="1:40" ht="15.75" customHeight="1">
      <c r="A138" s="517" t="s">
        <v>313</v>
      </c>
      <c r="B138" s="504" t="s">
        <v>73</v>
      </c>
      <c r="C138" s="525" t="s">
        <v>53</v>
      </c>
      <c r="D138" s="577"/>
      <c r="E138" s="504"/>
      <c r="F138" s="526">
        <f t="array" ref="F138">+INDEX('[5]Budget original'!$A$2:$AO$500,MATCH($A138,'[5]Budget original'!$A$2:$A$500,0),MATCH(F$2,'[5]Budget original'!$A$2:$AO$2,0))</f>
        <v>2754.3646119999999</v>
      </c>
      <c r="G138" s="578"/>
      <c r="H138" s="504"/>
      <c r="I138" s="526"/>
      <c r="J138" s="525"/>
      <c r="K138" s="504"/>
      <c r="L138" s="528">
        <f>SUMIFS([5]BV_Data_An_Cour!$O:$O,[5]BV_Data_An_Cour!$U:$U,$B138,[5]BV_Data_An_Cour!$V:$V,$C138,[5]BV_Data_An_Cour!$W:$W,$L$2)</f>
        <v>3593.59</v>
      </c>
      <c r="M138" s="525"/>
      <c r="N138" s="551">
        <f t="shared" si="36"/>
        <v>839.22538800000029</v>
      </c>
      <c r="O138" s="525"/>
      <c r="P138" s="504"/>
      <c r="Q138" s="528">
        <f>SUMIFS([5]BV_Data_An_Prec!$O:$O,[5]BV_Data_An_Prec!$U:$U,$B138,[5]BV_Data_An_Prec!$V:$V,$C138,[5]BV_Data_An_Prec!$W:$W,$L$2)</f>
        <v>2804.25</v>
      </c>
      <c r="R138" s="525"/>
      <c r="S138" s="551">
        <f t="shared" si="38"/>
        <v>789.34000000000015</v>
      </c>
      <c r="T138" s="504"/>
      <c r="U138" s="504"/>
      <c r="V138" s="504"/>
      <c r="W138" s="504"/>
      <c r="X138" s="504"/>
      <c r="Y138" s="504"/>
      <c r="Z138" s="504"/>
      <c r="AA138" s="504"/>
      <c r="AB138" s="50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</row>
    <row r="139" spans="1:40" ht="15.75" customHeight="1">
      <c r="A139" s="517" t="s">
        <v>314</v>
      </c>
      <c r="B139" s="504" t="s">
        <v>73</v>
      </c>
      <c r="C139" s="525" t="s">
        <v>54</v>
      </c>
      <c r="D139" s="577"/>
      <c r="E139" s="504"/>
      <c r="F139" s="526">
        <f t="array" ref="F139">+INDEX('[5]Budget original'!$A$2:$AO$500,MATCH($A139,'[5]Budget original'!$A$2:$A$500,0),MATCH(F$2,'[5]Budget original'!$A$2:$AO$2,0))</f>
        <v>375.03301674999994</v>
      </c>
      <c r="G139" s="578"/>
      <c r="H139" s="504"/>
      <c r="I139" s="526"/>
      <c r="J139" s="525"/>
      <c r="K139" s="504"/>
      <c r="L139" s="528">
        <f>SUMIFS([5]BV_Data_An_Cour!$O:$O,[5]BV_Data_An_Cour!$U:$U,$B139,[5]BV_Data_An_Cour!$V:$V,$C139,[5]BV_Data_An_Cour!$W:$W,$L$2)</f>
        <v>430.47</v>
      </c>
      <c r="M139" s="525"/>
      <c r="N139" s="551">
        <f t="shared" si="36"/>
        <v>55.436983250000083</v>
      </c>
      <c r="O139" s="525"/>
      <c r="P139" s="504"/>
      <c r="Q139" s="528">
        <f>SUMIFS([5]BV_Data_An_Prec!$O:$O,[5]BV_Data_An_Prec!$U:$U,$B139,[5]BV_Data_An_Prec!$V:$V,$C139,[5]BV_Data_An_Prec!$W:$W,$L$2)</f>
        <v>120.55</v>
      </c>
      <c r="R139" s="525"/>
      <c r="S139" s="551">
        <f t="shared" si="38"/>
        <v>309.92</v>
      </c>
      <c r="T139" s="635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</row>
    <row r="140" spans="1:40" ht="15.75" customHeight="1">
      <c r="A140" s="517" t="s">
        <v>315</v>
      </c>
      <c r="B140" s="504" t="s">
        <v>73</v>
      </c>
      <c r="C140" s="518" t="s">
        <v>55</v>
      </c>
      <c r="D140" s="579"/>
      <c r="E140" s="598"/>
      <c r="F140" s="520">
        <f t="array" ref="F140">+INDEX('[5]Budget original'!$A$2:$AO$500,MATCH($A140,'[5]Budget original'!$A$2:$A$500,0),MATCH(F$2,'[5]Budget original'!$A$2:$AO$2,0))</f>
        <v>1545.6919986666667</v>
      </c>
      <c r="G140" s="580"/>
      <c r="H140" s="598"/>
      <c r="I140" s="520"/>
      <c r="J140" s="518"/>
      <c r="K140" s="598"/>
      <c r="L140" s="520">
        <f>SUMIFS([5]BV_Data_An_Cour!$O:$O,[5]BV_Data_An_Cour!$U:$U,$B140,[5]BV_Data_An_Cour!$V:$V,$C140,[5]BV_Data_An_Cour!$W:$W,$L$2)</f>
        <v>1241.24</v>
      </c>
      <c r="M140" s="518"/>
      <c r="N140" s="574">
        <f t="shared" si="36"/>
        <v>-304.45199866666667</v>
      </c>
      <c r="O140" s="518"/>
      <c r="P140" s="598"/>
      <c r="Q140" s="520">
        <f>SUMIFS([5]BV_Data_An_Prec!$O:$O,[5]BV_Data_An_Prec!$U:$U,$B140,[5]BV_Data_An_Prec!$V:$V,$C140,[5]BV_Data_An_Prec!$W:$W,$L$2)</f>
        <v>1365.76</v>
      </c>
      <c r="R140" s="518"/>
      <c r="S140" s="574">
        <f t="shared" si="38"/>
        <v>-124.51999999999998</v>
      </c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</row>
    <row r="141" spans="1:40" ht="15.75" customHeight="1">
      <c r="A141" s="517" t="s">
        <v>316</v>
      </c>
      <c r="B141" s="504" t="s">
        <v>73</v>
      </c>
      <c r="C141" s="525" t="s">
        <v>56</v>
      </c>
      <c r="D141" s="577"/>
      <c r="E141" s="504"/>
      <c r="F141" s="526">
        <f t="array" ref="F141">+INDEX('[5]Budget original'!$A$2:$AO$500,MATCH($A141,'[5]Budget original'!$A$2:$A$500,0),MATCH(F$2,'[5]Budget original'!$A$2:$AO$2,0))</f>
        <v>117.13645759980204</v>
      </c>
      <c r="G141" s="578"/>
      <c r="H141" s="504"/>
      <c r="I141" s="526"/>
      <c r="J141" s="525"/>
      <c r="K141" s="504"/>
      <c r="L141" s="528">
        <f>SUMIFS([5]BV_Data_An_Cour!$O:$O,[5]BV_Data_An_Cour!$U:$U,$B141,[5]BV_Data_An_Cour!$V:$V,$C141,[5]BV_Data_An_Cour!$W:$W,$L$2)</f>
        <v>0</v>
      </c>
      <c r="M141" s="525"/>
      <c r="N141" s="551">
        <f t="shared" si="36"/>
        <v>-117.13645759980204</v>
      </c>
      <c r="O141" s="525"/>
      <c r="P141" s="504"/>
      <c r="Q141" s="528">
        <f>SUMIFS([5]BV_Data_An_Prec!$O:$O,[5]BV_Data_An_Prec!$U:$U,$B141,[5]BV_Data_An_Prec!$V:$V,$C141,[5]BV_Data_An_Prec!$W:$W,$L$2)</f>
        <v>579.89</v>
      </c>
      <c r="R141" s="525"/>
      <c r="S141" s="551">
        <f t="shared" si="38"/>
        <v>-579.89</v>
      </c>
      <c r="T141" s="504"/>
      <c r="U141" s="504"/>
      <c r="V141" s="504"/>
      <c r="W141" s="504"/>
      <c r="X141" s="504"/>
      <c r="Y141" s="504"/>
      <c r="Z141" s="504"/>
      <c r="AA141" s="504"/>
      <c r="AB141" s="50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</row>
    <row r="142" spans="1:40" ht="15.75" customHeight="1">
      <c r="A142" s="517" t="s">
        <v>317</v>
      </c>
      <c r="B142" s="504" t="s">
        <v>73</v>
      </c>
      <c r="C142" s="525" t="s">
        <v>57</v>
      </c>
      <c r="D142" s="577"/>
      <c r="E142" s="504"/>
      <c r="F142" s="526">
        <f t="array" ref="F142">+INDEX('[5]Budget original'!$A$2:$AO$500,MATCH($A142,'[5]Budget original'!$A$2:$A$500,0),MATCH(F$2,'[5]Budget original'!$A$2:$AO$2,0))</f>
        <v>60.487931167085833</v>
      </c>
      <c r="G142" s="578"/>
      <c r="H142" s="504"/>
      <c r="I142" s="526"/>
      <c r="J142" s="525"/>
      <c r="K142" s="504"/>
      <c r="L142" s="528">
        <f>SUMIFS([5]BV_Data_An_Cour!$O:$O,[5]BV_Data_An_Cour!$U:$U,$B142,[5]BV_Data_An_Cour!$V:$V,$C142,[5]BV_Data_An_Cour!$W:$W,$L$2)</f>
        <v>0</v>
      </c>
      <c r="M142" s="525"/>
      <c r="N142" s="551">
        <f t="shared" si="36"/>
        <v>-60.487931167085833</v>
      </c>
      <c r="O142" s="525"/>
      <c r="P142" s="504"/>
      <c r="Q142" s="528">
        <f>SUMIFS([5]BV_Data_An_Prec!$O:$O,[5]BV_Data_An_Prec!$U:$U,$B142,[5]BV_Data_An_Prec!$V:$V,$C142,[5]BV_Data_An_Prec!$W:$W,$L$2)</f>
        <v>0</v>
      </c>
      <c r="R142" s="525"/>
      <c r="S142" s="551">
        <f t="shared" si="38"/>
        <v>0</v>
      </c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</row>
    <row r="143" spans="1:40" ht="15.75" customHeight="1">
      <c r="A143" s="517" t="s">
        <v>318</v>
      </c>
      <c r="B143" s="504" t="s">
        <v>73</v>
      </c>
      <c r="C143" s="525" t="s">
        <v>58</v>
      </c>
      <c r="D143" s="577"/>
      <c r="E143" s="504"/>
      <c r="F143" s="526">
        <f t="array" ref="F143">+INDEX('[5]Budget original'!$A$2:$AO$500,MATCH($A143,'[5]Budget original'!$A$2:$A$500,0),MATCH(F$2,'[5]Budget original'!$A$2:$AO$2,0))</f>
        <v>286.29413819999991</v>
      </c>
      <c r="G143" s="578"/>
      <c r="H143" s="504"/>
      <c r="I143" s="526"/>
      <c r="J143" s="525"/>
      <c r="K143" s="504"/>
      <c r="L143" s="528">
        <f>SUMIFS([5]BV_Data_An_Cour!$O:$O,[5]BV_Data_An_Cour!$U:$U,$B143,[5]BV_Data_An_Cour!$V:$V,$C143,[5]BV_Data_An_Cour!$W:$W,$L$2)</f>
        <v>179.94</v>
      </c>
      <c r="M143" s="525"/>
      <c r="N143" s="551">
        <f t="shared" si="36"/>
        <v>-106.35413819999991</v>
      </c>
      <c r="O143" s="525"/>
      <c r="P143" s="504"/>
      <c r="Q143" s="528">
        <f>SUMIFS([5]BV_Data_An_Prec!$O:$O,[5]BV_Data_An_Prec!$U:$U,$B143,[5]BV_Data_An_Prec!$V:$V,$C143,[5]BV_Data_An_Prec!$W:$W,$L$2)</f>
        <v>369.17</v>
      </c>
      <c r="R143" s="525"/>
      <c r="S143" s="551">
        <f t="shared" si="38"/>
        <v>-189.23000000000002</v>
      </c>
      <c r="T143" s="504"/>
      <c r="U143" s="504"/>
      <c r="V143" s="504"/>
      <c r="W143" s="504"/>
      <c r="X143" s="504"/>
      <c r="Y143" s="504"/>
      <c r="Z143" s="504"/>
      <c r="AA143" s="504"/>
      <c r="AB143" s="50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</row>
    <row r="144" spans="1:40" ht="15.75" customHeight="1">
      <c r="A144" s="517" t="s">
        <v>319</v>
      </c>
      <c r="B144" s="504" t="s">
        <v>73</v>
      </c>
      <c r="C144" s="525" t="s">
        <v>59</v>
      </c>
      <c r="D144" s="577"/>
      <c r="E144" s="504"/>
      <c r="F144" s="526">
        <f t="array" ref="F144">+INDEX('[5]Budget original'!$A$2:$AO$500,MATCH($A144,'[5]Budget original'!$A$2:$A$500,0),MATCH(F$2,'[5]Budget original'!$A$2:$AO$2,0))</f>
        <v>97.020093808333328</v>
      </c>
      <c r="G144" s="578"/>
      <c r="H144" s="504"/>
      <c r="I144" s="526"/>
      <c r="J144" s="525"/>
      <c r="K144" s="504"/>
      <c r="L144" s="528">
        <f>SUMIFS([5]BV_Data_An_Cour!$O:$O,[5]BV_Data_An_Cour!$U:$U,$B144,[5]BV_Data_An_Cour!$V:$V,$C144,[5]BV_Data_An_Cour!$W:$W,$L$2)</f>
        <v>36.340000000000003</v>
      </c>
      <c r="M144" s="525"/>
      <c r="N144" s="551">
        <f t="shared" si="36"/>
        <v>-60.680093808333325</v>
      </c>
      <c r="O144" s="525"/>
      <c r="P144" s="504"/>
      <c r="Q144" s="528">
        <f>SUMIFS([5]BV_Data_An_Prec!$O:$O,[5]BV_Data_An_Prec!$U:$U,$B144,[5]BV_Data_An_Prec!$V:$V,$C144,[5]BV_Data_An_Prec!$W:$W,$L$2)</f>
        <v>46.55</v>
      </c>
      <c r="R144" s="525"/>
      <c r="S144" s="551">
        <f t="shared" si="38"/>
        <v>-10.209999999999994</v>
      </c>
      <c r="T144" s="504"/>
      <c r="U144" s="504"/>
      <c r="V144" s="504"/>
      <c r="W144" s="504"/>
      <c r="X144" s="504"/>
      <c r="Y144" s="504"/>
      <c r="Z144" s="504"/>
      <c r="AA144" s="504"/>
      <c r="AB144" s="50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</row>
    <row r="145" spans="1:40" ht="15.75" customHeight="1">
      <c r="A145" s="517" t="s">
        <v>320</v>
      </c>
      <c r="B145" s="504" t="s">
        <v>73</v>
      </c>
      <c r="C145" s="525" t="s">
        <v>60</v>
      </c>
      <c r="D145" s="577"/>
      <c r="E145" s="504"/>
      <c r="F145" s="526">
        <f t="array" ref="F145">+INDEX('[5]Budget original'!$A$2:$AO$500,MATCH($A145,'[5]Budget original'!$A$2:$A$500,0),MATCH(F$2,'[5]Budget original'!$A$2:$AO$2,0))</f>
        <v>46.404110191666653</v>
      </c>
      <c r="G145" s="578"/>
      <c r="H145" s="504"/>
      <c r="I145" s="526"/>
      <c r="J145" s="525"/>
      <c r="K145" s="504"/>
      <c r="L145" s="528">
        <f>SUMIFS([5]BV_Data_An_Cour!$O:$O,[5]BV_Data_An_Cour!$U:$U,$B145,[5]BV_Data_An_Cour!$V:$V,$C145,[5]BV_Data_An_Cour!$W:$W,$L$2)</f>
        <v>92.28</v>
      </c>
      <c r="M145" s="525"/>
      <c r="N145" s="551">
        <f t="shared" si="36"/>
        <v>45.875889808333348</v>
      </c>
      <c r="O145" s="525"/>
      <c r="P145" s="504"/>
      <c r="Q145" s="528">
        <f>SUMIFS([5]BV_Data_An_Prec!$O:$O,[5]BV_Data_An_Prec!$U:$U,$B145,[5]BV_Data_An_Prec!$V:$V,$C145,[5]BV_Data_An_Prec!$W:$W,$L$2)</f>
        <v>100.82</v>
      </c>
      <c r="R145" s="525"/>
      <c r="S145" s="551">
        <f t="shared" si="38"/>
        <v>-8.539999999999992</v>
      </c>
      <c r="T145" s="504"/>
      <c r="U145" s="504"/>
      <c r="V145" s="504"/>
      <c r="W145" s="504"/>
      <c r="X145" s="504"/>
      <c r="Y145" s="504"/>
      <c r="Z145" s="504"/>
      <c r="AA145" s="504"/>
      <c r="AB145" s="50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</row>
    <row r="146" spans="1:40" ht="15.75" customHeight="1">
      <c r="A146" s="517" t="s">
        <v>321</v>
      </c>
      <c r="B146" s="504" t="s">
        <v>73</v>
      </c>
      <c r="C146" s="525" t="s">
        <v>61</v>
      </c>
      <c r="D146" s="577"/>
      <c r="E146" s="504"/>
      <c r="F146" s="526">
        <f t="array" ref="F146">+INDEX('[5]Budget original'!$A$2:$AO$500,MATCH($A146,'[5]Budget original'!$A$2:$A$500,0),MATCH(F$2,'[5]Budget original'!$A$2:$AO$2,0))</f>
        <v>176.31838614166665</v>
      </c>
      <c r="G146" s="578"/>
      <c r="H146" s="504"/>
      <c r="I146" s="526"/>
      <c r="J146" s="525"/>
      <c r="K146" s="504"/>
      <c r="L146" s="528">
        <f>SUMIFS([5]BV_Data_An_Cour!$O:$O,[5]BV_Data_An_Cour!$U:$U,$B146,[5]BV_Data_An_Cour!$V:$V,$C146,[5]BV_Data_An_Cour!$W:$W,$L$2)</f>
        <v>29.04</v>
      </c>
      <c r="M146" s="525"/>
      <c r="N146" s="551">
        <f t="shared" si="36"/>
        <v>-147.27838614166666</v>
      </c>
      <c r="O146" s="525"/>
      <c r="P146" s="504"/>
      <c r="Q146" s="528">
        <f>SUMIFS([5]BV_Data_An_Prec!$O:$O,[5]BV_Data_An_Prec!$U:$U,$B146,[5]BV_Data_An_Prec!$V:$V,$C146,[5]BV_Data_An_Prec!$W:$W,$L$2)</f>
        <v>52.58</v>
      </c>
      <c r="R146" s="525"/>
      <c r="S146" s="551">
        <f t="shared" si="38"/>
        <v>-23.54</v>
      </c>
      <c r="T146" s="504"/>
      <c r="U146" s="504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</row>
    <row r="147" spans="1:40" ht="15.75" customHeight="1">
      <c r="A147" s="517" t="s">
        <v>322</v>
      </c>
      <c r="B147" s="504" t="s">
        <v>73</v>
      </c>
      <c r="C147" s="525" t="s">
        <v>62</v>
      </c>
      <c r="D147" s="577"/>
      <c r="E147" s="504"/>
      <c r="F147" s="526">
        <f t="array" ref="F147">+INDEX('[5]Budget original'!$A$2:$AO$500,MATCH($A147,'[5]Budget original'!$A$2:$A$500,0),MATCH(F$2,'[5]Budget original'!$A$2:$AO$2,0))</f>
        <v>310.58430909104328</v>
      </c>
      <c r="G147" s="578"/>
      <c r="H147" s="504"/>
      <c r="I147" s="526"/>
      <c r="J147" s="525"/>
      <c r="K147" s="504"/>
      <c r="L147" s="528">
        <f>SUMIFS([5]BV_Data_An_Cour!$O:$O,[5]BV_Data_An_Cour!$U:$U,$B147,[5]BV_Data_An_Cour!$V:$V,$C147,[5]BV_Data_An_Cour!$W:$W,$L$2)</f>
        <v>113.28</v>
      </c>
      <c r="M147" s="525"/>
      <c r="N147" s="551">
        <f t="shared" si="36"/>
        <v>-197.30430909104328</v>
      </c>
      <c r="O147" s="525"/>
      <c r="P147" s="504"/>
      <c r="Q147" s="528">
        <f>SUMIFS([5]BV_Data_An_Prec!$O:$O,[5]BV_Data_An_Prec!$U:$U,$B147,[5]BV_Data_An_Prec!$V:$V,$C147,[5]BV_Data_An_Prec!$W:$W,$L$2)</f>
        <v>138.30000000000001</v>
      </c>
      <c r="R147" s="525"/>
      <c r="S147" s="551">
        <f t="shared" si="38"/>
        <v>-25.02000000000001</v>
      </c>
      <c r="T147" s="504"/>
      <c r="X147" s="504"/>
      <c r="Y147" s="504"/>
      <c r="Z147" s="504"/>
      <c r="AA147" s="504"/>
      <c r="AB147" s="50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</row>
    <row r="148" spans="1:40" ht="15.75" customHeight="1">
      <c r="A148" s="517" t="s">
        <v>323</v>
      </c>
      <c r="B148" s="504" t="s">
        <v>73</v>
      </c>
      <c r="C148" s="525" t="s">
        <v>63</v>
      </c>
      <c r="D148" s="577"/>
      <c r="E148" s="504"/>
      <c r="F148" s="526">
        <f t="array" ref="F148">+INDEX('[5]Budget original'!$A$2:$AO$500,MATCH($A148,'[5]Budget original'!$A$2:$A$500,0),MATCH(F$2,'[5]Budget original'!$A$2:$AO$2,0))</f>
        <v>573.29137426610737</v>
      </c>
      <c r="G148" s="578"/>
      <c r="H148" s="504"/>
      <c r="I148" s="526"/>
      <c r="J148" s="525"/>
      <c r="K148" s="504"/>
      <c r="L148" s="528">
        <f>SUMIFS([5]BV_Data_An_Cour!$O:$O,[5]BV_Data_An_Cour!$U:$U,$B148,[5]BV_Data_An_Cour!$V:$V,$C148,[5]BV_Data_An_Cour!$W:$W,$L$2)</f>
        <v>756.99</v>
      </c>
      <c r="M148" s="525"/>
      <c r="N148" s="551">
        <f t="shared" si="36"/>
        <v>183.69862573389264</v>
      </c>
      <c r="O148" s="525"/>
      <c r="P148" s="504"/>
      <c r="Q148" s="528">
        <f>AL447*W4</f>
        <v>831.376000000001</v>
      </c>
      <c r="R148" s="525"/>
      <c r="S148" s="551">
        <f t="shared" si="38"/>
        <v>-74.38600000000099</v>
      </c>
      <c r="T148" s="569"/>
      <c r="X148" s="504"/>
      <c r="Y148" s="504"/>
      <c r="Z148" s="504"/>
      <c r="AA148" s="504"/>
      <c r="AB148" s="50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</row>
    <row r="149" spans="1:40" ht="15.75" hidden="1" customHeight="1">
      <c r="A149" s="517" t="s">
        <v>299</v>
      </c>
      <c r="B149" s="504" t="s">
        <v>73</v>
      </c>
      <c r="C149" s="525" t="s">
        <v>20</v>
      </c>
      <c r="D149" s="577"/>
      <c r="E149" s="504"/>
      <c r="F149" s="526">
        <f t="array" ref="F149">+INDEX('[5]Budget original'!$A$2:$AO$500,MATCH($A149,'[5]Budget original'!$A$2:$A$500,0),MATCH(F$2,'[5]Budget original'!$A$2:$AO$2,0))</f>
        <v>0</v>
      </c>
      <c r="G149" s="578"/>
      <c r="H149" s="504"/>
      <c r="I149" s="526"/>
      <c r="J149" s="525"/>
      <c r="K149" s="504"/>
      <c r="L149" s="528">
        <f>SUMIFS([5]BV_Data_An_Cour!$O:$O,[5]BV_Data_An_Cour!$U:$U,$B149,[5]BV_Data_An_Cour!$V:$V,$C149,[5]BV_Data_An_Cour!$W:$W,$L$2)</f>
        <v>0</v>
      </c>
      <c r="M149" s="525"/>
      <c r="N149" s="551">
        <f t="shared" si="36"/>
        <v>0</v>
      </c>
      <c r="O149" s="525"/>
      <c r="P149" s="504"/>
      <c r="Q149" s="528">
        <f>SUMIFS([5]BV_Data_An_Prec!$O:$O,[5]BV_Data_An_Prec!$U:$U,$B149,[5]BV_Data_An_Prec!$V:$V,$C149,[5]BV_Data_An_Prec!$W:$W,$L$2)</f>
        <v>0</v>
      </c>
      <c r="R149" s="525"/>
      <c r="S149" s="551">
        <f t="shared" si="38"/>
        <v>0</v>
      </c>
      <c r="T149" s="504"/>
      <c r="X149" s="504"/>
      <c r="Y149" s="504"/>
      <c r="Z149" s="504"/>
      <c r="AA149" s="504"/>
      <c r="AB149" s="50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</row>
    <row r="150" spans="1:40" ht="15.75" hidden="1" customHeight="1">
      <c r="A150" s="517" t="s">
        <v>299</v>
      </c>
      <c r="B150" s="504" t="s">
        <v>73</v>
      </c>
      <c r="C150" s="525" t="s">
        <v>20</v>
      </c>
      <c r="D150" s="577"/>
      <c r="E150" s="504"/>
      <c r="F150" s="526">
        <f t="array" ref="F150">+INDEX('[5]Budget original'!$A$2:$AO$500,MATCH($A150,'[5]Budget original'!$A$2:$A$500,0),MATCH(F$2,'[5]Budget original'!$A$2:$AO$2,0))</f>
        <v>0</v>
      </c>
      <c r="G150" s="578"/>
      <c r="H150" s="504"/>
      <c r="I150" s="526"/>
      <c r="J150" s="525"/>
      <c r="K150" s="504"/>
      <c r="L150" s="528">
        <f>SUMIFS([5]BV_Data_An_Cour!$O:$O,[5]BV_Data_An_Cour!$U:$U,$B150,[5]BV_Data_An_Cour!$V:$V,$C150,[5]BV_Data_An_Cour!$W:$W,$L$2)</f>
        <v>0</v>
      </c>
      <c r="M150" s="525"/>
      <c r="N150" s="551">
        <f t="shared" si="36"/>
        <v>0</v>
      </c>
      <c r="O150" s="525"/>
      <c r="P150" s="504"/>
      <c r="Q150" s="528">
        <f>SUMIFS([5]BV_Data_An_Prec!$O:$O,[5]BV_Data_An_Prec!$U:$U,$B150,[5]BV_Data_An_Prec!$V:$V,$C150,[5]BV_Data_An_Prec!$W:$W,$L$2)</f>
        <v>0</v>
      </c>
      <c r="R150" s="525"/>
      <c r="S150" s="551">
        <f t="shared" si="38"/>
        <v>0</v>
      </c>
      <c r="T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</row>
    <row r="151" spans="1:40" ht="15.75" hidden="1" customHeight="1">
      <c r="A151" s="517" t="s">
        <v>299</v>
      </c>
      <c r="B151" s="504" t="s">
        <v>73</v>
      </c>
      <c r="C151" s="525" t="s">
        <v>20</v>
      </c>
      <c r="D151" s="577"/>
      <c r="E151" s="504"/>
      <c r="F151" s="526">
        <f t="array" ref="F151">+INDEX('[5]Budget original'!$A$2:$AO$500,MATCH($A151,'[5]Budget original'!$A$2:$A$500,0),MATCH(F$2,'[5]Budget original'!$A$2:$AO$2,0))</f>
        <v>0</v>
      </c>
      <c r="G151" s="578"/>
      <c r="H151" s="504"/>
      <c r="I151" s="526"/>
      <c r="J151" s="525"/>
      <c r="K151" s="504"/>
      <c r="L151" s="528">
        <f>SUMIFS([5]BV_Data_An_Cour!$O:$O,[5]BV_Data_An_Cour!$U:$U,$B151,[5]BV_Data_An_Cour!$V:$V,$C151,[5]BV_Data_An_Cour!$W:$W,$L$2)</f>
        <v>0</v>
      </c>
      <c r="M151" s="525"/>
      <c r="N151" s="551">
        <f t="shared" si="36"/>
        <v>0</v>
      </c>
      <c r="O151" s="525"/>
      <c r="P151" s="504"/>
      <c r="Q151" s="528">
        <f>SUMIFS([5]BV_Data_An_Prec!$O:$O,[5]BV_Data_An_Prec!$U:$U,$B151,[5]BV_Data_An_Prec!$V:$V,$C151,[5]BV_Data_An_Prec!$W:$W,$L$2)</f>
        <v>0</v>
      </c>
      <c r="R151" s="525"/>
      <c r="S151" s="551">
        <f t="shared" si="38"/>
        <v>0</v>
      </c>
      <c r="T151" s="569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</row>
    <row r="152" spans="1:40" ht="15.75" customHeight="1">
      <c r="A152" s="517" t="s">
        <v>324</v>
      </c>
      <c r="B152" s="504" t="s">
        <v>73</v>
      </c>
      <c r="C152" s="584" t="s">
        <v>64</v>
      </c>
      <c r="D152" s="585" t="s">
        <v>39</v>
      </c>
      <c r="E152" s="586">
        <f>F152/F$107</f>
        <v>4.2178838470986531E-2</v>
      </c>
      <c r="F152" s="587">
        <f>+SUM(F135:F151)</f>
        <v>6522.626427882371</v>
      </c>
      <c r="G152" s="588"/>
      <c r="H152" s="586"/>
      <c r="I152" s="587"/>
      <c r="J152" s="588" t="s">
        <v>39</v>
      </c>
      <c r="K152" s="586">
        <f>L152/L$107</f>
        <v>5.9781391634363537E-2</v>
      </c>
      <c r="L152" s="587">
        <f>+SUM(L135:L151)</f>
        <v>8166.11</v>
      </c>
      <c r="M152" s="591"/>
      <c r="N152" s="587">
        <f t="shared" si="36"/>
        <v>1643.4835721176287</v>
      </c>
      <c r="O152" s="588" t="s">
        <v>39</v>
      </c>
      <c r="P152" s="586">
        <f>Q152/Q$107</f>
        <v>4.2511650141449753E-2</v>
      </c>
      <c r="Q152" s="587">
        <f>+SUM(Q135:Q151)</f>
        <v>6541.6060000000016</v>
      </c>
      <c r="R152" s="591"/>
      <c r="S152" s="587">
        <f t="shared" si="38"/>
        <v>1624.5039999999981</v>
      </c>
      <c r="T152" s="599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</row>
    <row r="153" spans="1:40" ht="15.75" customHeight="1">
      <c r="A153" s="517" t="s">
        <v>73</v>
      </c>
      <c r="B153" s="504" t="s">
        <v>73</v>
      </c>
      <c r="C153" s="518"/>
      <c r="D153" s="579"/>
      <c r="E153" s="598"/>
      <c r="F153" s="551"/>
      <c r="G153" s="580"/>
      <c r="H153" s="598"/>
      <c r="I153" s="551"/>
      <c r="J153" s="518"/>
      <c r="K153" s="598"/>
      <c r="L153" s="574"/>
      <c r="M153" s="518"/>
      <c r="N153" s="574"/>
      <c r="O153" s="518"/>
      <c r="P153" s="598"/>
      <c r="Q153" s="574"/>
      <c r="R153" s="518"/>
      <c r="S153" s="574"/>
      <c r="T153" s="599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</row>
    <row r="154" spans="1:40" ht="15.75" customHeight="1">
      <c r="A154" s="517" t="s">
        <v>325</v>
      </c>
      <c r="B154" s="504" t="s">
        <v>73</v>
      </c>
      <c r="C154" s="584" t="s">
        <v>65</v>
      </c>
      <c r="D154" s="585" t="s">
        <v>39</v>
      </c>
      <c r="E154" s="586">
        <f>F154/F$107</f>
        <v>0.70607559810818021</v>
      </c>
      <c r="F154" s="587">
        <f>F121+F134+F152</f>
        <v>109189.0512696603</v>
      </c>
      <c r="G154" s="588"/>
      <c r="H154" s="586"/>
      <c r="I154" s="587"/>
      <c r="J154" s="588" t="s">
        <v>39</v>
      </c>
      <c r="K154" s="586">
        <f>L154/L$107</f>
        <v>0.81296809732800612</v>
      </c>
      <c r="L154" s="587">
        <f>L121+L134+L152</f>
        <v>111051.06000000001</v>
      </c>
      <c r="M154" s="591"/>
      <c r="N154" s="600">
        <f t="shared" ref="N154:N161" si="39">L154-F154</f>
        <v>1862.0087303397158</v>
      </c>
      <c r="O154" s="588" t="s">
        <v>39</v>
      </c>
      <c r="P154" s="586">
        <f>Q154/Q$107</f>
        <v>0.66778202674379072</v>
      </c>
      <c r="Q154" s="587">
        <f>Q121+Q134+Q152</f>
        <v>102756.93599999999</v>
      </c>
      <c r="R154" s="591"/>
      <c r="S154" s="600">
        <f t="shared" ref="S154:S161" si="40">L154-Q154</f>
        <v>8294.1240000000253</v>
      </c>
      <c r="T154" s="599"/>
      <c r="U154" s="504"/>
      <c r="V154" s="504"/>
      <c r="W154" s="504"/>
      <c r="X154" s="504"/>
      <c r="Y154" s="504"/>
      <c r="Z154" s="504"/>
      <c r="AA154" s="504"/>
      <c r="AB154" s="50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</row>
    <row r="155" spans="1:40" ht="15.75" customHeight="1">
      <c r="A155" s="517" t="s">
        <v>326</v>
      </c>
      <c r="B155" s="504" t="s">
        <v>73</v>
      </c>
      <c r="C155" s="525" t="s">
        <v>211</v>
      </c>
      <c r="D155" s="638"/>
      <c r="E155" s="639"/>
      <c r="F155" s="526">
        <f t="array" ref="F155">+INDEX('[5]Budget original'!$A$2:$AO$500,MATCH($A155,'[5]Budget original'!$A$2:$A$500,0),MATCH(F$2,'[5]Budget original'!$A$2:$AO$2,0))</f>
        <v>0</v>
      </c>
      <c r="G155" s="640"/>
      <c r="H155" s="639"/>
      <c r="I155" s="526"/>
      <c r="J155" s="640"/>
      <c r="K155" s="639"/>
      <c r="L155" s="528">
        <v>0</v>
      </c>
      <c r="M155" s="525"/>
      <c r="N155" s="551">
        <f t="shared" si="39"/>
        <v>0</v>
      </c>
      <c r="O155" s="640"/>
      <c r="P155" s="639"/>
      <c r="Q155" s="528">
        <f>-SUMIFS([5]BV_Data_An_Prec!$O:$O,[5]BV_Data_An_Prec!$U:$U,$B155,[5]BV_Data_An_Prec!$V:$V,$C155,[5]BV_Data_An_Prec!$W:$W,$L$2)</f>
        <v>0</v>
      </c>
      <c r="R155" s="525"/>
      <c r="S155" s="551">
        <f t="shared" si="40"/>
        <v>0</v>
      </c>
      <c r="T155" s="599"/>
      <c r="U155" s="504"/>
      <c r="V155" s="504"/>
      <c r="W155" s="504"/>
      <c r="X155" s="504"/>
      <c r="Y155" s="504"/>
      <c r="Z155" s="504"/>
      <c r="AA155" s="504"/>
      <c r="AB155" s="50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</row>
    <row r="156" spans="1:40" ht="15.75" customHeight="1">
      <c r="A156" s="517" t="s">
        <v>327</v>
      </c>
      <c r="B156" s="504" t="s">
        <v>73</v>
      </c>
      <c r="C156" s="525" t="s">
        <v>81</v>
      </c>
      <c r="D156" s="638"/>
      <c r="E156" s="639"/>
      <c r="F156" s="526">
        <f t="array" ref="F156">+INDEX('[5]Budget original'!$A$2:$AO$500,MATCH($A156,'[5]Budget original'!$A$2:$A$500,0),MATCH(F$2,'[5]Budget original'!$A$2:$AO$2,0))</f>
        <v>0</v>
      </c>
      <c r="G156" s="640"/>
      <c r="H156" s="639"/>
      <c r="I156" s="526"/>
      <c r="J156" s="640"/>
      <c r="K156" s="639"/>
      <c r="L156" s="528">
        <f>-SUMIFS([5]BV_Data_An_Cour!$O:$O,[5]BV_Data_An_Cour!$U:$U,$B156,[5]BV_Data_An_Cour!$V:$V,$C156,[5]BV_Data_An_Cour!$W:$W,$L$2)</f>
        <v>0</v>
      </c>
      <c r="M156" s="525"/>
      <c r="N156" s="551">
        <f t="shared" si="39"/>
        <v>0</v>
      </c>
      <c r="O156" s="640"/>
      <c r="P156" s="639"/>
      <c r="Q156" s="528">
        <f>-SUMIFS([5]BV_Data_An_Prec!$O:$O,[5]BV_Data_An_Prec!$U:$U,$B156,[5]BV_Data_An_Prec!$V:$V,$C156,[5]BV_Data_An_Prec!$W:$W,$L$2)</f>
        <v>0</v>
      </c>
      <c r="R156" s="525"/>
      <c r="S156" s="551">
        <f t="shared" si="40"/>
        <v>0</v>
      </c>
      <c r="T156" s="599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</row>
    <row r="157" spans="1:40" ht="15.75" customHeight="1">
      <c r="A157" s="517" t="s">
        <v>328</v>
      </c>
      <c r="B157" s="504" t="s">
        <v>73</v>
      </c>
      <c r="C157" s="525" t="s">
        <v>82</v>
      </c>
      <c r="D157" s="577"/>
      <c r="E157" s="504"/>
      <c r="F157" s="526">
        <f t="array" ref="F157">+INDEX('[5]Budget original'!$A$2:$AO$500,MATCH($A157,'[5]Budget original'!$A$2:$A$500,0),MATCH(F$2,'[5]Budget original'!$A$2:$AO$2,0))</f>
        <v>0</v>
      </c>
      <c r="G157" s="578"/>
      <c r="H157" s="504"/>
      <c r="I157" s="526"/>
      <c r="J157" s="525"/>
      <c r="K157" s="504"/>
      <c r="L157" s="528">
        <f>-SUMIFS([5]BV_Data_An_Cour!$O:$O,[5]BV_Data_An_Cour!$U:$U,$B157,[5]BV_Data_An_Cour!$V:$V,$C157,[5]BV_Data_An_Cour!$W:$W,$L$2)</f>
        <v>0</v>
      </c>
      <c r="M157" s="525"/>
      <c r="N157" s="551">
        <f t="shared" si="39"/>
        <v>0</v>
      </c>
      <c r="O157" s="525"/>
      <c r="P157" s="504"/>
      <c r="Q157" s="528">
        <f>-SUMIFS([5]BV_Data_An_Prec!$O:$O,[5]BV_Data_An_Prec!$U:$U,$B157,[5]BV_Data_An_Prec!$V:$V,$C157,[5]BV_Data_An_Prec!$W:$W,$L$2)</f>
        <v>0</v>
      </c>
      <c r="R157" s="525"/>
      <c r="S157" s="551">
        <f t="shared" si="40"/>
        <v>0</v>
      </c>
      <c r="T157" s="599"/>
      <c r="U157" s="504"/>
      <c r="V157" s="504"/>
      <c r="W157" s="504"/>
      <c r="X157" s="504"/>
      <c r="Y157" s="504"/>
      <c r="Z157" s="504"/>
      <c r="AA157" s="504"/>
      <c r="AB157" s="50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</row>
    <row r="158" spans="1:40" ht="15.75" customHeight="1">
      <c r="A158" s="517" t="s">
        <v>329</v>
      </c>
      <c r="B158" s="504" t="s">
        <v>73</v>
      </c>
      <c r="C158" s="525" t="s">
        <v>70</v>
      </c>
      <c r="D158" s="641">
        <f>+D96</f>
        <v>36</v>
      </c>
      <c r="E158" s="605">
        <f>+F158/D158</f>
        <v>359.1</v>
      </c>
      <c r="F158" s="526">
        <f t="array" ref="F158">+INDEX('[5]Budget original'!$A$2:$AO$500,MATCH($A158,'[5]Budget original'!$A$2:$A$500,0),MATCH(F$2,'[5]Budget original'!$A$2:$AO$2,0))</f>
        <v>12927.6</v>
      </c>
      <c r="G158" s="578"/>
      <c r="H158" s="504"/>
      <c r="I158" s="526"/>
      <c r="J158" s="604">
        <f>+J96</f>
        <v>36</v>
      </c>
      <c r="K158" s="605">
        <f>+L158/J158</f>
        <v>401.66666666666669</v>
      </c>
      <c r="L158" s="528">
        <f>-SUMIFS([5]BV_Data_An_Cour!$O:$O,[5]BV_Data_An_Cour!$U:$U,$B158,[5]BV_Data_An_Cour!$V:$V,$C158,[5]BV_Data_An_Cour!$W:$W,L$2)</f>
        <v>14460</v>
      </c>
      <c r="M158" s="525"/>
      <c r="N158" s="551">
        <f t="shared" si="39"/>
        <v>1532.3999999999996</v>
      </c>
      <c r="O158" s="525"/>
      <c r="P158" s="504"/>
      <c r="Q158" s="528">
        <f>-SUMIFS([5]BV_Data_An_Prec!$O:$O,[5]BV_Data_An_Prec!$U:$U,$B158,[5]BV_Data_An_Prec!$V:$V,$C158,[5]BV_Data_An_Prec!$W:$W,$L$2)</f>
        <v>14183</v>
      </c>
      <c r="R158" s="525"/>
      <c r="S158" s="551">
        <f t="shared" si="40"/>
        <v>277</v>
      </c>
      <c r="T158" s="599"/>
      <c r="U158" s="504"/>
      <c r="V158" s="504"/>
      <c r="W158" s="504"/>
      <c r="X158" s="504"/>
      <c r="Y158" s="504"/>
      <c r="Z158" s="504"/>
      <c r="AA158" s="504"/>
      <c r="AB158" s="50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</row>
    <row r="159" spans="1:40" ht="15.75" hidden="1" customHeight="1">
      <c r="A159" s="517" t="s">
        <v>299</v>
      </c>
      <c r="B159" s="504" t="s">
        <v>73</v>
      </c>
      <c r="C159" s="525" t="s">
        <v>20</v>
      </c>
      <c r="D159" s="577"/>
      <c r="E159" s="504"/>
      <c r="F159" s="526">
        <f t="array" ref="F159">+INDEX('[5]Budget original'!$A$2:$AO$500,MATCH($A159,'[5]Budget original'!$A$2:$A$500,0),MATCH(F$2,'[5]Budget original'!$A$2:$AO$2,0))</f>
        <v>0</v>
      </c>
      <c r="G159" s="578"/>
      <c r="H159" s="504"/>
      <c r="I159" s="526"/>
      <c r="J159" s="525"/>
      <c r="K159" s="504"/>
      <c r="L159" s="528">
        <f>-SUMIFS([5]BV_Data_An_Cour!$O:$O,[5]BV_Data_An_Cour!$U:$U,$B159,[5]BV_Data_An_Cour!$V:$V,$C159,[5]BV_Data_An_Cour!$W:$W,$L$2)</f>
        <v>0</v>
      </c>
      <c r="M159" s="525"/>
      <c r="N159" s="551">
        <f t="shared" si="39"/>
        <v>0</v>
      </c>
      <c r="O159" s="525"/>
      <c r="P159" s="504"/>
      <c r="Q159" s="528">
        <f>-SUMIFS([5]BV_Data_An_Prec!$O:$O,[5]BV_Data_An_Prec!$U:$U,$B159,[5]BV_Data_An_Prec!$V:$V,$C159,[5]BV_Data_An_Prec!$W:$W,$L$2)</f>
        <v>0</v>
      </c>
      <c r="R159" s="525"/>
      <c r="S159" s="551">
        <f t="shared" si="40"/>
        <v>0</v>
      </c>
      <c r="T159" s="599"/>
      <c r="U159" s="504"/>
      <c r="V159" s="504"/>
      <c r="W159" s="504"/>
      <c r="X159" s="504"/>
      <c r="Y159" s="504"/>
      <c r="Z159" s="504"/>
      <c r="AA159" s="504"/>
      <c r="AB159" s="50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</row>
    <row r="160" spans="1:40" ht="15.75" hidden="1" customHeight="1">
      <c r="A160" s="517" t="s">
        <v>299</v>
      </c>
      <c r="B160" s="504" t="s">
        <v>73</v>
      </c>
      <c r="C160" s="525" t="s">
        <v>20</v>
      </c>
      <c r="D160" s="577"/>
      <c r="E160" s="504"/>
      <c r="F160" s="526">
        <f t="array" ref="F160">+INDEX('[5]Budget original'!$A$2:$AO$500,MATCH($A160,'[5]Budget original'!$A$2:$A$500,0),MATCH(F$2,'[5]Budget original'!$A$2:$AO$2,0))</f>
        <v>0</v>
      </c>
      <c r="G160" s="578"/>
      <c r="H160" s="504"/>
      <c r="I160" s="526"/>
      <c r="J160" s="525"/>
      <c r="K160" s="504"/>
      <c r="L160" s="528">
        <f>-SUMIFS([5]BV_Data_An_Cour!$O:$O,[5]BV_Data_An_Cour!$U:$U,$B160,[5]BV_Data_An_Cour!$V:$V,$C160,[5]BV_Data_An_Cour!$W:$W,$L$2)</f>
        <v>0</v>
      </c>
      <c r="M160" s="525"/>
      <c r="N160" s="551">
        <f t="shared" si="39"/>
        <v>0</v>
      </c>
      <c r="O160" s="525"/>
      <c r="P160" s="504"/>
      <c r="Q160" s="528">
        <f>-SUMIFS([5]BV_Data_An_Prec!$O:$O,[5]BV_Data_An_Prec!$U:$U,$B160,[5]BV_Data_An_Prec!$V:$V,$C160,[5]BV_Data_An_Prec!$W:$W,$L$2)</f>
        <v>0</v>
      </c>
      <c r="R160" s="525"/>
      <c r="S160" s="551">
        <f t="shared" si="40"/>
        <v>0</v>
      </c>
      <c r="T160" s="599"/>
      <c r="U160" s="504"/>
      <c r="V160" s="504"/>
      <c r="W160" s="504"/>
      <c r="X160" s="504"/>
      <c r="Y160" s="504"/>
      <c r="Z160" s="504"/>
      <c r="AA160" s="504"/>
      <c r="AB160" s="50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</row>
    <row r="161" spans="1:40" ht="15.75" hidden="1" customHeight="1">
      <c r="A161" s="517" t="s">
        <v>299</v>
      </c>
      <c r="B161" s="504" t="s">
        <v>73</v>
      </c>
      <c r="C161" s="518" t="s">
        <v>20</v>
      </c>
      <c r="D161" s="579"/>
      <c r="E161" s="598"/>
      <c r="F161" s="526">
        <f t="array" ref="F161">+INDEX('[5]Budget original'!$A$2:$AO$500,MATCH($A161,'[5]Budget original'!$A$2:$A$500,0),MATCH(F$2,'[5]Budget original'!$A$2:$AO$2,0))</f>
        <v>0</v>
      </c>
      <c r="G161" s="578"/>
      <c r="H161" s="504"/>
      <c r="I161" s="526"/>
      <c r="J161" s="525"/>
      <c r="K161" s="504"/>
      <c r="L161" s="528">
        <f>-SUMIFS([5]BV_Data_An_Cour!$O:$O,[5]BV_Data_An_Cour!$U:$U,$B161,[5]BV_Data_An_Cour!$V:$V,$C161,[5]BV_Data_An_Cour!$W:$W,$L$2)</f>
        <v>0</v>
      </c>
      <c r="M161" s="525"/>
      <c r="N161" s="551">
        <f t="shared" si="39"/>
        <v>0</v>
      </c>
      <c r="O161" s="525"/>
      <c r="P161" s="504"/>
      <c r="Q161" s="528">
        <f>-SUMIFS([5]BV_Data_An_Prec!$O:$O,[5]BV_Data_An_Prec!$U:$U,$B161,[5]BV_Data_An_Prec!$V:$V,$C161,[5]BV_Data_An_Prec!$W:$W,$L$2)</f>
        <v>0</v>
      </c>
      <c r="R161" s="525"/>
      <c r="S161" s="551">
        <f t="shared" si="40"/>
        <v>0</v>
      </c>
      <c r="T161" s="599"/>
      <c r="U161" s="504"/>
      <c r="V161" s="504"/>
      <c r="W161" s="504"/>
      <c r="X161" s="504"/>
      <c r="Y161" s="504"/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</row>
    <row r="162" spans="1:40" ht="15.75" customHeight="1">
      <c r="B162" s="504"/>
      <c r="C162" s="584" t="s">
        <v>71</v>
      </c>
      <c r="D162" s="585"/>
      <c r="E162" s="586"/>
      <c r="F162" s="587">
        <f>+SUM(F155:F161)</f>
        <v>12927.6</v>
      </c>
      <c r="G162" s="588"/>
      <c r="H162" s="586"/>
      <c r="I162" s="587"/>
      <c r="J162" s="588"/>
      <c r="K162" s="586"/>
      <c r="L162" s="587">
        <f>+SUM(L155:L161)</f>
        <v>14460</v>
      </c>
      <c r="M162" s="591"/>
      <c r="N162" s="587">
        <f>SUM(N155:N158)</f>
        <v>1532.3999999999996</v>
      </c>
      <c r="O162" s="588"/>
      <c r="P162" s="586"/>
      <c r="Q162" s="587">
        <f>+SUM(Q155:Q161)</f>
        <v>14183</v>
      </c>
      <c r="R162" s="591"/>
      <c r="S162" s="587">
        <f>+SUM(S155:S161)</f>
        <v>277</v>
      </c>
      <c r="T162" s="599"/>
      <c r="U162" s="504"/>
      <c r="V162" s="504"/>
      <c r="W162" s="504"/>
      <c r="X162" s="504"/>
      <c r="Y162" s="504"/>
      <c r="Z162" s="504"/>
      <c r="AA162" s="504"/>
      <c r="AB162" s="50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</row>
    <row r="163" spans="1:40" ht="15.75" customHeight="1">
      <c r="B163" s="504"/>
      <c r="C163" s="525"/>
      <c r="D163" s="577"/>
      <c r="E163" s="504"/>
      <c r="F163" s="551"/>
      <c r="G163" s="578"/>
      <c r="H163" s="504"/>
      <c r="I163" s="551"/>
      <c r="J163" s="525"/>
      <c r="K163" s="504"/>
      <c r="L163" s="551"/>
      <c r="M163" s="525"/>
      <c r="N163" s="551"/>
      <c r="O163" s="525"/>
      <c r="P163" s="504"/>
      <c r="Q163" s="551"/>
      <c r="R163" s="525"/>
      <c r="S163" s="551"/>
      <c r="T163" s="639"/>
      <c r="U163" s="504"/>
      <c r="V163" s="504"/>
      <c r="W163" s="504"/>
      <c r="X163" s="504"/>
      <c r="Y163" s="504"/>
      <c r="Z163" s="504"/>
      <c r="AA163" s="504"/>
      <c r="AB163" s="50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</row>
    <row r="164" spans="1:40" ht="15.75" customHeight="1" thickBot="1">
      <c r="B164" s="504"/>
      <c r="C164" s="614" t="s">
        <v>72</v>
      </c>
      <c r="D164" s="642"/>
      <c r="E164" s="615"/>
      <c r="F164" s="617">
        <f>F107-F154+F162</f>
        <v>58380.702576493546</v>
      </c>
      <c r="G164" s="643"/>
      <c r="H164" s="615"/>
      <c r="I164" s="617"/>
      <c r="J164" s="614"/>
      <c r="K164" s="616"/>
      <c r="L164" s="617">
        <f>L107-L154+L162</f>
        <v>40008.470000000132</v>
      </c>
      <c r="M164" s="614"/>
      <c r="N164" s="617">
        <f>L164-F164</f>
        <v>-18372.232576493414</v>
      </c>
      <c r="O164" s="614"/>
      <c r="P164" s="616"/>
      <c r="Q164" s="617">
        <f>Q107-Q154+Q162</f>
        <v>65304.024000000063</v>
      </c>
      <c r="R164" s="614"/>
      <c r="S164" s="617">
        <f>L164-Q164</f>
        <v>-25295.553999999931</v>
      </c>
      <c r="T164" s="569"/>
      <c r="U164" s="504"/>
      <c r="V164" s="504"/>
      <c r="W164" s="504"/>
      <c r="X164" s="504"/>
      <c r="Y164" s="504"/>
      <c r="Z164" s="504"/>
      <c r="AA164" s="504"/>
      <c r="AB164" s="50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</row>
    <row r="165" spans="1:40" ht="15.75" customHeight="1" thickTop="1">
      <c r="B165" s="504"/>
      <c r="C165" s="501"/>
      <c r="D165" s="501"/>
      <c r="E165" s="501"/>
      <c r="F165" s="501"/>
      <c r="G165" s="501"/>
      <c r="H165" s="501"/>
      <c r="I165" s="501"/>
      <c r="J165" s="501"/>
      <c r="K165" s="501"/>
      <c r="L165" s="644"/>
      <c r="M165" s="501"/>
      <c r="N165" s="501"/>
      <c r="O165" s="501"/>
      <c r="P165" s="501"/>
      <c r="Q165" s="501"/>
      <c r="R165" s="501"/>
      <c r="S165" s="501"/>
      <c r="T165" s="644"/>
      <c r="U165" s="501"/>
      <c r="V165" s="504"/>
      <c r="W165" s="504"/>
      <c r="X165" s="504"/>
      <c r="Y165" s="504"/>
      <c r="Z165" s="504"/>
      <c r="AA165" s="504"/>
      <c r="AB165" s="50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</row>
    <row r="166" spans="1:40" ht="8.25" customHeight="1">
      <c r="B166" s="504"/>
      <c r="C166" s="501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501"/>
      <c r="O166" s="501"/>
      <c r="P166" s="501"/>
      <c r="Q166" s="501"/>
      <c r="R166" s="501"/>
      <c r="S166" s="501"/>
      <c r="T166" s="644"/>
      <c r="U166" s="501"/>
      <c r="V166" s="501"/>
      <c r="W166" s="501"/>
      <c r="X166" s="501"/>
      <c r="Y166" s="501"/>
      <c r="Z166" s="501"/>
      <c r="AA166" s="501"/>
      <c r="AB166" s="501"/>
      <c r="AC166" s="501"/>
      <c r="AD166" s="501"/>
      <c r="AE166" s="501"/>
      <c r="AF166" s="501"/>
      <c r="AG166" s="501"/>
      <c r="AH166" s="501"/>
      <c r="AI166" s="501"/>
      <c r="AJ166" s="501"/>
      <c r="AK166" s="501"/>
      <c r="AL166" s="501"/>
      <c r="AM166" s="501"/>
      <c r="AN166" s="501"/>
    </row>
    <row r="167" spans="1:40" ht="33.75" customHeight="1">
      <c r="B167" s="504"/>
      <c r="C167" s="622" t="str">
        <f>C1</f>
        <v>Volks</v>
      </c>
      <c r="D167" s="492"/>
      <c r="E167" s="492"/>
      <c r="F167" s="492"/>
      <c r="G167" s="492"/>
      <c r="H167" s="490"/>
      <c r="I167" s="490"/>
      <c r="J167" s="490"/>
      <c r="K167" s="494" t="s">
        <v>83</v>
      </c>
      <c r="L167" s="492"/>
      <c r="M167" s="492"/>
      <c r="N167" s="490"/>
      <c r="O167" s="490"/>
      <c r="P167" s="492"/>
      <c r="Q167" s="490"/>
      <c r="R167" s="492"/>
      <c r="S167" s="623" t="str">
        <f>$S$1</f>
        <v>Réalisé, Juillet 2023</v>
      </c>
      <c r="T167" s="492"/>
      <c r="U167" s="490"/>
      <c r="V167" s="501"/>
      <c r="W167" s="501"/>
      <c r="X167" s="501"/>
      <c r="Y167" s="501"/>
      <c r="Z167" s="501"/>
      <c r="AA167" s="501"/>
      <c r="AB167" s="501"/>
      <c r="AC167" s="501"/>
      <c r="AD167" s="501"/>
      <c r="AE167" s="501"/>
      <c r="AF167" s="501"/>
      <c r="AG167" s="501"/>
      <c r="AH167" s="501"/>
      <c r="AI167" s="501"/>
      <c r="AJ167" s="501"/>
      <c r="AK167" s="501"/>
      <c r="AL167" s="501"/>
      <c r="AM167" s="501"/>
      <c r="AN167" s="501"/>
    </row>
    <row r="168" spans="1:40" ht="15.75" customHeight="1" thickBot="1">
      <c r="B168" s="504"/>
      <c r="C168" s="499"/>
      <c r="D168" s="501"/>
      <c r="E168" s="501"/>
      <c r="F168" s="501"/>
      <c r="G168" s="501"/>
      <c r="H168" s="501"/>
      <c r="I168" s="501"/>
      <c r="J168" s="501"/>
      <c r="K168" s="501"/>
      <c r="L168" s="501"/>
      <c r="M168" s="501"/>
      <c r="N168" s="501"/>
      <c r="O168" s="501"/>
      <c r="P168" s="501"/>
      <c r="Q168" s="501"/>
      <c r="R168" s="501"/>
      <c r="S168" s="501"/>
      <c r="T168" s="501"/>
      <c r="U168" s="501"/>
      <c r="V168" s="490"/>
      <c r="W168" s="490"/>
      <c r="X168" s="490"/>
      <c r="Y168" s="490"/>
      <c r="Z168" s="490"/>
      <c r="AA168" s="490"/>
      <c r="AB168" s="490"/>
      <c r="AC168" s="490"/>
      <c r="AD168" s="490"/>
      <c r="AE168" s="490"/>
      <c r="AF168" s="490"/>
      <c r="AG168" s="490"/>
      <c r="AH168" s="490"/>
      <c r="AI168" s="490"/>
      <c r="AJ168" s="490"/>
      <c r="AK168" s="490"/>
      <c r="AL168" s="490"/>
      <c r="AM168" s="490"/>
      <c r="AN168" s="490"/>
    </row>
    <row r="169" spans="1:40" ht="15.75" customHeight="1" thickTop="1">
      <c r="B169" s="504"/>
      <c r="C169" s="505"/>
      <c r="D169" s="506" t="s">
        <v>5</v>
      </c>
      <c r="E169" s="507"/>
      <c r="F169" s="508"/>
      <c r="G169" s="509"/>
      <c r="H169" s="507"/>
      <c r="I169" s="508"/>
      <c r="J169" s="509" t="s">
        <v>7</v>
      </c>
      <c r="K169" s="507"/>
      <c r="L169" s="508"/>
      <c r="M169" s="509" t="s">
        <v>472</v>
      </c>
      <c r="N169" s="508"/>
      <c r="O169" s="506" t="s">
        <v>9</v>
      </c>
      <c r="P169" s="507"/>
      <c r="Q169" s="508"/>
      <c r="R169" s="509" t="s">
        <v>473</v>
      </c>
      <c r="S169" s="508"/>
      <c r="T169" s="638"/>
      <c r="AA169" s="501"/>
      <c r="AB169" s="501"/>
      <c r="AC169" s="501"/>
      <c r="AD169" s="501"/>
      <c r="AE169" s="501"/>
      <c r="AF169" s="501"/>
      <c r="AG169" s="501"/>
      <c r="AH169" s="501"/>
      <c r="AI169" s="501"/>
      <c r="AJ169" s="501"/>
      <c r="AK169" s="501"/>
      <c r="AL169" s="501"/>
      <c r="AM169" s="501"/>
      <c r="AN169" s="501"/>
    </row>
    <row r="170" spans="1:40" ht="15.75" customHeight="1">
      <c r="A170" s="517" t="s">
        <v>83</v>
      </c>
      <c r="B170" s="504" t="s">
        <v>83</v>
      </c>
      <c r="C170" s="525"/>
      <c r="D170" s="567" t="s">
        <v>40</v>
      </c>
      <c r="E170" s="567" t="s">
        <v>84</v>
      </c>
      <c r="F170" s="645" t="s">
        <v>13</v>
      </c>
      <c r="G170" s="646"/>
      <c r="H170" s="567"/>
      <c r="I170" s="645"/>
      <c r="J170" s="646" t="s">
        <v>40</v>
      </c>
      <c r="K170" s="567" t="s">
        <v>84</v>
      </c>
      <c r="L170" s="645" t="s">
        <v>13</v>
      </c>
      <c r="M170" s="646" t="s">
        <v>468</v>
      </c>
      <c r="N170" s="645" t="s">
        <v>475</v>
      </c>
      <c r="O170" s="567" t="s">
        <v>40</v>
      </c>
      <c r="P170" s="567" t="s">
        <v>84</v>
      </c>
      <c r="Q170" s="645" t="s">
        <v>13</v>
      </c>
      <c r="R170" s="646" t="s">
        <v>85</v>
      </c>
      <c r="S170" s="645" t="s">
        <v>13</v>
      </c>
      <c r="T170" s="567"/>
      <c r="AA170" s="504"/>
      <c r="AB170" s="50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</row>
    <row r="171" spans="1:40" ht="15.75" customHeight="1">
      <c r="A171" s="517" t="s">
        <v>330</v>
      </c>
      <c r="B171" s="504" t="s">
        <v>83</v>
      </c>
      <c r="C171" s="525" t="s">
        <v>86</v>
      </c>
      <c r="D171" s="569">
        <f t="array" ref="D171">+INDEX('[5]Budget original'!$A$2:$AO$500,MATCH($A171,'[5]Budget original'!$A$2:$A$500,0),MATCH(D$2,'[5]Budget original'!$A$2:$AO$2,0))</f>
        <v>375.24620189691194</v>
      </c>
      <c r="E171" s="569">
        <f t="array" ref="E171">+INDEX('[5]Budget original'!$A$2:$AO$500,MATCH($A171,'[5]Budget original'!$A$2:$A$500,0),MATCH(E$2,'[5]Budget original'!$A$2:$AO$2,0))</f>
        <v>110697.62955958901</v>
      </c>
      <c r="F171" s="569">
        <f t="array" ref="F171">+INDEX('[5]Budget original'!$A$2:$AO$500,MATCH($A171,'[5]Budget original'!$A$2:$A$500,0),MATCH(F$2,'[5]Budget original'!$A$2:$AO$2,0))</f>
        <v>84130.198465287656</v>
      </c>
      <c r="G171" s="552"/>
      <c r="H171" s="569"/>
      <c r="I171" s="569"/>
      <c r="J171" s="552">
        <f>-SUMIFS([5]BV_Data_An_Cour!$O:$O,[5]BV_Data_An_Cour!$U:$U,$B171,[5]BV_Data_An_Cour!$V:$V,$C171,[5]BV_Data_An_Cour!$W:$W,J$2)</f>
        <v>376</v>
      </c>
      <c r="K171" s="526">
        <f>-SUMIFS([5]BV_Data_An_Cour!$O:$O,[5]BV_Data_An_Cour!$X:$X,"Oui",[5]BV_Data_An_Cour!$U:$U,$B171,[5]BV_Data_An_Cour!$V:$V,$C171)</f>
        <v>134675.75999999998</v>
      </c>
      <c r="L171" s="528">
        <f>-SUMIFS([5]BV_Data_An_Cour!$O:$O,[5]BV_Data_An_Cour!$U:$U,$B171,[5]BV_Data_An_Cour!$V:$V,$C171,[5]BV_Data_An_Cour!$W:$W,$L$2)</f>
        <v>98157.879999999976</v>
      </c>
      <c r="M171" s="570">
        <f>(K171-E171)/E171</f>
        <v>0.21660924932004472</v>
      </c>
      <c r="N171" s="551">
        <f>L171-F171</f>
        <v>14027.681534712319</v>
      </c>
      <c r="O171" s="552">
        <f>-SUMIFS([5]BV_Data_An_Prec!$O:$O,[5]BV_Data_An_Prec!$U:$U,$B171,[5]BV_Data_An_Prec!$V:$V,$C171,[5]BV_Data_An_Prec!$W:$W,O$2)</f>
        <v>357</v>
      </c>
      <c r="P171" s="526">
        <f>-SUMIFS([5]BV_Data_An_Prec!$O:$O,[5]BV_Data_An_Prec!$X:$X,"Oui",[5]BV_Data_An_Prec!$U:$U,$B171,[5]BV_Data_An_Prec!$V:$V,$C171)</f>
        <v>108178.5</v>
      </c>
      <c r="Q171" s="528">
        <f>-SUMIFS([5]BV_Data_An_Prec!$O:$O,[5]BV_Data_An_Prec!$U:$U,$B171,[5]BV_Data_An_Prec!$V:$V,$C171,[5]BV_Data_An_Prec!$W:$W,$L$2)</f>
        <v>84640.670000000013</v>
      </c>
      <c r="R171" s="570">
        <f>IF(O171=0,0,J171/O171)</f>
        <v>1.0532212885154062</v>
      </c>
      <c r="S171" s="551">
        <f>L171-Q171</f>
        <v>13517.209999999963</v>
      </c>
      <c r="T171" s="569"/>
      <c r="AA171" s="504"/>
      <c r="AB171" s="50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</row>
    <row r="172" spans="1:40" ht="15.75" customHeight="1">
      <c r="A172" s="517" t="s">
        <v>331</v>
      </c>
      <c r="B172" s="504" t="s">
        <v>83</v>
      </c>
      <c r="C172" s="525" t="s">
        <v>87</v>
      </c>
      <c r="D172" s="569"/>
      <c r="E172" s="631"/>
      <c r="F172" s="647">
        <f>F171/E171</f>
        <v>0.76000000000000012</v>
      </c>
      <c r="G172" s="552"/>
      <c r="H172" s="631"/>
      <c r="I172" s="647"/>
      <c r="J172" s="552"/>
      <c r="K172" s="504"/>
      <c r="L172" s="647">
        <f>IF(L171=0,0,L171/K171)</f>
        <v>0.72884593337360781</v>
      </c>
      <c r="M172" s="570"/>
      <c r="N172" s="551"/>
      <c r="O172" s="552"/>
      <c r="P172" s="504"/>
      <c r="Q172" s="647">
        <f>IF(Q171=0,0,Q171/P171)</f>
        <v>0.782416746396003</v>
      </c>
      <c r="R172" s="552"/>
      <c r="S172" s="551"/>
      <c r="T172" s="569"/>
      <c r="AA172" s="504"/>
      <c r="AB172" s="50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</row>
    <row r="173" spans="1:40" ht="15.75" customHeight="1">
      <c r="A173" s="517" t="s">
        <v>83</v>
      </c>
      <c r="B173" s="504" t="s">
        <v>83</v>
      </c>
      <c r="C173" s="518"/>
      <c r="D173" s="572"/>
      <c r="E173" s="648">
        <f>IFERROR(E171/D171,0)</f>
        <v>294.99999999999994</v>
      </c>
      <c r="F173" s="649"/>
      <c r="G173" s="650"/>
      <c r="H173" s="648"/>
      <c r="I173" s="649"/>
      <c r="J173" s="650"/>
      <c r="K173" s="648">
        <f>IFERROR(K171/J171,0)</f>
        <v>358.18021276595738</v>
      </c>
      <c r="L173" s="649"/>
      <c r="M173" s="573"/>
      <c r="N173" s="574"/>
      <c r="O173" s="650"/>
      <c r="P173" s="648">
        <f>IFERROR(P171/O171,0)</f>
        <v>303.02100840336135</v>
      </c>
      <c r="Q173" s="649"/>
      <c r="R173" s="650"/>
      <c r="S173" s="574"/>
      <c r="T173" s="569"/>
      <c r="AA173" s="504"/>
      <c r="AB173" s="50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</row>
    <row r="174" spans="1:40" ht="18" customHeight="1">
      <c r="A174" s="517" t="s">
        <v>332</v>
      </c>
      <c r="B174" s="504" t="s">
        <v>83</v>
      </c>
      <c r="C174" s="512" t="s">
        <v>88</v>
      </c>
      <c r="D174" s="651">
        <f t="array" ref="D174">+INDEX('[5]Budget original'!$A$2:$AO$500,MATCH($A174,'[5]Budget original'!$A$2:$A$500,0),MATCH(D$2,'[5]Budget original'!$A$2:$AO$2,0))</f>
        <v>247.89532427287932</v>
      </c>
      <c r="E174" s="569">
        <f t="array" ref="E174">+INDEX('[5]Budget original'!$A$2:$AO$500,MATCH($A174,'[5]Budget original'!$A$2:$A$500,0),MATCH(E$2,'[5]Budget original'!$A$2:$AO$2,0))</f>
        <v>42142.205126389483</v>
      </c>
      <c r="F174" s="569">
        <f t="array" ref="F174">+INDEX('[5]Budget original'!$A$2:$AO$500,MATCH($A174,'[5]Budget original'!$A$2:$A$500,0),MATCH(F$2,'[5]Budget original'!$A$2:$AO$2,0))</f>
        <v>28656.69948594485</v>
      </c>
      <c r="G174" s="652"/>
      <c r="H174" s="569"/>
      <c r="I174" s="569"/>
      <c r="J174" s="652">
        <f>-SUMIFS([5]BV_Data_An_Cour!$O:$O,[5]BV_Data_An_Cour!$U:$U,$B174,[5]BV_Data_An_Cour!$V:$V,$C174,[5]BV_Data_An_Cour!$W:$W,J$2)</f>
        <v>127</v>
      </c>
      <c r="K174" s="546">
        <f>-SUMIFS([5]BV_Data_An_Cour!$O:$O,[5]BV_Data_An_Cour!$X:$X,"Oui",[5]BV_Data_An_Cour!$U:$U,$B174,[5]BV_Data_An_Cour!$V:$V,$C174)</f>
        <v>31627.03</v>
      </c>
      <c r="L174" s="528">
        <f>-SUMIFS([5]BV_Data_An_Cour!$O:$O,[5]BV_Data_An_Cour!$U:$U,$B174,[5]BV_Data_An_Cour!$V:$V,$C174,[5]BV_Data_An_Cour!$W:$W,$L$2)</f>
        <v>20159.589999999997</v>
      </c>
      <c r="M174" s="570">
        <f>(K174-E174)/E174</f>
        <v>-0.24951649053136218</v>
      </c>
      <c r="N174" s="597">
        <f>L174-F174</f>
        <v>-8497.1094859448531</v>
      </c>
      <c r="O174" s="652">
        <f>-SUMIFS([5]BV_Data_An_Prec!$O:$O,[5]BV_Data_An_Prec!$U:$U,$B174,[5]BV_Data_An_Prec!$V:$V,$C174,[5]BV_Data_An_Prec!$W:$W,O$2)</f>
        <v>185</v>
      </c>
      <c r="P174" s="546">
        <f>-SUMIFS([5]BV_Data_An_Prec!$O:$O,[5]BV_Data_An_Prec!$X:$X,"Oui",[5]BV_Data_An_Prec!$U:$U,$B174,[5]BV_Data_An_Prec!$V:$V,$C174)</f>
        <v>44677.89</v>
      </c>
      <c r="Q174" s="528">
        <f>-SUMIFS([5]BV_Data_An_Prec!$O:$O,[5]BV_Data_An_Prec!$U:$U,$B174,[5]BV_Data_An_Prec!$V:$V,$C174,[5]BV_Data_An_Prec!$W:$W,$L$2)</f>
        <v>27934.35</v>
      </c>
      <c r="R174" s="570">
        <f>IF(O174=0,0,J174/O174)</f>
        <v>0.68648648648648647</v>
      </c>
      <c r="S174" s="551">
        <f>L174-Q174</f>
        <v>-7774.760000000002</v>
      </c>
      <c r="T174" s="569"/>
      <c r="U174" s="504" t="s">
        <v>470</v>
      </c>
      <c r="V174" s="526">
        <f>+K174+J296</f>
        <v>78850.489999999991</v>
      </c>
      <c r="W174" s="504"/>
      <c r="AA174" s="504"/>
      <c r="AB174" s="50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</row>
    <row r="175" spans="1:40" ht="15.75" customHeight="1">
      <c r="A175" s="517" t="s">
        <v>331</v>
      </c>
      <c r="B175" s="504" t="s">
        <v>83</v>
      </c>
      <c r="C175" s="525" t="s">
        <v>87</v>
      </c>
      <c r="D175" s="504"/>
      <c r="E175" s="504"/>
      <c r="F175" s="647">
        <f>F174/E174</f>
        <v>0.68</v>
      </c>
      <c r="G175" s="525"/>
      <c r="H175" s="504"/>
      <c r="I175" s="647"/>
      <c r="J175" s="525"/>
      <c r="K175" s="504"/>
      <c r="L175" s="647">
        <f>IF(L174=0,0,L174/K174)</f>
        <v>0.63741647571713178</v>
      </c>
      <c r="M175" s="542"/>
      <c r="N175" s="543"/>
      <c r="O175" s="525"/>
      <c r="P175" s="504"/>
      <c r="Q175" s="647">
        <f>IF(Q174=0,0,Q174/P174)</f>
        <v>0.6252387926108417</v>
      </c>
      <c r="R175" s="542"/>
      <c r="S175" s="543"/>
      <c r="T175" s="504"/>
      <c r="U175" s="504" t="s">
        <v>471</v>
      </c>
      <c r="V175" s="526">
        <f>+L174+L296</f>
        <v>31095.809999999998</v>
      </c>
      <c r="W175" s="653">
        <f>+V175/V174</f>
        <v>0.39436419481984197</v>
      </c>
      <c r="AA175" s="504"/>
      <c r="AB175" s="50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</row>
    <row r="176" spans="1:40" ht="15.75" customHeight="1">
      <c r="A176" s="517" t="s">
        <v>83</v>
      </c>
      <c r="B176" s="504" t="s">
        <v>83</v>
      </c>
      <c r="C176" s="518"/>
      <c r="D176" s="598"/>
      <c r="E176" s="648">
        <f>IFERROR(E174/D174,0)</f>
        <v>170</v>
      </c>
      <c r="F176" s="649"/>
      <c r="G176" s="650"/>
      <c r="H176" s="648"/>
      <c r="I176" s="649"/>
      <c r="J176" s="650"/>
      <c r="K176" s="648">
        <f>IFERROR(K174/J174,0)</f>
        <v>249.03173228346455</v>
      </c>
      <c r="L176" s="649"/>
      <c r="M176" s="573"/>
      <c r="N176" s="574"/>
      <c r="O176" s="650"/>
      <c r="P176" s="648">
        <f>IFERROR(P174/O174,0)</f>
        <v>241.5021081081081</v>
      </c>
      <c r="Q176" s="649"/>
      <c r="R176" s="654"/>
      <c r="S176" s="655"/>
      <c r="T176" s="504"/>
      <c r="AA176" s="504"/>
      <c r="AB176" s="50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</row>
    <row r="177" spans="1:40" ht="15.75" customHeight="1">
      <c r="A177" s="517" t="s">
        <v>333</v>
      </c>
      <c r="B177" s="504" t="s">
        <v>83</v>
      </c>
      <c r="C177" s="525" t="s">
        <v>89</v>
      </c>
      <c r="D177" s="569">
        <f t="array" ref="D177">+INDEX('[5]Budget original'!$A$2:$AO$500,MATCH($A177,'[5]Budget original'!$A$2:$A$500,0),MATCH(D$2,'[5]Budget original'!$A$2:$AO$2,0))</f>
        <v>218.02822647784825</v>
      </c>
      <c r="E177" s="569">
        <f t="array" ref="E177">+INDEX('[5]Budget original'!$A$2:$AO$500,MATCH($A177,'[5]Budget original'!$A$2:$A$500,0),MATCH(E$2,'[5]Budget original'!$A$2:$AO$2,0))</f>
        <v>49056.350957515861</v>
      </c>
      <c r="F177" s="569">
        <f t="array" ref="F177">+INDEX('[5]Budget original'!$A$2:$AO$500,MATCH($A177,'[5]Budget original'!$A$2:$A$500,0),MATCH(F$2,'[5]Budget original'!$A$2:$AO$2,0))</f>
        <v>36301.699708561733</v>
      </c>
      <c r="G177" s="552"/>
      <c r="H177" s="569"/>
      <c r="I177" s="569"/>
      <c r="J177" s="552">
        <f>-SUMIFS([5]BV_Data_An_Cour!$O:$O,[5]BV_Data_An_Cour!$U:$U,$B177,[5]BV_Data_An_Cour!$V:$V,$C177,[5]BV_Data_An_Cour!$W:$W,J$2)</f>
        <v>205</v>
      </c>
      <c r="K177" s="546">
        <f>-SUMIFS([5]BV_Data_An_Cour!$O:$O,[5]BV_Data_An_Cour!$X:$X,"Oui",[5]BV_Data_An_Cour!$U:$U,$B177,[5]BV_Data_An_Cour!$V:$V,$C177)</f>
        <v>71469.95</v>
      </c>
      <c r="L177" s="528">
        <f>-SUMIFS([5]BV_Data_An_Cour!$O:$O,[5]BV_Data_An_Cour!$U:$U,$B177,[5]BV_Data_An_Cour!$V:$V,$C177,[5]BV_Data_An_Cour!$W:$W,$L$2)</f>
        <v>47106.679999999993</v>
      </c>
      <c r="M177" s="570">
        <f>(K177-E177)/E177</f>
        <v>0.45689495050080114</v>
      </c>
      <c r="N177" s="551">
        <f>L177-F177</f>
        <v>10804.98029143826</v>
      </c>
      <c r="O177" s="552">
        <f>-SUMIFS([5]BV_Data_An_Prec!$O:$O,[5]BV_Data_An_Prec!$U:$U,$B177,[5]BV_Data_An_Prec!$V:$V,$C177,[5]BV_Data_An_Prec!$W:$W,O$2)</f>
        <v>223</v>
      </c>
      <c r="P177" s="546">
        <f>-SUMIFS([5]BV_Data_An_Prec!$O:$O,[5]BV_Data_An_Prec!$X:$X,"Oui",[5]BV_Data_An_Prec!$U:$U,$B177,[5]BV_Data_An_Prec!$V:$V,$C177)</f>
        <v>53961.37</v>
      </c>
      <c r="Q177" s="528">
        <f>-SUMIFS([5]BV_Data_An_Prec!$O:$O,[5]BV_Data_An_Prec!$U:$U,$B177,[5]BV_Data_An_Prec!$V:$V,$C177,[5]BV_Data_An_Prec!$W:$W,$L$2)</f>
        <v>40499.480000000003</v>
      </c>
      <c r="R177" s="570">
        <f>IF(O177=0,0,J177/O177)</f>
        <v>0.91928251121076232</v>
      </c>
      <c r="S177" s="551">
        <f>L177-Q177</f>
        <v>6607.1999999999898</v>
      </c>
      <c r="T177" s="569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</row>
    <row r="178" spans="1:40" ht="15.75" customHeight="1">
      <c r="A178" s="517" t="s">
        <v>331</v>
      </c>
      <c r="B178" s="504" t="s">
        <v>83</v>
      </c>
      <c r="C178" s="525" t="s">
        <v>87</v>
      </c>
      <c r="D178" s="569"/>
      <c r="E178" s="631"/>
      <c r="F178" s="647">
        <f>F177/E177</f>
        <v>0.73999999999999988</v>
      </c>
      <c r="G178" s="552"/>
      <c r="H178" s="631"/>
      <c r="I178" s="647"/>
      <c r="J178" s="552"/>
      <c r="K178" s="631"/>
      <c r="L178" s="647">
        <f>IF(L177=0,0,L177/K177)</f>
        <v>0.65911169659416291</v>
      </c>
      <c r="M178" s="570"/>
      <c r="N178" s="551">
        <f>L178-F178</f>
        <v>-8.088830340583697E-2</v>
      </c>
      <c r="O178" s="552"/>
      <c r="P178" s="631"/>
      <c r="Q178" s="647">
        <f>IF(Q177=0,0,Q177/P177)</f>
        <v>0.75052727534530728</v>
      </c>
      <c r="R178" s="552">
        <f>O178-K178</f>
        <v>0</v>
      </c>
      <c r="S178" s="551"/>
      <c r="T178" s="569"/>
      <c r="AA178" s="504"/>
      <c r="AB178" s="50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</row>
    <row r="179" spans="1:40" ht="15.75" customHeight="1">
      <c r="A179" s="517" t="s">
        <v>83</v>
      </c>
      <c r="B179" s="504" t="s">
        <v>83</v>
      </c>
      <c r="C179" s="525"/>
      <c r="D179" s="569"/>
      <c r="E179" s="648">
        <f>IFERROR(E177/D177,0)</f>
        <v>225.00000000000003</v>
      </c>
      <c r="F179" s="649"/>
      <c r="G179" s="650"/>
      <c r="H179" s="648"/>
      <c r="I179" s="649"/>
      <c r="J179" s="650"/>
      <c r="K179" s="648">
        <f>IFERROR(K177/J177,0)</f>
        <v>348.63390243902438</v>
      </c>
      <c r="L179" s="649"/>
      <c r="M179" s="573"/>
      <c r="N179" s="574"/>
      <c r="O179" s="650"/>
      <c r="P179" s="648">
        <f>IFERROR(P177/O177,0)</f>
        <v>241.97923766816146</v>
      </c>
      <c r="Q179" s="647"/>
      <c r="R179" s="650"/>
      <c r="S179" s="551"/>
      <c r="T179" s="569"/>
      <c r="U179" s="545">
        <f>K177</f>
        <v>71469.95</v>
      </c>
      <c r="V179" s="489">
        <v>65</v>
      </c>
      <c r="X179" s="489">
        <v>35</v>
      </c>
      <c r="AA179" s="504"/>
      <c r="AB179" s="50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</row>
    <row r="180" spans="1:40" ht="15.75" customHeight="1">
      <c r="A180" s="517" t="s">
        <v>334</v>
      </c>
      <c r="B180" s="504" t="s">
        <v>83</v>
      </c>
      <c r="C180" s="512" t="s">
        <v>90</v>
      </c>
      <c r="D180" s="651">
        <f t="array" ref="D180">+INDEX('[5]Budget original'!$A$2:$AO$500,MATCH($A180,'[5]Budget original'!$A$2:$A$500,0),MATCH(D$2,'[5]Budget original'!$A$2:$AO$2,0))</f>
        <v>2.097535395909806</v>
      </c>
      <c r="E180" s="569">
        <f t="array" ref="E180">+INDEX('[5]Budget original'!$A$2:$AO$500,MATCH($A180,'[5]Budget original'!$A$2:$A$500,0),MATCH(E$2,'[5]Budget original'!$A$2:$AO$2,0))</f>
        <v>209.75353959098058</v>
      </c>
      <c r="F180" s="569">
        <f t="array" ref="F180">+INDEX('[5]Budget original'!$A$2:$AO$500,MATCH($A180,'[5]Budget original'!$A$2:$A$500,0),MATCH(F$2,'[5]Budget original'!$A$2:$AO$2,0))</f>
        <v>146.82747771368639</v>
      </c>
      <c r="G180" s="652"/>
      <c r="H180" s="569"/>
      <c r="I180" s="569"/>
      <c r="J180" s="652">
        <f>-SUMIFS([5]BV_Data_An_Cour!$O:$O,[5]BV_Data_An_Cour!$U:$U,$B180,[5]BV_Data_An_Cour!$V:$V,$C180,[5]BV_Data_An_Cour!$W:$W,J$2)</f>
        <v>0</v>
      </c>
      <c r="K180" s="546">
        <f>-SUMIFS([5]BV_Data_An_Cour!$O:$O,[5]BV_Data_An_Cour!$X:$X,"Oui",[5]BV_Data_An_Cour!$U:$U,$B180,[5]BV_Data_An_Cour!$V:$V,$C180)</f>
        <v>12357.23</v>
      </c>
      <c r="L180" s="547">
        <f>-SUMIFS([5]BV_Data_An_Cour!$O:$O,[5]BV_Data_An_Cour!$U:$U,$B180,[5]BV_Data_An_Cour!$V:$V,$C180,[5]BV_Data_An_Cour!$W:$W,$L$2)</f>
        <v>9196.5399999999991</v>
      </c>
      <c r="M180" s="656">
        <f>IF(E180=0,0,(K180-E180)/E180)</f>
        <v>57.913094025000007</v>
      </c>
      <c r="N180" s="597">
        <f>L180-F180</f>
        <v>9049.7125222863124</v>
      </c>
      <c r="O180" s="652">
        <f>-SUMIFS([5]BV_Data_An_Prec!$O:$O,[5]BV_Data_An_Prec!$U:$U,$B180,[5]BV_Data_An_Prec!$V:$V,$C180,[5]BV_Data_An_Prec!$W:$W,O$2)</f>
        <v>0</v>
      </c>
      <c r="P180" s="546">
        <f>-SUMIFS([5]BV_Data_An_Prec!$O:$O,[5]BV_Data_An_Prec!$X:$X,"Oui",[5]BV_Data_An_Prec!$U:$U,$B180,[5]BV_Data_An_Prec!$V:$V,$C180)</f>
        <v>469.91</v>
      </c>
      <c r="Q180" s="547">
        <f>-SUMIFS([5]BV_Data_An_Prec!$O:$O,[5]BV_Data_An_Prec!$U:$U,$B180,[5]BV_Data_An_Prec!$V:$V,$C180,[5]BV_Data_An_Prec!$W:$W,$L$2)</f>
        <v>379.91</v>
      </c>
      <c r="R180" s="570">
        <f>IF(O180=0,0,J180/O180)</f>
        <v>0</v>
      </c>
      <c r="S180" s="597">
        <f>L180-Q180</f>
        <v>8816.6299999999992</v>
      </c>
      <c r="T180" s="569"/>
      <c r="U180" s="545">
        <f>U179-U181</f>
        <v>24363.270000000004</v>
      </c>
      <c r="V180" s="489">
        <v>30</v>
      </c>
      <c r="X180" s="489">
        <v>35</v>
      </c>
      <c r="AA180" s="504"/>
      <c r="AB180" s="50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</row>
    <row r="181" spans="1:40" ht="15.75" customHeight="1">
      <c r="A181" s="517" t="s">
        <v>331</v>
      </c>
      <c r="B181" s="504" t="s">
        <v>83</v>
      </c>
      <c r="C181" s="525" t="s">
        <v>87</v>
      </c>
      <c r="D181" s="564"/>
      <c r="E181" s="657"/>
      <c r="F181" s="647">
        <f>IFERROR(F180/E180,0)</f>
        <v>0.7</v>
      </c>
      <c r="G181" s="544"/>
      <c r="H181" s="657"/>
      <c r="I181" s="647"/>
      <c r="J181" s="658"/>
      <c r="K181" s="657">
        <f>IF(J181&lt;=0,0,L181/J181)</f>
        <v>0</v>
      </c>
      <c r="L181" s="647">
        <f>IF(L180=0,0,L180/K180)</f>
        <v>0.74422342223945004</v>
      </c>
      <c r="M181" s="552">
        <f>J181-D181</f>
        <v>0</v>
      </c>
      <c r="N181" s="659"/>
      <c r="O181" s="658"/>
      <c r="P181" s="657">
        <f>IF(O181&lt;=0,0,Q181/O181)</f>
        <v>0</v>
      </c>
      <c r="Q181" s="647">
        <f>IF(Q180=0,0,Q180/P180)</f>
        <v>0.80847396309931685</v>
      </c>
      <c r="R181" s="525"/>
      <c r="S181" s="659"/>
      <c r="T181" s="599"/>
      <c r="U181" s="545">
        <f>L177</f>
        <v>47106.679999999993</v>
      </c>
      <c r="X181" s="489">
        <v>0</v>
      </c>
      <c r="AA181" s="504"/>
      <c r="AB181" s="50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</row>
    <row r="182" spans="1:40" ht="15.75" customHeight="1">
      <c r="A182" s="517" t="s">
        <v>83</v>
      </c>
      <c r="B182" s="504" t="s">
        <v>83</v>
      </c>
      <c r="C182" s="518"/>
      <c r="D182" s="660"/>
      <c r="E182" s="661"/>
      <c r="F182" s="649"/>
      <c r="G182" s="538"/>
      <c r="H182" s="661"/>
      <c r="I182" s="649"/>
      <c r="J182" s="662"/>
      <c r="K182" s="522"/>
      <c r="L182" s="649"/>
      <c r="M182" s="650"/>
      <c r="N182" s="663"/>
      <c r="O182" s="662"/>
      <c r="P182" s="522"/>
      <c r="Q182" s="649"/>
      <c r="R182" s="518"/>
      <c r="S182" s="663"/>
      <c r="T182" s="599"/>
      <c r="AA182" s="504"/>
      <c r="AB182" s="50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</row>
    <row r="183" spans="1:40" ht="26.25" customHeight="1" thickBot="1">
      <c r="A183" s="517" t="s">
        <v>335</v>
      </c>
      <c r="B183" s="504" t="s">
        <v>83</v>
      </c>
      <c r="C183" s="525" t="s">
        <v>91</v>
      </c>
      <c r="D183" s="504"/>
      <c r="E183" s="504"/>
      <c r="F183" s="551">
        <f t="array" ref="F183">+INDEX('[5]Budget original'!$A$2:$AO$500,MATCH($A183,'[5]Budget original'!$A$2:$A$500,0),MATCH(F$2,'[5]Budget original'!$A$2:$AO$2,0))</f>
        <v>-2517.7171734890326</v>
      </c>
      <c r="G183" s="525"/>
      <c r="H183" s="569"/>
      <c r="I183" s="569"/>
      <c r="J183" s="552"/>
      <c r="K183" s="569"/>
      <c r="L183" s="569">
        <f>-SUMIFS([5]BV_Data_An_Cour!$O:$O,[5]BV_Data_An_Cour!$U:$U,$B183,[5]BV_Data_An_Cour!$V:$V,$C183,[5]BV_Data_An_Cour!$W:$W,$L$2)</f>
        <v>-1305.82</v>
      </c>
      <c r="M183" s="658"/>
      <c r="N183" s="551">
        <f>L183-F183</f>
        <v>1211.8971734890326</v>
      </c>
      <c r="O183" s="552"/>
      <c r="P183" s="569"/>
      <c r="Q183" s="528">
        <f>-SUMIFS([5]BV_Data_An_Prec!$O:$O,[5]BV_Data_An_Prec!$U:$U,$B183,[5]BV_Data_An_Prec!$V:$V,$C183,[5]BV_Data_An_Prec!$W:$W,$L$2)</f>
        <v>-1076.94</v>
      </c>
      <c r="R183" s="664"/>
      <c r="S183" s="551">
        <f t="shared" ref="S183:S184" si="41">L183-Q183</f>
        <v>-228.87999999999988</v>
      </c>
      <c r="T183" s="504"/>
      <c r="U183" s="504"/>
      <c r="V183" s="504"/>
      <c r="W183" s="504"/>
      <c r="X183" s="504"/>
      <c r="Y183" s="504"/>
      <c r="Z183" s="504"/>
      <c r="AA183" s="504"/>
      <c r="AB183" s="50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</row>
    <row r="184" spans="1:40" ht="15.75" customHeight="1" thickTop="1">
      <c r="A184" s="517" t="s">
        <v>336</v>
      </c>
      <c r="B184" s="504" t="s">
        <v>83</v>
      </c>
      <c r="C184" s="665" t="s">
        <v>92</v>
      </c>
      <c r="D184" s="666">
        <f t="shared" ref="D184:L184" si="42">D171+D174+D177+D180+D183</f>
        <v>843.26728804354946</v>
      </c>
      <c r="E184" s="666">
        <f t="shared" si="42"/>
        <v>202105.93918308531</v>
      </c>
      <c r="F184" s="667">
        <f t="shared" si="42"/>
        <v>146717.70796401889</v>
      </c>
      <c r="G184" s="668"/>
      <c r="H184" s="666"/>
      <c r="I184" s="667"/>
      <c r="J184" s="668">
        <f t="shared" si="42"/>
        <v>708</v>
      </c>
      <c r="K184" s="666">
        <f t="shared" si="42"/>
        <v>250129.97</v>
      </c>
      <c r="L184" s="667">
        <f t="shared" si="42"/>
        <v>173314.86999999997</v>
      </c>
      <c r="M184" s="669">
        <f>(K184-E184)/E184</f>
        <v>0.23761810766684249</v>
      </c>
      <c r="N184" s="667">
        <f>L184-F184</f>
        <v>26597.162035981077</v>
      </c>
      <c r="O184" s="668">
        <f t="shared" ref="O184:Q184" si="43">O171+O174+O177+O180+O183</f>
        <v>765</v>
      </c>
      <c r="P184" s="666">
        <f t="shared" si="43"/>
        <v>207287.67</v>
      </c>
      <c r="Q184" s="667">
        <f t="shared" si="43"/>
        <v>152377.47000000003</v>
      </c>
      <c r="R184" s="542">
        <f>IF(O184=0,0,J184/O184)</f>
        <v>0.92549019607843142</v>
      </c>
      <c r="S184" s="667">
        <f t="shared" si="41"/>
        <v>20937.399999999936</v>
      </c>
      <c r="T184" s="599"/>
      <c r="U184" s="504"/>
      <c r="V184" s="504"/>
      <c r="W184" s="504"/>
      <c r="X184" s="504"/>
      <c r="Y184" s="504"/>
      <c r="Z184" s="504"/>
      <c r="AA184" s="504"/>
      <c r="AB184" s="50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</row>
    <row r="185" spans="1:40" ht="15.75" customHeight="1">
      <c r="A185" s="517" t="s">
        <v>337</v>
      </c>
      <c r="B185" s="504" t="s">
        <v>83</v>
      </c>
      <c r="C185" s="670" t="s">
        <v>93</v>
      </c>
      <c r="D185" s="671"/>
      <c r="E185" s="672">
        <f>IF(D184=0,0,E184/D184)</f>
        <v>239.67008094430886</v>
      </c>
      <c r="F185" s="673">
        <f>F184/E184</f>
        <v>0.72594456430649024</v>
      </c>
      <c r="G185" s="674"/>
      <c r="H185" s="672"/>
      <c r="I185" s="543"/>
      <c r="J185" s="674"/>
      <c r="K185" s="672">
        <f>IF(J184=0,0,K184/J184)</f>
        <v>353.29091807909606</v>
      </c>
      <c r="L185" s="543">
        <f>IF(L184=0,0,L184/K184)</f>
        <v>0.69289925553503229</v>
      </c>
      <c r="M185" s="674"/>
      <c r="N185" s="673">
        <f>N184/F184</f>
        <v>0.18128119914812038</v>
      </c>
      <c r="O185" s="674"/>
      <c r="P185" s="672">
        <f>IF(O184=0,0,P184/O184)</f>
        <v>270.96427450980394</v>
      </c>
      <c r="Q185" s="543">
        <f>IF(Q184=0,0,Q184/P184)</f>
        <v>0.73510146551408495</v>
      </c>
      <c r="R185" s="674"/>
      <c r="S185" s="543">
        <f>S184/Q184</f>
        <v>0.13740482762970097</v>
      </c>
      <c r="T185" s="599"/>
      <c r="U185" s="504"/>
      <c r="V185" s="504"/>
      <c r="W185" s="504"/>
      <c r="X185" s="504"/>
      <c r="Y185" s="504"/>
      <c r="Z185" s="504"/>
      <c r="AA185" s="504"/>
      <c r="AB185" s="50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</row>
    <row r="186" spans="1:40" ht="15.75" customHeight="1">
      <c r="A186" s="517" t="s">
        <v>83</v>
      </c>
      <c r="B186" s="504" t="s">
        <v>83</v>
      </c>
      <c r="C186" s="531"/>
      <c r="D186" s="675"/>
      <c r="E186" s="676"/>
      <c r="F186" s="677"/>
      <c r="G186" s="678"/>
      <c r="H186" s="676"/>
      <c r="I186" s="677"/>
      <c r="J186" s="678"/>
      <c r="K186" s="676"/>
      <c r="L186" s="677">
        <f>K184-L184</f>
        <v>76815.100000000035</v>
      </c>
      <c r="M186" s="678"/>
      <c r="N186" s="677"/>
      <c r="O186" s="678"/>
      <c r="P186" s="676"/>
      <c r="Q186" s="677"/>
      <c r="R186" s="678"/>
      <c r="S186" s="677"/>
      <c r="T186" s="599"/>
      <c r="U186" s="504"/>
      <c r="V186" s="504"/>
      <c r="W186" s="504"/>
      <c r="X186" s="504"/>
      <c r="Y186" s="504"/>
      <c r="Z186" s="504"/>
      <c r="AA186" s="504"/>
      <c r="AB186" s="50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</row>
    <row r="187" spans="1:40" ht="19.5" customHeight="1">
      <c r="A187" s="517" t="s">
        <v>338</v>
      </c>
      <c r="B187" s="504" t="s">
        <v>83</v>
      </c>
      <c r="C187" s="525" t="s">
        <v>94</v>
      </c>
      <c r="D187" s="569"/>
      <c r="E187" s="569">
        <f t="array" ref="E187">+INDEX('[5]Budget original'!$A$2:$AO$500,MATCH($A187,'[5]Budget original'!$A$2:$A$500,0),MATCH(E$2,'[5]Budget original'!$A$2:$AO$2,0))</f>
        <v>24681.880087236714</v>
      </c>
      <c r="F187" s="569">
        <f t="array" ref="F187">+INDEX('[5]Budget original'!$A$2:$AO$500,MATCH($A187,'[5]Budget original'!$A$2:$A$500,0),MATCH(F$2,'[5]Budget original'!$A$2:$AO$2,0))</f>
        <v>5430.0136191920774</v>
      </c>
      <c r="G187" s="552"/>
      <c r="H187" s="569"/>
      <c r="I187" s="569"/>
      <c r="J187" s="552"/>
      <c r="K187" s="526">
        <f>-SUMIFS([5]BV_Data_An_Cour!$O:$O,[5]BV_Data_An_Cour!$X:$X,"Oui",[5]BV_Data_An_Cour!$U:$U,$B187,[5]BV_Data_An_Cour!$V:$V,$C187)</f>
        <v>13313.75</v>
      </c>
      <c r="L187" s="528">
        <f>-SUMIFS([5]BV_Data_An_Cour!$O:$O,[5]BV_Data_An_Cour!$U:$U,$B187,[5]BV_Data_An_Cour!$V:$V,$C187,[5]BV_Data_An_Cour!$W:$W,$L$2)</f>
        <v>2687.7799999999988</v>
      </c>
      <c r="M187" s="570">
        <f>IF(E187=0,0,(K187-E187)/E187)</f>
        <v>-0.46058606747365671</v>
      </c>
      <c r="N187" s="551">
        <f>L187-F187</f>
        <v>-2742.2336191920785</v>
      </c>
      <c r="O187" s="552"/>
      <c r="P187" s="526">
        <f>-SUMIFS([5]BV_Data_An_Prec!$O:$O,[5]BV_Data_An_Prec!$X:$X,"Oui",[5]BV_Data_An_Prec!$U:$U,$B187,[5]BV_Data_An_Prec!$V:$V,$C187)</f>
        <v>28286.28</v>
      </c>
      <c r="Q187" s="528">
        <f>-SUMIFS([5]BV_Data_An_Prec!$O:$O,[5]BV_Data_An_Prec!$U:$U,$B187,[5]BV_Data_An_Prec!$V:$V,$C187,[5]BV_Data_An_Prec!$W:$W,$L$2)</f>
        <v>6854.9299999999967</v>
      </c>
      <c r="R187" s="570">
        <f>IF(O187=0,0,J187/O187)</f>
        <v>0</v>
      </c>
      <c r="S187" s="551">
        <f>L187-Q187</f>
        <v>-4167.1499999999978</v>
      </c>
      <c r="T187" s="599"/>
      <c r="U187" s="504"/>
      <c r="V187" s="504"/>
      <c r="W187" s="504"/>
      <c r="X187" s="504"/>
      <c r="Y187" s="504"/>
      <c r="Z187" s="504"/>
      <c r="AA187" s="504"/>
      <c r="AB187" s="50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</row>
    <row r="188" spans="1:40" ht="21" customHeight="1">
      <c r="A188" s="517" t="s">
        <v>331</v>
      </c>
      <c r="B188" s="504" t="s">
        <v>83</v>
      </c>
      <c r="C188" s="525" t="s">
        <v>87</v>
      </c>
      <c r="D188" s="504"/>
      <c r="E188" s="631"/>
      <c r="F188" s="647">
        <f>IFERROR(F187/E187,0)</f>
        <v>0.22</v>
      </c>
      <c r="G188" s="525"/>
      <c r="H188" s="631"/>
      <c r="I188" s="647"/>
      <c r="J188" s="658"/>
      <c r="K188" s="657"/>
      <c r="L188" s="647">
        <f>IF(L187=0,0,L187/K187)</f>
        <v>0.20188001126654764</v>
      </c>
      <c r="M188" s="658"/>
      <c r="N188" s="659"/>
      <c r="O188" s="658"/>
      <c r="P188" s="657"/>
      <c r="Q188" s="647">
        <f>IF(Q187=0,0,Q187/P187)</f>
        <v>0.24234116327774444</v>
      </c>
      <c r="R188" s="658"/>
      <c r="S188" s="659"/>
      <c r="T188" s="599"/>
      <c r="U188" s="504"/>
      <c r="V188" s="504"/>
      <c r="W188" s="504"/>
      <c r="X188" s="504"/>
      <c r="Y188" s="504"/>
      <c r="Z188" s="504"/>
      <c r="AA188" s="504"/>
      <c r="AB188" s="50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</row>
    <row r="189" spans="1:40" ht="15.75" customHeight="1">
      <c r="A189" s="517" t="s">
        <v>83</v>
      </c>
      <c r="B189" s="504" t="s">
        <v>83</v>
      </c>
      <c r="C189" s="525"/>
      <c r="D189" s="504"/>
      <c r="E189" s="631"/>
      <c r="F189" s="647"/>
      <c r="G189" s="525"/>
      <c r="H189" s="631"/>
      <c r="I189" s="647"/>
      <c r="J189" s="658"/>
      <c r="K189" s="657"/>
      <c r="L189" s="647"/>
      <c r="M189" s="658"/>
      <c r="N189" s="659"/>
      <c r="O189" s="658"/>
      <c r="P189" s="657"/>
      <c r="Q189" s="647"/>
      <c r="R189" s="658"/>
      <c r="S189" s="659"/>
      <c r="T189" s="599"/>
      <c r="U189" s="504"/>
      <c r="V189" s="504"/>
      <c r="W189" s="504"/>
      <c r="X189" s="504"/>
      <c r="Y189" s="504"/>
      <c r="Z189" s="504"/>
      <c r="AA189" s="504"/>
      <c r="AB189" s="50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</row>
    <row r="190" spans="1:40" ht="15.75" customHeight="1">
      <c r="A190" s="517" t="s">
        <v>339</v>
      </c>
      <c r="B190" s="504" t="s">
        <v>83</v>
      </c>
      <c r="C190" s="525" t="s">
        <v>95</v>
      </c>
      <c r="D190" s="504"/>
      <c r="E190" s="569">
        <f t="array" ref="E190">+INDEX('[5]Budget original'!$A$2:$AO$500,MATCH($A190,'[5]Budget original'!$A$2:$A$500,0),MATCH(E$2,'[5]Budget original'!$A$2:$AO$2,0))</f>
        <v>0</v>
      </c>
      <c r="F190" s="569">
        <f t="array" ref="F190">+INDEX('[5]Budget original'!$A$2:$AO$500,MATCH($A190,'[5]Budget original'!$A$2:$A$500,0),MATCH(F$2,'[5]Budget original'!$A$2:$AO$2,0))</f>
        <v>0</v>
      </c>
      <c r="G190" s="525"/>
      <c r="H190" s="569"/>
      <c r="I190" s="569"/>
      <c r="J190" s="652">
        <f>-SUMIFS([5]BV_Data_An_Cour!$O:$O,[5]BV_Data_An_Cour!$U:$U,$B190,[5]BV_Data_An_Cour!$V:$V,$C190,[5]BV_Data_An_Cour!$W:$W,J$2)</f>
        <v>37</v>
      </c>
      <c r="K190" s="526">
        <f>-SUMIFS([5]BV_Data_An_Cour!$O:$O,[5]BV_Data_An_Cour!$X:$X,"Oui",[5]BV_Data_An_Cour!$U:$U,$B190,[5]BV_Data_An_Cour!$V:$V,$C190)</f>
        <v>6269.36</v>
      </c>
      <c r="L190" s="528">
        <f>-SUMIFS([5]BV_Data_An_Cour!$O:$O,[5]BV_Data_An_Cour!$U:$U,$B190,[5]BV_Data_An_Cour!$V:$V,$C190,[5]BV_Data_An_Cour!$W:$W,$L$2)</f>
        <v>4401.66</v>
      </c>
      <c r="M190" s="658"/>
      <c r="N190" s="659"/>
      <c r="O190" s="658"/>
      <c r="P190" s="526">
        <f>-SUMIFS([5]BV_Data_An_Prec!$O:$O,[5]BV_Data_An_Prec!$X:$X,"Oui",[5]BV_Data_An_Prec!$U:$U,$B190,[5]BV_Data_An_Prec!$V:$V,$C190)</f>
        <v>0</v>
      </c>
      <c r="Q190" s="647"/>
      <c r="R190" s="658"/>
      <c r="S190" s="659"/>
      <c r="T190" s="599"/>
      <c r="U190" s="504"/>
      <c r="V190" s="504"/>
      <c r="W190" s="504"/>
      <c r="X190" s="504"/>
      <c r="Y190" s="504"/>
      <c r="Z190" s="504"/>
      <c r="AA190" s="504"/>
      <c r="AB190" s="50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</row>
    <row r="191" spans="1:40" ht="15.75" customHeight="1">
      <c r="A191" s="517" t="s">
        <v>331</v>
      </c>
      <c r="B191" s="504" t="s">
        <v>83</v>
      </c>
      <c r="C191" s="525" t="s">
        <v>87</v>
      </c>
      <c r="D191" s="504"/>
      <c r="E191" s="631"/>
      <c r="F191" s="647">
        <f>IF(F190=0,0,F190/E190)</f>
        <v>0</v>
      </c>
      <c r="G191" s="525"/>
      <c r="H191" s="631"/>
      <c r="I191" s="647"/>
      <c r="J191" s="658"/>
      <c r="K191" s="657"/>
      <c r="L191" s="647">
        <f>IF(L190=0,0,L190/K190)</f>
        <v>0.70209080352699482</v>
      </c>
      <c r="M191" s="658"/>
      <c r="N191" s="659"/>
      <c r="O191" s="658"/>
      <c r="P191" s="657"/>
      <c r="Q191" s="647">
        <f>IF(Q190=0,0,Q190/P190)</f>
        <v>0</v>
      </c>
      <c r="R191" s="658"/>
      <c r="S191" s="659"/>
      <c r="T191" s="599"/>
      <c r="U191" s="504"/>
      <c r="V191" s="504"/>
      <c r="W191" s="504"/>
      <c r="X191" s="504"/>
      <c r="Y191" s="504"/>
      <c r="Z191" s="504"/>
      <c r="AA191" s="504"/>
      <c r="AB191" s="50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</row>
    <row r="192" spans="1:40" ht="15.75" customHeight="1" thickBot="1">
      <c r="A192" s="517" t="s">
        <v>83</v>
      </c>
      <c r="B192" s="504" t="s">
        <v>83</v>
      </c>
      <c r="C192" s="679"/>
      <c r="D192" s="680"/>
      <c r="E192" s="681"/>
      <c r="F192" s="682"/>
      <c r="G192" s="683"/>
      <c r="H192" s="681"/>
      <c r="I192" s="682"/>
      <c r="J192" s="683"/>
      <c r="K192" s="681"/>
      <c r="L192" s="682"/>
      <c r="M192" s="683"/>
      <c r="N192" s="682"/>
      <c r="O192" s="683"/>
      <c r="P192" s="681"/>
      <c r="Q192" s="682"/>
      <c r="R192" s="683"/>
      <c r="S192" s="682"/>
      <c r="T192" s="599"/>
      <c r="U192" s="504"/>
      <c r="V192" s="504"/>
      <c r="W192" s="504"/>
      <c r="X192" s="504"/>
      <c r="Y192" s="504"/>
      <c r="Z192" s="504"/>
      <c r="AA192" s="504"/>
      <c r="AB192" s="50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</row>
    <row r="193" spans="1:40" ht="24.75" customHeight="1" thickTop="1">
      <c r="A193" s="517" t="s">
        <v>340</v>
      </c>
      <c r="B193" s="504" t="s">
        <v>83</v>
      </c>
      <c r="C193" s="553" t="s">
        <v>96</v>
      </c>
      <c r="D193" s="554"/>
      <c r="E193" s="554">
        <f t="shared" ref="E193:F193" si="44">E184+E187+E190</f>
        <v>226787.81927032204</v>
      </c>
      <c r="F193" s="556">
        <f t="shared" si="44"/>
        <v>152147.72158321098</v>
      </c>
      <c r="G193" s="557"/>
      <c r="H193" s="554"/>
      <c r="I193" s="556"/>
      <c r="J193" s="557"/>
      <c r="K193" s="554">
        <f t="shared" ref="K193:L193" si="45">K184+K187+K190</f>
        <v>269713.07999999996</v>
      </c>
      <c r="L193" s="556">
        <f t="shared" si="45"/>
        <v>180404.30999999997</v>
      </c>
      <c r="M193" s="684">
        <f>L194-F194</f>
        <v>-2.006462057901337E-3</v>
      </c>
      <c r="N193" s="556">
        <f>L193-F193</f>
        <v>28256.588416788989</v>
      </c>
      <c r="O193" s="557"/>
      <c r="P193" s="554">
        <f t="shared" ref="P193:Q193" si="46">P184+P187+P190</f>
        <v>235573.95</v>
      </c>
      <c r="Q193" s="556">
        <f t="shared" si="46"/>
        <v>159232.40000000002</v>
      </c>
      <c r="R193" s="684"/>
      <c r="S193" s="556">
        <f>L193-Q193</f>
        <v>21171.909999999945</v>
      </c>
      <c r="T193" s="599"/>
      <c r="U193" s="504"/>
      <c r="V193" s="504"/>
      <c r="W193" s="504"/>
      <c r="X193" s="504"/>
      <c r="Y193" s="504"/>
      <c r="Z193" s="504"/>
      <c r="AA193" s="504"/>
      <c r="AB193" s="50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</row>
    <row r="194" spans="1:40" ht="24" customHeight="1" thickBot="1">
      <c r="A194" s="517" t="s">
        <v>83</v>
      </c>
      <c r="B194" s="504" t="s">
        <v>83</v>
      </c>
      <c r="C194" s="558"/>
      <c r="D194" s="559"/>
      <c r="E194" s="559"/>
      <c r="F194" s="563">
        <f>F193/E193</f>
        <v>0.67088136423172251</v>
      </c>
      <c r="G194" s="558"/>
      <c r="H194" s="559"/>
      <c r="I194" s="563"/>
      <c r="J194" s="558"/>
      <c r="K194" s="559"/>
      <c r="L194" s="563">
        <f>L193/K193</f>
        <v>0.66887490217382117</v>
      </c>
      <c r="M194" s="562"/>
      <c r="N194" s="563">
        <f>N193/F193</f>
        <v>0.18571811738459193</v>
      </c>
      <c r="O194" s="558"/>
      <c r="P194" s="559"/>
      <c r="Q194" s="563">
        <f>Q193/P193</f>
        <v>0.67593382035662264</v>
      </c>
      <c r="R194" s="562"/>
      <c r="S194" s="563">
        <f>L193/S193</f>
        <v>8.5209274930792933</v>
      </c>
      <c r="T194" s="564"/>
      <c r="U194" s="504"/>
      <c r="V194" s="504"/>
      <c r="W194" s="504"/>
      <c r="X194" s="504"/>
      <c r="Y194" s="504"/>
      <c r="Z194" s="504"/>
      <c r="AA194" s="504"/>
      <c r="AB194" s="50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</row>
    <row r="195" spans="1:40" ht="15.75" customHeight="1" thickTop="1">
      <c r="A195" s="517" t="s">
        <v>83</v>
      </c>
      <c r="B195" s="504" t="s">
        <v>83</v>
      </c>
      <c r="C195" s="544"/>
      <c r="D195" s="564"/>
      <c r="E195" s="564"/>
      <c r="F195" s="543"/>
      <c r="G195" s="544"/>
      <c r="H195" s="564"/>
      <c r="I195" s="543"/>
      <c r="J195" s="544"/>
      <c r="K195" s="599"/>
      <c r="L195" s="543"/>
      <c r="M195" s="542"/>
      <c r="N195" s="543"/>
      <c r="O195" s="544"/>
      <c r="P195" s="564"/>
      <c r="Q195" s="543"/>
      <c r="R195" s="542"/>
      <c r="S195" s="543"/>
      <c r="T195" s="564"/>
      <c r="U195" s="504"/>
      <c r="V195" s="504"/>
      <c r="W195" s="504"/>
      <c r="X195" s="504"/>
      <c r="Y195" s="504"/>
      <c r="Z195" s="504"/>
      <c r="AA195" s="504"/>
      <c r="AB195" s="50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</row>
    <row r="196" spans="1:40" ht="15.75" customHeight="1">
      <c r="A196" s="517" t="s">
        <v>341</v>
      </c>
      <c r="B196" s="504" t="s">
        <v>83</v>
      </c>
      <c r="C196" s="566" t="s">
        <v>30</v>
      </c>
      <c r="D196" s="504"/>
      <c r="E196" s="504"/>
      <c r="F196" s="551"/>
      <c r="G196" s="525"/>
      <c r="H196" s="504"/>
      <c r="I196" s="551"/>
      <c r="J196" s="525"/>
      <c r="K196" s="504"/>
      <c r="L196" s="535"/>
      <c r="M196" s="525"/>
      <c r="N196" s="535"/>
      <c r="O196" s="525"/>
      <c r="P196" s="504"/>
      <c r="Q196" s="535"/>
      <c r="R196" s="525"/>
      <c r="S196" s="535"/>
      <c r="T196" s="504"/>
      <c r="U196" s="504"/>
      <c r="V196" s="504"/>
      <c r="W196" s="504"/>
      <c r="X196" s="504"/>
      <c r="Y196" s="504"/>
      <c r="Z196" s="504"/>
      <c r="AA196" s="504"/>
      <c r="AB196" s="50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</row>
    <row r="197" spans="1:40" ht="15.75" customHeight="1">
      <c r="A197" s="517" t="s">
        <v>342</v>
      </c>
      <c r="B197" s="504" t="s">
        <v>83</v>
      </c>
      <c r="C197" s="592" t="s">
        <v>41</v>
      </c>
      <c r="D197" s="504"/>
      <c r="E197" s="504"/>
      <c r="F197" s="526">
        <f t="array" ref="F197">+INDEX('[5]Budget original'!$A$2:$AO$500,MATCH($A197,'[5]Budget original'!$A$2:$A$500,0),MATCH(F$2,'[5]Budget original'!$A$2:$AO$2,0))</f>
        <v>12721.539463601532</v>
      </c>
      <c r="G197" s="525"/>
      <c r="H197" s="504"/>
      <c r="I197" s="526"/>
      <c r="J197" s="525"/>
      <c r="K197" s="504"/>
      <c r="L197" s="528">
        <f>SUMIFS([5]BV_Data_An_Cour!$O:$O,[5]BV_Data_An_Cour!$U:$U,$B197,[5]BV_Data_An_Cour!$V:$V,$C197,[5]BV_Data_An_Cour!$W:$W,$L$2)</f>
        <v>15471.14</v>
      </c>
      <c r="M197" s="525"/>
      <c r="N197" s="551">
        <f t="shared" ref="N197:N228" si="47">L197-F197</f>
        <v>2749.6005363984677</v>
      </c>
      <c r="O197" s="525"/>
      <c r="P197" s="504"/>
      <c r="Q197" s="528">
        <f>SUMIFS([5]BV_Data_An_Prec!$O:$O,[5]BV_Data_An_Prec!$U:$U,$B197,[5]BV_Data_An_Prec!$V:$V,$C197,[5]BV_Data_An_Prec!$W:$W,$L$2)</f>
        <v>9063.5499999999993</v>
      </c>
      <c r="R197" s="525"/>
      <c r="S197" s="528">
        <f t="shared" ref="S197:S228" si="48">L197-Q197</f>
        <v>6407.59</v>
      </c>
      <c r="T197" s="504"/>
      <c r="U197" s="504"/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</row>
    <row r="198" spans="1:40" ht="15.75" customHeight="1">
      <c r="A198" s="517" t="s">
        <v>343</v>
      </c>
      <c r="B198" s="504" t="s">
        <v>83</v>
      </c>
      <c r="C198" s="593" t="s">
        <v>42</v>
      </c>
      <c r="D198" s="577"/>
      <c r="E198" s="504"/>
      <c r="F198" s="520">
        <f t="array" ref="F198">+INDEX('[5]Budget original'!$A$2:$AO$500,MATCH($A198,'[5]Budget original'!$A$2:$A$500,0),MATCH(F$2,'[5]Budget original'!$A$2:$AO$2,0))</f>
        <v>10086.291954022989</v>
      </c>
      <c r="G198" s="578"/>
      <c r="H198" s="504"/>
      <c r="I198" s="520"/>
      <c r="J198" s="525"/>
      <c r="K198" s="504"/>
      <c r="L198" s="528">
        <f>SUMIFS([5]BV_Data_An_Cour!$O:$O,[5]BV_Data_An_Cour!$U:$U,$B198,[5]BV_Data_An_Cour!$V:$V,$C198,[5]BV_Data_An_Cour!$W:$W,$L$2)</f>
        <v>7065.61</v>
      </c>
      <c r="M198" s="525"/>
      <c r="N198" s="551">
        <f t="shared" si="47"/>
        <v>-3020.681954022989</v>
      </c>
      <c r="O198" s="525"/>
      <c r="P198" s="504"/>
      <c r="Q198" s="528">
        <f>SUMIFS([5]BV_Data_An_Prec!$O:$O,[5]BV_Data_An_Prec!$U:$U,$B198,[5]BV_Data_An_Prec!$V:$V,$C198,[5]BV_Data_An_Prec!$W:$W,$L$2)</f>
        <v>5560.81</v>
      </c>
      <c r="R198" s="525"/>
      <c r="S198" s="551">
        <f t="shared" si="48"/>
        <v>1504.7999999999993</v>
      </c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</row>
    <row r="199" spans="1:40" ht="20.399999999999999">
      <c r="A199" s="517" t="s">
        <v>344</v>
      </c>
      <c r="B199" s="504" t="s">
        <v>83</v>
      </c>
      <c r="C199" s="592" t="s">
        <v>43</v>
      </c>
      <c r="D199" s="594"/>
      <c r="E199" s="595"/>
      <c r="F199" s="526">
        <f t="array" ref="F199">+INDEX('[5]Budget original'!$A$2:$AO$500,MATCH($A199,'[5]Budget original'!$A$2:$A$500,0),MATCH(F$2,'[5]Budget original'!$A$2:$AO$2,0))</f>
        <v>12981.605363984674</v>
      </c>
      <c r="G199" s="596"/>
      <c r="H199" s="595"/>
      <c r="I199" s="526"/>
      <c r="J199" s="512"/>
      <c r="K199" s="595"/>
      <c r="L199" s="547">
        <f>SUMIFS([5]BV_Data_An_Cour!$O:$O,[5]BV_Data_An_Cour!$U:$U,$B199,[5]BV_Data_An_Cour!$V:$V,$C199,[5]BV_Data_An_Cour!$W:$W,$L$2)</f>
        <v>5232</v>
      </c>
      <c r="M199" s="512"/>
      <c r="N199" s="597">
        <f t="shared" si="47"/>
        <v>-7749.6053639846741</v>
      </c>
      <c r="O199" s="512"/>
      <c r="P199" s="595"/>
      <c r="Q199" s="547">
        <f>SUMIFS([5]BV_Data_An_Prec!$O:$O,[5]BV_Data_An_Prec!$U:$U,$B199,[5]BV_Data_An_Prec!$V:$V,$C199,[5]BV_Data_An_Prec!$W:$W,$L$2)</f>
        <v>17561.88</v>
      </c>
      <c r="R199" s="512"/>
      <c r="S199" s="597">
        <f t="shared" si="48"/>
        <v>-12329.880000000001</v>
      </c>
      <c r="T199" s="504"/>
      <c r="U199" s="504"/>
      <c r="V199" s="504"/>
      <c r="W199" s="504"/>
      <c r="X199" s="504"/>
      <c r="Y199" s="504">
        <f>(45000*1.3)/12</f>
        <v>4875</v>
      </c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</row>
    <row r="200" spans="1:40" ht="21.75" customHeight="1">
      <c r="A200" s="517" t="s">
        <v>345</v>
      </c>
      <c r="B200" s="504" t="s">
        <v>83</v>
      </c>
      <c r="C200" s="592" t="s">
        <v>44</v>
      </c>
      <c r="D200" s="577"/>
      <c r="E200" s="504"/>
      <c r="F200" s="526">
        <f t="array" ref="F200">+INDEX('[5]Budget original'!$A$2:$AO$500,MATCH($A200,'[5]Budget original'!$A$2:$A$500,0),MATCH(F$2,'[5]Budget original'!$A$2:$AO$2,0))</f>
        <v>30623.097033317408</v>
      </c>
      <c r="G200" s="578"/>
      <c r="H200" s="504"/>
      <c r="I200" s="526"/>
      <c r="J200" s="525"/>
      <c r="K200" s="504"/>
      <c r="L200" s="528">
        <f>SUMIFS([5]BV_Data_An_Cour!$O:$O,[5]BV_Data_An_Cour!$U:$U,$B200,[5]BV_Data_An_Cour!$V:$V,$C200,[5]BV_Data_An_Cour!$W:$W,$L$2)</f>
        <v>23983.360000000001</v>
      </c>
      <c r="M200" s="525"/>
      <c r="N200" s="551">
        <f t="shared" si="47"/>
        <v>-6639.7370333174076</v>
      </c>
      <c r="O200" s="525"/>
      <c r="P200" s="504"/>
      <c r="Q200" s="528">
        <f>SUMIFS([5]BV_Data_An_Prec!$O:$O,[5]BV_Data_An_Prec!$U:$U,$B200,[5]BV_Data_An_Prec!$V:$V,$C200,[5]BV_Data_An_Prec!$W:$W,$L$2)</f>
        <v>24792.86</v>
      </c>
      <c r="R200" s="525"/>
      <c r="S200" s="551">
        <f t="shared" si="48"/>
        <v>-809.5</v>
      </c>
      <c r="T200" s="504"/>
      <c r="U200" s="504"/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</row>
    <row r="201" spans="1:40" ht="15.75" hidden="1" customHeight="1">
      <c r="A201" s="517" t="s">
        <v>346</v>
      </c>
      <c r="B201" s="504" t="s">
        <v>83</v>
      </c>
      <c r="C201" s="525" t="s">
        <v>20</v>
      </c>
      <c r="D201" s="577"/>
      <c r="E201" s="504"/>
      <c r="F201" s="526">
        <f t="array" ref="F201">+INDEX('[5]Budget original'!$A$2:$AO$500,MATCH($A201,'[5]Budget original'!$A$2:$A$500,0),MATCH(F$2,'[5]Budget original'!$A$2:$AO$2,0))</f>
        <v>0</v>
      </c>
      <c r="G201" s="578"/>
      <c r="H201" s="504"/>
      <c r="I201" s="526"/>
      <c r="J201" s="525"/>
      <c r="K201" s="504"/>
      <c r="L201" s="528">
        <f>SUMIFS([5]BV_Data_An_Cour!$O:$O,[5]BV_Data_An_Cour!$U:$U,$B201,[5]BV_Data_An_Cour!$V:$V,$C201,[5]BV_Data_An_Cour!$W:$W,$L$2)</f>
        <v>0</v>
      </c>
      <c r="M201" s="525"/>
      <c r="N201" s="551">
        <f t="shared" si="47"/>
        <v>0</v>
      </c>
      <c r="O201" s="525"/>
      <c r="P201" s="504"/>
      <c r="Q201" s="528">
        <f>SUMIFS([5]BV_Data_An_Prec!$O:$O,[5]BV_Data_An_Prec!$U:$U,$B201,[5]BV_Data_An_Prec!$V:$V,$C201,[5]BV_Data_An_Prec!$W:$W,$L$2)</f>
        <v>0</v>
      </c>
      <c r="R201" s="525"/>
      <c r="S201" s="551">
        <f t="shared" si="48"/>
        <v>0</v>
      </c>
      <c r="T201" s="504"/>
      <c r="U201" s="504"/>
      <c r="V201" s="504"/>
      <c r="W201" s="504"/>
      <c r="X201" s="504"/>
      <c r="Y201" s="504"/>
      <c r="Z201" s="504"/>
      <c r="AA201" s="504"/>
      <c r="AB201" s="50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</row>
    <row r="202" spans="1:40" ht="15.75" hidden="1" customHeight="1">
      <c r="A202" s="517" t="s">
        <v>346</v>
      </c>
      <c r="B202" s="504" t="s">
        <v>83</v>
      </c>
      <c r="C202" s="525" t="s">
        <v>20</v>
      </c>
      <c r="D202" s="577"/>
      <c r="E202" s="504"/>
      <c r="F202" s="526">
        <f t="array" ref="F202">+INDEX('[5]Budget original'!$A$2:$AO$500,MATCH($A202,'[5]Budget original'!$A$2:$A$500,0),MATCH(F$2,'[5]Budget original'!$A$2:$AO$2,0))</f>
        <v>0</v>
      </c>
      <c r="G202" s="578"/>
      <c r="H202" s="504"/>
      <c r="I202" s="526"/>
      <c r="J202" s="525"/>
      <c r="K202" s="504"/>
      <c r="L202" s="528">
        <f>SUMIFS([5]BV_Data_An_Cour!$O:$O,[5]BV_Data_An_Cour!$U:$U,$B202,[5]BV_Data_An_Cour!$V:$V,$C202,[5]BV_Data_An_Cour!$W:$W,$L$2)</f>
        <v>0</v>
      </c>
      <c r="M202" s="525"/>
      <c r="N202" s="551">
        <f t="shared" si="47"/>
        <v>0</v>
      </c>
      <c r="O202" s="525"/>
      <c r="P202" s="504"/>
      <c r="Q202" s="528">
        <f>SUMIFS([5]BV_Data_An_Prec!$O:$O,[5]BV_Data_An_Prec!$U:$U,$B202,[5]BV_Data_An_Prec!$V:$V,$C202,[5]BV_Data_An_Prec!$W:$W,$L$2)</f>
        <v>0</v>
      </c>
      <c r="R202" s="525"/>
      <c r="S202" s="551">
        <f t="shared" si="48"/>
        <v>0</v>
      </c>
      <c r="T202" s="504"/>
      <c r="U202" s="504"/>
      <c r="V202" s="504"/>
      <c r="W202" s="504"/>
      <c r="X202" s="504"/>
      <c r="Y202" s="504"/>
      <c r="Z202" s="504"/>
      <c r="AA202" s="504"/>
      <c r="AB202" s="50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</row>
    <row r="203" spans="1:40" ht="15.75" hidden="1" customHeight="1">
      <c r="A203" s="517" t="s">
        <v>346</v>
      </c>
      <c r="B203" s="504" t="s">
        <v>83</v>
      </c>
      <c r="C203" s="525" t="s">
        <v>20</v>
      </c>
      <c r="D203" s="577"/>
      <c r="E203" s="504"/>
      <c r="F203" s="526">
        <f t="array" ref="F203">+INDEX('[5]Budget original'!$A$2:$AO$500,MATCH($A203,'[5]Budget original'!$A$2:$A$500,0),MATCH(F$2,'[5]Budget original'!$A$2:$AO$2,0))</f>
        <v>0</v>
      </c>
      <c r="G203" s="578"/>
      <c r="H203" s="504"/>
      <c r="I203" s="526"/>
      <c r="J203" s="525"/>
      <c r="K203" s="504"/>
      <c r="L203" s="528">
        <f>SUMIFS([5]BV_Data_An_Cour!$O:$O,[5]BV_Data_An_Cour!$U:$U,$B203,[5]BV_Data_An_Cour!$V:$V,$C203,[5]BV_Data_An_Cour!$W:$W,$L$2)</f>
        <v>0</v>
      </c>
      <c r="M203" s="525"/>
      <c r="N203" s="551">
        <f t="shared" si="47"/>
        <v>0</v>
      </c>
      <c r="O203" s="525"/>
      <c r="P203" s="504"/>
      <c r="Q203" s="528">
        <f>SUMIFS([5]BV_Data_An_Prec!$O:$O,[5]BV_Data_An_Prec!$U:$U,$B203,[5]BV_Data_An_Prec!$V:$V,$C203,[5]BV_Data_An_Prec!$W:$W,$L$2)</f>
        <v>0</v>
      </c>
      <c r="R203" s="525"/>
      <c r="S203" s="551">
        <f t="shared" si="48"/>
        <v>0</v>
      </c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</row>
    <row r="204" spans="1:40" ht="21.75" customHeight="1">
      <c r="A204" s="517" t="s">
        <v>347</v>
      </c>
      <c r="B204" s="504" t="s">
        <v>83</v>
      </c>
      <c r="C204" s="593" t="s">
        <v>45</v>
      </c>
      <c r="D204" s="577"/>
      <c r="E204" s="504"/>
      <c r="F204" s="526">
        <f t="array" ref="F204">+INDEX('[5]Budget original'!$A$2:$AO$500,MATCH($A204,'[5]Budget original'!$A$2:$A$500,0),MATCH(F$2,'[5]Budget original'!$A$2:$AO$2,0))</f>
        <v>14145.500554724578</v>
      </c>
      <c r="G204" s="578"/>
      <c r="H204" s="504"/>
      <c r="I204" s="526"/>
      <c r="J204" s="525"/>
      <c r="K204" s="504"/>
      <c r="L204" s="528">
        <f>SUMIFS([5]BV_Data_An_Cour!$O:$O,[5]BV_Data_An_Cour!$U:$U,$B204,[5]BV_Data_An_Cour!$V:$V,$C204,[5]BV_Data_An_Cour!$W:$W,$L$2)</f>
        <v>16870.189999999999</v>
      </c>
      <c r="M204" s="525"/>
      <c r="N204" s="551">
        <f t="shared" si="47"/>
        <v>2724.6894452754204</v>
      </c>
      <c r="O204" s="525"/>
      <c r="P204" s="504"/>
      <c r="Q204" s="528">
        <f>SUMIFS([5]BV_Data_An_Prec!$O:$O,[5]BV_Data_An_Prec!$U:$U,$B204,[5]BV_Data_An_Prec!$V:$V,$C204,[5]BV_Data_An_Prec!$W:$W,$L$2)</f>
        <v>19707.28</v>
      </c>
      <c r="R204" s="525"/>
      <c r="S204" s="551">
        <f t="shared" si="48"/>
        <v>-2837.09</v>
      </c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</row>
    <row r="205" spans="1:40" ht="15.75" customHeight="1">
      <c r="A205" s="517" t="s">
        <v>348</v>
      </c>
      <c r="B205" s="504" t="s">
        <v>83</v>
      </c>
      <c r="C205" s="592" t="s">
        <v>46</v>
      </c>
      <c r="D205" s="594"/>
      <c r="E205" s="595"/>
      <c r="F205" s="547">
        <f t="array" ref="F205">+INDEX('[5]Budget original'!$A$2:$AO$500,MATCH($A205,'[5]Budget original'!$A$2:$A$500,0),MATCH(F$2,'[5]Budget original'!$A$2:$AO$2,0))</f>
        <v>14062.020279103181</v>
      </c>
      <c r="G205" s="596"/>
      <c r="H205" s="595"/>
      <c r="I205" s="547"/>
      <c r="J205" s="512"/>
      <c r="K205" s="595"/>
      <c r="L205" s="547">
        <f>SUMIFS([5]BV_Data_An_Cour!$O:$O,[5]BV_Data_An_Cour!$U:$U,$B205,[5]BV_Data_An_Cour!$V:$V,$C205,[5]BV_Data_An_Cour!$W:$W,$L$2)</f>
        <v>20788.66</v>
      </c>
      <c r="M205" s="512"/>
      <c r="N205" s="597">
        <f t="shared" si="47"/>
        <v>6726.6397208968192</v>
      </c>
      <c r="O205" s="512"/>
      <c r="P205" s="595"/>
      <c r="Q205" s="547">
        <f>SUMIFS([5]BV_Data_An_Prec!$O:$O,[5]BV_Data_An_Prec!$U:$U,$B205,[5]BV_Data_An_Prec!$V:$V,$C205,[5]BV_Data_An_Prec!$W:$W,$L$2)</f>
        <v>16808.12</v>
      </c>
      <c r="R205" s="512"/>
      <c r="S205" s="597">
        <f t="shared" si="48"/>
        <v>3980.5400000000009</v>
      </c>
      <c r="T205" s="504"/>
      <c r="U205" s="504"/>
      <c r="V205" s="504">
        <f>5608/3</f>
        <v>1869.3333333333333</v>
      </c>
      <c r="W205" s="504"/>
      <c r="X205" s="504"/>
      <c r="Y205" s="504"/>
      <c r="Z205" s="504"/>
      <c r="AA205" s="504"/>
      <c r="AB205" s="50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</row>
    <row r="206" spans="1:40" ht="15.75" customHeight="1">
      <c r="A206" s="517" t="s">
        <v>349</v>
      </c>
      <c r="B206" s="504" t="s">
        <v>83</v>
      </c>
      <c r="C206" s="592" t="s">
        <v>47</v>
      </c>
      <c r="D206" s="577"/>
      <c r="E206" s="504"/>
      <c r="F206" s="526">
        <f t="array" ref="F206">+INDEX('[5]Budget original'!$A$2:$AO$500,MATCH($A206,'[5]Budget original'!$A$2:$A$500,0),MATCH(F$2,'[5]Budget original'!$A$2:$AO$2,0))</f>
        <v>9847.0426736999798</v>
      </c>
      <c r="G206" s="578"/>
      <c r="H206" s="504"/>
      <c r="I206" s="526"/>
      <c r="J206" s="525"/>
      <c r="K206" s="504"/>
      <c r="L206" s="528">
        <f>SUMIFS([5]BV_Data_An_Cour!$O:$O,[5]BV_Data_An_Cour!$U:$U,$B206,[5]BV_Data_An_Cour!$V:$V,$C206,[5]BV_Data_An_Cour!$W:$W,$L$2)</f>
        <v>10049.94</v>
      </c>
      <c r="M206" s="525"/>
      <c r="N206" s="551">
        <f t="shared" si="47"/>
        <v>202.89732630002072</v>
      </c>
      <c r="O206" s="525"/>
      <c r="P206" s="504"/>
      <c r="Q206" s="528">
        <f>SUMIFS([5]BV_Data_An_Prec!$O:$O,[5]BV_Data_An_Prec!$U:$U,$B206,[5]BV_Data_An_Prec!$V:$V,$C206,[5]BV_Data_An_Prec!$W:$W,$L$2)</f>
        <v>5840.27</v>
      </c>
      <c r="R206" s="525"/>
      <c r="S206" s="551">
        <f t="shared" si="48"/>
        <v>4209.67</v>
      </c>
      <c r="T206" s="504"/>
      <c r="U206" s="504"/>
      <c r="V206" s="504"/>
      <c r="W206" s="504"/>
      <c r="X206" s="504"/>
      <c r="Y206" s="504"/>
      <c r="Z206" s="504"/>
      <c r="AA206" s="504"/>
      <c r="AB206" s="50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</row>
    <row r="207" spans="1:40" ht="15.75" customHeight="1">
      <c r="A207" s="517" t="s">
        <v>350</v>
      </c>
      <c r="B207" s="504" t="s">
        <v>83</v>
      </c>
      <c r="C207" s="592" t="s">
        <v>48</v>
      </c>
      <c r="D207" s="577"/>
      <c r="E207" s="504"/>
      <c r="F207" s="526">
        <f t="array" ref="F207">+INDEX('[5]Budget original'!$A$2:$AO$500,MATCH($A207,'[5]Budget original'!$A$2:$A$500,0),MATCH(F$2,'[5]Budget original'!$A$2:$AO$2,0))</f>
        <v>4704.2161117414726</v>
      </c>
      <c r="G207" s="578"/>
      <c r="H207" s="504"/>
      <c r="I207" s="526"/>
      <c r="J207" s="525"/>
      <c r="K207" s="504"/>
      <c r="L207" s="528">
        <f>SUMIFS([5]BV_Data_An_Cour!$O:$O,[5]BV_Data_An_Cour!$U:$U,$B207,[5]BV_Data_An_Cour!$V:$V,$C207,[5]BV_Data_An_Cour!$W:$W,$L$2)</f>
        <v>3934.27</v>
      </c>
      <c r="M207" s="525"/>
      <c r="N207" s="551">
        <f t="shared" si="47"/>
        <v>-769.94611174147258</v>
      </c>
      <c r="O207" s="525"/>
      <c r="P207" s="504"/>
      <c r="Q207" s="528">
        <f>SUMIFS([5]BV_Data_An_Prec!$O:$O,[5]BV_Data_An_Prec!$U:$U,$B207,[5]BV_Data_An_Prec!$V:$V,$C207,[5]BV_Data_An_Prec!$W:$W,$L$2)</f>
        <v>7273.93</v>
      </c>
      <c r="R207" s="525"/>
      <c r="S207" s="551">
        <f t="shared" si="48"/>
        <v>-3339.6600000000003</v>
      </c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</row>
    <row r="208" spans="1:40" ht="15.75" hidden="1" customHeight="1">
      <c r="A208" s="517" t="s">
        <v>346</v>
      </c>
      <c r="B208" s="504" t="s">
        <v>83</v>
      </c>
      <c r="C208" s="525" t="s">
        <v>20</v>
      </c>
      <c r="D208" s="579"/>
      <c r="E208" s="598"/>
      <c r="F208" s="526">
        <f t="array" ref="F208">+INDEX('[5]Budget original'!$A$2:$AO$500,MATCH($A208,'[5]Budget original'!$A$2:$A$500,0),MATCH(F$2,'[5]Budget original'!$A$2:$AO$2,0))</f>
        <v>0</v>
      </c>
      <c r="G208" s="580"/>
      <c r="H208" s="598"/>
      <c r="I208" s="526"/>
      <c r="J208" s="518"/>
      <c r="K208" s="598"/>
      <c r="L208" s="528">
        <f>SUMIFS([5]BV_Data_An_Cour!$O:$O,[5]BV_Data_An_Cour!$U:$U,$B208,[5]BV_Data_An_Cour!$V:$V,$C208,[5]BV_Data_An_Cour!$W:$W,$L$2)</f>
        <v>0</v>
      </c>
      <c r="M208" s="518"/>
      <c r="N208" s="574">
        <f t="shared" si="47"/>
        <v>0</v>
      </c>
      <c r="O208" s="518"/>
      <c r="P208" s="598"/>
      <c r="Q208" s="528">
        <f>SUMIFS([5]BV_Data_An_Prec!$O:$O,[5]BV_Data_An_Prec!$U:$U,$B208,[5]BV_Data_An_Prec!$V:$V,$C208,[5]BV_Data_An_Prec!$W:$W,$L$2)</f>
        <v>0</v>
      </c>
      <c r="R208" s="518"/>
      <c r="S208" s="574">
        <f t="shared" si="48"/>
        <v>0</v>
      </c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</row>
    <row r="209" spans="1:40" ht="15.75" customHeight="1">
      <c r="A209" s="517" t="s">
        <v>351</v>
      </c>
      <c r="B209" s="504" t="s">
        <v>83</v>
      </c>
      <c r="C209" s="584" t="s">
        <v>49</v>
      </c>
      <c r="D209" s="585" t="s">
        <v>97</v>
      </c>
      <c r="E209" s="586">
        <f>F209/F$193</f>
        <v>0.71753498703882357</v>
      </c>
      <c r="F209" s="587">
        <f>+SUM(F197:F208)</f>
        <v>109171.31343419582</v>
      </c>
      <c r="G209" s="588"/>
      <c r="H209" s="586"/>
      <c r="I209" s="587"/>
      <c r="J209" s="588" t="s">
        <v>97</v>
      </c>
      <c r="K209" s="586">
        <f>L209/L$193</f>
        <v>0.57313026501417863</v>
      </c>
      <c r="L209" s="587">
        <f>+SUM(L197:L208)</f>
        <v>103395.17000000001</v>
      </c>
      <c r="M209" s="637"/>
      <c r="N209" s="600">
        <f t="shared" si="47"/>
        <v>-5776.1434341958084</v>
      </c>
      <c r="O209" s="588" t="s">
        <v>97</v>
      </c>
      <c r="P209" s="586">
        <f>Q209/Q$193</f>
        <v>0.66951637983224521</v>
      </c>
      <c r="Q209" s="587">
        <f>+SUM(Q197:Q208)</f>
        <v>106608.70000000001</v>
      </c>
      <c r="R209" s="637"/>
      <c r="S209" s="600">
        <f t="shared" si="48"/>
        <v>-3213.5299999999988</v>
      </c>
      <c r="T209" s="504"/>
      <c r="U209" s="504"/>
      <c r="V209" s="504"/>
      <c r="W209" s="504"/>
      <c r="X209" s="504"/>
      <c r="Y209" s="504"/>
      <c r="Z209" s="504"/>
      <c r="AA209" s="504"/>
      <c r="AB209" s="50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</row>
    <row r="210" spans="1:40" ht="15.75" customHeight="1">
      <c r="A210" s="517" t="s">
        <v>352</v>
      </c>
      <c r="B210" s="504" t="s">
        <v>83</v>
      </c>
      <c r="C210" s="525" t="s">
        <v>50</v>
      </c>
      <c r="D210" s="577"/>
      <c r="E210" s="504"/>
      <c r="F210" s="526">
        <f t="array" ref="F210">+INDEX('[5]Budget original'!$A$2:$AO$500,MATCH($A210,'[5]Budget original'!$A$2:$A$500,0),MATCH(F$2,'[5]Budget original'!$A$2:$AO$2,0))</f>
        <v>8429.5936020833342</v>
      </c>
      <c r="G210" s="578"/>
      <c r="H210" s="504"/>
      <c r="I210" s="526"/>
      <c r="J210" s="525"/>
      <c r="K210" s="504"/>
      <c r="L210" s="528">
        <f>SUMIFS([5]BV_Data_An_Cour!$O:$O,[5]BV_Data_An_Cour!$U:$U,$B210,[5]BV_Data_An_Cour!$V:$V,$C210,[5]BV_Data_An_Cour!$W:$W,$L$2)</f>
        <v>12593.62</v>
      </c>
      <c r="M210" s="525"/>
      <c r="N210" s="551">
        <f t="shared" si="47"/>
        <v>4164.0263979166666</v>
      </c>
      <c r="O210" s="525"/>
      <c r="P210" s="504"/>
      <c r="Q210" s="528">
        <f>SUMIFS([5]BV_Data_An_Prec!$O:$O,[5]BV_Data_An_Prec!$U:$U,$B210,[5]BV_Data_An_Prec!$V:$V,$C210,[5]BV_Data_An_Prec!$W:$W,$L$2)</f>
        <v>9723.5400000000009</v>
      </c>
      <c r="R210" s="525"/>
      <c r="S210" s="551">
        <f t="shared" si="48"/>
        <v>2870.08</v>
      </c>
      <c r="T210" s="504"/>
      <c r="U210" s="504"/>
      <c r="V210" s="504"/>
      <c r="W210" s="504"/>
      <c r="X210" s="504"/>
      <c r="Y210" s="504"/>
      <c r="Z210" s="504"/>
      <c r="AA210" s="504"/>
      <c r="AB210" s="50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</row>
    <row r="211" spans="1:40" ht="15.75" customHeight="1">
      <c r="A211" s="517" t="s">
        <v>353</v>
      </c>
      <c r="B211" s="504" t="s">
        <v>83</v>
      </c>
      <c r="C211" s="525" t="s">
        <v>51</v>
      </c>
      <c r="D211" s="577"/>
      <c r="E211" s="504"/>
      <c r="F211" s="526">
        <f t="array" ref="F211">+INDEX('[5]Budget original'!$A$2:$AO$500,MATCH($A211,'[5]Budget original'!$A$2:$A$500,0),MATCH(F$2,'[5]Budget original'!$A$2:$AO$2,0))</f>
        <v>2295.7079729336124</v>
      </c>
      <c r="G211" s="578"/>
      <c r="H211" s="504"/>
      <c r="I211" s="526"/>
      <c r="J211" s="525"/>
      <c r="K211" s="504"/>
      <c r="L211" s="528">
        <f>SUMIFS([5]BV_Data_An_Cour!$O:$O,[5]BV_Data_An_Cour!$U:$U,$B211,[5]BV_Data_An_Cour!$V:$V,$C211,[5]BV_Data_An_Cour!$W:$W,$L$2)</f>
        <v>4847.43</v>
      </c>
      <c r="M211" s="525"/>
      <c r="N211" s="551">
        <f t="shared" si="47"/>
        <v>2551.7220270663879</v>
      </c>
      <c r="O211" s="525"/>
      <c r="P211" s="504"/>
      <c r="Q211" s="528">
        <f>SUMIFS([5]BV_Data_An_Prec!$O:$O,[5]BV_Data_An_Prec!$U:$U,$B211,[5]BV_Data_An_Prec!$V:$V,$C211,[5]BV_Data_An_Prec!$W:$W,$L$2)</f>
        <v>2142.3200000000002</v>
      </c>
      <c r="R211" s="525"/>
      <c r="S211" s="551">
        <f t="shared" si="48"/>
        <v>2705.11</v>
      </c>
      <c r="T211" s="504"/>
      <c r="U211" s="504"/>
      <c r="V211" s="504"/>
      <c r="W211" s="504"/>
      <c r="X211" s="504"/>
      <c r="Y211" s="504"/>
      <c r="Z211" s="504"/>
      <c r="AA211" s="504"/>
      <c r="AB211" s="50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</row>
    <row r="212" spans="1:40" ht="15.75" customHeight="1">
      <c r="A212" s="517" t="s">
        <v>354</v>
      </c>
      <c r="B212" s="504" t="s">
        <v>83</v>
      </c>
      <c r="C212" s="518" t="s">
        <v>52</v>
      </c>
      <c r="D212" s="579"/>
      <c r="E212" s="598"/>
      <c r="F212" s="520">
        <f t="array" ref="F212">+INDEX('[5]Budget original'!$A$2:$AO$500,MATCH($A212,'[5]Budget original'!$A$2:$A$500,0),MATCH(F$2,'[5]Budget original'!$A$2:$AO$2,0))</f>
        <v>13231.666666666666</v>
      </c>
      <c r="G212" s="580"/>
      <c r="H212" s="598"/>
      <c r="I212" s="520"/>
      <c r="J212" s="518"/>
      <c r="K212" s="598"/>
      <c r="L212" s="528">
        <f>SUMIFS([5]BV_Data_An_Cour!$O:$O,[5]BV_Data_An_Cour!$U:$U,$B212,[5]BV_Data_An_Cour!$V:$V,$C212,[5]BV_Data_An_Cour!$W:$W,$L$2)</f>
        <v>14517.16</v>
      </c>
      <c r="M212" s="518"/>
      <c r="N212" s="574">
        <f t="shared" si="47"/>
        <v>1285.4933333333338</v>
      </c>
      <c r="O212" s="518"/>
      <c r="P212" s="598"/>
      <c r="Q212" s="528">
        <f>SUMIFS([5]BV_Data_An_Prec!$O:$O,[5]BV_Data_An_Prec!$U:$U,$B212,[5]BV_Data_An_Prec!$V:$V,$C212,[5]BV_Data_An_Prec!$W:$W,$L$2)</f>
        <v>15595.63</v>
      </c>
      <c r="R212" s="518"/>
      <c r="S212" s="574">
        <f t="shared" si="48"/>
        <v>-1078.4699999999993</v>
      </c>
      <c r="T212" s="504"/>
      <c r="U212" s="504"/>
      <c r="V212" s="504"/>
      <c r="W212" s="504"/>
      <c r="X212" s="504"/>
      <c r="Y212" s="504"/>
      <c r="Z212" s="504"/>
      <c r="AA212" s="504"/>
      <c r="AB212" s="50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</row>
    <row r="213" spans="1:40" ht="15.75" customHeight="1">
      <c r="A213" s="517" t="s">
        <v>355</v>
      </c>
      <c r="B213" s="504" t="s">
        <v>83</v>
      </c>
      <c r="C213" s="525" t="s">
        <v>53</v>
      </c>
      <c r="D213" s="577"/>
      <c r="E213" s="504"/>
      <c r="F213" s="526">
        <f t="array" ref="F213">+INDEX('[5]Budget original'!$A$2:$AO$500,MATCH($A213,'[5]Budget original'!$A$2:$A$500,0),MATCH(F$2,'[5]Budget original'!$A$2:$AO$2,0))</f>
        <v>6003.0056239999994</v>
      </c>
      <c r="G213" s="578"/>
      <c r="H213" s="504"/>
      <c r="I213" s="526"/>
      <c r="J213" s="525"/>
      <c r="K213" s="504"/>
      <c r="L213" s="547">
        <f>SUMIFS([5]BV_Data_An_Cour!$O:$O,[5]BV_Data_An_Cour!$U:$U,$B213,[5]BV_Data_An_Cour!$V:$V,$C213,[5]BV_Data_An_Cour!$W:$W,$L$2)</f>
        <v>4994.3100000000004</v>
      </c>
      <c r="M213" s="525"/>
      <c r="N213" s="551">
        <f t="shared" si="47"/>
        <v>-1008.695623999999</v>
      </c>
      <c r="O213" s="525"/>
      <c r="P213" s="504"/>
      <c r="Q213" s="547">
        <f>SUMIFS([5]BV_Data_An_Prec!$O:$O,[5]BV_Data_An_Prec!$U:$U,$B213,[5]BV_Data_An_Prec!$V:$V,$C213,[5]BV_Data_An_Prec!$W:$W,$L$2)</f>
        <v>4091.51</v>
      </c>
      <c r="R213" s="525"/>
      <c r="S213" s="551">
        <f t="shared" si="48"/>
        <v>902.80000000000018</v>
      </c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</row>
    <row r="214" spans="1:40" ht="15.75" customHeight="1">
      <c r="A214" s="517" t="s">
        <v>356</v>
      </c>
      <c r="B214" s="504" t="s">
        <v>83</v>
      </c>
      <c r="C214" s="525" t="s">
        <v>54</v>
      </c>
      <c r="D214" s="577"/>
      <c r="E214" s="504"/>
      <c r="F214" s="526">
        <f t="array" ref="F214">+INDEX('[5]Budget original'!$A$2:$AO$500,MATCH($A214,'[5]Budget original'!$A$2:$A$500,0),MATCH(F$2,'[5]Budget original'!$A$2:$AO$2,0))</f>
        <v>750.06603349999989</v>
      </c>
      <c r="G214" s="578"/>
      <c r="H214" s="504"/>
      <c r="I214" s="526"/>
      <c r="J214" s="525"/>
      <c r="K214" s="504"/>
      <c r="L214" s="528">
        <f>SUMIFS([5]BV_Data_An_Cour!$O:$O,[5]BV_Data_An_Cour!$U:$U,$B214,[5]BV_Data_An_Cour!$V:$V,$C214,[5]BV_Data_An_Cour!$W:$W,$L$2)</f>
        <v>1758.01</v>
      </c>
      <c r="M214" s="525"/>
      <c r="N214" s="551">
        <f t="shared" si="47"/>
        <v>1007.9439665000001</v>
      </c>
      <c r="O214" s="525"/>
      <c r="P214" s="504"/>
      <c r="Q214" s="528">
        <f>SUMIFS([5]BV_Data_An_Prec!$O:$O,[5]BV_Data_An_Prec!$U:$U,$B214,[5]BV_Data_An_Prec!$V:$V,$C214,[5]BV_Data_An_Prec!$W:$W,$L$2)</f>
        <v>901.28</v>
      </c>
      <c r="R214" s="525"/>
      <c r="S214" s="551">
        <f t="shared" si="48"/>
        <v>856.73</v>
      </c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</row>
    <row r="215" spans="1:40" ht="15.75" customHeight="1">
      <c r="A215" s="517" t="s">
        <v>357</v>
      </c>
      <c r="B215" s="504" t="s">
        <v>83</v>
      </c>
      <c r="C215" s="518" t="s">
        <v>55</v>
      </c>
      <c r="D215" s="579"/>
      <c r="E215" s="598"/>
      <c r="F215" s="520">
        <f t="array" ref="F215">+INDEX('[5]Budget original'!$A$2:$AO$500,MATCH($A215,'[5]Budget original'!$A$2:$A$500,0),MATCH(F$2,'[5]Budget original'!$A$2:$AO$2,0))</f>
        <v>3091.3839973333334</v>
      </c>
      <c r="G215" s="580"/>
      <c r="H215" s="598"/>
      <c r="I215" s="520"/>
      <c r="J215" s="518"/>
      <c r="K215" s="598"/>
      <c r="L215" s="528">
        <f>SUMIFS([5]BV_Data_An_Cour!$O:$O,[5]BV_Data_An_Cour!$U:$U,$B215,[5]BV_Data_An_Cour!$V:$V,$C215,[5]BV_Data_An_Cour!$W:$W,$L$2)</f>
        <v>2838</v>
      </c>
      <c r="M215" s="518"/>
      <c r="N215" s="574">
        <f t="shared" si="47"/>
        <v>-253.38399733333335</v>
      </c>
      <c r="O215" s="518"/>
      <c r="P215" s="598"/>
      <c r="Q215" s="528">
        <f>SUMIFS([5]BV_Data_An_Prec!$O:$O,[5]BV_Data_An_Prec!$U:$U,$B215,[5]BV_Data_An_Prec!$V:$V,$C215,[5]BV_Data_An_Prec!$W:$W,$L$2)</f>
        <v>1941.65</v>
      </c>
      <c r="R215" s="518"/>
      <c r="S215" s="574">
        <f t="shared" si="48"/>
        <v>896.34999999999991</v>
      </c>
      <c r="T215" s="504"/>
      <c r="U215" s="504"/>
      <c r="V215" s="504"/>
      <c r="W215" s="504"/>
      <c r="X215" s="504"/>
      <c r="Y215" s="504"/>
      <c r="Z215" s="504"/>
      <c r="AA215" s="504"/>
      <c r="AB215" s="50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</row>
    <row r="216" spans="1:40" ht="15.75" customHeight="1">
      <c r="A216" s="517" t="s">
        <v>358</v>
      </c>
      <c r="B216" s="504" t="s">
        <v>83</v>
      </c>
      <c r="C216" s="525" t="s">
        <v>98</v>
      </c>
      <c r="D216" s="577"/>
      <c r="E216" s="504"/>
      <c r="F216" s="526"/>
      <c r="G216" s="578"/>
      <c r="H216" s="504"/>
      <c r="I216" s="526"/>
      <c r="J216" s="525"/>
      <c r="K216" s="504"/>
      <c r="L216" s="547">
        <f>SUMIFS([5]BV_Data_An_Cour!$O:$O,[5]BV_Data_An_Cour!$U:$U,$B216,[5]BV_Data_An_Cour!$V:$V,$C216,[5]BV_Data_An_Cour!$W:$W,$L$2)</f>
        <v>0</v>
      </c>
      <c r="M216" s="525"/>
      <c r="N216" s="551">
        <f t="shared" si="47"/>
        <v>0</v>
      </c>
      <c r="O216" s="525"/>
      <c r="P216" s="504"/>
      <c r="Q216" s="547">
        <f>SUMIFS([5]BV_Data_An_Prec!$O:$O,[5]BV_Data_An_Prec!$U:$U,$B216,[5]BV_Data_An_Prec!$V:$V,$C216,[5]BV_Data_An_Prec!$W:$W,$L$2)</f>
        <v>0</v>
      </c>
      <c r="R216" s="525"/>
      <c r="S216" s="551">
        <f t="shared" si="48"/>
        <v>0</v>
      </c>
      <c r="T216" s="504"/>
      <c r="U216" s="504"/>
      <c r="V216" s="504"/>
      <c r="W216" s="504"/>
      <c r="X216" s="504"/>
      <c r="Y216" s="504"/>
      <c r="Z216" s="504"/>
      <c r="AA216" s="504"/>
      <c r="AB216" s="50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</row>
    <row r="217" spans="1:40" ht="15.75" customHeight="1">
      <c r="A217" s="517" t="s">
        <v>359</v>
      </c>
      <c r="B217" s="504" t="s">
        <v>83</v>
      </c>
      <c r="C217" s="525" t="s">
        <v>56</v>
      </c>
      <c r="D217" s="577"/>
      <c r="E217" s="504"/>
      <c r="F217" s="526">
        <f t="array" ref="F217">+INDEX('[5]Budget original'!$A$2:$AO$500,MATCH($A217,'[5]Budget original'!$A$2:$A$500,0),MATCH(F$2,'[5]Budget original'!$A$2:$AO$2,0))</f>
        <v>1568.6099539451754</v>
      </c>
      <c r="G217" s="578"/>
      <c r="H217" s="504"/>
      <c r="I217" s="526"/>
      <c r="J217" s="525"/>
      <c r="K217" s="504"/>
      <c r="L217" s="528">
        <f>SUMIFS([5]BV_Data_An_Cour!$O:$O,[5]BV_Data_An_Cour!$U:$U,$B217,[5]BV_Data_An_Cour!$V:$V,$C217,[5]BV_Data_An_Cour!$W:$W,$L$2)</f>
        <v>8929.44</v>
      </c>
      <c r="M217" s="525"/>
      <c r="N217" s="551">
        <f t="shared" si="47"/>
        <v>7360.8300460548253</v>
      </c>
      <c r="O217" s="525"/>
      <c r="P217" s="504"/>
      <c r="Q217" s="528">
        <f>SUMIFS([5]BV_Data_An_Prec!$O:$O,[5]BV_Data_An_Prec!$U:$U,$B217,[5]BV_Data_An_Prec!$V:$V,$C217,[5]BV_Data_An_Prec!$W:$W,$L$2)</f>
        <v>700.67</v>
      </c>
      <c r="R217" s="525"/>
      <c r="S217" s="551">
        <f t="shared" si="48"/>
        <v>8228.77</v>
      </c>
      <c r="T217" s="504"/>
      <c r="U217" s="504"/>
      <c r="V217" s="504"/>
      <c r="W217" s="504"/>
      <c r="X217" s="504"/>
      <c r="Y217" s="504"/>
      <c r="Z217" s="504"/>
      <c r="AA217" s="504"/>
      <c r="AB217" s="50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</row>
    <row r="218" spans="1:40" ht="15.75" customHeight="1">
      <c r="A218" s="517" t="s">
        <v>360</v>
      </c>
      <c r="B218" s="504" t="s">
        <v>83</v>
      </c>
      <c r="C218" s="525" t="s">
        <v>57</v>
      </c>
      <c r="D218" s="577"/>
      <c r="E218" s="504"/>
      <c r="F218" s="526">
        <f t="array" ref="F218">+INDEX('[5]Budget original'!$A$2:$AO$500,MATCH($A218,'[5]Budget original'!$A$2:$A$500,0),MATCH(F$2,'[5]Budget original'!$A$2:$AO$2,0))</f>
        <v>810.01229562880167</v>
      </c>
      <c r="G218" s="578"/>
      <c r="H218" s="504"/>
      <c r="I218" s="526"/>
      <c r="J218" s="525"/>
      <c r="K218" s="504"/>
      <c r="L218" s="528">
        <f>SUMIFS([5]BV_Data_An_Cour!$O:$O,[5]BV_Data_An_Cour!$U:$U,$B218,[5]BV_Data_An_Cour!$V:$V,$C218,[5]BV_Data_An_Cour!$W:$W,$L$2)</f>
        <v>1535.27</v>
      </c>
      <c r="M218" s="525"/>
      <c r="N218" s="551">
        <f t="shared" si="47"/>
        <v>725.25770437119832</v>
      </c>
      <c r="O218" s="525"/>
      <c r="P218" s="504"/>
      <c r="Q218" s="528">
        <f>SUMIFS([5]BV_Data_An_Prec!$O:$O,[5]BV_Data_An_Prec!$U:$U,$B218,[5]BV_Data_An_Prec!$V:$V,$C218,[5]BV_Data_An_Prec!$W:$W,$L$2)</f>
        <v>325.68</v>
      </c>
      <c r="R218" s="525"/>
      <c r="S218" s="551">
        <f t="shared" si="48"/>
        <v>1209.5899999999999</v>
      </c>
      <c r="T218" s="504"/>
      <c r="U218" s="504"/>
      <c r="V218" s="504"/>
      <c r="W218" s="504"/>
      <c r="X218" s="504"/>
      <c r="Y218" s="504"/>
      <c r="Z218" s="504"/>
      <c r="AA218" s="504"/>
      <c r="AB218" s="50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</row>
    <row r="219" spans="1:40" ht="15.75" customHeight="1">
      <c r="A219" s="517" t="s">
        <v>361</v>
      </c>
      <c r="B219" s="504" t="s">
        <v>83</v>
      </c>
      <c r="C219" s="525" t="s">
        <v>58</v>
      </c>
      <c r="D219" s="577"/>
      <c r="E219" s="504"/>
      <c r="F219" s="526">
        <f t="array" ref="F219">+INDEX('[5]Budget original'!$A$2:$AO$500,MATCH($A219,'[5]Budget original'!$A$2:$A$500,0),MATCH(F$2,'[5]Budget original'!$A$2:$AO$2,0))</f>
        <v>572.58827639999981</v>
      </c>
      <c r="G219" s="578"/>
      <c r="H219" s="504"/>
      <c r="I219" s="526"/>
      <c r="J219" s="525"/>
      <c r="K219" s="504"/>
      <c r="L219" s="528">
        <f>SUMIFS([5]BV_Data_An_Cour!$O:$O,[5]BV_Data_An_Cour!$U:$U,$B219,[5]BV_Data_An_Cour!$V:$V,$C219,[5]BV_Data_An_Cour!$W:$W,$L$2)</f>
        <v>359.87</v>
      </c>
      <c r="M219" s="525"/>
      <c r="N219" s="551">
        <f t="shared" si="47"/>
        <v>-212.71827639999981</v>
      </c>
      <c r="O219" s="525"/>
      <c r="P219" s="504"/>
      <c r="Q219" s="528">
        <f>SUMIFS([5]BV_Data_An_Prec!$O:$O,[5]BV_Data_An_Prec!$U:$U,$B219,[5]BV_Data_An_Prec!$V:$V,$C219,[5]BV_Data_An_Prec!$W:$W,$L$2)</f>
        <v>738.32</v>
      </c>
      <c r="R219" s="525"/>
      <c r="S219" s="551">
        <f t="shared" si="48"/>
        <v>-378.45000000000005</v>
      </c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</row>
    <row r="220" spans="1:40" ht="15.75" customHeight="1">
      <c r="A220" s="517" t="s">
        <v>362</v>
      </c>
      <c r="B220" s="504" t="s">
        <v>83</v>
      </c>
      <c r="C220" s="525" t="s">
        <v>59</v>
      </c>
      <c r="D220" s="577"/>
      <c r="E220" s="504"/>
      <c r="F220" s="526">
        <f t="array" ref="F220">+INDEX('[5]Budget original'!$A$2:$AO$500,MATCH($A220,'[5]Budget original'!$A$2:$A$500,0),MATCH(F$2,'[5]Budget original'!$A$2:$AO$2,0))</f>
        <v>194.04018761666666</v>
      </c>
      <c r="G220" s="578"/>
      <c r="H220" s="504"/>
      <c r="I220" s="526"/>
      <c r="J220" s="525"/>
      <c r="K220" s="504"/>
      <c r="L220" s="528">
        <f>SUMIFS([5]BV_Data_An_Cour!$O:$O,[5]BV_Data_An_Cour!$U:$U,$B220,[5]BV_Data_An_Cour!$V:$V,$C220,[5]BV_Data_An_Cour!$W:$W,$L$2)</f>
        <v>248.63</v>
      </c>
      <c r="M220" s="525"/>
      <c r="N220" s="551">
        <f t="shared" si="47"/>
        <v>54.589812383333339</v>
      </c>
      <c r="O220" s="525"/>
      <c r="P220" s="504"/>
      <c r="Q220" s="528">
        <f>SUMIFS([5]BV_Data_An_Prec!$O:$O,[5]BV_Data_An_Prec!$U:$U,$B220,[5]BV_Data_An_Prec!$V:$V,$C220,[5]BV_Data_An_Prec!$W:$W,$L$2)</f>
        <v>198.67</v>
      </c>
      <c r="R220" s="525"/>
      <c r="S220" s="551">
        <f t="shared" si="48"/>
        <v>49.960000000000008</v>
      </c>
      <c r="T220" s="504"/>
      <c r="U220" s="504"/>
      <c r="V220" s="504"/>
      <c r="W220" s="504"/>
      <c r="X220" s="504"/>
      <c r="Y220" s="504"/>
      <c r="Z220" s="504"/>
      <c r="AA220" s="504"/>
      <c r="AB220" s="50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</row>
    <row r="221" spans="1:40" ht="15.75" customHeight="1">
      <c r="A221" s="517" t="s">
        <v>363</v>
      </c>
      <c r="B221" s="504" t="s">
        <v>83</v>
      </c>
      <c r="C221" s="525" t="s">
        <v>60</v>
      </c>
      <c r="D221" s="577"/>
      <c r="E221" s="504"/>
      <c r="F221" s="526">
        <f t="array" ref="F221">+INDEX('[5]Budget original'!$A$2:$AO$500,MATCH($A221,'[5]Budget original'!$A$2:$A$500,0),MATCH(F$2,'[5]Budget original'!$A$2:$AO$2,0))</f>
        <v>92.808220383333307</v>
      </c>
      <c r="G221" s="578"/>
      <c r="H221" s="504"/>
      <c r="I221" s="526"/>
      <c r="J221" s="525"/>
      <c r="K221" s="504"/>
      <c r="L221" s="528">
        <f>SUMIFS([5]BV_Data_An_Cour!$O:$O,[5]BV_Data_An_Cour!$U:$U,$B221,[5]BV_Data_An_Cour!$V:$V,$C221,[5]BV_Data_An_Cour!$W:$W,$L$2)</f>
        <v>97.59</v>
      </c>
      <c r="M221" s="525"/>
      <c r="N221" s="551">
        <f t="shared" si="47"/>
        <v>4.7817796166666966</v>
      </c>
      <c r="O221" s="525"/>
      <c r="P221" s="504"/>
      <c r="Q221" s="528">
        <f>SUMIFS([5]BV_Data_An_Prec!$O:$O,[5]BV_Data_An_Prec!$U:$U,$B221,[5]BV_Data_An_Prec!$V:$V,$C221,[5]BV_Data_An_Prec!$W:$W,$L$2)</f>
        <v>150.72999999999999</v>
      </c>
      <c r="R221" s="525"/>
      <c r="S221" s="551">
        <f t="shared" si="48"/>
        <v>-53.139999999999986</v>
      </c>
      <c r="T221" s="504"/>
      <c r="U221" s="504"/>
      <c r="V221" s="504"/>
      <c r="W221" s="504"/>
      <c r="X221" s="504"/>
      <c r="Y221" s="504"/>
      <c r="Z221" s="504"/>
      <c r="AA221" s="504"/>
      <c r="AB221" s="50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</row>
    <row r="222" spans="1:40" ht="15.75" customHeight="1">
      <c r="A222" s="517" t="s">
        <v>364</v>
      </c>
      <c r="B222" s="504" t="s">
        <v>83</v>
      </c>
      <c r="C222" s="525" t="s">
        <v>61</v>
      </c>
      <c r="D222" s="577"/>
      <c r="E222" s="504"/>
      <c r="F222" s="526">
        <f t="array" ref="F222">+INDEX('[5]Budget original'!$A$2:$AO$500,MATCH($A222,'[5]Budget original'!$A$2:$A$500,0),MATCH(F$2,'[5]Budget original'!$A$2:$AO$2,0))</f>
        <v>352.6367722833333</v>
      </c>
      <c r="G222" s="578"/>
      <c r="H222" s="504"/>
      <c r="I222" s="526"/>
      <c r="J222" s="525"/>
      <c r="K222" s="504"/>
      <c r="L222" s="528">
        <f>SUMIFS([5]BV_Data_An_Cour!$O:$O,[5]BV_Data_An_Cour!$U:$U,$B222,[5]BV_Data_An_Cour!$V:$V,$C222,[5]BV_Data_An_Cour!$W:$W,$L$2)</f>
        <v>58.08</v>
      </c>
      <c r="M222" s="525"/>
      <c r="N222" s="551">
        <f t="shared" si="47"/>
        <v>-294.55677228333332</v>
      </c>
      <c r="O222" s="525"/>
      <c r="P222" s="504"/>
      <c r="Q222" s="528">
        <f>SUMIFS([5]BV_Data_An_Prec!$O:$O,[5]BV_Data_An_Prec!$U:$U,$B222,[5]BV_Data_An_Prec!$V:$V,$C222,[5]BV_Data_An_Prec!$W:$W,$L$2)</f>
        <v>105.15</v>
      </c>
      <c r="R222" s="525"/>
      <c r="S222" s="551">
        <f t="shared" si="48"/>
        <v>-47.070000000000007</v>
      </c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</row>
    <row r="223" spans="1:40" ht="15.75" customHeight="1">
      <c r="A223" s="517" t="s">
        <v>365</v>
      </c>
      <c r="B223" s="504" t="s">
        <v>83</v>
      </c>
      <c r="C223" s="525" t="s">
        <v>62</v>
      </c>
      <c r="D223" s="577"/>
      <c r="E223" s="504"/>
      <c r="F223" s="526">
        <f t="array" ref="F223">+INDEX('[5]Budget original'!$A$2:$AO$500,MATCH($A223,'[5]Budget original'!$A$2:$A$500,0),MATCH(F$2,'[5]Budget original'!$A$2:$AO$2,0))</f>
        <v>1972.9836663454639</v>
      </c>
      <c r="G223" s="578"/>
      <c r="H223" s="504"/>
      <c r="I223" s="526"/>
      <c r="J223" s="525"/>
      <c r="K223" s="504"/>
      <c r="L223" s="528">
        <f>SUMIFS([5]BV_Data_An_Cour!$O:$O,[5]BV_Data_An_Cour!$U:$U,$B223,[5]BV_Data_An_Cour!$V:$V,$C223,[5]BV_Data_An_Cour!$W:$W,$L$2)</f>
        <v>5450.1</v>
      </c>
      <c r="M223" s="525"/>
      <c r="N223" s="551">
        <f t="shared" si="47"/>
        <v>3477.1163336545364</v>
      </c>
      <c r="O223" s="525"/>
      <c r="P223" s="504"/>
      <c r="Q223" s="528">
        <f>SUMIFS([5]BV_Data_An_Prec!$O:$O,[5]BV_Data_An_Prec!$U:$U,$B223,[5]BV_Data_An_Prec!$V:$V,$C223,[5]BV_Data_An_Prec!$W:$W,$L$2)</f>
        <v>2563.9299999999998</v>
      </c>
      <c r="R223" s="525"/>
      <c r="S223" s="551">
        <f t="shared" si="48"/>
        <v>2886.1700000000005</v>
      </c>
      <c r="T223" s="504"/>
      <c r="X223" s="504"/>
      <c r="Y223" s="504"/>
      <c r="Z223" s="504"/>
      <c r="AA223" s="504"/>
      <c r="AB223" s="50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</row>
    <row r="224" spans="1:40" ht="15.75" customHeight="1">
      <c r="A224" s="517" t="s">
        <v>366</v>
      </c>
      <c r="B224" s="504" t="s">
        <v>83</v>
      </c>
      <c r="C224" s="525" t="s">
        <v>63</v>
      </c>
      <c r="D224" s="577"/>
      <c r="E224" s="504"/>
      <c r="F224" s="526">
        <f t="array" ref="F224">+INDEX('[5]Budget original'!$A$2:$AO$500,MATCH($A224,'[5]Budget original'!$A$2:$A$500,0),MATCH(F$2,'[5]Budget original'!$A$2:$AO$2,0))</f>
        <v>3641.8276273970109</v>
      </c>
      <c r="G224" s="578"/>
      <c r="H224" s="504"/>
      <c r="I224" s="526"/>
      <c r="J224" s="525"/>
      <c r="K224" s="504"/>
      <c r="L224" s="528">
        <f>SUMIFS([5]BV_Data_An_Cour!$O:$O,[5]BV_Data_An_Cour!$U:$U,$B224,[5]BV_Data_An_Cour!$V:$V,$C224,[5]BV_Data_An_Cour!$W:$W,$L$2)</f>
        <v>1703.22</v>
      </c>
      <c r="M224" s="525"/>
      <c r="N224" s="551">
        <f t="shared" si="47"/>
        <v>-1938.6076273970109</v>
      </c>
      <c r="O224" s="525"/>
      <c r="P224" s="504"/>
      <c r="Q224" s="528">
        <f>AL447*W5</f>
        <v>1870.5960000000021</v>
      </c>
      <c r="R224" s="525"/>
      <c r="S224" s="551">
        <f t="shared" si="48"/>
        <v>-167.37600000000202</v>
      </c>
      <c r="T224" s="504"/>
      <c r="X224" s="504"/>
      <c r="Y224" s="504"/>
      <c r="Z224" s="504"/>
      <c r="AA224" s="504"/>
      <c r="AB224" s="50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</row>
    <row r="225" spans="1:40" ht="15.75" hidden="1" customHeight="1">
      <c r="A225" s="517" t="s">
        <v>346</v>
      </c>
      <c r="B225" s="504" t="s">
        <v>83</v>
      </c>
      <c r="C225" s="525" t="s">
        <v>20</v>
      </c>
      <c r="D225" s="577"/>
      <c r="E225" s="504"/>
      <c r="F225" s="526">
        <f t="array" ref="F225">+INDEX('[5]Budget original'!$A$2:$AO$500,MATCH($A225,'[5]Budget original'!$A$2:$A$500,0),MATCH(F$2,'[5]Budget original'!$A$2:$AO$2,0))</f>
        <v>0</v>
      </c>
      <c r="G225" s="578"/>
      <c r="H225" s="504"/>
      <c r="I225" s="526"/>
      <c r="J225" s="525"/>
      <c r="K225" s="504"/>
      <c r="L225" s="528">
        <f>SUMIFS([5]BV_Data_An_Cour!$O:$O,[5]BV_Data_An_Cour!$U:$U,$B225,[5]BV_Data_An_Cour!$V:$V,$C225,[5]BV_Data_An_Cour!$W:$W,$L$2)</f>
        <v>0</v>
      </c>
      <c r="M225" s="525"/>
      <c r="N225" s="551">
        <f t="shared" si="47"/>
        <v>0</v>
      </c>
      <c r="O225" s="525"/>
      <c r="P225" s="504"/>
      <c r="Q225" s="528">
        <f>SUMIFS([5]BV_Data_An_Prec!$O:$O,[5]BV_Data_An_Prec!$U:$U,$B225,[5]BV_Data_An_Prec!$V:$V,$C225,[5]BV_Data_An_Prec!$W:$W,$L$2)</f>
        <v>0</v>
      </c>
      <c r="R225" s="525"/>
      <c r="S225" s="551">
        <f t="shared" si="48"/>
        <v>0</v>
      </c>
      <c r="T225" s="504"/>
      <c r="U225" s="504"/>
      <c r="V225" s="504"/>
      <c r="W225" s="504"/>
      <c r="X225" s="504"/>
      <c r="Y225" s="504"/>
      <c r="Z225" s="504"/>
      <c r="AA225" s="504"/>
      <c r="AB225" s="50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</row>
    <row r="226" spans="1:40" ht="15.75" hidden="1" customHeight="1">
      <c r="A226" s="517" t="s">
        <v>346</v>
      </c>
      <c r="B226" s="504" t="s">
        <v>83</v>
      </c>
      <c r="C226" s="525" t="s">
        <v>20</v>
      </c>
      <c r="D226" s="577"/>
      <c r="E226" s="504"/>
      <c r="F226" s="526">
        <f t="array" ref="F226">+INDEX('[5]Budget original'!$A$2:$AO$500,MATCH($A226,'[5]Budget original'!$A$2:$A$500,0),MATCH(F$2,'[5]Budget original'!$A$2:$AO$2,0))</f>
        <v>0</v>
      </c>
      <c r="G226" s="578"/>
      <c r="H226" s="504"/>
      <c r="I226" s="526"/>
      <c r="J226" s="525"/>
      <c r="K226" s="504"/>
      <c r="L226" s="528">
        <f>SUMIFS([5]BV_Data_An_Cour!$O:$O,[5]BV_Data_An_Cour!$U:$U,$B226,[5]BV_Data_An_Cour!$V:$V,$C226,[5]BV_Data_An_Cour!$W:$W,$L$2)</f>
        <v>0</v>
      </c>
      <c r="M226" s="525"/>
      <c r="N226" s="551">
        <f t="shared" si="47"/>
        <v>0</v>
      </c>
      <c r="O226" s="525"/>
      <c r="P226" s="504"/>
      <c r="Q226" s="528">
        <f>SUMIFS([5]BV_Data_An_Prec!$O:$O,[5]BV_Data_An_Prec!$U:$U,$B226,[5]BV_Data_An_Prec!$V:$V,$C226,[5]BV_Data_An_Prec!$W:$W,$L$2)</f>
        <v>0</v>
      </c>
      <c r="R226" s="525"/>
      <c r="S226" s="551">
        <f t="shared" si="48"/>
        <v>0</v>
      </c>
      <c r="T226" s="504"/>
      <c r="U226" s="504"/>
      <c r="V226" s="504"/>
      <c r="W226" s="504"/>
      <c r="X226" s="504"/>
      <c r="Y226" s="504"/>
      <c r="Z226" s="504"/>
      <c r="AA226" s="504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</row>
    <row r="227" spans="1:40" ht="15.75" hidden="1" customHeight="1">
      <c r="A227" s="517" t="s">
        <v>346</v>
      </c>
      <c r="B227" s="504" t="s">
        <v>83</v>
      </c>
      <c r="C227" s="525" t="s">
        <v>20</v>
      </c>
      <c r="D227" s="577"/>
      <c r="E227" s="504"/>
      <c r="F227" s="526">
        <f t="array" ref="F227">+INDEX('[5]Budget original'!$A$2:$AO$500,MATCH($A227,'[5]Budget original'!$A$2:$A$500,0),MATCH(F$2,'[5]Budget original'!$A$2:$AO$2,0))</f>
        <v>0</v>
      </c>
      <c r="G227" s="578"/>
      <c r="H227" s="504"/>
      <c r="I227" s="526"/>
      <c r="J227" s="525"/>
      <c r="K227" s="504"/>
      <c r="L227" s="528">
        <f>SUMIFS([5]BV_Data_An_Cour!$O:$O,[5]BV_Data_An_Cour!$U:$U,$B227,[5]BV_Data_An_Cour!$V:$V,$C227,[5]BV_Data_An_Cour!$W:$W,$L$2)</f>
        <v>0</v>
      </c>
      <c r="M227" s="525"/>
      <c r="N227" s="551">
        <f t="shared" si="47"/>
        <v>0</v>
      </c>
      <c r="O227" s="525"/>
      <c r="P227" s="504"/>
      <c r="Q227" s="528">
        <f>SUMIFS([5]BV_Data_An_Prec!$O:$O,[5]BV_Data_An_Prec!$U:$U,$B227,[5]BV_Data_An_Prec!$V:$V,$C227,[5]BV_Data_An_Prec!$W:$W,$L$2)</f>
        <v>0</v>
      </c>
      <c r="R227" s="525"/>
      <c r="S227" s="551">
        <f t="shared" si="48"/>
        <v>0</v>
      </c>
      <c r="T227" s="504"/>
      <c r="U227" s="504"/>
      <c r="V227" s="504"/>
      <c r="W227" s="504"/>
      <c r="X227" s="504"/>
      <c r="Y227" s="504"/>
      <c r="Z227" s="504"/>
      <c r="AA227" s="504"/>
      <c r="AB227" s="50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</row>
    <row r="228" spans="1:40" ht="15.75" customHeight="1">
      <c r="B228" s="504"/>
      <c r="C228" s="584" t="s">
        <v>64</v>
      </c>
      <c r="D228" s="585" t="s">
        <v>97</v>
      </c>
      <c r="E228" s="586">
        <f>F228/F$193</f>
        <v>0.28266562554468383</v>
      </c>
      <c r="F228" s="587">
        <f>+SUM(F210:F227)</f>
        <v>43006.930896516722</v>
      </c>
      <c r="G228" s="588"/>
      <c r="H228" s="586"/>
      <c r="I228" s="587"/>
      <c r="J228" s="588" t="s">
        <v>97</v>
      </c>
      <c r="K228" s="586">
        <f>L228/L$193</f>
        <v>0.33220231822621099</v>
      </c>
      <c r="L228" s="587">
        <f>+SUM(L210:L227)</f>
        <v>59930.73</v>
      </c>
      <c r="M228" s="591"/>
      <c r="N228" s="587">
        <f t="shared" si="47"/>
        <v>16923.799103483281</v>
      </c>
      <c r="O228" s="588" t="s">
        <v>97</v>
      </c>
      <c r="P228" s="586">
        <f>Q228/Q$193</f>
        <v>0.25779725734209874</v>
      </c>
      <c r="Q228" s="587">
        <f>+SUM(Q210:Q227)</f>
        <v>41049.676000000007</v>
      </c>
      <c r="R228" s="591"/>
      <c r="S228" s="587">
        <f t="shared" si="48"/>
        <v>18881.053999999996</v>
      </c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</row>
    <row r="229" spans="1:40" ht="15.75" customHeight="1">
      <c r="B229" s="504"/>
      <c r="C229" s="518"/>
      <c r="D229" s="579"/>
      <c r="E229" s="598"/>
      <c r="F229" s="551"/>
      <c r="G229" s="580"/>
      <c r="H229" s="598"/>
      <c r="I229" s="551"/>
      <c r="J229" s="518"/>
      <c r="K229" s="598"/>
      <c r="L229" s="574"/>
      <c r="M229" s="518"/>
      <c r="N229" s="574"/>
      <c r="O229" s="518"/>
      <c r="P229" s="598"/>
      <c r="Q229" s="574"/>
      <c r="R229" s="518"/>
      <c r="S229" s="574"/>
      <c r="T229" s="504"/>
      <c r="U229" s="504"/>
      <c r="V229" s="504"/>
      <c r="W229" s="504"/>
      <c r="X229" s="504"/>
      <c r="Y229" s="504"/>
      <c r="Z229" s="504"/>
      <c r="AA229" s="504"/>
      <c r="AB229" s="50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</row>
    <row r="230" spans="1:40" ht="15.75" customHeight="1">
      <c r="B230" s="504"/>
      <c r="C230" s="584" t="s">
        <v>65</v>
      </c>
      <c r="D230" s="585" t="s">
        <v>39</v>
      </c>
      <c r="E230" s="586">
        <f>F230/F$193</f>
        <v>1.0002006125835072</v>
      </c>
      <c r="F230" s="587">
        <f>F209+F228</f>
        <v>152178.24433071254</v>
      </c>
      <c r="G230" s="588"/>
      <c r="H230" s="586"/>
      <c r="I230" s="587"/>
      <c r="J230" s="588" t="s">
        <v>39</v>
      </c>
      <c r="K230" s="586">
        <f>L230/L$193</f>
        <v>0.90533258324038957</v>
      </c>
      <c r="L230" s="587">
        <f>L209+L228</f>
        <v>163325.90000000002</v>
      </c>
      <c r="M230" s="591"/>
      <c r="N230" s="600">
        <f>L230-F230</f>
        <v>11147.655669287487</v>
      </c>
      <c r="O230" s="588" t="s">
        <v>39</v>
      </c>
      <c r="P230" s="586">
        <f>Q230/Q$193</f>
        <v>0.9273136371743439</v>
      </c>
      <c r="Q230" s="587">
        <f>Q209+Q228</f>
        <v>147658.37600000002</v>
      </c>
      <c r="R230" s="591"/>
      <c r="S230" s="600">
        <f>L230-Q230</f>
        <v>15667.524000000005</v>
      </c>
      <c r="T230" s="504"/>
      <c r="U230" s="504"/>
      <c r="V230" s="504"/>
      <c r="W230" s="504"/>
      <c r="X230" s="50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</row>
    <row r="231" spans="1:40" ht="15.75" customHeight="1">
      <c r="B231" s="504"/>
      <c r="C231" s="525"/>
      <c r="D231" s="577"/>
      <c r="E231" s="504"/>
      <c r="F231" s="551"/>
      <c r="G231" s="578"/>
      <c r="H231" s="504"/>
      <c r="I231" s="551"/>
      <c r="J231" s="525"/>
      <c r="K231" s="504"/>
      <c r="L231" s="551"/>
      <c r="M231" s="525"/>
      <c r="N231" s="551">
        <f>L231-F231</f>
        <v>0</v>
      </c>
      <c r="O231" s="525"/>
      <c r="P231" s="504"/>
      <c r="Q231" s="551"/>
      <c r="R231" s="525"/>
      <c r="S231" s="551"/>
      <c r="T231" s="504"/>
      <c r="U231" s="504"/>
      <c r="V231" s="504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</row>
    <row r="232" spans="1:40" ht="15.75" customHeight="1" thickBot="1">
      <c r="B232" s="504"/>
      <c r="C232" s="614" t="s">
        <v>72</v>
      </c>
      <c r="D232" s="642"/>
      <c r="E232" s="615"/>
      <c r="F232" s="617">
        <f>F193-F230</f>
        <v>-30.522747501556296</v>
      </c>
      <c r="G232" s="643"/>
      <c r="H232" s="615"/>
      <c r="I232" s="617"/>
      <c r="J232" s="614"/>
      <c r="K232" s="616"/>
      <c r="L232" s="617">
        <f>L193-L230</f>
        <v>17078.409999999945</v>
      </c>
      <c r="M232" s="614"/>
      <c r="N232" s="617">
        <f>L232-F232</f>
        <v>17108.932747501502</v>
      </c>
      <c r="O232" s="614"/>
      <c r="P232" s="616"/>
      <c r="Q232" s="617">
        <f>Q193-Q230</f>
        <v>11574.024000000005</v>
      </c>
      <c r="R232" s="614"/>
      <c r="S232" s="617">
        <f>L232-Q232</f>
        <v>5504.3859999999404</v>
      </c>
      <c r="T232" s="504"/>
      <c r="U232" s="504"/>
      <c r="V232" s="504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</row>
    <row r="233" spans="1:40" ht="15.75" customHeight="1" thickTop="1"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69"/>
      <c r="M233" s="569"/>
      <c r="N233" s="504"/>
      <c r="O233" s="569"/>
      <c r="P233" s="504"/>
      <c r="Q233" s="569"/>
      <c r="R233" s="504"/>
      <c r="S233" s="504"/>
      <c r="T233" s="504"/>
      <c r="U233" s="504"/>
      <c r="V233" s="504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</row>
    <row r="234" spans="1:40" ht="15.75" customHeight="1">
      <c r="B234" s="504"/>
      <c r="C234" s="501"/>
      <c r="D234" s="501"/>
      <c r="E234" s="501"/>
      <c r="F234" s="501"/>
      <c r="G234" s="501"/>
      <c r="H234" s="501"/>
      <c r="I234" s="501"/>
      <c r="J234" s="501"/>
      <c r="K234" s="501"/>
      <c r="L234" s="644"/>
      <c r="M234" s="644"/>
      <c r="N234" s="501"/>
      <c r="O234" s="644"/>
      <c r="P234" s="501"/>
      <c r="Q234" s="644"/>
      <c r="R234" s="501"/>
      <c r="S234" s="501"/>
      <c r="T234" s="501"/>
      <c r="U234" s="501"/>
      <c r="V234" s="504"/>
      <c r="W234" s="504"/>
      <c r="X234" s="504"/>
      <c r="Y234" s="504"/>
      <c r="Z234" s="504"/>
      <c r="AA234" s="504"/>
      <c r="AB234" s="50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</row>
    <row r="235" spans="1:40" ht="33" customHeight="1">
      <c r="B235" s="504"/>
      <c r="C235" s="622" t="str">
        <f>C1</f>
        <v>Volks</v>
      </c>
      <c r="D235" s="492"/>
      <c r="E235" s="492"/>
      <c r="F235" s="492"/>
      <c r="G235" s="492"/>
      <c r="H235" s="490"/>
      <c r="I235" s="490"/>
      <c r="J235" s="490"/>
      <c r="K235" s="494" t="s">
        <v>99</v>
      </c>
      <c r="L235" s="492"/>
      <c r="M235" s="492"/>
      <c r="N235" s="490"/>
      <c r="O235" s="490"/>
      <c r="P235" s="492"/>
      <c r="Q235" s="490"/>
      <c r="R235" s="492"/>
      <c r="S235" s="623" t="str">
        <f>$S$1</f>
        <v>Réalisé, Juillet 2023</v>
      </c>
      <c r="T235" s="492"/>
      <c r="U235" s="490"/>
      <c r="V235" s="501"/>
      <c r="W235" s="501"/>
      <c r="X235" s="501"/>
      <c r="Y235" s="501"/>
      <c r="Z235" s="501"/>
      <c r="AA235" s="501"/>
      <c r="AB235" s="501"/>
      <c r="AC235" s="501"/>
      <c r="AD235" s="501"/>
      <c r="AE235" s="501"/>
      <c r="AF235" s="501"/>
      <c r="AG235" s="501"/>
      <c r="AH235" s="501"/>
      <c r="AI235" s="501"/>
      <c r="AJ235" s="501"/>
      <c r="AK235" s="501"/>
      <c r="AL235" s="501"/>
      <c r="AM235" s="501"/>
      <c r="AN235" s="501"/>
    </row>
    <row r="236" spans="1:40" ht="24" customHeight="1" thickBot="1">
      <c r="B236" s="504"/>
      <c r="C236" s="499"/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490"/>
      <c r="W236" s="490"/>
      <c r="X236" s="490"/>
      <c r="Y236" s="490"/>
      <c r="Z236" s="490"/>
      <c r="AA236" s="490"/>
      <c r="AB236" s="490"/>
      <c r="AC236" s="490"/>
      <c r="AD236" s="490"/>
      <c r="AE236" s="490"/>
      <c r="AF236" s="490"/>
      <c r="AG236" s="490"/>
      <c r="AH236" s="490"/>
      <c r="AI236" s="490"/>
      <c r="AJ236" s="490"/>
      <c r="AK236" s="490"/>
      <c r="AL236" s="490"/>
      <c r="AM236" s="490"/>
      <c r="AN236" s="490"/>
    </row>
    <row r="237" spans="1:40" ht="15.75" customHeight="1" thickTop="1">
      <c r="B237" s="504"/>
      <c r="C237" s="505"/>
      <c r="D237" s="506" t="s">
        <v>5</v>
      </c>
      <c r="E237" s="507"/>
      <c r="F237" s="508"/>
      <c r="G237" s="509"/>
      <c r="H237" s="507"/>
      <c r="I237" s="508"/>
      <c r="J237" s="509" t="s">
        <v>7</v>
      </c>
      <c r="K237" s="507"/>
      <c r="L237" s="508"/>
      <c r="M237" s="509" t="s">
        <v>472</v>
      </c>
      <c r="N237" s="508"/>
      <c r="O237" s="506" t="s">
        <v>9</v>
      </c>
      <c r="P237" s="507"/>
      <c r="Q237" s="508"/>
      <c r="R237" s="509" t="s">
        <v>473</v>
      </c>
      <c r="S237" s="508"/>
      <c r="T237" s="638"/>
      <c r="U237" s="504"/>
      <c r="V237" s="501"/>
      <c r="W237" s="501"/>
      <c r="X237" s="501"/>
      <c r="Y237" s="501"/>
      <c r="Z237" s="501"/>
      <c r="AA237" s="501"/>
      <c r="AB237" s="501"/>
      <c r="AC237" s="501"/>
      <c r="AD237" s="501"/>
      <c r="AE237" s="501"/>
      <c r="AF237" s="501"/>
      <c r="AG237" s="501"/>
      <c r="AH237" s="501"/>
      <c r="AI237" s="501"/>
      <c r="AJ237" s="501"/>
      <c r="AK237" s="501"/>
      <c r="AL237" s="501"/>
      <c r="AM237" s="501"/>
      <c r="AN237" s="501"/>
    </row>
    <row r="238" spans="1:40" ht="15.75" customHeight="1">
      <c r="A238" s="517" t="s">
        <v>99</v>
      </c>
      <c r="B238" s="504" t="s">
        <v>99</v>
      </c>
      <c r="C238" s="525"/>
      <c r="D238" s="567" t="s">
        <v>40</v>
      </c>
      <c r="E238" s="567" t="s">
        <v>84</v>
      </c>
      <c r="F238" s="645" t="s">
        <v>13</v>
      </c>
      <c r="G238" s="646"/>
      <c r="H238" s="567"/>
      <c r="I238" s="645"/>
      <c r="J238" s="646" t="s">
        <v>40</v>
      </c>
      <c r="K238" s="567" t="s">
        <v>84</v>
      </c>
      <c r="L238" s="645" t="s">
        <v>13</v>
      </c>
      <c r="M238" s="646" t="s">
        <v>40</v>
      </c>
      <c r="N238" s="645" t="s">
        <v>475</v>
      </c>
      <c r="O238" s="567" t="s">
        <v>40</v>
      </c>
      <c r="P238" s="567" t="s">
        <v>84</v>
      </c>
      <c r="Q238" s="645" t="s">
        <v>13</v>
      </c>
      <c r="R238" s="646" t="s">
        <v>85</v>
      </c>
      <c r="S238" s="645" t="s">
        <v>13</v>
      </c>
      <c r="T238" s="567"/>
      <c r="U238" s="504"/>
      <c r="V238" s="504"/>
      <c r="W238" s="504"/>
      <c r="X238" s="504"/>
      <c r="Y238" s="504"/>
      <c r="Z238" s="504"/>
      <c r="AA238" s="504"/>
      <c r="AB238" s="504"/>
      <c r="AC238" s="50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</row>
    <row r="239" spans="1:40" ht="15.75" customHeight="1">
      <c r="A239" s="517" t="s">
        <v>99</v>
      </c>
      <c r="B239" s="504" t="s">
        <v>99</v>
      </c>
      <c r="C239" s="525"/>
      <c r="D239" s="567"/>
      <c r="E239" s="567"/>
      <c r="F239" s="645"/>
      <c r="G239" s="646"/>
      <c r="H239" s="567"/>
      <c r="I239" s="645"/>
      <c r="J239" s="646"/>
      <c r="K239" s="526"/>
      <c r="L239" s="528"/>
      <c r="M239" s="646"/>
      <c r="N239" s="645"/>
      <c r="O239" s="567"/>
      <c r="P239" s="567"/>
      <c r="Q239" s="645"/>
      <c r="R239" s="646"/>
      <c r="S239" s="645"/>
      <c r="T239" s="567"/>
      <c r="U239" s="504"/>
      <c r="V239" s="504"/>
      <c r="W239" s="504"/>
      <c r="X239" s="504"/>
      <c r="Y239" s="504"/>
      <c r="Z239" s="504"/>
      <c r="AA239" s="504"/>
      <c r="AB239" s="504"/>
      <c r="AC239" s="50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</row>
    <row r="240" spans="1:40" ht="15.75" customHeight="1">
      <c r="A240" s="517" t="s">
        <v>367</v>
      </c>
      <c r="B240" s="504" t="s">
        <v>99</v>
      </c>
      <c r="C240" s="525" t="s">
        <v>100</v>
      </c>
      <c r="D240" s="685">
        <f t="array" ref="D240">+INDEX('[5]Budget original'!$A$2:$AO$500,MATCH($A240,'[5]Budget original'!$A$2:$A$500,0),MATCH(D$2,'[5]Budget original'!$A$2:$AO$2,0))</f>
        <v>0</v>
      </c>
      <c r="E240" s="569">
        <f t="array" ref="E240">+INDEX('[5]Budget original'!$A$2:$AO$500,MATCH($A240,'[5]Budget original'!$A$2:$A$500,0),MATCH(E$2,'[5]Budget original'!$A$2:$AO$2,0))</f>
        <v>102279.60711969429</v>
      </c>
      <c r="F240" s="569">
        <f t="array" ref="F240">+INDEX('[5]Budget original'!$A$2:$AO$500,MATCH($A240,'[5]Budget original'!$A$2:$A$500,0),MATCH(F$2,'[5]Budget original'!$A$2:$AO$2,0))</f>
        <v>24045.321490116985</v>
      </c>
      <c r="G240" s="604"/>
      <c r="H240" s="569"/>
      <c r="I240" s="569"/>
      <c r="J240" s="552">
        <f>-SUMIFS([5]BV_Data_An_Cour!$O:$O,[5]BV_Data_An_Cour!$U:$U,$B240,[5]BV_Data_An_Cour!$V:$V,$C240,[5]BV_Data_An_Cour!$W:$W,J$2)</f>
        <v>43</v>
      </c>
      <c r="K240" s="526">
        <f>-SUMIFS([5]BV_Data_An_Cour!$O:$O,[5]BV_Data_An_Cour!$X:$X,"Oui",[5]BV_Data_An_Cour!$U:$U,$B240,[5]BV_Data_An_Cour!$V:$V,$C240)</f>
        <v>93198.95</v>
      </c>
      <c r="L240" s="528">
        <f>-SUMIFS([5]BV_Data_An_Cour!$O:$O,[5]BV_Data_An_Cour!$U:$U,$B240,[5]BV_Data_An_Cour!$V:$V,$C240,[5]BV_Data_An_Cour!$W:$W,$L$2)</f>
        <v>23146.659999999996</v>
      </c>
      <c r="M240" s="570">
        <f>IFERROR((K240-E240)/E240,0)</f>
        <v>-8.8782675016218213E-2</v>
      </c>
      <c r="N240" s="551">
        <f>L240-F240</f>
        <v>-898.66149011698872</v>
      </c>
      <c r="O240" s="552">
        <f>-SUMIFS([5]BV_Data_An_Prec!$O:$O,[5]BV_Data_An_Prec!$U:$U,$B240,[5]BV_Data_An_Prec!$V:$V,$C240,[5]BV_Data_An_Prec!$W:$W,O$2)</f>
        <v>40</v>
      </c>
      <c r="P240" s="526">
        <f>-SUMIFS([5]BV_Data_An_Prec!$O:$O,[5]BV_Data_An_Prec!$X:$X,"Oui",[5]BV_Data_An_Prec!$U:$U,$B240,[5]BV_Data_An_Prec!$V:$V,$C240)</f>
        <v>83278.680000000008</v>
      </c>
      <c r="Q240" s="528">
        <f>-SUMIFS([5]BV_Data_An_Prec!$O:$O,[5]BV_Data_An_Prec!$U:$U,$B240,[5]BV_Data_An_Prec!$V:$V,$C240,[5]BV_Data_An_Prec!$W:$W,$L$2)</f>
        <v>20646.130000000008</v>
      </c>
      <c r="R240" s="570">
        <f>IF(O240=0,0,J240/O240)</f>
        <v>1.075</v>
      </c>
      <c r="S240" s="551">
        <f>L240-Q240</f>
        <v>2500.5299999999879</v>
      </c>
      <c r="T240" s="567"/>
      <c r="U240" s="504"/>
      <c r="V240" s="504"/>
      <c r="W240" s="504"/>
      <c r="X240" s="504"/>
      <c r="Y240" s="504"/>
      <c r="Z240" s="504"/>
      <c r="AA240" s="504"/>
      <c r="AB240" s="504"/>
      <c r="AC240" s="50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</row>
    <row r="241" spans="1:40" ht="15.75" customHeight="1">
      <c r="A241" s="517" t="s">
        <v>368</v>
      </c>
      <c r="B241" s="504" t="s">
        <v>99</v>
      </c>
      <c r="C241" s="525" t="s">
        <v>87</v>
      </c>
      <c r="D241" s="567"/>
      <c r="E241" s="631"/>
      <c r="F241" s="647">
        <f>IFERROR(F240/E240,0)</f>
        <v>0.23509399544307572</v>
      </c>
      <c r="G241" s="525"/>
      <c r="H241" s="631"/>
      <c r="I241" s="647"/>
      <c r="J241" s="552"/>
      <c r="K241" s="504"/>
      <c r="L241" s="647">
        <f>IFERROR(L240/K240,0)</f>
        <v>0.24835751904930256</v>
      </c>
      <c r="M241" s="570"/>
      <c r="N241" s="551">
        <f>IFERROR(N240/M240,0)</f>
        <v>10122.036646821323</v>
      </c>
      <c r="O241" s="552"/>
      <c r="P241" s="504"/>
      <c r="Q241" s="647">
        <f>IFERROR(Q240/P240,0)</f>
        <v>0.24791615333000003</v>
      </c>
      <c r="R241" s="552"/>
      <c r="S241" s="551">
        <f>IFERROR(S240/R240,0)</f>
        <v>2326.07441860464</v>
      </c>
      <c r="T241" s="567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4"/>
      <c r="AJ241" s="504"/>
      <c r="AK241" s="504"/>
      <c r="AL241" s="504"/>
      <c r="AM241" s="504"/>
      <c r="AN241" s="504"/>
    </row>
    <row r="242" spans="1:40" ht="15.75" customHeight="1">
      <c r="A242" s="517" t="s">
        <v>99</v>
      </c>
      <c r="B242" s="504" t="s">
        <v>99</v>
      </c>
      <c r="C242" s="525"/>
      <c r="D242" s="567"/>
      <c r="E242" s="686"/>
      <c r="F242" s="625"/>
      <c r="G242" s="646"/>
      <c r="H242" s="686"/>
      <c r="I242" s="625"/>
      <c r="J242" s="646"/>
      <c r="K242" s="567"/>
      <c r="L242" s="645"/>
      <c r="M242" s="646"/>
      <c r="N242" s="645"/>
      <c r="O242" s="646"/>
      <c r="P242" s="567"/>
      <c r="Q242" s="645"/>
      <c r="R242" s="624"/>
      <c r="S242" s="645"/>
      <c r="T242" s="567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4"/>
      <c r="AJ242" s="504"/>
      <c r="AK242" s="504"/>
      <c r="AL242" s="504"/>
      <c r="AM242" s="504"/>
      <c r="AN242" s="504"/>
    </row>
    <row r="243" spans="1:40" ht="15.75" customHeight="1">
      <c r="A243" s="517" t="s">
        <v>369</v>
      </c>
      <c r="B243" s="504" t="s">
        <v>99</v>
      </c>
      <c r="C243" s="512" t="s">
        <v>101</v>
      </c>
      <c r="D243" s="651">
        <f t="array" ref="D243">+INDEX('[5]Budget original'!$A$2:$AO$500,MATCH($A243,'[5]Budget original'!$A$2:$A$500,0),MATCH(D$2,'[5]Budget original'!$A$2:$AO$2,0))</f>
        <v>0</v>
      </c>
      <c r="E243" s="569">
        <f t="array" ref="E243">+INDEX('[5]Budget original'!$A$2:$AO$500,MATCH($A243,'[5]Budget original'!$A$2:$A$500,0),MATCH(E$2,'[5]Budget original'!$A$2:$AO$2,0))</f>
        <v>0</v>
      </c>
      <c r="F243" s="569">
        <f t="array" ref="F243">+INDEX('[5]Budget original'!$A$2:$AO$500,MATCH($A243,'[5]Budget original'!$A$2:$A$500,0),MATCH(F$2,'[5]Budget original'!$A$2:$AO$2,0))</f>
        <v>0</v>
      </c>
      <c r="G243" s="687"/>
      <c r="H243" s="569"/>
      <c r="I243" s="569"/>
      <c r="J243" s="652">
        <f>SUMIFS([5]BV_Data_An_Cour!$C$1:$C$388,[5]BV_Data_An_Cour!$V$1:$V$388,$C243,[5]BV_Data_An_Cour!$U$1:$U$388,$K$235)</f>
        <v>0</v>
      </c>
      <c r="K243" s="546">
        <f>-SUMIFS([5]BV_Data_An_Cour!$O:$O,[5]BV_Data_An_Cour!$X:$X,"Oui",[5]BV_Data_An_Cour!$U:$U,$B243,[5]BV_Data_An_Cour!$V:$V,$C243)</f>
        <v>0</v>
      </c>
      <c r="L243" s="547">
        <f>-SUMIFS([5]BV_Data_An_Cour!$O:$O,[5]BV_Data_An_Cour!$U:$U,$B243,[5]BV_Data_An_Cour!$V:$V,$C243,[5]BV_Data_An_Cour!$W:$W,$L$2)</f>
        <v>0</v>
      </c>
      <c r="M243" s="656">
        <f>IFERROR((K243-E243)/E243,0)</f>
        <v>0</v>
      </c>
      <c r="N243" s="597">
        <f>L243-F243</f>
        <v>0</v>
      </c>
      <c r="O243" s="652">
        <f>SUMIFS([5]BV_Data_An_Prec!$C$1:$C$637,[5]BV_Data_An_Prec!$V$1:$V$637,$C243,[5]BV_Data_An_Prec!$U$1:$U$637,$K$235)</f>
        <v>0</v>
      </c>
      <c r="P243" s="546">
        <f>-SUMIFS([5]BV_Data_An_Prec!$O:$O,[5]BV_Data_An_Prec!$X:$X,"Oui",[5]BV_Data_An_Prec!$U:$U,$B243,[5]BV_Data_An_Prec!$V:$V,$C243)</f>
        <v>0</v>
      </c>
      <c r="Q243" s="547">
        <f>-SUMIFS([5]BV_Data_An_Prec!$O:$O,[5]BV_Data_An_Prec!$U:$U,$B243,[5]BV_Data_An_Prec!$V:$V,$C243,[5]BV_Data_An_Prec!$W:$W,$L$2)</f>
        <v>0</v>
      </c>
      <c r="R243" s="570">
        <f>IF(O243=0,0,J243/O243)</f>
        <v>0</v>
      </c>
      <c r="S243" s="597">
        <f>L243-Q243</f>
        <v>0</v>
      </c>
      <c r="T243" s="635"/>
      <c r="U243" s="504"/>
      <c r="V243" s="504"/>
      <c r="W243" s="504"/>
      <c r="X243" s="504"/>
      <c r="Y243" s="504"/>
      <c r="Z243" s="504"/>
      <c r="AA243" s="504"/>
      <c r="AB243" s="504"/>
      <c r="AC243" s="504"/>
      <c r="AD243" s="504"/>
      <c r="AE243" s="504"/>
      <c r="AF243" s="504"/>
      <c r="AG243" s="504"/>
      <c r="AH243" s="504"/>
      <c r="AI243" s="504"/>
      <c r="AJ243" s="504"/>
      <c r="AK243" s="504"/>
      <c r="AL243" s="504"/>
      <c r="AM243" s="504"/>
      <c r="AN243" s="504"/>
    </row>
    <row r="244" spans="1:40" ht="15.75" customHeight="1">
      <c r="A244" s="517" t="s">
        <v>368</v>
      </c>
      <c r="B244" s="504" t="s">
        <v>99</v>
      </c>
      <c r="C244" s="525" t="s">
        <v>87</v>
      </c>
      <c r="D244" s="504"/>
      <c r="E244" s="631"/>
      <c r="F244" s="647">
        <f>IFERROR(F243/E243,0)</f>
        <v>0</v>
      </c>
      <c r="G244" s="525"/>
      <c r="H244" s="631"/>
      <c r="I244" s="647"/>
      <c r="J244" s="552"/>
      <c r="K244" s="504"/>
      <c r="L244" s="647">
        <f>IFERROR(L243/K243,0)</f>
        <v>0</v>
      </c>
      <c r="M244" s="570"/>
      <c r="N244" s="551">
        <f>IFERROR(N243/F243,0)</f>
        <v>0</v>
      </c>
      <c r="O244" s="552"/>
      <c r="P244" s="504"/>
      <c r="Q244" s="647">
        <f>IFERROR(Q243/P243,0)</f>
        <v>0</v>
      </c>
      <c r="R244" s="552"/>
      <c r="S244" s="551">
        <f>IF(Q243=0,0,S243/Q243)</f>
        <v>0</v>
      </c>
      <c r="T244" s="635"/>
      <c r="U244" s="504"/>
      <c r="V244" s="504"/>
      <c r="W244" s="504"/>
      <c r="X244" s="504"/>
      <c r="Y244" s="504"/>
      <c r="Z244" s="504"/>
      <c r="AA244" s="504"/>
      <c r="AB244" s="504"/>
      <c r="AC244" s="504"/>
      <c r="AD244" s="504"/>
      <c r="AE244" s="504"/>
      <c r="AF244" s="504"/>
      <c r="AG244" s="504"/>
      <c r="AH244" s="504"/>
      <c r="AI244" s="504"/>
      <c r="AJ244" s="504"/>
      <c r="AK244" s="504"/>
      <c r="AL244" s="504"/>
      <c r="AM244" s="504"/>
      <c r="AN244" s="504"/>
    </row>
    <row r="245" spans="1:40" ht="15.75" customHeight="1">
      <c r="A245" s="517" t="s">
        <v>99</v>
      </c>
      <c r="B245" s="504" t="s">
        <v>99</v>
      </c>
      <c r="C245" s="518"/>
      <c r="D245" s="598"/>
      <c r="E245" s="688"/>
      <c r="F245" s="649"/>
      <c r="G245" s="518"/>
      <c r="H245" s="688"/>
      <c r="I245" s="649"/>
      <c r="J245" s="650"/>
      <c r="K245" s="689"/>
      <c r="L245" s="649"/>
      <c r="M245" s="573"/>
      <c r="N245" s="574"/>
      <c r="O245" s="650"/>
      <c r="P245" s="689"/>
      <c r="Q245" s="649"/>
      <c r="R245" s="650"/>
      <c r="S245" s="574"/>
      <c r="T245" s="635"/>
      <c r="U245" s="504"/>
      <c r="V245" s="504"/>
      <c r="W245" s="504"/>
      <c r="X245" s="504"/>
      <c r="Y245" s="504"/>
      <c r="Z245" s="504"/>
      <c r="AA245" s="504"/>
      <c r="AB245" s="504"/>
      <c r="AC245" s="504"/>
      <c r="AD245" s="504"/>
      <c r="AE245" s="504"/>
      <c r="AF245" s="504"/>
      <c r="AG245" s="504"/>
      <c r="AH245" s="504"/>
      <c r="AI245" s="504"/>
      <c r="AJ245" s="504"/>
      <c r="AK245" s="504"/>
      <c r="AL245" s="504"/>
      <c r="AM245" s="504"/>
      <c r="AN245" s="504"/>
    </row>
    <row r="246" spans="1:40" ht="15.75" customHeight="1">
      <c r="A246" s="517" t="s">
        <v>370</v>
      </c>
      <c r="B246" s="504" t="s">
        <v>99</v>
      </c>
      <c r="C246" s="512" t="s">
        <v>102</v>
      </c>
      <c r="D246" s="651">
        <v>0</v>
      </c>
      <c r="E246" s="569">
        <v>0</v>
      </c>
      <c r="F246" s="569">
        <v>0</v>
      </c>
      <c r="G246" s="652"/>
      <c r="H246" s="569"/>
      <c r="I246" s="569"/>
      <c r="J246" s="652">
        <f>SUMIFS([5]BV_Data_An_Cour!$C$1:$C$388,[5]BV_Data_An_Cour!$V$1:$V$388,$C246,[5]BV_Data_An_Cour!$U$1:$U$388,$K$235)</f>
        <v>0</v>
      </c>
      <c r="K246" s="526">
        <f>-SUMIFS([5]BV_Data_An_Cour!$O:$O,[5]BV_Data_An_Cour!$X:$X,"Oui",[5]BV_Data_An_Cour!$U:$U,$B246,[5]BV_Data_An_Cour!$V:$V,$C246)</f>
        <v>0</v>
      </c>
      <c r="L246" s="528">
        <f>-SUMIFS([5]BV_Data_An_Cour!$O:$O,[5]BV_Data_An_Cour!$U:$U,$B246,[5]BV_Data_An_Cour!$V:$V,$C246,[5]BV_Data_An_Cour!$W:$W,$L$2)</f>
        <v>0</v>
      </c>
      <c r="M246" s="570">
        <f>IFERROR((K246-E246)/E246,0)</f>
        <v>0</v>
      </c>
      <c r="N246" s="597">
        <f>L246-F246</f>
        <v>0</v>
      </c>
      <c r="O246" s="652">
        <f>SUMIFS([5]BV_Data_An_Prec!$C$1:$C$637,[5]BV_Data_An_Prec!$V$1:$V$637,$C246,[5]BV_Data_An_Prec!$U$1:$U$637,$K$235)</f>
        <v>0</v>
      </c>
      <c r="P246" s="526">
        <f>-SUMIFS([5]BV_Data_An_Prec!$O:$O,[5]BV_Data_An_Prec!$X:$X,"Oui",[5]BV_Data_An_Prec!$U:$U,$B246,[5]BV_Data_An_Prec!$V:$V,$C246)</f>
        <v>0</v>
      </c>
      <c r="Q246" s="528">
        <f>-SUMIFS([5]BV_Data_An_Prec!$O:$O,[5]BV_Data_An_Prec!$U:$U,$B246,[5]BV_Data_An_Prec!$V:$V,$C246,[5]BV_Data_An_Prec!$W:$W,$L$2)</f>
        <v>0</v>
      </c>
      <c r="R246" s="570">
        <f>IF(O246=0,0,J246/O246)</f>
        <v>0</v>
      </c>
      <c r="S246" s="551">
        <f>L246-Q246</f>
        <v>0</v>
      </c>
      <c r="T246" s="635"/>
      <c r="U246" s="504"/>
      <c r="V246" s="504"/>
      <c r="W246" s="504"/>
      <c r="X246" s="504"/>
      <c r="Y246" s="504"/>
      <c r="Z246" s="504"/>
      <c r="AA246" s="504"/>
      <c r="AB246" s="504"/>
      <c r="AC246" s="504"/>
      <c r="AD246" s="504"/>
      <c r="AE246" s="504"/>
      <c r="AF246" s="504"/>
      <c r="AG246" s="504"/>
      <c r="AH246" s="504"/>
      <c r="AI246" s="504"/>
      <c r="AJ246" s="504"/>
      <c r="AK246" s="504"/>
      <c r="AL246" s="504"/>
      <c r="AM246" s="504"/>
      <c r="AN246" s="504"/>
    </row>
    <row r="247" spans="1:40" ht="15.75" customHeight="1">
      <c r="A247" s="517" t="s">
        <v>368</v>
      </c>
      <c r="B247" s="504" t="s">
        <v>99</v>
      </c>
      <c r="C247" s="525" t="s">
        <v>87</v>
      </c>
      <c r="D247" s="504"/>
      <c r="E247" s="504"/>
      <c r="F247" s="647">
        <f>IFERROR(F246/E246,0)</f>
        <v>0</v>
      </c>
      <c r="G247" s="525"/>
      <c r="H247" s="504"/>
      <c r="I247" s="647"/>
      <c r="J247" s="525"/>
      <c r="K247" s="504"/>
      <c r="L247" s="647">
        <f>IFERROR(L246/K246,0)</f>
        <v>0</v>
      </c>
      <c r="M247" s="542"/>
      <c r="N247" s="543">
        <f>IF(L246=0,0,N246/L246)</f>
        <v>0</v>
      </c>
      <c r="O247" s="525"/>
      <c r="P247" s="504"/>
      <c r="Q247" s="647">
        <f>IFERROR(Q246/P246,0)</f>
        <v>0</v>
      </c>
      <c r="R247" s="542"/>
      <c r="S247" s="543">
        <f>IF(Q246=0,0,S246/Q246)</f>
        <v>0</v>
      </c>
      <c r="T247" s="635"/>
      <c r="U247" s="504"/>
      <c r="V247" s="504"/>
      <c r="W247" s="504"/>
      <c r="X247" s="504"/>
      <c r="Y247" s="504"/>
      <c r="Z247" s="504"/>
      <c r="AA247" s="504"/>
      <c r="AB247" s="504"/>
      <c r="AC247" s="504"/>
      <c r="AD247" s="504"/>
      <c r="AE247" s="504"/>
      <c r="AF247" s="504"/>
      <c r="AG247" s="504"/>
      <c r="AH247" s="504"/>
      <c r="AI247" s="504"/>
      <c r="AJ247" s="504"/>
      <c r="AK247" s="504"/>
      <c r="AL247" s="504"/>
      <c r="AM247" s="504"/>
      <c r="AN247" s="504"/>
    </row>
    <row r="248" spans="1:40" ht="15.75" customHeight="1" thickBot="1">
      <c r="A248" s="517" t="s">
        <v>99</v>
      </c>
      <c r="B248" s="504" t="s">
        <v>99</v>
      </c>
      <c r="C248" s="525"/>
      <c r="D248" s="504"/>
      <c r="E248" s="504"/>
      <c r="F248" s="647"/>
      <c r="G248" s="525"/>
      <c r="H248" s="504"/>
      <c r="I248" s="647"/>
      <c r="J248" s="525"/>
      <c r="K248" s="504"/>
      <c r="L248" s="647"/>
      <c r="M248" s="542"/>
      <c r="N248" s="543"/>
      <c r="O248" s="525"/>
      <c r="P248" s="504"/>
      <c r="Q248" s="647"/>
      <c r="R248" s="542"/>
      <c r="S248" s="543"/>
      <c r="T248" s="635"/>
      <c r="U248" s="504"/>
      <c r="V248" s="504"/>
      <c r="W248" s="504"/>
      <c r="X248" s="504"/>
      <c r="Y248" s="504"/>
      <c r="Z248" s="504"/>
      <c r="AA248" s="504"/>
      <c r="AB248" s="504"/>
      <c r="AC248" s="504"/>
      <c r="AD248" s="504"/>
      <c r="AE248" s="504"/>
      <c r="AF248" s="504"/>
      <c r="AG248" s="504"/>
      <c r="AH248" s="504"/>
      <c r="AI248" s="504"/>
      <c r="AJ248" s="504"/>
      <c r="AK248" s="504"/>
      <c r="AL248" s="504"/>
      <c r="AM248" s="504"/>
      <c r="AN248" s="504"/>
    </row>
    <row r="249" spans="1:40" ht="15.75" customHeight="1" thickTop="1">
      <c r="A249" s="517" t="s">
        <v>371</v>
      </c>
      <c r="B249" s="504" t="s">
        <v>99</v>
      </c>
      <c r="C249" s="553" t="s">
        <v>96</v>
      </c>
      <c r="D249" s="554"/>
      <c r="E249" s="554">
        <f t="shared" ref="E249:F249" si="49">E243+E246+E240</f>
        <v>102279.60711969429</v>
      </c>
      <c r="F249" s="556">
        <f t="shared" si="49"/>
        <v>24045.321490116985</v>
      </c>
      <c r="G249" s="557"/>
      <c r="H249" s="554"/>
      <c r="I249" s="556"/>
      <c r="J249" s="557"/>
      <c r="K249" s="554">
        <f t="shared" ref="K249:L249" si="50">K243+K246+K240</f>
        <v>93198.95</v>
      </c>
      <c r="L249" s="556">
        <f t="shared" si="50"/>
        <v>23146.659999999996</v>
      </c>
      <c r="M249" s="684">
        <f>L250-F250</f>
        <v>1.3263523606226846E-2</v>
      </c>
      <c r="N249" s="556">
        <f>L249-F249</f>
        <v>-898.66149011698872</v>
      </c>
      <c r="O249" s="557"/>
      <c r="P249" s="554">
        <f t="shared" ref="P249:Q249" si="51">P243+P246+P240</f>
        <v>83278.680000000008</v>
      </c>
      <c r="Q249" s="556">
        <f t="shared" si="51"/>
        <v>20646.130000000008</v>
      </c>
      <c r="R249" s="690">
        <f>L250-Q250</f>
        <v>4.4136571930253332E-4</v>
      </c>
      <c r="S249" s="556">
        <f>L249-Q249</f>
        <v>2500.5299999999879</v>
      </c>
      <c r="T249" s="635"/>
      <c r="U249" s="504"/>
      <c r="V249" s="504"/>
      <c r="W249" s="504"/>
      <c r="X249" s="504"/>
      <c r="Y249" s="504"/>
      <c r="Z249" s="504"/>
      <c r="AA249" s="504"/>
      <c r="AB249" s="504"/>
      <c r="AC249" s="504"/>
      <c r="AD249" s="504"/>
      <c r="AE249" s="504"/>
      <c r="AF249" s="504"/>
      <c r="AG249" s="504"/>
      <c r="AH249" s="504"/>
      <c r="AI249" s="504"/>
      <c r="AJ249" s="504"/>
      <c r="AK249" s="504"/>
      <c r="AL249" s="504"/>
      <c r="AM249" s="504"/>
      <c r="AN249" s="504"/>
    </row>
    <row r="250" spans="1:40" ht="23.25" customHeight="1" thickBot="1">
      <c r="A250" s="517" t="s">
        <v>99</v>
      </c>
      <c r="B250" s="504" t="s">
        <v>99</v>
      </c>
      <c r="C250" s="558"/>
      <c r="D250" s="559"/>
      <c r="E250" s="559"/>
      <c r="F250" s="563">
        <f>F249/E249</f>
        <v>0.23509399544307572</v>
      </c>
      <c r="G250" s="558"/>
      <c r="H250" s="559"/>
      <c r="I250" s="563"/>
      <c r="J250" s="558"/>
      <c r="K250" s="559"/>
      <c r="L250" s="563">
        <f>IF(K249=0,0,L249/K249)</f>
        <v>0.24835751904930256</v>
      </c>
      <c r="M250" s="562"/>
      <c r="N250" s="563">
        <f>N249/F249</f>
        <v>-3.7373652520568422E-2</v>
      </c>
      <c r="O250" s="558"/>
      <c r="P250" s="559"/>
      <c r="Q250" s="563">
        <f>IF(P249=0,0,Q249/P249)</f>
        <v>0.24791615333000003</v>
      </c>
      <c r="R250" s="562"/>
      <c r="S250" s="563">
        <f>S249/Q249</f>
        <v>0.12111373899127764</v>
      </c>
      <c r="T250" s="635"/>
      <c r="U250" s="504"/>
      <c r="V250" s="504"/>
      <c r="W250" s="504"/>
      <c r="X250" s="504"/>
      <c r="Y250" s="504"/>
      <c r="Z250" s="504"/>
      <c r="AA250" s="504"/>
      <c r="AB250" s="504"/>
      <c r="AC250" s="504"/>
      <c r="AD250" s="504"/>
      <c r="AE250" s="504"/>
      <c r="AF250" s="504"/>
      <c r="AG250" s="504"/>
      <c r="AH250" s="504"/>
      <c r="AI250" s="504"/>
      <c r="AJ250" s="504"/>
      <c r="AK250" s="504"/>
      <c r="AL250" s="504"/>
      <c r="AM250" s="504"/>
      <c r="AN250" s="504"/>
    </row>
    <row r="251" spans="1:40" ht="15.75" customHeight="1" thickTop="1">
      <c r="A251" s="517" t="s">
        <v>99</v>
      </c>
      <c r="B251" s="504" t="s">
        <v>99</v>
      </c>
      <c r="C251" s="525"/>
      <c r="D251" s="504"/>
      <c r="E251" s="504"/>
      <c r="F251" s="551"/>
      <c r="G251" s="525"/>
      <c r="H251" s="504"/>
      <c r="I251" s="551"/>
      <c r="J251" s="525"/>
      <c r="K251" s="504"/>
      <c r="L251" s="535"/>
      <c r="M251" s="525"/>
      <c r="N251" s="535"/>
      <c r="O251" s="525"/>
      <c r="P251" s="504"/>
      <c r="Q251" s="535"/>
      <c r="R251" s="525"/>
      <c r="S251" s="535"/>
      <c r="T251" s="504"/>
      <c r="U251" s="504"/>
      <c r="V251" s="504"/>
      <c r="W251" s="504"/>
      <c r="X251" s="504"/>
      <c r="Y251" s="504"/>
      <c r="Z251" s="504"/>
      <c r="AA251" s="504"/>
      <c r="AB251" s="504"/>
      <c r="AC251" s="504"/>
      <c r="AD251" s="504"/>
      <c r="AE251" s="504"/>
      <c r="AF251" s="504"/>
      <c r="AG251" s="504"/>
      <c r="AH251" s="504"/>
      <c r="AI251" s="504"/>
      <c r="AJ251" s="504"/>
      <c r="AK251" s="504"/>
      <c r="AL251" s="504"/>
      <c r="AM251" s="504"/>
      <c r="AN251" s="504"/>
    </row>
    <row r="252" spans="1:40" ht="15.75" customHeight="1">
      <c r="A252" s="517" t="s">
        <v>372</v>
      </c>
      <c r="B252" s="504" t="s">
        <v>99</v>
      </c>
      <c r="C252" s="566" t="s">
        <v>30</v>
      </c>
      <c r="D252" s="504"/>
      <c r="E252" s="504"/>
      <c r="F252" s="551"/>
      <c r="G252" s="525"/>
      <c r="H252" s="504"/>
      <c r="I252" s="551"/>
      <c r="J252" s="525"/>
      <c r="K252" s="504"/>
      <c r="L252" s="535"/>
      <c r="M252" s="525"/>
      <c r="N252" s="535"/>
      <c r="O252" s="525"/>
      <c r="P252" s="504"/>
      <c r="Q252" s="535"/>
      <c r="R252" s="525"/>
      <c r="S252" s="535"/>
      <c r="T252" s="504"/>
      <c r="U252" s="504"/>
      <c r="V252" s="504"/>
      <c r="W252" s="504"/>
      <c r="X252" s="504"/>
      <c r="Y252" s="504"/>
      <c r="Z252" s="504"/>
      <c r="AA252" s="504"/>
      <c r="AB252" s="504"/>
      <c r="AC252" s="504"/>
      <c r="AD252" s="504"/>
      <c r="AE252" s="504"/>
      <c r="AF252" s="504"/>
      <c r="AG252" s="504"/>
      <c r="AH252" s="504"/>
      <c r="AI252" s="504"/>
      <c r="AJ252" s="504"/>
      <c r="AK252" s="504"/>
      <c r="AL252" s="504"/>
      <c r="AM252" s="504"/>
      <c r="AN252" s="504"/>
    </row>
    <row r="253" spans="1:40" ht="15.75" customHeight="1">
      <c r="A253" s="517" t="s">
        <v>373</v>
      </c>
      <c r="B253" s="504" t="s">
        <v>99</v>
      </c>
      <c r="C253" s="592" t="s">
        <v>41</v>
      </c>
      <c r="D253" s="504"/>
      <c r="E253" s="504"/>
      <c r="F253" s="526">
        <f t="array" ref="F253">+INDEX('[5]Budget original'!$A$2:$AO$500,MATCH($A253,'[5]Budget original'!$A$2:$A$500,0),MATCH(F$2,'[5]Budget original'!$A$2:$AO$2,0))</f>
        <v>325.80440613026821</v>
      </c>
      <c r="G253" s="525"/>
      <c r="H253" s="504"/>
      <c r="I253" s="526"/>
      <c r="J253" s="525"/>
      <c r="K253" s="504"/>
      <c r="L253" s="528">
        <f>SUMIFS([5]BV_Data_An_Cour!$O:$O,[5]BV_Data_An_Cour!$U:$U,$B253,[5]BV_Data_An_Cour!$V:$V,$C253,[5]BV_Data_An_Cour!$W:$W,$L$2)</f>
        <v>651.88</v>
      </c>
      <c r="M253" s="525"/>
      <c r="N253" s="551">
        <f t="shared" ref="N253:N283" si="52">L253-F253</f>
        <v>326.07559386973179</v>
      </c>
      <c r="O253" s="525"/>
      <c r="P253" s="504"/>
      <c r="Q253" s="528">
        <f>SUMIFS([5]BV_Data_An_Prec!$O:$O,[5]BV_Data_An_Prec!$U:$U,$B253,[5]BV_Data_An_Prec!$V:$V,$C253,[5]BV_Data_An_Prec!$W:$W,$L$2)</f>
        <v>901.88</v>
      </c>
      <c r="R253" s="525"/>
      <c r="S253" s="528">
        <f t="shared" ref="S253:S284" si="53">L253-Q253</f>
        <v>-250</v>
      </c>
      <c r="T253" s="504"/>
      <c r="U253" s="504"/>
      <c r="V253" s="504"/>
      <c r="W253" s="504"/>
      <c r="X253" s="504"/>
      <c r="Y253" s="504"/>
      <c r="Z253" s="504"/>
      <c r="AA253" s="504"/>
      <c r="AB253" s="504"/>
      <c r="AC253" s="504"/>
      <c r="AD253" s="504"/>
      <c r="AE253" s="504"/>
      <c r="AF253" s="504"/>
      <c r="AG253" s="504"/>
      <c r="AH253" s="504"/>
      <c r="AI253" s="504"/>
      <c r="AJ253" s="504"/>
      <c r="AK253" s="504"/>
      <c r="AL253" s="504"/>
      <c r="AM253" s="504"/>
      <c r="AN253" s="504"/>
    </row>
    <row r="254" spans="1:40" ht="15.75" customHeight="1">
      <c r="A254" s="517" t="s">
        <v>374</v>
      </c>
      <c r="B254" s="504" t="s">
        <v>99</v>
      </c>
      <c r="C254" s="593" t="s">
        <v>42</v>
      </c>
      <c r="D254" s="577"/>
      <c r="E254" s="504"/>
      <c r="F254" s="520">
        <f t="array" ref="F254">+INDEX('[5]Budget original'!$A$2:$AO$500,MATCH($A254,'[5]Budget original'!$A$2:$A$500,0),MATCH(F$2,'[5]Budget original'!$A$2:$AO$2,0))</f>
        <v>568.03540229885061</v>
      </c>
      <c r="G254" s="578"/>
      <c r="H254" s="504"/>
      <c r="I254" s="520"/>
      <c r="J254" s="525"/>
      <c r="K254" s="504"/>
      <c r="L254" s="528">
        <f>SUMIFS([5]BV_Data_An_Cour!$O:$O,[5]BV_Data_An_Cour!$U:$U,$B254,[5]BV_Data_An_Cour!$V:$V,$C254,[5]BV_Data_An_Cour!$W:$W,$L$2)</f>
        <v>0</v>
      </c>
      <c r="M254" s="525"/>
      <c r="N254" s="551">
        <f t="shared" si="52"/>
        <v>-568.03540229885061</v>
      </c>
      <c r="O254" s="525"/>
      <c r="P254" s="504"/>
      <c r="Q254" s="528">
        <f>SUMIFS([5]BV_Data_An_Prec!$O:$O,[5]BV_Data_An_Prec!$U:$U,$B254,[5]BV_Data_An_Prec!$V:$V,$C254,[5]BV_Data_An_Prec!$W:$W,$L$2)</f>
        <v>0</v>
      </c>
      <c r="R254" s="525"/>
      <c r="S254" s="551">
        <f t="shared" si="53"/>
        <v>0</v>
      </c>
      <c r="T254" s="504"/>
      <c r="U254" s="504"/>
      <c r="V254" s="504"/>
      <c r="W254" s="504"/>
      <c r="X254" s="504"/>
      <c r="Y254" s="504"/>
      <c r="Z254" s="504"/>
      <c r="AA254" s="504"/>
      <c r="AB254" s="504"/>
      <c r="AC254" s="504"/>
      <c r="AD254" s="504"/>
      <c r="AE254" s="504"/>
      <c r="AF254" s="504"/>
      <c r="AG254" s="504"/>
      <c r="AH254" s="504"/>
      <c r="AI254" s="504"/>
      <c r="AJ254" s="504"/>
      <c r="AK254" s="504"/>
      <c r="AL254" s="504"/>
      <c r="AM254" s="504"/>
      <c r="AN254" s="504"/>
    </row>
    <row r="255" spans="1:40" ht="15.75" customHeight="1">
      <c r="A255" s="517" t="s">
        <v>375</v>
      </c>
      <c r="B255" s="504" t="s">
        <v>99</v>
      </c>
      <c r="C255" s="592" t="s">
        <v>43</v>
      </c>
      <c r="D255" s="594"/>
      <c r="E255" s="595"/>
      <c r="F255" s="526">
        <f t="array" ref="F255">+INDEX('[5]Budget original'!$A$2:$AO$500,MATCH($A255,'[5]Budget original'!$A$2:$A$500,0),MATCH(F$2,'[5]Budget original'!$A$2:$AO$2,0))</f>
        <v>371.30268199233717</v>
      </c>
      <c r="G255" s="596"/>
      <c r="H255" s="595"/>
      <c r="I255" s="526"/>
      <c r="J255" s="512"/>
      <c r="K255" s="595"/>
      <c r="L255" s="547">
        <f>SUMIFS([5]BV_Data_An_Cour!$O:$O,[5]BV_Data_An_Cour!$U:$U,$B255,[5]BV_Data_An_Cour!$V:$V,$C255,[5]BV_Data_An_Cour!$W:$W,$L$2)</f>
        <v>-0.02</v>
      </c>
      <c r="M255" s="512"/>
      <c r="N255" s="597">
        <f t="shared" si="52"/>
        <v>-371.32268199233715</v>
      </c>
      <c r="O255" s="512"/>
      <c r="P255" s="595"/>
      <c r="Q255" s="547">
        <f>SUMIFS([5]BV_Data_An_Prec!$O:$O,[5]BV_Data_An_Prec!$U:$U,$B255,[5]BV_Data_An_Prec!$V:$V,$C255,[5]BV_Data_An_Prec!$W:$W,$L$2)</f>
        <v>1.23</v>
      </c>
      <c r="R255" s="512"/>
      <c r="S255" s="597">
        <f t="shared" si="53"/>
        <v>-1.25</v>
      </c>
      <c r="T255" s="504"/>
      <c r="U255" s="504"/>
      <c r="V255" s="504"/>
      <c r="W255" s="504"/>
      <c r="X255" s="504"/>
      <c r="Y255" s="504"/>
      <c r="Z255" s="504"/>
      <c r="AA255" s="504"/>
      <c r="AB255" s="504"/>
      <c r="AC255" s="504"/>
      <c r="AD255" s="504"/>
      <c r="AE255" s="504"/>
      <c r="AF255" s="504"/>
      <c r="AG255" s="504"/>
      <c r="AH255" s="504"/>
      <c r="AI255" s="504"/>
      <c r="AJ255" s="504"/>
      <c r="AK255" s="504"/>
      <c r="AL255" s="504"/>
      <c r="AM255" s="504"/>
      <c r="AN255" s="504"/>
    </row>
    <row r="256" spans="1:40" ht="15.75" customHeight="1">
      <c r="A256" s="517" t="s">
        <v>376</v>
      </c>
      <c r="B256" s="504" t="s">
        <v>99</v>
      </c>
      <c r="C256" s="592" t="s">
        <v>44</v>
      </c>
      <c r="D256" s="577"/>
      <c r="E256" s="504"/>
      <c r="F256" s="526">
        <f t="array" ref="F256">+INDEX('[5]Budget original'!$A$2:$AO$500,MATCH($A256,'[5]Budget original'!$A$2:$A$500,0),MATCH(F$2,'[5]Budget original'!$A$2:$AO$2,0))</f>
        <v>3655.8620689655172</v>
      </c>
      <c r="G256" s="578"/>
      <c r="H256" s="504"/>
      <c r="I256" s="526"/>
      <c r="J256" s="525"/>
      <c r="K256" s="504"/>
      <c r="L256" s="528">
        <f>SUMIFS([5]BV_Data_An_Cour!$O:$O,[5]BV_Data_An_Cour!$U:$U,$B256,[5]BV_Data_An_Cour!$V:$V,$C256,[5]BV_Data_An_Cour!$W:$W,$L$2)</f>
        <v>4550.6000000000004</v>
      </c>
      <c r="M256" s="525"/>
      <c r="N256" s="551">
        <f t="shared" si="52"/>
        <v>894.73793103448315</v>
      </c>
      <c r="O256" s="525"/>
      <c r="P256" s="504"/>
      <c r="Q256" s="528">
        <f>SUMIFS([5]BV_Data_An_Prec!$O:$O,[5]BV_Data_An_Prec!$U:$U,$B256,[5]BV_Data_An_Prec!$V:$V,$C256,[5]BV_Data_An_Prec!$W:$W,$L$2)</f>
        <v>3149.32</v>
      </c>
      <c r="R256" s="525"/>
      <c r="S256" s="551">
        <f t="shared" si="53"/>
        <v>1401.2800000000002</v>
      </c>
      <c r="T256" s="504"/>
      <c r="U256" s="504"/>
      <c r="V256" s="504"/>
      <c r="W256" s="504"/>
      <c r="X256" s="504"/>
      <c r="Y256" s="504"/>
      <c r="Z256" s="504"/>
      <c r="AA256" s="504"/>
      <c r="AB256" s="504"/>
      <c r="AC256" s="504"/>
      <c r="AD256" s="504"/>
      <c r="AE256" s="504"/>
      <c r="AF256" s="504"/>
      <c r="AG256" s="504"/>
      <c r="AH256" s="504"/>
      <c r="AI256" s="504"/>
      <c r="AJ256" s="504"/>
      <c r="AK256" s="504"/>
      <c r="AL256" s="504"/>
      <c r="AM256" s="504"/>
      <c r="AN256" s="504"/>
    </row>
    <row r="257" spans="1:40" ht="15.75" hidden="1" customHeight="1">
      <c r="A257" s="517" t="s">
        <v>377</v>
      </c>
      <c r="B257" s="504" t="s">
        <v>99</v>
      </c>
      <c r="C257" s="525" t="s">
        <v>20</v>
      </c>
      <c r="D257" s="577"/>
      <c r="E257" s="504"/>
      <c r="F257" s="526">
        <f t="array" ref="F257">+INDEX('[5]Budget original'!$A$2:$AO$500,MATCH($A257,'[5]Budget original'!$A$2:$A$500,0),MATCH(F$2,'[5]Budget original'!$A$2:$AO$2,0))</f>
        <v>0</v>
      </c>
      <c r="G257" s="578"/>
      <c r="H257" s="504"/>
      <c r="I257" s="526"/>
      <c r="J257" s="525"/>
      <c r="K257" s="504"/>
      <c r="L257" s="528">
        <f>SUMIFS([5]BV_Data_An_Cour!$O:$O,[5]BV_Data_An_Cour!$U:$U,$B257,[5]BV_Data_An_Cour!$V:$V,$C257,[5]BV_Data_An_Cour!$W:$W,$L$2)</f>
        <v>0</v>
      </c>
      <c r="M257" s="525"/>
      <c r="N257" s="551">
        <f t="shared" si="52"/>
        <v>0</v>
      </c>
      <c r="O257" s="525"/>
      <c r="P257" s="504"/>
      <c r="Q257" s="528">
        <f>SUMIFS([5]BV_Data_An_Prec!$O:$O,[5]BV_Data_An_Prec!$U:$U,$B257,[5]BV_Data_An_Prec!$V:$V,$C257,[5]BV_Data_An_Prec!$W:$W,$L$2)</f>
        <v>0</v>
      </c>
      <c r="R257" s="525"/>
      <c r="S257" s="551">
        <f t="shared" si="53"/>
        <v>0</v>
      </c>
      <c r="T257" s="504"/>
      <c r="U257" s="504"/>
      <c r="V257" s="504"/>
      <c r="W257" s="504"/>
      <c r="X257" s="504"/>
      <c r="Y257" s="504"/>
      <c r="Z257" s="504"/>
      <c r="AA257" s="504"/>
      <c r="AB257" s="504"/>
      <c r="AC257" s="504"/>
      <c r="AD257" s="504"/>
      <c r="AE257" s="504"/>
      <c r="AF257" s="504"/>
      <c r="AG257" s="504"/>
      <c r="AH257" s="504"/>
      <c r="AI257" s="504"/>
      <c r="AJ257" s="504"/>
      <c r="AK257" s="504"/>
      <c r="AL257" s="504"/>
      <c r="AM257" s="504"/>
      <c r="AN257" s="504"/>
    </row>
    <row r="258" spans="1:40" ht="15.75" hidden="1" customHeight="1">
      <c r="A258" s="517" t="s">
        <v>377</v>
      </c>
      <c r="B258" s="504" t="s">
        <v>99</v>
      </c>
      <c r="C258" s="525" t="s">
        <v>20</v>
      </c>
      <c r="D258" s="577"/>
      <c r="E258" s="504"/>
      <c r="F258" s="526">
        <f t="array" ref="F258">+INDEX('[5]Budget original'!$A$2:$AO$500,MATCH($A258,'[5]Budget original'!$A$2:$A$500,0),MATCH(F$2,'[5]Budget original'!$A$2:$AO$2,0))</f>
        <v>0</v>
      </c>
      <c r="G258" s="578"/>
      <c r="H258" s="504"/>
      <c r="I258" s="526"/>
      <c r="J258" s="525"/>
      <c r="K258" s="504"/>
      <c r="L258" s="528">
        <f>SUMIFS([5]BV_Data_An_Cour!$O:$O,[5]BV_Data_An_Cour!$U:$U,$B258,[5]BV_Data_An_Cour!$V:$V,$C258,[5]BV_Data_An_Cour!$W:$W,$L$2)</f>
        <v>0</v>
      </c>
      <c r="M258" s="525"/>
      <c r="N258" s="551">
        <f t="shared" si="52"/>
        <v>0</v>
      </c>
      <c r="O258" s="525"/>
      <c r="P258" s="504"/>
      <c r="Q258" s="528">
        <f>SUMIFS([5]BV_Data_An_Prec!$O:$O,[5]BV_Data_An_Prec!$U:$U,$B258,[5]BV_Data_An_Prec!$V:$V,$C258,[5]BV_Data_An_Prec!$W:$W,$L$2)</f>
        <v>0</v>
      </c>
      <c r="R258" s="525"/>
      <c r="S258" s="551">
        <f t="shared" si="53"/>
        <v>0</v>
      </c>
      <c r="T258" s="504"/>
      <c r="U258" s="504"/>
      <c r="V258" s="504"/>
      <c r="W258" s="504"/>
      <c r="X258" s="504"/>
      <c r="Y258" s="504"/>
      <c r="Z258" s="504"/>
      <c r="AA258" s="504"/>
      <c r="AB258" s="504"/>
      <c r="AC258" s="504"/>
      <c r="AD258" s="504"/>
      <c r="AE258" s="504"/>
      <c r="AF258" s="504"/>
      <c r="AG258" s="504"/>
      <c r="AH258" s="504"/>
      <c r="AI258" s="504"/>
      <c r="AJ258" s="504"/>
      <c r="AK258" s="504"/>
      <c r="AL258" s="504"/>
      <c r="AM258" s="504"/>
      <c r="AN258" s="504"/>
    </row>
    <row r="259" spans="1:40" ht="15.75" hidden="1" customHeight="1">
      <c r="A259" s="517" t="s">
        <v>377</v>
      </c>
      <c r="B259" s="504" t="s">
        <v>99</v>
      </c>
      <c r="C259" s="525" t="s">
        <v>20</v>
      </c>
      <c r="D259" s="577"/>
      <c r="E259" s="504"/>
      <c r="F259" s="526">
        <f t="array" ref="F259">+INDEX('[5]Budget original'!$A$2:$AO$500,MATCH($A259,'[5]Budget original'!$A$2:$A$500,0),MATCH(F$2,'[5]Budget original'!$A$2:$AO$2,0))</f>
        <v>0</v>
      </c>
      <c r="G259" s="578"/>
      <c r="H259" s="504"/>
      <c r="I259" s="526"/>
      <c r="J259" s="525"/>
      <c r="K259" s="504"/>
      <c r="L259" s="528">
        <f>SUMIFS([5]BV_Data_An_Cour!$O:$O,[5]BV_Data_An_Cour!$U:$U,$B259,[5]BV_Data_An_Cour!$V:$V,$C259,[5]BV_Data_An_Cour!$W:$W,$L$2)</f>
        <v>0</v>
      </c>
      <c r="M259" s="525"/>
      <c r="N259" s="551">
        <f t="shared" si="52"/>
        <v>0</v>
      </c>
      <c r="O259" s="525"/>
      <c r="P259" s="504"/>
      <c r="Q259" s="528">
        <f>SUMIFS([5]BV_Data_An_Prec!$O:$O,[5]BV_Data_An_Prec!$U:$U,$B259,[5]BV_Data_An_Prec!$V:$V,$C259,[5]BV_Data_An_Prec!$W:$W,$L$2)</f>
        <v>0</v>
      </c>
      <c r="R259" s="525"/>
      <c r="S259" s="551">
        <f t="shared" si="53"/>
        <v>0</v>
      </c>
      <c r="T259" s="504"/>
      <c r="U259" s="504"/>
      <c r="V259" s="504"/>
      <c r="W259" s="504"/>
      <c r="X259" s="504"/>
      <c r="Y259" s="504"/>
      <c r="Z259" s="504"/>
      <c r="AA259" s="504"/>
      <c r="AB259" s="504"/>
      <c r="AC259" s="504"/>
      <c r="AD259" s="504"/>
      <c r="AE259" s="504"/>
      <c r="AF259" s="504"/>
      <c r="AG259" s="504"/>
      <c r="AH259" s="504"/>
      <c r="AI259" s="504"/>
      <c r="AJ259" s="504"/>
      <c r="AK259" s="504"/>
      <c r="AL259" s="504"/>
      <c r="AM259" s="504"/>
      <c r="AN259" s="504"/>
    </row>
    <row r="260" spans="1:40" ht="15.75" customHeight="1">
      <c r="A260" s="517" t="s">
        <v>378</v>
      </c>
      <c r="B260" s="504" t="s">
        <v>99</v>
      </c>
      <c r="C260" s="593" t="s">
        <v>45</v>
      </c>
      <c r="D260" s="577"/>
      <c r="E260" s="504"/>
      <c r="F260" s="520">
        <f t="array" ref="F260">+INDEX('[5]Budget original'!$A$2:$AO$500,MATCH($A260,'[5]Budget original'!$A$2:$A$500,0),MATCH(F$2,'[5]Budget original'!$A$2:$AO$2,0))</f>
        <v>599.74349788961297</v>
      </c>
      <c r="G260" s="578"/>
      <c r="H260" s="504"/>
      <c r="I260" s="520"/>
      <c r="J260" s="525"/>
      <c r="K260" s="504"/>
      <c r="L260" s="528">
        <f>SUMIFS([5]BV_Data_An_Cour!$O:$O,[5]BV_Data_An_Cour!$U:$U,$B260,[5]BV_Data_An_Cour!$V:$V,$C260,[5]BV_Data_An_Cour!$W:$W,$L$2)</f>
        <v>382.81</v>
      </c>
      <c r="M260" s="525"/>
      <c r="N260" s="551">
        <f t="shared" si="52"/>
        <v>-216.93349788961297</v>
      </c>
      <c r="O260" s="525"/>
      <c r="P260" s="504"/>
      <c r="Q260" s="528">
        <f>SUMIFS([5]BV_Data_An_Prec!$O:$O,[5]BV_Data_An_Prec!$U:$U,$B260,[5]BV_Data_An_Prec!$V:$V,$C260,[5]BV_Data_An_Prec!$W:$W,$L$2)</f>
        <v>924.62</v>
      </c>
      <c r="R260" s="525"/>
      <c r="S260" s="551">
        <f t="shared" si="53"/>
        <v>-541.80999999999995</v>
      </c>
      <c r="T260" s="504"/>
      <c r="U260" s="504"/>
      <c r="V260" s="504"/>
      <c r="W260" s="504"/>
      <c r="X260" s="504"/>
      <c r="Y260" s="504"/>
      <c r="Z260" s="504"/>
      <c r="AA260" s="504"/>
      <c r="AB260" s="504"/>
      <c r="AC260" s="504"/>
      <c r="AD260" s="504"/>
      <c r="AE260" s="504"/>
      <c r="AF260" s="504"/>
      <c r="AG260" s="504"/>
      <c r="AH260" s="504"/>
      <c r="AI260" s="504"/>
      <c r="AJ260" s="504"/>
      <c r="AK260" s="504"/>
      <c r="AL260" s="504"/>
      <c r="AM260" s="504"/>
      <c r="AN260" s="504"/>
    </row>
    <row r="261" spans="1:40" ht="15.75" customHeight="1">
      <c r="A261" s="517" t="s">
        <v>379</v>
      </c>
      <c r="B261" s="504" t="s">
        <v>99</v>
      </c>
      <c r="C261" s="592" t="s">
        <v>46</v>
      </c>
      <c r="D261" s="594"/>
      <c r="E261" s="595"/>
      <c r="F261" s="526">
        <f t="array" ref="F261">+INDEX('[5]Budget original'!$A$2:$AO$500,MATCH($A261,'[5]Budget original'!$A$2:$A$500,0),MATCH(F$2,'[5]Budget original'!$A$2:$AO$2,0))</f>
        <v>596.20408602417399</v>
      </c>
      <c r="G261" s="596"/>
      <c r="H261" s="595"/>
      <c r="I261" s="526"/>
      <c r="J261" s="512"/>
      <c r="K261" s="595"/>
      <c r="L261" s="547">
        <f>SUMIFS([5]BV_Data_An_Cour!$O:$O,[5]BV_Data_An_Cour!$U:$U,$B261,[5]BV_Data_An_Cour!$V:$V,$C261,[5]BV_Data_An_Cour!$W:$W,$L$2)</f>
        <v>1298.79</v>
      </c>
      <c r="M261" s="512"/>
      <c r="N261" s="597">
        <f t="shared" si="52"/>
        <v>702.58591397582597</v>
      </c>
      <c r="O261" s="512"/>
      <c r="P261" s="595"/>
      <c r="Q261" s="547">
        <f>SUMIFS([5]BV_Data_An_Prec!$O:$O,[5]BV_Data_An_Prec!$U:$U,$B261,[5]BV_Data_An_Prec!$V:$V,$C261,[5]BV_Data_An_Prec!$W:$W,$L$2)</f>
        <v>1758.56</v>
      </c>
      <c r="R261" s="512"/>
      <c r="S261" s="597">
        <f t="shared" si="53"/>
        <v>-459.77</v>
      </c>
      <c r="T261" s="504"/>
      <c r="U261" s="504"/>
      <c r="V261" s="504"/>
      <c r="W261" s="504"/>
      <c r="X261" s="504"/>
      <c r="Y261" s="504"/>
      <c r="Z261" s="504"/>
      <c r="AA261" s="504"/>
      <c r="AB261" s="504"/>
      <c r="AC261" s="504"/>
      <c r="AD261" s="504"/>
      <c r="AE261" s="504"/>
      <c r="AF261" s="504"/>
      <c r="AG261" s="504"/>
      <c r="AH261" s="504"/>
      <c r="AI261" s="504"/>
      <c r="AJ261" s="504"/>
      <c r="AK261" s="504"/>
      <c r="AL261" s="504"/>
      <c r="AM261" s="504"/>
      <c r="AN261" s="504"/>
    </row>
    <row r="262" spans="1:40" ht="15.75" customHeight="1">
      <c r="A262" s="517" t="s">
        <v>380</v>
      </c>
      <c r="B262" s="504" t="s">
        <v>99</v>
      </c>
      <c r="C262" s="592" t="s">
        <v>47</v>
      </c>
      <c r="D262" s="577"/>
      <c r="E262" s="504"/>
      <c r="F262" s="526">
        <f t="array" ref="F262">+INDEX('[5]Budget original'!$A$2:$AO$500,MATCH($A262,'[5]Budget original'!$A$2:$A$500,0),MATCH(F$2,'[5]Budget original'!$A$2:$AO$2,0))</f>
        <v>417.4967010991079</v>
      </c>
      <c r="G262" s="578"/>
      <c r="H262" s="504"/>
      <c r="I262" s="526"/>
      <c r="J262" s="525"/>
      <c r="K262" s="504"/>
      <c r="L262" s="528">
        <f>SUMIFS([5]BV_Data_An_Cour!$O:$O,[5]BV_Data_An_Cour!$U:$U,$B262,[5]BV_Data_An_Cour!$V:$V,$C262,[5]BV_Data_An_Cour!$W:$W,$L$2)</f>
        <v>46.81</v>
      </c>
      <c r="M262" s="525"/>
      <c r="N262" s="551">
        <f t="shared" si="52"/>
        <v>-370.68670109910789</v>
      </c>
      <c r="O262" s="525"/>
      <c r="P262" s="504"/>
      <c r="Q262" s="528">
        <f>SUMIFS([5]BV_Data_An_Prec!$O:$O,[5]BV_Data_An_Prec!$U:$U,$B262,[5]BV_Data_An_Prec!$V:$V,$C262,[5]BV_Data_An_Prec!$W:$W,$L$2)</f>
        <v>1606.88</v>
      </c>
      <c r="R262" s="525"/>
      <c r="S262" s="551">
        <f t="shared" si="53"/>
        <v>-1560.0700000000002</v>
      </c>
      <c r="T262" s="504"/>
      <c r="U262" s="504"/>
      <c r="V262" s="504"/>
      <c r="W262" s="504"/>
      <c r="X262" s="504"/>
      <c r="Y262" s="504"/>
      <c r="Z262" s="504"/>
      <c r="AA262" s="504"/>
      <c r="AB262" s="504"/>
      <c r="AC262" s="504"/>
      <c r="AD262" s="504"/>
      <c r="AE262" s="504"/>
      <c r="AF262" s="504"/>
      <c r="AG262" s="504"/>
      <c r="AH262" s="504"/>
      <c r="AI262" s="504"/>
      <c r="AJ262" s="504"/>
      <c r="AK262" s="504"/>
      <c r="AL262" s="504"/>
      <c r="AM262" s="504"/>
      <c r="AN262" s="504"/>
    </row>
    <row r="263" spans="1:40" ht="15.75" customHeight="1">
      <c r="A263" s="517" t="s">
        <v>381</v>
      </c>
      <c r="B263" s="504" t="s">
        <v>99</v>
      </c>
      <c r="C263" s="592" t="s">
        <v>48</v>
      </c>
      <c r="D263" s="577"/>
      <c r="E263" s="504"/>
      <c r="F263" s="526">
        <f t="array" ref="F263">+INDEX('[5]Budget original'!$A$2:$AO$500,MATCH($A263,'[5]Budget original'!$A$2:$A$500,0),MATCH(F$2,'[5]Budget original'!$A$2:$AO$2,0))</f>
        <v>199.45020784310012</v>
      </c>
      <c r="G263" s="578"/>
      <c r="H263" s="504"/>
      <c r="I263" s="526"/>
      <c r="J263" s="525"/>
      <c r="K263" s="504"/>
      <c r="L263" s="528">
        <f>SUMIFS([5]BV_Data_An_Cour!$O:$O,[5]BV_Data_An_Cour!$U:$U,$B263,[5]BV_Data_An_Cour!$V:$V,$C263,[5]BV_Data_An_Cour!$W:$W,$L$2)</f>
        <v>170.57</v>
      </c>
      <c r="M263" s="525"/>
      <c r="N263" s="551">
        <f t="shared" si="52"/>
        <v>-28.880207843100123</v>
      </c>
      <c r="O263" s="525"/>
      <c r="P263" s="504"/>
      <c r="Q263" s="528">
        <f>SUMIFS([5]BV_Data_An_Prec!$O:$O,[5]BV_Data_An_Prec!$U:$U,$B263,[5]BV_Data_An_Prec!$V:$V,$C263,[5]BV_Data_An_Prec!$W:$W,$L$2)</f>
        <v>466.12</v>
      </c>
      <c r="R263" s="525"/>
      <c r="S263" s="551">
        <f t="shared" si="53"/>
        <v>-295.55</v>
      </c>
      <c r="T263" s="504"/>
      <c r="U263" s="504"/>
      <c r="V263" s="504"/>
      <c r="W263" s="504"/>
      <c r="X263" s="504"/>
      <c r="Y263" s="504"/>
      <c r="Z263" s="504"/>
      <c r="AA263" s="504"/>
      <c r="AB263" s="504"/>
      <c r="AC263" s="504"/>
      <c r="AD263" s="504"/>
      <c r="AE263" s="504"/>
      <c r="AF263" s="504"/>
      <c r="AG263" s="504"/>
      <c r="AH263" s="504"/>
      <c r="AI263" s="504"/>
      <c r="AJ263" s="504"/>
      <c r="AK263" s="504"/>
      <c r="AL263" s="504"/>
      <c r="AM263" s="504"/>
      <c r="AN263" s="504"/>
    </row>
    <row r="264" spans="1:40" ht="15.75" hidden="1" customHeight="1">
      <c r="A264" s="517" t="s">
        <v>377</v>
      </c>
      <c r="B264" s="504" t="s">
        <v>99</v>
      </c>
      <c r="C264" s="525" t="s">
        <v>20</v>
      </c>
      <c r="D264" s="579"/>
      <c r="E264" s="598"/>
      <c r="F264" s="526">
        <f t="array" ref="F264">+INDEX('[5]Budget original'!$A$2:$AO$500,MATCH($A264,'[5]Budget original'!$A$2:$A$500,0),MATCH(F$2,'[5]Budget original'!$A$2:$AO$2,0))</f>
        <v>0</v>
      </c>
      <c r="G264" s="580"/>
      <c r="H264" s="598"/>
      <c r="I264" s="526"/>
      <c r="J264" s="518"/>
      <c r="K264" s="598"/>
      <c r="L264" s="528">
        <f>SUMIFS([5]BV_Data_An_Cour!$O:$O,[5]BV_Data_An_Cour!$U:$U,$B264,[5]BV_Data_An_Cour!$V:$V,$C264,[5]BV_Data_An_Cour!$W:$W,$L$2)</f>
        <v>0</v>
      </c>
      <c r="M264" s="518"/>
      <c r="N264" s="574">
        <f t="shared" si="52"/>
        <v>0</v>
      </c>
      <c r="O264" s="518"/>
      <c r="P264" s="598"/>
      <c r="Q264" s="528">
        <f>SUMIFS([5]BV_Data_An_Prec!$O:$O,[5]BV_Data_An_Prec!$U:$U,$B264,[5]BV_Data_An_Prec!$V:$V,$C264,[5]BV_Data_An_Prec!$W:$W,$L$2)</f>
        <v>0</v>
      </c>
      <c r="R264" s="518"/>
      <c r="S264" s="574">
        <f t="shared" si="53"/>
        <v>0</v>
      </c>
      <c r="T264" s="504"/>
      <c r="U264" s="504"/>
      <c r="V264" s="504"/>
      <c r="W264" s="504"/>
      <c r="X264" s="504"/>
      <c r="Y264" s="504"/>
      <c r="Z264" s="504"/>
      <c r="AA264" s="504"/>
      <c r="AB264" s="504"/>
      <c r="AC264" s="504"/>
      <c r="AD264" s="504"/>
      <c r="AE264" s="504"/>
      <c r="AF264" s="504"/>
      <c r="AG264" s="504"/>
      <c r="AH264" s="504"/>
      <c r="AI264" s="504"/>
      <c r="AJ264" s="504"/>
      <c r="AK264" s="504"/>
      <c r="AL264" s="504"/>
      <c r="AM264" s="504"/>
      <c r="AN264" s="504"/>
    </row>
    <row r="265" spans="1:40" ht="15.75" customHeight="1">
      <c r="A265" s="517" t="s">
        <v>382</v>
      </c>
      <c r="B265" s="504" t="s">
        <v>99</v>
      </c>
      <c r="C265" s="584" t="s">
        <v>49</v>
      </c>
      <c r="D265" s="585" t="s">
        <v>39</v>
      </c>
      <c r="E265" s="586">
        <f>F265/F$249</f>
        <v>0.28005028150739047</v>
      </c>
      <c r="F265" s="587">
        <f>+SUM(F253:F264)</f>
        <v>6733.8990522429676</v>
      </c>
      <c r="G265" s="588"/>
      <c r="H265" s="586"/>
      <c r="I265" s="587"/>
      <c r="J265" s="588" t="s">
        <v>39</v>
      </c>
      <c r="K265" s="586">
        <f>IF(L249=0,0,L265/L$249)</f>
        <v>0.30680193168258407</v>
      </c>
      <c r="L265" s="587">
        <f>+SUM(L253:L264)</f>
        <v>7101.4400000000005</v>
      </c>
      <c r="M265" s="637"/>
      <c r="N265" s="600">
        <f t="shared" si="52"/>
        <v>367.54094775703288</v>
      </c>
      <c r="O265" s="588" t="s">
        <v>39</v>
      </c>
      <c r="P265" s="586">
        <f>IF(Q249=0,0,Q265/Q$249)</f>
        <v>0.42664702779649255</v>
      </c>
      <c r="Q265" s="587">
        <f>+SUM(Q253:Q264)</f>
        <v>8808.6100000000024</v>
      </c>
      <c r="R265" s="637"/>
      <c r="S265" s="600">
        <f t="shared" si="53"/>
        <v>-1707.1700000000019</v>
      </c>
      <c r="T265" s="504"/>
      <c r="U265" s="504"/>
      <c r="V265" s="504"/>
      <c r="W265" s="504"/>
      <c r="X265" s="504"/>
      <c r="Y265" s="504"/>
      <c r="Z265" s="504"/>
      <c r="AA265" s="504"/>
      <c r="AB265" s="504"/>
      <c r="AC265" s="504"/>
      <c r="AD265" s="504"/>
      <c r="AE265" s="504"/>
      <c r="AF265" s="504"/>
      <c r="AG265" s="504"/>
      <c r="AH265" s="504"/>
      <c r="AI265" s="504"/>
      <c r="AJ265" s="504"/>
      <c r="AK265" s="504"/>
      <c r="AL265" s="504"/>
      <c r="AM265" s="504"/>
      <c r="AN265" s="504"/>
    </row>
    <row r="266" spans="1:40" ht="15.75" customHeight="1">
      <c r="A266" s="517" t="s">
        <v>383</v>
      </c>
      <c r="B266" s="504" t="s">
        <v>99</v>
      </c>
      <c r="C266" s="691" t="s">
        <v>50</v>
      </c>
      <c r="D266" s="577"/>
      <c r="E266" s="504"/>
      <c r="F266" s="526">
        <f t="array" ref="F266">+INDEX('[5]Budget original'!$A$2:$AO$500,MATCH($A266,'[5]Budget original'!$A$2:$A$500,0),MATCH(F$2,'[5]Budget original'!$A$2:$AO$2,0))</f>
        <v>0</v>
      </c>
      <c r="G266" s="578"/>
      <c r="H266" s="504"/>
      <c r="I266" s="526"/>
      <c r="J266" s="525"/>
      <c r="K266" s="504"/>
      <c r="L266" s="528">
        <f>SUMIFS([5]BV_Data_An_Cour!$O:$O,[5]BV_Data_An_Cour!$U:$U,$B266,[5]BV_Data_An_Cour!$V:$V,$C266,[5]BV_Data_An_Cour!$W:$W,$L$2)</f>
        <v>24.55</v>
      </c>
      <c r="M266" s="525"/>
      <c r="N266" s="551">
        <f t="shared" si="52"/>
        <v>24.55</v>
      </c>
      <c r="O266" s="525"/>
      <c r="P266" s="504"/>
      <c r="Q266" s="528">
        <f>SUMIFS([5]BV_Data_An_Prec!$O:$O,[5]BV_Data_An_Prec!$U:$U,$B266,[5]BV_Data_An_Prec!$V:$V,$C266,[5]BV_Data_An_Prec!$W:$W,$L$2)</f>
        <v>0.06</v>
      </c>
      <c r="R266" s="525"/>
      <c r="S266" s="551">
        <f t="shared" si="53"/>
        <v>24.490000000000002</v>
      </c>
      <c r="T266" s="504"/>
      <c r="U266" s="504"/>
      <c r="V266" s="504"/>
      <c r="W266" s="504"/>
      <c r="X266" s="504"/>
      <c r="Y266" s="504"/>
      <c r="Z266" s="504"/>
      <c r="AA266" s="504"/>
      <c r="AB266" s="504"/>
      <c r="AC266" s="504"/>
      <c r="AD266" s="504"/>
      <c r="AE266" s="504"/>
      <c r="AF266" s="504"/>
      <c r="AG266" s="504"/>
      <c r="AH266" s="504"/>
      <c r="AI266" s="504"/>
      <c r="AJ266" s="504"/>
      <c r="AK266" s="504"/>
      <c r="AL266" s="504"/>
      <c r="AM266" s="504"/>
      <c r="AN266" s="504"/>
    </row>
    <row r="267" spans="1:40" ht="15.75" customHeight="1">
      <c r="A267" s="517" t="s">
        <v>384</v>
      </c>
      <c r="B267" s="504" t="s">
        <v>99</v>
      </c>
      <c r="C267" s="592" t="s">
        <v>51</v>
      </c>
      <c r="D267" s="577"/>
      <c r="E267" s="504"/>
      <c r="F267" s="526">
        <f t="array" ref="F267">+INDEX('[5]Budget original'!$A$2:$AO$500,MATCH($A267,'[5]Budget original'!$A$2:$A$500,0),MATCH(F$2,'[5]Budget original'!$A$2:$AO$2,0))</f>
        <v>311.01554484837368</v>
      </c>
      <c r="G267" s="578"/>
      <c r="H267" s="504"/>
      <c r="I267" s="526"/>
      <c r="J267" s="525"/>
      <c r="K267" s="504"/>
      <c r="L267" s="528">
        <f>SUMIFS([5]BV_Data_An_Cour!$O:$O,[5]BV_Data_An_Cour!$U:$U,$B267,[5]BV_Data_An_Cour!$V:$V,$C267,[5]BV_Data_An_Cour!$W:$W,$L$2)</f>
        <v>1009.17</v>
      </c>
      <c r="M267" s="525"/>
      <c r="N267" s="551">
        <f t="shared" si="52"/>
        <v>698.15445515162628</v>
      </c>
      <c r="O267" s="525"/>
      <c r="P267" s="504"/>
      <c r="Q267" s="528">
        <f>SUMIFS([5]BV_Data_An_Prec!$O:$O,[5]BV_Data_An_Prec!$U:$U,$B267,[5]BV_Data_An_Prec!$V:$V,$C267,[5]BV_Data_An_Prec!$W:$W,$L$2)</f>
        <v>15.15</v>
      </c>
      <c r="R267" s="525"/>
      <c r="S267" s="551">
        <f t="shared" si="53"/>
        <v>994.02</v>
      </c>
      <c r="T267" s="504"/>
      <c r="U267" s="504"/>
      <c r="V267" s="504"/>
      <c r="W267" s="504"/>
      <c r="X267" s="504"/>
      <c r="Y267" s="504"/>
      <c r="Z267" s="504"/>
      <c r="AA267" s="504"/>
      <c r="AB267" s="504"/>
      <c r="AC267" s="504"/>
      <c r="AD267" s="504"/>
      <c r="AE267" s="504"/>
      <c r="AF267" s="504"/>
      <c r="AG267" s="504"/>
      <c r="AH267" s="504"/>
      <c r="AI267" s="504"/>
      <c r="AJ267" s="504"/>
      <c r="AK267" s="504"/>
      <c r="AL267" s="504"/>
      <c r="AM267" s="504"/>
      <c r="AN267" s="504"/>
    </row>
    <row r="268" spans="1:40" ht="15.75" customHeight="1">
      <c r="A268" s="517" t="s">
        <v>385</v>
      </c>
      <c r="B268" s="504" t="s">
        <v>99</v>
      </c>
      <c r="C268" s="593" t="s">
        <v>52</v>
      </c>
      <c r="D268" s="579"/>
      <c r="E268" s="598"/>
      <c r="F268" s="520">
        <f t="array" ref="F268">+INDEX('[5]Budget original'!$A$2:$AO$500,MATCH($A268,'[5]Budget original'!$A$2:$A$500,0),MATCH(F$2,'[5]Budget original'!$A$2:$AO$2,0))</f>
        <v>458.33333333333331</v>
      </c>
      <c r="G268" s="580"/>
      <c r="H268" s="598"/>
      <c r="I268" s="520"/>
      <c r="J268" s="518"/>
      <c r="K268" s="598"/>
      <c r="L268" s="528">
        <f>SUMIFS([5]BV_Data_An_Cour!$O:$O,[5]BV_Data_An_Cour!$U:$U,$B268,[5]BV_Data_An_Cour!$V:$V,$C268,[5]BV_Data_An_Cour!$W:$W,$L$2)</f>
        <v>149.79</v>
      </c>
      <c r="M268" s="518"/>
      <c r="N268" s="574">
        <f t="shared" si="52"/>
        <v>-308.54333333333329</v>
      </c>
      <c r="O268" s="518"/>
      <c r="P268" s="598"/>
      <c r="Q268" s="528">
        <f>SUMIFS([5]BV_Data_An_Prec!$O:$O,[5]BV_Data_An_Prec!$U:$U,$B268,[5]BV_Data_An_Prec!$V:$V,$C268,[5]BV_Data_An_Prec!$W:$W,$L$2)</f>
        <v>901.54</v>
      </c>
      <c r="R268" s="518"/>
      <c r="S268" s="574">
        <f t="shared" si="53"/>
        <v>-751.75</v>
      </c>
      <c r="T268" s="504"/>
      <c r="U268" s="504"/>
      <c r="V268" s="504"/>
      <c r="W268" s="504"/>
      <c r="X268" s="504"/>
      <c r="Y268" s="504"/>
      <c r="Z268" s="504"/>
      <c r="AA268" s="504"/>
      <c r="AB268" s="504"/>
      <c r="AC268" s="504"/>
      <c r="AD268" s="504"/>
      <c r="AE268" s="504"/>
      <c r="AF268" s="504"/>
      <c r="AG268" s="504"/>
      <c r="AH268" s="504"/>
      <c r="AI268" s="504"/>
      <c r="AJ268" s="504"/>
      <c r="AK268" s="504"/>
      <c r="AL268" s="504"/>
      <c r="AM268" s="504"/>
      <c r="AN268" s="504"/>
    </row>
    <row r="269" spans="1:40" ht="15.75" customHeight="1">
      <c r="A269" s="517" t="s">
        <v>386</v>
      </c>
      <c r="B269" s="504" t="s">
        <v>99</v>
      </c>
      <c r="C269" s="592" t="s">
        <v>53</v>
      </c>
      <c r="D269" s="577"/>
      <c r="E269" s="504"/>
      <c r="F269" s="526">
        <f t="array" ref="F269">+INDEX('[5]Budget original'!$A$2:$AO$500,MATCH($A269,'[5]Budget original'!$A$2:$A$500,0),MATCH(F$2,'[5]Budget original'!$A$2:$AO$2,0))</f>
        <v>1324.9767903333334</v>
      </c>
      <c r="G269" s="578"/>
      <c r="H269" s="504"/>
      <c r="I269" s="526"/>
      <c r="J269" s="525"/>
      <c r="K269" s="504"/>
      <c r="L269" s="547">
        <f>SUMIFS([5]BV_Data_An_Cour!$O:$O,[5]BV_Data_An_Cour!$U:$U,$B269,[5]BV_Data_An_Cour!$V:$V,$C269,[5]BV_Data_An_Cour!$W:$W,$L$2)</f>
        <v>1466.11</v>
      </c>
      <c r="M269" s="525"/>
      <c r="N269" s="551">
        <f t="shared" si="52"/>
        <v>141.13320966666652</v>
      </c>
      <c r="O269" s="525"/>
      <c r="P269" s="504"/>
      <c r="Q269" s="547">
        <f>SUMIFS([5]BV_Data_An_Prec!$O:$O,[5]BV_Data_An_Prec!$U:$U,$B269,[5]BV_Data_An_Prec!$V:$V,$C269,[5]BV_Data_An_Prec!$W:$W,$L$2)</f>
        <v>1475.24</v>
      </c>
      <c r="R269" s="525"/>
      <c r="S269" s="551">
        <f t="shared" si="53"/>
        <v>-9.1300000000001091</v>
      </c>
      <c r="T269" s="504"/>
      <c r="U269" s="504"/>
      <c r="V269" s="504"/>
      <c r="W269" s="504"/>
      <c r="X269" s="504"/>
      <c r="Y269" s="504"/>
      <c r="Z269" s="504"/>
      <c r="AA269" s="504"/>
      <c r="AB269" s="504"/>
      <c r="AC269" s="504"/>
      <c r="AD269" s="504"/>
      <c r="AE269" s="504"/>
      <c r="AF269" s="504"/>
      <c r="AG269" s="504"/>
      <c r="AH269" s="504"/>
      <c r="AI269" s="504"/>
      <c r="AJ269" s="504"/>
      <c r="AK269" s="504"/>
      <c r="AL269" s="504"/>
      <c r="AM269" s="504"/>
      <c r="AN269" s="504"/>
    </row>
    <row r="270" spans="1:40" ht="15.75" customHeight="1">
      <c r="A270" s="517" t="s">
        <v>387</v>
      </c>
      <c r="B270" s="504" t="s">
        <v>99</v>
      </c>
      <c r="C270" s="592" t="s">
        <v>54</v>
      </c>
      <c r="D270" s="577"/>
      <c r="E270" s="504"/>
      <c r="F270" s="526">
        <f t="array" ref="F270">+INDEX('[5]Budget original'!$A$2:$AO$500,MATCH($A270,'[5]Budget original'!$A$2:$A$500,0),MATCH(F$2,'[5]Budget original'!$A$2:$AO$2,0))</f>
        <v>218.76925977083332</v>
      </c>
      <c r="G270" s="578"/>
      <c r="H270" s="504"/>
      <c r="I270" s="526"/>
      <c r="J270" s="525"/>
      <c r="K270" s="504"/>
      <c r="L270" s="528">
        <f>SUMIFS([5]BV_Data_An_Cour!$O:$O,[5]BV_Data_An_Cour!$U:$U,$B270,[5]BV_Data_An_Cour!$V:$V,$C270,[5]BV_Data_An_Cour!$W:$W,$L$2)</f>
        <v>169.45</v>
      </c>
      <c r="M270" s="525"/>
      <c r="N270" s="551">
        <f t="shared" si="52"/>
        <v>-49.319259770833327</v>
      </c>
      <c r="O270" s="525"/>
      <c r="P270" s="504"/>
      <c r="Q270" s="528">
        <f>SUMIFS([5]BV_Data_An_Prec!$O:$O,[5]BV_Data_An_Prec!$U:$U,$B270,[5]BV_Data_An_Prec!$V:$V,$C270,[5]BV_Data_An_Prec!$W:$W,$L$2)</f>
        <v>111.16</v>
      </c>
      <c r="R270" s="525"/>
      <c r="S270" s="551">
        <f t="shared" si="53"/>
        <v>58.289999999999992</v>
      </c>
      <c r="T270" s="504"/>
      <c r="U270" s="504"/>
      <c r="V270" s="504"/>
      <c r="W270" s="504"/>
      <c r="X270" s="504"/>
      <c r="Y270" s="504"/>
      <c r="Z270" s="504"/>
      <c r="AA270" s="504"/>
      <c r="AB270" s="504"/>
      <c r="AC270" s="504"/>
      <c r="AD270" s="504"/>
      <c r="AE270" s="504"/>
      <c r="AF270" s="504"/>
      <c r="AG270" s="504"/>
      <c r="AH270" s="504"/>
      <c r="AI270" s="504"/>
      <c r="AJ270" s="504"/>
      <c r="AK270" s="504"/>
      <c r="AL270" s="504"/>
      <c r="AM270" s="504"/>
      <c r="AN270" s="504"/>
    </row>
    <row r="271" spans="1:40" ht="15.75" customHeight="1">
      <c r="A271" s="517" t="s">
        <v>388</v>
      </c>
      <c r="B271" s="504" t="s">
        <v>99</v>
      </c>
      <c r="C271" s="592" t="s">
        <v>55</v>
      </c>
      <c r="D271" s="579"/>
      <c r="E271" s="598"/>
      <c r="F271" s="520">
        <f t="array" ref="F271">+INDEX('[5]Budget original'!$A$2:$AO$500,MATCH($A271,'[5]Budget original'!$A$2:$A$500,0),MATCH(F$2,'[5]Budget original'!$A$2:$AO$2,0))</f>
        <v>901.65366588888901</v>
      </c>
      <c r="G271" s="580"/>
      <c r="H271" s="598"/>
      <c r="I271" s="520"/>
      <c r="J271" s="518"/>
      <c r="K271" s="598"/>
      <c r="L271" s="528">
        <f>SUMIFS([5]BV_Data_An_Cour!$O:$O,[5]BV_Data_An_Cour!$U:$U,$B271,[5]BV_Data_An_Cour!$V:$V,$C271,[5]BV_Data_An_Cour!$W:$W,$L$2)</f>
        <v>447.02</v>
      </c>
      <c r="M271" s="518"/>
      <c r="N271" s="574">
        <f t="shared" si="52"/>
        <v>-454.63366588888903</v>
      </c>
      <c r="O271" s="518"/>
      <c r="P271" s="598"/>
      <c r="Q271" s="528">
        <f>SUMIFS([5]BV_Data_An_Prec!$O:$O,[5]BV_Data_An_Prec!$U:$U,$B271,[5]BV_Data_An_Prec!$V:$V,$C271,[5]BV_Data_An_Prec!$W:$W,$L$2)</f>
        <v>566.32000000000005</v>
      </c>
      <c r="R271" s="518"/>
      <c r="S271" s="574">
        <f t="shared" si="53"/>
        <v>-119.30000000000007</v>
      </c>
      <c r="T271" s="504"/>
      <c r="U271" s="504"/>
      <c r="V271" s="504"/>
      <c r="W271" s="504"/>
      <c r="X271" s="504"/>
      <c r="Y271" s="504"/>
      <c r="Z271" s="504"/>
      <c r="AA271" s="504"/>
      <c r="AB271" s="504"/>
      <c r="AC271" s="504"/>
      <c r="AD271" s="504"/>
      <c r="AE271" s="504"/>
      <c r="AF271" s="504"/>
      <c r="AG271" s="504"/>
      <c r="AH271" s="504"/>
      <c r="AI271" s="504"/>
      <c r="AJ271" s="504"/>
      <c r="AK271" s="504"/>
      <c r="AL271" s="504"/>
      <c r="AM271" s="504"/>
      <c r="AN271" s="504"/>
    </row>
    <row r="272" spans="1:40" ht="15.75" customHeight="1">
      <c r="A272" s="517" t="s">
        <v>389</v>
      </c>
      <c r="B272" s="504" t="s">
        <v>99</v>
      </c>
      <c r="C272" s="691" t="s">
        <v>98</v>
      </c>
      <c r="D272" s="577"/>
      <c r="E272" s="504"/>
      <c r="F272" s="526"/>
      <c r="G272" s="578"/>
      <c r="H272" s="504"/>
      <c r="I272" s="526"/>
      <c r="J272" s="525"/>
      <c r="K272" s="504"/>
      <c r="L272" s="547">
        <f>SUMIFS([5]BV_Data_An_Cour!$O:$O,[5]BV_Data_An_Cour!$U:$U,$B272,[5]BV_Data_An_Cour!$V:$V,$C272,[5]BV_Data_An_Cour!$W:$W,$L$2)</f>
        <v>0</v>
      </c>
      <c r="M272" s="525"/>
      <c r="N272" s="551">
        <f t="shared" si="52"/>
        <v>0</v>
      </c>
      <c r="O272" s="525"/>
      <c r="P272" s="504"/>
      <c r="Q272" s="528">
        <f>SUMIFS([5]BV_Data_An_Prec!$O:$O,[5]BV_Data_An_Prec!$U:$U,$B272,[5]BV_Data_An_Prec!$V:$V,$C272,[5]BV_Data_An_Prec!$W:$W,$L$2)</f>
        <v>0</v>
      </c>
      <c r="R272" s="525"/>
      <c r="S272" s="551">
        <f t="shared" si="53"/>
        <v>0</v>
      </c>
      <c r="T272" s="504"/>
      <c r="U272" s="504"/>
      <c r="V272" s="504"/>
      <c r="W272" s="504"/>
      <c r="X272" s="504"/>
      <c r="Y272" s="504"/>
      <c r="Z272" s="504"/>
      <c r="AA272" s="504"/>
      <c r="AB272" s="504"/>
      <c r="AC272" s="504"/>
      <c r="AD272" s="504"/>
      <c r="AE272" s="504"/>
      <c r="AF272" s="504"/>
      <c r="AG272" s="504"/>
      <c r="AH272" s="504"/>
      <c r="AI272" s="504"/>
      <c r="AJ272" s="504"/>
      <c r="AK272" s="504"/>
      <c r="AL272" s="504"/>
      <c r="AM272" s="504"/>
      <c r="AN272" s="504"/>
    </row>
    <row r="273" spans="1:40" ht="15.75" customHeight="1">
      <c r="A273" s="517" t="s">
        <v>390</v>
      </c>
      <c r="B273" s="504" t="s">
        <v>99</v>
      </c>
      <c r="C273" s="592" t="s">
        <v>56</v>
      </c>
      <c r="D273" s="577"/>
      <c r="E273" s="504"/>
      <c r="F273" s="526">
        <f t="array" ref="F273">+INDEX('[5]Budget original'!$A$2:$AO$500,MATCH($A273,'[5]Budget original'!$A$2:$A$500,0),MATCH(F$2,'[5]Budget original'!$A$2:$AO$2,0))</f>
        <v>117.13645759980204</v>
      </c>
      <c r="G273" s="578"/>
      <c r="H273" s="504"/>
      <c r="I273" s="526"/>
      <c r="J273" s="525"/>
      <c r="K273" s="504"/>
      <c r="L273" s="528">
        <f>SUMIFS([5]BV_Data_An_Cour!$O:$O,[5]BV_Data_An_Cour!$U:$U,$B273,[5]BV_Data_An_Cour!$V:$V,$C273,[5]BV_Data_An_Cour!$W:$W,$L$2)</f>
        <v>0</v>
      </c>
      <c r="M273" s="525"/>
      <c r="N273" s="551">
        <f t="shared" si="52"/>
        <v>-117.13645759980204</v>
      </c>
      <c r="O273" s="525"/>
      <c r="P273" s="504"/>
      <c r="Q273" s="528">
        <f>SUMIFS([5]BV_Data_An_Prec!$O:$O,[5]BV_Data_An_Prec!$U:$U,$B273,[5]BV_Data_An_Prec!$V:$V,$C273,[5]BV_Data_An_Prec!$W:$W,$L$2)</f>
        <v>0</v>
      </c>
      <c r="R273" s="525"/>
      <c r="S273" s="551">
        <f t="shared" si="53"/>
        <v>0</v>
      </c>
      <c r="T273" s="504"/>
      <c r="U273" s="504"/>
      <c r="V273" s="504"/>
      <c r="W273" s="504"/>
      <c r="X273" s="504"/>
      <c r="Y273" s="504"/>
      <c r="Z273" s="504"/>
      <c r="AA273" s="504"/>
      <c r="AB273" s="504"/>
      <c r="AC273" s="504"/>
      <c r="AD273" s="504"/>
      <c r="AE273" s="504"/>
      <c r="AF273" s="504"/>
      <c r="AG273" s="504"/>
      <c r="AH273" s="504"/>
      <c r="AI273" s="504"/>
      <c r="AJ273" s="504"/>
      <c r="AK273" s="504"/>
      <c r="AL273" s="504"/>
      <c r="AM273" s="504"/>
      <c r="AN273" s="504"/>
    </row>
    <row r="274" spans="1:40" ht="15.75" customHeight="1">
      <c r="A274" s="517" t="s">
        <v>391</v>
      </c>
      <c r="B274" s="504" t="s">
        <v>99</v>
      </c>
      <c r="C274" s="592" t="s">
        <v>57</v>
      </c>
      <c r="D274" s="577"/>
      <c r="E274" s="504"/>
      <c r="F274" s="526">
        <f t="array" ref="F274">+INDEX('[5]Budget original'!$A$2:$AO$500,MATCH($A274,'[5]Budget original'!$A$2:$A$500,0),MATCH(F$2,'[5]Budget original'!$A$2:$AO$2,0))</f>
        <v>60.487931167085833</v>
      </c>
      <c r="G274" s="578"/>
      <c r="H274" s="504"/>
      <c r="I274" s="526"/>
      <c r="J274" s="525"/>
      <c r="K274" s="504"/>
      <c r="L274" s="528">
        <f>SUMIFS([5]BV_Data_An_Cour!$O:$O,[5]BV_Data_An_Cour!$U:$U,$B274,[5]BV_Data_An_Cour!$V:$V,$C274,[5]BV_Data_An_Cour!$W:$W,$L$2)</f>
        <v>0</v>
      </c>
      <c r="M274" s="525"/>
      <c r="N274" s="551">
        <f t="shared" si="52"/>
        <v>-60.487931167085833</v>
      </c>
      <c r="O274" s="525"/>
      <c r="P274" s="504"/>
      <c r="Q274" s="528">
        <f>SUMIFS([5]BV_Data_An_Prec!$O:$O,[5]BV_Data_An_Prec!$U:$U,$B274,[5]BV_Data_An_Prec!$V:$V,$C274,[5]BV_Data_An_Prec!$W:$W,$L$2)</f>
        <v>0</v>
      </c>
      <c r="R274" s="525"/>
      <c r="S274" s="551">
        <f t="shared" si="53"/>
        <v>0</v>
      </c>
      <c r="T274" s="504"/>
      <c r="U274" s="504"/>
      <c r="V274" s="504"/>
      <c r="W274" s="504"/>
      <c r="X274" s="504"/>
      <c r="Y274" s="504"/>
      <c r="Z274" s="504"/>
      <c r="AA274" s="504"/>
      <c r="AB274" s="504"/>
      <c r="AC274" s="504"/>
      <c r="AD274" s="504"/>
      <c r="AE274" s="504"/>
      <c r="AF274" s="504"/>
      <c r="AG274" s="504"/>
      <c r="AH274" s="504"/>
      <c r="AI274" s="504"/>
      <c r="AJ274" s="504"/>
      <c r="AK274" s="504"/>
      <c r="AL274" s="504"/>
      <c r="AM274" s="504"/>
      <c r="AN274" s="504"/>
    </row>
    <row r="275" spans="1:40" ht="15.75" customHeight="1">
      <c r="A275" s="517" t="s">
        <v>392</v>
      </c>
      <c r="B275" s="504" t="s">
        <v>99</v>
      </c>
      <c r="C275" s="592" t="s">
        <v>58</v>
      </c>
      <c r="D275" s="577"/>
      <c r="E275" s="504"/>
      <c r="F275" s="526">
        <f t="array" ref="F275">+INDEX('[5]Budget original'!$A$2:$AO$500,MATCH($A275,'[5]Budget original'!$A$2:$A$500,0),MATCH(F$2,'[5]Budget original'!$A$2:$AO$2,0))</f>
        <v>167.00491394999997</v>
      </c>
      <c r="G275" s="578"/>
      <c r="H275" s="504"/>
      <c r="I275" s="526"/>
      <c r="J275" s="525"/>
      <c r="K275" s="504"/>
      <c r="L275" s="528">
        <f>SUMIFS([5]BV_Data_An_Cour!$O:$O,[5]BV_Data_An_Cour!$U:$U,$B275,[5]BV_Data_An_Cour!$V:$V,$C275,[5]BV_Data_An_Cour!$W:$W,$L$2)</f>
        <v>104.97</v>
      </c>
      <c r="M275" s="525"/>
      <c r="N275" s="551">
        <f t="shared" si="52"/>
        <v>-62.034913949999975</v>
      </c>
      <c r="O275" s="525"/>
      <c r="P275" s="504"/>
      <c r="Q275" s="528">
        <f>SUMIFS([5]BV_Data_An_Prec!$O:$O,[5]BV_Data_An_Prec!$U:$U,$B275,[5]BV_Data_An_Prec!$V:$V,$C275,[5]BV_Data_An_Prec!$W:$W,$L$2)</f>
        <v>215.36</v>
      </c>
      <c r="R275" s="525"/>
      <c r="S275" s="551">
        <f t="shared" si="53"/>
        <v>-110.39000000000001</v>
      </c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4"/>
      <c r="AJ275" s="504"/>
      <c r="AK275" s="504"/>
      <c r="AL275" s="504"/>
      <c r="AM275" s="504"/>
      <c r="AN275" s="504"/>
    </row>
    <row r="276" spans="1:40" ht="15.75" customHeight="1">
      <c r="A276" s="517" t="s">
        <v>393</v>
      </c>
      <c r="B276" s="504" t="s">
        <v>99</v>
      </c>
      <c r="C276" s="592" t="s">
        <v>59</v>
      </c>
      <c r="D276" s="577"/>
      <c r="E276" s="504"/>
      <c r="F276" s="526">
        <f t="array" ref="F276">+INDEX('[5]Budget original'!$A$2:$AO$500,MATCH($A276,'[5]Budget original'!$A$2:$A$500,0),MATCH(F$2,'[5]Budget original'!$A$2:$AO$2,0))</f>
        <v>56.595054721527781</v>
      </c>
      <c r="G276" s="578"/>
      <c r="H276" s="504"/>
      <c r="I276" s="526"/>
      <c r="J276" s="525"/>
      <c r="K276" s="504"/>
      <c r="L276" s="528">
        <f>SUMIFS([5]BV_Data_An_Cour!$O:$O,[5]BV_Data_An_Cour!$U:$U,$B276,[5]BV_Data_An_Cour!$V:$V,$C276,[5]BV_Data_An_Cour!$W:$W,$L$2)</f>
        <v>21.2</v>
      </c>
      <c r="M276" s="525"/>
      <c r="N276" s="551">
        <f t="shared" si="52"/>
        <v>-35.395054721527785</v>
      </c>
      <c r="O276" s="525"/>
      <c r="P276" s="504"/>
      <c r="Q276" s="528">
        <f>SUMIFS([5]BV_Data_An_Prec!$O:$O,[5]BV_Data_An_Prec!$U:$U,$B276,[5]BV_Data_An_Prec!$V:$V,$C276,[5]BV_Data_An_Prec!$W:$W,$L$2)</f>
        <v>27.16</v>
      </c>
      <c r="R276" s="525"/>
      <c r="S276" s="551">
        <f t="shared" si="53"/>
        <v>-5.9600000000000009</v>
      </c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4"/>
      <c r="AJ276" s="504"/>
      <c r="AK276" s="504"/>
      <c r="AL276" s="504"/>
      <c r="AM276" s="504"/>
      <c r="AN276" s="504"/>
    </row>
    <row r="277" spans="1:40" ht="15.75" customHeight="1">
      <c r="A277" s="517" t="s">
        <v>394</v>
      </c>
      <c r="B277" s="504" t="s">
        <v>99</v>
      </c>
      <c r="C277" s="592" t="s">
        <v>60</v>
      </c>
      <c r="D277" s="577"/>
      <c r="E277" s="504"/>
      <c r="F277" s="526">
        <f t="array" ref="F277">+INDEX('[5]Budget original'!$A$2:$AO$500,MATCH($A277,'[5]Budget original'!$A$2:$A$500,0),MATCH(F$2,'[5]Budget original'!$A$2:$AO$2,0))</f>
        <v>27.069064278472219</v>
      </c>
      <c r="G277" s="578"/>
      <c r="H277" s="504"/>
      <c r="I277" s="526"/>
      <c r="J277" s="525"/>
      <c r="K277" s="504"/>
      <c r="L277" s="528">
        <f>SUMIFS([5]BV_Data_An_Cour!$O:$O,[5]BV_Data_An_Cour!$U:$U,$B277,[5]BV_Data_An_Cour!$V:$V,$C277,[5]BV_Data_An_Cour!$W:$W,$L$2)</f>
        <v>28.46</v>
      </c>
      <c r="M277" s="525"/>
      <c r="N277" s="551">
        <f t="shared" si="52"/>
        <v>1.3909357215277822</v>
      </c>
      <c r="O277" s="525"/>
      <c r="P277" s="504"/>
      <c r="Q277" s="528">
        <f>SUMIFS([5]BV_Data_An_Prec!$O:$O,[5]BV_Data_An_Prec!$U:$U,$B277,[5]BV_Data_An_Prec!$V:$V,$C277,[5]BV_Data_An_Prec!$W:$W,$L$2)</f>
        <v>43.97</v>
      </c>
      <c r="R277" s="525"/>
      <c r="S277" s="551">
        <f t="shared" si="53"/>
        <v>-15.509999999999998</v>
      </c>
      <c r="T277" s="504"/>
      <c r="U277" s="504"/>
      <c r="V277" s="504"/>
      <c r="W277" s="504"/>
      <c r="X277" s="504"/>
      <c r="Y277" s="504"/>
      <c r="Z277" s="504"/>
      <c r="AA277" s="504"/>
      <c r="AB277" s="504"/>
      <c r="AC277" s="504"/>
      <c r="AD277" s="504"/>
      <c r="AE277" s="504"/>
      <c r="AF277" s="504"/>
      <c r="AG277" s="504"/>
      <c r="AH277" s="504"/>
      <c r="AI277" s="504"/>
      <c r="AJ277" s="504"/>
      <c r="AK277" s="504"/>
      <c r="AL277" s="504"/>
      <c r="AM277" s="504"/>
      <c r="AN277" s="504"/>
    </row>
    <row r="278" spans="1:40" ht="15.75" customHeight="1">
      <c r="A278" s="517" t="s">
        <v>395</v>
      </c>
      <c r="B278" s="504" t="s">
        <v>99</v>
      </c>
      <c r="C278" s="592" t="s">
        <v>61</v>
      </c>
      <c r="D278" s="577"/>
      <c r="E278" s="504"/>
      <c r="F278" s="526">
        <f t="array" ref="F278">+INDEX('[5]Budget original'!$A$2:$AO$500,MATCH($A278,'[5]Budget original'!$A$2:$A$500,0),MATCH(F$2,'[5]Budget original'!$A$2:$AO$2,0))</f>
        <v>102.85239191597223</v>
      </c>
      <c r="G278" s="578"/>
      <c r="H278" s="504"/>
      <c r="I278" s="526"/>
      <c r="J278" s="525"/>
      <c r="K278" s="504"/>
      <c r="L278" s="528">
        <f>SUMIFS([5]BV_Data_An_Cour!$O:$O,[5]BV_Data_An_Cour!$U:$U,$B278,[5]BV_Data_An_Cour!$V:$V,$C278,[5]BV_Data_An_Cour!$W:$W,$L$2)</f>
        <v>16.940000000000001</v>
      </c>
      <c r="M278" s="525"/>
      <c r="N278" s="551">
        <f t="shared" si="52"/>
        <v>-85.912391915972236</v>
      </c>
      <c r="O278" s="525"/>
      <c r="P278" s="504"/>
      <c r="Q278" s="528">
        <f>SUMIFS([5]BV_Data_An_Prec!$O:$O,[5]BV_Data_An_Prec!$U:$U,$B278,[5]BV_Data_An_Prec!$V:$V,$C278,[5]BV_Data_An_Prec!$W:$W,$L$2)</f>
        <v>30.67</v>
      </c>
      <c r="R278" s="525"/>
      <c r="S278" s="551">
        <f t="shared" si="53"/>
        <v>-13.73</v>
      </c>
      <c r="T278" s="504"/>
      <c r="U278" s="504"/>
      <c r="V278" s="504"/>
      <c r="W278" s="504"/>
      <c r="X278" s="504"/>
      <c r="Y278" s="504"/>
      <c r="Z278" s="504"/>
      <c r="AA278" s="504"/>
      <c r="AB278" s="504"/>
      <c r="AC278" s="504"/>
      <c r="AD278" s="504"/>
      <c r="AE278" s="504"/>
      <c r="AF278" s="504"/>
      <c r="AG278" s="504"/>
      <c r="AH278" s="504"/>
      <c r="AI278" s="504"/>
      <c r="AJ278" s="504"/>
      <c r="AK278" s="504"/>
      <c r="AL278" s="504"/>
      <c r="AM278" s="504"/>
      <c r="AN278" s="504"/>
    </row>
    <row r="279" spans="1:40" ht="15.75" customHeight="1">
      <c r="A279" s="517" t="s">
        <v>396</v>
      </c>
      <c r="B279" s="504" t="s">
        <v>99</v>
      </c>
      <c r="C279" s="592" t="s">
        <v>62</v>
      </c>
      <c r="D279" s="577"/>
      <c r="E279" s="504"/>
      <c r="F279" s="526">
        <f t="array" ref="F279">+INDEX('[5]Budget original'!$A$2:$AO$500,MATCH($A279,'[5]Budget original'!$A$2:$A$500,0),MATCH(F$2,'[5]Budget original'!$A$2:$AO$2,0))</f>
        <v>88.272956943963109</v>
      </c>
      <c r="G279" s="578"/>
      <c r="H279" s="504"/>
      <c r="I279" s="526"/>
      <c r="J279" s="525"/>
      <c r="K279" s="504"/>
      <c r="L279" s="528">
        <f>SUMIFS([5]BV_Data_An_Cour!$O:$O,[5]BV_Data_An_Cour!$U:$U,$B279,[5]BV_Data_An_Cour!$V:$V,$C279,[5]BV_Data_An_Cour!$W:$W,$L$2)</f>
        <v>22.33</v>
      </c>
      <c r="M279" s="525"/>
      <c r="N279" s="551">
        <f t="shared" si="52"/>
        <v>-65.942956943963111</v>
      </c>
      <c r="O279" s="525"/>
      <c r="P279" s="504"/>
      <c r="Q279" s="528">
        <f>SUMIFS([5]BV_Data_An_Prec!$O:$O,[5]BV_Data_An_Prec!$U:$U,$B279,[5]BV_Data_An_Prec!$V:$V,$C279,[5]BV_Data_An_Prec!$W:$W,$L$2)</f>
        <v>80.680000000000007</v>
      </c>
      <c r="R279" s="525"/>
      <c r="S279" s="551">
        <f t="shared" si="53"/>
        <v>-58.350000000000009</v>
      </c>
      <c r="T279" s="504"/>
      <c r="X279" s="504"/>
      <c r="Y279" s="504"/>
      <c r="Z279" s="504"/>
      <c r="AA279" s="504"/>
      <c r="AB279" s="504"/>
      <c r="AC279" s="504"/>
      <c r="AD279" s="504"/>
      <c r="AE279" s="504"/>
      <c r="AF279" s="504"/>
      <c r="AG279" s="504"/>
      <c r="AH279" s="504"/>
      <c r="AI279" s="504"/>
      <c r="AJ279" s="504"/>
      <c r="AK279" s="504"/>
      <c r="AL279" s="504"/>
      <c r="AM279" s="504"/>
      <c r="AN279" s="504"/>
    </row>
    <row r="280" spans="1:40" ht="15.75" customHeight="1">
      <c r="A280" s="517" t="s">
        <v>397</v>
      </c>
      <c r="B280" s="504" t="s">
        <v>99</v>
      </c>
      <c r="C280" s="592" t="s">
        <v>63</v>
      </c>
      <c r="D280" s="577"/>
      <c r="E280" s="504"/>
      <c r="F280" s="526">
        <f t="array" ref="F280">+INDEX('[5]Budget original'!$A$2:$AO$500,MATCH($A280,'[5]Budget original'!$A$2:$A$500,0),MATCH(F$2,'[5]Budget original'!$A$2:$AO$2,0))</f>
        <v>162.93844639171095</v>
      </c>
      <c r="G280" s="578"/>
      <c r="H280" s="504"/>
      <c r="I280" s="526"/>
      <c r="J280" s="525"/>
      <c r="K280" s="504"/>
      <c r="L280" s="528">
        <f>SUMIFS([5]BV_Data_An_Cour!$O:$O,[5]BV_Data_An_Cour!$U:$U,$B280,[5]BV_Data_An_Cour!$V:$V,$C280,[5]BV_Data_An_Cour!$W:$W,$L$2)</f>
        <v>189.25</v>
      </c>
      <c r="M280" s="525"/>
      <c r="N280" s="551">
        <f t="shared" si="52"/>
        <v>26.311553608289046</v>
      </c>
      <c r="O280" s="525"/>
      <c r="P280" s="504"/>
      <c r="Q280" s="528">
        <f>AL447*W6</f>
        <v>207.84400000000025</v>
      </c>
      <c r="R280" s="525"/>
      <c r="S280" s="551">
        <f t="shared" si="53"/>
        <v>-18.59400000000025</v>
      </c>
      <c r="T280" s="504"/>
      <c r="X280" s="504"/>
      <c r="Y280" s="504"/>
      <c r="Z280" s="504"/>
      <c r="AA280" s="504"/>
      <c r="AB280" s="504"/>
      <c r="AC280" s="504"/>
      <c r="AD280" s="504"/>
      <c r="AE280" s="504"/>
      <c r="AF280" s="504"/>
      <c r="AG280" s="504"/>
      <c r="AH280" s="504"/>
      <c r="AI280" s="504"/>
      <c r="AJ280" s="504"/>
      <c r="AK280" s="504"/>
      <c r="AL280" s="504"/>
      <c r="AM280" s="504"/>
      <c r="AN280" s="504"/>
    </row>
    <row r="281" spans="1:40" ht="15.75" hidden="1" customHeight="1">
      <c r="A281" s="517" t="s">
        <v>377</v>
      </c>
      <c r="B281" s="504" t="s">
        <v>99</v>
      </c>
      <c r="C281" s="592" t="s">
        <v>20</v>
      </c>
      <c r="D281" s="577"/>
      <c r="E281" s="504"/>
      <c r="F281" s="526">
        <f t="array" ref="F281">+INDEX('[5]Budget original'!$A$2:$AO$500,MATCH($A281,'[5]Budget original'!$A$2:$A$500,0),MATCH(F$2,'[5]Budget original'!$A$2:$AO$2,0))</f>
        <v>0</v>
      </c>
      <c r="G281" s="578"/>
      <c r="H281" s="504"/>
      <c r="I281" s="526"/>
      <c r="J281" s="525"/>
      <c r="K281" s="504"/>
      <c r="L281" s="528">
        <f>SUMIFS([5]BV_Data_An_Cour!$O:$O,[5]BV_Data_An_Cour!$U:$U,$B281,[5]BV_Data_An_Cour!$V:$V,$C281,[5]BV_Data_An_Cour!$W:$W,$L$2)</f>
        <v>0</v>
      </c>
      <c r="M281" s="525"/>
      <c r="N281" s="551">
        <f t="shared" si="52"/>
        <v>0</v>
      </c>
      <c r="O281" s="525"/>
      <c r="P281" s="504"/>
      <c r="Q281" s="528">
        <f>SUMIFS([5]BV_Data_An_Prec!$O:$O,[5]BV_Data_An_Prec!$U:$U,$B281,[5]BV_Data_An_Prec!$V:$V,$C281,[5]BV_Data_An_Prec!$W:$W,$L$2)</f>
        <v>0</v>
      </c>
      <c r="R281" s="525"/>
      <c r="S281" s="551">
        <f t="shared" si="53"/>
        <v>0</v>
      </c>
      <c r="T281" s="504"/>
      <c r="X281" s="504"/>
      <c r="Y281" s="504"/>
      <c r="Z281" s="504"/>
      <c r="AA281" s="504"/>
      <c r="AB281" s="504"/>
      <c r="AC281" s="504"/>
      <c r="AD281" s="504"/>
      <c r="AE281" s="504"/>
      <c r="AF281" s="504"/>
      <c r="AG281" s="504"/>
      <c r="AH281" s="504"/>
      <c r="AI281" s="504"/>
      <c r="AJ281" s="504"/>
      <c r="AK281" s="504"/>
      <c r="AL281" s="504"/>
      <c r="AM281" s="504"/>
      <c r="AN281" s="504"/>
    </row>
    <row r="282" spans="1:40" ht="15.75" hidden="1" customHeight="1">
      <c r="A282" s="517" t="s">
        <v>377</v>
      </c>
      <c r="B282" s="504" t="s">
        <v>99</v>
      </c>
      <c r="C282" s="592" t="s">
        <v>20</v>
      </c>
      <c r="D282" s="577"/>
      <c r="E282" s="504"/>
      <c r="F282" s="526">
        <f t="array" ref="F282">+INDEX('[5]Budget original'!$A$2:$AO$500,MATCH($A282,'[5]Budget original'!$A$2:$A$500,0),MATCH(F$2,'[5]Budget original'!$A$2:$AO$2,0))</f>
        <v>0</v>
      </c>
      <c r="G282" s="578"/>
      <c r="H282" s="504"/>
      <c r="I282" s="526"/>
      <c r="J282" s="525"/>
      <c r="K282" s="504"/>
      <c r="L282" s="528">
        <f>SUMIFS([5]BV_Data_An_Cour!$O:$O,[5]BV_Data_An_Cour!$U:$U,$B282,[5]BV_Data_An_Cour!$V:$V,$C282,[5]BV_Data_An_Cour!$W:$W,$L$2)</f>
        <v>0</v>
      </c>
      <c r="M282" s="525"/>
      <c r="N282" s="551">
        <f t="shared" si="52"/>
        <v>0</v>
      </c>
      <c r="O282" s="525"/>
      <c r="P282" s="504"/>
      <c r="Q282" s="528">
        <f>SUMIFS([5]BV_Data_An_Prec!$O:$O,[5]BV_Data_An_Prec!$U:$U,$B282,[5]BV_Data_An_Prec!$V:$V,$C282,[5]BV_Data_An_Prec!$W:$W,$L$2)</f>
        <v>0</v>
      </c>
      <c r="R282" s="525"/>
      <c r="S282" s="551">
        <f t="shared" si="53"/>
        <v>0</v>
      </c>
      <c r="T282" s="504"/>
      <c r="X282" s="504"/>
      <c r="Y282" s="504"/>
      <c r="Z282" s="504"/>
      <c r="AA282" s="504"/>
      <c r="AB282" s="504"/>
      <c r="AC282" s="504"/>
      <c r="AD282" s="504"/>
      <c r="AE282" s="504"/>
      <c r="AF282" s="504"/>
      <c r="AG282" s="504"/>
      <c r="AH282" s="504"/>
      <c r="AI282" s="504"/>
      <c r="AJ282" s="504"/>
      <c r="AK282" s="504"/>
      <c r="AL282" s="504"/>
      <c r="AM282" s="504"/>
      <c r="AN282" s="504"/>
    </row>
    <row r="283" spans="1:40" ht="15.75" hidden="1" customHeight="1">
      <c r="A283" s="517" t="s">
        <v>377</v>
      </c>
      <c r="B283" s="504" t="s">
        <v>99</v>
      </c>
      <c r="C283" s="592" t="s">
        <v>20</v>
      </c>
      <c r="D283" s="577"/>
      <c r="E283" s="504"/>
      <c r="F283" s="526">
        <f t="array" ref="F283">+INDEX('[5]Budget original'!$A$2:$AO$500,MATCH($A283,'[5]Budget original'!$A$2:$A$500,0),MATCH(F$2,'[5]Budget original'!$A$2:$AO$2,0))</f>
        <v>0</v>
      </c>
      <c r="G283" s="578"/>
      <c r="H283" s="504"/>
      <c r="I283" s="526"/>
      <c r="J283" s="525"/>
      <c r="K283" s="504"/>
      <c r="L283" s="528">
        <f>SUMIFS([5]BV_Data_An_Cour!$O:$O,[5]BV_Data_An_Cour!$U:$U,$B283,[5]BV_Data_An_Cour!$V:$V,$C283,[5]BV_Data_An_Cour!$W:$W,$L$2)</f>
        <v>0</v>
      </c>
      <c r="M283" s="525"/>
      <c r="N283" s="551">
        <f t="shared" si="52"/>
        <v>0</v>
      </c>
      <c r="O283" s="525"/>
      <c r="P283" s="504"/>
      <c r="Q283" s="528">
        <f>SUMIFS([5]BV_Data_An_Prec!$O:$O,[5]BV_Data_An_Prec!$U:$U,$B283,[5]BV_Data_An_Prec!$V:$V,$C283,[5]BV_Data_An_Prec!$W:$W,$L$2)</f>
        <v>0</v>
      </c>
      <c r="R283" s="525"/>
      <c r="S283" s="551">
        <f t="shared" si="53"/>
        <v>0</v>
      </c>
      <c r="T283" s="504"/>
      <c r="X283" s="504"/>
      <c r="Y283" s="504"/>
      <c r="Z283" s="504"/>
      <c r="AA283" s="504"/>
      <c r="AB283" s="504"/>
      <c r="AC283" s="504"/>
      <c r="AD283" s="504"/>
      <c r="AE283" s="504"/>
      <c r="AF283" s="504"/>
      <c r="AG283" s="504"/>
      <c r="AH283" s="504"/>
      <c r="AI283" s="504"/>
      <c r="AJ283" s="504"/>
      <c r="AK283" s="504"/>
      <c r="AL283" s="504"/>
      <c r="AM283" s="504"/>
      <c r="AN283" s="504"/>
    </row>
    <row r="284" spans="1:40" ht="15.75" customHeight="1">
      <c r="B284" s="504"/>
      <c r="C284" s="584" t="s">
        <v>64</v>
      </c>
      <c r="D284" s="585" t="s">
        <v>39</v>
      </c>
      <c r="E284" s="586">
        <f>F284/F$249</f>
        <v>0.16623216340801147</v>
      </c>
      <c r="F284" s="587">
        <f>+SUM(F266:F283)</f>
        <v>3997.1058111432967</v>
      </c>
      <c r="G284" s="588"/>
      <c r="H284" s="586"/>
      <c r="I284" s="587"/>
      <c r="J284" s="588" t="s">
        <v>39</v>
      </c>
      <c r="K284" s="586">
        <f>L284/L$249</f>
        <v>0.15765730347272566</v>
      </c>
      <c r="L284" s="587">
        <f>+SUM(L266:L283)</f>
        <v>3649.2399999999993</v>
      </c>
      <c r="M284" s="591"/>
      <c r="N284" s="587">
        <f>+SUM(N266:N283)</f>
        <v>-347.86581114329709</v>
      </c>
      <c r="O284" s="588" t="s">
        <v>39</v>
      </c>
      <c r="P284" s="586">
        <f>Q284/Q$249</f>
        <v>0.17800691945657604</v>
      </c>
      <c r="Q284" s="587">
        <f>+SUM(Q266:Q283)</f>
        <v>3675.1539999999995</v>
      </c>
      <c r="R284" s="591"/>
      <c r="S284" s="587">
        <f t="shared" si="53"/>
        <v>-25.914000000000215</v>
      </c>
      <c r="T284" s="564"/>
      <c r="X284" s="504"/>
      <c r="Y284" s="504"/>
      <c r="Z284" s="504"/>
      <c r="AA284" s="504"/>
      <c r="AB284" s="504"/>
      <c r="AC284" s="504"/>
      <c r="AD284" s="504"/>
      <c r="AE284" s="504"/>
      <c r="AF284" s="504"/>
      <c r="AG284" s="504"/>
      <c r="AH284" s="504"/>
      <c r="AI284" s="504"/>
      <c r="AJ284" s="504"/>
      <c r="AK284" s="504"/>
      <c r="AL284" s="504"/>
      <c r="AM284" s="504"/>
      <c r="AN284" s="504"/>
    </row>
    <row r="285" spans="1:40" ht="15.75" customHeight="1">
      <c r="B285" s="504"/>
      <c r="C285" s="518"/>
      <c r="D285" s="579"/>
      <c r="E285" s="598"/>
      <c r="F285" s="551"/>
      <c r="G285" s="580"/>
      <c r="H285" s="598"/>
      <c r="I285" s="551"/>
      <c r="J285" s="518"/>
      <c r="K285" s="598"/>
      <c r="L285" s="574"/>
      <c r="M285" s="518"/>
      <c r="N285" s="574"/>
      <c r="O285" s="518"/>
      <c r="P285" s="598"/>
      <c r="Q285" s="574"/>
      <c r="R285" s="518"/>
      <c r="S285" s="574"/>
      <c r="T285" s="564"/>
      <c r="U285" s="504"/>
      <c r="V285" s="504"/>
      <c r="W285" s="504"/>
      <c r="X285" s="504"/>
      <c r="Y285" s="504"/>
      <c r="Z285" s="504"/>
      <c r="AA285" s="504"/>
      <c r="AB285" s="504"/>
      <c r="AC285" s="504"/>
      <c r="AD285" s="504"/>
      <c r="AE285" s="504"/>
      <c r="AF285" s="504"/>
      <c r="AG285" s="504"/>
      <c r="AH285" s="504"/>
      <c r="AI285" s="504"/>
      <c r="AJ285" s="504"/>
      <c r="AK285" s="504"/>
      <c r="AL285" s="504"/>
      <c r="AM285" s="504"/>
      <c r="AN285" s="504"/>
    </row>
    <row r="286" spans="1:40" ht="15.75" customHeight="1">
      <c r="B286" s="504"/>
      <c r="C286" s="584" t="s">
        <v>65</v>
      </c>
      <c r="D286" s="585" t="s">
        <v>39</v>
      </c>
      <c r="E286" s="586">
        <f>F286/F$249</f>
        <v>0.44628244491540198</v>
      </c>
      <c r="F286" s="587">
        <f>F265+F284</f>
        <v>10731.004863386264</v>
      </c>
      <c r="G286" s="588"/>
      <c r="H286" s="586"/>
      <c r="I286" s="587"/>
      <c r="J286" s="588" t="s">
        <v>39</v>
      </c>
      <c r="K286" s="586">
        <f>L286/L$249</f>
        <v>0.46445923515530974</v>
      </c>
      <c r="L286" s="587">
        <f>L265+L284</f>
        <v>10750.68</v>
      </c>
      <c r="M286" s="591"/>
      <c r="N286" s="600">
        <f>L286-F286</f>
        <v>19.675136613735958</v>
      </c>
      <c r="O286" s="588" t="s">
        <v>39</v>
      </c>
      <c r="P286" s="586">
        <f>Q286/Q$249</f>
        <v>0.60465394725306865</v>
      </c>
      <c r="Q286" s="587">
        <f>Q265+Q284</f>
        <v>12483.764000000003</v>
      </c>
      <c r="R286" s="591"/>
      <c r="S286" s="600">
        <f>L286-Q286</f>
        <v>-1733.0840000000026</v>
      </c>
      <c r="T286" s="564"/>
      <c r="U286" s="504"/>
      <c r="V286" s="504"/>
      <c r="W286" s="504"/>
      <c r="X286" s="504"/>
      <c r="Y286" s="504"/>
      <c r="Z286" s="504"/>
      <c r="AA286" s="504"/>
      <c r="AB286" s="504"/>
      <c r="AC286" s="504"/>
      <c r="AD286" s="504"/>
      <c r="AE286" s="504"/>
      <c r="AF286" s="504"/>
      <c r="AG286" s="504"/>
      <c r="AH286" s="504"/>
      <c r="AI286" s="504"/>
      <c r="AJ286" s="504"/>
      <c r="AK286" s="504"/>
      <c r="AL286" s="504"/>
      <c r="AM286" s="504"/>
      <c r="AN286" s="504"/>
    </row>
    <row r="287" spans="1:40" ht="15.75" customHeight="1">
      <c r="B287" s="504"/>
      <c r="C287" s="525"/>
      <c r="D287" s="577"/>
      <c r="E287" s="504"/>
      <c r="F287" s="551"/>
      <c r="G287" s="578"/>
      <c r="H287" s="504"/>
      <c r="I287" s="551"/>
      <c r="J287" s="525"/>
      <c r="K287" s="504"/>
      <c r="L287" s="551"/>
      <c r="M287" s="525"/>
      <c r="N287" s="551">
        <f>L287-F287</f>
        <v>0</v>
      </c>
      <c r="O287" s="525"/>
      <c r="P287" s="504"/>
      <c r="Q287" s="551"/>
      <c r="R287" s="525"/>
      <c r="S287" s="551"/>
      <c r="T287" s="504"/>
      <c r="U287" s="504"/>
      <c r="V287" s="504"/>
      <c r="W287" s="504"/>
      <c r="X287" s="504"/>
      <c r="Y287" s="504"/>
      <c r="Z287" s="504"/>
      <c r="AA287" s="504"/>
      <c r="AB287" s="504"/>
      <c r="AC287" s="504"/>
      <c r="AD287" s="504"/>
      <c r="AE287" s="504"/>
      <c r="AF287" s="504"/>
      <c r="AG287" s="504"/>
      <c r="AH287" s="504"/>
      <c r="AI287" s="504"/>
      <c r="AJ287" s="504"/>
      <c r="AK287" s="504"/>
      <c r="AL287" s="504"/>
      <c r="AM287" s="504"/>
      <c r="AN287" s="504"/>
    </row>
    <row r="288" spans="1:40" ht="29.25" customHeight="1" thickBot="1">
      <c r="B288" s="504"/>
      <c r="C288" s="614" t="s">
        <v>72</v>
      </c>
      <c r="D288" s="642"/>
      <c r="E288" s="615"/>
      <c r="F288" s="617">
        <f>F249-F286</f>
        <v>13314.316626730721</v>
      </c>
      <c r="G288" s="643"/>
      <c r="H288" s="615"/>
      <c r="I288" s="617"/>
      <c r="J288" s="614"/>
      <c r="K288" s="616"/>
      <c r="L288" s="617">
        <f>L249-L286</f>
        <v>12395.979999999996</v>
      </c>
      <c r="M288" s="614"/>
      <c r="N288" s="617">
        <f>L288-F288</f>
        <v>-918.33662673072467</v>
      </c>
      <c r="O288" s="614"/>
      <c r="P288" s="616"/>
      <c r="Q288" s="617">
        <f>Q249-Q286</f>
        <v>8162.3660000000054</v>
      </c>
      <c r="R288" s="614"/>
      <c r="S288" s="617">
        <f>L288-Q288</f>
        <v>4233.6139999999905</v>
      </c>
      <c r="T288" s="564"/>
      <c r="U288" s="504"/>
      <c r="V288" s="504"/>
      <c r="W288" s="504"/>
      <c r="X288" s="504"/>
      <c r="Y288" s="504"/>
      <c r="Z288" s="504"/>
      <c r="AA288" s="504"/>
      <c r="AB288" s="504"/>
      <c r="AC288" s="504"/>
      <c r="AD288" s="504"/>
      <c r="AE288" s="504"/>
      <c r="AF288" s="504"/>
      <c r="AG288" s="504"/>
      <c r="AH288" s="504"/>
      <c r="AI288" s="504"/>
      <c r="AJ288" s="504"/>
      <c r="AK288" s="504"/>
      <c r="AL288" s="504"/>
      <c r="AM288" s="504"/>
      <c r="AN288" s="504"/>
    </row>
    <row r="289" spans="1:40" ht="15.75" customHeight="1" thickTop="1">
      <c r="B289" s="504"/>
      <c r="C289" s="504"/>
      <c r="D289" s="504"/>
      <c r="E289" s="504"/>
      <c r="F289" s="504"/>
      <c r="G289" s="504"/>
      <c r="H289" s="504"/>
      <c r="I289" s="504"/>
      <c r="J289" s="504"/>
      <c r="K289" s="504"/>
      <c r="L289" s="569"/>
      <c r="M289" s="504"/>
      <c r="N289" s="504"/>
      <c r="O289" s="504"/>
      <c r="P289" s="504"/>
      <c r="Q289" s="504"/>
      <c r="R289" s="504"/>
      <c r="S289" s="504"/>
      <c r="T289" s="504"/>
      <c r="U289" s="504"/>
      <c r="V289" s="504"/>
      <c r="W289" s="504"/>
      <c r="X289" s="504"/>
      <c r="Y289" s="504"/>
      <c r="Z289" s="504"/>
      <c r="AA289" s="504"/>
      <c r="AB289" s="504"/>
      <c r="AC289" s="504"/>
      <c r="AD289" s="504"/>
      <c r="AE289" s="504"/>
      <c r="AF289" s="504"/>
      <c r="AG289" s="504"/>
      <c r="AH289" s="504"/>
      <c r="AI289" s="504"/>
      <c r="AJ289" s="504"/>
      <c r="AK289" s="504"/>
      <c r="AL289" s="504"/>
      <c r="AM289" s="504"/>
      <c r="AN289" s="504"/>
    </row>
    <row r="290" spans="1:40" ht="36" customHeight="1">
      <c r="B290" s="504"/>
      <c r="C290" s="622" t="str">
        <f>C1</f>
        <v>Volks</v>
      </c>
      <c r="D290" s="492"/>
      <c r="E290" s="492"/>
      <c r="F290" s="492"/>
      <c r="G290" s="492"/>
      <c r="H290" s="490"/>
      <c r="I290" s="490"/>
      <c r="J290" s="490"/>
      <c r="K290" s="494" t="s">
        <v>103</v>
      </c>
      <c r="L290" s="492"/>
      <c r="M290" s="492"/>
      <c r="N290" s="490"/>
      <c r="O290" s="490"/>
      <c r="P290" s="492"/>
      <c r="Q290" s="490"/>
      <c r="R290" s="492"/>
      <c r="S290" s="623" t="str">
        <f>$S$1</f>
        <v>Réalisé, Juillet 2023</v>
      </c>
      <c r="T290" s="504"/>
      <c r="U290" s="504"/>
      <c r="V290" s="504"/>
      <c r="W290" s="504"/>
      <c r="X290" s="504"/>
      <c r="Y290" s="504"/>
      <c r="Z290" s="504"/>
      <c r="AA290" s="504"/>
      <c r="AB290" s="504"/>
      <c r="AC290" s="504"/>
      <c r="AD290" s="504"/>
      <c r="AE290" s="504"/>
      <c r="AF290" s="504"/>
      <c r="AG290" s="504"/>
      <c r="AH290" s="504"/>
      <c r="AI290" s="504"/>
      <c r="AJ290" s="504"/>
      <c r="AK290" s="504"/>
      <c r="AL290" s="504"/>
      <c r="AM290" s="504"/>
      <c r="AN290" s="504"/>
    </row>
    <row r="291" spans="1:40" ht="15.75" customHeight="1" thickBot="1">
      <c r="B291" s="504"/>
      <c r="C291" s="499"/>
      <c r="D291" s="501"/>
      <c r="E291" s="501"/>
      <c r="F291" s="501"/>
      <c r="G291" s="501"/>
      <c r="H291" s="501"/>
      <c r="I291" s="501"/>
      <c r="J291" s="501"/>
      <c r="K291" s="501"/>
      <c r="L291" s="501"/>
      <c r="M291" s="501"/>
      <c r="N291" s="501"/>
      <c r="O291" s="501"/>
      <c r="P291" s="501"/>
      <c r="Q291" s="501"/>
      <c r="R291" s="501"/>
      <c r="S291" s="501"/>
      <c r="T291" s="504"/>
      <c r="U291" s="504"/>
      <c r="V291" s="504"/>
      <c r="W291" s="504"/>
      <c r="X291" s="504"/>
      <c r="Y291" s="504"/>
      <c r="Z291" s="504"/>
      <c r="AA291" s="504"/>
      <c r="AB291" s="504"/>
      <c r="AC291" s="504"/>
      <c r="AD291" s="504"/>
      <c r="AE291" s="504"/>
      <c r="AF291" s="504"/>
      <c r="AG291" s="504"/>
      <c r="AH291" s="504"/>
      <c r="AI291" s="504"/>
      <c r="AJ291" s="504"/>
      <c r="AK291" s="504"/>
      <c r="AL291" s="504"/>
      <c r="AM291" s="504"/>
      <c r="AN291" s="504"/>
    </row>
    <row r="292" spans="1:40" ht="15.75" customHeight="1" thickTop="1">
      <c r="B292" s="504"/>
      <c r="C292" s="505"/>
      <c r="D292" s="506" t="s">
        <v>5</v>
      </c>
      <c r="E292" s="507"/>
      <c r="F292" s="508"/>
      <c r="G292" s="509"/>
      <c r="H292" s="507"/>
      <c r="I292" s="508"/>
      <c r="J292" s="509" t="s">
        <v>7</v>
      </c>
      <c r="K292" s="507"/>
      <c r="L292" s="508"/>
      <c r="M292" s="509" t="s">
        <v>472</v>
      </c>
      <c r="N292" s="508"/>
      <c r="O292" s="506" t="s">
        <v>9</v>
      </c>
      <c r="P292" s="507"/>
      <c r="Q292" s="508"/>
      <c r="R292" s="509" t="s">
        <v>473</v>
      </c>
      <c r="S292" s="508"/>
      <c r="T292" s="504"/>
      <c r="U292" s="504"/>
      <c r="V292" s="504"/>
      <c r="W292" s="504"/>
      <c r="X292" s="504"/>
      <c r="Y292" s="504"/>
      <c r="Z292" s="504"/>
      <c r="AA292" s="504"/>
      <c r="AB292" s="504"/>
      <c r="AC292" s="504"/>
      <c r="AD292" s="504"/>
      <c r="AE292" s="504"/>
      <c r="AF292" s="504"/>
      <c r="AG292" s="504"/>
      <c r="AH292" s="504"/>
      <c r="AI292" s="504"/>
      <c r="AJ292" s="504"/>
      <c r="AK292" s="504"/>
      <c r="AL292" s="504"/>
      <c r="AM292" s="504"/>
      <c r="AN292" s="504"/>
    </row>
    <row r="293" spans="1:40" ht="15.75" customHeight="1">
      <c r="A293" s="517" t="s">
        <v>103</v>
      </c>
      <c r="B293" s="504" t="s">
        <v>103</v>
      </c>
      <c r="C293" s="525"/>
      <c r="D293" s="567" t="s">
        <v>84</v>
      </c>
      <c r="E293" s="567" t="s">
        <v>104</v>
      </c>
      <c r="F293" s="645" t="s">
        <v>13</v>
      </c>
      <c r="G293" s="646"/>
      <c r="H293" s="567"/>
      <c r="I293" s="645"/>
      <c r="J293" s="646" t="s">
        <v>84</v>
      </c>
      <c r="K293" s="567" t="s">
        <v>104</v>
      </c>
      <c r="L293" s="645" t="s">
        <v>13</v>
      </c>
      <c r="M293" s="646" t="s">
        <v>40</v>
      </c>
      <c r="N293" s="645" t="s">
        <v>475</v>
      </c>
      <c r="O293" s="567" t="s">
        <v>84</v>
      </c>
      <c r="P293" s="567" t="s">
        <v>104</v>
      </c>
      <c r="Q293" s="645" t="s">
        <v>13</v>
      </c>
      <c r="R293" s="646" t="s">
        <v>85</v>
      </c>
      <c r="S293" s="645" t="s">
        <v>13</v>
      </c>
      <c r="T293" s="504"/>
      <c r="U293" s="504"/>
      <c r="V293" s="504"/>
      <c r="W293" s="504"/>
      <c r="X293" s="504"/>
      <c r="Y293" s="504"/>
      <c r="Z293" s="504"/>
      <c r="AA293" s="504"/>
      <c r="AB293" s="504"/>
      <c r="AC293" s="504"/>
      <c r="AD293" s="504"/>
      <c r="AE293" s="504"/>
      <c r="AF293" s="504"/>
      <c r="AG293" s="504"/>
      <c r="AH293" s="504"/>
      <c r="AI293" s="504"/>
      <c r="AJ293" s="504"/>
      <c r="AK293" s="504"/>
      <c r="AL293" s="504"/>
      <c r="AM293" s="504"/>
      <c r="AN293" s="504"/>
    </row>
    <row r="294" spans="1:40" ht="15.75" customHeight="1">
      <c r="A294" s="517" t="s">
        <v>398</v>
      </c>
      <c r="B294" s="504" t="s">
        <v>103</v>
      </c>
      <c r="C294" s="525" t="s">
        <v>105</v>
      </c>
      <c r="D294" s="569">
        <f t="array" ref="D294">+INDEX('[5]Budget original'!$A$2:$AO$500,MATCH($A294,'[5]Budget original'!$A$2:$A$500,0),MATCH(D$2,'[5]Budget original'!$A$2:$AO$2,0))</f>
        <v>87317.655025456028</v>
      </c>
      <c r="E294" s="635">
        <f t="shared" ref="E294:E302" si="54">IF(D294=0,0,F294/D294)</f>
        <v>0.36099999999999999</v>
      </c>
      <c r="F294" s="551">
        <f t="array" ref="F294">+INDEX('[5]Budget original'!$A$2:$AO$500,MATCH($A294,'[5]Budget original'!$A$2:$A$500,0),MATCH(F$2,'[5]Budget original'!$A$2:$AO$2,0))</f>
        <v>31521.673464189626</v>
      </c>
      <c r="G294" s="569"/>
      <c r="H294" s="635"/>
      <c r="I294" s="551"/>
      <c r="J294" s="526">
        <f>-SUMIFS([5]BV_Data_An_Cour!$O:$O,[5]BV_Data_An_Cour!$X:$X,"Oui",[5]BV_Data_An_Cour!$U:$U,$B294,[5]BV_Data_An_Cour!$V:$V,$C294)</f>
        <v>99369.709999999992</v>
      </c>
      <c r="K294" s="635">
        <f t="shared" ref="K294:K303" si="55">IF(J294&lt;=0,0,L294/J294)</f>
        <v>0.32475731286727111</v>
      </c>
      <c r="L294" s="551">
        <f>-SUMIFS([5]BV_Data_An_Cour!$O:$O,[5]BV_Data_An_Cour!$U:$U,$B294,[5]BV_Data_An_Cour!$V:$V,$C294,[5]BV_Data_An_Cour!$W:$W,$L$2)</f>
        <v>32271.039999999997</v>
      </c>
      <c r="M294" s="570">
        <f t="shared" ref="M294:M300" si="56">(+J294-D294)/D294</f>
        <v>0.13802540816093131</v>
      </c>
      <c r="N294" s="551">
        <f t="shared" ref="N294:N303" si="57">L294-F294</f>
        <v>749.36653581037172</v>
      </c>
      <c r="O294" s="526">
        <f>-SUMIFS([5]BV_Data_An_Prec!$O:$O,[5]BV_Data_An_Prec!$X:$X,"Oui",[5]BV_Data_An_Prec!$U:$U,$B294,[5]BV_Data_An_Prec!$V:$V,$C294)</f>
        <v>71797.939999999988</v>
      </c>
      <c r="P294" s="635">
        <f t="shared" ref="P294:P303" si="58">IF(O294&lt;=0,0,Q294/O294)</f>
        <v>0.3770915990068795</v>
      </c>
      <c r="Q294" s="551">
        <f>-SUMIFS([5]BV_Data_An_Prec!$O:$O,[5]BV_Data_An_Prec!$U:$U,$B294,[5]BV_Data_An_Prec!$V:$V,$C294,[5]BV_Data_An_Prec!$W:$W,$L$2)</f>
        <v>27074.399999999991</v>
      </c>
      <c r="R294" s="570">
        <f t="shared" ref="R294:R303" si="59">IF(O294=0,0,(J294-O294)/O294)</f>
        <v>0.38401895653273632</v>
      </c>
      <c r="S294" s="551">
        <f t="shared" ref="S294:S303" si="60">L294-Q294</f>
        <v>5196.6400000000067</v>
      </c>
      <c r="T294" s="504"/>
      <c r="U294" s="504"/>
      <c r="V294" s="504"/>
      <c r="W294" s="504"/>
      <c r="X294" s="504"/>
      <c r="Y294" s="504"/>
      <c r="Z294" s="504"/>
      <c r="AA294" s="504"/>
      <c r="AB294" s="504"/>
      <c r="AC294" s="504"/>
      <c r="AD294" s="504"/>
      <c r="AE294" s="504"/>
      <c r="AF294" s="504"/>
      <c r="AG294" s="504"/>
      <c r="AH294" s="504"/>
      <c r="AI294" s="504"/>
      <c r="AJ294" s="504"/>
      <c r="AK294" s="504"/>
      <c r="AL294" s="504"/>
      <c r="AM294" s="504"/>
      <c r="AN294" s="504"/>
    </row>
    <row r="295" spans="1:40" ht="15.75" customHeight="1">
      <c r="A295" s="517" t="s">
        <v>399</v>
      </c>
      <c r="B295" s="504" t="s">
        <v>103</v>
      </c>
      <c r="C295" s="525" t="s">
        <v>106</v>
      </c>
      <c r="D295" s="569">
        <f t="array" ref="D295">+INDEX('[5]Budget original'!$A$2:$AO$500,MATCH($A295,'[5]Budget original'!$A$2:$A$500,0),MATCH(D$2,'[5]Budget original'!$A$2:$AO$2,0))</f>
        <v>55923.367985034376</v>
      </c>
      <c r="E295" s="635">
        <f t="shared" si="54"/>
        <v>0.24800000000000003</v>
      </c>
      <c r="F295" s="551">
        <f t="array" ref="F295">+INDEX('[5]Budget original'!$A$2:$AO$500,MATCH($A295,'[5]Budget original'!$A$2:$A$500,0),MATCH(F$2,'[5]Budget original'!$A$2:$AO$2,0))</f>
        <v>13868.995260288526</v>
      </c>
      <c r="G295" s="569"/>
      <c r="H295" s="635"/>
      <c r="I295" s="551"/>
      <c r="J295" s="526">
        <f>-SUMIFS([5]BV_Data_An_Cour!$O:$O,[5]BV_Data_An_Cour!$X:$X,"Oui",[5]BV_Data_An_Cour!$U:$U,$B295,[5]BV_Data_An_Cour!$V:$V,$C295)</f>
        <v>50553.47</v>
      </c>
      <c r="K295" s="635">
        <f t="shared" si="55"/>
        <v>0.28681235927029347</v>
      </c>
      <c r="L295" s="551">
        <f>-SUMIFS([5]BV_Data_An_Cour!$O:$O,[5]BV_Data_An_Cour!$U:$U,$B295,[5]BV_Data_An_Cour!$V:$V,$C295,[5]BV_Data_An_Cour!$W:$W,$L$2)</f>
        <v>14499.360000000004</v>
      </c>
      <c r="M295" s="570">
        <f t="shared" si="56"/>
        <v>-9.6022435316689275E-2</v>
      </c>
      <c r="N295" s="551">
        <f t="shared" si="57"/>
        <v>630.36473971147825</v>
      </c>
      <c r="O295" s="526">
        <f>-SUMIFS([5]BV_Data_An_Prec!$O:$O,[5]BV_Data_An_Prec!$X:$X,"Oui",[5]BV_Data_An_Prec!$U:$U,$B295,[5]BV_Data_An_Prec!$V:$V,$C295)</f>
        <v>43137.599999999999</v>
      </c>
      <c r="P295" s="635">
        <f t="shared" si="58"/>
        <v>0.25002967248989283</v>
      </c>
      <c r="Q295" s="551">
        <f>-SUMIFS([5]BV_Data_An_Prec!$O:$O,[5]BV_Data_An_Prec!$U:$U,$B295,[5]BV_Data_An_Prec!$V:$V,$C295,[5]BV_Data_An_Prec!$W:$W,$L$2)</f>
        <v>10785.68</v>
      </c>
      <c r="R295" s="570">
        <f t="shared" si="59"/>
        <v>0.17191197470420244</v>
      </c>
      <c r="S295" s="551">
        <f t="shared" si="60"/>
        <v>3713.6800000000039</v>
      </c>
      <c r="T295" s="504"/>
      <c r="U295" s="504"/>
      <c r="V295" s="504"/>
      <c r="W295" s="504"/>
      <c r="X295" s="504"/>
      <c r="Y295" s="504"/>
      <c r="Z295" s="504"/>
      <c r="AA295" s="504"/>
      <c r="AB295" s="504"/>
      <c r="AC295" s="504"/>
      <c r="AD295" s="504"/>
      <c r="AE295" s="504"/>
      <c r="AF295" s="504"/>
      <c r="AG295" s="504"/>
      <c r="AH295" s="504"/>
      <c r="AI295" s="504"/>
      <c r="AJ295" s="504"/>
      <c r="AK295" s="504"/>
      <c r="AL295" s="504"/>
      <c r="AM295" s="504"/>
      <c r="AN295" s="504"/>
    </row>
    <row r="296" spans="1:40" ht="15.75" customHeight="1">
      <c r="A296" s="517" t="s">
        <v>400</v>
      </c>
      <c r="B296" s="504" t="s">
        <v>103</v>
      </c>
      <c r="C296" s="525" t="s">
        <v>107</v>
      </c>
      <c r="D296" s="569">
        <f t="array" ref="D296">+INDEX('[5]Budget original'!$A$2:$AO$500,MATCH($A296,'[5]Budget original'!$A$2:$A$500,0),MATCH(D$2,'[5]Budget original'!$A$2:$AO$2,0))</f>
        <v>50991.633588193996</v>
      </c>
      <c r="E296" s="635">
        <f t="shared" si="54"/>
        <v>0.24299999999999999</v>
      </c>
      <c r="F296" s="551">
        <f t="array" ref="F296">+INDEX('[5]Budget original'!$A$2:$AO$500,MATCH($A296,'[5]Budget original'!$A$2:$A$500,0),MATCH(F$2,'[5]Budget original'!$A$2:$AO$2,0))</f>
        <v>12390.966961931141</v>
      </c>
      <c r="G296" s="569"/>
      <c r="H296" s="635"/>
      <c r="I296" s="551"/>
      <c r="J296" s="526">
        <f>-SUMIFS([5]BV_Data_An_Cour!$O:$O,[5]BV_Data_An_Cour!$X:$X,"Oui",[5]BV_Data_An_Cour!$U:$U,$B296,[5]BV_Data_An_Cour!$V:$V,$C296)</f>
        <v>47223.46</v>
      </c>
      <c r="K296" s="635">
        <f t="shared" si="55"/>
        <v>0.23158447093880882</v>
      </c>
      <c r="L296" s="551">
        <f>-SUMIFS([5]BV_Data_An_Cour!$O:$O,[5]BV_Data_An_Cour!$U:$U,$B296,[5]BV_Data_An_Cour!$V:$V,$C296,[5]BV_Data_An_Cour!$W:$W,$L$2)</f>
        <v>10936.220000000001</v>
      </c>
      <c r="M296" s="570">
        <f t="shared" si="56"/>
        <v>-7.3897879378126752E-2</v>
      </c>
      <c r="N296" s="551">
        <f t="shared" si="57"/>
        <v>-1454.7469619311396</v>
      </c>
      <c r="O296" s="526">
        <f>-SUMIFS([5]BV_Data_An_Prec!$O:$O,[5]BV_Data_An_Prec!$X:$X,"Oui",[5]BV_Data_An_Prec!$U:$U,$B296,[5]BV_Data_An_Prec!$V:$V,$C296)</f>
        <v>70082.789999999994</v>
      </c>
      <c r="P296" s="635">
        <f t="shared" si="58"/>
        <v>0.23647845640848481</v>
      </c>
      <c r="Q296" s="551">
        <f>-SUMIFS([5]BV_Data_An_Prec!$O:$O,[5]BV_Data_An_Prec!$U:$U,$B296,[5]BV_Data_An_Prec!$V:$V,$C296,[5]BV_Data_An_Prec!$W:$W,$L$2)</f>
        <v>16573.069999999992</v>
      </c>
      <c r="R296" s="570">
        <f t="shared" si="59"/>
        <v>-0.32617608402861809</v>
      </c>
      <c r="S296" s="551">
        <f t="shared" si="60"/>
        <v>-5636.8499999999913</v>
      </c>
      <c r="T296" s="504"/>
      <c r="U296" s="504"/>
      <c r="V296" s="504"/>
      <c r="W296" s="504"/>
      <c r="X296" s="504"/>
      <c r="Y296" s="504"/>
      <c r="Z296" s="504"/>
      <c r="AA296" s="504"/>
      <c r="AB296" s="504"/>
      <c r="AC296" s="504"/>
      <c r="AD296" s="504"/>
      <c r="AE296" s="504"/>
      <c r="AF296" s="504"/>
      <c r="AG296" s="504"/>
      <c r="AH296" s="504"/>
      <c r="AI296" s="504"/>
      <c r="AJ296" s="504"/>
      <c r="AK296" s="504"/>
      <c r="AL296" s="504"/>
      <c r="AM296" s="504"/>
      <c r="AN296" s="504"/>
    </row>
    <row r="297" spans="1:40" ht="15.75" customHeight="1">
      <c r="A297" s="517" t="s">
        <v>401</v>
      </c>
      <c r="B297" s="504" t="s">
        <v>103</v>
      </c>
      <c r="C297" s="525" t="s">
        <v>108</v>
      </c>
      <c r="D297" s="569">
        <f t="array" ref="D297">+INDEX('[5]Budget original'!$A$2:$AO$500,MATCH($A297,'[5]Budget original'!$A$2:$A$500,0),MATCH(D$2,'[5]Budget original'!$A$2:$AO$2,0))</f>
        <v>57964.743623668997</v>
      </c>
      <c r="E297" s="635">
        <f t="shared" si="54"/>
        <v>0.31600000000000006</v>
      </c>
      <c r="F297" s="551">
        <f t="array" ref="F297">+INDEX('[5]Budget original'!$A$2:$AO$500,MATCH($A297,'[5]Budget original'!$A$2:$A$500,0),MATCH(F$2,'[5]Budget original'!$A$2:$AO$2,0))</f>
        <v>18316.858985079405</v>
      </c>
      <c r="G297" s="569"/>
      <c r="H297" s="635"/>
      <c r="I297" s="551"/>
      <c r="J297" s="526">
        <f>-SUMIFS([5]BV_Data_An_Cour!$O:$O,[5]BV_Data_An_Cour!$X:$X,"Oui",[5]BV_Data_An_Cour!$U:$U,$B297,[5]BV_Data_An_Cour!$V:$V,$C297)</f>
        <v>49052.26</v>
      </c>
      <c r="K297" s="635">
        <f t="shared" si="55"/>
        <v>0.31003097512734379</v>
      </c>
      <c r="L297" s="551">
        <f>-SUMIFS([5]BV_Data_An_Cour!$O:$O,[5]BV_Data_An_Cour!$U:$U,$B297,[5]BV_Data_An_Cour!$V:$V,$C297,[5]BV_Data_An_Cour!$W:$W,$L$2)</f>
        <v>15207.720000000001</v>
      </c>
      <c r="M297" s="570">
        <f t="shared" si="56"/>
        <v>-0.15375697478337025</v>
      </c>
      <c r="N297" s="551">
        <f t="shared" si="57"/>
        <v>-3109.1389850794039</v>
      </c>
      <c r="O297" s="526">
        <f>-SUMIFS([5]BV_Data_An_Prec!$O:$O,[5]BV_Data_An_Prec!$X:$X,"Oui",[5]BV_Data_An_Prec!$U:$U,$B297,[5]BV_Data_An_Prec!$V:$V,$C297)</f>
        <v>49676.78</v>
      </c>
      <c r="P297" s="635">
        <f t="shared" si="58"/>
        <v>0.31532357773591613</v>
      </c>
      <c r="Q297" s="551">
        <f>-SUMIFS([5]BV_Data_An_Prec!$O:$O,[5]BV_Data_An_Prec!$U:$U,$B297,[5]BV_Data_An_Prec!$V:$V,$C297,[5]BV_Data_An_Prec!$W:$W,$L$2)</f>
        <v>15664.260000000002</v>
      </c>
      <c r="R297" s="570">
        <f t="shared" si="59"/>
        <v>-1.2571668292510038E-2</v>
      </c>
      <c r="S297" s="551">
        <f t="shared" si="60"/>
        <v>-456.54000000000087</v>
      </c>
      <c r="T297" s="504"/>
      <c r="U297" s="504"/>
      <c r="V297" s="504"/>
      <c r="W297" s="504"/>
      <c r="X297" s="504"/>
      <c r="Y297" s="504"/>
      <c r="Z297" s="504"/>
      <c r="AA297" s="504"/>
      <c r="AB297" s="504"/>
      <c r="AC297" s="504"/>
      <c r="AD297" s="504"/>
      <c r="AE297" s="504"/>
      <c r="AF297" s="504"/>
      <c r="AG297" s="504"/>
      <c r="AH297" s="504"/>
      <c r="AI297" s="504"/>
      <c r="AJ297" s="504"/>
      <c r="AK297" s="504"/>
      <c r="AL297" s="504"/>
      <c r="AM297" s="504"/>
      <c r="AN297" s="504"/>
    </row>
    <row r="298" spans="1:40" ht="15.75" customHeight="1">
      <c r="A298" s="517" t="s">
        <v>402</v>
      </c>
      <c r="B298" s="504" t="s">
        <v>103</v>
      </c>
      <c r="C298" s="525" t="s">
        <v>109</v>
      </c>
      <c r="D298" s="569">
        <f t="array" ref="D298">+INDEX('[5]Budget original'!$A$2:$AO$500,MATCH($A298,'[5]Budget original'!$A$2:$A$500,0),MATCH(D$2,'[5]Budget original'!$A$2:$AO$2,0))</f>
        <v>19585.622816922783</v>
      </c>
      <c r="E298" s="635">
        <f t="shared" si="54"/>
        <v>0.29799999999999999</v>
      </c>
      <c r="F298" s="551">
        <f t="array" ref="F298">+INDEX('[5]Budget original'!$A$2:$AO$500,MATCH($A298,'[5]Budget original'!$A$2:$A$500,0),MATCH(F$2,'[5]Budget original'!$A$2:$AO$2,0))</f>
        <v>5836.5155994429888</v>
      </c>
      <c r="G298" s="569"/>
      <c r="H298" s="635"/>
      <c r="I298" s="551"/>
      <c r="J298" s="526">
        <f>-SUMIFS([5]BV_Data_An_Cour!$O:$O,[5]BV_Data_An_Cour!$X:$X,"Oui",[5]BV_Data_An_Cour!$U:$U,$B298,[5]BV_Data_An_Cour!$V:$V,$C298)</f>
        <v>18843.27</v>
      </c>
      <c r="K298" s="635">
        <f t="shared" si="55"/>
        <v>0.21975909701447782</v>
      </c>
      <c r="L298" s="551">
        <f>-SUMIFS([5]BV_Data_An_Cour!$O:$O,[5]BV_Data_An_Cour!$U:$U,$B298,[5]BV_Data_An_Cour!$V:$V,$C298,[5]BV_Data_An_Cour!$W:$W,$L$2)</f>
        <v>4140.9799999999996</v>
      </c>
      <c r="M298" s="570">
        <f t="shared" si="56"/>
        <v>-3.7902946659493494E-2</v>
      </c>
      <c r="N298" s="551">
        <f t="shared" si="57"/>
        <v>-1695.5355994429892</v>
      </c>
      <c r="O298" s="526">
        <f>-SUMIFS([5]BV_Data_An_Prec!$O:$O,[5]BV_Data_An_Prec!$X:$X,"Oui",[5]BV_Data_An_Prec!$U:$U,$B298,[5]BV_Data_An_Prec!$V:$V,$C298)</f>
        <v>17580.88</v>
      </c>
      <c r="P298" s="635">
        <f t="shared" si="58"/>
        <v>0.23921043770277714</v>
      </c>
      <c r="Q298" s="551">
        <f>-SUMIFS([5]BV_Data_An_Prec!$O:$O,[5]BV_Data_An_Prec!$U:$U,$B298,[5]BV_Data_An_Prec!$V:$V,$C298,[5]BV_Data_An_Prec!$W:$W,$L$2)</f>
        <v>4205.5300000000007</v>
      </c>
      <c r="R298" s="570">
        <f t="shared" si="59"/>
        <v>7.1804710571939476E-2</v>
      </c>
      <c r="S298" s="551">
        <f t="shared" si="60"/>
        <v>-64.550000000001091</v>
      </c>
      <c r="T298" s="504"/>
      <c r="U298" s="504"/>
      <c r="V298" s="504"/>
      <c r="W298" s="504"/>
      <c r="X298" s="504"/>
      <c r="Y298" s="504"/>
      <c r="Z298" s="504"/>
      <c r="AA298" s="504"/>
      <c r="AB298" s="504"/>
      <c r="AC298" s="504"/>
      <c r="AD298" s="504"/>
      <c r="AE298" s="504"/>
      <c r="AF298" s="504"/>
      <c r="AG298" s="504"/>
      <c r="AH298" s="504"/>
      <c r="AI298" s="504"/>
      <c r="AJ298" s="504"/>
      <c r="AK298" s="504"/>
      <c r="AL298" s="504"/>
      <c r="AM298" s="504"/>
      <c r="AN298" s="504"/>
    </row>
    <row r="299" spans="1:40" ht="15.75" customHeight="1">
      <c r="A299" s="517" t="s">
        <v>403</v>
      </c>
      <c r="B299" s="504" t="s">
        <v>103</v>
      </c>
      <c r="C299" s="525" t="s">
        <v>110</v>
      </c>
      <c r="D299" s="569">
        <f t="array" ref="D299">+INDEX('[5]Budget original'!$A$2:$AO$500,MATCH($A299,'[5]Budget original'!$A$2:$A$500,0),MATCH(D$2,'[5]Budget original'!$A$2:$AO$2,0))</f>
        <v>86752.58567373034</v>
      </c>
      <c r="E299" s="635">
        <f t="shared" si="54"/>
        <v>0.17499999999999999</v>
      </c>
      <c r="F299" s="551">
        <f t="array" ref="F299">+INDEX('[5]Budget original'!$A$2:$AO$500,MATCH($A299,'[5]Budget original'!$A$2:$A$500,0),MATCH(F$2,'[5]Budget original'!$A$2:$AO$2,0))</f>
        <v>15181.702492902808</v>
      </c>
      <c r="G299" s="569"/>
      <c r="H299" s="635"/>
      <c r="I299" s="551"/>
      <c r="J299" s="526">
        <f>-SUMIFS([5]BV_Data_An_Cour!$O:$O,[5]BV_Data_An_Cour!$X:$X,"Oui",[5]BV_Data_An_Cour!$U:$U,$B299,[5]BV_Data_An_Cour!$V:$V,$C299)</f>
        <v>133684.29999999999</v>
      </c>
      <c r="K299" s="635">
        <f t="shared" si="55"/>
        <v>0.18301662947705891</v>
      </c>
      <c r="L299" s="551">
        <f>-SUMIFS([5]BV_Data_An_Cour!$O:$O,[5]BV_Data_An_Cour!$U:$U,$B299,[5]BV_Data_An_Cour!$V:$V,$C299,[5]BV_Data_An_Cour!$W:$W,$L$2)</f>
        <v>24466.449999999983</v>
      </c>
      <c r="M299" s="570">
        <f t="shared" si="56"/>
        <v>0.54098346420216381</v>
      </c>
      <c r="N299" s="551">
        <f t="shared" si="57"/>
        <v>9284.7475070971741</v>
      </c>
      <c r="O299" s="526">
        <f>-SUMIFS([5]BV_Data_An_Prec!$O:$O,[5]BV_Data_An_Prec!$X:$X,"Oui",[5]BV_Data_An_Prec!$U:$U,$B299,[5]BV_Data_An_Prec!$V:$V,$C299)</f>
        <v>68251.39</v>
      </c>
      <c r="P299" s="635">
        <f t="shared" si="58"/>
        <v>0.17980630138082168</v>
      </c>
      <c r="Q299" s="551">
        <f>-SUMIFS([5]BV_Data_An_Prec!$O:$O,[5]BV_Data_An_Prec!$U:$U,$B299,[5]BV_Data_An_Prec!$V:$V,$C299,[5]BV_Data_An_Prec!$W:$W,$L$2)</f>
        <v>12272.029999999999</v>
      </c>
      <c r="R299" s="570">
        <f t="shared" si="59"/>
        <v>0.95870443078155609</v>
      </c>
      <c r="S299" s="551">
        <f t="shared" si="60"/>
        <v>12194.419999999984</v>
      </c>
      <c r="T299" s="504"/>
      <c r="U299" s="504"/>
      <c r="V299" s="504"/>
      <c r="W299" s="504"/>
      <c r="X299" s="504"/>
      <c r="Y299" s="504"/>
      <c r="Z299" s="504"/>
      <c r="AA299" s="504"/>
      <c r="AB299" s="504"/>
      <c r="AC299" s="504"/>
      <c r="AD299" s="504"/>
      <c r="AE299" s="504"/>
      <c r="AF299" s="504"/>
      <c r="AG299" s="504"/>
      <c r="AH299" s="504"/>
      <c r="AI299" s="504"/>
      <c r="AJ299" s="504"/>
      <c r="AK299" s="504"/>
      <c r="AL299" s="504"/>
      <c r="AM299" s="504"/>
      <c r="AN299" s="504"/>
    </row>
    <row r="300" spans="1:40" ht="15.75" hidden="1" customHeight="1">
      <c r="A300" s="517" t="s">
        <v>404</v>
      </c>
      <c r="B300" s="504" t="s">
        <v>103</v>
      </c>
      <c r="C300" s="525" t="s">
        <v>20</v>
      </c>
      <c r="D300" s="569">
        <f t="array" ref="D300">+INDEX('[5]Budget original'!$A$2:$AO$500,MATCH($A300,'[5]Budget original'!$A$2:$A$500,0),MATCH(D$2,'[5]Budget original'!$A$2:$AO$2,0))</f>
        <v>0</v>
      </c>
      <c r="E300" s="635">
        <f t="shared" si="54"/>
        <v>0</v>
      </c>
      <c r="F300" s="551">
        <f t="array" ref="F300">+INDEX('[5]Budget original'!$A$2:$AO$500,MATCH($A300,'[5]Budget original'!$A$2:$A$500,0),MATCH(F$2,'[5]Budget original'!$A$2:$AO$2,0))</f>
        <v>0</v>
      </c>
      <c r="G300" s="569"/>
      <c r="H300" s="635"/>
      <c r="I300" s="551"/>
      <c r="J300" s="526">
        <f>-SUMIFS([5]BV_Data_An_Cour!$O:$O,[5]BV_Data_An_Cour!$X:$X,"Oui",[5]BV_Data_An_Cour!$U:$U,$B300,[5]BV_Data_An_Cour!$V:$V,$C300)</f>
        <v>0</v>
      </c>
      <c r="K300" s="635">
        <f t="shared" si="55"/>
        <v>0</v>
      </c>
      <c r="L300" s="551">
        <f>-SUMIFS([5]BV_Data_An_Cour!$O:$O,[5]BV_Data_An_Cour!$U:$U,$B300,[5]BV_Data_An_Cour!$V:$V,$C300,[5]BV_Data_An_Cour!$W:$W,$L$2)</f>
        <v>0</v>
      </c>
      <c r="M300" s="570" t="e">
        <f t="shared" si="56"/>
        <v>#DIV/0!</v>
      </c>
      <c r="N300" s="551">
        <f t="shared" si="57"/>
        <v>0</v>
      </c>
      <c r="O300" s="526">
        <f>-SUMIFS([5]BV_Data_An_Prec!$O:$O,[5]BV_Data_An_Prec!$X:$X,"Oui",[5]BV_Data_An_Prec!$U:$U,$B300,[5]BV_Data_An_Prec!$V:$V,$C300)</f>
        <v>0</v>
      </c>
      <c r="P300" s="635">
        <f t="shared" si="58"/>
        <v>0</v>
      </c>
      <c r="Q300" s="551">
        <f>-SUMIFS([5]BV_Data_An_Prec!$O:$O,[5]BV_Data_An_Prec!$U:$U,$B300,[5]BV_Data_An_Prec!$V:$V,$C300,[5]BV_Data_An_Prec!$W:$W,$L$2)</f>
        <v>0</v>
      </c>
      <c r="R300" s="570">
        <f t="shared" si="59"/>
        <v>0</v>
      </c>
      <c r="S300" s="551">
        <f t="shared" si="60"/>
        <v>0</v>
      </c>
      <c r="T300" s="504"/>
      <c r="U300" s="504"/>
      <c r="V300" s="504"/>
      <c r="W300" s="504"/>
      <c r="X300" s="504"/>
      <c r="Y300" s="504"/>
      <c r="Z300" s="504"/>
      <c r="AA300" s="504"/>
      <c r="AB300" s="504"/>
      <c r="AC300" s="504"/>
      <c r="AD300" s="504"/>
      <c r="AE300" s="504"/>
      <c r="AF300" s="504"/>
      <c r="AG300" s="504"/>
      <c r="AH300" s="504"/>
      <c r="AI300" s="504"/>
      <c r="AJ300" s="504"/>
      <c r="AK300" s="504"/>
      <c r="AL300" s="504"/>
      <c r="AM300" s="504"/>
      <c r="AN300" s="504"/>
    </row>
    <row r="301" spans="1:40" ht="15.75" customHeight="1">
      <c r="A301" s="517" t="s">
        <v>405</v>
      </c>
      <c r="B301" s="504" t="s">
        <v>103</v>
      </c>
      <c r="C301" s="525" t="s">
        <v>111</v>
      </c>
      <c r="D301" s="569">
        <f t="array" ref="D301">+INDEX('[5]Budget original'!$A$2:$AO$500,MATCH($A301,'[5]Budget original'!$A$2:$A$500,0),MATCH(D$2,'[5]Budget original'!$A$2:$AO$2,0))</f>
        <v>0</v>
      </c>
      <c r="E301" s="635">
        <f t="shared" si="54"/>
        <v>0</v>
      </c>
      <c r="F301" s="551">
        <f t="array" ref="F301">+INDEX('[5]Budget original'!$A$2:$AO$500,MATCH($A301,'[5]Budget original'!$A$2:$A$500,0),MATCH(F$2,'[5]Budget original'!$A$2:$AO$2,0))</f>
        <v>6081.2364548569049</v>
      </c>
      <c r="G301" s="569"/>
      <c r="H301" s="635"/>
      <c r="I301" s="551"/>
      <c r="J301" s="526">
        <f>-SUMIFS([5]BV_Data_An_Cour!$O:$O,[5]BV_Data_An_Cour!$X:$X,"Oui",[5]BV_Data_An_Cour!$U:$U,$B301,[5]BV_Data_An_Cour!$V:$V,$C301)</f>
        <v>0</v>
      </c>
      <c r="K301" s="635">
        <f t="shared" si="55"/>
        <v>0</v>
      </c>
      <c r="L301" s="551">
        <f>-SUMIFS([5]BV_Data_An_Cour!$O:$O,[5]BV_Data_An_Cour!$U:$U,$B301,[5]BV_Data_An_Cour!$V:$V,$C301,[5]BV_Data_An_Cour!$W:$W,$L$2)</f>
        <v>7131.57</v>
      </c>
      <c r="M301" s="570"/>
      <c r="N301" s="551">
        <f t="shared" si="57"/>
        <v>1050.3335451430949</v>
      </c>
      <c r="O301" s="526">
        <f>-SUMIFS([5]BV_Data_An_Prec!$O:$O,[5]BV_Data_An_Prec!$X:$X,"Oui",[5]BV_Data_An_Prec!$U:$U,$B301,[5]BV_Data_An_Prec!$V:$V,$C301)</f>
        <v>0</v>
      </c>
      <c r="P301" s="635">
        <f t="shared" si="58"/>
        <v>0</v>
      </c>
      <c r="Q301" s="551">
        <f>-SUMIFS([5]BV_Data_An_Prec!$O:$O,[5]BV_Data_An_Prec!$U:$U,$B301,[5]BV_Data_An_Prec!$V:$V,$C301,[5]BV_Data_An_Prec!$W:$W,$L$2)</f>
        <v>7855.65</v>
      </c>
      <c r="R301" s="570">
        <f t="shared" si="59"/>
        <v>0</v>
      </c>
      <c r="S301" s="551">
        <f t="shared" si="60"/>
        <v>-724.07999999999993</v>
      </c>
      <c r="T301" s="504"/>
      <c r="U301" s="504"/>
      <c r="V301" s="504"/>
      <c r="W301" s="504"/>
      <c r="X301" s="504"/>
      <c r="Y301" s="504"/>
      <c r="Z301" s="504"/>
      <c r="AA301" s="504"/>
      <c r="AB301" s="504"/>
      <c r="AC301" s="504"/>
      <c r="AD301" s="504"/>
      <c r="AE301" s="504"/>
      <c r="AF301" s="504"/>
      <c r="AG301" s="504"/>
      <c r="AH301" s="504"/>
      <c r="AI301" s="504"/>
      <c r="AJ301" s="504"/>
      <c r="AK301" s="504"/>
      <c r="AL301" s="504"/>
      <c r="AM301" s="504"/>
      <c r="AN301" s="504"/>
    </row>
    <row r="302" spans="1:40" ht="15.75" customHeight="1">
      <c r="A302" s="517" t="s">
        <v>406</v>
      </c>
      <c r="B302" s="504" t="s">
        <v>103</v>
      </c>
      <c r="C302" s="518" t="s">
        <v>112</v>
      </c>
      <c r="D302" s="569">
        <f t="array" ref="D302">+INDEX('[5]Budget original'!$A$2:$AO$500,MATCH($A302,'[5]Budget original'!$A$2:$A$500,0),MATCH(D$2,'[5]Budget original'!$A$2:$AO$2,0))</f>
        <v>0</v>
      </c>
      <c r="E302" s="635">
        <f t="shared" si="54"/>
        <v>0</v>
      </c>
      <c r="F302" s="551">
        <f t="array" ref="F302">+INDEX('[5]Budget original'!$A$2:$AO$500,MATCH($A302,'[5]Budget original'!$A$2:$A$500,0),MATCH(F$2,'[5]Budget original'!$A$2:$AO$2,0))</f>
        <v>0</v>
      </c>
      <c r="G302" s="569"/>
      <c r="H302" s="635"/>
      <c r="I302" s="551"/>
      <c r="J302" s="526">
        <f>-SUMIFS([5]BV_Data_An_Cour!$O:$O,[5]BV_Data_An_Cour!$X:$X,"Oui",[5]BV_Data_An_Cour!$U:$U,$B302,[5]BV_Data_An_Cour!$V:$V,$C302)</f>
        <v>0</v>
      </c>
      <c r="K302" s="635">
        <f t="shared" si="55"/>
        <v>0</v>
      </c>
      <c r="L302" s="551">
        <f>-SUMIFS([5]BV_Data_An_Cour!$O:$O,[5]BV_Data_An_Cour!$U:$U,$B302,[5]BV_Data_An_Cour!$V:$V,$C302,[5]BV_Data_An_Cour!$W:$W,$L$2)</f>
        <v>0</v>
      </c>
      <c r="M302" s="570"/>
      <c r="N302" s="551">
        <f t="shared" si="57"/>
        <v>0</v>
      </c>
      <c r="O302" s="526">
        <f>-SUMIFS([5]BV_Data_An_Prec!$O:$O,[5]BV_Data_An_Prec!$X:$X,"Oui",[5]BV_Data_An_Prec!$U:$U,$B302,[5]BV_Data_An_Prec!$V:$V,$C302)</f>
        <v>0</v>
      </c>
      <c r="P302" s="635">
        <f t="shared" si="58"/>
        <v>0</v>
      </c>
      <c r="Q302" s="551">
        <f>-SUMIFS([5]BV_Data_An_Prec!$O:$O,[5]BV_Data_An_Prec!$U:$U,$B302,[5]BV_Data_An_Prec!$V:$V,$C302,[5]BV_Data_An_Prec!$W:$W,$L$2)</f>
        <v>0</v>
      </c>
      <c r="R302" s="570">
        <f t="shared" si="59"/>
        <v>0</v>
      </c>
      <c r="S302" s="551">
        <f t="shared" si="60"/>
        <v>0</v>
      </c>
      <c r="T302" s="504"/>
      <c r="U302" s="504"/>
      <c r="V302" s="504"/>
      <c r="W302" s="504"/>
      <c r="X302" s="504"/>
      <c r="Y302" s="504"/>
      <c r="Z302" s="504"/>
      <c r="AA302" s="504"/>
      <c r="AB302" s="504"/>
      <c r="AC302" s="504"/>
      <c r="AD302" s="504"/>
      <c r="AE302" s="504"/>
      <c r="AF302" s="504"/>
      <c r="AG302" s="504"/>
      <c r="AH302" s="504"/>
      <c r="AI302" s="504"/>
      <c r="AJ302" s="504"/>
      <c r="AK302" s="504"/>
      <c r="AL302" s="504"/>
      <c r="AM302" s="504"/>
      <c r="AN302" s="504"/>
    </row>
    <row r="303" spans="1:40" ht="15.75" customHeight="1">
      <c r="A303" s="517" t="s">
        <v>407</v>
      </c>
      <c r="B303" s="504" t="s">
        <v>103</v>
      </c>
      <c r="C303" s="544" t="s">
        <v>113</v>
      </c>
      <c r="D303" s="675">
        <f>SUM(D294:D302)</f>
        <v>358535.60871300654</v>
      </c>
      <c r="E303" s="692">
        <f>IF(D303&lt;=0,0,F303/D303)</f>
        <v>0.28783179888081145</v>
      </c>
      <c r="F303" s="677">
        <f t="shared" ref="F303" si="61">SUM(F294:F302)</f>
        <v>103197.9492186914</v>
      </c>
      <c r="G303" s="675"/>
      <c r="H303" s="692"/>
      <c r="I303" s="677"/>
      <c r="J303" s="675">
        <f t="shared" ref="J303" si="62">SUM(J294:J302)</f>
        <v>398726.47</v>
      </c>
      <c r="K303" s="692">
        <f t="shared" si="55"/>
        <v>0.27250094532224051</v>
      </c>
      <c r="L303" s="677">
        <f>SUM(L294:L302)</f>
        <v>108653.33999999997</v>
      </c>
      <c r="M303" s="693">
        <f>(+J303-D303)/D303</f>
        <v>0.11209726540485582</v>
      </c>
      <c r="N303" s="677">
        <f t="shared" si="57"/>
        <v>5455.390781308568</v>
      </c>
      <c r="O303" s="675">
        <f>SUM(O294:O302)</f>
        <v>320527.37999999995</v>
      </c>
      <c r="P303" s="692">
        <f t="shared" si="58"/>
        <v>0.29461015155709935</v>
      </c>
      <c r="Q303" s="677">
        <f>SUM(Q294:Q302)</f>
        <v>94430.619999999966</v>
      </c>
      <c r="R303" s="693">
        <f t="shared" si="59"/>
        <v>0.2439700783128107</v>
      </c>
      <c r="S303" s="677">
        <f t="shared" si="60"/>
        <v>14222.720000000001</v>
      </c>
      <c r="T303" s="504"/>
      <c r="U303" s="504"/>
      <c r="V303" s="504"/>
      <c r="W303" s="504"/>
      <c r="X303" s="504"/>
      <c r="Y303" s="504"/>
      <c r="Z303" s="504"/>
      <c r="AA303" s="504"/>
      <c r="AB303" s="504"/>
      <c r="AC303" s="504"/>
      <c r="AD303" s="504"/>
      <c r="AE303" s="504"/>
      <c r="AF303" s="504"/>
      <c r="AG303" s="504"/>
      <c r="AH303" s="504"/>
      <c r="AI303" s="504"/>
      <c r="AJ303" s="504"/>
      <c r="AK303" s="504"/>
      <c r="AL303" s="504"/>
      <c r="AM303" s="504"/>
      <c r="AN303" s="504"/>
    </row>
    <row r="304" spans="1:40" ht="15.75" customHeight="1">
      <c r="A304" s="517" t="s">
        <v>103</v>
      </c>
      <c r="B304" s="504" t="s">
        <v>103</v>
      </c>
      <c r="C304" s="525"/>
      <c r="D304" s="504"/>
      <c r="E304" s="504"/>
      <c r="F304" s="535"/>
      <c r="G304" s="525"/>
      <c r="H304" s="504"/>
      <c r="I304" s="535"/>
      <c r="J304" s="525"/>
      <c r="K304" s="504"/>
      <c r="L304" s="535"/>
      <c r="M304" s="525"/>
      <c r="N304" s="543">
        <f>N303/F303</f>
        <v>5.2863364268487589E-2</v>
      </c>
      <c r="O304" s="525"/>
      <c r="P304" s="504"/>
      <c r="Q304" s="535"/>
      <c r="R304" s="525"/>
      <c r="S304" s="543">
        <f>IF(Q303=0,0,S303/Q303)</f>
        <v>0.15061555245533712</v>
      </c>
      <c r="T304" s="504"/>
      <c r="U304" s="504"/>
      <c r="V304" s="504"/>
      <c r="W304" s="504"/>
      <c r="X304" s="504"/>
      <c r="Y304" s="504"/>
      <c r="Z304" s="504"/>
      <c r="AA304" s="504"/>
      <c r="AB304" s="504"/>
      <c r="AC304" s="504"/>
      <c r="AD304" s="504"/>
      <c r="AE304" s="504"/>
      <c r="AF304" s="504"/>
      <c r="AG304" s="504"/>
      <c r="AH304" s="504"/>
      <c r="AI304" s="504"/>
      <c r="AJ304" s="504"/>
      <c r="AK304" s="504"/>
      <c r="AL304" s="504"/>
      <c r="AM304" s="504"/>
      <c r="AN304" s="504"/>
    </row>
    <row r="305" spans="1:40" ht="15.75" customHeight="1">
      <c r="A305" s="517" t="s">
        <v>103</v>
      </c>
      <c r="B305" s="504" t="s">
        <v>103</v>
      </c>
      <c r="C305" s="518"/>
      <c r="D305" s="598"/>
      <c r="E305" s="598"/>
      <c r="F305" s="694"/>
      <c r="G305" s="518"/>
      <c r="H305" s="598"/>
      <c r="I305" s="694"/>
      <c r="J305" s="518"/>
      <c r="K305" s="598"/>
      <c r="L305" s="694"/>
      <c r="M305" s="518"/>
      <c r="N305" s="655"/>
      <c r="O305" s="518"/>
      <c r="P305" s="598"/>
      <c r="Q305" s="694"/>
      <c r="R305" s="518"/>
      <c r="S305" s="655"/>
      <c r="T305" s="504"/>
      <c r="U305" s="504"/>
      <c r="V305" s="504"/>
      <c r="W305" s="504"/>
      <c r="X305" s="504"/>
      <c r="Y305" s="504"/>
      <c r="Z305" s="504"/>
      <c r="AA305" s="504"/>
      <c r="AB305" s="504"/>
      <c r="AC305" s="504"/>
      <c r="AD305" s="504"/>
      <c r="AE305" s="504"/>
      <c r="AF305" s="504"/>
      <c r="AG305" s="504"/>
      <c r="AH305" s="504"/>
      <c r="AI305" s="504"/>
      <c r="AJ305" s="504"/>
      <c r="AK305" s="504"/>
      <c r="AL305" s="504"/>
      <c r="AM305" s="504"/>
      <c r="AN305" s="504"/>
    </row>
    <row r="306" spans="1:40" ht="15.75" customHeight="1">
      <c r="A306" s="517" t="s">
        <v>408</v>
      </c>
      <c r="B306" s="504" t="s">
        <v>103</v>
      </c>
      <c r="C306" s="525" t="s">
        <v>114</v>
      </c>
      <c r="D306" s="569">
        <f t="array" ref="D306">+INDEX('[5]Budget original'!$A$2:$AO$500,MATCH($A306,'[5]Budget original'!$A$2:$A$500,0),MATCH(D$2,'[5]Budget original'!$A$2:$AO$2,0))</f>
        <v>22593.354387929827</v>
      </c>
      <c r="E306" s="635">
        <f t="shared" ref="E306:E307" si="63">IF(D306=0,0,F306/D306)</f>
        <v>0.18</v>
      </c>
      <c r="F306" s="597">
        <f t="array" ref="F306">+INDEX('[5]Budget original'!$A$2:$AO$500,MATCH($A306,'[5]Budget original'!$A$2:$A$500,0),MATCH(F$2,'[5]Budget original'!$A$2:$AO$2,0))</f>
        <v>4066.8037898273687</v>
      </c>
      <c r="G306" s="569"/>
      <c r="H306" s="635"/>
      <c r="I306" s="597"/>
      <c r="J306" s="526">
        <f>-SUMIFS([5]BV_Data_An_Cour!$O:$O,[5]BV_Data_An_Cour!$X:$X,"Oui",[5]BV_Data_An_Cour!$U:$U,$B306,[5]BV_Data_An_Cour!$V:$V,$C306)</f>
        <v>17144.36</v>
      </c>
      <c r="K306" s="635">
        <f t="shared" ref="K306:K308" si="64">IF(J306&lt;=0,0,L306/J306)</f>
        <v>0.20076806599954741</v>
      </c>
      <c r="L306" s="597">
        <f>-SUMIFS([5]BV_Data_An_Cour!$O:$O,[5]BV_Data_An_Cour!$U:$U,$B306,[5]BV_Data_An_Cour!$V:$V,$C306,[5]BV_Data_An_Cour!$W:$W,$L$2)</f>
        <v>3442.0400000000009</v>
      </c>
      <c r="M306" s="570">
        <f>(+J306-D306)/D306</f>
        <v>-0.24117686530163368</v>
      </c>
      <c r="N306" s="551">
        <f>L306-F306</f>
        <v>-624.76378982736787</v>
      </c>
      <c r="O306" s="526">
        <f>-SUMIFS([5]BV_Data_An_Prec!$O:$O,[5]BV_Data_An_Prec!$X:$X,"Oui",[5]BV_Data_An_Prec!$U:$U,$B306,[5]BV_Data_An_Prec!$V:$V,$C306)</f>
        <v>29798.17</v>
      </c>
      <c r="P306" s="635">
        <f t="shared" ref="P306:P308" si="65">IF(O306&lt;=0,0,Q306/O306)</f>
        <v>0.19305044571529056</v>
      </c>
      <c r="Q306" s="597">
        <f>-SUMIFS([5]BV_Data_An_Prec!$O:$O,[5]BV_Data_An_Prec!$U:$U,$B306,[5]BV_Data_An_Prec!$V:$V,$C306,[5]BV_Data_An_Prec!$W:$W,$L$2)</f>
        <v>5752.5499999999993</v>
      </c>
      <c r="R306" s="570">
        <f t="shared" ref="R306:R308" si="66">IF(O306=0,0,(J306-O306)/O306)</f>
        <v>-0.42465057417955526</v>
      </c>
      <c r="S306" s="551">
        <f t="shared" ref="S306:S308" si="67">L306-Q306</f>
        <v>-2310.5099999999984</v>
      </c>
      <c r="T306" s="504"/>
      <c r="U306" s="504"/>
      <c r="V306" s="504"/>
      <c r="W306" s="504"/>
      <c r="X306" s="504"/>
      <c r="Y306" s="504"/>
      <c r="Z306" s="504"/>
      <c r="AA306" s="504"/>
      <c r="AB306" s="504"/>
      <c r="AC306" s="504"/>
      <c r="AD306" s="504"/>
      <c r="AE306" s="504"/>
      <c r="AF306" s="504"/>
      <c r="AG306" s="504"/>
      <c r="AH306" s="504"/>
      <c r="AI306" s="504"/>
      <c r="AJ306" s="504"/>
      <c r="AK306" s="504"/>
      <c r="AL306" s="504"/>
      <c r="AM306" s="504"/>
      <c r="AN306" s="504"/>
    </row>
    <row r="307" spans="1:40" ht="15.75" customHeight="1">
      <c r="A307" s="517" t="s">
        <v>409</v>
      </c>
      <c r="B307" s="504" t="s">
        <v>103</v>
      </c>
      <c r="C307" s="518" t="s">
        <v>115</v>
      </c>
      <c r="D307" s="569">
        <f t="array" ref="D307">+INDEX('[5]Budget original'!$A$2:$AO$500,MATCH($A307,'[5]Budget original'!$A$2:$A$500,0),MATCH(D$2,'[5]Budget original'!$A$2:$AO$2,0))</f>
        <v>22380.838878361239</v>
      </c>
      <c r="E307" s="635">
        <f t="shared" si="63"/>
        <v>0.313</v>
      </c>
      <c r="F307" s="574">
        <f t="array" ref="F307">+INDEX('[5]Budget original'!$A$2:$AO$500,MATCH($A307,'[5]Budget original'!$A$2:$A$500,0),MATCH(F$2,'[5]Budget original'!$A$2:$AO$2,0))</f>
        <v>7005.2025689270677</v>
      </c>
      <c r="G307" s="569"/>
      <c r="H307" s="635"/>
      <c r="I307" s="574"/>
      <c r="J307" s="526">
        <f>-SUMIFS([5]BV_Data_An_Cour!$O:$O,[5]BV_Data_An_Cour!$X:$X,"Oui",[5]BV_Data_An_Cour!$U:$U,$B307,[5]BV_Data_An_Cour!$V:$V,$C307)</f>
        <v>23063.49</v>
      </c>
      <c r="K307" s="635">
        <f t="shared" si="64"/>
        <v>0.25688479930834401</v>
      </c>
      <c r="L307" s="574">
        <f>-SUMIFS([5]BV_Data_An_Cour!$O:$O,[5]BV_Data_An_Cour!$U:$U,$B307,[5]BV_Data_An_Cour!$V:$V,$C307,[5]BV_Data_An_Cour!$W:$W,$L$2)</f>
        <v>5924.66</v>
      </c>
      <c r="M307" s="570">
        <f>(+J307-D307)/D307</f>
        <v>3.0501587780017447E-2</v>
      </c>
      <c r="N307" s="551">
        <f>L307-F307</f>
        <v>-1080.5425689270678</v>
      </c>
      <c r="O307" s="526">
        <f>-SUMIFS([5]BV_Data_An_Prec!$O:$O,[5]BV_Data_An_Prec!$X:$X,"Oui",[5]BV_Data_An_Prec!$U:$U,$B307,[5]BV_Data_An_Prec!$V:$V,$C307)</f>
        <v>24986.639999999999</v>
      </c>
      <c r="P307" s="635">
        <f t="shared" si="65"/>
        <v>0.33051182551955771</v>
      </c>
      <c r="Q307" s="574">
        <f>-SUMIFS([5]BV_Data_An_Prec!$O:$O,[5]BV_Data_An_Prec!$U:$U,$B307,[5]BV_Data_An_Prec!$V:$V,$C307,[5]BV_Data_An_Prec!$W:$W,$L$2)</f>
        <v>8258.380000000001</v>
      </c>
      <c r="R307" s="570">
        <f t="shared" si="66"/>
        <v>-7.696713123493186E-2</v>
      </c>
      <c r="S307" s="551">
        <f t="shared" si="67"/>
        <v>-2333.7200000000012</v>
      </c>
      <c r="T307" s="504"/>
      <c r="U307" s="504"/>
      <c r="V307" s="504"/>
      <c r="W307" s="504"/>
      <c r="X307" s="504"/>
      <c r="Y307" s="504"/>
      <c r="Z307" s="504"/>
      <c r="AA307" s="504"/>
      <c r="AB307" s="504"/>
      <c r="AC307" s="504"/>
      <c r="AD307" s="504"/>
      <c r="AE307" s="504"/>
      <c r="AF307" s="504"/>
      <c r="AG307" s="504"/>
      <c r="AH307" s="504"/>
      <c r="AI307" s="504"/>
      <c r="AJ307" s="504"/>
      <c r="AK307" s="504"/>
      <c r="AL307" s="504"/>
      <c r="AM307" s="504"/>
      <c r="AN307" s="504"/>
    </row>
    <row r="308" spans="1:40" ht="15.75" customHeight="1">
      <c r="A308" s="517" t="s">
        <v>410</v>
      </c>
      <c r="B308" s="504" t="s">
        <v>103</v>
      </c>
      <c r="C308" s="544" t="s">
        <v>116</v>
      </c>
      <c r="D308" s="675">
        <f>D303+D306+D307</f>
        <v>403509.8019792976</v>
      </c>
      <c r="E308" s="692">
        <f>IF(D308&lt;=0,0,F308/D308)</f>
        <v>0.28319003656646874</v>
      </c>
      <c r="F308" s="677">
        <f t="shared" ref="F308" si="68">F303+F306+F307</f>
        <v>114269.95557744584</v>
      </c>
      <c r="G308" s="678"/>
      <c r="H308" s="692"/>
      <c r="I308" s="677"/>
      <c r="J308" s="678">
        <f t="shared" ref="J308" si="69">J303+J306+J307</f>
        <v>438934.31999999995</v>
      </c>
      <c r="K308" s="692">
        <f t="shared" si="64"/>
        <v>0.26887858757547139</v>
      </c>
      <c r="L308" s="677">
        <f>L303+L306+L307</f>
        <v>118020.03999999998</v>
      </c>
      <c r="M308" s="693">
        <f>(+J308-D308)/D308</f>
        <v>8.7790972727150349E-2</v>
      </c>
      <c r="N308" s="677">
        <f>L308-F308</f>
        <v>3750.0844225541368</v>
      </c>
      <c r="O308" s="678">
        <f>O303+O306+O307</f>
        <v>375312.18999999994</v>
      </c>
      <c r="P308" s="692">
        <f t="shared" si="65"/>
        <v>0.28893692475056565</v>
      </c>
      <c r="Q308" s="677">
        <f>Q303+Q306+Q307</f>
        <v>108441.54999999997</v>
      </c>
      <c r="R308" s="693">
        <f t="shared" si="66"/>
        <v>0.1695178885609871</v>
      </c>
      <c r="S308" s="677">
        <f t="shared" si="67"/>
        <v>9578.4900000000052</v>
      </c>
      <c r="T308" s="504"/>
      <c r="U308" s="504"/>
      <c r="V308" s="504"/>
      <c r="W308" s="504"/>
      <c r="X308" s="504"/>
      <c r="Y308" s="504"/>
      <c r="Z308" s="504"/>
      <c r="AA308" s="504"/>
      <c r="AB308" s="504"/>
      <c r="AC308" s="504"/>
      <c r="AD308" s="504"/>
      <c r="AE308" s="504"/>
      <c r="AF308" s="504"/>
      <c r="AG308" s="504"/>
      <c r="AH308" s="504"/>
      <c r="AI308" s="504"/>
      <c r="AJ308" s="504"/>
      <c r="AK308" s="504"/>
      <c r="AL308" s="504"/>
      <c r="AM308" s="504"/>
      <c r="AN308" s="504"/>
    </row>
    <row r="309" spans="1:40" ht="15.75" customHeight="1">
      <c r="A309" s="517" t="s">
        <v>103</v>
      </c>
      <c r="B309" s="504" t="s">
        <v>103</v>
      </c>
      <c r="C309" s="525"/>
      <c r="D309" s="504"/>
      <c r="E309" s="504"/>
      <c r="F309" s="535"/>
      <c r="G309" s="525"/>
      <c r="H309" s="504"/>
      <c r="I309" s="535"/>
      <c r="J309" s="525"/>
      <c r="K309" s="504"/>
      <c r="L309" s="535"/>
      <c r="M309" s="525"/>
      <c r="N309" s="543">
        <f>N308/F308</f>
        <v>3.2817763896062231E-2</v>
      </c>
      <c r="O309" s="525"/>
      <c r="P309" s="504"/>
      <c r="Q309" s="535"/>
      <c r="R309" s="525"/>
      <c r="S309" s="543">
        <f>IF(Q308=0,0,S308/Q308)</f>
        <v>8.8328597295040584E-2</v>
      </c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4"/>
      <c r="AJ309" s="504"/>
      <c r="AK309" s="504"/>
      <c r="AL309" s="504"/>
      <c r="AM309" s="504"/>
      <c r="AN309" s="504"/>
    </row>
    <row r="310" spans="1:40" ht="15.75" customHeight="1">
      <c r="A310" s="517" t="s">
        <v>103</v>
      </c>
      <c r="B310" s="504" t="s">
        <v>103</v>
      </c>
      <c r="C310" s="525"/>
      <c r="D310" s="504"/>
      <c r="E310" s="504"/>
      <c r="F310" s="535"/>
      <c r="G310" s="525"/>
      <c r="H310" s="504"/>
      <c r="I310" s="535"/>
      <c r="J310" s="525"/>
      <c r="K310" s="504"/>
      <c r="L310" s="535"/>
      <c r="M310" s="525"/>
      <c r="N310" s="543"/>
      <c r="O310" s="525"/>
      <c r="P310" s="504"/>
      <c r="Q310" s="535"/>
      <c r="R310" s="525"/>
      <c r="S310" s="543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4"/>
      <c r="AJ310" s="504"/>
      <c r="AK310" s="504"/>
      <c r="AL310" s="504"/>
      <c r="AM310" s="504"/>
      <c r="AN310" s="504"/>
    </row>
    <row r="311" spans="1:40" ht="15.75" customHeight="1">
      <c r="A311" s="517" t="s">
        <v>411</v>
      </c>
      <c r="B311" s="504" t="s">
        <v>103</v>
      </c>
      <c r="C311" s="518" t="s">
        <v>117</v>
      </c>
      <c r="D311" s="572">
        <f t="array" ref="D311">+INDEX('[5]Budget original'!$A$2:$AO$500,MATCH($A311,'[5]Budget original'!$A$2:$A$500,0),MATCH(D$2,'[5]Budget original'!$A$2:$AO$2,0))</f>
        <v>0</v>
      </c>
      <c r="E311" s="636">
        <f>IF(D311=0,0,F311/D311)</f>
        <v>0</v>
      </c>
      <c r="F311" s="574">
        <f t="array" ref="F311">+INDEX('[5]Budget original'!$A$2:$AO$500,MATCH($A311,'[5]Budget original'!$A$2:$A$500,0),MATCH(F$2,'[5]Budget original'!$A$2:$AO$2,0))</f>
        <v>0</v>
      </c>
      <c r="G311" s="650"/>
      <c r="H311" s="636"/>
      <c r="I311" s="574"/>
      <c r="J311" s="539">
        <f>-SUMIFS([5]BV_Data_An_Cour!$O:$O,[5]BV_Data_An_Cour!$X:$X,"Oui",[5]BV_Data_An_Cour!$U:$U,$B311,[5]BV_Data_An_Cour!$V:$V,$C311)</f>
        <v>0</v>
      </c>
      <c r="K311" s="636">
        <f>IF(J311&lt;=0,0,L311/J311)</f>
        <v>0</v>
      </c>
      <c r="L311" s="520">
        <f>-SUMIFS([5]BV_Data_An_Cour!$O:$O,[5]BV_Data_An_Cour!$U:$U,$B311,[5]BV_Data_An_Cour!$V:$V,$C311,[5]BV_Data_An_Cour!$W:$W,$L$2)</f>
        <v>0</v>
      </c>
      <c r="M311" s="636">
        <f>IF(F311=0,0,(+L311-F311)/F311)</f>
        <v>0</v>
      </c>
      <c r="N311" s="574">
        <f>L311-F311</f>
        <v>0</v>
      </c>
      <c r="O311" s="539">
        <f>-SUMIFS([5]BV_Data_An_Prec!$O:$O,[5]BV_Data_An_Prec!$X:$X,"Oui",[5]BV_Data_An_Prec!$U:$U,$B311,[5]BV_Data_An_Prec!$V:$V,$C311)</f>
        <v>0</v>
      </c>
      <c r="P311" s="636">
        <f>IF(O311&lt;=0,0,Q311/O311)</f>
        <v>0</v>
      </c>
      <c r="Q311" s="520">
        <f>-SUMIFS([5]BV_Data_An_Prec!$O:$O,[5]BV_Data_An_Prec!$U:$U,$B311,[5]BV_Data_An_Prec!$V:$V,$C311,[5]BV_Data_An_Prec!$W:$W,$L$2)</f>
        <v>0</v>
      </c>
      <c r="R311" s="636">
        <f>IF(S311=0,0,(+O311-K311)/K311)</f>
        <v>0</v>
      </c>
      <c r="S311" s="574">
        <f>L311-Q311</f>
        <v>0</v>
      </c>
      <c r="T311" s="504"/>
      <c r="U311" s="504"/>
      <c r="V311" s="504"/>
      <c r="W311" s="504"/>
      <c r="X311" s="504"/>
      <c r="Y311" s="504"/>
      <c r="Z311" s="504"/>
      <c r="AA311" s="504"/>
      <c r="AB311" s="504"/>
      <c r="AC311" s="504"/>
      <c r="AD311" s="504"/>
      <c r="AE311" s="504"/>
      <c r="AF311" s="504"/>
      <c r="AG311" s="504"/>
      <c r="AH311" s="504"/>
      <c r="AI311" s="504"/>
      <c r="AJ311" s="504"/>
      <c r="AK311" s="504"/>
      <c r="AL311" s="504"/>
      <c r="AM311" s="504"/>
      <c r="AN311" s="504"/>
    </row>
    <row r="312" spans="1:40" ht="15.75" customHeight="1" thickBot="1">
      <c r="A312" s="517" t="s">
        <v>103</v>
      </c>
      <c r="B312" s="504" t="s">
        <v>103</v>
      </c>
      <c r="C312" s="525"/>
      <c r="D312" s="569"/>
      <c r="E312" s="635"/>
      <c r="F312" s="551"/>
      <c r="G312" s="552"/>
      <c r="H312" s="635"/>
      <c r="I312" s="551"/>
      <c r="J312" s="552"/>
      <c r="K312" s="635"/>
      <c r="L312" s="551"/>
      <c r="M312" s="570"/>
      <c r="N312" s="551"/>
      <c r="O312" s="552"/>
      <c r="P312" s="635"/>
      <c r="Q312" s="551"/>
      <c r="R312" s="570"/>
      <c r="S312" s="551"/>
      <c r="T312" s="504"/>
      <c r="U312" s="504"/>
      <c r="V312" s="504"/>
      <c r="W312" s="504"/>
      <c r="X312" s="504"/>
      <c r="Y312" s="504"/>
      <c r="Z312" s="504"/>
      <c r="AA312" s="504"/>
      <c r="AB312" s="504"/>
      <c r="AC312" s="504"/>
      <c r="AD312" s="504"/>
      <c r="AE312" s="504"/>
      <c r="AF312" s="504"/>
      <c r="AG312" s="504"/>
      <c r="AH312" s="504"/>
      <c r="AI312" s="504"/>
      <c r="AJ312" s="504"/>
      <c r="AK312" s="504"/>
      <c r="AL312" s="504"/>
      <c r="AM312" s="504"/>
      <c r="AN312" s="504"/>
    </row>
    <row r="313" spans="1:40" ht="15.75" customHeight="1" thickTop="1">
      <c r="A313" s="517" t="s">
        <v>412</v>
      </c>
      <c r="B313" s="504" t="s">
        <v>103</v>
      </c>
      <c r="C313" s="553" t="s">
        <v>118</v>
      </c>
      <c r="D313" s="554">
        <f>D308+D311</f>
        <v>403509.8019792976</v>
      </c>
      <c r="E313" s="695">
        <f>IF(D313&lt;=0,0,F313/D313)</f>
        <v>0.28319003656646874</v>
      </c>
      <c r="F313" s="556">
        <f t="shared" ref="F313" si="70">F308+F311</f>
        <v>114269.95557744584</v>
      </c>
      <c r="G313" s="557"/>
      <c r="H313" s="695"/>
      <c r="I313" s="556"/>
      <c r="J313" s="557">
        <f t="shared" ref="J313" si="71">J308+J311</f>
        <v>438934.31999999995</v>
      </c>
      <c r="K313" s="695">
        <f>IF(J313&lt;=0,0,L313/J313)</f>
        <v>0.26887858757547139</v>
      </c>
      <c r="L313" s="556">
        <f>L308+L311</f>
        <v>118020.03999999998</v>
      </c>
      <c r="M313" s="696">
        <f>(+J313-D313)/D313</f>
        <v>8.7790972727150349E-2</v>
      </c>
      <c r="N313" s="697">
        <f>L313-F313</f>
        <v>3750.0844225541368</v>
      </c>
      <c r="O313" s="557">
        <f>O308+O311</f>
        <v>375312.18999999994</v>
      </c>
      <c r="P313" s="695">
        <f>IF(O313&lt;=0,0,Q313/O313)</f>
        <v>0.28893692475056565</v>
      </c>
      <c r="Q313" s="556">
        <f>Q308+Q311</f>
        <v>108441.54999999997</v>
      </c>
      <c r="R313" s="696">
        <f>IF(O313=0,0,(J313-O313)/O313)</f>
        <v>0.1695178885609871</v>
      </c>
      <c r="S313" s="697">
        <f>L313-Q313</f>
        <v>9578.4900000000052</v>
      </c>
      <c r="T313" s="504"/>
      <c r="U313" s="504"/>
      <c r="V313" s="504"/>
      <c r="W313" s="504"/>
      <c r="X313" s="504"/>
      <c r="Y313" s="504"/>
      <c r="Z313" s="504"/>
      <c r="AA313" s="504"/>
      <c r="AB313" s="504"/>
      <c r="AC313" s="504"/>
      <c r="AD313" s="504"/>
      <c r="AE313" s="504"/>
      <c r="AF313" s="504"/>
      <c r="AG313" s="504"/>
      <c r="AH313" s="504"/>
      <c r="AI313" s="504"/>
      <c r="AJ313" s="504"/>
      <c r="AK313" s="504"/>
      <c r="AL313" s="504"/>
      <c r="AM313" s="504"/>
      <c r="AN313" s="504"/>
    </row>
    <row r="314" spans="1:40" ht="15.75" customHeight="1" thickBot="1">
      <c r="A314" s="517" t="s">
        <v>103</v>
      </c>
      <c r="B314" s="504" t="s">
        <v>103</v>
      </c>
      <c r="C314" s="614"/>
      <c r="D314" s="698"/>
      <c r="E314" s="699"/>
      <c r="F314" s="617"/>
      <c r="G314" s="700"/>
      <c r="H314" s="699"/>
      <c r="I314" s="617"/>
      <c r="J314" s="700"/>
      <c r="K314" s="699"/>
      <c r="L314" s="701">
        <f>L313/F313</f>
        <v>1.0328177638960623</v>
      </c>
      <c r="M314" s="702"/>
      <c r="N314" s="563">
        <f>N313/F313</f>
        <v>3.2817763896062231E-2</v>
      </c>
      <c r="O314" s="700"/>
      <c r="P314" s="699"/>
      <c r="Q314" s="617"/>
      <c r="R314" s="702"/>
      <c r="S314" s="563">
        <f>IF(Q313=0,0,S313/Q313)</f>
        <v>8.8328597295040584E-2</v>
      </c>
      <c r="T314" s="504"/>
      <c r="U314" s="504"/>
      <c r="V314" s="504"/>
      <c r="W314" s="504"/>
      <c r="X314" s="504"/>
      <c r="Y314" s="504"/>
      <c r="Z314" s="504"/>
      <c r="AA314" s="504"/>
      <c r="AB314" s="504"/>
      <c r="AC314" s="504"/>
      <c r="AD314" s="504"/>
      <c r="AE314" s="504"/>
      <c r="AF314" s="504"/>
      <c r="AG314" s="504"/>
      <c r="AH314" s="504"/>
      <c r="AI314" s="504"/>
      <c r="AJ314" s="504"/>
      <c r="AK314" s="504"/>
      <c r="AL314" s="504"/>
      <c r="AM314" s="504"/>
      <c r="AN314" s="504"/>
    </row>
    <row r="315" spans="1:40" ht="15.75" customHeight="1" thickTop="1">
      <c r="A315" s="517" t="s">
        <v>103</v>
      </c>
      <c r="B315" s="504" t="s">
        <v>103</v>
      </c>
      <c r="C315" s="544"/>
      <c r="D315" s="599"/>
      <c r="E315" s="657"/>
      <c r="F315" s="659"/>
      <c r="G315" s="658"/>
      <c r="H315" s="657"/>
      <c r="I315" s="659"/>
      <c r="J315" s="658"/>
      <c r="K315" s="657"/>
      <c r="L315" s="659"/>
      <c r="M315" s="525"/>
      <c r="N315" s="543"/>
      <c r="O315" s="658"/>
      <c r="P315" s="657"/>
      <c r="Q315" s="659"/>
      <c r="R315" s="525"/>
      <c r="S315" s="543"/>
      <c r="T315" s="504"/>
      <c r="U315" s="504"/>
      <c r="V315" s="504"/>
      <c r="W315" s="504"/>
      <c r="X315" s="504"/>
      <c r="Y315" s="504"/>
      <c r="Z315" s="504"/>
      <c r="AA315" s="504"/>
      <c r="AB315" s="504"/>
      <c r="AC315" s="504"/>
      <c r="AD315" s="504"/>
      <c r="AE315" s="504"/>
      <c r="AF315" s="504"/>
      <c r="AG315" s="504"/>
      <c r="AH315" s="504"/>
      <c r="AI315" s="504"/>
      <c r="AJ315" s="504"/>
      <c r="AK315" s="504"/>
      <c r="AL315" s="504"/>
      <c r="AM315" s="504"/>
      <c r="AN315" s="504"/>
    </row>
    <row r="316" spans="1:40" ht="15.75" customHeight="1">
      <c r="A316" s="517" t="s">
        <v>413</v>
      </c>
      <c r="B316" s="504" t="s">
        <v>103</v>
      </c>
      <c r="C316" s="566" t="s">
        <v>30</v>
      </c>
      <c r="D316" s="504"/>
      <c r="E316" s="504"/>
      <c r="F316" s="551"/>
      <c r="G316" s="525"/>
      <c r="H316" s="504"/>
      <c r="I316" s="551"/>
      <c r="J316" s="525"/>
      <c r="K316" s="504"/>
      <c r="L316" s="535"/>
      <c r="M316" s="525"/>
      <c r="N316" s="535"/>
      <c r="O316" s="525"/>
      <c r="P316" s="504"/>
      <c r="Q316" s="535"/>
      <c r="R316" s="525"/>
      <c r="S316" s="535"/>
      <c r="T316" s="504"/>
      <c r="U316" s="504"/>
      <c r="V316" s="504"/>
      <c r="W316" s="504"/>
      <c r="X316" s="504"/>
      <c r="Y316" s="504"/>
      <c r="Z316" s="504"/>
      <c r="AA316" s="504"/>
      <c r="AB316" s="504"/>
      <c r="AC316" s="504"/>
      <c r="AD316" s="504"/>
      <c r="AE316" s="504"/>
      <c r="AF316" s="504"/>
      <c r="AG316" s="504"/>
      <c r="AH316" s="504"/>
      <c r="AI316" s="504"/>
      <c r="AJ316" s="504"/>
      <c r="AK316" s="504"/>
      <c r="AL316" s="504"/>
      <c r="AM316" s="504"/>
      <c r="AN316" s="504"/>
    </row>
    <row r="317" spans="1:40" ht="15.75" customHeight="1">
      <c r="A317" s="517" t="s">
        <v>414</v>
      </c>
      <c r="B317" s="504" t="s">
        <v>103</v>
      </c>
      <c r="C317" s="592" t="s">
        <v>41</v>
      </c>
      <c r="D317" s="504"/>
      <c r="E317" s="504"/>
      <c r="F317" s="526">
        <f t="array" ref="F317">+INDEX('[5]Budget original'!$A$2:$AO$500,MATCH($A317,'[5]Budget original'!$A$2:$A$500,0),MATCH(F$2,'[5]Budget original'!$A$2:$AO$2,0))</f>
        <v>2606.4352490421456</v>
      </c>
      <c r="G317" s="525"/>
      <c r="H317" s="504"/>
      <c r="I317" s="526"/>
      <c r="J317" s="525"/>
      <c r="K317" s="504"/>
      <c r="L317" s="528">
        <f>SUMIFS([5]BV_Data_An_Cour!$O:$O,[5]BV_Data_An_Cour!$U:$U,$B317,[5]BV_Data_An_Cour!$V:$V,$C317,[5]BV_Data_An_Cour!$W:$W,$L$2)</f>
        <v>7410.88</v>
      </c>
      <c r="M317" s="525"/>
      <c r="N317" s="551">
        <f t="shared" ref="N317:N347" si="72">L317-F317</f>
        <v>4804.4447509578549</v>
      </c>
      <c r="O317" s="525"/>
      <c r="P317" s="504"/>
      <c r="Q317" s="528">
        <f>SUMIFS([5]BV_Data_An_Prec!$O:$O,[5]BV_Data_An_Prec!$U:$U,$B317,[5]BV_Data_An_Prec!$V:$V,$C317,[5]BV_Data_An_Prec!$W:$W,$L$2)</f>
        <v>15959.67</v>
      </c>
      <c r="R317" s="525"/>
      <c r="S317" s="528">
        <f t="shared" ref="S317:S347" si="73">L317-Q317</f>
        <v>-8548.7900000000009</v>
      </c>
      <c r="T317" s="504"/>
      <c r="U317" s="504"/>
      <c r="V317" s="504"/>
      <c r="W317" s="504"/>
      <c r="X317" s="504"/>
      <c r="Y317" s="504"/>
      <c r="Z317" s="504"/>
      <c r="AA317" s="504"/>
      <c r="AB317" s="504"/>
      <c r="AC317" s="504"/>
      <c r="AD317" s="504"/>
      <c r="AE317" s="504"/>
      <c r="AF317" s="504"/>
      <c r="AG317" s="504"/>
      <c r="AH317" s="504"/>
      <c r="AI317" s="504"/>
      <c r="AJ317" s="504"/>
      <c r="AK317" s="504"/>
      <c r="AL317" s="504"/>
      <c r="AM317" s="504"/>
      <c r="AN317" s="504"/>
    </row>
    <row r="318" spans="1:40" ht="15.75" customHeight="1">
      <c r="A318" s="517" t="s">
        <v>415</v>
      </c>
      <c r="B318" s="504" t="s">
        <v>103</v>
      </c>
      <c r="C318" s="593" t="s">
        <v>42</v>
      </c>
      <c r="D318" s="577"/>
      <c r="E318" s="504"/>
      <c r="F318" s="520">
        <f t="array" ref="F318">+INDEX('[5]Budget original'!$A$2:$AO$500,MATCH($A318,'[5]Budget original'!$A$2:$A$500,0),MATCH(F$2,'[5]Budget original'!$A$2:$AO$2,0))</f>
        <v>28935.964137931038</v>
      </c>
      <c r="G318" s="578"/>
      <c r="H318" s="504"/>
      <c r="I318" s="520"/>
      <c r="J318" s="525"/>
      <c r="K318" s="504"/>
      <c r="L318" s="528">
        <f>SUMIFS([5]BV_Data_An_Cour!$O:$O,[5]BV_Data_An_Cour!$U:$U,$B318,[5]BV_Data_An_Cour!$V:$V,$C318,[5]BV_Data_An_Cour!$W:$W,$L$2)</f>
        <v>21961.89</v>
      </c>
      <c r="M318" s="525"/>
      <c r="N318" s="551">
        <f t="shared" si="72"/>
        <v>-6974.0741379310384</v>
      </c>
      <c r="O318" s="525"/>
      <c r="P318" s="504"/>
      <c r="Q318" s="528">
        <f>SUMIFS([5]BV_Data_An_Prec!$O:$O,[5]BV_Data_An_Prec!$U:$U,$B318,[5]BV_Data_An_Prec!$V:$V,$C318,[5]BV_Data_An_Prec!$W:$W,$L$2)</f>
        <v>3170.08</v>
      </c>
      <c r="R318" s="525"/>
      <c r="S318" s="551">
        <f t="shared" si="73"/>
        <v>18791.809999999998</v>
      </c>
      <c r="T318" s="504"/>
      <c r="U318" s="504"/>
      <c r="V318" s="504"/>
      <c r="W318" s="504"/>
      <c r="X318" s="504"/>
      <c r="Y318" s="504"/>
      <c r="Z318" s="504"/>
      <c r="AA318" s="504"/>
      <c r="AB318" s="504"/>
      <c r="AC318" s="504"/>
      <c r="AD318" s="504"/>
      <c r="AE318" s="504"/>
      <c r="AF318" s="504"/>
      <c r="AG318" s="504"/>
      <c r="AH318" s="504"/>
      <c r="AI318" s="504"/>
      <c r="AJ318" s="504"/>
      <c r="AK318" s="504"/>
      <c r="AL318" s="504"/>
      <c r="AM318" s="504"/>
      <c r="AN318" s="504"/>
    </row>
    <row r="319" spans="1:40" ht="15.75" customHeight="1">
      <c r="A319" s="517" t="s">
        <v>416</v>
      </c>
      <c r="B319" s="504" t="s">
        <v>103</v>
      </c>
      <c r="C319" s="592" t="s">
        <v>43</v>
      </c>
      <c r="D319" s="594"/>
      <c r="E319" s="595"/>
      <c r="F319" s="526">
        <f t="array" ref="F319">+INDEX('[5]Budget original'!$A$2:$AO$500,MATCH($A319,'[5]Budget original'!$A$2:$A$500,0),MATCH(F$2,'[5]Budget original'!$A$2:$AO$2,0))</f>
        <v>2296.0919540229879</v>
      </c>
      <c r="G319" s="596"/>
      <c r="H319" s="595"/>
      <c r="I319" s="526"/>
      <c r="J319" s="512"/>
      <c r="K319" s="595"/>
      <c r="L319" s="547">
        <f>SUMIFS([5]BV_Data_An_Cour!$O:$O,[5]BV_Data_An_Cour!$U:$U,$B319,[5]BV_Data_An_Cour!$V:$V,$C319,[5]BV_Data_An_Cour!$W:$W,$L$2)</f>
        <v>248.16</v>
      </c>
      <c r="M319" s="512"/>
      <c r="N319" s="597">
        <f t="shared" si="72"/>
        <v>-2047.9319540229878</v>
      </c>
      <c r="O319" s="512"/>
      <c r="P319" s="595"/>
      <c r="Q319" s="547">
        <f>SUMIFS([5]BV_Data_An_Prec!$O:$O,[5]BV_Data_An_Prec!$U:$U,$B319,[5]BV_Data_An_Prec!$V:$V,$C319,[5]BV_Data_An_Prec!$W:$W,$L$2)</f>
        <v>24289.83</v>
      </c>
      <c r="R319" s="512"/>
      <c r="S319" s="597">
        <f t="shared" si="73"/>
        <v>-24041.670000000002</v>
      </c>
      <c r="T319" s="504"/>
      <c r="U319" s="703"/>
      <c r="V319" s="703"/>
      <c r="W319" s="504"/>
      <c r="X319" s="504"/>
      <c r="Y319" s="504"/>
      <c r="Z319" s="504"/>
      <c r="AA319" s="504"/>
      <c r="AB319" s="504"/>
      <c r="AC319" s="504"/>
      <c r="AD319" s="504"/>
      <c r="AE319" s="504"/>
      <c r="AF319" s="504"/>
      <c r="AG319" s="504"/>
      <c r="AH319" s="504"/>
      <c r="AI319" s="504"/>
      <c r="AJ319" s="504"/>
      <c r="AK319" s="504"/>
      <c r="AL319" s="504"/>
      <c r="AM319" s="504"/>
      <c r="AN319" s="504"/>
    </row>
    <row r="320" spans="1:40" ht="15.75" customHeight="1">
      <c r="A320" s="517" t="s">
        <v>417</v>
      </c>
      <c r="B320" s="504" t="s">
        <v>103</v>
      </c>
      <c r="C320" s="592" t="s">
        <v>44</v>
      </c>
      <c r="D320" s="577"/>
      <c r="E320" s="504"/>
      <c r="F320" s="526">
        <f t="array" ref="F320">+INDEX('[5]Budget original'!$A$2:$AO$500,MATCH($A320,'[5]Budget original'!$A$2:$A$500,0),MATCH(F$2,'[5]Budget original'!$A$2:$AO$2,0))</f>
        <v>0</v>
      </c>
      <c r="G320" s="578"/>
      <c r="H320" s="504"/>
      <c r="I320" s="526"/>
      <c r="J320" s="525"/>
      <c r="K320" s="504"/>
      <c r="L320" s="528">
        <f>SUMIFS([5]BV_Data_An_Cour!$O:$O,[5]BV_Data_An_Cour!$U:$U,$B320,[5]BV_Data_An_Cour!$V:$V,$C320,[5]BV_Data_An_Cour!$W:$W,$L$2)</f>
        <v>0</v>
      </c>
      <c r="M320" s="525"/>
      <c r="N320" s="551">
        <f t="shared" si="72"/>
        <v>0</v>
      </c>
      <c r="O320" s="525"/>
      <c r="P320" s="504"/>
      <c r="Q320" s="528">
        <f>SUMIFS([5]BV_Data_An_Prec!$O:$O,[5]BV_Data_An_Prec!$U:$U,$B320,[5]BV_Data_An_Prec!$V:$V,$C320,[5]BV_Data_An_Prec!$W:$W,$L$2)</f>
        <v>0</v>
      </c>
      <c r="R320" s="525"/>
      <c r="S320" s="551">
        <f t="shared" si="73"/>
        <v>0</v>
      </c>
      <c r="T320" s="504"/>
      <c r="U320" s="504"/>
      <c r="V320" s="504"/>
      <c r="W320" s="504"/>
      <c r="X320" s="504"/>
      <c r="Y320" s="504"/>
      <c r="Z320" s="504"/>
      <c r="AA320" s="504"/>
      <c r="AB320" s="504"/>
      <c r="AC320" s="504"/>
      <c r="AD320" s="504"/>
      <c r="AE320" s="504"/>
      <c r="AF320" s="504"/>
      <c r="AG320" s="504"/>
      <c r="AH320" s="504"/>
      <c r="AI320" s="504"/>
      <c r="AJ320" s="504"/>
      <c r="AK320" s="504"/>
      <c r="AL320" s="504"/>
      <c r="AM320" s="504"/>
      <c r="AN320" s="504"/>
    </row>
    <row r="321" spans="1:40" ht="15.75" hidden="1" customHeight="1">
      <c r="A321" s="517" t="s">
        <v>404</v>
      </c>
      <c r="B321" s="504" t="s">
        <v>103</v>
      </c>
      <c r="C321" s="525" t="s">
        <v>20</v>
      </c>
      <c r="D321" s="577"/>
      <c r="E321" s="504"/>
      <c r="F321" s="526">
        <f t="array" ref="F321">+INDEX('[5]Budget original'!$A$2:$AO$500,MATCH($A321,'[5]Budget original'!$A$2:$A$500,0),MATCH(F$2,'[5]Budget original'!$A$2:$AO$2,0))</f>
        <v>0</v>
      </c>
      <c r="G321" s="578"/>
      <c r="H321" s="504"/>
      <c r="I321" s="526"/>
      <c r="J321" s="525"/>
      <c r="K321" s="504"/>
      <c r="L321" s="528">
        <f>SUMIFS([5]BV_Data_An_Cour!$O:$O,[5]BV_Data_An_Cour!$U:$U,$B321,[5]BV_Data_An_Cour!$V:$V,$C321,[5]BV_Data_An_Cour!$W:$W,$L$2)</f>
        <v>0</v>
      </c>
      <c r="M321" s="525"/>
      <c r="N321" s="551">
        <f t="shared" si="72"/>
        <v>0</v>
      </c>
      <c r="O321" s="525"/>
      <c r="P321" s="504"/>
      <c r="Q321" s="528">
        <f>SUMIFS([5]BV_Data_An_Prec!$O:$O,[5]BV_Data_An_Prec!$U:$U,$B321,[5]BV_Data_An_Prec!$V:$V,$C321,[5]BV_Data_An_Prec!$W:$W,$L$2)</f>
        <v>0</v>
      </c>
      <c r="R321" s="525"/>
      <c r="S321" s="551">
        <f t="shared" si="73"/>
        <v>0</v>
      </c>
      <c r="T321" s="504"/>
      <c r="U321" s="504"/>
      <c r="V321" s="504"/>
      <c r="W321" s="504"/>
      <c r="X321" s="504"/>
      <c r="Y321" s="504"/>
      <c r="Z321" s="504"/>
      <c r="AA321" s="504"/>
      <c r="AB321" s="504"/>
      <c r="AC321" s="504"/>
      <c r="AD321" s="504"/>
      <c r="AE321" s="504"/>
      <c r="AF321" s="504"/>
      <c r="AG321" s="504"/>
      <c r="AH321" s="504"/>
      <c r="AI321" s="504"/>
      <c r="AJ321" s="504"/>
      <c r="AK321" s="504"/>
      <c r="AL321" s="504"/>
      <c r="AM321" s="504"/>
      <c r="AN321" s="504"/>
    </row>
    <row r="322" spans="1:40" ht="15.75" hidden="1" customHeight="1">
      <c r="A322" s="517" t="s">
        <v>404</v>
      </c>
      <c r="B322" s="504" t="s">
        <v>103</v>
      </c>
      <c r="C322" s="525" t="s">
        <v>20</v>
      </c>
      <c r="D322" s="577"/>
      <c r="E322" s="504"/>
      <c r="F322" s="526">
        <f t="array" ref="F322">+INDEX('[5]Budget original'!$A$2:$AO$500,MATCH($A322,'[5]Budget original'!$A$2:$A$500,0),MATCH(F$2,'[5]Budget original'!$A$2:$AO$2,0))</f>
        <v>0</v>
      </c>
      <c r="G322" s="578"/>
      <c r="H322" s="504"/>
      <c r="I322" s="526"/>
      <c r="J322" s="525"/>
      <c r="K322" s="504"/>
      <c r="L322" s="528">
        <f>SUMIFS([5]BV_Data_An_Cour!$O:$O,[5]BV_Data_An_Cour!$U:$U,$B322,[5]BV_Data_An_Cour!$V:$V,$C322,[5]BV_Data_An_Cour!$W:$W,$L$2)</f>
        <v>0</v>
      </c>
      <c r="M322" s="525"/>
      <c r="N322" s="551">
        <f t="shared" si="72"/>
        <v>0</v>
      </c>
      <c r="O322" s="525"/>
      <c r="P322" s="504"/>
      <c r="Q322" s="528">
        <f>SUMIFS([5]BV_Data_An_Prec!$O:$O,[5]BV_Data_An_Prec!$U:$U,$B322,[5]BV_Data_An_Prec!$V:$V,$C322,[5]BV_Data_An_Prec!$W:$W,$L$2)</f>
        <v>0</v>
      </c>
      <c r="R322" s="525"/>
      <c r="S322" s="551">
        <f t="shared" si="73"/>
        <v>0</v>
      </c>
      <c r="T322" s="504"/>
      <c r="U322" s="504"/>
      <c r="V322" s="504"/>
      <c r="W322" s="504"/>
      <c r="X322" s="504"/>
      <c r="Y322" s="504"/>
      <c r="Z322" s="504"/>
      <c r="AA322" s="504"/>
      <c r="AB322" s="504"/>
      <c r="AC322" s="504"/>
      <c r="AD322" s="504"/>
      <c r="AE322" s="504"/>
      <c r="AF322" s="504"/>
      <c r="AG322" s="504"/>
      <c r="AH322" s="504"/>
      <c r="AI322" s="504"/>
      <c r="AJ322" s="504"/>
      <c r="AK322" s="504"/>
      <c r="AL322" s="504"/>
      <c r="AM322" s="504"/>
      <c r="AN322" s="504"/>
    </row>
    <row r="323" spans="1:40" ht="15.75" hidden="1" customHeight="1">
      <c r="A323" s="517" t="s">
        <v>404</v>
      </c>
      <c r="B323" s="504" t="s">
        <v>103</v>
      </c>
      <c r="C323" s="525" t="s">
        <v>20</v>
      </c>
      <c r="D323" s="577"/>
      <c r="E323" s="504"/>
      <c r="F323" s="526">
        <f t="array" ref="F323">+INDEX('[5]Budget original'!$A$2:$AO$500,MATCH($A323,'[5]Budget original'!$A$2:$A$500,0),MATCH(F$2,'[5]Budget original'!$A$2:$AO$2,0))</f>
        <v>0</v>
      </c>
      <c r="G323" s="578"/>
      <c r="H323" s="504"/>
      <c r="I323" s="526"/>
      <c r="J323" s="525"/>
      <c r="K323" s="504"/>
      <c r="L323" s="528">
        <f>SUMIFS([5]BV_Data_An_Cour!$O:$O,[5]BV_Data_An_Cour!$U:$U,$B323,[5]BV_Data_An_Cour!$V:$V,$C323,[5]BV_Data_An_Cour!$W:$W,$L$2)</f>
        <v>0</v>
      </c>
      <c r="M323" s="525"/>
      <c r="N323" s="551">
        <f t="shared" si="72"/>
        <v>0</v>
      </c>
      <c r="O323" s="525"/>
      <c r="P323" s="504"/>
      <c r="Q323" s="528">
        <f>SUMIFS([5]BV_Data_An_Prec!$O:$O,[5]BV_Data_An_Prec!$U:$U,$B323,[5]BV_Data_An_Prec!$V:$V,$C323,[5]BV_Data_An_Prec!$W:$W,$L$2)</f>
        <v>0</v>
      </c>
      <c r="R323" s="525"/>
      <c r="S323" s="551">
        <f t="shared" si="73"/>
        <v>0</v>
      </c>
      <c r="T323" s="504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  <c r="AE323" s="504"/>
      <c r="AF323" s="504"/>
      <c r="AG323" s="504"/>
      <c r="AH323" s="504"/>
      <c r="AI323" s="504"/>
      <c r="AJ323" s="504"/>
      <c r="AK323" s="504"/>
      <c r="AL323" s="504"/>
      <c r="AM323" s="504"/>
      <c r="AN323" s="504"/>
    </row>
    <row r="324" spans="1:40" ht="15.75" customHeight="1">
      <c r="A324" s="517" t="s">
        <v>418</v>
      </c>
      <c r="B324" s="504" t="s">
        <v>103</v>
      </c>
      <c r="C324" s="593" t="s">
        <v>45</v>
      </c>
      <c r="D324" s="577"/>
      <c r="E324" s="504"/>
      <c r="F324" s="520">
        <f t="array" ref="F324">+INDEX('[5]Budget original'!$A$2:$AO$500,MATCH($A324,'[5]Budget original'!$A$2:$A$500,0),MATCH(F$2,'[5]Budget original'!$A$2:$AO$2,0))</f>
        <v>4173.8952256538423</v>
      </c>
      <c r="G324" s="578"/>
      <c r="H324" s="504"/>
      <c r="I324" s="520"/>
      <c r="J324" s="525"/>
      <c r="K324" s="504"/>
      <c r="L324" s="528">
        <f>SUMIFS([5]BV_Data_An_Cour!$O:$O,[5]BV_Data_An_Cour!$U:$U,$B324,[5]BV_Data_An_Cour!$V:$V,$C324,[5]BV_Data_An_Cour!$W:$W,$L$2)</f>
        <v>2525.11</v>
      </c>
      <c r="M324" s="525"/>
      <c r="N324" s="551">
        <f t="shared" si="72"/>
        <v>-1648.7852256538422</v>
      </c>
      <c r="O324" s="525"/>
      <c r="P324" s="504"/>
      <c r="Q324" s="528">
        <f>SUMIFS([5]BV_Data_An_Prec!$O:$O,[5]BV_Data_An_Prec!$U:$U,$B324,[5]BV_Data_An_Prec!$V:$V,$C324,[5]BV_Data_An_Prec!$W:$W,$L$2)</f>
        <v>4682.1899999999996</v>
      </c>
      <c r="R324" s="525"/>
      <c r="S324" s="551">
        <f t="shared" si="73"/>
        <v>-2157.0799999999995</v>
      </c>
      <c r="T324" s="504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  <c r="AE324" s="504"/>
      <c r="AF324" s="504"/>
      <c r="AG324" s="504"/>
      <c r="AH324" s="504"/>
      <c r="AI324" s="504"/>
      <c r="AJ324" s="504"/>
      <c r="AK324" s="504"/>
      <c r="AL324" s="504"/>
      <c r="AM324" s="504"/>
      <c r="AN324" s="504"/>
    </row>
    <row r="325" spans="1:40" ht="15.75" customHeight="1">
      <c r="A325" s="517" t="s">
        <v>419</v>
      </c>
      <c r="B325" s="504" t="s">
        <v>103</v>
      </c>
      <c r="C325" s="592" t="s">
        <v>46</v>
      </c>
      <c r="D325" s="594"/>
      <c r="E325" s="595"/>
      <c r="F325" s="526">
        <f t="array" ref="F325">+INDEX('[5]Budget original'!$A$2:$AO$500,MATCH($A325,'[5]Budget original'!$A$2:$A$500,0),MATCH(F$2,'[5]Budget original'!$A$2:$AO$2,0))</f>
        <v>4149.2628047292937</v>
      </c>
      <c r="G325" s="596"/>
      <c r="H325" s="595"/>
      <c r="I325" s="526"/>
      <c r="J325" s="512"/>
      <c r="K325" s="595"/>
      <c r="L325" s="547">
        <f>SUMIFS([5]BV_Data_An_Cour!$O:$O,[5]BV_Data_An_Cour!$U:$U,$B325,[5]BV_Data_An_Cour!$V:$V,$C325,[5]BV_Data_An_Cour!$W:$W,$L$2)</f>
        <v>7136</v>
      </c>
      <c r="M325" s="512"/>
      <c r="N325" s="597">
        <f t="shared" si="72"/>
        <v>2986.7371952707063</v>
      </c>
      <c r="O325" s="512"/>
      <c r="P325" s="595"/>
      <c r="Q325" s="547">
        <f>SUMIFS([5]BV_Data_An_Prec!$O:$O,[5]BV_Data_An_Prec!$U:$U,$B325,[5]BV_Data_An_Prec!$V:$V,$C325,[5]BV_Data_An_Prec!$W:$W,$L$2)</f>
        <v>6079.8899999999994</v>
      </c>
      <c r="R325" s="512"/>
      <c r="S325" s="597">
        <f t="shared" si="73"/>
        <v>1056.1100000000006</v>
      </c>
      <c r="T325" s="504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  <c r="AE325" s="504"/>
      <c r="AF325" s="504"/>
      <c r="AG325" s="504"/>
      <c r="AH325" s="504"/>
      <c r="AI325" s="504"/>
      <c r="AJ325" s="504"/>
      <c r="AK325" s="504"/>
      <c r="AL325" s="504"/>
      <c r="AM325" s="504"/>
      <c r="AN325" s="504"/>
    </row>
    <row r="326" spans="1:40" ht="15.75" customHeight="1">
      <c r="A326" s="517" t="s">
        <v>420</v>
      </c>
      <c r="B326" s="504" t="s">
        <v>103</v>
      </c>
      <c r="C326" s="592" t="s">
        <v>47</v>
      </c>
      <c r="D326" s="577"/>
      <c r="E326" s="504"/>
      <c r="F326" s="526">
        <f t="array" ref="F326">+INDEX('[5]Budget original'!$A$2:$AO$500,MATCH($A326,'[5]Budget original'!$A$2:$A$500,0),MATCH(F$2,'[5]Budget original'!$A$2:$AO$2,0))</f>
        <v>2905.5546138901727</v>
      </c>
      <c r="G326" s="578"/>
      <c r="H326" s="504"/>
      <c r="I326" s="526"/>
      <c r="J326" s="525"/>
      <c r="K326" s="504"/>
      <c r="L326" s="528">
        <f>SUMIFS([5]BV_Data_An_Cour!$O:$O,[5]BV_Data_An_Cour!$U:$U,$B326,[5]BV_Data_An_Cour!$V:$V,$C326,[5]BV_Data_An_Cour!$W:$W,$L$2)</f>
        <v>1124.96</v>
      </c>
      <c r="M326" s="525"/>
      <c r="N326" s="551">
        <f t="shared" si="72"/>
        <v>-1780.5946138901727</v>
      </c>
      <c r="O326" s="525"/>
      <c r="P326" s="504"/>
      <c r="Q326" s="528">
        <f>SUMIFS([5]BV_Data_An_Prec!$O:$O,[5]BV_Data_An_Prec!$U:$U,$B326,[5]BV_Data_An_Prec!$V:$V,$C326,[5]BV_Data_An_Prec!$W:$W,$L$2)</f>
        <v>5738.85</v>
      </c>
      <c r="R326" s="525"/>
      <c r="S326" s="551">
        <f t="shared" si="73"/>
        <v>-4613.8900000000003</v>
      </c>
      <c r="T326" s="504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  <c r="AE326" s="504"/>
      <c r="AF326" s="504"/>
      <c r="AG326" s="504"/>
      <c r="AH326" s="504"/>
      <c r="AI326" s="504"/>
      <c r="AJ326" s="504"/>
      <c r="AK326" s="504"/>
      <c r="AL326" s="504"/>
      <c r="AM326" s="504"/>
      <c r="AN326" s="504"/>
    </row>
    <row r="327" spans="1:40" ht="15.75" customHeight="1">
      <c r="A327" s="517" t="s">
        <v>421</v>
      </c>
      <c r="B327" s="504" t="s">
        <v>103</v>
      </c>
      <c r="C327" s="592" t="s">
        <v>48</v>
      </c>
      <c r="D327" s="577"/>
      <c r="E327" s="504"/>
      <c r="F327" s="526">
        <f t="array" ref="F327">+INDEX('[5]Budget original'!$A$2:$AO$500,MATCH($A327,'[5]Budget original'!$A$2:$A$500,0),MATCH(F$2,'[5]Budget original'!$A$2:$AO$2,0))</f>
        <v>1388.0671873915119</v>
      </c>
      <c r="G327" s="578"/>
      <c r="H327" s="504"/>
      <c r="I327" s="526"/>
      <c r="J327" s="525"/>
      <c r="K327" s="504"/>
      <c r="L327" s="528">
        <f>SUMIFS([5]BV_Data_An_Cour!$O:$O,[5]BV_Data_An_Cour!$U:$U,$B327,[5]BV_Data_An_Cour!$V:$V,$C327,[5]BV_Data_An_Cour!$W:$W,$L$2)</f>
        <v>916.61</v>
      </c>
      <c r="M327" s="525"/>
      <c r="N327" s="551">
        <f t="shared" si="72"/>
        <v>-471.45718739151187</v>
      </c>
      <c r="O327" s="525"/>
      <c r="P327" s="504"/>
      <c r="Q327" s="528">
        <f>SUMIFS([5]BV_Data_An_Prec!$O:$O,[5]BV_Data_An_Prec!$U:$U,$B327,[5]BV_Data_An_Prec!$V:$V,$C327,[5]BV_Data_An_Prec!$W:$W,$L$2)</f>
        <v>1740.92</v>
      </c>
      <c r="R327" s="525"/>
      <c r="S327" s="551">
        <f t="shared" si="73"/>
        <v>-824.31000000000006</v>
      </c>
      <c r="T327" s="504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  <c r="AE327" s="504"/>
      <c r="AF327" s="504"/>
      <c r="AG327" s="504"/>
      <c r="AH327" s="504"/>
      <c r="AI327" s="504"/>
      <c r="AJ327" s="504"/>
      <c r="AK327" s="504"/>
      <c r="AL327" s="504"/>
      <c r="AM327" s="504"/>
      <c r="AN327" s="504"/>
    </row>
    <row r="328" spans="1:40" ht="15.75" hidden="1" customHeight="1">
      <c r="A328" s="517" t="s">
        <v>404</v>
      </c>
      <c r="B328" s="504" t="s">
        <v>103</v>
      </c>
      <c r="C328" s="525" t="s">
        <v>20</v>
      </c>
      <c r="D328" s="579"/>
      <c r="E328" s="598"/>
      <c r="F328" s="526">
        <f t="array" ref="F328">+INDEX('[5]Budget original'!$A$2:$AO$500,MATCH($A328,'[5]Budget original'!$A$2:$A$500,0),MATCH(F$2,'[5]Budget original'!$A$2:$AO$2,0))</f>
        <v>0</v>
      </c>
      <c r="G328" s="580"/>
      <c r="H328" s="598"/>
      <c r="I328" s="526"/>
      <c r="J328" s="518"/>
      <c r="K328" s="598"/>
      <c r="L328" s="528">
        <f>SUMIFS([5]BV_Data_An_Cour!$O:$O,[5]BV_Data_An_Cour!$U:$U,$B328,[5]BV_Data_An_Cour!$V:$V,$C328,[5]BV_Data_An_Cour!$W:$W,$L$2)</f>
        <v>0</v>
      </c>
      <c r="M328" s="518"/>
      <c r="N328" s="574">
        <f t="shared" si="72"/>
        <v>0</v>
      </c>
      <c r="O328" s="518"/>
      <c r="P328" s="598"/>
      <c r="Q328" s="528">
        <f>SUMIFS([5]BV_Data_An_Prec!$O:$O,[5]BV_Data_An_Prec!$U:$U,$B328,[5]BV_Data_An_Prec!$V:$V,$C328,[5]BV_Data_An_Prec!$W:$W,$L$2)</f>
        <v>0</v>
      </c>
      <c r="R328" s="518"/>
      <c r="S328" s="574">
        <f t="shared" si="73"/>
        <v>0</v>
      </c>
      <c r="T328" s="504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  <c r="AE328" s="504"/>
      <c r="AF328" s="504"/>
      <c r="AG328" s="504"/>
      <c r="AH328" s="504"/>
      <c r="AI328" s="504"/>
      <c r="AJ328" s="504"/>
      <c r="AK328" s="504"/>
      <c r="AL328" s="504"/>
      <c r="AM328" s="504"/>
      <c r="AN328" s="504"/>
    </row>
    <row r="329" spans="1:40" ht="15.75" customHeight="1">
      <c r="A329" s="517" t="s">
        <v>422</v>
      </c>
      <c r="B329" s="504" t="s">
        <v>103</v>
      </c>
      <c r="C329" s="584" t="s">
        <v>49</v>
      </c>
      <c r="D329" s="585" t="s">
        <v>39</v>
      </c>
      <c r="E329" s="586">
        <f>F329/F$313</f>
        <v>0.40653967998767782</v>
      </c>
      <c r="F329" s="587">
        <f>+SUM(F317:F328)</f>
        <v>46455.271172660992</v>
      </c>
      <c r="G329" s="588"/>
      <c r="H329" s="586"/>
      <c r="I329" s="587"/>
      <c r="J329" s="588" t="s">
        <v>39</v>
      </c>
      <c r="K329" s="586">
        <f>L329/L$313</f>
        <v>0.35014062018619896</v>
      </c>
      <c r="L329" s="587">
        <f>+SUM(L317:L328)</f>
        <v>41323.61</v>
      </c>
      <c r="M329" s="637"/>
      <c r="N329" s="600">
        <f t="shared" si="72"/>
        <v>-5131.6611726609917</v>
      </c>
      <c r="O329" s="588" t="s">
        <v>39</v>
      </c>
      <c r="P329" s="586">
        <f>Q329/Q$313</f>
        <v>0.56861442869453649</v>
      </c>
      <c r="Q329" s="587">
        <f>+SUM(Q317:Q328)</f>
        <v>61661.43</v>
      </c>
      <c r="R329" s="637"/>
      <c r="S329" s="600">
        <f t="shared" si="73"/>
        <v>-20337.82</v>
      </c>
      <c r="T329" s="504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  <c r="AE329" s="504"/>
      <c r="AF329" s="504"/>
      <c r="AG329" s="504"/>
      <c r="AH329" s="504"/>
      <c r="AI329" s="504"/>
      <c r="AJ329" s="504"/>
      <c r="AK329" s="504"/>
      <c r="AL329" s="504"/>
      <c r="AM329" s="504"/>
      <c r="AN329" s="504"/>
    </row>
    <row r="330" spans="1:40" ht="15.75" customHeight="1">
      <c r="A330" s="517" t="s">
        <v>423</v>
      </c>
      <c r="B330" s="504" t="s">
        <v>103</v>
      </c>
      <c r="C330" s="691" t="s">
        <v>50</v>
      </c>
      <c r="D330" s="577"/>
      <c r="E330" s="504"/>
      <c r="F330" s="526">
        <f t="array" ref="F330">+INDEX('[5]Budget original'!$A$2:$AO$500,MATCH($A330,'[5]Budget original'!$A$2:$A$500,0),MATCH(F$2,'[5]Budget original'!$A$2:$AO$2,0))</f>
        <v>4539.0119395833326</v>
      </c>
      <c r="G330" s="578"/>
      <c r="H330" s="504"/>
      <c r="I330" s="526"/>
      <c r="J330" s="525"/>
      <c r="K330" s="504"/>
      <c r="L330" s="528">
        <f>SUMIFS([5]BV_Data_An_Cour!$O:$O,[5]BV_Data_An_Cour!$U:$U,$B330,[5]BV_Data_An_Cour!$V:$V,$C330,[5]BV_Data_An_Cour!$W:$W,$L$2)</f>
        <v>5963.31</v>
      </c>
      <c r="M330" s="525"/>
      <c r="N330" s="551">
        <f t="shared" si="72"/>
        <v>1424.2980604166678</v>
      </c>
      <c r="O330" s="525"/>
      <c r="P330" s="504"/>
      <c r="Q330" s="528">
        <f>SUMIFS([5]BV_Data_An_Prec!$O:$O,[5]BV_Data_An_Prec!$U:$U,$B330,[5]BV_Data_An_Prec!$V:$V,$C330,[5]BV_Data_An_Prec!$W:$W,$L$2)</f>
        <v>1697.44</v>
      </c>
      <c r="R330" s="525"/>
      <c r="S330" s="551">
        <f t="shared" si="73"/>
        <v>4265.8700000000008</v>
      </c>
      <c r="T330" s="504"/>
      <c r="U330" s="504"/>
      <c r="V330" s="504"/>
      <c r="W330" s="569"/>
      <c r="X330" s="504"/>
      <c r="Y330" s="504"/>
      <c r="Z330" s="504"/>
      <c r="AA330" s="504"/>
      <c r="AB330" s="504"/>
      <c r="AC330" s="504"/>
      <c r="AD330" s="504"/>
      <c r="AE330" s="504"/>
      <c r="AF330" s="504"/>
      <c r="AG330" s="504"/>
      <c r="AH330" s="504"/>
      <c r="AI330" s="504"/>
      <c r="AJ330" s="504"/>
      <c r="AK330" s="504"/>
      <c r="AL330" s="504"/>
      <c r="AM330" s="504"/>
      <c r="AN330" s="504"/>
    </row>
    <row r="331" spans="1:40" ht="15.75" customHeight="1">
      <c r="A331" s="517" t="s">
        <v>424</v>
      </c>
      <c r="B331" s="504" t="s">
        <v>103</v>
      </c>
      <c r="C331" s="592" t="s">
        <v>51</v>
      </c>
      <c r="D331" s="577"/>
      <c r="E331" s="504"/>
      <c r="F331" s="526">
        <f t="array" ref="F331">+INDEX('[5]Budget original'!$A$2:$AO$500,MATCH($A331,'[5]Budget original'!$A$2:$A$500,0),MATCH(F$2,'[5]Budget original'!$A$2:$AO$2,0))</f>
        <v>1028.4528497157335</v>
      </c>
      <c r="G331" s="578"/>
      <c r="H331" s="504"/>
      <c r="I331" s="526"/>
      <c r="J331" s="525"/>
      <c r="K331" s="504"/>
      <c r="L331" s="528">
        <f>SUMIFS([5]BV_Data_An_Cour!$O:$O,[5]BV_Data_An_Cour!$U:$U,$B331,[5]BV_Data_An_Cour!$V:$V,$C331,[5]BV_Data_An_Cour!$W:$W,$L$2)</f>
        <v>184.1</v>
      </c>
      <c r="M331" s="525"/>
      <c r="N331" s="551">
        <f t="shared" si="72"/>
        <v>-844.35284971573344</v>
      </c>
      <c r="O331" s="525"/>
      <c r="P331" s="504"/>
      <c r="Q331" s="528">
        <f>SUMIFS([5]BV_Data_An_Prec!$O:$O,[5]BV_Data_An_Prec!$U:$U,$B331,[5]BV_Data_An_Prec!$V:$V,$C331,[5]BV_Data_An_Prec!$W:$W,$L$2)</f>
        <v>1163.6400000000001</v>
      </c>
      <c r="R331" s="525"/>
      <c r="S331" s="551">
        <f t="shared" si="73"/>
        <v>-979.54000000000008</v>
      </c>
      <c r="T331" s="504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  <c r="AE331" s="504"/>
      <c r="AF331" s="504"/>
      <c r="AG331" s="504"/>
      <c r="AH331" s="504"/>
      <c r="AI331" s="504"/>
      <c r="AJ331" s="504"/>
      <c r="AK331" s="504"/>
      <c r="AL331" s="504"/>
      <c r="AM331" s="504"/>
      <c r="AN331" s="504"/>
    </row>
    <row r="332" spans="1:40" ht="15.75" customHeight="1">
      <c r="A332" s="517" t="s">
        <v>425</v>
      </c>
      <c r="B332" s="504" t="s">
        <v>103</v>
      </c>
      <c r="C332" s="593" t="s">
        <v>52</v>
      </c>
      <c r="D332" s="579"/>
      <c r="E332" s="598"/>
      <c r="F332" s="520">
        <f t="array" ref="F332">+INDEX('[5]Budget original'!$A$2:$AO$500,MATCH($A332,'[5]Budget original'!$A$2:$A$500,0),MATCH(F$2,'[5]Budget original'!$A$2:$AO$2,0))</f>
        <v>475.83333333333331</v>
      </c>
      <c r="G332" s="580"/>
      <c r="H332" s="598"/>
      <c r="I332" s="520"/>
      <c r="J332" s="518"/>
      <c r="K332" s="598"/>
      <c r="L332" s="528">
        <f>SUMIFS([5]BV_Data_An_Cour!$O:$O,[5]BV_Data_An_Cour!$U:$U,$B332,[5]BV_Data_An_Cour!$V:$V,$C332,[5]BV_Data_An_Cour!$W:$W,$L$2)</f>
        <v>959.29</v>
      </c>
      <c r="M332" s="518"/>
      <c r="N332" s="574">
        <f t="shared" si="72"/>
        <v>483.45666666666665</v>
      </c>
      <c r="O332" s="518"/>
      <c r="P332" s="598"/>
      <c r="Q332" s="528">
        <f>SUMIFS([5]BV_Data_An_Prec!$O:$O,[5]BV_Data_An_Prec!$U:$U,$B332,[5]BV_Data_An_Prec!$V:$V,$C332,[5]BV_Data_An_Prec!$W:$W,$L$2)</f>
        <v>275.75</v>
      </c>
      <c r="R332" s="518"/>
      <c r="S332" s="574">
        <f t="shared" si="73"/>
        <v>683.54</v>
      </c>
      <c r="T332" s="504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  <c r="AE332" s="504"/>
      <c r="AF332" s="504"/>
      <c r="AG332" s="504"/>
      <c r="AH332" s="504"/>
      <c r="AI332" s="504"/>
      <c r="AJ332" s="504"/>
      <c r="AK332" s="504"/>
      <c r="AL332" s="504"/>
      <c r="AM332" s="504"/>
      <c r="AN332" s="504"/>
    </row>
    <row r="333" spans="1:40" ht="15.75" customHeight="1">
      <c r="A333" s="517" t="s">
        <v>426</v>
      </c>
      <c r="B333" s="504" t="s">
        <v>103</v>
      </c>
      <c r="C333" s="592" t="s">
        <v>53</v>
      </c>
      <c r="D333" s="577"/>
      <c r="E333" s="504"/>
      <c r="F333" s="526">
        <f t="array" ref="F333">+INDEX('[5]Budget original'!$A$2:$AO$500,MATCH($A333,'[5]Budget original'!$A$2:$A$500,0),MATCH(F$2,'[5]Budget original'!$A$2:$AO$2,0))</f>
        <v>3511.6571083333338</v>
      </c>
      <c r="G333" s="578"/>
      <c r="H333" s="504"/>
      <c r="I333" s="526"/>
      <c r="J333" s="525"/>
      <c r="K333" s="504"/>
      <c r="L333" s="547">
        <f>SUMIFS([5]BV_Data_An_Cour!$O:$O,[5]BV_Data_An_Cour!$U:$U,$B333,[5]BV_Data_An_Cour!$V:$V,$C333,[5]BV_Data_An_Cour!$W:$W,$L$2)</f>
        <v>4034.99</v>
      </c>
      <c r="M333" s="525"/>
      <c r="N333" s="551">
        <f t="shared" si="72"/>
        <v>523.332891666666</v>
      </c>
      <c r="O333" s="525"/>
      <c r="P333" s="504"/>
      <c r="Q333" s="547">
        <f>SUMIFS([5]BV_Data_An_Prec!$O:$O,[5]BV_Data_An_Prec!$U:$U,$B333,[5]BV_Data_An_Prec!$V:$V,$C333,[5]BV_Data_An_Prec!$W:$W,$L$2)</f>
        <v>4009.01</v>
      </c>
      <c r="R333" s="525"/>
      <c r="S333" s="551">
        <f t="shared" si="73"/>
        <v>25.979999999999563</v>
      </c>
      <c r="T333" s="504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  <c r="AE333" s="504"/>
      <c r="AF333" s="504"/>
      <c r="AG333" s="504"/>
      <c r="AH333" s="504"/>
      <c r="AI333" s="504"/>
      <c r="AJ333" s="504"/>
      <c r="AK333" s="504"/>
      <c r="AL333" s="504"/>
      <c r="AM333" s="504"/>
      <c r="AN333" s="504"/>
    </row>
    <row r="334" spans="1:40" ht="15.75" customHeight="1">
      <c r="A334" s="517" t="s">
        <v>427</v>
      </c>
      <c r="B334" s="504" t="s">
        <v>103</v>
      </c>
      <c r="C334" s="592" t="s">
        <v>54</v>
      </c>
      <c r="D334" s="577"/>
      <c r="E334" s="504"/>
      <c r="F334" s="526">
        <f t="array" ref="F334">+INDEX('[5]Budget original'!$A$2:$AO$500,MATCH($A334,'[5]Budget original'!$A$2:$A$500,0),MATCH(F$2,'[5]Budget original'!$A$2:$AO$2,0))</f>
        <v>781.31878489583323</v>
      </c>
      <c r="G334" s="578"/>
      <c r="H334" s="504"/>
      <c r="I334" s="526"/>
      <c r="J334" s="525"/>
      <c r="K334" s="504"/>
      <c r="L334" s="528">
        <f>SUMIFS([5]BV_Data_An_Cour!$O:$O,[5]BV_Data_An_Cour!$U:$U,$B334,[5]BV_Data_An_Cour!$V:$V,$C334,[5]BV_Data_An_Cour!$W:$W,$L$2)</f>
        <v>605.16999999999996</v>
      </c>
      <c r="M334" s="525"/>
      <c r="N334" s="551">
        <f t="shared" si="72"/>
        <v>-176.14878489583327</v>
      </c>
      <c r="O334" s="525"/>
      <c r="P334" s="504"/>
      <c r="Q334" s="528">
        <f>SUMIFS([5]BV_Data_An_Prec!$O:$O,[5]BV_Data_An_Prec!$U:$U,$B334,[5]BV_Data_An_Prec!$V:$V,$C334,[5]BV_Data_An_Prec!$W:$W,$L$2)</f>
        <v>396.96</v>
      </c>
      <c r="R334" s="525"/>
      <c r="S334" s="551">
        <f t="shared" si="73"/>
        <v>208.20999999999998</v>
      </c>
      <c r="T334" s="504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  <c r="AE334" s="504"/>
      <c r="AF334" s="504"/>
      <c r="AG334" s="504"/>
      <c r="AH334" s="504"/>
      <c r="AI334" s="504"/>
      <c r="AJ334" s="504"/>
      <c r="AK334" s="504"/>
      <c r="AL334" s="504"/>
      <c r="AM334" s="504"/>
      <c r="AN334" s="504"/>
    </row>
    <row r="335" spans="1:40" ht="15.75" customHeight="1">
      <c r="A335" s="517" t="s">
        <v>428</v>
      </c>
      <c r="B335" s="504" t="s">
        <v>103</v>
      </c>
      <c r="C335" s="593" t="s">
        <v>55</v>
      </c>
      <c r="D335" s="579"/>
      <c r="E335" s="598"/>
      <c r="F335" s="520">
        <f t="array" ref="F335">+INDEX('[5]Budget original'!$A$2:$AO$500,MATCH($A335,'[5]Budget original'!$A$2:$A$500,0),MATCH(F$2,'[5]Budget original'!$A$2:$AO$2,0))</f>
        <v>8189.0261638888878</v>
      </c>
      <c r="G335" s="580"/>
      <c r="H335" s="598"/>
      <c r="I335" s="520"/>
      <c r="J335" s="518"/>
      <c r="K335" s="598"/>
      <c r="L335" s="520">
        <f>SUMIFS([5]BV_Data_An_Cour!$O:$O,[5]BV_Data_An_Cour!$U:$U,$B335,[5]BV_Data_An_Cour!$V:$V,$C335,[5]BV_Data_An_Cour!$W:$W,$L$2)</f>
        <v>18820.55</v>
      </c>
      <c r="M335" s="518"/>
      <c r="N335" s="574">
        <f t="shared" si="72"/>
        <v>10631.523836111111</v>
      </c>
      <c r="O335" s="518"/>
      <c r="P335" s="598"/>
      <c r="Q335" s="520">
        <f>SUMIFS([5]BV_Data_An_Prec!$O:$O,[5]BV_Data_An_Prec!$U:$U,$B335,[5]BV_Data_An_Prec!$V:$V,$C335,[5]BV_Data_An_Prec!$W:$W,$L$2)</f>
        <v>9872.31</v>
      </c>
      <c r="R335" s="518"/>
      <c r="S335" s="574">
        <f t="shared" si="73"/>
        <v>8948.24</v>
      </c>
      <c r="T335" s="504"/>
      <c r="U335" s="504"/>
      <c r="V335" s="504"/>
      <c r="W335" s="504"/>
      <c r="X335" s="504"/>
      <c r="Y335" s="504"/>
      <c r="Z335" s="504"/>
      <c r="AA335" s="504"/>
      <c r="AB335" s="504"/>
      <c r="AC335" s="504"/>
      <c r="AD335" s="504"/>
      <c r="AE335" s="504"/>
      <c r="AF335" s="504"/>
      <c r="AG335" s="504"/>
      <c r="AH335" s="504"/>
      <c r="AI335" s="504"/>
      <c r="AJ335" s="504"/>
      <c r="AK335" s="504"/>
      <c r="AL335" s="504"/>
      <c r="AM335" s="504"/>
      <c r="AN335" s="504"/>
    </row>
    <row r="336" spans="1:40" ht="15.75" customHeight="1">
      <c r="A336" s="517" t="s">
        <v>429</v>
      </c>
      <c r="B336" s="504" t="s">
        <v>103</v>
      </c>
      <c r="C336" s="592" t="s">
        <v>98</v>
      </c>
      <c r="D336" s="577"/>
      <c r="E336" s="504"/>
      <c r="F336" s="526"/>
      <c r="G336" s="578"/>
      <c r="H336" s="504"/>
      <c r="I336" s="526"/>
      <c r="J336" s="525"/>
      <c r="K336" s="504"/>
      <c r="L336" s="528">
        <f>SUMIFS([5]BV_Data_An_Cour!$O:$O,[5]BV_Data_An_Cour!$U:$U,$B336,[5]BV_Data_An_Cour!$V:$V,$C336,[5]BV_Data_An_Cour!$W:$W,$L$2)</f>
        <v>0</v>
      </c>
      <c r="M336" s="525"/>
      <c r="N336" s="551">
        <f t="shared" si="72"/>
        <v>0</v>
      </c>
      <c r="O336" s="525"/>
      <c r="P336" s="504"/>
      <c r="Q336" s="528">
        <f>SUMIFS([5]BV_Data_An_Prec!$O:$O,[5]BV_Data_An_Prec!$U:$U,$B336,[5]BV_Data_An_Prec!$V:$V,$C336,[5]BV_Data_An_Prec!$W:$W,$L$2)</f>
        <v>0</v>
      </c>
      <c r="R336" s="525"/>
      <c r="S336" s="551">
        <f t="shared" si="73"/>
        <v>0</v>
      </c>
      <c r="T336" s="504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  <c r="AE336" s="504"/>
      <c r="AF336" s="504"/>
      <c r="AG336" s="504"/>
      <c r="AH336" s="504"/>
      <c r="AI336" s="504"/>
      <c r="AJ336" s="504"/>
      <c r="AK336" s="504"/>
      <c r="AL336" s="504"/>
      <c r="AM336" s="504"/>
      <c r="AN336" s="504"/>
    </row>
    <row r="337" spans="1:40" ht="15.75" customHeight="1">
      <c r="A337" s="517" t="s">
        <v>430</v>
      </c>
      <c r="B337" s="504" t="s">
        <v>103</v>
      </c>
      <c r="C337" s="592" t="s">
        <v>56</v>
      </c>
      <c r="D337" s="577"/>
      <c r="E337" s="504"/>
      <c r="F337" s="526">
        <f t="array" ref="F337">+INDEX('[5]Budget original'!$A$2:$AO$500,MATCH($A337,'[5]Budget original'!$A$2:$A$500,0),MATCH(F$2,'[5]Budget original'!$A$2:$AO$2,0))</f>
        <v>117.13645759980204</v>
      </c>
      <c r="G337" s="578"/>
      <c r="H337" s="504"/>
      <c r="I337" s="526"/>
      <c r="J337" s="525"/>
      <c r="K337" s="504"/>
      <c r="L337" s="528">
        <f>SUMIFS([5]BV_Data_An_Cour!$O:$O,[5]BV_Data_An_Cour!$U:$U,$B337,[5]BV_Data_An_Cour!$V:$V,$C337,[5]BV_Data_An_Cour!$W:$W,$L$2)</f>
        <v>428.39</v>
      </c>
      <c r="M337" s="525"/>
      <c r="N337" s="551">
        <f t="shared" si="72"/>
        <v>311.25354240019794</v>
      </c>
      <c r="O337" s="525"/>
      <c r="P337" s="504"/>
      <c r="Q337" s="528">
        <f>SUMIFS([5]BV_Data_An_Prec!$O:$O,[5]BV_Data_An_Prec!$U:$U,$B337,[5]BV_Data_An_Prec!$V:$V,$C337,[5]BV_Data_An_Prec!$W:$W,$L$2)</f>
        <v>0</v>
      </c>
      <c r="R337" s="525"/>
      <c r="S337" s="551">
        <f t="shared" si="73"/>
        <v>428.39</v>
      </c>
      <c r="T337" s="504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  <c r="AE337" s="504"/>
      <c r="AF337" s="504"/>
      <c r="AG337" s="504"/>
      <c r="AH337" s="504"/>
      <c r="AI337" s="504"/>
      <c r="AJ337" s="504"/>
      <c r="AK337" s="504"/>
      <c r="AL337" s="504"/>
      <c r="AM337" s="504"/>
      <c r="AN337" s="504"/>
    </row>
    <row r="338" spans="1:40" ht="15.75" customHeight="1">
      <c r="A338" s="517" t="s">
        <v>431</v>
      </c>
      <c r="B338" s="504" t="s">
        <v>103</v>
      </c>
      <c r="C338" s="592" t="s">
        <v>57</v>
      </c>
      <c r="D338" s="577"/>
      <c r="E338" s="504"/>
      <c r="F338" s="526">
        <f t="array" ref="F338">+INDEX('[5]Budget original'!$A$2:$AO$500,MATCH($A338,'[5]Budget original'!$A$2:$A$500,0),MATCH(F$2,'[5]Budget original'!$A$2:$AO$2,0))</f>
        <v>60.487931167085833</v>
      </c>
      <c r="G338" s="578"/>
      <c r="H338" s="504"/>
      <c r="I338" s="526"/>
      <c r="J338" s="525"/>
      <c r="K338" s="504"/>
      <c r="L338" s="528">
        <f>SUMIFS([5]BV_Data_An_Cour!$O:$O,[5]BV_Data_An_Cour!$U:$U,$B338,[5]BV_Data_An_Cour!$V:$V,$C338,[5]BV_Data_An_Cour!$W:$W,$L$2)</f>
        <v>0</v>
      </c>
      <c r="M338" s="525"/>
      <c r="N338" s="551">
        <f t="shared" si="72"/>
        <v>-60.487931167085833</v>
      </c>
      <c r="O338" s="525"/>
      <c r="P338" s="504"/>
      <c r="Q338" s="528">
        <f>SUMIFS([5]BV_Data_An_Prec!$O:$O,[5]BV_Data_An_Prec!$U:$U,$B338,[5]BV_Data_An_Prec!$V:$V,$C338,[5]BV_Data_An_Prec!$W:$W,$L$2)</f>
        <v>0</v>
      </c>
      <c r="R338" s="525"/>
      <c r="S338" s="551">
        <f t="shared" si="73"/>
        <v>0</v>
      </c>
      <c r="T338" s="504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  <c r="AE338" s="504"/>
      <c r="AF338" s="504"/>
      <c r="AG338" s="504"/>
      <c r="AH338" s="504"/>
      <c r="AI338" s="504"/>
      <c r="AJ338" s="504"/>
      <c r="AK338" s="504"/>
      <c r="AL338" s="504"/>
      <c r="AM338" s="504"/>
      <c r="AN338" s="504"/>
    </row>
    <row r="339" spans="1:40" ht="15.75" customHeight="1">
      <c r="A339" s="517" t="s">
        <v>432</v>
      </c>
      <c r="B339" s="504" t="s">
        <v>103</v>
      </c>
      <c r="C339" s="592" t="s">
        <v>58</v>
      </c>
      <c r="D339" s="577"/>
      <c r="E339" s="504"/>
      <c r="F339" s="526">
        <f t="array" ref="F339">+INDEX('[5]Budget original'!$A$2:$AO$500,MATCH($A339,'[5]Budget original'!$A$2:$A$500,0),MATCH(F$2,'[5]Budget original'!$A$2:$AO$2,0))</f>
        <v>596.44612124999981</v>
      </c>
      <c r="G339" s="578"/>
      <c r="H339" s="504"/>
      <c r="I339" s="526"/>
      <c r="J339" s="525"/>
      <c r="K339" s="504"/>
      <c r="L339" s="528">
        <f>SUMIFS([5]BV_Data_An_Cour!$O:$O,[5]BV_Data_An_Cour!$U:$U,$B339,[5]BV_Data_An_Cour!$V:$V,$C339,[5]BV_Data_An_Cour!$W:$W,$L$2)</f>
        <v>374.87</v>
      </c>
      <c r="M339" s="525"/>
      <c r="N339" s="551">
        <f t="shared" si="72"/>
        <v>-221.5761212499998</v>
      </c>
      <c r="O339" s="525"/>
      <c r="P339" s="504"/>
      <c r="Q339" s="528">
        <f>SUMIFS([5]BV_Data_An_Prec!$O:$O,[5]BV_Data_An_Prec!$U:$U,$B339,[5]BV_Data_An_Prec!$V:$V,$C339,[5]BV_Data_An_Prec!$W:$W,$L$2)</f>
        <v>769.1</v>
      </c>
      <c r="R339" s="525"/>
      <c r="S339" s="551">
        <f t="shared" si="73"/>
        <v>-394.23</v>
      </c>
      <c r="T339" s="504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  <c r="AE339" s="504"/>
      <c r="AF339" s="504"/>
      <c r="AG339" s="504"/>
      <c r="AH339" s="504"/>
      <c r="AI339" s="504"/>
      <c r="AJ339" s="504"/>
      <c r="AK339" s="504"/>
      <c r="AL339" s="504"/>
      <c r="AM339" s="504"/>
      <c r="AN339" s="504"/>
    </row>
    <row r="340" spans="1:40" ht="15.75" customHeight="1">
      <c r="A340" s="517" t="s">
        <v>433</v>
      </c>
      <c r="B340" s="504" t="s">
        <v>103</v>
      </c>
      <c r="C340" s="592" t="s">
        <v>59</v>
      </c>
      <c r="D340" s="577"/>
      <c r="E340" s="504"/>
      <c r="F340" s="526">
        <f t="array" ref="F340">+INDEX('[5]Budget original'!$A$2:$AO$500,MATCH($A340,'[5]Budget original'!$A$2:$A$500,0),MATCH(F$2,'[5]Budget original'!$A$2:$AO$2,0))</f>
        <v>202.12519543402777</v>
      </c>
      <c r="G340" s="578"/>
      <c r="H340" s="504"/>
      <c r="I340" s="526"/>
      <c r="J340" s="525"/>
      <c r="K340" s="504"/>
      <c r="L340" s="528">
        <f>SUMIFS([5]BV_Data_An_Cour!$O:$O,[5]BV_Data_An_Cour!$U:$U,$B340,[5]BV_Data_An_Cour!$V:$V,$C340,[5]BV_Data_An_Cour!$W:$W,$L$2)</f>
        <v>75.7</v>
      </c>
      <c r="M340" s="525"/>
      <c r="N340" s="551">
        <f t="shared" si="72"/>
        <v>-126.42519543402777</v>
      </c>
      <c r="O340" s="525"/>
      <c r="P340" s="504"/>
      <c r="Q340" s="528">
        <f>SUMIFS([5]BV_Data_An_Prec!$O:$O,[5]BV_Data_An_Prec!$U:$U,$B340,[5]BV_Data_An_Prec!$V:$V,$C340,[5]BV_Data_An_Prec!$W:$W,$L$2)</f>
        <v>96.95</v>
      </c>
      <c r="R340" s="525"/>
      <c r="S340" s="551">
        <f t="shared" si="73"/>
        <v>-21.25</v>
      </c>
      <c r="T340" s="504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  <c r="AE340" s="504"/>
      <c r="AF340" s="504"/>
      <c r="AG340" s="504"/>
      <c r="AH340" s="504"/>
      <c r="AI340" s="504"/>
      <c r="AJ340" s="504"/>
      <c r="AK340" s="504"/>
      <c r="AL340" s="504"/>
      <c r="AM340" s="504"/>
      <c r="AN340" s="504"/>
    </row>
    <row r="341" spans="1:40" ht="15.75" customHeight="1">
      <c r="A341" s="517" t="s">
        <v>434</v>
      </c>
      <c r="B341" s="504" t="s">
        <v>103</v>
      </c>
      <c r="C341" s="592" t="s">
        <v>60</v>
      </c>
      <c r="D341" s="577"/>
      <c r="E341" s="504"/>
      <c r="F341" s="526">
        <f t="array" ref="F341">+INDEX('[5]Budget original'!$A$2:$AO$500,MATCH($A341,'[5]Budget original'!$A$2:$A$500,0),MATCH(F$2,'[5]Budget original'!$A$2:$AO$2,0))</f>
        <v>96.675229565972202</v>
      </c>
      <c r="G341" s="578"/>
      <c r="H341" s="504"/>
      <c r="I341" s="526"/>
      <c r="J341" s="525"/>
      <c r="K341" s="504"/>
      <c r="L341" s="528">
        <f>SUMIFS([5]BV_Data_An_Cour!$O:$O,[5]BV_Data_An_Cour!$U:$U,$B341,[5]BV_Data_An_Cour!$V:$V,$C341,[5]BV_Data_An_Cour!$W:$W,$L$2)</f>
        <v>1025.6199999999999</v>
      </c>
      <c r="M341" s="525"/>
      <c r="N341" s="551">
        <f t="shared" si="72"/>
        <v>928.94477043402765</v>
      </c>
      <c r="O341" s="525"/>
      <c r="P341" s="504"/>
      <c r="Q341" s="528">
        <f>SUMIFS([5]BV_Data_An_Prec!$O:$O,[5]BV_Data_An_Prec!$U:$U,$B341,[5]BV_Data_An_Prec!$V:$V,$C341,[5]BV_Data_An_Prec!$W:$W,$L$2)</f>
        <v>95.92</v>
      </c>
      <c r="R341" s="525"/>
      <c r="S341" s="551">
        <f t="shared" si="73"/>
        <v>929.69999999999993</v>
      </c>
      <c r="T341" s="504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  <c r="AE341" s="504"/>
      <c r="AF341" s="504"/>
      <c r="AG341" s="504"/>
      <c r="AH341" s="504"/>
      <c r="AI341" s="504"/>
      <c r="AJ341" s="504"/>
      <c r="AK341" s="504"/>
      <c r="AL341" s="504"/>
      <c r="AM341" s="504"/>
      <c r="AN341" s="504"/>
    </row>
    <row r="342" spans="1:40" ht="15.75" customHeight="1">
      <c r="A342" s="517" t="s">
        <v>435</v>
      </c>
      <c r="B342" s="504" t="s">
        <v>103</v>
      </c>
      <c r="C342" s="592" t="s">
        <v>61</v>
      </c>
      <c r="D342" s="577"/>
      <c r="E342" s="504"/>
      <c r="F342" s="526">
        <f t="array" ref="F342">+INDEX('[5]Budget original'!$A$2:$AO$500,MATCH($A342,'[5]Budget original'!$A$2:$A$500,0),MATCH(F$2,'[5]Budget original'!$A$2:$AO$2,0))</f>
        <v>367.32997112847221</v>
      </c>
      <c r="G342" s="578"/>
      <c r="H342" s="504"/>
      <c r="I342" s="526"/>
      <c r="J342" s="525"/>
      <c r="K342" s="504"/>
      <c r="L342" s="528">
        <f>SUMIFS([5]BV_Data_An_Cour!$O:$O,[5]BV_Data_An_Cour!$U:$U,$B342,[5]BV_Data_An_Cour!$V:$V,$C342,[5]BV_Data_An_Cour!$W:$W,$L$2)</f>
        <v>60.49</v>
      </c>
      <c r="M342" s="525"/>
      <c r="N342" s="551">
        <f t="shared" si="72"/>
        <v>-306.8399711284722</v>
      </c>
      <c r="O342" s="525"/>
      <c r="P342" s="504"/>
      <c r="Q342" s="528">
        <f>SUMIFS([5]BV_Data_An_Prec!$O:$O,[5]BV_Data_An_Prec!$U:$U,$B342,[5]BV_Data_An_Prec!$V:$V,$C342,[5]BV_Data_An_Prec!$W:$W,$L$2)</f>
        <v>109.54</v>
      </c>
      <c r="R342" s="525"/>
      <c r="S342" s="551">
        <f t="shared" si="73"/>
        <v>-49.050000000000004</v>
      </c>
      <c r="T342" s="504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  <c r="AE342" s="504"/>
      <c r="AF342" s="504"/>
      <c r="AG342" s="504"/>
      <c r="AH342" s="504"/>
      <c r="AI342" s="504"/>
      <c r="AJ342" s="504"/>
      <c r="AK342" s="504"/>
      <c r="AL342" s="504"/>
      <c r="AM342" s="504"/>
      <c r="AN342" s="504"/>
    </row>
    <row r="343" spans="1:40" ht="15.75" customHeight="1">
      <c r="A343" s="517" t="s">
        <v>436</v>
      </c>
      <c r="B343" s="504" t="s">
        <v>103</v>
      </c>
      <c r="C343" s="592" t="s">
        <v>62</v>
      </c>
      <c r="D343" s="577"/>
      <c r="E343" s="504"/>
      <c r="F343" s="526">
        <f t="array" ref="F343">+INDEX('[5]Budget original'!$A$2:$AO$500,MATCH($A343,'[5]Budget original'!$A$2:$A$500,0),MATCH(F$2,'[5]Budget original'!$A$2:$AO$2,0))</f>
        <v>528.75209894982299</v>
      </c>
      <c r="G343" s="578"/>
      <c r="H343" s="504"/>
      <c r="I343" s="526"/>
      <c r="J343" s="525"/>
      <c r="K343" s="504"/>
      <c r="L343" s="528">
        <f>SUMIFS([5]BV_Data_An_Cour!$O:$O,[5]BV_Data_An_Cour!$U:$U,$B343,[5]BV_Data_An_Cour!$V:$V,$C343,[5]BV_Data_An_Cour!$W:$W,$L$2)</f>
        <v>79.75</v>
      </c>
      <c r="M343" s="525"/>
      <c r="N343" s="551">
        <f t="shared" si="72"/>
        <v>-449.00209894982299</v>
      </c>
      <c r="O343" s="525"/>
      <c r="P343" s="504"/>
      <c r="Q343" s="528">
        <f>SUMIFS([5]BV_Data_An_Prec!$O:$O,[5]BV_Data_An_Prec!$U:$U,$B343,[5]BV_Data_An_Prec!$V:$V,$C343,[5]BV_Data_An_Prec!$W:$W,$L$2)</f>
        <v>288.13</v>
      </c>
      <c r="R343" s="525"/>
      <c r="S343" s="551">
        <f t="shared" si="73"/>
        <v>-208.38</v>
      </c>
      <c r="T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4"/>
      <c r="AJ343" s="504"/>
      <c r="AK343" s="504"/>
      <c r="AL343" s="504"/>
      <c r="AM343" s="504"/>
      <c r="AN343" s="504"/>
    </row>
    <row r="344" spans="1:40" ht="15.75" customHeight="1">
      <c r="A344" s="517" t="s">
        <v>437</v>
      </c>
      <c r="B344" s="504" t="s">
        <v>103</v>
      </c>
      <c r="C344" s="592" t="s">
        <v>63</v>
      </c>
      <c r="D344" s="577"/>
      <c r="E344" s="504"/>
      <c r="F344" s="526">
        <f t="array" ref="F344">+INDEX('[5]Budget original'!$A$2:$AO$500,MATCH($A344,'[5]Budget original'!$A$2:$A$500,0),MATCH(F$2,'[5]Budget original'!$A$2:$AO$2,0))</f>
        <v>975.99591666485287</v>
      </c>
      <c r="G344" s="578"/>
      <c r="H344" s="504"/>
      <c r="I344" s="526"/>
      <c r="J344" s="525"/>
      <c r="K344" s="504"/>
      <c r="L344" s="528">
        <f>SUMIFS([5]BV_Data_An_Cour!$O:$O,[5]BV_Data_An_Cour!$U:$U,$B344,[5]BV_Data_An_Cour!$V:$V,$C344,[5]BV_Data_An_Cour!$W:$W,$L$2)</f>
        <v>1513.96</v>
      </c>
      <c r="M344" s="525"/>
      <c r="N344" s="551">
        <f t="shared" si="72"/>
        <v>537.96408333514717</v>
      </c>
      <c r="O344" s="525"/>
      <c r="P344" s="504"/>
      <c r="Q344" s="528">
        <f>AL447*W7</f>
        <v>1662.752000000002</v>
      </c>
      <c r="R344" s="525"/>
      <c r="S344" s="551">
        <f t="shared" si="73"/>
        <v>-148.79200000000196</v>
      </c>
      <c r="T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4"/>
      <c r="AJ344" s="504"/>
      <c r="AK344" s="504"/>
      <c r="AL344" s="504"/>
      <c r="AM344" s="504"/>
      <c r="AN344" s="504"/>
    </row>
    <row r="345" spans="1:40" ht="15.75" hidden="1" customHeight="1">
      <c r="A345" s="517" t="s">
        <v>404</v>
      </c>
      <c r="B345" s="504" t="s">
        <v>103</v>
      </c>
      <c r="C345" s="592" t="s">
        <v>20</v>
      </c>
      <c r="D345" s="577"/>
      <c r="E345" s="504"/>
      <c r="F345" s="526">
        <f t="array" ref="F345">+INDEX('[5]Budget original'!$A$2:$AO$500,MATCH($A345,'[5]Budget original'!$A$2:$A$500,0),MATCH(F$2,'[5]Budget original'!$A$2:$AO$2,0))</f>
        <v>0</v>
      </c>
      <c r="G345" s="578"/>
      <c r="H345" s="504"/>
      <c r="I345" s="526"/>
      <c r="J345" s="525"/>
      <c r="K345" s="504"/>
      <c r="L345" s="528">
        <f>SUMIFS([5]BV_Data_An_Cour!$O:$O,[5]BV_Data_An_Cour!$U:$U,$B345,[5]BV_Data_An_Cour!$V:$V,$C345,[5]BV_Data_An_Cour!$W:$W,$L$2)</f>
        <v>0</v>
      </c>
      <c r="M345" s="525"/>
      <c r="N345" s="551">
        <f t="shared" si="72"/>
        <v>0</v>
      </c>
      <c r="O345" s="525"/>
      <c r="P345" s="504"/>
      <c r="Q345" s="528">
        <f>SUMIFS([5]BV_Data_An_Prec!$O:$O,[5]BV_Data_An_Prec!$U:$U,$B345,[5]BV_Data_An_Prec!$V:$V,$C345,[5]BV_Data_An_Prec!$W:$W,$L$2)</f>
        <v>0</v>
      </c>
      <c r="R345" s="525"/>
      <c r="S345" s="551">
        <f t="shared" si="73"/>
        <v>0</v>
      </c>
      <c r="T345" s="504"/>
      <c r="X345" s="504"/>
      <c r="Y345" s="504"/>
      <c r="Z345" s="504"/>
      <c r="AA345" s="504"/>
      <c r="AB345" s="504"/>
      <c r="AC345" s="504"/>
      <c r="AD345" s="504"/>
      <c r="AE345" s="504"/>
      <c r="AF345" s="504"/>
      <c r="AG345" s="504"/>
      <c r="AH345" s="504"/>
      <c r="AI345" s="504"/>
      <c r="AJ345" s="504"/>
      <c r="AK345" s="504"/>
      <c r="AL345" s="504"/>
      <c r="AM345" s="504"/>
      <c r="AN345" s="504"/>
    </row>
    <row r="346" spans="1:40" ht="15.75" hidden="1" customHeight="1">
      <c r="A346" s="517" t="s">
        <v>404</v>
      </c>
      <c r="B346" s="504" t="s">
        <v>103</v>
      </c>
      <c r="C346" s="592" t="s">
        <v>20</v>
      </c>
      <c r="D346" s="577"/>
      <c r="E346" s="504"/>
      <c r="F346" s="526">
        <f t="array" ref="F346">+INDEX('[5]Budget original'!$A$2:$AO$500,MATCH($A346,'[5]Budget original'!$A$2:$A$500,0),MATCH(F$2,'[5]Budget original'!$A$2:$AO$2,0))</f>
        <v>0</v>
      </c>
      <c r="G346" s="578"/>
      <c r="H346" s="504"/>
      <c r="I346" s="526"/>
      <c r="J346" s="525"/>
      <c r="K346" s="504"/>
      <c r="L346" s="528">
        <f>SUMIFS([5]BV_Data_An_Cour!$O:$O,[5]BV_Data_An_Cour!$U:$U,$B346,[5]BV_Data_An_Cour!$V:$V,$C346,[5]BV_Data_An_Cour!$W:$W,$L$2)</f>
        <v>0</v>
      </c>
      <c r="M346" s="525"/>
      <c r="N346" s="551">
        <f t="shared" si="72"/>
        <v>0</v>
      </c>
      <c r="O346" s="525"/>
      <c r="P346" s="504"/>
      <c r="Q346" s="528">
        <f>SUMIFS([5]BV_Data_An_Prec!$O:$O,[5]BV_Data_An_Prec!$U:$U,$B346,[5]BV_Data_An_Prec!$V:$V,$C346,[5]BV_Data_An_Prec!$W:$W,$L$2)</f>
        <v>0</v>
      </c>
      <c r="R346" s="525"/>
      <c r="S346" s="551">
        <f t="shared" si="73"/>
        <v>0</v>
      </c>
      <c r="T346" s="504"/>
      <c r="X346" s="504"/>
      <c r="Y346" s="504"/>
      <c r="Z346" s="504"/>
      <c r="AA346" s="504"/>
      <c r="AB346" s="504"/>
      <c r="AC346" s="504"/>
      <c r="AD346" s="504"/>
      <c r="AE346" s="504"/>
      <c r="AF346" s="504"/>
      <c r="AG346" s="504"/>
      <c r="AH346" s="504"/>
      <c r="AI346" s="504"/>
      <c r="AJ346" s="504"/>
      <c r="AK346" s="504"/>
      <c r="AL346" s="504"/>
      <c r="AM346" s="504"/>
      <c r="AN346" s="504"/>
    </row>
    <row r="347" spans="1:40" ht="15.75" hidden="1" customHeight="1">
      <c r="A347" s="517" t="s">
        <v>404</v>
      </c>
      <c r="B347" s="504" t="s">
        <v>103</v>
      </c>
      <c r="C347" s="592" t="s">
        <v>20</v>
      </c>
      <c r="D347" s="577"/>
      <c r="E347" s="504"/>
      <c r="F347" s="526">
        <f t="array" ref="F347">+INDEX('[5]Budget original'!$A$2:$AO$500,MATCH($A347,'[5]Budget original'!$A$2:$A$500,0),MATCH(F$2,'[5]Budget original'!$A$2:$AO$2,0))</f>
        <v>0</v>
      </c>
      <c r="G347" s="578"/>
      <c r="H347" s="504"/>
      <c r="I347" s="526"/>
      <c r="J347" s="525"/>
      <c r="K347" s="504"/>
      <c r="L347" s="528">
        <f>SUMIFS([5]BV_Data_An_Cour!$O:$O,[5]BV_Data_An_Cour!$U:$U,$B347,[5]BV_Data_An_Cour!$V:$V,$C347,[5]BV_Data_An_Cour!$W:$W,$L$2)</f>
        <v>0</v>
      </c>
      <c r="M347" s="525"/>
      <c r="N347" s="551">
        <f t="shared" si="72"/>
        <v>0</v>
      </c>
      <c r="O347" s="525"/>
      <c r="P347" s="504"/>
      <c r="Q347" s="528">
        <f>SUMIFS([5]BV_Data_An_Prec!$O:$O,[5]BV_Data_An_Prec!$U:$U,$B347,[5]BV_Data_An_Prec!$V:$V,$C347,[5]BV_Data_An_Prec!$W:$W,$L$2)</f>
        <v>0</v>
      </c>
      <c r="R347" s="525"/>
      <c r="S347" s="551">
        <f t="shared" si="73"/>
        <v>0</v>
      </c>
      <c r="T347" s="504"/>
      <c r="X347" s="504"/>
      <c r="Y347" s="504"/>
      <c r="Z347" s="504"/>
      <c r="AA347" s="504"/>
      <c r="AB347" s="504"/>
      <c r="AC347" s="504"/>
      <c r="AD347" s="504"/>
      <c r="AE347" s="504"/>
      <c r="AF347" s="504"/>
      <c r="AG347" s="504"/>
      <c r="AH347" s="504"/>
      <c r="AI347" s="504"/>
      <c r="AJ347" s="504"/>
      <c r="AK347" s="504"/>
      <c r="AL347" s="504"/>
      <c r="AM347" s="504"/>
      <c r="AN347" s="504"/>
    </row>
    <row r="348" spans="1:40" ht="15.75" customHeight="1">
      <c r="B348" s="498"/>
      <c r="C348" s="584" t="s">
        <v>64</v>
      </c>
      <c r="D348" s="585" t="s">
        <v>39</v>
      </c>
      <c r="E348" s="586">
        <f>F348/F$313</f>
        <v>0.18789058762658867</v>
      </c>
      <c r="F348" s="587">
        <f>+SUM(F330:F347)</f>
        <v>21470.249101510482</v>
      </c>
      <c r="G348" s="588"/>
      <c r="H348" s="586"/>
      <c r="I348" s="587"/>
      <c r="J348" s="588" t="s">
        <v>39</v>
      </c>
      <c r="K348" s="586">
        <f>L348/L$313</f>
        <v>0.28915589250774704</v>
      </c>
      <c r="L348" s="587">
        <f>+SUM(L330:L347)</f>
        <v>34126.19</v>
      </c>
      <c r="M348" s="591"/>
      <c r="N348" s="587">
        <f>+SUM(N330:N347)</f>
        <v>12655.940898489509</v>
      </c>
      <c r="O348" s="588" t="s">
        <v>39</v>
      </c>
      <c r="P348" s="586">
        <f>Q348/Q$313</f>
        <v>0.18846560197636428</v>
      </c>
      <c r="Q348" s="587">
        <f>+SUM(Q330:Q347)</f>
        <v>20437.502</v>
      </c>
      <c r="R348" s="591"/>
      <c r="S348" s="587">
        <f>+SUM(S330:S347)</f>
        <v>13688.688</v>
      </c>
      <c r="T348" s="504"/>
      <c r="X348" s="504"/>
      <c r="Y348" s="504"/>
      <c r="Z348" s="504"/>
      <c r="AA348" s="504"/>
      <c r="AB348" s="504"/>
      <c r="AC348" s="504"/>
      <c r="AD348" s="504"/>
      <c r="AE348" s="504"/>
      <c r="AF348" s="504"/>
      <c r="AG348" s="504"/>
      <c r="AH348" s="504"/>
      <c r="AI348" s="504"/>
      <c r="AJ348" s="504"/>
      <c r="AK348" s="504"/>
      <c r="AL348" s="504"/>
      <c r="AM348" s="504"/>
      <c r="AN348" s="504"/>
    </row>
    <row r="349" spans="1:40" ht="15.75" customHeight="1">
      <c r="B349" s="498"/>
      <c r="C349" s="518"/>
      <c r="D349" s="579"/>
      <c r="E349" s="598"/>
      <c r="F349" s="551"/>
      <c r="G349" s="580"/>
      <c r="H349" s="598"/>
      <c r="I349" s="551"/>
      <c r="J349" s="518"/>
      <c r="K349" s="598"/>
      <c r="L349" s="574"/>
      <c r="M349" s="518"/>
      <c r="N349" s="574"/>
      <c r="O349" s="518"/>
      <c r="P349" s="598"/>
      <c r="Q349" s="574"/>
      <c r="R349" s="518"/>
      <c r="S349" s="574"/>
      <c r="T349" s="504"/>
      <c r="U349" s="504"/>
      <c r="V349" s="504"/>
      <c r="W349" s="504"/>
      <c r="X349" s="504"/>
      <c r="Y349" s="504"/>
      <c r="Z349" s="504"/>
      <c r="AA349" s="504"/>
      <c r="AB349" s="504"/>
      <c r="AC349" s="504"/>
      <c r="AD349" s="504"/>
      <c r="AE349" s="504"/>
      <c r="AF349" s="504"/>
      <c r="AG349" s="504"/>
      <c r="AH349" s="504"/>
      <c r="AI349" s="504"/>
      <c r="AJ349" s="504"/>
      <c r="AK349" s="504"/>
      <c r="AL349" s="504"/>
      <c r="AM349" s="504"/>
      <c r="AN349" s="504"/>
    </row>
    <row r="350" spans="1:40" ht="15.75" customHeight="1">
      <c r="B350" s="498"/>
      <c r="C350" s="584" t="s">
        <v>65</v>
      </c>
      <c r="D350" s="585" t="s">
        <v>39</v>
      </c>
      <c r="E350" s="586">
        <f>F350/F$313</f>
        <v>0.59443026761426643</v>
      </c>
      <c r="F350" s="587">
        <f>F329+F348</f>
        <v>67925.520274171475</v>
      </c>
      <c r="G350" s="588"/>
      <c r="H350" s="586"/>
      <c r="I350" s="587"/>
      <c r="J350" s="588" t="s">
        <v>39</v>
      </c>
      <c r="K350" s="586">
        <f>L350/L$313</f>
        <v>0.63929651269394605</v>
      </c>
      <c r="L350" s="587">
        <f>L329+L348</f>
        <v>75449.8</v>
      </c>
      <c r="M350" s="591"/>
      <c r="N350" s="600">
        <f>L350-F350</f>
        <v>7524.2797258285282</v>
      </c>
      <c r="O350" s="588" t="s">
        <v>39</v>
      </c>
      <c r="P350" s="586">
        <f>Q350/Q$313</f>
        <v>0.75708003067090079</v>
      </c>
      <c r="Q350" s="587">
        <f>Q329+Q348</f>
        <v>82098.932000000001</v>
      </c>
      <c r="R350" s="591"/>
      <c r="S350" s="600">
        <f>L350-Q350</f>
        <v>-6649.1319999999978</v>
      </c>
      <c r="T350" s="504"/>
      <c r="U350" s="504"/>
      <c r="V350" s="504"/>
      <c r="W350" s="504"/>
      <c r="X350" s="504"/>
      <c r="Y350" s="504"/>
      <c r="Z350" s="504"/>
      <c r="AA350" s="504"/>
      <c r="AB350" s="504"/>
      <c r="AC350" s="504"/>
      <c r="AD350" s="504"/>
      <c r="AE350" s="504"/>
      <c r="AF350" s="504"/>
      <c r="AG350" s="504"/>
      <c r="AH350" s="504"/>
      <c r="AI350" s="504"/>
      <c r="AJ350" s="504"/>
      <c r="AK350" s="504"/>
      <c r="AL350" s="504"/>
      <c r="AM350" s="504"/>
      <c r="AN350" s="504"/>
    </row>
    <row r="351" spans="1:40" ht="15.75" customHeight="1">
      <c r="B351" s="498"/>
      <c r="C351" s="525"/>
      <c r="D351" s="577"/>
      <c r="E351" s="504"/>
      <c r="F351" s="551"/>
      <c r="G351" s="578"/>
      <c r="H351" s="504"/>
      <c r="I351" s="551"/>
      <c r="J351" s="525"/>
      <c r="K351" s="504"/>
      <c r="L351" s="551"/>
      <c r="M351" s="525"/>
      <c r="N351" s="551">
        <f>L351-F351</f>
        <v>0</v>
      </c>
      <c r="O351" s="525"/>
      <c r="P351" s="504"/>
      <c r="Q351" s="551"/>
      <c r="R351" s="525"/>
      <c r="S351" s="551"/>
      <c r="T351" s="504"/>
      <c r="U351" s="504"/>
      <c r="V351" s="504"/>
      <c r="W351" s="504"/>
      <c r="X351" s="504"/>
      <c r="Y351" s="504"/>
      <c r="Z351" s="504"/>
      <c r="AA351" s="504"/>
      <c r="AB351" s="504"/>
      <c r="AC351" s="504"/>
      <c r="AD351" s="504"/>
      <c r="AE351" s="504"/>
      <c r="AF351" s="504"/>
      <c r="AG351" s="504"/>
      <c r="AH351" s="504"/>
      <c r="AI351" s="504"/>
      <c r="AJ351" s="504"/>
      <c r="AK351" s="504"/>
      <c r="AL351" s="504"/>
      <c r="AM351" s="504"/>
      <c r="AN351" s="504"/>
    </row>
    <row r="352" spans="1:40" ht="24" customHeight="1" thickBot="1">
      <c r="B352" s="498"/>
      <c r="C352" s="614" t="s">
        <v>72</v>
      </c>
      <c r="D352" s="642"/>
      <c r="E352" s="615"/>
      <c r="F352" s="617">
        <f>F313-F350</f>
        <v>46344.435303274367</v>
      </c>
      <c r="G352" s="643"/>
      <c r="H352" s="615"/>
      <c r="I352" s="617"/>
      <c r="J352" s="614"/>
      <c r="K352" s="616"/>
      <c r="L352" s="617">
        <f>L313-L350</f>
        <v>42570.239999999976</v>
      </c>
      <c r="M352" s="614"/>
      <c r="N352" s="617">
        <f>L352-F352</f>
        <v>-3774.1953032743913</v>
      </c>
      <c r="O352" s="614"/>
      <c r="P352" s="616"/>
      <c r="Q352" s="617">
        <f>Q313-Q350</f>
        <v>26342.617999999973</v>
      </c>
      <c r="R352" s="614"/>
      <c r="S352" s="617">
        <f>L352-Q352</f>
        <v>16227.622000000003</v>
      </c>
      <c r="T352" s="504"/>
      <c r="U352" s="504"/>
      <c r="V352" s="504"/>
      <c r="W352" s="504"/>
      <c r="X352" s="504"/>
      <c r="Y352" s="504"/>
      <c r="Z352" s="504"/>
      <c r="AA352" s="504"/>
      <c r="AB352" s="504"/>
      <c r="AC352" s="504"/>
      <c r="AD352" s="504"/>
      <c r="AE352" s="504"/>
      <c r="AF352" s="504"/>
      <c r="AG352" s="504"/>
      <c r="AH352" s="504"/>
      <c r="AI352" s="504"/>
      <c r="AJ352" s="504"/>
      <c r="AK352" s="504"/>
      <c r="AL352" s="504"/>
      <c r="AM352" s="504"/>
      <c r="AN352" s="504"/>
    </row>
    <row r="353" spans="1:40" ht="15.75" customHeight="1" thickTop="1">
      <c r="B353" s="498"/>
      <c r="C353" s="564"/>
      <c r="D353" s="577"/>
      <c r="E353" s="504"/>
      <c r="F353" s="599"/>
      <c r="G353" s="577"/>
      <c r="H353" s="504"/>
      <c r="I353" s="599"/>
      <c r="J353" s="564"/>
      <c r="K353" s="564"/>
      <c r="L353" s="599"/>
      <c r="M353" s="564"/>
      <c r="N353" s="599"/>
      <c r="O353" s="564"/>
      <c r="P353" s="564"/>
      <c r="Q353" s="599"/>
      <c r="R353" s="564"/>
      <c r="S353" s="599"/>
      <c r="T353" s="504"/>
      <c r="U353" s="504"/>
      <c r="V353" s="504"/>
      <c r="W353" s="504"/>
      <c r="X353" s="504"/>
      <c r="Y353" s="504"/>
      <c r="Z353" s="504"/>
      <c r="AA353" s="504"/>
      <c r="AB353" s="504"/>
      <c r="AC353" s="504"/>
      <c r="AD353" s="504"/>
      <c r="AE353" s="504"/>
      <c r="AF353" s="504"/>
      <c r="AG353" s="504"/>
      <c r="AH353" s="504"/>
      <c r="AI353" s="504"/>
      <c r="AJ353" s="504"/>
      <c r="AK353" s="504"/>
      <c r="AL353" s="504"/>
      <c r="AM353" s="504"/>
      <c r="AN353" s="504"/>
    </row>
    <row r="354" spans="1:40" ht="15.75" hidden="1" customHeight="1">
      <c r="B354" s="498"/>
      <c r="C354" s="564"/>
      <c r="D354" s="577"/>
      <c r="E354" s="504"/>
      <c r="F354" s="599"/>
      <c r="G354" s="577"/>
      <c r="H354" s="504"/>
      <c r="I354" s="599"/>
      <c r="J354" s="564"/>
      <c r="K354" s="564"/>
      <c r="L354" s="599"/>
      <c r="M354" s="564"/>
      <c r="N354" s="599"/>
      <c r="O354" s="564"/>
      <c r="P354" s="564"/>
      <c r="Q354" s="599"/>
      <c r="R354" s="564"/>
      <c r="S354" s="599"/>
      <c r="T354" s="504"/>
      <c r="U354" s="504"/>
      <c r="V354" s="504"/>
      <c r="W354" s="504"/>
      <c r="X354" s="504"/>
      <c r="Y354" s="504"/>
      <c r="Z354" s="504"/>
      <c r="AA354" s="504"/>
      <c r="AB354" s="504"/>
      <c r="AC354" s="504"/>
      <c r="AD354" s="504"/>
      <c r="AE354" s="504"/>
      <c r="AF354" s="504"/>
      <c r="AG354" s="504"/>
      <c r="AH354" s="504"/>
      <c r="AI354" s="504"/>
      <c r="AJ354" s="504"/>
      <c r="AK354" s="504"/>
      <c r="AL354" s="504"/>
      <c r="AM354" s="504"/>
      <c r="AN354" s="504"/>
    </row>
    <row r="355" spans="1:40" ht="34.5" hidden="1" customHeight="1">
      <c r="B355" s="498"/>
      <c r="C355" s="622" t="str">
        <f>+C290</f>
        <v>Volks</v>
      </c>
      <c r="D355" s="492"/>
      <c r="E355" s="492"/>
      <c r="F355" s="492"/>
      <c r="G355" s="492"/>
      <c r="H355" s="490"/>
      <c r="I355" s="490"/>
      <c r="J355" s="490"/>
      <c r="K355" s="494" t="s">
        <v>119</v>
      </c>
      <c r="L355" s="492"/>
      <c r="M355" s="492"/>
      <c r="N355" s="490"/>
      <c r="O355" s="490"/>
      <c r="P355" s="492"/>
      <c r="Q355" s="490"/>
      <c r="R355" s="492"/>
      <c r="S355" s="623" t="str">
        <f>$S$1</f>
        <v>Réalisé, Juillet 2023</v>
      </c>
      <c r="T355" s="501"/>
      <c r="U355" s="501"/>
      <c r="V355" s="504"/>
      <c r="W355" s="501"/>
      <c r="X355" s="501"/>
      <c r="Y355" s="501"/>
      <c r="Z355" s="501"/>
      <c r="AA355" s="501"/>
      <c r="AB355" s="501"/>
      <c r="AC355" s="501"/>
      <c r="AD355" s="501"/>
      <c r="AE355" s="501"/>
      <c r="AF355" s="501"/>
      <c r="AG355" s="501"/>
      <c r="AH355" s="501"/>
      <c r="AI355" s="501"/>
      <c r="AJ355" s="501"/>
      <c r="AK355" s="501"/>
      <c r="AL355" s="501"/>
      <c r="AM355" s="501"/>
      <c r="AN355" s="501"/>
    </row>
    <row r="356" spans="1:40" ht="15.75" hidden="1" customHeight="1">
      <c r="B356" s="498"/>
      <c r="C356" s="499"/>
      <c r="D356" s="501"/>
      <c r="E356" s="501"/>
      <c r="F356" s="501"/>
      <c r="G356" s="501"/>
      <c r="H356" s="501"/>
      <c r="I356" s="501"/>
      <c r="J356" s="501"/>
      <c r="K356" s="501"/>
      <c r="L356" s="501"/>
      <c r="M356" s="501"/>
      <c r="N356" s="501"/>
      <c r="O356" s="501"/>
      <c r="P356" s="501"/>
      <c r="Q356" s="501"/>
      <c r="R356" s="501"/>
      <c r="S356" s="501"/>
      <c r="T356" s="501"/>
      <c r="U356" s="501"/>
      <c r="V356" s="504"/>
      <c r="W356" s="501"/>
      <c r="X356" s="501"/>
      <c r="Y356" s="501"/>
      <c r="Z356" s="501"/>
      <c r="AA356" s="501"/>
      <c r="AB356" s="501"/>
      <c r="AC356" s="501"/>
      <c r="AD356" s="501"/>
      <c r="AE356" s="501"/>
      <c r="AF356" s="501"/>
      <c r="AG356" s="501"/>
      <c r="AH356" s="501"/>
      <c r="AI356" s="501"/>
      <c r="AJ356" s="501"/>
      <c r="AK356" s="501"/>
      <c r="AL356" s="501"/>
      <c r="AM356" s="501"/>
      <c r="AN356" s="501"/>
    </row>
    <row r="357" spans="1:40" ht="15.75" hidden="1" customHeight="1">
      <c r="B357" s="498"/>
      <c r="C357" s="505"/>
      <c r="D357" s="506" t="s">
        <v>5</v>
      </c>
      <c r="E357" s="507"/>
      <c r="F357" s="508"/>
      <c r="G357" s="509"/>
      <c r="H357" s="507"/>
      <c r="I357" s="508"/>
      <c r="J357" s="509" t="s">
        <v>7</v>
      </c>
      <c r="K357" s="507"/>
      <c r="L357" s="508"/>
      <c r="M357" s="509"/>
      <c r="N357" s="508"/>
      <c r="O357" s="506" t="s">
        <v>9</v>
      </c>
      <c r="P357" s="507"/>
      <c r="Q357" s="508"/>
      <c r="R357" s="509" t="s">
        <v>10</v>
      </c>
      <c r="S357" s="508"/>
      <c r="T357" s="501"/>
      <c r="U357" s="501"/>
      <c r="V357" s="504"/>
      <c r="W357" s="501"/>
      <c r="X357" s="501"/>
      <c r="Y357" s="501"/>
      <c r="Z357" s="501"/>
      <c r="AA357" s="501"/>
      <c r="AB357" s="501"/>
      <c r="AC357" s="501"/>
      <c r="AD357" s="501"/>
      <c r="AE357" s="501"/>
      <c r="AF357" s="501"/>
      <c r="AG357" s="501"/>
      <c r="AH357" s="501"/>
      <c r="AI357" s="501"/>
      <c r="AJ357" s="501"/>
      <c r="AK357" s="501"/>
      <c r="AL357" s="501"/>
      <c r="AM357" s="501"/>
      <c r="AN357" s="501"/>
    </row>
    <row r="358" spans="1:40" ht="15.75" hidden="1" customHeight="1">
      <c r="A358" s="517" t="s">
        <v>119</v>
      </c>
      <c r="B358" s="504" t="s">
        <v>119</v>
      </c>
      <c r="C358" s="525"/>
      <c r="D358" s="704" t="s">
        <v>84</v>
      </c>
      <c r="E358" s="704" t="s">
        <v>104</v>
      </c>
      <c r="F358" s="705" t="s">
        <v>13</v>
      </c>
      <c r="G358" s="706"/>
      <c r="H358" s="704"/>
      <c r="I358" s="705"/>
      <c r="J358" s="646" t="s">
        <v>84</v>
      </c>
      <c r="K358" s="567" t="s">
        <v>104</v>
      </c>
      <c r="L358" s="645" t="s">
        <v>13</v>
      </c>
      <c r="M358" s="646"/>
      <c r="N358" s="645"/>
      <c r="O358" s="646" t="s">
        <v>84</v>
      </c>
      <c r="P358" s="567" t="s">
        <v>104</v>
      </c>
      <c r="Q358" s="645" t="s">
        <v>13</v>
      </c>
      <c r="R358" s="646" t="s">
        <v>85</v>
      </c>
      <c r="S358" s="645" t="s">
        <v>13</v>
      </c>
      <c r="T358" s="501"/>
      <c r="U358" s="501"/>
      <c r="V358" s="504"/>
      <c r="W358" s="501"/>
      <c r="X358" s="501"/>
      <c r="Y358" s="501"/>
      <c r="Z358" s="501"/>
      <c r="AA358" s="501"/>
      <c r="AB358" s="501"/>
      <c r="AC358" s="501"/>
      <c r="AD358" s="501"/>
      <c r="AE358" s="501"/>
      <c r="AF358" s="501"/>
      <c r="AG358" s="501"/>
      <c r="AH358" s="501"/>
      <c r="AI358" s="501"/>
      <c r="AJ358" s="501"/>
      <c r="AK358" s="501"/>
      <c r="AL358" s="501"/>
      <c r="AM358" s="501"/>
      <c r="AN358" s="501"/>
    </row>
    <row r="359" spans="1:40" ht="15.75" hidden="1" customHeight="1">
      <c r="A359" s="517" t="s">
        <v>438</v>
      </c>
      <c r="B359" s="504" t="s">
        <v>119</v>
      </c>
      <c r="C359" s="553" t="s">
        <v>119</v>
      </c>
      <c r="D359" s="707">
        <f t="array" ref="D359">+INDEX('[5]Budget original'!$A$2:$AO$500,MATCH($A359,'[5]Budget original'!$A$2:$A$500,0),MATCH(D$2,'[5]Budget original'!$A$2:$AO$2,0))</f>
        <v>0</v>
      </c>
      <c r="E359" s="708">
        <f>IFERROR(F359/D359,0)</f>
        <v>0</v>
      </c>
      <c r="F359" s="709">
        <f t="array" ref="F359">+INDEX('[5]Budget original'!$A$2:$AO$500,MATCH($A359,'[5]Budget original'!$A$2:$A$500,0),MATCH(F$2,'[5]Budget original'!$A$2:$AO$2,0))</f>
        <v>0</v>
      </c>
      <c r="G359" s="707"/>
      <c r="H359" s="708"/>
      <c r="I359" s="707"/>
      <c r="J359" s="710">
        <f>-SUMIFS([5]BV_Data_An_Cour!$O:$O,[5]BV_Data_An_Cour!$X:$X,"Oui",[5]BV_Data_An_Cour!$U:$U,$B359,[5]BV_Data_An_Cour!$V:$V,$C359)</f>
        <v>0</v>
      </c>
      <c r="K359" s="695">
        <f>IF(J359&lt;=0,0,L359/J359)</f>
        <v>0</v>
      </c>
      <c r="L359" s="711">
        <f>-SUMIFS([5]BV_Data_An_Cour!$O:$O,[5]BV_Data_An_Cour!$X:$X,"Oui",[5]BV_Data_An_Cour!$U:$U,$B359,[5]BV_Data_An_Cour!$V:$V,$C359)</f>
        <v>0</v>
      </c>
      <c r="M359" s="696"/>
      <c r="N359" s="697"/>
      <c r="O359" s="710">
        <f>-SUMIFS([5]BV_Data_An_Prec!$O:$O,[5]BV_Data_An_Prec!$X:$X,"Oui",[5]BV_Data_An_Prec!$U:$U,$B359,[5]BV_Data_An_Prec!$V:$V,$C359)</f>
        <v>0</v>
      </c>
      <c r="P359" s="695">
        <f>IF(O359&lt;=0,0,Q359/O359)</f>
        <v>0</v>
      </c>
      <c r="Q359" s="711">
        <f>-SUMIFS([5]BV_Data_An_Prec!$O:$O,[5]BV_Data_An_Prec!$X:$X,"Oui",[5]BV_Data_An_Prec!$U:$U,$B359,[5]BV_Data_An_Prec!$V:$V,$C359)</f>
        <v>0</v>
      </c>
      <c r="R359" s="696">
        <f>IF(O359=0,0,(J359-O359)/O359)</f>
        <v>0</v>
      </c>
      <c r="S359" s="697">
        <f>L359-Q359</f>
        <v>0</v>
      </c>
      <c r="T359" s="501"/>
      <c r="U359" s="501"/>
      <c r="V359" s="712"/>
      <c r="W359" s="501"/>
      <c r="X359" s="501"/>
      <c r="Y359" s="501"/>
      <c r="Z359" s="501"/>
      <c r="AA359" s="501"/>
      <c r="AB359" s="501"/>
      <c r="AC359" s="501"/>
      <c r="AD359" s="501"/>
      <c r="AE359" s="501"/>
      <c r="AF359" s="501"/>
      <c r="AG359" s="501"/>
      <c r="AH359" s="501"/>
      <c r="AI359" s="501"/>
      <c r="AJ359" s="501"/>
      <c r="AK359" s="501"/>
      <c r="AL359" s="501"/>
      <c r="AM359" s="501"/>
      <c r="AN359" s="501"/>
    </row>
    <row r="360" spans="1:40" ht="15.75" hidden="1" customHeight="1">
      <c r="A360" s="517" t="s">
        <v>119</v>
      </c>
      <c r="B360" s="504" t="s">
        <v>119</v>
      </c>
      <c r="C360" s="614"/>
      <c r="D360" s="698"/>
      <c r="E360" s="699"/>
      <c r="F360" s="617"/>
      <c r="G360" s="700"/>
      <c r="H360" s="699"/>
      <c r="I360" s="617"/>
      <c r="J360" s="700"/>
      <c r="K360" s="699"/>
      <c r="L360" s="617"/>
      <c r="M360" s="702"/>
      <c r="N360" s="563"/>
      <c r="O360" s="700"/>
      <c r="P360" s="699"/>
      <c r="Q360" s="617"/>
      <c r="R360" s="702"/>
      <c r="S360" s="563"/>
      <c r="T360" s="501"/>
      <c r="U360" s="501"/>
      <c r="V360" s="504"/>
      <c r="W360" s="501"/>
      <c r="X360" s="501"/>
      <c r="Y360" s="501"/>
      <c r="Z360" s="501"/>
      <c r="AA360" s="501"/>
      <c r="AB360" s="501"/>
      <c r="AC360" s="501"/>
      <c r="AD360" s="501"/>
      <c r="AE360" s="501"/>
      <c r="AF360" s="501"/>
      <c r="AG360" s="501"/>
      <c r="AH360" s="501"/>
      <c r="AI360" s="501"/>
      <c r="AJ360" s="501"/>
      <c r="AK360" s="501"/>
      <c r="AL360" s="501"/>
      <c r="AM360" s="501"/>
      <c r="AN360" s="501"/>
    </row>
    <row r="361" spans="1:40" ht="15.75" hidden="1" customHeight="1">
      <c r="A361" s="517" t="s">
        <v>439</v>
      </c>
      <c r="B361" s="504" t="s">
        <v>119</v>
      </c>
      <c r="C361" s="544" t="s">
        <v>120</v>
      </c>
      <c r="D361" s="599">
        <f>+D359</f>
        <v>0</v>
      </c>
      <c r="E361" s="657">
        <f>IF(D361&lt;=0,0,F361/D361)</f>
        <v>0</v>
      </c>
      <c r="F361" s="659">
        <f t="shared" ref="F361" si="74">+F359</f>
        <v>0</v>
      </c>
      <c r="G361" s="658"/>
      <c r="H361" s="657"/>
      <c r="I361" s="659"/>
      <c r="J361" s="658">
        <f t="shared" ref="J361" si="75">+J359</f>
        <v>0</v>
      </c>
      <c r="K361" s="657">
        <f>IF(J361&lt;=0,0,L361/J361)</f>
        <v>0</v>
      </c>
      <c r="L361" s="659">
        <f>+L359</f>
        <v>0</v>
      </c>
      <c r="M361" s="635"/>
      <c r="N361" s="713"/>
      <c r="O361" s="658">
        <f>+O359</f>
        <v>0</v>
      </c>
      <c r="P361" s="657">
        <f>IF(O361&lt;=0,0,Q361/O361)</f>
        <v>0</v>
      </c>
      <c r="Q361" s="659">
        <f>+Q359</f>
        <v>0</v>
      </c>
      <c r="R361" s="525">
        <f>IF(O361=0,0,(J361-O361)/O361)</f>
        <v>0</v>
      </c>
      <c r="S361" s="543">
        <f>L361-Q361</f>
        <v>0</v>
      </c>
      <c r="T361" s="501"/>
      <c r="U361" s="501"/>
      <c r="V361" s="504"/>
      <c r="W361" s="501"/>
      <c r="X361" s="501"/>
      <c r="Y361" s="501"/>
      <c r="Z361" s="501"/>
      <c r="AA361" s="501"/>
      <c r="AB361" s="501"/>
      <c r="AC361" s="501"/>
      <c r="AD361" s="501"/>
      <c r="AE361" s="501"/>
      <c r="AF361" s="501"/>
      <c r="AG361" s="501"/>
      <c r="AH361" s="501"/>
      <c r="AI361" s="501"/>
      <c r="AJ361" s="501"/>
      <c r="AK361" s="501"/>
      <c r="AL361" s="501"/>
      <c r="AM361" s="501"/>
      <c r="AN361" s="501"/>
    </row>
    <row r="362" spans="1:40" ht="15.75" hidden="1" customHeight="1">
      <c r="A362" s="517" t="s">
        <v>119</v>
      </c>
      <c r="B362" s="504" t="s">
        <v>119</v>
      </c>
      <c r="C362" s="566"/>
      <c r="D362" s="504"/>
      <c r="E362" s="504"/>
      <c r="F362" s="551"/>
      <c r="G362" s="525"/>
      <c r="H362" s="504"/>
      <c r="I362" s="551"/>
      <c r="J362" s="525"/>
      <c r="K362" s="504"/>
      <c r="L362" s="535"/>
      <c r="M362" s="525"/>
      <c r="N362" s="647"/>
      <c r="O362" s="525"/>
      <c r="P362" s="504"/>
      <c r="Q362" s="535"/>
      <c r="R362" s="525"/>
      <c r="S362" s="535">
        <f>IF(Q361=0,0,S361/Q361)</f>
        <v>0</v>
      </c>
      <c r="T362" s="501"/>
      <c r="U362" s="501"/>
      <c r="V362" s="504"/>
      <c r="W362" s="501"/>
      <c r="X362" s="501"/>
      <c r="Y362" s="501"/>
      <c r="Z362" s="501"/>
      <c r="AA362" s="501"/>
      <c r="AB362" s="501"/>
      <c r="AC362" s="501"/>
      <c r="AD362" s="501"/>
      <c r="AE362" s="501"/>
      <c r="AF362" s="501"/>
      <c r="AG362" s="501"/>
      <c r="AH362" s="501"/>
      <c r="AI362" s="501"/>
      <c r="AJ362" s="501"/>
      <c r="AK362" s="501"/>
      <c r="AL362" s="501"/>
      <c r="AM362" s="501"/>
      <c r="AN362" s="501"/>
    </row>
    <row r="363" spans="1:40" ht="15.75" hidden="1" customHeight="1">
      <c r="A363" s="517" t="s">
        <v>440</v>
      </c>
      <c r="B363" s="504" t="s">
        <v>119</v>
      </c>
      <c r="C363" s="566" t="s">
        <v>30</v>
      </c>
      <c r="D363" s="504"/>
      <c r="E363" s="504"/>
      <c r="F363" s="551"/>
      <c r="G363" s="525"/>
      <c r="H363" s="504"/>
      <c r="I363" s="551"/>
      <c r="J363" s="525"/>
      <c r="K363" s="504"/>
      <c r="L363" s="535"/>
      <c r="M363" s="525"/>
      <c r="N363" s="535"/>
      <c r="O363" s="525"/>
      <c r="P363" s="504"/>
      <c r="Q363" s="535"/>
      <c r="R363" s="525"/>
      <c r="S363" s="535"/>
      <c r="T363" s="501"/>
      <c r="U363" s="501"/>
      <c r="V363" s="504"/>
      <c r="W363" s="501"/>
      <c r="X363" s="501"/>
      <c r="Y363" s="501"/>
      <c r="Z363" s="501"/>
      <c r="AA363" s="501"/>
      <c r="AB363" s="501"/>
      <c r="AC363" s="501"/>
      <c r="AD363" s="501"/>
      <c r="AE363" s="501"/>
      <c r="AF363" s="501"/>
      <c r="AG363" s="501"/>
      <c r="AH363" s="501"/>
      <c r="AI363" s="501"/>
      <c r="AJ363" s="501"/>
      <c r="AK363" s="501"/>
      <c r="AL363" s="501"/>
      <c r="AM363" s="501"/>
      <c r="AN363" s="501"/>
    </row>
    <row r="364" spans="1:40" ht="15.75" hidden="1" customHeight="1">
      <c r="A364" s="517" t="s">
        <v>441</v>
      </c>
      <c r="B364" s="504" t="s">
        <v>119</v>
      </c>
      <c r="C364" s="592" t="s">
        <v>41</v>
      </c>
      <c r="D364" s="504"/>
      <c r="E364" s="504"/>
      <c r="F364" s="526">
        <f t="array" ref="F364">+INDEX('[5]Budget original'!$A$2:$AO$500,MATCH($A364,'[5]Budget original'!$A$2:$A$500,0),MATCH(F$2,'[5]Budget original'!$A$2:$AO$2,0))</f>
        <v>0</v>
      </c>
      <c r="G364" s="525"/>
      <c r="H364" s="504"/>
      <c r="I364" s="526"/>
      <c r="J364" s="525"/>
      <c r="K364" s="504"/>
      <c r="L364" s="528">
        <f>-SUMIFS([5]BV_Data_An_Cour!$O:$O,[5]BV_Data_An_Cour!$U:$U,$B364,[5]BV_Data_An_Cour!$V:$V,$C364,[5]BV_Data_An_Cour!$W:$W,$L$2)</f>
        <v>0</v>
      </c>
      <c r="M364" s="525"/>
      <c r="N364" s="535"/>
      <c r="O364" s="525"/>
      <c r="P364" s="504"/>
      <c r="Q364" s="528">
        <f>-SUMIFS([5]BV_Data_An_Prec!$O:$O,[5]BV_Data_An_Prec!$U:$U,$B364,[5]BV_Data_An_Prec!$V:$V,$C364,[5]BV_Data_An_Prec!$W:$W,$L$2)</f>
        <v>0</v>
      </c>
      <c r="R364" s="525"/>
      <c r="S364" s="528">
        <f t="shared" ref="S364:S393" si="76">L364-Q364</f>
        <v>0</v>
      </c>
      <c r="T364" s="501"/>
      <c r="U364" s="501"/>
      <c r="V364" s="504"/>
      <c r="W364" s="501"/>
      <c r="X364" s="501"/>
      <c r="Y364" s="501"/>
      <c r="Z364" s="501"/>
      <c r="AA364" s="501"/>
      <c r="AB364" s="501"/>
      <c r="AC364" s="501"/>
      <c r="AD364" s="501"/>
      <c r="AE364" s="501"/>
      <c r="AF364" s="501"/>
      <c r="AG364" s="501"/>
      <c r="AH364" s="501"/>
      <c r="AI364" s="501"/>
      <c r="AJ364" s="501"/>
      <c r="AK364" s="501"/>
      <c r="AL364" s="501"/>
      <c r="AM364" s="501"/>
      <c r="AN364" s="501"/>
    </row>
    <row r="365" spans="1:40" ht="15.75" hidden="1" customHeight="1">
      <c r="A365" s="517" t="s">
        <v>442</v>
      </c>
      <c r="B365" s="504" t="s">
        <v>119</v>
      </c>
      <c r="C365" s="593" t="s">
        <v>42</v>
      </c>
      <c r="D365" s="577"/>
      <c r="E365" s="504"/>
      <c r="F365" s="520">
        <f t="array" ref="F365">+INDEX('[5]Budget original'!$A$2:$AO$500,MATCH($A365,'[5]Budget original'!$A$2:$A$500,0),MATCH(F$2,'[5]Budget original'!$A$2:$AO$2,0))</f>
        <v>0</v>
      </c>
      <c r="G365" s="578"/>
      <c r="H365" s="504"/>
      <c r="I365" s="520"/>
      <c r="J365" s="525"/>
      <c r="K365" s="504"/>
      <c r="L365" s="520">
        <f>-SUMIFS([5]BV_Data_An_Cour!$O:$O,[5]BV_Data_An_Cour!$U:$U,$B365,[5]BV_Data_An_Cour!$V:$V,$C365,[5]BV_Data_An_Cour!$W:$W,$L$2)</f>
        <v>0</v>
      </c>
      <c r="M365" s="525"/>
      <c r="N365" s="551"/>
      <c r="O365" s="525"/>
      <c r="P365" s="504"/>
      <c r="Q365" s="520">
        <f>-SUMIFS([5]BV_Data_An_Prec!$O:$O,[5]BV_Data_An_Prec!$U:$U,$B365,[5]BV_Data_An_Prec!$V:$V,$C365,[5]BV_Data_An_Prec!$W:$W,$L$2)</f>
        <v>0</v>
      </c>
      <c r="R365" s="525"/>
      <c r="S365" s="551">
        <f t="shared" si="76"/>
        <v>0</v>
      </c>
      <c r="T365" s="501"/>
      <c r="U365" s="501"/>
      <c r="V365" s="504"/>
      <c r="W365" s="501"/>
      <c r="X365" s="501"/>
      <c r="Y365" s="501"/>
      <c r="Z365" s="501"/>
      <c r="AA365" s="501"/>
      <c r="AB365" s="501"/>
      <c r="AC365" s="501"/>
      <c r="AD365" s="501"/>
      <c r="AE365" s="501"/>
      <c r="AF365" s="501"/>
      <c r="AG365" s="501"/>
      <c r="AH365" s="501"/>
      <c r="AI365" s="501"/>
      <c r="AJ365" s="501"/>
      <c r="AK365" s="501"/>
      <c r="AL365" s="501"/>
      <c r="AM365" s="501"/>
      <c r="AN365" s="501"/>
    </row>
    <row r="366" spans="1:40" ht="15.75" hidden="1" customHeight="1">
      <c r="A366" s="517" t="s">
        <v>443</v>
      </c>
      <c r="B366" s="504" t="s">
        <v>119</v>
      </c>
      <c r="C366" s="592" t="s">
        <v>43</v>
      </c>
      <c r="D366" s="594"/>
      <c r="E366" s="595"/>
      <c r="F366" s="526">
        <f t="array" ref="F366">+INDEX('[5]Budget original'!$A$2:$AO$500,MATCH($A366,'[5]Budget original'!$A$2:$A$500,0),MATCH(F$2,'[5]Budget original'!$A$2:$AO$2,0))</f>
        <v>0</v>
      </c>
      <c r="G366" s="596"/>
      <c r="H366" s="595"/>
      <c r="I366" s="526"/>
      <c r="J366" s="512"/>
      <c r="K366" s="595"/>
      <c r="L366" s="528">
        <f>-SUMIFS([5]BV_Data_An_Cour!$O:$O,[5]BV_Data_An_Cour!$U:$U,$B366,[5]BV_Data_An_Cour!$V:$V,$C366,[5]BV_Data_An_Cour!$W:$W,$L$2)</f>
        <v>0</v>
      </c>
      <c r="M366" s="512"/>
      <c r="N366" s="597"/>
      <c r="O366" s="512"/>
      <c r="P366" s="595"/>
      <c r="Q366" s="528">
        <f>-SUMIFS([5]BV_Data_An_Prec!$O:$O,[5]BV_Data_An_Prec!$U:$U,$B366,[5]BV_Data_An_Prec!$V:$V,$C366,[5]BV_Data_An_Prec!$W:$W,$L$2)</f>
        <v>0</v>
      </c>
      <c r="R366" s="512"/>
      <c r="S366" s="597">
        <f t="shared" si="76"/>
        <v>0</v>
      </c>
      <c r="T366" s="501"/>
      <c r="U366" s="501"/>
      <c r="V366" s="504"/>
      <c r="W366" s="501"/>
      <c r="X366" s="501"/>
      <c r="Y366" s="501"/>
      <c r="Z366" s="501"/>
      <c r="AA366" s="501"/>
      <c r="AB366" s="501"/>
      <c r="AC366" s="501"/>
      <c r="AD366" s="501"/>
      <c r="AE366" s="501"/>
      <c r="AF366" s="501"/>
      <c r="AG366" s="501"/>
      <c r="AH366" s="501"/>
      <c r="AI366" s="501"/>
      <c r="AJ366" s="501"/>
      <c r="AK366" s="501"/>
      <c r="AL366" s="501"/>
      <c r="AM366" s="501"/>
      <c r="AN366" s="501"/>
    </row>
    <row r="367" spans="1:40" ht="15.75" hidden="1" customHeight="1">
      <c r="A367" s="517" t="s">
        <v>444</v>
      </c>
      <c r="B367" s="504" t="s">
        <v>119</v>
      </c>
      <c r="C367" s="592" t="s">
        <v>44</v>
      </c>
      <c r="D367" s="577"/>
      <c r="E367" s="504"/>
      <c r="F367" s="526">
        <f t="array" ref="F367">+INDEX('[5]Budget original'!$A$2:$AO$500,MATCH($A367,'[5]Budget original'!$A$2:$A$500,0),MATCH(F$2,'[5]Budget original'!$A$2:$AO$2,0))</f>
        <v>0</v>
      </c>
      <c r="G367" s="578"/>
      <c r="H367" s="504"/>
      <c r="I367" s="526"/>
      <c r="J367" s="525"/>
      <c r="K367" s="504"/>
      <c r="L367" s="528">
        <f>-SUMIFS([5]BV_Data_An_Cour!$O:$O,[5]BV_Data_An_Cour!$U:$U,$B367,[5]BV_Data_An_Cour!$V:$V,$C367,[5]BV_Data_An_Cour!$W:$W,$L$2)</f>
        <v>0</v>
      </c>
      <c r="M367" s="525"/>
      <c r="N367" s="551"/>
      <c r="O367" s="525"/>
      <c r="P367" s="504"/>
      <c r="Q367" s="528">
        <f>-SUMIFS([5]BV_Data_An_Prec!$O:$O,[5]BV_Data_An_Prec!$U:$U,$B367,[5]BV_Data_An_Prec!$V:$V,$C367,[5]BV_Data_An_Prec!$W:$W,$L$2)</f>
        <v>0</v>
      </c>
      <c r="R367" s="525"/>
      <c r="S367" s="551">
        <f t="shared" si="76"/>
        <v>0</v>
      </c>
      <c r="T367" s="501"/>
      <c r="U367" s="501"/>
      <c r="V367" s="504"/>
      <c r="W367" s="501"/>
      <c r="X367" s="501"/>
      <c r="Y367" s="501"/>
      <c r="Z367" s="501"/>
      <c r="AA367" s="501"/>
      <c r="AB367" s="501"/>
      <c r="AC367" s="501"/>
      <c r="AD367" s="501"/>
      <c r="AE367" s="501"/>
      <c r="AF367" s="501"/>
      <c r="AG367" s="501"/>
      <c r="AH367" s="501"/>
      <c r="AI367" s="501"/>
      <c r="AJ367" s="501"/>
      <c r="AK367" s="501"/>
      <c r="AL367" s="501"/>
      <c r="AM367" s="501"/>
      <c r="AN367" s="501"/>
    </row>
    <row r="368" spans="1:40" ht="15.75" hidden="1" customHeight="1">
      <c r="A368" s="517" t="s">
        <v>445</v>
      </c>
      <c r="B368" s="504" t="s">
        <v>119</v>
      </c>
      <c r="C368" s="525" t="s">
        <v>20</v>
      </c>
      <c r="D368" s="577"/>
      <c r="E368" s="504"/>
      <c r="F368" s="526">
        <f t="array" ref="F368">+INDEX('[5]Budget original'!$A$2:$AO$500,MATCH($A368,'[5]Budget original'!$A$2:$A$500,0),MATCH(F$2,'[5]Budget original'!$A$2:$AO$2,0))</f>
        <v>0</v>
      </c>
      <c r="G368" s="578"/>
      <c r="H368" s="504"/>
      <c r="I368" s="526"/>
      <c r="J368" s="525"/>
      <c r="K368" s="504"/>
      <c r="L368" s="528">
        <f>-SUMIFS([5]BV_Data_An_Cour!$O:$O,[5]BV_Data_An_Cour!$U:$U,$B368,[5]BV_Data_An_Cour!$V:$V,$C368,[5]BV_Data_An_Cour!$W:$W,$L$2)</f>
        <v>0</v>
      </c>
      <c r="M368" s="525"/>
      <c r="N368" s="551"/>
      <c r="O368" s="525"/>
      <c r="P368" s="504"/>
      <c r="Q368" s="528">
        <f>-SUMIFS([5]BV_Data_An_Prec!$O:$O,[5]BV_Data_An_Prec!$U:$U,$B368,[5]BV_Data_An_Prec!$V:$V,$C368,[5]BV_Data_An_Prec!$W:$W,$L$2)</f>
        <v>0</v>
      </c>
      <c r="R368" s="525"/>
      <c r="S368" s="551">
        <f t="shared" si="76"/>
        <v>0</v>
      </c>
      <c r="T368" s="501"/>
      <c r="U368" s="501"/>
      <c r="V368" s="504"/>
      <c r="W368" s="501"/>
      <c r="X368" s="501"/>
      <c r="Y368" s="501"/>
      <c r="Z368" s="501"/>
      <c r="AA368" s="501"/>
      <c r="AB368" s="501"/>
      <c r="AC368" s="501"/>
      <c r="AD368" s="501"/>
      <c r="AE368" s="501"/>
      <c r="AF368" s="501"/>
      <c r="AG368" s="501"/>
      <c r="AH368" s="501"/>
      <c r="AI368" s="501"/>
      <c r="AJ368" s="501"/>
      <c r="AK368" s="501"/>
      <c r="AL368" s="501"/>
      <c r="AM368" s="501"/>
      <c r="AN368" s="501"/>
    </row>
    <row r="369" spans="1:40" ht="15.75" hidden="1" customHeight="1">
      <c r="A369" s="517" t="s">
        <v>445</v>
      </c>
      <c r="B369" s="504" t="s">
        <v>119</v>
      </c>
      <c r="C369" s="525" t="s">
        <v>20</v>
      </c>
      <c r="D369" s="577"/>
      <c r="E369" s="504"/>
      <c r="F369" s="526">
        <f t="array" ref="F369">+INDEX('[5]Budget original'!$A$2:$AO$500,MATCH($A369,'[5]Budget original'!$A$2:$A$500,0),MATCH(F$2,'[5]Budget original'!$A$2:$AO$2,0))</f>
        <v>0</v>
      </c>
      <c r="G369" s="578"/>
      <c r="H369" s="504"/>
      <c r="I369" s="526"/>
      <c r="J369" s="525"/>
      <c r="K369" s="504"/>
      <c r="L369" s="528">
        <f>-SUMIFS([5]BV_Data_An_Cour!$O:$O,[5]BV_Data_An_Cour!$U:$U,$B369,[5]BV_Data_An_Cour!$V:$V,$C369,[5]BV_Data_An_Cour!$W:$W,$L$2)</f>
        <v>0</v>
      </c>
      <c r="M369" s="525"/>
      <c r="N369" s="551"/>
      <c r="O369" s="525"/>
      <c r="P369" s="504"/>
      <c r="Q369" s="528">
        <f>-SUMIFS([5]BV_Data_An_Prec!$O:$O,[5]BV_Data_An_Prec!$U:$U,$B369,[5]BV_Data_An_Prec!$V:$V,$C369,[5]BV_Data_An_Prec!$W:$W,$L$2)</f>
        <v>0</v>
      </c>
      <c r="R369" s="525"/>
      <c r="S369" s="551">
        <f t="shared" si="76"/>
        <v>0</v>
      </c>
      <c r="T369" s="501"/>
      <c r="U369" s="501"/>
      <c r="V369" s="504"/>
      <c r="W369" s="501"/>
      <c r="X369" s="501"/>
      <c r="Y369" s="501"/>
      <c r="Z369" s="501"/>
      <c r="AA369" s="501"/>
      <c r="AB369" s="501"/>
      <c r="AC369" s="501"/>
      <c r="AD369" s="501"/>
      <c r="AE369" s="501"/>
      <c r="AF369" s="501"/>
      <c r="AG369" s="501"/>
      <c r="AH369" s="501"/>
      <c r="AI369" s="501"/>
      <c r="AJ369" s="501"/>
      <c r="AK369" s="501"/>
      <c r="AL369" s="501"/>
      <c r="AM369" s="501"/>
      <c r="AN369" s="501"/>
    </row>
    <row r="370" spans="1:40" ht="15.75" hidden="1" customHeight="1">
      <c r="A370" s="517" t="s">
        <v>445</v>
      </c>
      <c r="B370" s="504" t="s">
        <v>119</v>
      </c>
      <c r="C370" s="525" t="s">
        <v>20</v>
      </c>
      <c r="D370" s="577"/>
      <c r="E370" s="504"/>
      <c r="F370" s="526">
        <f t="array" ref="F370">+INDEX('[5]Budget original'!$A$2:$AO$500,MATCH($A370,'[5]Budget original'!$A$2:$A$500,0),MATCH(F$2,'[5]Budget original'!$A$2:$AO$2,0))</f>
        <v>0</v>
      </c>
      <c r="G370" s="578"/>
      <c r="H370" s="504"/>
      <c r="I370" s="526"/>
      <c r="J370" s="525"/>
      <c r="K370" s="504"/>
      <c r="L370" s="528">
        <f>-SUMIFS([5]BV_Data_An_Cour!$O:$O,[5]BV_Data_An_Cour!$U:$U,$B370,[5]BV_Data_An_Cour!$V:$V,$C370,[5]BV_Data_An_Cour!$W:$W,$L$2)</f>
        <v>0</v>
      </c>
      <c r="M370" s="525"/>
      <c r="N370" s="551"/>
      <c r="O370" s="525"/>
      <c r="P370" s="504"/>
      <c r="Q370" s="528">
        <f>-SUMIFS([5]BV_Data_An_Prec!$O:$O,[5]BV_Data_An_Prec!$U:$U,$B370,[5]BV_Data_An_Prec!$V:$V,$C370,[5]BV_Data_An_Prec!$W:$W,$L$2)</f>
        <v>0</v>
      </c>
      <c r="R370" s="525"/>
      <c r="S370" s="551">
        <f t="shared" si="76"/>
        <v>0</v>
      </c>
      <c r="T370" s="501"/>
      <c r="U370" s="501"/>
      <c r="V370" s="504"/>
      <c r="W370" s="501"/>
      <c r="X370" s="501"/>
      <c r="Y370" s="501"/>
      <c r="Z370" s="501"/>
      <c r="AA370" s="501"/>
      <c r="AB370" s="501"/>
      <c r="AC370" s="501"/>
      <c r="AD370" s="501"/>
      <c r="AE370" s="501"/>
      <c r="AF370" s="501"/>
      <c r="AG370" s="501"/>
      <c r="AH370" s="501"/>
      <c r="AI370" s="501"/>
      <c r="AJ370" s="501"/>
      <c r="AK370" s="501"/>
      <c r="AL370" s="501"/>
      <c r="AM370" s="501"/>
      <c r="AN370" s="501"/>
    </row>
    <row r="371" spans="1:40" ht="15.75" hidden="1" customHeight="1">
      <c r="A371" s="517" t="s">
        <v>446</v>
      </c>
      <c r="B371" s="504" t="s">
        <v>119</v>
      </c>
      <c r="C371" s="593" t="s">
        <v>45</v>
      </c>
      <c r="D371" s="577"/>
      <c r="E371" s="504"/>
      <c r="F371" s="520">
        <f t="array" ref="F371">+INDEX('[5]Budget original'!$A$2:$AO$500,MATCH($A371,'[5]Budget original'!$A$2:$A$500,0),MATCH(F$2,'[5]Budget original'!$A$2:$AO$2,0))</f>
        <v>0</v>
      </c>
      <c r="G371" s="578"/>
      <c r="H371" s="504"/>
      <c r="I371" s="520"/>
      <c r="J371" s="525"/>
      <c r="K371" s="504"/>
      <c r="L371" s="520">
        <f>-SUMIFS([5]BV_Data_An_Cour!$O:$O,[5]BV_Data_An_Cour!$U:$U,$B371,[5]BV_Data_An_Cour!$V:$V,$C371,[5]BV_Data_An_Cour!$W:$W,$L$2)</f>
        <v>0</v>
      </c>
      <c r="M371" s="525"/>
      <c r="N371" s="551"/>
      <c r="O371" s="525"/>
      <c r="P371" s="504"/>
      <c r="Q371" s="520">
        <f>-SUMIFS([5]BV_Data_An_Prec!$O:$O,[5]BV_Data_An_Prec!$U:$U,$B371,[5]BV_Data_An_Prec!$V:$V,$C371,[5]BV_Data_An_Prec!$W:$W,$L$2)</f>
        <v>0</v>
      </c>
      <c r="R371" s="525"/>
      <c r="S371" s="551">
        <f t="shared" si="76"/>
        <v>0</v>
      </c>
      <c r="T371" s="501"/>
      <c r="U371" s="501"/>
      <c r="V371" s="504"/>
      <c r="W371" s="501"/>
      <c r="X371" s="501"/>
      <c r="Y371" s="501"/>
      <c r="Z371" s="501"/>
      <c r="AA371" s="501"/>
      <c r="AB371" s="501"/>
      <c r="AC371" s="501"/>
      <c r="AD371" s="501"/>
      <c r="AE371" s="501"/>
      <c r="AF371" s="501"/>
      <c r="AG371" s="501"/>
      <c r="AH371" s="501"/>
      <c r="AI371" s="501"/>
      <c r="AJ371" s="501"/>
      <c r="AK371" s="501"/>
      <c r="AL371" s="501"/>
      <c r="AM371" s="501"/>
      <c r="AN371" s="501"/>
    </row>
    <row r="372" spans="1:40" ht="15.75" hidden="1" customHeight="1">
      <c r="A372" s="517" t="s">
        <v>447</v>
      </c>
      <c r="B372" s="504" t="s">
        <v>119</v>
      </c>
      <c r="C372" s="592" t="s">
        <v>46</v>
      </c>
      <c r="D372" s="594"/>
      <c r="E372" s="595"/>
      <c r="F372" s="526">
        <f t="array" ref="F372">+INDEX('[5]Budget original'!$A$2:$AO$500,MATCH($A372,'[5]Budget original'!$A$2:$A$500,0),MATCH(F$2,'[5]Budget original'!$A$2:$AO$2,0))</f>
        <v>0</v>
      </c>
      <c r="G372" s="596"/>
      <c r="H372" s="595"/>
      <c r="I372" s="526"/>
      <c r="J372" s="512"/>
      <c r="K372" s="595"/>
      <c r="L372" s="528">
        <f>-SUMIFS([5]BV_Data_An_Cour!$O:$O,[5]BV_Data_An_Cour!$U:$U,$B372,[5]BV_Data_An_Cour!$V:$V,$C372,[5]BV_Data_An_Cour!$W:$W,$L$2)</f>
        <v>0</v>
      </c>
      <c r="M372" s="512"/>
      <c r="N372" s="597"/>
      <c r="O372" s="512"/>
      <c r="P372" s="595"/>
      <c r="Q372" s="528">
        <f>-SUMIFS([5]BV_Data_An_Prec!$O:$O,[5]BV_Data_An_Prec!$U:$U,$B372,[5]BV_Data_An_Prec!$V:$V,$C372,[5]BV_Data_An_Prec!$W:$W,$L$2)</f>
        <v>0</v>
      </c>
      <c r="R372" s="512"/>
      <c r="S372" s="597">
        <f t="shared" si="76"/>
        <v>0</v>
      </c>
      <c r="T372" s="501"/>
      <c r="U372" s="501"/>
      <c r="V372" s="504"/>
      <c r="W372" s="501"/>
      <c r="X372" s="501"/>
      <c r="Y372" s="501"/>
      <c r="Z372" s="501"/>
      <c r="AA372" s="501"/>
      <c r="AB372" s="501"/>
      <c r="AC372" s="501"/>
      <c r="AD372" s="501"/>
      <c r="AE372" s="501"/>
      <c r="AF372" s="501"/>
      <c r="AG372" s="501"/>
      <c r="AH372" s="501"/>
      <c r="AI372" s="501"/>
      <c r="AJ372" s="501"/>
      <c r="AK372" s="501"/>
      <c r="AL372" s="501"/>
      <c r="AM372" s="501"/>
      <c r="AN372" s="501"/>
    </row>
    <row r="373" spans="1:40" ht="15.75" hidden="1" customHeight="1">
      <c r="A373" s="517" t="s">
        <v>448</v>
      </c>
      <c r="B373" s="504" t="s">
        <v>119</v>
      </c>
      <c r="C373" s="592" t="s">
        <v>47</v>
      </c>
      <c r="D373" s="577"/>
      <c r="E373" s="504"/>
      <c r="F373" s="526">
        <f t="array" ref="F373">+INDEX('[5]Budget original'!$A$2:$AO$500,MATCH($A373,'[5]Budget original'!$A$2:$A$500,0),MATCH(F$2,'[5]Budget original'!$A$2:$AO$2,0))</f>
        <v>0</v>
      </c>
      <c r="G373" s="578"/>
      <c r="H373" s="504"/>
      <c r="I373" s="526"/>
      <c r="J373" s="525"/>
      <c r="K373" s="504"/>
      <c r="L373" s="528">
        <f>-SUMIFS([5]BV_Data_An_Cour!$O:$O,[5]BV_Data_An_Cour!$U:$U,$B373,[5]BV_Data_An_Cour!$V:$V,$C373,[5]BV_Data_An_Cour!$W:$W,$L$2)</f>
        <v>0</v>
      </c>
      <c r="M373" s="525"/>
      <c r="N373" s="551"/>
      <c r="O373" s="525"/>
      <c r="P373" s="504"/>
      <c r="Q373" s="528">
        <f>-SUMIFS([5]BV_Data_An_Prec!$O:$O,[5]BV_Data_An_Prec!$U:$U,$B373,[5]BV_Data_An_Prec!$V:$V,$C373,[5]BV_Data_An_Prec!$W:$W,$L$2)</f>
        <v>0</v>
      </c>
      <c r="R373" s="525"/>
      <c r="S373" s="551">
        <f t="shared" si="76"/>
        <v>0</v>
      </c>
      <c r="T373" s="501"/>
      <c r="U373" s="501"/>
      <c r="V373" s="504"/>
      <c r="W373" s="501"/>
      <c r="X373" s="501"/>
      <c r="Y373" s="501"/>
      <c r="Z373" s="501"/>
      <c r="AA373" s="501"/>
      <c r="AB373" s="501"/>
      <c r="AC373" s="501"/>
      <c r="AD373" s="501"/>
      <c r="AE373" s="501"/>
      <c r="AF373" s="501"/>
      <c r="AG373" s="501"/>
      <c r="AH373" s="501"/>
      <c r="AI373" s="501"/>
      <c r="AJ373" s="501"/>
      <c r="AK373" s="501"/>
      <c r="AL373" s="501"/>
      <c r="AM373" s="501"/>
      <c r="AN373" s="501"/>
    </row>
    <row r="374" spans="1:40" ht="15.75" hidden="1" customHeight="1">
      <c r="A374" s="517" t="s">
        <v>449</v>
      </c>
      <c r="B374" s="504" t="s">
        <v>119</v>
      </c>
      <c r="C374" s="592" t="s">
        <v>48</v>
      </c>
      <c r="D374" s="577"/>
      <c r="E374" s="504"/>
      <c r="F374" s="526">
        <f t="array" ref="F374">+INDEX('[5]Budget original'!$A$2:$AO$500,MATCH($A374,'[5]Budget original'!$A$2:$A$500,0),MATCH(F$2,'[5]Budget original'!$A$2:$AO$2,0))</f>
        <v>0</v>
      </c>
      <c r="G374" s="578"/>
      <c r="H374" s="504"/>
      <c r="I374" s="526"/>
      <c r="J374" s="525"/>
      <c r="K374" s="504"/>
      <c r="L374" s="528">
        <f>-SUMIFS([5]BV_Data_An_Cour!$O:$O,[5]BV_Data_An_Cour!$U:$U,$B374,[5]BV_Data_An_Cour!$V:$V,$C374,[5]BV_Data_An_Cour!$W:$W,$L$2)</f>
        <v>0</v>
      </c>
      <c r="M374" s="525"/>
      <c r="N374" s="551"/>
      <c r="O374" s="525"/>
      <c r="P374" s="504"/>
      <c r="Q374" s="528">
        <f>-SUMIFS([5]BV_Data_An_Prec!$O:$O,[5]BV_Data_An_Prec!$U:$U,$B374,[5]BV_Data_An_Prec!$V:$V,$C374,[5]BV_Data_An_Prec!$W:$W,$L$2)</f>
        <v>0</v>
      </c>
      <c r="R374" s="525"/>
      <c r="S374" s="551">
        <f t="shared" si="76"/>
        <v>0</v>
      </c>
      <c r="T374" s="501"/>
      <c r="U374" s="501"/>
      <c r="V374" s="504"/>
      <c r="W374" s="501"/>
      <c r="X374" s="501"/>
      <c r="Y374" s="501"/>
      <c r="Z374" s="501"/>
      <c r="AA374" s="501"/>
      <c r="AB374" s="501"/>
      <c r="AC374" s="501"/>
      <c r="AD374" s="501"/>
      <c r="AE374" s="501"/>
      <c r="AF374" s="501"/>
      <c r="AG374" s="501"/>
      <c r="AH374" s="501"/>
      <c r="AI374" s="501"/>
      <c r="AJ374" s="501"/>
      <c r="AK374" s="501"/>
      <c r="AL374" s="501"/>
      <c r="AM374" s="501"/>
      <c r="AN374" s="501"/>
    </row>
    <row r="375" spans="1:40" ht="15.75" hidden="1" customHeight="1">
      <c r="A375" s="517" t="s">
        <v>445</v>
      </c>
      <c r="B375" s="504" t="s">
        <v>119</v>
      </c>
      <c r="C375" s="525" t="s">
        <v>20</v>
      </c>
      <c r="D375" s="579"/>
      <c r="E375" s="598"/>
      <c r="F375" s="526">
        <f t="array" ref="F375">+INDEX('[5]Budget original'!$A$2:$AO$500,MATCH($A375,'[5]Budget original'!$A$2:$A$500,0),MATCH(F$2,'[5]Budget original'!$A$2:$AO$2,0))</f>
        <v>0</v>
      </c>
      <c r="G375" s="580"/>
      <c r="H375" s="598"/>
      <c r="I375" s="526"/>
      <c r="J375" s="518"/>
      <c r="K375" s="598"/>
      <c r="L375" s="528">
        <f>-SUMIFS([5]BV_Data_An_Cour!$O:$O,[5]BV_Data_An_Cour!$U:$U,$B375,[5]BV_Data_An_Cour!$V:$V,$C375,[5]BV_Data_An_Cour!$W:$W,$L$2)</f>
        <v>0</v>
      </c>
      <c r="M375" s="518"/>
      <c r="N375" s="574"/>
      <c r="O375" s="518"/>
      <c r="P375" s="598"/>
      <c r="Q375" s="528">
        <f>-SUMIFS([5]BV_Data_An_Prec!$O:$O,[5]BV_Data_An_Prec!$U:$U,$B375,[5]BV_Data_An_Prec!$V:$V,$C375,[5]BV_Data_An_Prec!$W:$W,$L$2)</f>
        <v>0</v>
      </c>
      <c r="R375" s="518"/>
      <c r="S375" s="574">
        <f t="shared" si="76"/>
        <v>0</v>
      </c>
      <c r="T375" s="501"/>
      <c r="U375" s="501"/>
      <c r="V375" s="504"/>
      <c r="W375" s="501"/>
      <c r="X375" s="501"/>
      <c r="Y375" s="501"/>
      <c r="Z375" s="501"/>
      <c r="AA375" s="501"/>
      <c r="AB375" s="501"/>
      <c r="AC375" s="501"/>
      <c r="AD375" s="501"/>
      <c r="AE375" s="501"/>
      <c r="AF375" s="501"/>
      <c r="AG375" s="501"/>
      <c r="AH375" s="501"/>
      <c r="AI375" s="501"/>
      <c r="AJ375" s="501"/>
      <c r="AK375" s="501"/>
      <c r="AL375" s="501"/>
      <c r="AM375" s="501"/>
      <c r="AN375" s="501"/>
    </row>
    <row r="376" spans="1:40" ht="15.75" hidden="1" customHeight="1">
      <c r="A376" s="517" t="s">
        <v>450</v>
      </c>
      <c r="B376" s="504" t="s">
        <v>119</v>
      </c>
      <c r="C376" s="584" t="s">
        <v>49</v>
      </c>
      <c r="D376" s="585" t="s">
        <v>39</v>
      </c>
      <c r="E376" s="586">
        <f>IFERROR(F376/F$359,0)</f>
        <v>0</v>
      </c>
      <c r="F376" s="587">
        <f>+SUM(F364:F375)</f>
        <v>0</v>
      </c>
      <c r="G376" s="588"/>
      <c r="H376" s="586"/>
      <c r="I376" s="587"/>
      <c r="J376" s="588" t="s">
        <v>39</v>
      </c>
      <c r="K376" s="586">
        <f>IFERROR(L376/L$359,0)</f>
        <v>0</v>
      </c>
      <c r="L376" s="587">
        <f>+SUM(L364:L375)</f>
        <v>0</v>
      </c>
      <c r="M376" s="637"/>
      <c r="N376" s="600"/>
      <c r="O376" s="588" t="s">
        <v>39</v>
      </c>
      <c r="P376" s="586">
        <f>IFERROR(Q376/Q$359,0)</f>
        <v>0</v>
      </c>
      <c r="Q376" s="587">
        <f>+SUM(Q364:Q375)</f>
        <v>0</v>
      </c>
      <c r="R376" s="637"/>
      <c r="S376" s="600">
        <f t="shared" si="76"/>
        <v>0</v>
      </c>
      <c r="T376" s="501"/>
      <c r="U376" s="501"/>
      <c r="V376" s="504"/>
      <c r="W376" s="501"/>
      <c r="X376" s="501"/>
      <c r="Y376" s="501"/>
      <c r="Z376" s="501"/>
      <c r="AA376" s="501"/>
      <c r="AB376" s="501"/>
      <c r="AC376" s="501"/>
      <c r="AD376" s="501"/>
      <c r="AE376" s="501"/>
      <c r="AF376" s="501"/>
      <c r="AG376" s="501"/>
      <c r="AH376" s="501"/>
      <c r="AI376" s="501"/>
      <c r="AJ376" s="501"/>
      <c r="AK376" s="501"/>
      <c r="AL376" s="501"/>
      <c r="AM376" s="501"/>
      <c r="AN376" s="501"/>
    </row>
    <row r="377" spans="1:40" ht="15.75" hidden="1" customHeight="1">
      <c r="A377" s="517" t="s">
        <v>451</v>
      </c>
      <c r="B377" s="504" t="s">
        <v>119</v>
      </c>
      <c r="C377" s="691" t="s">
        <v>50</v>
      </c>
      <c r="D377" s="577"/>
      <c r="E377" s="504"/>
      <c r="F377" s="526">
        <f t="array" ref="F377">+INDEX('[5]Budget original'!$A$2:$AO$500,MATCH($A377,'[5]Budget original'!$A$2:$A$500,0),MATCH(F$2,'[5]Budget original'!$A$2:$AO$2,0))</f>
        <v>0</v>
      </c>
      <c r="G377" s="578"/>
      <c r="H377" s="504"/>
      <c r="I377" s="526"/>
      <c r="J377" s="525"/>
      <c r="K377" s="504"/>
      <c r="L377" s="528">
        <f>-SUMIFS([5]BV_Data_An_Cour!$O:$O,[5]BV_Data_An_Cour!$U:$U,$B377,[5]BV_Data_An_Cour!$V:$V,$C377,[5]BV_Data_An_Cour!$W:$W,$L$2)</f>
        <v>0</v>
      </c>
      <c r="M377" s="525"/>
      <c r="N377" s="551"/>
      <c r="O377" s="525"/>
      <c r="P377" s="504"/>
      <c r="Q377" s="528">
        <f>-SUMIFS([5]BV_Data_An_Prec!$O:$O,[5]BV_Data_An_Prec!$U:$U,$B377,[5]BV_Data_An_Prec!$V:$V,$C377,[5]BV_Data_An_Prec!$W:$W,$L$2)</f>
        <v>0</v>
      </c>
      <c r="R377" s="525"/>
      <c r="S377" s="551">
        <f t="shared" si="76"/>
        <v>0</v>
      </c>
      <c r="T377" s="501"/>
      <c r="U377" s="501"/>
      <c r="V377" s="504"/>
      <c r="W377" s="501"/>
      <c r="X377" s="501"/>
      <c r="Y377" s="501"/>
      <c r="Z377" s="501"/>
      <c r="AA377" s="501"/>
      <c r="AB377" s="501"/>
      <c r="AC377" s="501"/>
      <c r="AD377" s="501"/>
      <c r="AE377" s="501"/>
      <c r="AF377" s="501"/>
      <c r="AG377" s="501"/>
      <c r="AH377" s="501"/>
      <c r="AI377" s="501"/>
      <c r="AJ377" s="501"/>
      <c r="AK377" s="501"/>
      <c r="AL377" s="501"/>
      <c r="AM377" s="501"/>
      <c r="AN377" s="501"/>
    </row>
    <row r="378" spans="1:40" ht="15.75" hidden="1" customHeight="1">
      <c r="A378" s="517" t="s">
        <v>452</v>
      </c>
      <c r="B378" s="504" t="s">
        <v>119</v>
      </c>
      <c r="C378" s="592" t="s">
        <v>51</v>
      </c>
      <c r="D378" s="577"/>
      <c r="E378" s="504"/>
      <c r="F378" s="526">
        <f t="array" ref="F378">+INDEX('[5]Budget original'!$A$2:$AO$500,MATCH($A378,'[5]Budget original'!$A$2:$A$500,0),MATCH(F$2,'[5]Budget original'!$A$2:$AO$2,0))</f>
        <v>0</v>
      </c>
      <c r="G378" s="578"/>
      <c r="H378" s="504"/>
      <c r="I378" s="526"/>
      <c r="J378" s="525"/>
      <c r="K378" s="504"/>
      <c r="L378" s="528">
        <f>-SUMIFS([5]BV_Data_An_Cour!$O:$O,[5]BV_Data_An_Cour!$U:$U,$B378,[5]BV_Data_An_Cour!$V:$V,$C378,[5]BV_Data_An_Cour!$W:$W,$L$2)</f>
        <v>0</v>
      </c>
      <c r="M378" s="525"/>
      <c r="N378" s="551"/>
      <c r="O378" s="525"/>
      <c r="P378" s="504"/>
      <c r="Q378" s="528">
        <f>-SUMIFS([5]BV_Data_An_Prec!$O:$O,[5]BV_Data_An_Prec!$U:$U,$B378,[5]BV_Data_An_Prec!$V:$V,$C378,[5]BV_Data_An_Prec!$W:$W,$L$2)</f>
        <v>0</v>
      </c>
      <c r="R378" s="525"/>
      <c r="S378" s="551">
        <f t="shared" si="76"/>
        <v>0</v>
      </c>
      <c r="T378" s="501"/>
      <c r="U378" s="501"/>
      <c r="V378" s="504"/>
      <c r="W378" s="501"/>
      <c r="X378" s="501"/>
      <c r="Y378" s="501"/>
      <c r="Z378" s="501"/>
      <c r="AA378" s="501"/>
      <c r="AB378" s="501"/>
      <c r="AC378" s="501"/>
      <c r="AD378" s="501"/>
      <c r="AE378" s="501"/>
      <c r="AF378" s="501"/>
      <c r="AG378" s="501"/>
      <c r="AH378" s="501"/>
      <c r="AI378" s="501"/>
      <c r="AJ378" s="501"/>
      <c r="AK378" s="501"/>
      <c r="AL378" s="501"/>
      <c r="AM378" s="501"/>
      <c r="AN378" s="501"/>
    </row>
    <row r="379" spans="1:40" ht="15.75" hidden="1" customHeight="1">
      <c r="A379" s="517" t="s">
        <v>453</v>
      </c>
      <c r="B379" s="504" t="s">
        <v>119</v>
      </c>
      <c r="C379" s="593" t="s">
        <v>52</v>
      </c>
      <c r="D379" s="579"/>
      <c r="E379" s="598"/>
      <c r="F379" s="520">
        <f t="array" ref="F379">+INDEX('[5]Budget original'!$A$2:$AO$500,MATCH($A379,'[5]Budget original'!$A$2:$A$500,0),MATCH(F$2,'[5]Budget original'!$A$2:$AO$2,0))</f>
        <v>0</v>
      </c>
      <c r="G379" s="580"/>
      <c r="H379" s="598"/>
      <c r="I379" s="520"/>
      <c r="J379" s="518"/>
      <c r="K379" s="598"/>
      <c r="L379" s="520">
        <f>-SUMIFS([5]BV_Data_An_Cour!$O:$O,[5]BV_Data_An_Cour!$U:$U,$B379,[5]BV_Data_An_Cour!$V:$V,$C379,[5]BV_Data_An_Cour!$W:$W,$L$2)</f>
        <v>0</v>
      </c>
      <c r="M379" s="518"/>
      <c r="N379" s="574"/>
      <c r="O379" s="518"/>
      <c r="P379" s="598"/>
      <c r="Q379" s="520">
        <f>-SUMIFS([5]BV_Data_An_Prec!$O:$O,[5]BV_Data_An_Prec!$U:$U,$B379,[5]BV_Data_An_Prec!$V:$V,$C379,[5]BV_Data_An_Prec!$W:$W,$L$2)</f>
        <v>0</v>
      </c>
      <c r="R379" s="518"/>
      <c r="S379" s="574">
        <f t="shared" si="76"/>
        <v>0</v>
      </c>
      <c r="T379" s="501"/>
      <c r="U379" s="501"/>
      <c r="V379" s="504"/>
      <c r="W379" s="501"/>
      <c r="X379" s="501"/>
      <c r="Y379" s="501"/>
      <c r="Z379" s="501"/>
      <c r="AA379" s="501"/>
      <c r="AB379" s="501"/>
      <c r="AC379" s="501"/>
      <c r="AD379" s="501"/>
      <c r="AE379" s="501"/>
      <c r="AF379" s="501"/>
      <c r="AG379" s="501"/>
      <c r="AH379" s="501"/>
      <c r="AI379" s="501"/>
      <c r="AJ379" s="501"/>
      <c r="AK379" s="501"/>
      <c r="AL379" s="501"/>
      <c r="AM379" s="501"/>
      <c r="AN379" s="501"/>
    </row>
    <row r="380" spans="1:40" ht="15.75" hidden="1" customHeight="1">
      <c r="A380" s="517" t="s">
        <v>454</v>
      </c>
      <c r="B380" s="504" t="s">
        <v>119</v>
      </c>
      <c r="C380" s="592" t="s">
        <v>53</v>
      </c>
      <c r="D380" s="577"/>
      <c r="E380" s="504"/>
      <c r="F380" s="526">
        <f t="array" ref="F380">+INDEX('[5]Budget original'!$A$2:$AO$500,MATCH($A380,'[5]Budget original'!$A$2:$A$500,0),MATCH(F$2,'[5]Budget original'!$A$2:$AO$2,0))</f>
        <v>0</v>
      </c>
      <c r="G380" s="578"/>
      <c r="H380" s="504"/>
      <c r="I380" s="526"/>
      <c r="J380" s="525"/>
      <c r="K380" s="504"/>
      <c r="L380" s="528">
        <f>-SUMIFS([5]BV_Data_An_Cour!$O:$O,[5]BV_Data_An_Cour!$U:$U,$B380,[5]BV_Data_An_Cour!$V:$V,$C380,[5]BV_Data_An_Cour!$W:$W,$L$2)</f>
        <v>0</v>
      </c>
      <c r="M380" s="525"/>
      <c r="N380" s="551"/>
      <c r="O380" s="525"/>
      <c r="P380" s="504"/>
      <c r="Q380" s="528">
        <f>-SUMIFS([5]BV_Data_An_Prec!$O:$O,[5]BV_Data_An_Prec!$U:$U,$B380,[5]BV_Data_An_Prec!$V:$V,$C380,[5]BV_Data_An_Prec!$W:$W,$L$2)</f>
        <v>0</v>
      </c>
      <c r="R380" s="525"/>
      <c r="S380" s="551">
        <f t="shared" si="76"/>
        <v>0</v>
      </c>
      <c r="T380" s="501"/>
      <c r="U380" s="501"/>
      <c r="V380" s="504"/>
      <c r="W380" s="501"/>
      <c r="X380" s="501"/>
      <c r="Y380" s="501"/>
      <c r="Z380" s="501"/>
      <c r="AA380" s="501"/>
      <c r="AB380" s="501"/>
      <c r="AC380" s="501"/>
      <c r="AD380" s="501"/>
      <c r="AE380" s="501"/>
      <c r="AF380" s="501"/>
      <c r="AG380" s="501"/>
      <c r="AH380" s="501"/>
      <c r="AI380" s="501"/>
      <c r="AJ380" s="501"/>
      <c r="AK380" s="501"/>
      <c r="AL380" s="501"/>
      <c r="AM380" s="501"/>
      <c r="AN380" s="501"/>
    </row>
    <row r="381" spans="1:40" ht="15.75" hidden="1" customHeight="1">
      <c r="A381" s="517" t="s">
        <v>455</v>
      </c>
      <c r="B381" s="504" t="s">
        <v>119</v>
      </c>
      <c r="C381" s="592" t="s">
        <v>54</v>
      </c>
      <c r="D381" s="577"/>
      <c r="E381" s="504"/>
      <c r="F381" s="526">
        <f t="array" ref="F381">+INDEX('[5]Budget original'!$A$2:$AO$500,MATCH($A381,'[5]Budget original'!$A$2:$A$500,0),MATCH(F$2,'[5]Budget original'!$A$2:$AO$2,0))</f>
        <v>0</v>
      </c>
      <c r="G381" s="578"/>
      <c r="H381" s="504"/>
      <c r="I381" s="526"/>
      <c r="J381" s="525"/>
      <c r="K381" s="504"/>
      <c r="L381" s="528">
        <f>-SUMIFS([5]BV_Data_An_Cour!$O:$O,[5]BV_Data_An_Cour!$U:$U,$B381,[5]BV_Data_An_Cour!$V:$V,$C381,[5]BV_Data_An_Cour!$W:$W,$L$2)</f>
        <v>0</v>
      </c>
      <c r="M381" s="525"/>
      <c r="N381" s="551"/>
      <c r="O381" s="525"/>
      <c r="P381" s="504"/>
      <c r="Q381" s="528">
        <f>-SUMIFS([5]BV_Data_An_Prec!$O:$O,[5]BV_Data_An_Prec!$U:$U,$B381,[5]BV_Data_An_Prec!$V:$V,$C381,[5]BV_Data_An_Prec!$W:$W,$L$2)</f>
        <v>0</v>
      </c>
      <c r="R381" s="525"/>
      <c r="S381" s="551">
        <f t="shared" si="76"/>
        <v>0</v>
      </c>
      <c r="T381" s="501"/>
      <c r="U381" s="501"/>
      <c r="V381" s="504"/>
      <c r="W381" s="501"/>
      <c r="X381" s="501"/>
      <c r="Y381" s="501"/>
      <c r="Z381" s="501"/>
      <c r="AA381" s="501"/>
      <c r="AB381" s="501"/>
      <c r="AC381" s="501"/>
      <c r="AD381" s="501"/>
      <c r="AE381" s="501"/>
      <c r="AF381" s="501"/>
      <c r="AG381" s="501"/>
      <c r="AH381" s="501"/>
      <c r="AI381" s="501"/>
      <c r="AJ381" s="501"/>
      <c r="AK381" s="501"/>
      <c r="AL381" s="501"/>
      <c r="AM381" s="501"/>
      <c r="AN381" s="501"/>
    </row>
    <row r="382" spans="1:40" ht="15.75" hidden="1" customHeight="1">
      <c r="A382" s="517" t="s">
        <v>456</v>
      </c>
      <c r="B382" s="504" t="s">
        <v>119</v>
      </c>
      <c r="C382" s="592" t="s">
        <v>55</v>
      </c>
      <c r="D382" s="579"/>
      <c r="E382" s="598"/>
      <c r="F382" s="520">
        <f t="array" ref="F382">+INDEX('[5]Budget original'!$A$2:$AO$500,MATCH($A382,'[5]Budget original'!$A$2:$A$500,0),MATCH(F$2,'[5]Budget original'!$A$2:$AO$2,0))</f>
        <v>0</v>
      </c>
      <c r="G382" s="580"/>
      <c r="H382" s="598"/>
      <c r="I382" s="520"/>
      <c r="J382" s="518"/>
      <c r="K382" s="598"/>
      <c r="L382" s="520">
        <f>-SUMIFS([5]BV_Data_An_Cour!$O:$O,[5]BV_Data_An_Cour!$U:$U,$B382,[5]BV_Data_An_Cour!$V:$V,$C382,[5]BV_Data_An_Cour!$W:$W,$L$2)</f>
        <v>0</v>
      </c>
      <c r="M382" s="518"/>
      <c r="N382" s="574"/>
      <c r="O382" s="518"/>
      <c r="P382" s="598"/>
      <c r="Q382" s="520">
        <f>-SUMIFS([5]BV_Data_An_Prec!$O:$O,[5]BV_Data_An_Prec!$U:$U,$B382,[5]BV_Data_An_Prec!$V:$V,$C382,[5]BV_Data_An_Prec!$W:$W,$L$2)</f>
        <v>0</v>
      </c>
      <c r="R382" s="518"/>
      <c r="S382" s="574">
        <f t="shared" si="76"/>
        <v>0</v>
      </c>
      <c r="T382" s="501"/>
      <c r="U382" s="501"/>
      <c r="V382" s="504"/>
      <c r="W382" s="501"/>
      <c r="X382" s="501"/>
      <c r="Y382" s="501"/>
      <c r="Z382" s="501"/>
      <c r="AA382" s="501"/>
      <c r="AB382" s="501"/>
      <c r="AC382" s="501"/>
      <c r="AD382" s="501"/>
      <c r="AE382" s="501"/>
      <c r="AF382" s="501"/>
      <c r="AG382" s="501"/>
      <c r="AH382" s="501"/>
      <c r="AI382" s="501"/>
      <c r="AJ382" s="501"/>
      <c r="AK382" s="501"/>
      <c r="AL382" s="501"/>
      <c r="AM382" s="501"/>
      <c r="AN382" s="501"/>
    </row>
    <row r="383" spans="1:40" ht="20.25" hidden="1" customHeight="1">
      <c r="A383" s="517" t="s">
        <v>457</v>
      </c>
      <c r="B383" s="504" t="s">
        <v>119</v>
      </c>
      <c r="C383" s="691" t="s">
        <v>56</v>
      </c>
      <c r="D383" s="577"/>
      <c r="E383" s="504"/>
      <c r="F383" s="526">
        <f t="array" ref="F383">+INDEX('[5]Budget original'!$A$2:$AO$500,MATCH($A383,'[5]Budget original'!$A$2:$A$500,0),MATCH(F$2,'[5]Budget original'!$A$2:$AO$2,0))</f>
        <v>0</v>
      </c>
      <c r="G383" s="578"/>
      <c r="H383" s="504"/>
      <c r="I383" s="526"/>
      <c r="J383" s="525"/>
      <c r="K383" s="504"/>
      <c r="L383" s="528">
        <f>-SUMIFS([5]BV_Data_An_Cour!$O:$O,[5]BV_Data_An_Cour!$U:$U,$B383,[5]BV_Data_An_Cour!$V:$V,$C383,[5]BV_Data_An_Cour!$W:$W,$L$2)</f>
        <v>0</v>
      </c>
      <c r="M383" s="525"/>
      <c r="N383" s="551"/>
      <c r="O383" s="525"/>
      <c r="P383" s="504"/>
      <c r="Q383" s="528">
        <f>-SUMIFS([5]BV_Data_An_Prec!$O:$O,[5]BV_Data_An_Prec!$U:$U,$B383,[5]BV_Data_An_Prec!$V:$V,$C383,[5]BV_Data_An_Prec!$W:$W,$L$2)</f>
        <v>0</v>
      </c>
      <c r="R383" s="525"/>
      <c r="S383" s="551">
        <f t="shared" si="76"/>
        <v>0</v>
      </c>
      <c r="T383" s="501"/>
      <c r="U383" s="501"/>
      <c r="V383" s="504"/>
      <c r="W383" s="501"/>
      <c r="X383" s="501"/>
      <c r="Y383" s="501"/>
      <c r="Z383" s="501"/>
      <c r="AA383" s="501"/>
      <c r="AB383" s="501"/>
      <c r="AC383" s="501"/>
      <c r="AD383" s="501"/>
      <c r="AE383" s="501"/>
      <c r="AF383" s="501"/>
      <c r="AG383" s="501"/>
      <c r="AH383" s="501"/>
      <c r="AI383" s="501"/>
      <c r="AJ383" s="501"/>
      <c r="AK383" s="501"/>
      <c r="AL383" s="501"/>
      <c r="AM383" s="501"/>
      <c r="AN383" s="501"/>
    </row>
    <row r="384" spans="1:40" ht="20.25" hidden="1" customHeight="1">
      <c r="A384" s="517" t="s">
        <v>458</v>
      </c>
      <c r="B384" s="504" t="s">
        <v>119</v>
      </c>
      <c r="C384" s="592" t="s">
        <v>57</v>
      </c>
      <c r="D384" s="577"/>
      <c r="E384" s="504"/>
      <c r="F384" s="526">
        <f t="array" ref="F384">+INDEX('[5]Budget original'!$A$2:$AO$500,MATCH($A384,'[5]Budget original'!$A$2:$A$500,0),MATCH(F$2,'[5]Budget original'!$A$2:$AO$2,0))</f>
        <v>0</v>
      </c>
      <c r="G384" s="578"/>
      <c r="H384" s="504"/>
      <c r="I384" s="526"/>
      <c r="J384" s="525"/>
      <c r="K384" s="504"/>
      <c r="L384" s="528">
        <f>-SUMIFS([5]BV_Data_An_Cour!$O:$O,[5]BV_Data_An_Cour!$U:$U,$B384,[5]BV_Data_An_Cour!$V:$V,$C384,[5]BV_Data_An_Cour!$W:$W,$L$2)</f>
        <v>0</v>
      </c>
      <c r="M384" s="525"/>
      <c r="N384" s="551"/>
      <c r="O384" s="525"/>
      <c r="P384" s="504"/>
      <c r="Q384" s="528">
        <f>-SUMIFS([5]BV_Data_An_Prec!$O:$O,[5]BV_Data_An_Prec!$U:$U,$B384,[5]BV_Data_An_Prec!$V:$V,$C384,[5]BV_Data_An_Prec!$W:$W,$L$2)</f>
        <v>0</v>
      </c>
      <c r="R384" s="525"/>
      <c r="S384" s="551">
        <f t="shared" si="76"/>
        <v>0</v>
      </c>
      <c r="T384" s="501"/>
      <c r="U384" s="501"/>
      <c r="V384" s="504"/>
      <c r="W384" s="501"/>
      <c r="X384" s="501"/>
      <c r="Y384" s="501"/>
      <c r="Z384" s="501"/>
      <c r="AA384" s="501"/>
      <c r="AB384" s="501"/>
      <c r="AC384" s="501"/>
      <c r="AD384" s="501"/>
      <c r="AE384" s="501"/>
      <c r="AF384" s="501"/>
      <c r="AG384" s="501"/>
      <c r="AH384" s="501"/>
      <c r="AI384" s="501"/>
      <c r="AJ384" s="501"/>
      <c r="AK384" s="501"/>
      <c r="AL384" s="501"/>
      <c r="AM384" s="501"/>
      <c r="AN384" s="501"/>
    </row>
    <row r="385" spans="1:40" ht="20.25" hidden="1" customHeight="1">
      <c r="A385" s="517" t="s">
        <v>459</v>
      </c>
      <c r="B385" s="504" t="s">
        <v>119</v>
      </c>
      <c r="C385" s="592" t="s">
        <v>58</v>
      </c>
      <c r="D385" s="577"/>
      <c r="E385" s="504"/>
      <c r="F385" s="526">
        <f t="array" ref="F385">+INDEX('[5]Budget original'!$A$2:$AO$500,MATCH($A385,'[5]Budget original'!$A$2:$A$500,0),MATCH(F$2,'[5]Budget original'!$A$2:$AO$2,0))</f>
        <v>0</v>
      </c>
      <c r="G385" s="578"/>
      <c r="H385" s="504"/>
      <c r="I385" s="526"/>
      <c r="J385" s="525"/>
      <c r="K385" s="504"/>
      <c r="L385" s="528">
        <f>-SUMIFS([5]BV_Data_An_Cour!$O:$O,[5]BV_Data_An_Cour!$U:$U,$B385,[5]BV_Data_An_Cour!$V:$V,$C385,[5]BV_Data_An_Cour!$W:$W,$L$2)</f>
        <v>0</v>
      </c>
      <c r="M385" s="525"/>
      <c r="N385" s="551"/>
      <c r="O385" s="525"/>
      <c r="P385" s="504"/>
      <c r="Q385" s="528">
        <f>-SUMIFS([5]BV_Data_An_Prec!$O:$O,[5]BV_Data_An_Prec!$U:$U,$B385,[5]BV_Data_An_Prec!$V:$V,$C385,[5]BV_Data_An_Prec!$W:$W,$L$2)</f>
        <v>0</v>
      </c>
      <c r="R385" s="525"/>
      <c r="S385" s="551">
        <f t="shared" si="76"/>
        <v>0</v>
      </c>
      <c r="T385" s="501"/>
      <c r="U385" s="501"/>
      <c r="V385" s="504"/>
      <c r="W385" s="501"/>
      <c r="X385" s="501"/>
      <c r="Y385" s="501"/>
      <c r="Z385" s="501"/>
      <c r="AA385" s="501"/>
      <c r="AB385" s="501"/>
      <c r="AC385" s="501"/>
      <c r="AD385" s="501"/>
      <c r="AE385" s="501"/>
      <c r="AF385" s="501"/>
      <c r="AG385" s="501"/>
      <c r="AH385" s="501"/>
      <c r="AI385" s="501"/>
      <c r="AJ385" s="501"/>
      <c r="AK385" s="501"/>
      <c r="AL385" s="501"/>
      <c r="AM385" s="501"/>
      <c r="AN385" s="501"/>
    </row>
    <row r="386" spans="1:40" ht="20.25" hidden="1" customHeight="1">
      <c r="A386" s="517" t="s">
        <v>460</v>
      </c>
      <c r="B386" s="504" t="s">
        <v>119</v>
      </c>
      <c r="C386" s="592" t="s">
        <v>59</v>
      </c>
      <c r="D386" s="577"/>
      <c r="E386" s="504"/>
      <c r="F386" s="526">
        <f t="array" ref="F386">+INDEX('[5]Budget original'!$A$2:$AO$500,MATCH($A386,'[5]Budget original'!$A$2:$A$500,0),MATCH(F$2,'[5]Budget original'!$A$2:$AO$2,0))</f>
        <v>0</v>
      </c>
      <c r="G386" s="578"/>
      <c r="H386" s="504"/>
      <c r="I386" s="526"/>
      <c r="J386" s="525"/>
      <c r="K386" s="504"/>
      <c r="L386" s="528">
        <f>-SUMIFS([5]BV_Data_An_Cour!$O:$O,[5]BV_Data_An_Cour!$U:$U,$B386,[5]BV_Data_An_Cour!$V:$V,$C386,[5]BV_Data_An_Cour!$W:$W,$L$2)</f>
        <v>0</v>
      </c>
      <c r="M386" s="525"/>
      <c r="N386" s="551"/>
      <c r="O386" s="525"/>
      <c r="P386" s="504"/>
      <c r="Q386" s="528">
        <f>-SUMIFS([5]BV_Data_An_Prec!$O:$O,[5]BV_Data_An_Prec!$U:$U,$B386,[5]BV_Data_An_Prec!$V:$V,$C386,[5]BV_Data_An_Prec!$W:$W,$L$2)</f>
        <v>0</v>
      </c>
      <c r="R386" s="525"/>
      <c r="S386" s="551">
        <f t="shared" si="76"/>
        <v>0</v>
      </c>
      <c r="T386" s="501"/>
      <c r="U386" s="501"/>
      <c r="V386" s="504"/>
      <c r="W386" s="501"/>
      <c r="X386" s="501"/>
      <c r="Y386" s="501"/>
      <c r="Z386" s="501"/>
      <c r="AA386" s="501"/>
      <c r="AB386" s="501"/>
      <c r="AC386" s="501"/>
      <c r="AD386" s="501"/>
      <c r="AE386" s="501"/>
      <c r="AF386" s="501"/>
      <c r="AG386" s="501"/>
      <c r="AH386" s="501"/>
      <c r="AI386" s="501"/>
      <c r="AJ386" s="501"/>
      <c r="AK386" s="501"/>
      <c r="AL386" s="501"/>
      <c r="AM386" s="501"/>
      <c r="AN386" s="501"/>
    </row>
    <row r="387" spans="1:40" ht="20.25" hidden="1" customHeight="1">
      <c r="A387" s="517" t="s">
        <v>461</v>
      </c>
      <c r="B387" s="504" t="s">
        <v>119</v>
      </c>
      <c r="C387" s="592" t="s">
        <v>60</v>
      </c>
      <c r="D387" s="577"/>
      <c r="E387" s="504"/>
      <c r="F387" s="526">
        <f t="array" ref="F387">+INDEX('[5]Budget original'!$A$2:$AO$500,MATCH($A387,'[5]Budget original'!$A$2:$A$500,0),MATCH(F$2,'[5]Budget original'!$A$2:$AO$2,0))</f>
        <v>0</v>
      </c>
      <c r="G387" s="578"/>
      <c r="H387" s="504"/>
      <c r="I387" s="526"/>
      <c r="J387" s="525"/>
      <c r="K387" s="504"/>
      <c r="L387" s="528">
        <f>-SUMIFS([5]BV_Data_An_Cour!$O:$O,[5]BV_Data_An_Cour!$U:$U,$B387,[5]BV_Data_An_Cour!$V:$V,$C387,[5]BV_Data_An_Cour!$W:$W,$L$2)</f>
        <v>0</v>
      </c>
      <c r="M387" s="525"/>
      <c r="N387" s="551"/>
      <c r="O387" s="525"/>
      <c r="P387" s="504"/>
      <c r="Q387" s="528">
        <f>-SUMIFS([5]BV_Data_An_Prec!$O:$O,[5]BV_Data_An_Prec!$U:$U,$B387,[5]BV_Data_An_Prec!$V:$V,$C387,[5]BV_Data_An_Prec!$W:$W,$L$2)</f>
        <v>0</v>
      </c>
      <c r="R387" s="525"/>
      <c r="S387" s="551">
        <f t="shared" si="76"/>
        <v>0</v>
      </c>
      <c r="T387" s="501"/>
      <c r="U387" s="501"/>
      <c r="V387" s="504"/>
      <c r="W387" s="501"/>
      <c r="X387" s="501"/>
      <c r="Y387" s="501"/>
      <c r="Z387" s="501"/>
      <c r="AA387" s="501"/>
      <c r="AB387" s="501"/>
      <c r="AC387" s="501"/>
      <c r="AD387" s="501"/>
      <c r="AE387" s="501"/>
      <c r="AF387" s="501"/>
      <c r="AG387" s="501"/>
      <c r="AH387" s="501"/>
      <c r="AI387" s="501"/>
      <c r="AJ387" s="501"/>
      <c r="AK387" s="501"/>
      <c r="AL387" s="501"/>
      <c r="AM387" s="501"/>
      <c r="AN387" s="501"/>
    </row>
    <row r="388" spans="1:40" ht="20.25" hidden="1" customHeight="1">
      <c r="A388" s="517" t="s">
        <v>462</v>
      </c>
      <c r="B388" s="504" t="s">
        <v>119</v>
      </c>
      <c r="C388" s="592" t="s">
        <v>61</v>
      </c>
      <c r="D388" s="577"/>
      <c r="E388" s="504"/>
      <c r="F388" s="526">
        <f t="array" ref="F388">+INDEX('[5]Budget original'!$A$2:$AO$500,MATCH($A388,'[5]Budget original'!$A$2:$A$500,0),MATCH(F$2,'[5]Budget original'!$A$2:$AO$2,0))</f>
        <v>0</v>
      </c>
      <c r="G388" s="578"/>
      <c r="H388" s="504"/>
      <c r="I388" s="526"/>
      <c r="J388" s="525"/>
      <c r="K388" s="504"/>
      <c r="L388" s="528">
        <f>-SUMIFS([5]BV_Data_An_Cour!$O:$O,[5]BV_Data_An_Cour!$U:$U,$B388,[5]BV_Data_An_Cour!$V:$V,$C388,[5]BV_Data_An_Cour!$W:$W,$L$2)</f>
        <v>0</v>
      </c>
      <c r="M388" s="525"/>
      <c r="N388" s="551"/>
      <c r="O388" s="525"/>
      <c r="P388" s="504"/>
      <c r="Q388" s="528">
        <f>-SUMIFS([5]BV_Data_An_Prec!$O:$O,[5]BV_Data_An_Prec!$U:$U,$B388,[5]BV_Data_An_Prec!$V:$V,$C388,[5]BV_Data_An_Prec!$W:$W,$L$2)</f>
        <v>0</v>
      </c>
      <c r="R388" s="525"/>
      <c r="S388" s="551">
        <f t="shared" si="76"/>
        <v>0</v>
      </c>
      <c r="T388" s="501"/>
      <c r="U388" s="501"/>
      <c r="V388" s="504"/>
      <c r="W388" s="501"/>
      <c r="X388" s="501"/>
      <c r="Y388" s="501"/>
      <c r="Z388" s="501"/>
      <c r="AA388" s="501"/>
      <c r="AB388" s="501"/>
      <c r="AC388" s="501"/>
      <c r="AD388" s="501"/>
      <c r="AE388" s="501"/>
      <c r="AF388" s="501"/>
      <c r="AG388" s="501"/>
      <c r="AH388" s="501"/>
      <c r="AI388" s="501"/>
      <c r="AJ388" s="501"/>
      <c r="AK388" s="501"/>
      <c r="AL388" s="501"/>
      <c r="AM388" s="501"/>
      <c r="AN388" s="501"/>
    </row>
    <row r="389" spans="1:40" ht="20.25" hidden="1" customHeight="1">
      <c r="A389" s="517" t="s">
        <v>463</v>
      </c>
      <c r="B389" s="504" t="s">
        <v>119</v>
      </c>
      <c r="C389" s="592" t="s">
        <v>62</v>
      </c>
      <c r="D389" s="577"/>
      <c r="E389" s="504"/>
      <c r="F389" s="526">
        <f t="array" ref="F389">+INDEX('[5]Budget original'!$A$2:$AO$500,MATCH($A389,'[5]Budget original'!$A$2:$A$500,0),MATCH(F$2,'[5]Budget original'!$A$2:$AO$2,0))</f>
        <v>0</v>
      </c>
      <c r="G389" s="578"/>
      <c r="H389" s="504"/>
      <c r="I389" s="526"/>
      <c r="J389" s="525"/>
      <c r="K389" s="504"/>
      <c r="L389" s="528">
        <f>-SUMIFS([5]BV_Data_An_Cour!$O:$O,[5]BV_Data_An_Cour!$U:$U,$B389,[5]BV_Data_An_Cour!$V:$V,$C389,[5]BV_Data_An_Cour!$W:$W,$L$2)</f>
        <v>0</v>
      </c>
      <c r="M389" s="525"/>
      <c r="N389" s="551"/>
      <c r="O389" s="525"/>
      <c r="P389" s="504"/>
      <c r="Q389" s="528">
        <f>-SUMIFS([5]BV_Data_An_Prec!$O:$O,[5]BV_Data_An_Prec!$U:$U,$B389,[5]BV_Data_An_Prec!$V:$V,$C389,[5]BV_Data_An_Prec!$W:$W,$L$2)</f>
        <v>0</v>
      </c>
      <c r="R389" s="525"/>
      <c r="S389" s="551">
        <f t="shared" si="76"/>
        <v>0</v>
      </c>
      <c r="T389" s="501"/>
      <c r="U389" s="501"/>
      <c r="V389" s="504"/>
      <c r="W389" s="501"/>
      <c r="X389" s="501"/>
      <c r="Y389" s="501"/>
      <c r="Z389" s="501"/>
      <c r="AA389" s="501"/>
      <c r="AB389" s="501"/>
      <c r="AC389" s="501"/>
      <c r="AD389" s="501"/>
      <c r="AE389" s="501"/>
      <c r="AF389" s="501"/>
      <c r="AG389" s="501"/>
      <c r="AH389" s="501"/>
      <c r="AI389" s="501"/>
      <c r="AJ389" s="501"/>
      <c r="AK389" s="501"/>
      <c r="AL389" s="501"/>
      <c r="AM389" s="501"/>
      <c r="AN389" s="501"/>
    </row>
    <row r="390" spans="1:40" ht="20.25" hidden="1" customHeight="1">
      <c r="A390" s="517" t="s">
        <v>464</v>
      </c>
      <c r="B390" s="504" t="s">
        <v>119</v>
      </c>
      <c r="C390" s="592" t="s">
        <v>63</v>
      </c>
      <c r="D390" s="577"/>
      <c r="E390" s="504"/>
      <c r="F390" s="526">
        <f t="array" ref="F390">+INDEX('[5]Budget original'!$A$2:$AO$500,MATCH($A390,'[5]Budget original'!$A$2:$A$500,0),MATCH(F$2,'[5]Budget original'!$A$2:$AO$2,0))</f>
        <v>0</v>
      </c>
      <c r="G390" s="578"/>
      <c r="H390" s="504"/>
      <c r="I390" s="526"/>
      <c r="J390" s="525"/>
      <c r="K390" s="504"/>
      <c r="L390" s="528">
        <f>-SUMIFS([5]BV_Data_An_Cour!$O:$O,[5]BV_Data_An_Cour!$U:$U,$B390,[5]BV_Data_An_Cour!$V:$V,$C390,[5]BV_Data_An_Cour!$W:$W,$L$2)</f>
        <v>0</v>
      </c>
      <c r="M390" s="525"/>
      <c r="N390" s="551"/>
      <c r="O390" s="525"/>
      <c r="P390" s="504"/>
      <c r="Q390" s="528">
        <f>-SUMIFS([5]BV_Data_An_Prec!$O:$O,[5]BV_Data_An_Prec!$U:$U,$B390,[5]BV_Data_An_Prec!$V:$V,$C390,[5]BV_Data_An_Prec!$W:$W,$L$2)</f>
        <v>0</v>
      </c>
      <c r="R390" s="525"/>
      <c r="S390" s="551">
        <f t="shared" si="76"/>
        <v>0</v>
      </c>
      <c r="T390" s="501"/>
      <c r="U390" s="501"/>
      <c r="V390" s="504"/>
      <c r="W390" s="501"/>
      <c r="X390" s="501"/>
      <c r="Y390" s="501"/>
      <c r="Z390" s="501"/>
      <c r="AA390" s="501"/>
      <c r="AB390" s="501"/>
      <c r="AC390" s="501"/>
      <c r="AD390" s="501"/>
      <c r="AE390" s="501"/>
      <c r="AF390" s="501"/>
      <c r="AG390" s="501"/>
      <c r="AH390" s="501"/>
      <c r="AI390" s="501"/>
      <c r="AJ390" s="501"/>
      <c r="AK390" s="501"/>
      <c r="AL390" s="501"/>
      <c r="AM390" s="501"/>
      <c r="AN390" s="501"/>
    </row>
    <row r="391" spans="1:40" ht="15.75" hidden="1" customHeight="1">
      <c r="A391" s="517" t="s">
        <v>445</v>
      </c>
      <c r="B391" s="504" t="s">
        <v>119</v>
      </c>
      <c r="C391" s="592" t="s">
        <v>20</v>
      </c>
      <c r="D391" s="577"/>
      <c r="E391" s="504"/>
      <c r="F391" s="526">
        <f t="array" ref="F391">+INDEX('[5]Budget original'!$A$2:$AO$500,MATCH($A391,'[5]Budget original'!$A$2:$A$500,0),MATCH(F$2,'[5]Budget original'!$A$2:$AO$2,0))</f>
        <v>0</v>
      </c>
      <c r="G391" s="578"/>
      <c r="H391" s="504"/>
      <c r="I391" s="526"/>
      <c r="J391" s="525"/>
      <c r="K391" s="504"/>
      <c r="L391" s="528">
        <f>-SUMIFS([5]BV_Data_An_Cour!$O:$O,[5]BV_Data_An_Cour!$U:$U,$B391,[5]BV_Data_An_Cour!$V:$V,$C391,[5]BV_Data_An_Cour!$W:$W,$L$2)</f>
        <v>0</v>
      </c>
      <c r="M391" s="525"/>
      <c r="N391" s="551"/>
      <c r="O391" s="525"/>
      <c r="P391" s="504"/>
      <c r="Q391" s="528">
        <f>-SUMIFS([5]BV_Data_An_Prec!$O:$O,[5]BV_Data_An_Prec!$U:$U,$B391,[5]BV_Data_An_Prec!$V:$V,$C391,[5]BV_Data_An_Prec!$W:$W,$L$2)</f>
        <v>0</v>
      </c>
      <c r="R391" s="525"/>
      <c r="S391" s="551">
        <f t="shared" si="76"/>
        <v>0</v>
      </c>
      <c r="T391" s="501"/>
      <c r="U391" s="501"/>
      <c r="V391" s="504"/>
      <c r="W391" s="501"/>
      <c r="X391" s="501"/>
      <c r="Y391" s="501"/>
      <c r="Z391" s="501"/>
      <c r="AA391" s="501"/>
      <c r="AB391" s="501"/>
      <c r="AC391" s="501"/>
      <c r="AD391" s="501"/>
      <c r="AE391" s="501"/>
      <c r="AF391" s="501"/>
      <c r="AG391" s="501"/>
      <c r="AH391" s="501"/>
      <c r="AI391" s="501"/>
      <c r="AJ391" s="501"/>
      <c r="AK391" s="501"/>
      <c r="AL391" s="501"/>
      <c r="AM391" s="501"/>
      <c r="AN391" s="501"/>
    </row>
    <row r="392" spans="1:40" ht="15.75" hidden="1" customHeight="1">
      <c r="A392" s="517" t="s">
        <v>445</v>
      </c>
      <c r="B392" s="504" t="s">
        <v>119</v>
      </c>
      <c r="C392" s="592" t="s">
        <v>20</v>
      </c>
      <c r="D392" s="577"/>
      <c r="E392" s="504"/>
      <c r="F392" s="526">
        <f t="array" ref="F392">+INDEX('[5]Budget original'!$A$2:$AO$500,MATCH($A392,'[5]Budget original'!$A$2:$A$500,0),MATCH(F$2,'[5]Budget original'!$A$2:$AO$2,0))</f>
        <v>0</v>
      </c>
      <c r="G392" s="578"/>
      <c r="H392" s="504"/>
      <c r="I392" s="526"/>
      <c r="J392" s="525"/>
      <c r="K392" s="504"/>
      <c r="L392" s="528">
        <f>-SUMIFS([5]BV_Data_An_Cour!$O:$O,[5]BV_Data_An_Cour!$U:$U,$B392,[5]BV_Data_An_Cour!$V:$V,$C392,[5]BV_Data_An_Cour!$W:$W,$L$2)</f>
        <v>0</v>
      </c>
      <c r="M392" s="525"/>
      <c r="N392" s="551"/>
      <c r="O392" s="525"/>
      <c r="P392" s="504"/>
      <c r="Q392" s="528">
        <f>-SUMIFS([5]BV_Data_An_Prec!$O:$O,[5]BV_Data_An_Prec!$U:$U,$B392,[5]BV_Data_An_Prec!$V:$V,$C392,[5]BV_Data_An_Prec!$W:$W,$L$2)</f>
        <v>0</v>
      </c>
      <c r="R392" s="525"/>
      <c r="S392" s="551">
        <f t="shared" si="76"/>
        <v>0</v>
      </c>
      <c r="T392" s="501"/>
      <c r="U392" s="501"/>
      <c r="V392" s="504"/>
      <c r="W392" s="501"/>
      <c r="X392" s="501"/>
      <c r="Y392" s="501"/>
      <c r="Z392" s="501"/>
      <c r="AA392" s="501"/>
      <c r="AB392" s="501"/>
      <c r="AC392" s="501"/>
      <c r="AD392" s="501"/>
      <c r="AE392" s="501"/>
      <c r="AF392" s="501"/>
      <c r="AG392" s="501"/>
      <c r="AH392" s="501"/>
      <c r="AI392" s="501"/>
      <c r="AJ392" s="501"/>
      <c r="AK392" s="501"/>
      <c r="AL392" s="501"/>
      <c r="AM392" s="501"/>
      <c r="AN392" s="501"/>
    </row>
    <row r="393" spans="1:40" ht="15.75" hidden="1" customHeight="1">
      <c r="A393" s="517" t="s">
        <v>445</v>
      </c>
      <c r="B393" s="504" t="s">
        <v>119</v>
      </c>
      <c r="C393" s="592" t="s">
        <v>20</v>
      </c>
      <c r="D393" s="579"/>
      <c r="E393" s="598"/>
      <c r="F393" s="526">
        <f t="array" ref="F393">+INDEX('[5]Budget original'!$A$2:$AO$500,MATCH($A393,'[5]Budget original'!$A$2:$A$500,0),MATCH(F$2,'[5]Budget original'!$A$2:$AO$2,0))</f>
        <v>0</v>
      </c>
      <c r="G393" s="580"/>
      <c r="H393" s="598"/>
      <c r="I393" s="526"/>
      <c r="J393" s="518"/>
      <c r="K393" s="598"/>
      <c r="L393" s="528">
        <f>-SUMIFS([5]BV_Data_An_Cour!$O:$O,[5]BV_Data_An_Cour!$U:$U,$B393,[5]BV_Data_An_Cour!$V:$V,$C393,[5]BV_Data_An_Cour!$W:$W,$L$2)</f>
        <v>0</v>
      </c>
      <c r="M393" s="518"/>
      <c r="N393" s="574"/>
      <c r="O393" s="518"/>
      <c r="P393" s="598"/>
      <c r="Q393" s="528">
        <f>-SUMIFS([5]BV_Data_An_Prec!$O:$O,[5]BV_Data_An_Prec!$U:$U,$B393,[5]BV_Data_An_Prec!$V:$V,$C393,[5]BV_Data_An_Prec!$W:$W,$L$2)</f>
        <v>0</v>
      </c>
      <c r="R393" s="518"/>
      <c r="S393" s="574">
        <f t="shared" si="76"/>
        <v>0</v>
      </c>
      <c r="T393" s="501"/>
      <c r="U393" s="501"/>
      <c r="V393" s="504"/>
      <c r="W393" s="501"/>
      <c r="X393" s="501"/>
      <c r="Y393" s="501"/>
      <c r="Z393" s="501"/>
      <c r="AA393" s="501"/>
      <c r="AB393" s="501"/>
      <c r="AC393" s="501"/>
      <c r="AD393" s="501"/>
      <c r="AE393" s="501"/>
      <c r="AF393" s="501"/>
      <c r="AG393" s="501"/>
      <c r="AH393" s="501"/>
      <c r="AI393" s="501"/>
      <c r="AJ393" s="501"/>
      <c r="AK393" s="501"/>
      <c r="AL393" s="501"/>
      <c r="AM393" s="501"/>
      <c r="AN393" s="501"/>
    </row>
    <row r="394" spans="1:40" ht="15.75" hidden="1" customHeight="1">
      <c r="B394" s="498"/>
      <c r="C394" s="584" t="s">
        <v>64</v>
      </c>
      <c r="D394" s="585" t="s">
        <v>39</v>
      </c>
      <c r="E394" s="586">
        <f>IFERROR(F394/F$359,0)</f>
        <v>0</v>
      </c>
      <c r="F394" s="587">
        <f>+SUM(F377:F393)</f>
        <v>0</v>
      </c>
      <c r="G394" s="588"/>
      <c r="H394" s="586"/>
      <c r="I394" s="587"/>
      <c r="J394" s="588" t="s">
        <v>39</v>
      </c>
      <c r="K394" s="586">
        <f>IFERROR(L394/L$359,0)</f>
        <v>0</v>
      </c>
      <c r="L394" s="587">
        <f>+SUM(L377:L393)</f>
        <v>0</v>
      </c>
      <c r="M394" s="637"/>
      <c r="N394" s="587"/>
      <c r="O394" s="588" t="s">
        <v>39</v>
      </c>
      <c r="P394" s="586">
        <f>IFERROR(Q394/Q$359,0)</f>
        <v>0</v>
      </c>
      <c r="Q394" s="587">
        <f>+SUM(Q377:Q393)</f>
        <v>0</v>
      </c>
      <c r="R394" s="637"/>
      <c r="S394" s="600">
        <f>+SUM(S377:S393)</f>
        <v>0</v>
      </c>
      <c r="T394" s="501"/>
      <c r="U394" s="501"/>
      <c r="V394" s="504"/>
      <c r="W394" s="501"/>
      <c r="X394" s="501"/>
      <c r="Y394" s="501"/>
      <c r="Z394" s="501"/>
      <c r="AA394" s="501"/>
      <c r="AB394" s="501"/>
      <c r="AC394" s="501"/>
      <c r="AD394" s="501"/>
      <c r="AE394" s="501"/>
      <c r="AF394" s="501"/>
      <c r="AG394" s="501"/>
      <c r="AH394" s="501"/>
      <c r="AI394" s="501"/>
      <c r="AJ394" s="501"/>
      <c r="AK394" s="501"/>
      <c r="AL394" s="501"/>
      <c r="AM394" s="501"/>
      <c r="AN394" s="501"/>
    </row>
    <row r="395" spans="1:40" ht="15.75" hidden="1" customHeight="1">
      <c r="B395" s="498"/>
      <c r="C395" s="525"/>
      <c r="D395" s="504"/>
      <c r="E395" s="504"/>
      <c r="F395" s="535"/>
      <c r="G395" s="525"/>
      <c r="H395" s="504"/>
      <c r="I395" s="535"/>
      <c r="J395" s="525"/>
      <c r="K395" s="504"/>
      <c r="L395" s="535"/>
      <c r="M395" s="544"/>
      <c r="N395" s="565"/>
      <c r="O395" s="525"/>
      <c r="P395" s="504"/>
      <c r="Q395" s="535"/>
      <c r="R395" s="525"/>
      <c r="S395" s="565"/>
      <c r="T395" s="501"/>
      <c r="U395" s="501"/>
      <c r="V395" s="504"/>
      <c r="W395" s="501"/>
      <c r="X395" s="501"/>
      <c r="Y395" s="501"/>
      <c r="Z395" s="501"/>
      <c r="AA395" s="501"/>
      <c r="AB395" s="501"/>
      <c r="AC395" s="501"/>
      <c r="AD395" s="501"/>
      <c r="AE395" s="501"/>
      <c r="AF395" s="501"/>
      <c r="AG395" s="501"/>
      <c r="AH395" s="501"/>
      <c r="AI395" s="501"/>
      <c r="AJ395" s="501"/>
      <c r="AK395" s="501"/>
      <c r="AL395" s="501"/>
      <c r="AM395" s="501"/>
      <c r="AN395" s="501"/>
    </row>
    <row r="396" spans="1:40" ht="15.75" hidden="1" customHeight="1">
      <c r="B396" s="498"/>
      <c r="C396" s="584" t="s">
        <v>65</v>
      </c>
      <c r="D396" s="585" t="s">
        <v>39</v>
      </c>
      <c r="E396" s="586">
        <f>IFERROR(F396/F$359,0)</f>
        <v>0</v>
      </c>
      <c r="F396" s="587">
        <f>F376+F394</f>
        <v>0</v>
      </c>
      <c r="G396" s="588"/>
      <c r="H396" s="586"/>
      <c r="I396" s="587"/>
      <c r="J396" s="588" t="s">
        <v>39</v>
      </c>
      <c r="K396" s="586">
        <f>IFERROR(L396/L$359,0)</f>
        <v>0</v>
      </c>
      <c r="L396" s="587">
        <f>L376+L394</f>
        <v>0</v>
      </c>
      <c r="M396" s="584"/>
      <c r="N396" s="587"/>
      <c r="O396" s="588" t="s">
        <v>39</v>
      </c>
      <c r="P396" s="586">
        <f>IFERROR(Q396/Q$359,0)</f>
        <v>0</v>
      </c>
      <c r="Q396" s="587">
        <f>Q376+Q394</f>
        <v>0</v>
      </c>
      <c r="R396" s="591"/>
      <c r="S396" s="587">
        <f>L396-Q396</f>
        <v>0</v>
      </c>
      <c r="T396" s="501"/>
      <c r="U396" s="501"/>
      <c r="V396" s="504"/>
      <c r="W396" s="501"/>
      <c r="X396" s="501"/>
      <c r="Y396" s="501"/>
      <c r="Z396" s="501"/>
      <c r="AA396" s="501"/>
      <c r="AB396" s="501"/>
      <c r="AC396" s="501"/>
      <c r="AD396" s="501"/>
      <c r="AE396" s="501"/>
      <c r="AF396" s="501"/>
      <c r="AG396" s="501"/>
      <c r="AH396" s="501"/>
      <c r="AI396" s="501"/>
      <c r="AJ396" s="501"/>
      <c r="AK396" s="501"/>
      <c r="AL396" s="501"/>
      <c r="AM396" s="501"/>
      <c r="AN396" s="501"/>
    </row>
    <row r="397" spans="1:40" ht="15.75" hidden="1" customHeight="1">
      <c r="B397" s="498"/>
      <c r="C397" s="525"/>
      <c r="D397" s="504"/>
      <c r="E397" s="504"/>
      <c r="F397" s="551"/>
      <c r="G397" s="525"/>
      <c r="H397" s="504"/>
      <c r="I397" s="551"/>
      <c r="J397" s="525"/>
      <c r="K397" s="504"/>
      <c r="L397" s="551"/>
      <c r="M397" s="544"/>
      <c r="N397" s="565"/>
      <c r="O397" s="525"/>
      <c r="P397" s="504"/>
      <c r="Q397" s="551"/>
      <c r="R397" s="525"/>
      <c r="S397" s="565"/>
      <c r="T397" s="501"/>
      <c r="U397" s="501"/>
      <c r="V397" s="504"/>
      <c r="W397" s="501"/>
      <c r="X397" s="501"/>
      <c r="Y397" s="501"/>
      <c r="Z397" s="501"/>
      <c r="AA397" s="501"/>
      <c r="AB397" s="501"/>
      <c r="AC397" s="501"/>
      <c r="AD397" s="501"/>
      <c r="AE397" s="501"/>
      <c r="AF397" s="501"/>
      <c r="AG397" s="501"/>
      <c r="AH397" s="501"/>
      <c r="AI397" s="501"/>
      <c r="AJ397" s="501"/>
      <c r="AK397" s="501"/>
      <c r="AL397" s="501"/>
      <c r="AM397" s="501"/>
      <c r="AN397" s="501"/>
    </row>
    <row r="398" spans="1:40" ht="15.75" hidden="1" customHeight="1">
      <c r="B398" s="498"/>
      <c r="C398" s="714" t="s">
        <v>72</v>
      </c>
      <c r="D398" s="715"/>
      <c r="E398" s="715"/>
      <c r="F398" s="716">
        <f>F361-F396</f>
        <v>0</v>
      </c>
      <c r="G398" s="714"/>
      <c r="H398" s="715"/>
      <c r="I398" s="716"/>
      <c r="J398" s="717"/>
      <c r="K398" s="718"/>
      <c r="L398" s="716">
        <f>L361-L396</f>
        <v>0</v>
      </c>
      <c r="M398" s="714"/>
      <c r="N398" s="716"/>
      <c r="O398" s="717"/>
      <c r="P398" s="718"/>
      <c r="Q398" s="716">
        <f>Q361-Q396</f>
        <v>0</v>
      </c>
      <c r="R398" s="717"/>
      <c r="S398" s="716">
        <f>L398-Q398</f>
        <v>0</v>
      </c>
      <c r="T398" s="501"/>
      <c r="U398" s="501"/>
      <c r="V398" s="504"/>
      <c r="W398" s="501"/>
      <c r="X398" s="501"/>
      <c r="Y398" s="501"/>
      <c r="Z398" s="501"/>
      <c r="AA398" s="501"/>
      <c r="AB398" s="501"/>
      <c r="AC398" s="501"/>
      <c r="AD398" s="501"/>
      <c r="AE398" s="501"/>
      <c r="AF398" s="501"/>
      <c r="AG398" s="501"/>
      <c r="AH398" s="501"/>
      <c r="AI398" s="501"/>
      <c r="AJ398" s="501"/>
      <c r="AK398" s="501"/>
      <c r="AL398" s="501"/>
      <c r="AM398" s="501"/>
      <c r="AN398" s="501"/>
    </row>
    <row r="399" spans="1:40" ht="15.75" customHeight="1">
      <c r="B399" s="498"/>
      <c r="C399" s="564"/>
      <c r="D399" s="719"/>
      <c r="E399" s="504"/>
      <c r="F399" s="599"/>
      <c r="G399" s="577"/>
      <c r="H399" s="504"/>
      <c r="I399" s="599"/>
      <c r="J399" s="719"/>
      <c r="K399" s="564"/>
      <c r="L399" s="599"/>
      <c r="M399" s="564"/>
      <c r="N399" s="599"/>
      <c r="O399" s="564"/>
      <c r="P399" s="564"/>
      <c r="Q399" s="599"/>
      <c r="R399" s="564"/>
      <c r="S399" s="599"/>
      <c r="T399" s="504"/>
      <c r="U399" s="504"/>
      <c r="V399" s="504"/>
      <c r="W399" s="504"/>
      <c r="X399" s="504"/>
      <c r="Y399" s="504"/>
      <c r="Z399" s="504"/>
      <c r="AA399" s="504"/>
      <c r="AB399" s="504"/>
      <c r="AC399" s="504"/>
      <c r="AD399" s="504"/>
      <c r="AE399" s="504"/>
      <c r="AF399" s="504"/>
      <c r="AG399" s="504"/>
      <c r="AH399" s="504"/>
      <c r="AI399" s="504"/>
      <c r="AJ399" s="504"/>
      <c r="AK399" s="504"/>
      <c r="AL399" s="504"/>
      <c r="AM399" s="504"/>
      <c r="AN399" s="504"/>
    </row>
    <row r="400" spans="1:40" ht="15.75" customHeight="1">
      <c r="B400" s="498"/>
      <c r="F400" s="720"/>
      <c r="L400" s="720"/>
      <c r="V400" s="504"/>
      <c r="W400" s="501"/>
      <c r="X400" s="501"/>
      <c r="Y400" s="501"/>
      <c r="Z400" s="501"/>
      <c r="AA400" s="501"/>
      <c r="AB400" s="501"/>
      <c r="AC400" s="501"/>
      <c r="AD400" s="501"/>
      <c r="AE400" s="501"/>
      <c r="AF400" s="501"/>
      <c r="AG400" s="501"/>
      <c r="AH400" s="501"/>
      <c r="AI400" s="501"/>
      <c r="AJ400" s="501"/>
      <c r="AK400" s="501"/>
      <c r="AL400" s="501"/>
      <c r="AM400" s="501"/>
      <c r="AN400" s="501"/>
    </row>
    <row r="401" spans="1:61" ht="35.4">
      <c r="B401" s="498"/>
      <c r="C401" s="721" t="s">
        <v>465</v>
      </c>
      <c r="F401" s="720"/>
      <c r="L401" s="720"/>
      <c r="V401" s="722" t="str">
        <f>C1</f>
        <v>Volks</v>
      </c>
      <c r="W401" s="490"/>
      <c r="X401" s="490"/>
      <c r="Y401" s="490"/>
      <c r="Z401" s="490"/>
      <c r="AA401" s="490"/>
      <c r="AB401" s="490"/>
      <c r="AC401" s="490"/>
      <c r="AD401" s="490"/>
      <c r="AE401" s="492" t="s">
        <v>476</v>
      </c>
      <c r="AF401" s="490"/>
      <c r="AG401" s="490"/>
      <c r="AH401" s="490"/>
      <c r="AI401" s="490"/>
      <c r="AJ401" s="723"/>
      <c r="AK401" s="492"/>
      <c r="AL401" s="490"/>
      <c r="AM401" s="490"/>
      <c r="AN401" s="490"/>
      <c r="AO401" s="723" t="str">
        <f>$S$1</f>
        <v>Réalisé, Juillet 2023</v>
      </c>
      <c r="AP401" s="501"/>
      <c r="AQ401" s="501"/>
      <c r="AR401" s="501"/>
      <c r="AS401" s="501"/>
      <c r="AT401" s="501"/>
      <c r="AU401" s="501"/>
      <c r="AV401" s="501"/>
      <c r="AW401" s="501"/>
      <c r="AX401" s="501"/>
      <c r="AY401" s="501"/>
      <c r="AZ401" s="501"/>
      <c r="BA401" s="501"/>
      <c r="BB401" s="501"/>
      <c r="BC401" s="501"/>
      <c r="BD401" s="501"/>
      <c r="BE401" s="501"/>
      <c r="BF401" s="501"/>
      <c r="BG401" s="501"/>
      <c r="BH401" s="501"/>
      <c r="BI401" s="501"/>
    </row>
    <row r="402" spans="1:61" ht="15.75" customHeight="1" thickBot="1">
      <c r="B402" s="498"/>
      <c r="C402" s="721" t="s">
        <v>465</v>
      </c>
      <c r="V402" s="724"/>
      <c r="W402" s="500"/>
      <c r="X402" s="500"/>
      <c r="Y402" s="500"/>
      <c r="Z402" s="500"/>
      <c r="AA402" s="500"/>
      <c r="AB402" s="500"/>
      <c r="AC402" s="500"/>
      <c r="AD402" s="500"/>
      <c r="AE402" s="500"/>
      <c r="AF402" s="500"/>
      <c r="AG402" s="500"/>
      <c r="AH402" s="500"/>
      <c r="AI402" s="500"/>
      <c r="AJ402" s="500"/>
      <c r="AK402" s="500"/>
      <c r="AL402" s="501"/>
      <c r="AM402" s="501"/>
      <c r="AN402" s="501"/>
      <c r="AO402" s="501"/>
      <c r="AP402" s="501"/>
      <c r="AQ402" s="501"/>
      <c r="AR402" s="501"/>
      <c r="AS402" s="501"/>
      <c r="AT402" s="501"/>
      <c r="AU402" s="501"/>
      <c r="AV402" s="501"/>
      <c r="AW402" s="501"/>
      <c r="AX402" s="501"/>
      <c r="AY402" s="501"/>
      <c r="AZ402" s="501"/>
      <c r="BA402" s="501"/>
      <c r="BB402" s="501"/>
      <c r="BC402" s="501"/>
      <c r="BD402" s="501"/>
      <c r="BE402" s="501"/>
      <c r="BF402" s="501"/>
      <c r="BG402" s="501"/>
      <c r="BH402" s="501"/>
      <c r="BI402" s="501"/>
    </row>
    <row r="403" spans="1:61" ht="15.75" customHeight="1" thickTop="1" thickBot="1">
      <c r="A403" s="517" t="s">
        <v>466</v>
      </c>
      <c r="B403" s="498"/>
      <c r="C403" s="721" t="s">
        <v>465</v>
      </c>
      <c r="V403" s="725"/>
      <c r="W403" s="726"/>
      <c r="X403" s="727" t="s">
        <v>122</v>
      </c>
      <c r="Y403" s="728"/>
      <c r="Z403" s="729"/>
      <c r="AA403" s="730"/>
      <c r="AB403" s="728"/>
      <c r="AC403" s="729"/>
      <c r="AD403" s="730" t="s">
        <v>7</v>
      </c>
      <c r="AE403" s="728"/>
      <c r="AF403" s="729"/>
      <c r="AG403" s="730" t="s">
        <v>472</v>
      </c>
      <c r="AH403" s="728"/>
      <c r="AI403" s="729"/>
      <c r="AJ403" s="730" t="s">
        <v>123</v>
      </c>
      <c r="AK403" s="728"/>
      <c r="AL403" s="728"/>
      <c r="AM403" s="730" t="s">
        <v>124</v>
      </c>
      <c r="AN403" s="728"/>
      <c r="AO403" s="731"/>
      <c r="AP403" s="501"/>
      <c r="AQ403" s="501"/>
      <c r="AR403" s="501"/>
      <c r="AS403" s="501"/>
      <c r="AT403" s="501"/>
      <c r="AU403" s="501"/>
      <c r="AV403" s="501"/>
      <c r="AW403" s="501"/>
      <c r="AX403" s="501"/>
      <c r="AY403" s="501"/>
      <c r="AZ403" s="501"/>
      <c r="BA403" s="501"/>
      <c r="BB403" s="501"/>
      <c r="BC403" s="501"/>
      <c r="BD403" s="501"/>
      <c r="BE403" s="501"/>
      <c r="BF403" s="501"/>
      <c r="BG403" s="501"/>
      <c r="BH403" s="501"/>
      <c r="BI403" s="501"/>
    </row>
    <row r="404" spans="1:61" ht="15.75" customHeight="1">
      <c r="A404" s="517" t="s">
        <v>466</v>
      </c>
      <c r="B404" s="498"/>
      <c r="C404" s="721" t="s">
        <v>465</v>
      </c>
      <c r="V404" s="518"/>
      <c r="W404" s="686" t="s">
        <v>125</v>
      </c>
      <c r="X404" s="686" t="s">
        <v>126</v>
      </c>
      <c r="Y404" s="686" t="s">
        <v>127</v>
      </c>
      <c r="Z404" s="732" t="s">
        <v>128</v>
      </c>
      <c r="AA404" s="686"/>
      <c r="AB404" s="686"/>
      <c r="AC404" s="732"/>
      <c r="AD404" s="733" t="s">
        <v>126</v>
      </c>
      <c r="AE404" s="686" t="s">
        <v>127</v>
      </c>
      <c r="AF404" s="686" t="s">
        <v>128</v>
      </c>
      <c r="AG404" s="733" t="s">
        <v>129</v>
      </c>
      <c r="AH404" s="686" t="s">
        <v>130</v>
      </c>
      <c r="AI404" s="686" t="s">
        <v>131</v>
      </c>
      <c r="AJ404" s="733" t="s">
        <v>126</v>
      </c>
      <c r="AK404" s="686" t="s">
        <v>127</v>
      </c>
      <c r="AL404" s="686" t="s">
        <v>128</v>
      </c>
      <c r="AM404" s="734" t="s">
        <v>129</v>
      </c>
      <c r="AN404" s="686" t="s">
        <v>130</v>
      </c>
      <c r="AO404" s="625" t="s">
        <v>131</v>
      </c>
      <c r="AP404" s="501"/>
      <c r="AQ404" s="501"/>
      <c r="AR404" s="501"/>
      <c r="AS404" s="501"/>
      <c r="AT404" s="501"/>
      <c r="AU404" s="501"/>
      <c r="AV404" s="501"/>
      <c r="AW404" s="501"/>
      <c r="AX404" s="501"/>
      <c r="AY404" s="501"/>
      <c r="AZ404" s="501"/>
      <c r="BA404" s="501"/>
      <c r="BB404" s="501"/>
      <c r="BC404" s="501"/>
      <c r="BD404" s="501"/>
      <c r="BE404" s="501"/>
      <c r="BF404" s="501"/>
      <c r="BG404" s="501"/>
      <c r="BH404" s="501"/>
      <c r="BI404" s="501"/>
    </row>
    <row r="405" spans="1:61" ht="15.75" customHeight="1">
      <c r="A405" s="517" t="s">
        <v>15</v>
      </c>
      <c r="B405" s="498"/>
      <c r="C405" s="721" t="s">
        <v>465</v>
      </c>
      <c r="V405" s="593" t="s">
        <v>15</v>
      </c>
      <c r="W405" s="735"/>
      <c r="X405" s="735"/>
      <c r="Y405" s="735"/>
      <c r="Z405" s="736">
        <f>F5+F93+E193+E249+D313+D361</f>
        <v>4594029.1892951308</v>
      </c>
      <c r="AA405" s="735"/>
      <c r="AB405" s="735"/>
      <c r="AC405" s="736"/>
      <c r="AD405" s="737"/>
      <c r="AE405" s="738"/>
      <c r="AF405" s="738">
        <f>L5+L93+K193+K249+J313+J361</f>
        <v>4651900.0100000007</v>
      </c>
      <c r="AG405" s="737"/>
      <c r="AH405" s="738"/>
      <c r="AI405" s="739"/>
      <c r="AJ405" s="737"/>
      <c r="AK405" s="738"/>
      <c r="AL405" s="738">
        <f>Q5+Q93+P193+P249+O313+O361</f>
        <v>5074158.8599999994</v>
      </c>
      <c r="AM405" s="740"/>
      <c r="AN405" s="738"/>
      <c r="AO405" s="741"/>
      <c r="AP405" s="501"/>
      <c r="AQ405" s="501"/>
      <c r="AR405" s="501"/>
      <c r="AS405" s="501"/>
      <c r="AT405" s="501"/>
      <c r="AU405" s="501"/>
      <c r="AV405" s="501"/>
      <c r="AW405" s="501"/>
      <c r="AX405" s="501"/>
      <c r="AY405" s="501"/>
      <c r="AZ405" s="501"/>
      <c r="BA405" s="501"/>
      <c r="BB405" s="501"/>
      <c r="BC405" s="501"/>
      <c r="BD405" s="501"/>
      <c r="BE405" s="501"/>
      <c r="BF405" s="501"/>
      <c r="BG405" s="501"/>
      <c r="BH405" s="501"/>
      <c r="BI405" s="501"/>
    </row>
    <row r="406" spans="1:61" ht="15.75" customHeight="1">
      <c r="A406" s="517" t="s">
        <v>132</v>
      </c>
      <c r="B406" s="498"/>
      <c r="C406" s="721" t="s">
        <v>465</v>
      </c>
      <c r="V406" s="742" t="s">
        <v>132</v>
      </c>
      <c r="W406" s="743"/>
      <c r="X406" s="743"/>
      <c r="Y406" s="743"/>
      <c r="Z406" s="744">
        <f>F27+F107+F193+F249+F313+F361</f>
        <v>648344.10682652763</v>
      </c>
      <c r="AA406" s="743"/>
      <c r="AB406" s="743"/>
      <c r="AC406" s="744"/>
      <c r="AD406" s="745"/>
      <c r="AE406" s="746"/>
      <c r="AF406" s="744">
        <f>L27+L107+L193+L249+L313+L361</f>
        <v>612383</v>
      </c>
      <c r="AG406" s="745"/>
      <c r="AH406" s="746">
        <f>AF406-Z406</f>
        <v>-35961.106826527626</v>
      </c>
      <c r="AI406" s="747">
        <f>AH406/Z406</f>
        <v>-5.5466081125573427E-2</v>
      </c>
      <c r="AJ406" s="745"/>
      <c r="AK406" s="746"/>
      <c r="AL406" s="746">
        <f>Q27+Q107+Q193+Q249+Q313+Q361</f>
        <v>699288.35999999987</v>
      </c>
      <c r="AM406" s="748"/>
      <c r="AN406" s="746">
        <f>AF406-AL406</f>
        <v>-86905.35999999987</v>
      </c>
      <c r="AO406" s="749">
        <f>IF(AL406=0,0,AN406/AL406)</f>
        <v>-0.12427685769000915</v>
      </c>
      <c r="AP406" s="501"/>
      <c r="AQ406" s="501"/>
      <c r="AR406" s="501"/>
      <c r="AS406" s="501"/>
      <c r="AT406" s="501"/>
      <c r="AU406" s="501"/>
      <c r="AV406" s="501"/>
      <c r="AW406" s="501"/>
      <c r="AX406" s="501"/>
      <c r="AY406" s="501"/>
      <c r="AZ406" s="501"/>
      <c r="BA406" s="501"/>
      <c r="BB406" s="501"/>
      <c r="BC406" s="501"/>
      <c r="BD406" s="501"/>
      <c r="BE406" s="501"/>
      <c r="BF406" s="501"/>
      <c r="BG406" s="501"/>
      <c r="BH406" s="501"/>
      <c r="BI406" s="501"/>
    </row>
    <row r="407" spans="1:61" ht="15.75" customHeight="1">
      <c r="A407" s="517" t="s">
        <v>133</v>
      </c>
      <c r="B407" s="498"/>
      <c r="C407" s="721" t="s">
        <v>465</v>
      </c>
      <c r="V407" s="750" t="s">
        <v>133</v>
      </c>
      <c r="W407" s="751"/>
      <c r="X407" s="751"/>
      <c r="Y407" s="751"/>
      <c r="Z407" s="752"/>
      <c r="AA407" s="751"/>
      <c r="AB407" s="751"/>
      <c r="AC407" s="752"/>
      <c r="AD407" s="753"/>
      <c r="AE407" s="751"/>
      <c r="AF407" s="754"/>
      <c r="AG407" s="753"/>
      <c r="AH407" s="754"/>
      <c r="AI407" s="755"/>
      <c r="AJ407" s="753"/>
      <c r="AK407" s="751"/>
      <c r="AL407" s="754"/>
      <c r="AM407" s="756"/>
      <c r="AN407" s="754"/>
      <c r="AO407" s="757"/>
      <c r="AP407" s="501"/>
      <c r="AQ407" s="501"/>
      <c r="AR407" s="501"/>
      <c r="AS407" s="501"/>
      <c r="AT407" s="501"/>
      <c r="AU407" s="501"/>
      <c r="AV407" s="501"/>
      <c r="AW407" s="501"/>
      <c r="AX407" s="501"/>
      <c r="AY407" s="501"/>
      <c r="AZ407" s="501"/>
      <c r="BA407" s="501"/>
      <c r="BB407" s="501"/>
      <c r="BC407" s="501"/>
      <c r="BD407" s="501"/>
      <c r="BE407" s="501"/>
      <c r="BF407" s="501"/>
      <c r="BG407" s="501"/>
      <c r="BH407" s="501"/>
      <c r="BI407" s="501"/>
    </row>
    <row r="408" spans="1:61" ht="15.75" customHeight="1">
      <c r="A408" s="517" t="s">
        <v>31</v>
      </c>
      <c r="B408" s="498"/>
      <c r="C408" s="721" t="s">
        <v>465</v>
      </c>
      <c r="V408" s="592" t="s">
        <v>31</v>
      </c>
      <c r="W408" s="758" t="s">
        <v>134</v>
      </c>
      <c r="X408" s="751"/>
      <c r="Y408" s="759">
        <f t="shared" ref="Y408:Y417" si="77">Z408/(D$13+D$96)</f>
        <v>720.1838727437538</v>
      </c>
      <c r="Z408" s="752">
        <f t="shared" ref="Z408:Z414" si="78">+SUMIF($C:$C,$V408,F:F)</f>
        <v>62105.762622400005</v>
      </c>
      <c r="AA408" s="751"/>
      <c r="AB408" s="759"/>
      <c r="AC408" s="752"/>
      <c r="AD408" s="760"/>
      <c r="AE408" s="759">
        <f t="shared" ref="AE408:AE413" si="79">IF(AF408=0,0,AF408/(J$13+J$96))</f>
        <v>930.65569444444429</v>
      </c>
      <c r="AF408" s="752">
        <f t="shared" ref="AF408:AF414" si="80">+SUMIF($C:$C,$V408,L:L)</f>
        <v>67007.209999999992</v>
      </c>
      <c r="AG408" s="753">
        <f t="shared" ref="AG408:AH423" si="81">AE408-Y408</f>
        <v>210.4718217006905</v>
      </c>
      <c r="AH408" s="754">
        <f t="shared" si="81"/>
        <v>4901.4473775999868</v>
      </c>
      <c r="AI408" s="755">
        <f t="shared" ref="AI408:AI417" si="82">IF(Z408=0,0,AH408/Z408)</f>
        <v>7.8920975617038092E-2</v>
      </c>
      <c r="AJ408" s="760"/>
      <c r="AK408" s="754">
        <f t="shared" ref="AK408:AK417" si="83">AL408/(O$13+O$96)</f>
        <v>963.63539325842703</v>
      </c>
      <c r="AL408" s="752">
        <f t="shared" ref="AL408:AL414" si="84">+SUMIF($C:$C,$V408,Q:Q)</f>
        <v>85763.55</v>
      </c>
      <c r="AM408" s="756">
        <f t="shared" ref="AM408:AM417" si="85">AE408-Y408</f>
        <v>210.4718217006905</v>
      </c>
      <c r="AN408" s="754">
        <f t="shared" ref="AN408:AN430" si="86">AF408-AL408</f>
        <v>-18756.340000000011</v>
      </c>
      <c r="AO408" s="761">
        <f t="shared" ref="AO408:AO430" si="87">IF(AL408=0,0,AN408/AL408)</f>
        <v>-0.21869826983607851</v>
      </c>
      <c r="AP408" s="501"/>
      <c r="AQ408" s="501"/>
      <c r="AR408" s="498"/>
      <c r="AS408" s="501"/>
      <c r="AT408" s="501"/>
      <c r="AU408" s="501"/>
      <c r="AV408" s="501"/>
      <c r="AW408" s="501"/>
      <c r="AX408" s="501"/>
      <c r="AY408" s="501"/>
      <c r="AZ408" s="501"/>
      <c r="BA408" s="501"/>
      <c r="BB408" s="501"/>
      <c r="BC408" s="501"/>
      <c r="BD408" s="501"/>
      <c r="BE408" s="501"/>
      <c r="BF408" s="501"/>
      <c r="BG408" s="501"/>
      <c r="BH408" s="501"/>
      <c r="BI408" s="501"/>
    </row>
    <row r="409" spans="1:61" ht="15.75" customHeight="1">
      <c r="A409" s="517" t="s">
        <v>32</v>
      </c>
      <c r="B409" s="498"/>
      <c r="C409" s="721" t="s">
        <v>465</v>
      </c>
      <c r="V409" s="593" t="s">
        <v>32</v>
      </c>
      <c r="W409" s="762" t="s">
        <v>135</v>
      </c>
      <c r="X409" s="735"/>
      <c r="Y409" s="763">
        <f t="shared" si="77"/>
        <v>473.0280865928296</v>
      </c>
      <c r="Z409" s="736">
        <f t="shared" si="78"/>
        <v>40792.040993279996</v>
      </c>
      <c r="AA409" s="735"/>
      <c r="AB409" s="763"/>
      <c r="AC409" s="736"/>
      <c r="AD409" s="764"/>
      <c r="AE409" s="763">
        <f t="shared" si="79"/>
        <v>439.10263888888886</v>
      </c>
      <c r="AF409" s="736">
        <f t="shared" si="80"/>
        <v>31615.39</v>
      </c>
      <c r="AG409" s="737">
        <f t="shared" si="81"/>
        <v>-33.925447703940733</v>
      </c>
      <c r="AH409" s="738">
        <f t="shared" si="81"/>
        <v>-9176.6509932799963</v>
      </c>
      <c r="AI409" s="765">
        <f t="shared" si="82"/>
        <v>-0.22496180063144525</v>
      </c>
      <c r="AJ409" s="764"/>
      <c r="AK409" s="738">
        <f t="shared" si="83"/>
        <v>443.50662921348311</v>
      </c>
      <c r="AL409" s="736">
        <f t="shared" si="84"/>
        <v>39472.089999999997</v>
      </c>
      <c r="AM409" s="740">
        <f t="shared" si="85"/>
        <v>-33.925447703940733</v>
      </c>
      <c r="AN409" s="738">
        <f t="shared" si="86"/>
        <v>-7856.6999999999971</v>
      </c>
      <c r="AO409" s="741">
        <f t="shared" si="87"/>
        <v>-0.19904443874139924</v>
      </c>
      <c r="AP409" s="501"/>
      <c r="AQ409" s="501"/>
      <c r="AR409" s="504"/>
      <c r="AS409" s="501"/>
      <c r="AT409" s="501"/>
      <c r="AU409" s="501"/>
      <c r="AV409" s="501"/>
      <c r="AW409" s="501"/>
      <c r="AX409" s="501"/>
      <c r="AY409" s="501"/>
      <c r="AZ409" s="501"/>
      <c r="BA409" s="501"/>
      <c r="BB409" s="501"/>
      <c r="BC409" s="501"/>
      <c r="BD409" s="501"/>
      <c r="BE409" s="501"/>
      <c r="BF409" s="501"/>
      <c r="BG409" s="501"/>
      <c r="BH409" s="501"/>
      <c r="BI409" s="501"/>
    </row>
    <row r="410" spans="1:61" ht="15.75" customHeight="1">
      <c r="A410" s="517" t="s">
        <v>33</v>
      </c>
      <c r="B410" s="498"/>
      <c r="C410" s="721" t="s">
        <v>465</v>
      </c>
      <c r="V410" s="592" t="s">
        <v>33</v>
      </c>
      <c r="W410" s="758" t="s">
        <v>136</v>
      </c>
      <c r="X410" s="751"/>
      <c r="Y410" s="759">
        <f t="shared" si="77"/>
        <v>87.347220274982519</v>
      </c>
      <c r="Z410" s="752">
        <f t="shared" si="78"/>
        <v>7532.4732105667636</v>
      </c>
      <c r="AA410" s="751"/>
      <c r="AB410" s="759"/>
      <c r="AC410" s="752"/>
      <c r="AD410" s="760"/>
      <c r="AE410" s="759">
        <f t="shared" si="79"/>
        <v>67.379166666666663</v>
      </c>
      <c r="AF410" s="752">
        <f t="shared" si="80"/>
        <v>4851.3</v>
      </c>
      <c r="AG410" s="753">
        <f t="shared" si="81"/>
        <v>-19.968053608315856</v>
      </c>
      <c r="AH410" s="754">
        <f t="shared" si="81"/>
        <v>-2681.1732105667634</v>
      </c>
      <c r="AI410" s="755">
        <f t="shared" si="82"/>
        <v>-0.35594858894493497</v>
      </c>
      <c r="AJ410" s="760"/>
      <c r="AK410" s="754">
        <f t="shared" si="83"/>
        <v>102.10292134831461</v>
      </c>
      <c r="AL410" s="752">
        <f t="shared" si="84"/>
        <v>9087.16</v>
      </c>
      <c r="AM410" s="756">
        <f t="shared" si="85"/>
        <v>-19.968053608315856</v>
      </c>
      <c r="AN410" s="754">
        <f t="shared" si="86"/>
        <v>-4235.8599999999997</v>
      </c>
      <c r="AO410" s="761">
        <f t="shared" si="87"/>
        <v>-0.46613683483068413</v>
      </c>
      <c r="AP410" s="501"/>
      <c r="AQ410" s="501"/>
      <c r="AR410" s="504"/>
      <c r="AS410" s="501"/>
      <c r="AT410" s="501"/>
      <c r="AU410" s="501"/>
      <c r="AV410" s="501"/>
      <c r="AW410" s="501"/>
      <c r="AX410" s="501"/>
      <c r="AY410" s="501"/>
      <c r="AZ410" s="501"/>
      <c r="BA410" s="501"/>
      <c r="BB410" s="501"/>
      <c r="BC410" s="501"/>
      <c r="BD410" s="501"/>
      <c r="BE410" s="501"/>
      <c r="BF410" s="501"/>
      <c r="BG410" s="501"/>
      <c r="BH410" s="501"/>
      <c r="BI410" s="501"/>
    </row>
    <row r="411" spans="1:61" ht="15.75" customHeight="1">
      <c r="A411" s="517" t="s">
        <v>34</v>
      </c>
      <c r="B411" s="498"/>
      <c r="C411" s="721" t="s">
        <v>465</v>
      </c>
      <c r="V411" s="592" t="s">
        <v>34</v>
      </c>
      <c r="W411" s="758" t="s">
        <v>137</v>
      </c>
      <c r="X411" s="751"/>
      <c r="Y411" s="759">
        <f t="shared" si="77"/>
        <v>9.6910366626244908</v>
      </c>
      <c r="Z411" s="752">
        <f t="shared" si="78"/>
        <v>835.71605157018166</v>
      </c>
      <c r="AA411" s="751"/>
      <c r="AB411" s="759"/>
      <c r="AC411" s="752"/>
      <c r="AD411" s="760"/>
      <c r="AE411" s="759">
        <f t="shared" si="79"/>
        <v>9.1704166666666662</v>
      </c>
      <c r="AF411" s="752">
        <f t="shared" si="80"/>
        <v>660.27</v>
      </c>
      <c r="AG411" s="753">
        <f t="shared" si="81"/>
        <v>-0.5206199959578246</v>
      </c>
      <c r="AH411" s="754">
        <f t="shared" si="81"/>
        <v>-175.44605157018168</v>
      </c>
      <c r="AI411" s="755">
        <f t="shared" si="82"/>
        <v>-0.2099350027327411</v>
      </c>
      <c r="AJ411" s="760"/>
      <c r="AK411" s="754">
        <f t="shared" si="83"/>
        <v>2.1392134831460674</v>
      </c>
      <c r="AL411" s="752">
        <f t="shared" si="84"/>
        <v>190.39</v>
      </c>
      <c r="AM411" s="756">
        <f t="shared" si="85"/>
        <v>-0.5206199959578246</v>
      </c>
      <c r="AN411" s="754">
        <f t="shared" si="86"/>
        <v>469.88</v>
      </c>
      <c r="AO411" s="761">
        <f t="shared" si="87"/>
        <v>2.4679867640107149</v>
      </c>
      <c r="AP411" s="501"/>
      <c r="AQ411" s="501"/>
      <c r="AR411" s="504"/>
      <c r="AS411" s="501"/>
      <c r="AT411" s="501"/>
      <c r="AU411" s="501"/>
      <c r="AV411" s="501"/>
      <c r="AW411" s="501"/>
      <c r="AX411" s="501"/>
      <c r="AY411" s="501"/>
      <c r="AZ411" s="501"/>
      <c r="BA411" s="501"/>
      <c r="BB411" s="501"/>
      <c r="BC411" s="501"/>
      <c r="BD411" s="501"/>
      <c r="BE411" s="501"/>
      <c r="BF411" s="501"/>
      <c r="BG411" s="501"/>
      <c r="BH411" s="501"/>
      <c r="BI411" s="501"/>
    </row>
    <row r="412" spans="1:61" ht="15.75" customHeight="1">
      <c r="A412" s="517" t="s">
        <v>35</v>
      </c>
      <c r="B412" s="498"/>
      <c r="C412" s="721" t="s">
        <v>465</v>
      </c>
      <c r="V412" s="593" t="s">
        <v>35</v>
      </c>
      <c r="W412" s="762"/>
      <c r="X412" s="735"/>
      <c r="Y412" s="763">
        <f t="shared" si="77"/>
        <v>116.45501100491464</v>
      </c>
      <c r="Z412" s="736">
        <f t="shared" si="78"/>
        <v>10042.612093083608</v>
      </c>
      <c r="AA412" s="735"/>
      <c r="AB412" s="763"/>
      <c r="AC412" s="736"/>
      <c r="AD412" s="764"/>
      <c r="AE412" s="763">
        <f t="shared" si="79"/>
        <v>123.27194444444444</v>
      </c>
      <c r="AF412" s="736">
        <f t="shared" si="80"/>
        <v>8875.58</v>
      </c>
      <c r="AG412" s="737">
        <f t="shared" si="81"/>
        <v>6.8169334395298051</v>
      </c>
      <c r="AH412" s="738">
        <f t="shared" si="81"/>
        <v>-1167.0320930836078</v>
      </c>
      <c r="AI412" s="765">
        <f t="shared" si="82"/>
        <v>-0.11620802260074828</v>
      </c>
      <c r="AJ412" s="764"/>
      <c r="AK412" s="738">
        <f t="shared" si="83"/>
        <v>158.19157303370787</v>
      </c>
      <c r="AL412" s="736">
        <f t="shared" si="84"/>
        <v>14079.050000000001</v>
      </c>
      <c r="AM412" s="740">
        <f t="shared" si="85"/>
        <v>6.8169334395298051</v>
      </c>
      <c r="AN412" s="738">
        <f t="shared" si="86"/>
        <v>-5203.4700000000012</v>
      </c>
      <c r="AO412" s="741">
        <f t="shared" si="87"/>
        <v>-0.36958956747791938</v>
      </c>
      <c r="AP412" s="501"/>
      <c r="AQ412" s="501"/>
      <c r="AR412" s="504"/>
      <c r="AS412" s="501"/>
      <c r="AT412" s="501"/>
      <c r="AU412" s="501"/>
      <c r="AV412" s="501"/>
      <c r="AW412" s="501"/>
      <c r="AX412" s="501"/>
      <c r="AY412" s="501"/>
      <c r="AZ412" s="501"/>
      <c r="BA412" s="501"/>
      <c r="BB412" s="501"/>
      <c r="BC412" s="501"/>
      <c r="BD412" s="501"/>
      <c r="BE412" s="501"/>
      <c r="BF412" s="501"/>
      <c r="BG412" s="501"/>
      <c r="BH412" s="501"/>
      <c r="BI412" s="501"/>
    </row>
    <row r="413" spans="1:61" ht="15.75" customHeight="1">
      <c r="A413" s="517" t="s">
        <v>36</v>
      </c>
      <c r="B413" s="498"/>
      <c r="C413" s="721" t="s">
        <v>465</v>
      </c>
      <c r="V413" s="592" t="s">
        <v>36</v>
      </c>
      <c r="W413" s="758" t="s">
        <v>138</v>
      </c>
      <c r="X413" s="755"/>
      <c r="Y413" s="759">
        <f t="shared" si="77"/>
        <v>212.37994302757167</v>
      </c>
      <c r="Z413" s="752">
        <f t="shared" si="78"/>
        <v>18314.792689230766</v>
      </c>
      <c r="AA413" s="755"/>
      <c r="AB413" s="759"/>
      <c r="AC413" s="752"/>
      <c r="AD413" s="760"/>
      <c r="AE413" s="759">
        <f t="shared" si="79"/>
        <v>262.21513888888887</v>
      </c>
      <c r="AF413" s="752">
        <f t="shared" si="80"/>
        <v>18879.489999999998</v>
      </c>
      <c r="AG413" s="753">
        <f t="shared" si="81"/>
        <v>49.835195861317203</v>
      </c>
      <c r="AH413" s="754">
        <f t="shared" si="81"/>
        <v>564.69731076923199</v>
      </c>
      <c r="AI413" s="755">
        <f t="shared" si="82"/>
        <v>3.0832853003096138E-2</v>
      </c>
      <c r="AJ413" s="760"/>
      <c r="AK413" s="754">
        <f t="shared" si="83"/>
        <v>180.4808988764045</v>
      </c>
      <c r="AL413" s="752">
        <f t="shared" si="84"/>
        <v>16062.8</v>
      </c>
      <c r="AM413" s="756">
        <f t="shared" si="85"/>
        <v>49.835195861317203</v>
      </c>
      <c r="AN413" s="754">
        <f t="shared" si="86"/>
        <v>2816.6899999999987</v>
      </c>
      <c r="AO413" s="761">
        <f t="shared" si="87"/>
        <v>0.17535485718554666</v>
      </c>
      <c r="AP413" s="501"/>
      <c r="AQ413" s="501"/>
      <c r="AR413" s="504"/>
      <c r="AS413" s="501"/>
      <c r="AT413" s="501"/>
      <c r="AU413" s="501"/>
      <c r="AV413" s="501"/>
      <c r="AW413" s="501"/>
      <c r="AX413" s="501"/>
      <c r="AY413" s="501"/>
      <c r="AZ413" s="501"/>
      <c r="BA413" s="501"/>
      <c r="BB413" s="501"/>
      <c r="BC413" s="501"/>
      <c r="BD413" s="501"/>
      <c r="BE413" s="501"/>
      <c r="BF413" s="501"/>
      <c r="BG413" s="501"/>
      <c r="BH413" s="501"/>
      <c r="BI413" s="501"/>
    </row>
    <row r="414" spans="1:61" ht="15.75" customHeight="1">
      <c r="A414" s="517" t="s">
        <v>37</v>
      </c>
      <c r="B414" s="498"/>
      <c r="C414" s="721" t="s">
        <v>465</v>
      </c>
      <c r="V414" s="592" t="s">
        <v>37</v>
      </c>
      <c r="W414" s="758" t="s">
        <v>139</v>
      </c>
      <c r="X414" s="751"/>
      <c r="Y414" s="759">
        <f t="shared" si="77"/>
        <v>109.06285358727204</v>
      </c>
      <c r="Z414" s="752">
        <f t="shared" si="78"/>
        <v>9405.1421479452038</v>
      </c>
      <c r="AA414" s="751"/>
      <c r="AB414" s="759"/>
      <c r="AC414" s="752"/>
      <c r="AD414" s="760"/>
      <c r="AE414" s="759">
        <f t="shared" ref="AE414:AE417" si="88">IF(AF414=0,0,AF414/(J$13+J$13))</f>
        <v>81.453888888888898</v>
      </c>
      <c r="AF414" s="752">
        <f t="shared" si="80"/>
        <v>5864.68</v>
      </c>
      <c r="AG414" s="753">
        <f t="shared" si="81"/>
        <v>-27.608964698383147</v>
      </c>
      <c r="AH414" s="754">
        <f t="shared" si="81"/>
        <v>-3540.4621479452035</v>
      </c>
      <c r="AI414" s="755">
        <f t="shared" si="82"/>
        <v>-0.37643898329795139</v>
      </c>
      <c r="AJ414" s="760"/>
      <c r="AK414" s="754">
        <f t="shared" si="83"/>
        <v>67.688764044943824</v>
      </c>
      <c r="AL414" s="752">
        <f t="shared" si="84"/>
        <v>6024.3</v>
      </c>
      <c r="AM414" s="756">
        <f t="shared" si="85"/>
        <v>-27.608964698383147</v>
      </c>
      <c r="AN414" s="754">
        <f t="shared" si="86"/>
        <v>-159.61999999999989</v>
      </c>
      <c r="AO414" s="761">
        <f t="shared" si="87"/>
        <v>-2.6496024434374099E-2</v>
      </c>
      <c r="AP414" s="501"/>
      <c r="AQ414" s="501"/>
      <c r="AR414" s="504"/>
      <c r="AS414" s="501"/>
      <c r="AT414" s="501"/>
      <c r="AU414" s="501"/>
      <c r="AV414" s="501"/>
      <c r="AW414" s="501"/>
      <c r="AX414" s="501"/>
      <c r="AY414" s="501"/>
      <c r="AZ414" s="501"/>
      <c r="BA414" s="501"/>
      <c r="BB414" s="501"/>
      <c r="BC414" s="501"/>
      <c r="BD414" s="501"/>
      <c r="BE414" s="501"/>
      <c r="BF414" s="501"/>
      <c r="BG414" s="501"/>
      <c r="BH414" s="501"/>
      <c r="BI414" s="501"/>
    </row>
    <row r="415" spans="1:61" ht="15.75" hidden="1" customHeight="1">
      <c r="A415" s="517" t="s">
        <v>20</v>
      </c>
      <c r="B415" s="498"/>
      <c r="C415" s="721" t="s">
        <v>465</v>
      </c>
      <c r="V415" s="592" t="s">
        <v>20</v>
      </c>
      <c r="W415" s="758"/>
      <c r="X415" s="755"/>
      <c r="Y415" s="759">
        <f t="shared" si="77"/>
        <v>0</v>
      </c>
      <c r="Z415" s="752">
        <f t="shared" ref="Z415:Z417" si="89">IFERROR(SUMIF($C:$C,$V415,F:F),0)</f>
        <v>0</v>
      </c>
      <c r="AA415" s="751"/>
      <c r="AB415" s="759"/>
      <c r="AC415" s="752"/>
      <c r="AD415" s="760"/>
      <c r="AE415" s="759">
        <f t="shared" si="88"/>
        <v>0</v>
      </c>
      <c r="AF415" s="752">
        <f t="shared" ref="AF415:AF417" si="90">IFERROR(SUMIF($C:$C,$V415,L:L),0)</f>
        <v>0</v>
      </c>
      <c r="AG415" s="753">
        <f t="shared" si="81"/>
        <v>0</v>
      </c>
      <c r="AH415" s="754">
        <f t="shared" si="81"/>
        <v>0</v>
      </c>
      <c r="AI415" s="755">
        <f t="shared" si="82"/>
        <v>0</v>
      </c>
      <c r="AJ415" s="760"/>
      <c r="AK415" s="754">
        <f t="shared" si="83"/>
        <v>0</v>
      </c>
      <c r="AL415" s="752">
        <f t="shared" ref="AL415:AL417" si="91">IFERROR(SUMIF($C:$C,$V415,Q:Q),0)</f>
        <v>0</v>
      </c>
      <c r="AM415" s="756">
        <f t="shared" si="85"/>
        <v>0</v>
      </c>
      <c r="AN415" s="754">
        <f t="shared" si="86"/>
        <v>0</v>
      </c>
      <c r="AO415" s="761">
        <f t="shared" si="87"/>
        <v>0</v>
      </c>
      <c r="AP415" s="501"/>
      <c r="AQ415" s="501"/>
      <c r="AR415" s="504"/>
      <c r="AS415" s="501"/>
      <c r="AT415" s="501"/>
      <c r="AU415" s="501"/>
      <c r="AV415" s="501"/>
      <c r="AW415" s="501"/>
      <c r="AX415" s="501"/>
      <c r="AY415" s="501"/>
      <c r="AZ415" s="501"/>
      <c r="BA415" s="501"/>
      <c r="BB415" s="501"/>
      <c r="BC415" s="501"/>
      <c r="BD415" s="501"/>
      <c r="BE415" s="501"/>
      <c r="BF415" s="501"/>
      <c r="BG415" s="501"/>
      <c r="BH415" s="501"/>
      <c r="BI415" s="501"/>
    </row>
    <row r="416" spans="1:61" ht="15.75" hidden="1" customHeight="1">
      <c r="A416" s="517" t="s">
        <v>20</v>
      </c>
      <c r="B416" s="498"/>
      <c r="C416" s="721" t="s">
        <v>465</v>
      </c>
      <c r="V416" s="592" t="s">
        <v>20</v>
      </c>
      <c r="W416" s="758"/>
      <c r="X416" s="755"/>
      <c r="Y416" s="759">
        <f t="shared" si="77"/>
        <v>0</v>
      </c>
      <c r="Z416" s="752">
        <f t="shared" si="89"/>
        <v>0</v>
      </c>
      <c r="AA416" s="751"/>
      <c r="AB416" s="759"/>
      <c r="AC416" s="752"/>
      <c r="AD416" s="760"/>
      <c r="AE416" s="759">
        <f t="shared" si="88"/>
        <v>0</v>
      </c>
      <c r="AF416" s="752">
        <f t="shared" si="90"/>
        <v>0</v>
      </c>
      <c r="AG416" s="753">
        <f t="shared" si="81"/>
        <v>0</v>
      </c>
      <c r="AH416" s="754">
        <f t="shared" si="81"/>
        <v>0</v>
      </c>
      <c r="AI416" s="755">
        <f t="shared" si="82"/>
        <v>0</v>
      </c>
      <c r="AJ416" s="760"/>
      <c r="AK416" s="754">
        <f t="shared" si="83"/>
        <v>0</v>
      </c>
      <c r="AL416" s="752">
        <f t="shared" si="91"/>
        <v>0</v>
      </c>
      <c r="AM416" s="756">
        <f t="shared" si="85"/>
        <v>0</v>
      </c>
      <c r="AN416" s="754">
        <f t="shared" si="86"/>
        <v>0</v>
      </c>
      <c r="AO416" s="761">
        <f t="shared" si="87"/>
        <v>0</v>
      </c>
      <c r="AP416" s="501"/>
      <c r="AQ416" s="501"/>
      <c r="AR416" s="504"/>
      <c r="AS416" s="501"/>
      <c r="AT416" s="501"/>
      <c r="AU416" s="501"/>
      <c r="AV416" s="501"/>
      <c r="AW416" s="501"/>
      <c r="AX416" s="501"/>
      <c r="AY416" s="501"/>
      <c r="AZ416" s="501"/>
      <c r="BA416" s="501"/>
      <c r="BB416" s="501"/>
      <c r="BC416" s="501"/>
      <c r="BD416" s="501"/>
      <c r="BE416" s="501"/>
      <c r="BF416" s="501"/>
      <c r="BG416" s="501"/>
      <c r="BH416" s="501"/>
      <c r="BI416" s="501"/>
    </row>
    <row r="417" spans="1:61" ht="15.75" hidden="1" customHeight="1">
      <c r="A417" s="517" t="s">
        <v>20</v>
      </c>
      <c r="B417" s="498"/>
      <c r="C417" s="721" t="s">
        <v>465</v>
      </c>
      <c r="V417" s="592" t="s">
        <v>20</v>
      </c>
      <c r="W417" s="758" t="s">
        <v>139</v>
      </c>
      <c r="X417" s="751"/>
      <c r="Y417" s="759">
        <f t="shared" si="77"/>
        <v>0</v>
      </c>
      <c r="Z417" s="752">
        <f t="shared" si="89"/>
        <v>0</v>
      </c>
      <c r="AA417" s="751"/>
      <c r="AB417" s="759"/>
      <c r="AC417" s="752"/>
      <c r="AD417" s="760"/>
      <c r="AE417" s="759">
        <f t="shared" si="88"/>
        <v>0</v>
      </c>
      <c r="AF417" s="752">
        <f t="shared" si="90"/>
        <v>0</v>
      </c>
      <c r="AG417" s="753">
        <f t="shared" si="81"/>
        <v>0</v>
      </c>
      <c r="AH417" s="754">
        <f t="shared" si="81"/>
        <v>0</v>
      </c>
      <c r="AI417" s="755">
        <f t="shared" si="82"/>
        <v>0</v>
      </c>
      <c r="AJ417" s="760"/>
      <c r="AK417" s="754">
        <f t="shared" si="83"/>
        <v>0</v>
      </c>
      <c r="AL417" s="752">
        <f t="shared" si="91"/>
        <v>0</v>
      </c>
      <c r="AM417" s="756">
        <f t="shared" si="85"/>
        <v>0</v>
      </c>
      <c r="AN417" s="754">
        <f t="shared" si="86"/>
        <v>0</v>
      </c>
      <c r="AO417" s="761">
        <f t="shared" si="87"/>
        <v>0</v>
      </c>
      <c r="AP417" s="501"/>
      <c r="AQ417" s="501"/>
      <c r="AR417" s="504"/>
      <c r="AS417" s="501"/>
      <c r="AT417" s="501"/>
      <c r="AU417" s="501"/>
      <c r="AV417" s="501"/>
      <c r="AW417" s="501"/>
      <c r="AX417" s="501"/>
      <c r="AY417" s="501"/>
      <c r="AZ417" s="501"/>
      <c r="BA417" s="501"/>
      <c r="BB417" s="501"/>
      <c r="BC417" s="501"/>
      <c r="BD417" s="501"/>
      <c r="BE417" s="501"/>
      <c r="BF417" s="501"/>
      <c r="BG417" s="501"/>
      <c r="BH417" s="501"/>
      <c r="BI417" s="501"/>
    </row>
    <row r="418" spans="1:61" ht="15.75" customHeight="1">
      <c r="A418" s="517" t="s">
        <v>38</v>
      </c>
      <c r="B418" s="498"/>
      <c r="C418" s="721" t="s">
        <v>465</v>
      </c>
      <c r="V418" s="766" t="s">
        <v>38</v>
      </c>
      <c r="W418" s="767"/>
      <c r="X418" s="768">
        <f>Z418/Z406</f>
        <v>0.22986025204660482</v>
      </c>
      <c r="Y418" s="767"/>
      <c r="Z418" s="769">
        <f>SUM(Z408:Z417)</f>
        <v>149028.53980807652</v>
      </c>
      <c r="AA418" s="768"/>
      <c r="AB418" s="767"/>
      <c r="AC418" s="769"/>
      <c r="AD418" s="770">
        <f>AF418/AF406</f>
        <v>0.22494732871421966</v>
      </c>
      <c r="AE418" s="767"/>
      <c r="AF418" s="769">
        <f>SUM(AF408:AF417)</f>
        <v>137753.91999999998</v>
      </c>
      <c r="AG418" s="771"/>
      <c r="AH418" s="772">
        <f t="shared" si="81"/>
        <v>-11274.619808076532</v>
      </c>
      <c r="AI418" s="768">
        <f>AH418/Z418</f>
        <v>-7.5654098353216973E-2</v>
      </c>
      <c r="AJ418" s="770">
        <f>IF($AL$406=0,0,AL418/$AL$406)</f>
        <v>0.24407576296565267</v>
      </c>
      <c r="AK418" s="767"/>
      <c r="AL418" s="769">
        <f>SUM(AL408:AL417)</f>
        <v>170679.33999999997</v>
      </c>
      <c r="AM418" s="773"/>
      <c r="AN418" s="772">
        <f t="shared" si="86"/>
        <v>-32925.419999999984</v>
      </c>
      <c r="AO418" s="749">
        <f t="shared" si="87"/>
        <v>-0.19290805788210799</v>
      </c>
      <c r="AP418" s="501"/>
      <c r="AQ418" s="501"/>
      <c r="AR418" s="504"/>
      <c r="AS418" s="501"/>
      <c r="AT418" s="501"/>
      <c r="AU418" s="501"/>
      <c r="AV418" s="501"/>
      <c r="AW418" s="501"/>
      <c r="AX418" s="501"/>
      <c r="AY418" s="501"/>
      <c r="AZ418" s="501"/>
      <c r="BA418" s="501"/>
      <c r="BB418" s="501"/>
      <c r="BC418" s="501"/>
      <c r="BD418" s="501"/>
      <c r="BE418" s="501"/>
      <c r="BF418" s="501"/>
      <c r="BG418" s="501"/>
      <c r="BH418" s="501"/>
      <c r="BI418" s="501"/>
    </row>
    <row r="419" spans="1:61" ht="15.75" customHeight="1">
      <c r="A419" s="517" t="s">
        <v>140</v>
      </c>
      <c r="B419" s="498"/>
      <c r="C419" s="721" t="s">
        <v>465</v>
      </c>
      <c r="V419" s="592" t="s">
        <v>140</v>
      </c>
      <c r="W419" s="758" t="s">
        <v>141</v>
      </c>
      <c r="X419" s="751"/>
      <c r="Y419" s="751"/>
      <c r="Z419" s="752">
        <f t="array" ref="Z419">+INDEX('[5]Budget original'!$A$2:$AO$500,MATCH($A419,'[5]Budget original'!$A$2:$A$500,0),MATCH(F$2,'[5]Budget original'!$A$2:$AO$2,0))</f>
        <v>15725.739386973182</v>
      </c>
      <c r="AA419" s="751"/>
      <c r="AB419" s="751"/>
      <c r="AC419" s="752"/>
      <c r="AD419" s="760"/>
      <c r="AE419" s="759"/>
      <c r="AF419" s="752">
        <f>SUMIFS([5]BV_Data_An_Cour!$O:$O,[5]BV_Data_An_Cour!$V:$V,$V419)</f>
        <v>13077</v>
      </c>
      <c r="AG419" s="753"/>
      <c r="AH419" s="754">
        <f t="shared" si="81"/>
        <v>-2648.7393869731823</v>
      </c>
      <c r="AI419" s="755">
        <f t="shared" ref="AI419:AI431" si="92">IF(Z419=0,0,AH419/Z419)</f>
        <v>-0.16843337675857284</v>
      </c>
      <c r="AJ419" s="760"/>
      <c r="AK419" s="751"/>
      <c r="AL419" s="752">
        <f>SUMIFS([5]BV_Data_An_Prec!$O:$O,[5]BV_Data_An_Prec!$V:$V,$V419)</f>
        <v>14834.24</v>
      </c>
      <c r="AM419" s="756"/>
      <c r="AN419" s="754">
        <f t="shared" si="86"/>
        <v>-1757.2399999999998</v>
      </c>
      <c r="AO419" s="761">
        <f t="shared" si="87"/>
        <v>-0.11845837737558512</v>
      </c>
      <c r="AP419" s="501"/>
      <c r="AQ419" s="501"/>
      <c r="AR419" s="501"/>
      <c r="AS419" s="501"/>
      <c r="AT419" s="501"/>
      <c r="AU419" s="501"/>
      <c r="AV419" s="501"/>
      <c r="AW419" s="501"/>
      <c r="AX419" s="501"/>
      <c r="AY419" s="501"/>
      <c r="AZ419" s="501"/>
      <c r="BA419" s="501"/>
      <c r="BB419" s="501"/>
      <c r="BC419" s="501"/>
      <c r="BD419" s="501"/>
      <c r="BE419" s="501"/>
      <c r="BF419" s="501"/>
      <c r="BG419" s="501"/>
      <c r="BH419" s="501"/>
      <c r="BI419" s="501"/>
    </row>
    <row r="420" spans="1:61" ht="15.75" customHeight="1">
      <c r="A420" s="517" t="s">
        <v>41</v>
      </c>
      <c r="B420" s="498"/>
      <c r="C420" s="721" t="s">
        <v>465</v>
      </c>
      <c r="V420" s="592" t="s">
        <v>41</v>
      </c>
      <c r="W420" s="758" t="s">
        <v>142</v>
      </c>
      <c r="X420" s="751"/>
      <c r="Y420" s="751"/>
      <c r="Z420" s="752">
        <f t="shared" ref="Z420:Z423" si="93">+SUMIF($C:$C,$V420,F:F)</f>
        <v>43004.043103448275</v>
      </c>
      <c r="AA420" s="751"/>
      <c r="AB420" s="751"/>
      <c r="AC420" s="752"/>
      <c r="AD420" s="760"/>
      <c r="AE420" s="759"/>
      <c r="AF420" s="752">
        <f t="shared" ref="AF420:AF423" si="94">+SUMIF($C:$C,$V420,L:L)</f>
        <v>45656.84</v>
      </c>
      <c r="AG420" s="753"/>
      <c r="AH420" s="754">
        <f t="shared" si="81"/>
        <v>2652.7968965517211</v>
      </c>
      <c r="AI420" s="755">
        <f t="shared" si="92"/>
        <v>6.1687150907422626E-2</v>
      </c>
      <c r="AJ420" s="760"/>
      <c r="AK420" s="751"/>
      <c r="AL420" s="752">
        <f t="shared" ref="AL420:AL423" si="95">+SUMIF($C:$C,$V420,Q:Q)</f>
        <v>51465.24</v>
      </c>
      <c r="AM420" s="756"/>
      <c r="AN420" s="754">
        <f t="shared" si="86"/>
        <v>-5808.4000000000015</v>
      </c>
      <c r="AO420" s="761">
        <f t="shared" si="87"/>
        <v>-0.11286064147374036</v>
      </c>
      <c r="AP420" s="501"/>
      <c r="AQ420" s="501"/>
      <c r="AR420" s="501"/>
      <c r="AS420" s="501"/>
      <c r="AT420" s="501"/>
      <c r="AU420" s="501"/>
      <c r="AV420" s="501"/>
      <c r="AW420" s="501"/>
      <c r="AX420" s="501"/>
      <c r="AY420" s="501"/>
      <c r="AZ420" s="501"/>
      <c r="BA420" s="501"/>
      <c r="BB420" s="501"/>
      <c r="BC420" s="501"/>
      <c r="BD420" s="501"/>
      <c r="BE420" s="501"/>
      <c r="BF420" s="501"/>
      <c r="BG420" s="501"/>
      <c r="BH420" s="501"/>
      <c r="BI420" s="501"/>
    </row>
    <row r="421" spans="1:61" ht="15.75" customHeight="1">
      <c r="A421" s="517" t="s">
        <v>42</v>
      </c>
      <c r="B421" s="498"/>
      <c r="C421" s="721" t="s">
        <v>465</v>
      </c>
      <c r="V421" s="593" t="s">
        <v>42</v>
      </c>
      <c r="W421" s="762" t="s">
        <v>143</v>
      </c>
      <c r="X421" s="735"/>
      <c r="Y421" s="735"/>
      <c r="Z421" s="736">
        <f t="shared" si="93"/>
        <v>52087.070344827589</v>
      </c>
      <c r="AA421" s="735"/>
      <c r="AB421" s="735"/>
      <c r="AC421" s="736"/>
      <c r="AD421" s="764"/>
      <c r="AE421" s="763"/>
      <c r="AF421" s="736">
        <f t="shared" si="94"/>
        <v>42545.5</v>
      </c>
      <c r="AG421" s="737"/>
      <c r="AH421" s="738">
        <f t="shared" si="81"/>
        <v>-9541.570344827589</v>
      </c>
      <c r="AI421" s="765">
        <f t="shared" si="92"/>
        <v>-0.18318500698273765</v>
      </c>
      <c r="AJ421" s="764"/>
      <c r="AK421" s="735"/>
      <c r="AL421" s="736">
        <f t="shared" si="95"/>
        <v>17448.669999999998</v>
      </c>
      <c r="AM421" s="740"/>
      <c r="AN421" s="738">
        <f t="shared" si="86"/>
        <v>25096.83</v>
      </c>
      <c r="AO421" s="741">
        <f t="shared" si="87"/>
        <v>1.4383233793750472</v>
      </c>
      <c r="AP421" s="501"/>
      <c r="AQ421" s="501"/>
      <c r="AR421" s="501"/>
      <c r="AS421" s="501"/>
      <c r="AT421" s="501"/>
      <c r="AU421" s="501"/>
      <c r="AV421" s="501"/>
      <c r="AW421" s="501"/>
      <c r="AX421" s="501"/>
      <c r="AY421" s="501"/>
      <c r="AZ421" s="501"/>
      <c r="BA421" s="501"/>
      <c r="BB421" s="501"/>
      <c r="BC421" s="501"/>
      <c r="BD421" s="501"/>
      <c r="BE421" s="501"/>
      <c r="BF421" s="501"/>
      <c r="BG421" s="501"/>
      <c r="BH421" s="501"/>
      <c r="BI421" s="501"/>
    </row>
    <row r="422" spans="1:61" ht="15.75" customHeight="1">
      <c r="A422" s="517" t="s">
        <v>43</v>
      </c>
      <c r="B422" s="498"/>
      <c r="C422" s="721" t="s">
        <v>465</v>
      </c>
      <c r="V422" s="592" t="s">
        <v>43</v>
      </c>
      <c r="W422" s="758" t="s">
        <v>144</v>
      </c>
      <c r="X422" s="751"/>
      <c r="Y422" s="751"/>
      <c r="Z422" s="752">
        <f t="shared" si="93"/>
        <v>31637.251340996168</v>
      </c>
      <c r="AA422" s="751"/>
      <c r="AB422" s="751"/>
      <c r="AC422" s="752"/>
      <c r="AD422" s="760"/>
      <c r="AE422" s="759"/>
      <c r="AF422" s="752">
        <f t="shared" si="94"/>
        <v>31114.379999999997</v>
      </c>
      <c r="AG422" s="753"/>
      <c r="AH422" s="754">
        <f t="shared" si="81"/>
        <v>-522.87134099617106</v>
      </c>
      <c r="AI422" s="755">
        <f t="shared" si="92"/>
        <v>-1.6527078644111671E-2</v>
      </c>
      <c r="AJ422" s="760"/>
      <c r="AK422" s="751"/>
      <c r="AL422" s="752">
        <f t="shared" si="95"/>
        <v>52418.960000000006</v>
      </c>
      <c r="AM422" s="756"/>
      <c r="AN422" s="754">
        <f t="shared" si="86"/>
        <v>-21304.580000000009</v>
      </c>
      <c r="AO422" s="761">
        <f t="shared" si="87"/>
        <v>-0.40642889519364761</v>
      </c>
      <c r="AP422" s="501"/>
      <c r="AQ422" s="501"/>
      <c r="AR422" s="501"/>
      <c r="AS422" s="501"/>
      <c r="AT422" s="501"/>
      <c r="AU422" s="501"/>
      <c r="AV422" s="501"/>
      <c r="AW422" s="501"/>
      <c r="AX422" s="501"/>
      <c r="AY422" s="501"/>
      <c r="AZ422" s="501"/>
      <c r="BA422" s="501"/>
      <c r="BB422" s="501"/>
      <c r="BC422" s="501"/>
      <c r="BD422" s="501"/>
      <c r="BE422" s="501"/>
      <c r="BF422" s="501"/>
      <c r="BG422" s="501"/>
      <c r="BH422" s="501"/>
      <c r="BI422" s="501"/>
    </row>
    <row r="423" spans="1:61" ht="15.75" customHeight="1">
      <c r="A423" s="517" t="s">
        <v>44</v>
      </c>
      <c r="B423" s="498"/>
      <c r="C423" s="721" t="s">
        <v>465</v>
      </c>
      <c r="V423" s="592" t="s">
        <v>44</v>
      </c>
      <c r="W423" s="758" t="s">
        <v>145</v>
      </c>
      <c r="X423" s="751"/>
      <c r="Y423" s="751"/>
      <c r="Z423" s="752">
        <f t="shared" si="93"/>
        <v>34278.959102282926</v>
      </c>
      <c r="AA423" s="751"/>
      <c r="AB423" s="751"/>
      <c r="AC423" s="752"/>
      <c r="AD423" s="760"/>
      <c r="AE423" s="759"/>
      <c r="AF423" s="752">
        <f t="shared" si="94"/>
        <v>28533.96</v>
      </c>
      <c r="AG423" s="753"/>
      <c r="AH423" s="754">
        <f t="shared" si="81"/>
        <v>-5744.9991022829272</v>
      </c>
      <c r="AI423" s="755">
        <f t="shared" si="92"/>
        <v>-0.16759549451722761</v>
      </c>
      <c r="AJ423" s="760"/>
      <c r="AK423" s="751"/>
      <c r="AL423" s="752">
        <f t="shared" si="95"/>
        <v>27942.18</v>
      </c>
      <c r="AM423" s="756"/>
      <c r="AN423" s="754">
        <f t="shared" si="86"/>
        <v>591.77999999999884</v>
      </c>
      <c r="AO423" s="761">
        <f t="shared" si="87"/>
        <v>2.1178734085887316E-2</v>
      </c>
      <c r="AP423" s="501"/>
      <c r="AQ423" s="501"/>
      <c r="AR423" s="501"/>
      <c r="AS423" s="501"/>
      <c r="AT423" s="501"/>
      <c r="AU423" s="501"/>
      <c r="AV423" s="501"/>
      <c r="AW423" s="501"/>
      <c r="AX423" s="501"/>
      <c r="AY423" s="501"/>
      <c r="AZ423" s="501"/>
      <c r="BA423" s="501"/>
      <c r="BB423" s="501"/>
      <c r="BC423" s="501"/>
      <c r="BD423" s="501"/>
      <c r="BE423" s="501"/>
      <c r="BF423" s="501"/>
      <c r="BG423" s="501"/>
      <c r="BH423" s="501"/>
      <c r="BI423" s="501"/>
    </row>
    <row r="424" spans="1:61" ht="15.75" hidden="1" customHeight="1">
      <c r="A424" s="517" t="s">
        <v>20</v>
      </c>
      <c r="B424" s="498"/>
      <c r="C424" s="721" t="s">
        <v>465</v>
      </c>
      <c r="V424" s="592" t="s">
        <v>20</v>
      </c>
      <c r="W424" s="758"/>
      <c r="X424" s="751"/>
      <c r="Y424" s="751"/>
      <c r="Z424" s="752">
        <f t="shared" ref="Z424:Z426" si="96">IFERROR(SUMIF($C:$C,$V424,F:F),0)</f>
        <v>0</v>
      </c>
      <c r="AA424" s="751"/>
      <c r="AB424" s="751"/>
      <c r="AC424" s="752"/>
      <c r="AD424" s="760"/>
      <c r="AE424" s="759"/>
      <c r="AF424" s="752">
        <f t="shared" ref="AF424:AF426" si="97">IFERROR(SUMIF($C:$C,$V424,L:L),0)</f>
        <v>0</v>
      </c>
      <c r="AG424" s="753"/>
      <c r="AH424" s="754">
        <f t="shared" ref="AH424:AH456" si="98">AF424-Z424</f>
        <v>0</v>
      </c>
      <c r="AI424" s="755">
        <f t="shared" si="92"/>
        <v>0</v>
      </c>
      <c r="AJ424" s="760"/>
      <c r="AK424" s="751"/>
      <c r="AL424" s="752">
        <f t="shared" ref="AL424:AL426" si="99">IFERROR(SUMIF($C:$C,$V424,Q:Q),0)</f>
        <v>0</v>
      </c>
      <c r="AM424" s="756"/>
      <c r="AN424" s="754">
        <f t="shared" si="86"/>
        <v>0</v>
      </c>
      <c r="AO424" s="761">
        <f t="shared" si="87"/>
        <v>0</v>
      </c>
      <c r="AP424" s="501"/>
      <c r="AQ424" s="501"/>
      <c r="AR424" s="501"/>
      <c r="AS424" s="501"/>
      <c r="AT424" s="501"/>
      <c r="AU424" s="501"/>
      <c r="AV424" s="501"/>
      <c r="AW424" s="501"/>
      <c r="AX424" s="501"/>
      <c r="AY424" s="501"/>
      <c r="AZ424" s="501"/>
      <c r="BA424" s="501"/>
      <c r="BB424" s="501"/>
      <c r="BC424" s="501"/>
      <c r="BD424" s="501"/>
      <c r="BE424" s="501"/>
      <c r="BF424" s="501"/>
      <c r="BG424" s="501"/>
      <c r="BH424" s="501"/>
      <c r="BI424" s="501"/>
    </row>
    <row r="425" spans="1:61" ht="15.75" hidden="1" customHeight="1">
      <c r="A425" s="517" t="s">
        <v>20</v>
      </c>
      <c r="B425" s="498"/>
      <c r="C425" s="721" t="s">
        <v>465</v>
      </c>
      <c r="V425" s="592" t="s">
        <v>20</v>
      </c>
      <c r="W425" s="758"/>
      <c r="X425" s="751"/>
      <c r="Y425" s="751"/>
      <c r="Z425" s="752">
        <f t="shared" si="96"/>
        <v>0</v>
      </c>
      <c r="AA425" s="751"/>
      <c r="AB425" s="751"/>
      <c r="AC425" s="752"/>
      <c r="AD425" s="760"/>
      <c r="AE425" s="759"/>
      <c r="AF425" s="752">
        <f t="shared" si="97"/>
        <v>0</v>
      </c>
      <c r="AG425" s="753"/>
      <c r="AH425" s="754">
        <f t="shared" si="98"/>
        <v>0</v>
      </c>
      <c r="AI425" s="755">
        <f t="shared" si="92"/>
        <v>0</v>
      </c>
      <c r="AJ425" s="760"/>
      <c r="AK425" s="751"/>
      <c r="AL425" s="752">
        <f t="shared" si="99"/>
        <v>0</v>
      </c>
      <c r="AM425" s="756"/>
      <c r="AN425" s="754">
        <f t="shared" si="86"/>
        <v>0</v>
      </c>
      <c r="AO425" s="761">
        <f t="shared" si="87"/>
        <v>0</v>
      </c>
      <c r="AP425" s="501"/>
      <c r="AQ425" s="501"/>
      <c r="AR425" s="501"/>
      <c r="AS425" s="501"/>
      <c r="AT425" s="501"/>
      <c r="AU425" s="501"/>
      <c r="AV425" s="501"/>
      <c r="AW425" s="501"/>
      <c r="AX425" s="501"/>
      <c r="AY425" s="501"/>
      <c r="AZ425" s="501"/>
      <c r="BA425" s="501"/>
      <c r="BB425" s="501"/>
      <c r="BC425" s="501"/>
      <c r="BD425" s="501"/>
      <c r="BE425" s="501"/>
      <c r="BF425" s="501"/>
      <c r="BG425" s="501"/>
      <c r="BH425" s="501"/>
      <c r="BI425" s="501"/>
    </row>
    <row r="426" spans="1:61" ht="15.75" hidden="1" customHeight="1">
      <c r="A426" s="517" t="s">
        <v>20</v>
      </c>
      <c r="B426" s="498"/>
      <c r="C426" s="721" t="s">
        <v>465</v>
      </c>
      <c r="V426" s="592" t="s">
        <v>20</v>
      </c>
      <c r="W426" s="758"/>
      <c r="X426" s="751"/>
      <c r="Y426" s="751"/>
      <c r="Z426" s="752">
        <f t="shared" si="96"/>
        <v>0</v>
      </c>
      <c r="AA426" s="751"/>
      <c r="AB426" s="751"/>
      <c r="AC426" s="752"/>
      <c r="AD426" s="760"/>
      <c r="AE426" s="759"/>
      <c r="AF426" s="752">
        <f t="shared" si="97"/>
        <v>0</v>
      </c>
      <c r="AG426" s="753"/>
      <c r="AH426" s="754">
        <f t="shared" si="98"/>
        <v>0</v>
      </c>
      <c r="AI426" s="755">
        <f t="shared" si="92"/>
        <v>0</v>
      </c>
      <c r="AJ426" s="760"/>
      <c r="AK426" s="751"/>
      <c r="AL426" s="752">
        <f t="shared" si="99"/>
        <v>0</v>
      </c>
      <c r="AM426" s="756"/>
      <c r="AN426" s="754">
        <f t="shared" si="86"/>
        <v>0</v>
      </c>
      <c r="AO426" s="761">
        <f t="shared" si="87"/>
        <v>0</v>
      </c>
      <c r="AP426" s="501"/>
      <c r="AQ426" s="501"/>
      <c r="AR426" s="501"/>
      <c r="AS426" s="501"/>
      <c r="AT426" s="501"/>
      <c r="AU426" s="501"/>
      <c r="AV426" s="501"/>
      <c r="AW426" s="501"/>
      <c r="AX426" s="501"/>
      <c r="AY426" s="501"/>
      <c r="AZ426" s="501"/>
      <c r="BA426" s="501"/>
      <c r="BB426" s="501"/>
      <c r="BC426" s="501"/>
      <c r="BD426" s="501"/>
      <c r="BE426" s="501"/>
      <c r="BF426" s="501"/>
      <c r="BG426" s="501"/>
      <c r="BH426" s="501"/>
      <c r="BI426" s="501"/>
    </row>
    <row r="427" spans="1:61" ht="15.75" customHeight="1">
      <c r="A427" s="517" t="s">
        <v>45</v>
      </c>
      <c r="B427" s="498"/>
      <c r="C427" s="721" t="s">
        <v>465</v>
      </c>
      <c r="V427" s="593" t="s">
        <v>45</v>
      </c>
      <c r="W427" s="762" t="s">
        <v>146</v>
      </c>
      <c r="X427" s="735"/>
      <c r="Y427" s="735"/>
      <c r="Z427" s="736">
        <f t="shared" ref="Z427:Z430" si="100">+SUMIF($C:$C,$V427,F:F)</f>
        <v>37809.546157980709</v>
      </c>
      <c r="AA427" s="735"/>
      <c r="AB427" s="735"/>
      <c r="AC427" s="736"/>
      <c r="AD427" s="764"/>
      <c r="AE427" s="763"/>
      <c r="AF427" s="736">
        <f t="shared" ref="AF427:AF430" si="101">+SUMIF($C:$C,$V427,L:L)</f>
        <v>33642.36</v>
      </c>
      <c r="AG427" s="737"/>
      <c r="AH427" s="738">
        <f t="shared" si="98"/>
        <v>-4167.1861579807082</v>
      </c>
      <c r="AI427" s="765">
        <f t="shared" si="92"/>
        <v>-0.110215185883714</v>
      </c>
      <c r="AJ427" s="764"/>
      <c r="AK427" s="735"/>
      <c r="AL427" s="736">
        <f t="shared" ref="AL427:AL430" si="102">+SUMIF($C:$C,$V427,Q:Q)</f>
        <v>52184.160000000003</v>
      </c>
      <c r="AM427" s="740"/>
      <c r="AN427" s="738">
        <f t="shared" si="86"/>
        <v>-18541.800000000003</v>
      </c>
      <c r="AO427" s="741">
        <f t="shared" si="87"/>
        <v>-0.35531471618974036</v>
      </c>
      <c r="AP427" s="501"/>
      <c r="AQ427" s="501"/>
      <c r="AR427" s="501"/>
      <c r="AS427" s="501"/>
      <c r="AT427" s="501"/>
      <c r="AU427" s="501"/>
      <c r="AV427" s="501"/>
      <c r="AW427" s="501"/>
      <c r="AX427" s="501"/>
      <c r="AY427" s="501"/>
      <c r="AZ427" s="501"/>
      <c r="BA427" s="501"/>
      <c r="BB427" s="501"/>
      <c r="BC427" s="501"/>
      <c r="BD427" s="501"/>
      <c r="BE427" s="501"/>
      <c r="BF427" s="501"/>
      <c r="BG427" s="501"/>
      <c r="BH427" s="501"/>
      <c r="BI427" s="501"/>
    </row>
    <row r="428" spans="1:61" ht="15.75" customHeight="1">
      <c r="A428" s="517" t="s">
        <v>46</v>
      </c>
      <c r="B428" s="498"/>
      <c r="C428" s="721" t="s">
        <v>465</v>
      </c>
      <c r="V428" s="592" t="s">
        <v>46</v>
      </c>
      <c r="W428" s="758" t="s">
        <v>147</v>
      </c>
      <c r="X428" s="751"/>
      <c r="Y428" s="751"/>
      <c r="Z428" s="752">
        <f t="shared" si="100"/>
        <v>37586.411506635064</v>
      </c>
      <c r="AA428" s="751"/>
      <c r="AB428" s="751"/>
      <c r="AC428" s="752"/>
      <c r="AD428" s="760"/>
      <c r="AE428" s="759"/>
      <c r="AF428" s="752">
        <f t="shared" si="101"/>
        <v>49599.26</v>
      </c>
      <c r="AG428" s="753"/>
      <c r="AH428" s="754">
        <f t="shared" si="98"/>
        <v>12012.848493364938</v>
      </c>
      <c r="AI428" s="755">
        <f t="shared" si="92"/>
        <v>0.3196061558375779</v>
      </c>
      <c r="AJ428" s="760"/>
      <c r="AK428" s="751"/>
      <c r="AL428" s="752">
        <f t="shared" si="102"/>
        <v>45909.109999999993</v>
      </c>
      <c r="AM428" s="756"/>
      <c r="AN428" s="754">
        <f t="shared" si="86"/>
        <v>3690.1500000000087</v>
      </c>
      <c r="AO428" s="761">
        <f t="shared" si="87"/>
        <v>8.0379471525368479E-2</v>
      </c>
      <c r="AP428" s="501"/>
      <c r="AQ428" s="501"/>
      <c r="AR428" s="501"/>
      <c r="AS428" s="501"/>
      <c r="AT428" s="501"/>
      <c r="AU428" s="501"/>
      <c r="AV428" s="501"/>
      <c r="AW428" s="501"/>
      <c r="AX428" s="501"/>
      <c r="AY428" s="501"/>
      <c r="AZ428" s="501"/>
      <c r="BA428" s="501"/>
      <c r="BB428" s="501"/>
      <c r="BC428" s="501"/>
      <c r="BD428" s="501"/>
      <c r="BE428" s="501"/>
      <c r="BF428" s="501"/>
      <c r="BG428" s="501"/>
      <c r="BH428" s="501"/>
      <c r="BI428" s="501"/>
    </row>
    <row r="429" spans="1:61" ht="15.75" customHeight="1">
      <c r="A429" s="517" t="s">
        <v>47</v>
      </c>
      <c r="B429" s="498"/>
      <c r="C429" s="721" t="s">
        <v>465</v>
      </c>
      <c r="V429" s="592" t="s">
        <v>47</v>
      </c>
      <c r="W429" s="758" t="s">
        <v>148</v>
      </c>
      <c r="X429" s="751"/>
      <c r="Y429" s="751"/>
      <c r="Z429" s="752">
        <f t="shared" si="100"/>
        <v>26320.186624043745</v>
      </c>
      <c r="AA429" s="751"/>
      <c r="AB429" s="751"/>
      <c r="AC429" s="752"/>
      <c r="AD429" s="760"/>
      <c r="AE429" s="759"/>
      <c r="AF429" s="752">
        <f t="shared" si="101"/>
        <v>20548.22</v>
      </c>
      <c r="AG429" s="753"/>
      <c r="AH429" s="754">
        <f t="shared" si="98"/>
        <v>-5771.9666240437436</v>
      </c>
      <c r="AI429" s="755">
        <f t="shared" si="92"/>
        <v>-0.21929808882019841</v>
      </c>
      <c r="AJ429" s="760"/>
      <c r="AK429" s="751"/>
      <c r="AL429" s="752">
        <f t="shared" si="102"/>
        <v>23286.379999999997</v>
      </c>
      <c r="AM429" s="756"/>
      <c r="AN429" s="754">
        <f t="shared" si="86"/>
        <v>-2738.1599999999962</v>
      </c>
      <c r="AO429" s="761">
        <f t="shared" si="87"/>
        <v>-0.11758633158094975</v>
      </c>
      <c r="AP429" s="501"/>
      <c r="AQ429" s="501"/>
      <c r="AR429" s="501"/>
      <c r="AS429" s="501"/>
      <c r="AT429" s="501"/>
      <c r="AU429" s="501"/>
      <c r="AV429" s="501"/>
      <c r="AW429" s="501"/>
      <c r="AX429" s="501"/>
      <c r="AY429" s="501"/>
      <c r="AZ429" s="501"/>
      <c r="BA429" s="501"/>
      <c r="BB429" s="501"/>
      <c r="BC429" s="501"/>
      <c r="BD429" s="501"/>
      <c r="BE429" s="501"/>
      <c r="BF429" s="501"/>
      <c r="BG429" s="501"/>
      <c r="BH429" s="501"/>
      <c r="BI429" s="501"/>
    </row>
    <row r="430" spans="1:61" ht="15.75" customHeight="1">
      <c r="A430" s="517" t="s">
        <v>48</v>
      </c>
      <c r="B430" s="498"/>
      <c r="C430" s="721" t="s">
        <v>465</v>
      </c>
      <c r="V430" s="592" t="s">
        <v>48</v>
      </c>
      <c r="W430" s="758"/>
      <c r="X430" s="751"/>
      <c r="Y430" s="751"/>
      <c r="Z430" s="752">
        <f t="shared" si="100"/>
        <v>12573.911790954568</v>
      </c>
      <c r="AA430" s="751"/>
      <c r="AB430" s="751"/>
      <c r="AC430" s="752"/>
      <c r="AD430" s="760"/>
      <c r="AE430" s="759"/>
      <c r="AF430" s="752">
        <f t="shared" si="101"/>
        <v>8555.8900000000012</v>
      </c>
      <c r="AG430" s="753"/>
      <c r="AH430" s="754">
        <f t="shared" si="98"/>
        <v>-4018.0217909545663</v>
      </c>
      <c r="AI430" s="774">
        <f t="shared" si="92"/>
        <v>-0.31955224895446255</v>
      </c>
      <c r="AJ430" s="760"/>
      <c r="AK430" s="751"/>
      <c r="AL430" s="752">
        <f t="shared" si="102"/>
        <v>16728.600000000002</v>
      </c>
      <c r="AM430" s="756"/>
      <c r="AN430" s="754">
        <f t="shared" si="86"/>
        <v>-8172.7100000000009</v>
      </c>
      <c r="AO430" s="761">
        <f t="shared" si="87"/>
        <v>-0.48854715875805504</v>
      </c>
      <c r="AP430" s="501"/>
      <c r="AQ430" s="501"/>
      <c r="AR430" s="501"/>
      <c r="AS430" s="501"/>
      <c r="AT430" s="501"/>
      <c r="AU430" s="501"/>
      <c r="AV430" s="501"/>
      <c r="AW430" s="501"/>
      <c r="AX430" s="501"/>
      <c r="AY430" s="501"/>
      <c r="AZ430" s="501"/>
      <c r="BA430" s="501"/>
      <c r="BB430" s="501"/>
      <c r="BC430" s="501"/>
      <c r="BD430" s="501"/>
      <c r="BE430" s="501"/>
      <c r="BF430" s="501"/>
      <c r="BG430" s="501"/>
      <c r="BH430" s="501"/>
      <c r="BI430" s="501"/>
    </row>
    <row r="431" spans="1:61" ht="15.75" hidden="1" customHeight="1">
      <c r="A431" s="517" t="s">
        <v>20</v>
      </c>
      <c r="B431" s="498"/>
      <c r="C431" s="721" t="s">
        <v>465</v>
      </c>
      <c r="V431" s="525" t="s">
        <v>20</v>
      </c>
      <c r="W431" s="758"/>
      <c r="X431" s="751"/>
      <c r="Y431" s="759"/>
      <c r="Z431" s="752">
        <f>IFERROR(SUMIF($C:$C,$V431,F:F),0)</f>
        <v>0</v>
      </c>
      <c r="AA431" s="751"/>
      <c r="AB431" s="751"/>
      <c r="AC431" s="752"/>
      <c r="AD431" s="760"/>
      <c r="AE431" s="759"/>
      <c r="AF431" s="752">
        <f>IFERROR(SUMIF($C:$C,$V431,L:L),0)</f>
        <v>0</v>
      </c>
      <c r="AG431" s="753"/>
      <c r="AH431" s="754">
        <f t="shared" si="98"/>
        <v>0</v>
      </c>
      <c r="AI431" s="755">
        <f t="shared" si="92"/>
        <v>0</v>
      </c>
      <c r="AJ431" s="760"/>
      <c r="AK431" s="751"/>
      <c r="AL431" s="752">
        <f>IFERROR(SUMIF($C:$C,$V431,Q:Q),0)</f>
        <v>0</v>
      </c>
      <c r="AM431" s="756"/>
      <c r="AN431" s="754"/>
      <c r="AO431" s="741"/>
      <c r="AP431" s="501"/>
      <c r="AQ431" s="501"/>
      <c r="AR431" s="501"/>
      <c r="AS431" s="501"/>
      <c r="AT431" s="501"/>
      <c r="AU431" s="501"/>
      <c r="AV431" s="501"/>
      <c r="AW431" s="501"/>
      <c r="AX431" s="501"/>
      <c r="AY431" s="501"/>
      <c r="AZ431" s="501"/>
      <c r="BA431" s="501"/>
      <c r="BB431" s="501"/>
      <c r="BC431" s="501"/>
      <c r="BD431" s="501"/>
      <c r="BE431" s="501"/>
      <c r="BF431" s="501"/>
      <c r="BG431" s="501"/>
      <c r="BH431" s="501"/>
      <c r="BI431" s="501"/>
    </row>
    <row r="432" spans="1:61" ht="15.75" customHeight="1">
      <c r="A432" s="517" t="s">
        <v>49</v>
      </c>
      <c r="B432" s="498"/>
      <c r="C432" s="721" t="s">
        <v>465</v>
      </c>
      <c r="V432" s="766" t="s">
        <v>49</v>
      </c>
      <c r="W432" s="767"/>
      <c r="X432" s="768">
        <f>Z432/Z406</f>
        <v>0.4488713883474984</v>
      </c>
      <c r="Y432" s="767"/>
      <c r="Z432" s="769">
        <f>SUM(Z419:Z431)</f>
        <v>291023.11935814226</v>
      </c>
      <c r="AA432" s="768"/>
      <c r="AB432" s="767"/>
      <c r="AC432" s="769"/>
      <c r="AD432" s="770">
        <f>AF432/AF406</f>
        <v>0.44624591146390419</v>
      </c>
      <c r="AE432" s="775"/>
      <c r="AF432" s="769">
        <f>SUM(AF419:AF431)</f>
        <v>273273.41000000003</v>
      </c>
      <c r="AG432" s="776"/>
      <c r="AH432" s="772">
        <f t="shared" si="98"/>
        <v>-17749.709358142223</v>
      </c>
      <c r="AI432" s="768">
        <f>AH432/Z432</f>
        <v>-6.0990719216018265E-2</v>
      </c>
      <c r="AJ432" s="770">
        <f>IF($AL$406=0,0,AL432/$AL$406)</f>
        <v>0.43217870807973985</v>
      </c>
      <c r="AK432" s="767"/>
      <c r="AL432" s="769">
        <f>SUM(AL419:AL431)</f>
        <v>302217.53999999998</v>
      </c>
      <c r="AM432" s="777"/>
      <c r="AN432" s="772">
        <f t="shared" ref="AN432:AN450" si="103">AF432-AL432</f>
        <v>-28944.129999999946</v>
      </c>
      <c r="AO432" s="749">
        <f t="shared" ref="AO432:AO460" si="104">IF(AL432=0,0,AN432/AL432)</f>
        <v>-9.577250215192655E-2</v>
      </c>
      <c r="AP432" s="501"/>
      <c r="AQ432" s="501"/>
      <c r="AR432" s="501"/>
      <c r="AS432" s="501"/>
      <c r="AT432" s="501"/>
      <c r="AU432" s="501"/>
      <c r="AV432" s="501"/>
      <c r="AW432" s="501"/>
      <c r="AX432" s="501"/>
      <c r="AY432" s="501"/>
      <c r="AZ432" s="501"/>
      <c r="BA432" s="501"/>
      <c r="BB432" s="501"/>
      <c r="BC432" s="501"/>
      <c r="BD432" s="501"/>
      <c r="BE432" s="501"/>
      <c r="BF432" s="501"/>
      <c r="BG432" s="501"/>
      <c r="BH432" s="501"/>
      <c r="BI432" s="501"/>
    </row>
    <row r="433" spans="1:62" ht="15.75" customHeight="1">
      <c r="A433" s="517" t="s">
        <v>50</v>
      </c>
      <c r="B433" s="498"/>
      <c r="C433" s="721" t="s">
        <v>465</v>
      </c>
      <c r="V433" s="691" t="s">
        <v>50</v>
      </c>
      <c r="W433" s="778" t="s">
        <v>138</v>
      </c>
      <c r="X433" s="779"/>
      <c r="Y433" s="779"/>
      <c r="Z433" s="780">
        <f t="shared" ref="Z433:Z447" si="105">+SUMIF($C:$C,$V433,F:F)</f>
        <v>12968.605541666668</v>
      </c>
      <c r="AA433" s="779"/>
      <c r="AB433" s="779"/>
      <c r="AC433" s="780"/>
      <c r="AD433" s="781"/>
      <c r="AE433" s="782"/>
      <c r="AF433" s="780">
        <f t="shared" ref="AF433:AF447" si="106">+SUMIF($C:$C,$V433,L:L)</f>
        <v>18581.48</v>
      </c>
      <c r="AG433" s="781"/>
      <c r="AH433" s="783">
        <f t="shared" si="98"/>
        <v>5612.8744583333319</v>
      </c>
      <c r="AI433" s="784">
        <f t="shared" ref="AI433:AI450" si="107">IF(Z433=0,0,AH433/Z433)</f>
        <v>0.43280477922624749</v>
      </c>
      <c r="AJ433" s="781"/>
      <c r="AK433" s="779"/>
      <c r="AL433" s="780">
        <f t="shared" ref="AL433:AL446" si="108">+SUMIF($C:$C,$V433,Q:Q)</f>
        <v>11421.04</v>
      </c>
      <c r="AM433" s="785"/>
      <c r="AN433" s="783">
        <f t="shared" si="103"/>
        <v>7160.4399999999987</v>
      </c>
      <c r="AO433" s="757">
        <f t="shared" si="104"/>
        <v>0.62695166114469414</v>
      </c>
      <c r="AP433" s="501"/>
      <c r="AQ433" s="501"/>
      <c r="AR433" s="501"/>
      <c r="AS433" s="501"/>
      <c r="AT433" s="501"/>
      <c r="AU433" s="501"/>
      <c r="AV433" s="501"/>
      <c r="AW433" s="501"/>
      <c r="AX433" s="501"/>
      <c r="AY433" s="501"/>
      <c r="AZ433" s="501"/>
      <c r="BA433" s="501"/>
      <c r="BB433" s="501"/>
      <c r="BC433" s="501"/>
      <c r="BD433" s="501"/>
      <c r="BE433" s="501"/>
      <c r="BF433" s="501"/>
      <c r="BG433" s="501"/>
      <c r="BH433" s="501"/>
      <c r="BI433" s="501"/>
    </row>
    <row r="434" spans="1:62" ht="15.75" customHeight="1">
      <c r="A434" s="517" t="s">
        <v>51</v>
      </c>
      <c r="B434" s="498"/>
      <c r="C434" s="721" t="s">
        <v>465</v>
      </c>
      <c r="V434" s="592" t="s">
        <v>51</v>
      </c>
      <c r="W434" s="758" t="s">
        <v>149</v>
      </c>
      <c r="X434" s="751"/>
      <c r="Y434" s="751"/>
      <c r="Z434" s="752">
        <f t="shared" si="105"/>
        <v>3635.1763674977196</v>
      </c>
      <c r="AA434" s="751"/>
      <c r="AB434" s="751"/>
      <c r="AC434" s="752"/>
      <c r="AD434" s="760"/>
      <c r="AE434" s="759"/>
      <c r="AF434" s="752">
        <f t="shared" si="106"/>
        <v>6040.7000000000007</v>
      </c>
      <c r="AG434" s="753"/>
      <c r="AH434" s="754">
        <f t="shared" si="98"/>
        <v>2405.5236325022811</v>
      </c>
      <c r="AI434" s="755">
        <f t="shared" si="107"/>
        <v>0.6617350547308184</v>
      </c>
      <c r="AJ434" s="760"/>
      <c r="AK434" s="751"/>
      <c r="AL434" s="752">
        <f t="shared" si="108"/>
        <v>3321.1100000000006</v>
      </c>
      <c r="AM434" s="756"/>
      <c r="AN434" s="754">
        <f t="shared" si="103"/>
        <v>2719.59</v>
      </c>
      <c r="AO434" s="761">
        <f t="shared" si="104"/>
        <v>0.81887983234520978</v>
      </c>
      <c r="AP434" s="501"/>
      <c r="AQ434" s="501"/>
      <c r="AR434" s="501"/>
      <c r="AS434" s="501"/>
      <c r="AT434" s="501"/>
      <c r="AU434" s="501"/>
      <c r="AV434" s="501"/>
      <c r="AW434" s="501"/>
      <c r="AX434" s="501"/>
      <c r="AY434" s="501"/>
      <c r="AZ434" s="501"/>
      <c r="BA434" s="501"/>
      <c r="BB434" s="501"/>
      <c r="BC434" s="501"/>
      <c r="BD434" s="501"/>
      <c r="BE434" s="501"/>
      <c r="BF434" s="501"/>
      <c r="BG434" s="501"/>
      <c r="BH434" s="501"/>
      <c r="BI434" s="501"/>
    </row>
    <row r="435" spans="1:62" ht="15.75" customHeight="1">
      <c r="A435" s="517" t="s">
        <v>52</v>
      </c>
      <c r="B435" s="498"/>
      <c r="C435" s="721" t="s">
        <v>465</v>
      </c>
      <c r="U435" s="786"/>
      <c r="V435" s="593" t="s">
        <v>52</v>
      </c>
      <c r="W435" s="762" t="s">
        <v>150</v>
      </c>
      <c r="X435" s="735"/>
      <c r="Y435" s="735"/>
      <c r="Z435" s="736">
        <f t="shared" si="105"/>
        <v>22291.666666666664</v>
      </c>
      <c r="AA435" s="735"/>
      <c r="AB435" s="735"/>
      <c r="AC435" s="736"/>
      <c r="AD435" s="764"/>
      <c r="AE435" s="763"/>
      <c r="AF435" s="736">
        <f t="shared" si="106"/>
        <v>24599.020000000004</v>
      </c>
      <c r="AG435" s="737"/>
      <c r="AH435" s="738">
        <f t="shared" si="98"/>
        <v>2307.3533333333398</v>
      </c>
      <c r="AI435" s="765">
        <f t="shared" si="107"/>
        <v>0.10350743925233676</v>
      </c>
      <c r="AJ435" s="764"/>
      <c r="AK435" s="735"/>
      <c r="AL435" s="736">
        <f t="shared" si="108"/>
        <v>23259.33</v>
      </c>
      <c r="AM435" s="740"/>
      <c r="AN435" s="738">
        <f t="shared" si="103"/>
        <v>1339.6900000000023</v>
      </c>
      <c r="AO435" s="741">
        <f t="shared" si="104"/>
        <v>5.7597961764160974E-2</v>
      </c>
      <c r="AP435" s="501"/>
      <c r="AQ435" s="501"/>
      <c r="AR435" s="501"/>
      <c r="AS435" s="501"/>
      <c r="AT435" s="501"/>
      <c r="AU435" s="501"/>
      <c r="AV435" s="501"/>
      <c r="AW435" s="501"/>
      <c r="AX435" s="501"/>
      <c r="AY435" s="501"/>
      <c r="AZ435" s="501"/>
      <c r="BA435" s="501"/>
      <c r="BB435" s="501"/>
      <c r="BC435" s="501"/>
      <c r="BD435" s="501"/>
      <c r="BE435" s="501"/>
      <c r="BF435" s="501"/>
      <c r="BG435" s="501"/>
      <c r="BH435" s="501"/>
      <c r="BI435" s="501"/>
    </row>
    <row r="436" spans="1:62" ht="15.75" customHeight="1">
      <c r="A436" s="517" t="s">
        <v>53</v>
      </c>
      <c r="B436" s="498"/>
      <c r="C436" s="721" t="s">
        <v>465</v>
      </c>
      <c r="U436" s="786"/>
      <c r="V436" s="592" t="s">
        <v>53</v>
      </c>
      <c r="W436" s="758" t="s">
        <v>151</v>
      </c>
      <c r="X436" s="751"/>
      <c r="Y436" s="751"/>
      <c r="Z436" s="752">
        <f t="shared" si="105"/>
        <v>19854.870533333335</v>
      </c>
      <c r="AA436" s="751"/>
      <c r="AB436" s="751"/>
      <c r="AC436" s="752"/>
      <c r="AD436" s="760"/>
      <c r="AE436" s="759"/>
      <c r="AF436" s="752">
        <f t="shared" si="106"/>
        <v>21285.919999999998</v>
      </c>
      <c r="AG436" s="753"/>
      <c r="AH436" s="754">
        <f t="shared" si="98"/>
        <v>1431.0494666666636</v>
      </c>
      <c r="AI436" s="755">
        <f t="shared" si="107"/>
        <v>7.2075487184071405E-2</v>
      </c>
      <c r="AJ436" s="760"/>
      <c r="AK436" s="751"/>
      <c r="AL436" s="752">
        <f t="shared" si="108"/>
        <v>19669.370000000003</v>
      </c>
      <c r="AM436" s="756"/>
      <c r="AN436" s="754">
        <f t="shared" si="103"/>
        <v>1616.5499999999956</v>
      </c>
      <c r="AO436" s="761">
        <f t="shared" si="104"/>
        <v>8.2186160512512374E-2</v>
      </c>
      <c r="AP436" s="501"/>
      <c r="AQ436" s="501"/>
      <c r="AR436" s="501"/>
      <c r="AS436" s="501"/>
      <c r="AT436" s="501"/>
      <c r="AU436" s="501"/>
      <c r="AV436" s="501"/>
      <c r="AW436" s="501"/>
      <c r="AX436" s="501"/>
      <c r="AY436" s="501"/>
      <c r="AZ436" s="501"/>
      <c r="BA436" s="501"/>
      <c r="BB436" s="501"/>
      <c r="BC436" s="501"/>
      <c r="BD436" s="501"/>
      <c r="BE436" s="501"/>
      <c r="BF436" s="501"/>
      <c r="BG436" s="501"/>
      <c r="BH436" s="501"/>
      <c r="BI436" s="501"/>
    </row>
    <row r="437" spans="1:62" ht="15.75" customHeight="1">
      <c r="A437" s="517" t="s">
        <v>54</v>
      </c>
      <c r="B437" s="498"/>
      <c r="C437" s="721" t="s">
        <v>465</v>
      </c>
      <c r="U437" s="786"/>
      <c r="V437" s="592" t="s">
        <v>54</v>
      </c>
      <c r="W437" s="758" t="s">
        <v>152</v>
      </c>
      <c r="X437" s="751"/>
      <c r="Y437" s="751"/>
      <c r="Z437" s="752">
        <f t="shared" si="105"/>
        <v>3125.2751395833329</v>
      </c>
      <c r="AA437" s="751"/>
      <c r="AB437" s="751"/>
      <c r="AC437" s="752"/>
      <c r="AD437" s="760"/>
      <c r="AE437" s="759"/>
      <c r="AF437" s="752">
        <f t="shared" si="106"/>
        <v>3781.2</v>
      </c>
      <c r="AG437" s="753"/>
      <c r="AH437" s="754">
        <f t="shared" si="98"/>
        <v>655.92486041666689</v>
      </c>
      <c r="AI437" s="755">
        <f t="shared" si="107"/>
        <v>0.20987747674085294</v>
      </c>
      <c r="AJ437" s="760"/>
      <c r="AK437" s="751"/>
      <c r="AL437" s="752">
        <f t="shared" si="108"/>
        <v>2496.81</v>
      </c>
      <c r="AM437" s="756"/>
      <c r="AN437" s="754">
        <f t="shared" si="103"/>
        <v>1284.3899999999999</v>
      </c>
      <c r="AO437" s="761">
        <f t="shared" si="104"/>
        <v>0.51441239020990781</v>
      </c>
      <c r="AP437" s="501"/>
      <c r="AQ437" s="501"/>
      <c r="AR437" s="501"/>
      <c r="AS437" s="501"/>
      <c r="AT437" s="501"/>
      <c r="AU437" s="501"/>
      <c r="AV437" s="501"/>
      <c r="AW437" s="501"/>
      <c r="AX437" s="501"/>
      <c r="AY437" s="501"/>
      <c r="AZ437" s="501"/>
      <c r="BA437" s="501"/>
      <c r="BB437" s="501"/>
      <c r="BC437" s="501"/>
      <c r="BD437" s="501"/>
      <c r="BE437" s="501"/>
      <c r="BF437" s="501"/>
      <c r="BG437" s="501"/>
      <c r="BH437" s="501"/>
      <c r="BI437" s="501"/>
    </row>
    <row r="438" spans="1:62" ht="15.75" customHeight="1">
      <c r="A438" s="517" t="s">
        <v>55</v>
      </c>
      <c r="B438" s="498"/>
      <c r="C438" s="721" t="s">
        <v>465</v>
      </c>
      <c r="V438" s="592" t="s">
        <v>55</v>
      </c>
      <c r="W438" s="758" t="s">
        <v>153</v>
      </c>
      <c r="X438" s="751"/>
      <c r="Y438" s="751"/>
      <c r="Z438" s="752">
        <f t="shared" si="105"/>
        <v>20524.601155555552</v>
      </c>
      <c r="AA438" s="751"/>
      <c r="AB438" s="751"/>
      <c r="AC438" s="752"/>
      <c r="AD438" s="760"/>
      <c r="AE438" s="759"/>
      <c r="AF438" s="752">
        <f t="shared" si="106"/>
        <v>29314.46</v>
      </c>
      <c r="AG438" s="753"/>
      <c r="AH438" s="754">
        <f t="shared" si="98"/>
        <v>8789.8588444444467</v>
      </c>
      <c r="AI438" s="755">
        <f t="shared" si="107"/>
        <v>0.42825966642792607</v>
      </c>
      <c r="AJ438" s="760"/>
      <c r="AK438" s="751"/>
      <c r="AL438" s="752">
        <f t="shared" si="108"/>
        <v>20259.09</v>
      </c>
      <c r="AM438" s="756"/>
      <c r="AN438" s="754">
        <f t="shared" si="103"/>
        <v>9055.369999999999</v>
      </c>
      <c r="AO438" s="761">
        <f t="shared" si="104"/>
        <v>0.44697812191959257</v>
      </c>
      <c r="AP438" s="787"/>
      <c r="AQ438" s="787" t="s">
        <v>477</v>
      </c>
      <c r="AR438" s="501"/>
      <c r="AS438" s="501"/>
      <c r="AT438" s="501"/>
      <c r="AU438" s="501"/>
      <c r="AV438" s="501"/>
      <c r="AW438" s="501"/>
      <c r="AX438" s="501"/>
      <c r="AY438" s="501"/>
      <c r="AZ438" s="501"/>
      <c r="BA438" s="501"/>
      <c r="BB438" s="501"/>
      <c r="BC438" s="501"/>
      <c r="BD438" s="501"/>
      <c r="BE438" s="501"/>
      <c r="BF438" s="501"/>
      <c r="BG438" s="501"/>
      <c r="BH438" s="501"/>
      <c r="BI438" s="501"/>
    </row>
    <row r="439" spans="1:62" ht="15.75" customHeight="1">
      <c r="B439" s="498"/>
      <c r="C439" s="721" t="s">
        <v>465</v>
      </c>
      <c r="V439" s="691" t="s">
        <v>98</v>
      </c>
      <c r="W439" s="778"/>
      <c r="X439" s="779"/>
      <c r="Y439" s="779"/>
      <c r="Z439" s="780">
        <f t="shared" si="105"/>
        <v>0</v>
      </c>
      <c r="AA439" s="779"/>
      <c r="AB439" s="779"/>
      <c r="AC439" s="780"/>
      <c r="AD439" s="781"/>
      <c r="AE439" s="782"/>
      <c r="AF439" s="780">
        <f t="shared" si="106"/>
        <v>0</v>
      </c>
      <c r="AG439" s="788"/>
      <c r="AH439" s="783">
        <f t="shared" si="98"/>
        <v>0</v>
      </c>
      <c r="AI439" s="784">
        <f t="shared" si="107"/>
        <v>0</v>
      </c>
      <c r="AJ439" s="781"/>
      <c r="AK439" s="779"/>
      <c r="AL439" s="780">
        <f t="shared" si="108"/>
        <v>0</v>
      </c>
      <c r="AM439" s="785"/>
      <c r="AN439" s="783">
        <f t="shared" si="103"/>
        <v>0</v>
      </c>
      <c r="AO439" s="757">
        <f t="shared" si="104"/>
        <v>0</v>
      </c>
      <c r="AP439" s="501"/>
      <c r="AQ439" s="501"/>
      <c r="AR439" s="501"/>
      <c r="AS439" s="501"/>
      <c r="AT439" s="501"/>
      <c r="AU439" s="501"/>
      <c r="AV439" s="501"/>
      <c r="AW439" s="501"/>
      <c r="AX439" s="501"/>
      <c r="AY439" s="501"/>
      <c r="AZ439" s="501"/>
      <c r="BA439" s="501"/>
      <c r="BB439" s="501"/>
      <c r="BC439" s="501"/>
      <c r="BD439" s="501"/>
      <c r="BE439" s="501"/>
      <c r="BF439" s="501"/>
      <c r="BG439" s="501"/>
      <c r="BH439" s="501"/>
      <c r="BI439" s="501"/>
    </row>
    <row r="440" spans="1:62" ht="15.75" customHeight="1">
      <c r="A440" s="517" t="s">
        <v>56</v>
      </c>
      <c r="B440" s="498"/>
      <c r="C440" s="721" t="s">
        <v>465</v>
      </c>
      <c r="V440" s="592" t="s">
        <v>56</v>
      </c>
      <c r="W440" s="758" t="s">
        <v>154</v>
      </c>
      <c r="X440" s="751"/>
      <c r="Y440" s="759"/>
      <c r="Z440" s="752">
        <f t="shared" si="105"/>
        <v>2037.1557843443836</v>
      </c>
      <c r="AA440" s="751"/>
      <c r="AB440" s="759"/>
      <c r="AC440" s="752"/>
      <c r="AD440" s="760"/>
      <c r="AE440" s="759"/>
      <c r="AF440" s="752">
        <f t="shared" si="106"/>
        <v>9357.83</v>
      </c>
      <c r="AG440" s="753"/>
      <c r="AH440" s="754">
        <f t="shared" si="98"/>
        <v>7320.6742156556165</v>
      </c>
      <c r="AI440" s="755">
        <f t="shared" si="107"/>
        <v>3.5935760396506073</v>
      </c>
      <c r="AJ440" s="760"/>
      <c r="AK440" s="751"/>
      <c r="AL440" s="752">
        <f t="shared" si="108"/>
        <v>1280.56</v>
      </c>
      <c r="AM440" s="756"/>
      <c r="AN440" s="754">
        <f t="shared" si="103"/>
        <v>8077.27</v>
      </c>
      <c r="AO440" s="761">
        <f t="shared" si="104"/>
        <v>6.3076076091709883</v>
      </c>
      <c r="AP440" s="501"/>
      <c r="AQ440" s="501"/>
      <c r="AR440" s="501"/>
      <c r="AS440" s="501"/>
      <c r="AT440" s="501"/>
      <c r="AU440" s="501"/>
      <c r="AV440" s="501"/>
      <c r="AW440" s="501"/>
      <c r="AX440" s="501"/>
      <c r="AY440" s="501"/>
      <c r="AZ440" s="501"/>
      <c r="BA440" s="501"/>
      <c r="BB440" s="501"/>
      <c r="BC440" s="501"/>
      <c r="BD440" s="501"/>
      <c r="BE440" s="501"/>
      <c r="BF440" s="501"/>
      <c r="BG440" s="501"/>
      <c r="BH440" s="501"/>
      <c r="BI440" s="501"/>
      <c r="BJ440" s="501"/>
    </row>
    <row r="441" spans="1:62" ht="15.75" customHeight="1">
      <c r="A441" s="517" t="s">
        <v>57</v>
      </c>
      <c r="B441" s="498"/>
      <c r="C441" s="721" t="s">
        <v>465</v>
      </c>
      <c r="U441" s="501"/>
      <c r="V441" s="592" t="s">
        <v>57</v>
      </c>
      <c r="W441" s="758" t="s">
        <v>155</v>
      </c>
      <c r="X441" s="751"/>
      <c r="Y441" s="751"/>
      <c r="Z441" s="752">
        <f t="shared" si="105"/>
        <v>1051.964020297145</v>
      </c>
      <c r="AA441" s="751"/>
      <c r="AB441" s="751"/>
      <c r="AC441" s="752"/>
      <c r="AD441" s="760"/>
      <c r="AE441" s="759"/>
      <c r="AF441" s="752">
        <f t="shared" si="106"/>
        <v>1535.27</v>
      </c>
      <c r="AG441" s="753"/>
      <c r="AH441" s="754">
        <f t="shared" si="98"/>
        <v>483.30597970285498</v>
      </c>
      <c r="AI441" s="774">
        <f t="shared" si="107"/>
        <v>0.45943204366090112</v>
      </c>
      <c r="AJ441" s="760"/>
      <c r="AK441" s="751"/>
      <c r="AL441" s="752">
        <f t="shared" si="108"/>
        <v>325.68</v>
      </c>
      <c r="AM441" s="756"/>
      <c r="AN441" s="754">
        <f t="shared" si="103"/>
        <v>1209.5899999999999</v>
      </c>
      <c r="AO441" s="761">
        <f t="shared" si="104"/>
        <v>3.7140444608204368</v>
      </c>
      <c r="AP441" s="501"/>
      <c r="AQ441" s="501"/>
      <c r="AR441" s="501"/>
      <c r="AS441" s="501"/>
      <c r="AT441" s="501"/>
      <c r="AU441" s="501"/>
      <c r="AV441" s="501"/>
      <c r="AW441" s="501"/>
      <c r="AX441" s="501"/>
      <c r="AY441" s="501"/>
      <c r="AZ441" s="501"/>
      <c r="BA441" s="501"/>
      <c r="BB441" s="501"/>
      <c r="BC441" s="501"/>
      <c r="BD441" s="501"/>
      <c r="BE441" s="501"/>
      <c r="BF441" s="501"/>
      <c r="BG441" s="501"/>
      <c r="BH441" s="501"/>
      <c r="BI441" s="501"/>
      <c r="BJ441" s="501"/>
    </row>
    <row r="442" spans="1:62" ht="15.75" customHeight="1">
      <c r="A442" s="517" t="s">
        <v>58</v>
      </c>
      <c r="B442" s="498"/>
      <c r="C442" s="721" t="s">
        <v>465</v>
      </c>
      <c r="T442" s="501"/>
      <c r="U442" s="501"/>
      <c r="V442" s="592" t="s">
        <v>58</v>
      </c>
      <c r="W442" s="758" t="s">
        <v>156</v>
      </c>
      <c r="X442" s="751"/>
      <c r="Y442" s="751"/>
      <c r="Z442" s="752">
        <f t="shared" si="105"/>
        <v>2385.7844849999992</v>
      </c>
      <c r="AA442" s="751"/>
      <c r="AB442" s="751"/>
      <c r="AC442" s="752"/>
      <c r="AD442" s="760"/>
      <c r="AE442" s="759"/>
      <c r="AF442" s="752">
        <f t="shared" si="106"/>
        <v>1499.48</v>
      </c>
      <c r="AG442" s="753"/>
      <c r="AH442" s="754">
        <f t="shared" si="98"/>
        <v>-886.3044849999992</v>
      </c>
      <c r="AI442" s="755">
        <f t="shared" si="107"/>
        <v>-0.37149394279844161</v>
      </c>
      <c r="AJ442" s="760"/>
      <c r="AK442" s="751"/>
      <c r="AL442" s="752">
        <f t="shared" si="108"/>
        <v>3076.4100000000003</v>
      </c>
      <c r="AM442" s="756"/>
      <c r="AN442" s="754">
        <f t="shared" si="103"/>
        <v>-1576.9300000000003</v>
      </c>
      <c r="AO442" s="761">
        <f t="shared" si="104"/>
        <v>-0.51258772400297758</v>
      </c>
      <c r="AP442" s="501"/>
      <c r="AQ442" s="501"/>
      <c r="AR442" s="501"/>
      <c r="AS442" s="501"/>
      <c r="AT442" s="501"/>
      <c r="AU442" s="501"/>
      <c r="AV442" s="501"/>
      <c r="AW442" s="501"/>
      <c r="AX442" s="501"/>
      <c r="AY442" s="501"/>
      <c r="AZ442" s="501"/>
      <c r="BA442" s="501"/>
      <c r="BB442" s="501"/>
      <c r="BC442" s="501"/>
      <c r="BD442" s="501"/>
      <c r="BE442" s="501"/>
      <c r="BF442" s="501"/>
      <c r="BG442" s="501"/>
      <c r="BH442" s="501"/>
      <c r="BI442" s="501"/>
      <c r="BJ442" s="501"/>
    </row>
    <row r="443" spans="1:62" ht="15.75" customHeight="1">
      <c r="A443" s="517" t="s">
        <v>59</v>
      </c>
      <c r="B443" s="498"/>
      <c r="C443" s="721" t="s">
        <v>465</v>
      </c>
      <c r="T443" s="501"/>
      <c r="U443" s="501"/>
      <c r="V443" s="592" t="s">
        <v>59</v>
      </c>
      <c r="W443" s="758" t="s">
        <v>157</v>
      </c>
      <c r="X443" s="751"/>
      <c r="Y443" s="751"/>
      <c r="Z443" s="752">
        <f t="shared" si="105"/>
        <v>808.50078173611109</v>
      </c>
      <c r="AA443" s="751"/>
      <c r="AB443" s="751"/>
      <c r="AC443" s="752"/>
      <c r="AD443" s="760"/>
      <c r="AE443" s="759"/>
      <c r="AF443" s="752">
        <f t="shared" si="106"/>
        <v>615.7700000000001</v>
      </c>
      <c r="AG443" s="753"/>
      <c r="AH443" s="754">
        <f t="shared" si="98"/>
        <v>-192.730781736111</v>
      </c>
      <c r="AI443" s="774">
        <f t="shared" si="107"/>
        <v>-0.23838045193012189</v>
      </c>
      <c r="AJ443" s="760"/>
      <c r="AK443" s="751"/>
      <c r="AL443" s="752">
        <f t="shared" si="108"/>
        <v>630.45000000000005</v>
      </c>
      <c r="AM443" s="756"/>
      <c r="AN443" s="754">
        <f t="shared" si="103"/>
        <v>-14.67999999999995</v>
      </c>
      <c r="AO443" s="761">
        <f t="shared" si="104"/>
        <v>-2.3284955190736693E-2</v>
      </c>
      <c r="AP443" s="501"/>
      <c r="AQ443" s="501"/>
      <c r="AR443" s="501"/>
      <c r="AS443" s="501"/>
      <c r="AT443" s="501"/>
      <c r="AU443" s="501"/>
      <c r="AV443" s="501"/>
      <c r="AW443" s="501"/>
      <c r="AX443" s="501"/>
      <c r="AY443" s="501"/>
      <c r="AZ443" s="501"/>
      <c r="BA443" s="501"/>
      <c r="BB443" s="501"/>
      <c r="BC443" s="501"/>
      <c r="BD443" s="501"/>
      <c r="BE443" s="501"/>
      <c r="BF443" s="501"/>
      <c r="BG443" s="501"/>
      <c r="BH443" s="501"/>
      <c r="BI443" s="501"/>
      <c r="BJ443" s="501"/>
    </row>
    <row r="444" spans="1:62" ht="15.75" customHeight="1">
      <c r="A444" s="517" t="s">
        <v>60</v>
      </c>
      <c r="B444" s="498"/>
      <c r="C444" s="721" t="s">
        <v>465</v>
      </c>
      <c r="T444" s="501"/>
      <c r="U444" s="501"/>
      <c r="V444" s="592" t="s">
        <v>60</v>
      </c>
      <c r="W444" s="758" t="s">
        <v>158</v>
      </c>
      <c r="X444" s="751"/>
      <c r="Y444" s="751"/>
      <c r="Z444" s="752">
        <f t="shared" si="105"/>
        <v>386.70091826388881</v>
      </c>
      <c r="AA444" s="751"/>
      <c r="AB444" s="751"/>
      <c r="AC444" s="752"/>
      <c r="AD444" s="760"/>
      <c r="AE444" s="759"/>
      <c r="AF444" s="752">
        <f t="shared" si="106"/>
        <v>1374.07</v>
      </c>
      <c r="AG444" s="753"/>
      <c r="AH444" s="754">
        <f t="shared" si="98"/>
        <v>987.36908173611118</v>
      </c>
      <c r="AI444" s="755">
        <f t="shared" si="107"/>
        <v>2.5533145516409661</v>
      </c>
      <c r="AJ444" s="760"/>
      <c r="AK444" s="751"/>
      <c r="AL444" s="752">
        <f t="shared" si="108"/>
        <v>592.42999999999995</v>
      </c>
      <c r="AM444" s="756"/>
      <c r="AN444" s="754">
        <f t="shared" si="103"/>
        <v>781.64</v>
      </c>
      <c r="AO444" s="761">
        <f t="shared" si="104"/>
        <v>1.3193795047516164</v>
      </c>
      <c r="AP444" s="501"/>
      <c r="AQ444" s="501"/>
      <c r="AR444" s="501"/>
      <c r="AS444" s="501"/>
      <c r="AT444" s="501"/>
      <c r="AU444" s="501"/>
      <c r="AV444" s="501"/>
      <c r="AW444" s="501"/>
      <c r="AX444" s="501"/>
      <c r="AY444" s="501"/>
      <c r="AZ444" s="501"/>
      <c r="BA444" s="501"/>
      <c r="BB444" s="501"/>
      <c r="BC444" s="501"/>
      <c r="BD444" s="501"/>
      <c r="BE444" s="501"/>
      <c r="BF444" s="501"/>
      <c r="BG444" s="501"/>
      <c r="BH444" s="501"/>
      <c r="BI444" s="501"/>
      <c r="BJ444" s="501"/>
    </row>
    <row r="445" spans="1:62" ht="15.75" customHeight="1">
      <c r="A445" s="517" t="s">
        <v>61</v>
      </c>
      <c r="B445" s="498"/>
      <c r="C445" s="721" t="s">
        <v>465</v>
      </c>
      <c r="T445" s="501"/>
      <c r="U445" s="501"/>
      <c r="V445" s="592" t="s">
        <v>61</v>
      </c>
      <c r="W445" s="758" t="s">
        <v>159</v>
      </c>
      <c r="X445" s="751"/>
      <c r="Y445" s="759"/>
      <c r="Z445" s="752">
        <f t="shared" si="105"/>
        <v>1469.3198845138888</v>
      </c>
      <c r="AA445" s="751"/>
      <c r="AB445" s="759"/>
      <c r="AC445" s="752"/>
      <c r="AD445" s="760"/>
      <c r="AE445" s="759"/>
      <c r="AF445" s="752">
        <f t="shared" si="106"/>
        <v>270.76</v>
      </c>
      <c r="AG445" s="753"/>
      <c r="AH445" s="754">
        <f t="shared" si="98"/>
        <v>-1198.5598845138888</v>
      </c>
      <c r="AI445" s="774">
        <f t="shared" si="107"/>
        <v>-0.81572426613583982</v>
      </c>
      <c r="AJ445" s="760"/>
      <c r="AK445" s="751"/>
      <c r="AL445" s="752">
        <f t="shared" si="108"/>
        <v>438.15000000000009</v>
      </c>
      <c r="AM445" s="756"/>
      <c r="AN445" s="754">
        <f t="shared" si="103"/>
        <v>-167.3900000000001</v>
      </c>
      <c r="AO445" s="761">
        <f t="shared" si="104"/>
        <v>-0.38203811480086741</v>
      </c>
      <c r="AP445" s="501"/>
      <c r="AQ445" s="501"/>
      <c r="AR445" s="501"/>
      <c r="AS445" s="501"/>
      <c r="AT445" s="501"/>
      <c r="AU445" s="501"/>
      <c r="AV445" s="501"/>
      <c r="AW445" s="501"/>
      <c r="AX445" s="501"/>
      <c r="AY445" s="501"/>
      <c r="AZ445" s="501"/>
      <c r="BA445" s="501"/>
      <c r="BB445" s="501"/>
      <c r="BC445" s="501"/>
      <c r="BD445" s="501"/>
      <c r="BE445" s="501"/>
      <c r="BF445" s="501"/>
      <c r="BG445" s="501"/>
      <c r="BH445" s="501"/>
      <c r="BI445" s="501"/>
      <c r="BJ445" s="501"/>
    </row>
    <row r="446" spans="1:62" ht="15.75" customHeight="1">
      <c r="A446" s="517" t="s">
        <v>62</v>
      </c>
      <c r="B446" s="498"/>
      <c r="C446" s="721" t="s">
        <v>465</v>
      </c>
      <c r="T446" s="501"/>
      <c r="U446" s="501"/>
      <c r="V446" s="592" t="s">
        <v>62</v>
      </c>
      <c r="W446" s="758" t="s">
        <v>160</v>
      </c>
      <c r="X446" s="751"/>
      <c r="Y446" s="759"/>
      <c r="Z446" s="752">
        <f t="shared" si="105"/>
        <v>3513.3333333333339</v>
      </c>
      <c r="AA446" s="751"/>
      <c r="AB446" s="759"/>
      <c r="AC446" s="752"/>
      <c r="AD446" s="760"/>
      <c r="AE446" s="759"/>
      <c r="AF446" s="752">
        <f t="shared" si="106"/>
        <v>5842.54</v>
      </c>
      <c r="AG446" s="753"/>
      <c r="AH446" s="789">
        <f t="shared" si="98"/>
        <v>2329.206666666666</v>
      </c>
      <c r="AI446" s="755">
        <f t="shared" si="107"/>
        <v>0.66296204933586311</v>
      </c>
      <c r="AJ446" s="760"/>
      <c r="AK446" s="751"/>
      <c r="AL446" s="752">
        <f t="shared" si="108"/>
        <v>4459.38</v>
      </c>
      <c r="AM446" s="756"/>
      <c r="AN446" s="754">
        <f t="shared" si="103"/>
        <v>1383.1599999999999</v>
      </c>
      <c r="AO446" s="761">
        <f t="shared" si="104"/>
        <v>0.31016867815705318</v>
      </c>
      <c r="AQ446" s="501"/>
      <c r="AR446" s="501"/>
      <c r="AS446" s="501"/>
      <c r="AT446" s="501"/>
      <c r="AU446" s="501"/>
      <c r="AV446" s="501"/>
      <c r="AW446" s="501"/>
      <c r="AX446" s="501"/>
      <c r="AY446" s="501"/>
      <c r="AZ446" s="501"/>
      <c r="BA446" s="501"/>
      <c r="BB446" s="501"/>
      <c r="BC446" s="501"/>
      <c r="BD446" s="501"/>
      <c r="BE446" s="501"/>
      <c r="BF446" s="501"/>
      <c r="BG446" s="501"/>
      <c r="BH446" s="501"/>
      <c r="BI446" s="501"/>
      <c r="BJ446" s="501"/>
    </row>
    <row r="447" spans="1:62" ht="15.75" customHeight="1">
      <c r="A447" s="517" t="s">
        <v>63</v>
      </c>
      <c r="B447" s="498"/>
      <c r="C447" s="721" t="s">
        <v>465</v>
      </c>
      <c r="T447" s="501"/>
      <c r="U447" s="501"/>
      <c r="V447" s="592" t="s">
        <v>63</v>
      </c>
      <c r="W447" s="758" t="s">
        <v>161</v>
      </c>
      <c r="X447" s="751"/>
      <c r="Y447" s="759"/>
      <c r="Z447" s="752">
        <f t="shared" si="105"/>
        <v>6485.0787240870186</v>
      </c>
      <c r="AA447" s="751"/>
      <c r="AB447" s="759"/>
      <c r="AC447" s="752"/>
      <c r="AD447" s="760"/>
      <c r="AE447" s="759"/>
      <c r="AF447" s="752">
        <f t="shared" si="106"/>
        <v>7569.85</v>
      </c>
      <c r="AG447" s="753"/>
      <c r="AH447" s="754">
        <f t="shared" si="98"/>
        <v>1084.7712759129818</v>
      </c>
      <c r="AI447" s="755">
        <f t="shared" si="107"/>
        <v>0.16727187472434235</v>
      </c>
      <c r="AJ447" s="760"/>
      <c r="AK447" s="751"/>
      <c r="AL447" s="752">
        <f>SUMIFS([5]BV_Data_An_Prec!$O:$O,[5]BV_Data_An_Prec!$V:$V,$V447)</f>
        <v>8313.7600000000093</v>
      </c>
      <c r="AM447" s="756"/>
      <c r="AN447" s="754">
        <f t="shared" si="103"/>
        <v>-743.91000000000895</v>
      </c>
      <c r="AO447" s="761">
        <f t="shared" si="104"/>
        <v>-8.9479369142242277E-2</v>
      </c>
      <c r="AQ447" s="501"/>
      <c r="AR447" s="501"/>
      <c r="AS447" s="501"/>
      <c r="AT447" s="501"/>
      <c r="AU447" s="501"/>
      <c r="AV447" s="501"/>
      <c r="AW447" s="501"/>
      <c r="AX447" s="501"/>
      <c r="AY447" s="501"/>
      <c r="AZ447" s="501"/>
      <c r="BA447" s="501"/>
      <c r="BB447" s="501"/>
      <c r="BC447" s="501"/>
      <c r="BD447" s="501"/>
      <c r="BE447" s="501"/>
      <c r="BF447" s="501"/>
      <c r="BG447" s="501"/>
      <c r="BH447" s="501"/>
      <c r="BI447" s="501"/>
      <c r="BJ447" s="501"/>
    </row>
    <row r="448" spans="1:62" ht="15.75" hidden="1" customHeight="1">
      <c r="A448" s="517" t="s">
        <v>20</v>
      </c>
      <c r="B448" s="498"/>
      <c r="C448" s="721" t="s">
        <v>465</v>
      </c>
      <c r="T448" s="501"/>
      <c r="U448" s="501"/>
      <c r="V448" s="592" t="s">
        <v>20</v>
      </c>
      <c r="W448" s="758"/>
      <c r="X448" s="751"/>
      <c r="Y448" s="759"/>
      <c r="Z448" s="752">
        <f t="shared" ref="Z448:Z450" si="109">IFERROR(SUMIF($C:$C,$V448,F:F),0)</f>
        <v>0</v>
      </c>
      <c r="AA448" s="751"/>
      <c r="AB448" s="751"/>
      <c r="AC448" s="752"/>
      <c r="AD448" s="760"/>
      <c r="AE448" s="759"/>
      <c r="AF448" s="752">
        <f t="shared" ref="AF448:AF450" si="110">IFERROR(SUMIF($C:$C,$V448,L:L),0)</f>
        <v>0</v>
      </c>
      <c r="AG448" s="753"/>
      <c r="AH448" s="754">
        <f t="shared" si="98"/>
        <v>0</v>
      </c>
      <c r="AI448" s="755">
        <f t="shared" si="107"/>
        <v>0</v>
      </c>
      <c r="AJ448" s="760"/>
      <c r="AK448" s="751"/>
      <c r="AL448" s="752">
        <f t="shared" ref="AL448:AL450" si="111">IFERROR(SUMIF($C:$C,$V448,Q:Q),0)</f>
        <v>0</v>
      </c>
      <c r="AM448" s="756"/>
      <c r="AN448" s="754">
        <f t="shared" si="103"/>
        <v>0</v>
      </c>
      <c r="AO448" s="761">
        <f t="shared" si="104"/>
        <v>0</v>
      </c>
      <c r="AP448" s="501"/>
      <c r="AQ448" s="501"/>
      <c r="AR448" s="501"/>
      <c r="AS448" s="501"/>
      <c r="AT448" s="501"/>
      <c r="AU448" s="501"/>
      <c r="AV448" s="501"/>
      <c r="AW448" s="501"/>
      <c r="AX448" s="501"/>
      <c r="AY448" s="501"/>
      <c r="AZ448" s="501"/>
      <c r="BA448" s="501"/>
      <c r="BB448" s="501"/>
      <c r="BC448" s="501"/>
      <c r="BD448" s="501"/>
      <c r="BE448" s="501"/>
      <c r="BF448" s="501"/>
      <c r="BG448" s="501"/>
      <c r="BH448" s="501"/>
      <c r="BI448" s="501"/>
      <c r="BJ448" s="501"/>
    </row>
    <row r="449" spans="1:62" ht="15.75" hidden="1" customHeight="1">
      <c r="A449" s="517" t="s">
        <v>20</v>
      </c>
      <c r="B449" s="498"/>
      <c r="C449" s="721" t="s">
        <v>465</v>
      </c>
      <c r="T449" s="501"/>
      <c r="U449" s="501"/>
      <c r="V449" s="592" t="s">
        <v>20</v>
      </c>
      <c r="W449" s="758"/>
      <c r="X449" s="751"/>
      <c r="Y449" s="759"/>
      <c r="Z449" s="752">
        <f t="shared" si="109"/>
        <v>0</v>
      </c>
      <c r="AA449" s="751"/>
      <c r="AB449" s="751"/>
      <c r="AC449" s="752"/>
      <c r="AD449" s="760"/>
      <c r="AE449" s="759"/>
      <c r="AF449" s="752">
        <f t="shared" si="110"/>
        <v>0</v>
      </c>
      <c r="AG449" s="753"/>
      <c r="AH449" s="754">
        <f t="shared" si="98"/>
        <v>0</v>
      </c>
      <c r="AI449" s="755">
        <f t="shared" si="107"/>
        <v>0</v>
      </c>
      <c r="AJ449" s="760"/>
      <c r="AK449" s="751"/>
      <c r="AL449" s="752">
        <f t="shared" si="111"/>
        <v>0</v>
      </c>
      <c r="AM449" s="756"/>
      <c r="AN449" s="754">
        <f t="shared" si="103"/>
        <v>0</v>
      </c>
      <c r="AO449" s="761">
        <f t="shared" si="104"/>
        <v>0</v>
      </c>
      <c r="AP449" s="501"/>
      <c r="AQ449" s="501"/>
      <c r="AR449" s="501"/>
      <c r="AS449" s="501"/>
      <c r="AT449" s="501"/>
      <c r="AU449" s="501"/>
      <c r="AV449" s="501"/>
      <c r="AW449" s="501"/>
      <c r="AX449" s="501"/>
      <c r="AY449" s="501"/>
      <c r="AZ449" s="501"/>
      <c r="BA449" s="501"/>
      <c r="BB449" s="501"/>
      <c r="BC449" s="501"/>
      <c r="BD449" s="501"/>
      <c r="BE449" s="501"/>
      <c r="BF449" s="501"/>
      <c r="BG449" s="501"/>
      <c r="BH449" s="501"/>
      <c r="BI449" s="501"/>
      <c r="BJ449" s="501"/>
    </row>
    <row r="450" spans="1:62" ht="15.75" hidden="1" customHeight="1">
      <c r="A450" s="517" t="s">
        <v>20</v>
      </c>
      <c r="B450" s="498"/>
      <c r="C450" s="721" t="s">
        <v>465</v>
      </c>
      <c r="T450" s="501"/>
      <c r="U450" s="501"/>
      <c r="V450" s="592" t="s">
        <v>20</v>
      </c>
      <c r="W450" s="758"/>
      <c r="X450" s="751"/>
      <c r="Y450" s="759"/>
      <c r="Z450" s="752">
        <f t="shared" si="109"/>
        <v>0</v>
      </c>
      <c r="AA450" s="751"/>
      <c r="AB450" s="751"/>
      <c r="AC450" s="752"/>
      <c r="AD450" s="760"/>
      <c r="AE450" s="759"/>
      <c r="AF450" s="752">
        <f t="shared" si="110"/>
        <v>0</v>
      </c>
      <c r="AG450" s="753"/>
      <c r="AH450" s="754">
        <f t="shared" si="98"/>
        <v>0</v>
      </c>
      <c r="AI450" s="755">
        <f t="shared" si="107"/>
        <v>0</v>
      </c>
      <c r="AJ450" s="760"/>
      <c r="AK450" s="751"/>
      <c r="AL450" s="752">
        <f t="shared" si="111"/>
        <v>0</v>
      </c>
      <c r="AM450" s="756"/>
      <c r="AN450" s="754">
        <f t="shared" si="103"/>
        <v>0</v>
      </c>
      <c r="AO450" s="761">
        <f t="shared" si="104"/>
        <v>0</v>
      </c>
      <c r="AP450" s="501"/>
      <c r="AQ450" s="501"/>
      <c r="AR450" s="501"/>
      <c r="AS450" s="501"/>
      <c r="AT450" s="501"/>
      <c r="AU450" s="501"/>
      <c r="AV450" s="501"/>
      <c r="AW450" s="501"/>
      <c r="AX450" s="501"/>
      <c r="AY450" s="501"/>
      <c r="AZ450" s="501"/>
      <c r="BA450" s="501"/>
      <c r="BB450" s="501"/>
      <c r="BC450" s="501"/>
      <c r="BD450" s="501"/>
      <c r="BE450" s="501"/>
      <c r="BF450" s="501"/>
      <c r="BG450" s="501"/>
      <c r="BH450" s="501"/>
      <c r="BI450" s="501"/>
      <c r="BJ450" s="501"/>
    </row>
    <row r="451" spans="1:62" ht="15.75" customHeight="1">
      <c r="A451" s="517" t="s">
        <v>64</v>
      </c>
      <c r="B451" s="498"/>
      <c r="C451" s="721" t="s">
        <v>465</v>
      </c>
      <c r="T451" s="501"/>
      <c r="U451" s="501"/>
      <c r="V451" s="766" t="s">
        <v>64</v>
      </c>
      <c r="W451" s="790"/>
      <c r="X451" s="768">
        <f>Z451/+Z406</f>
        <v>0.1550689398998103</v>
      </c>
      <c r="Y451" s="767"/>
      <c r="Z451" s="769">
        <f>+SUM(Z433:Z450)</f>
        <v>100538.03333587901</v>
      </c>
      <c r="AA451" s="768"/>
      <c r="AB451" s="767"/>
      <c r="AC451" s="769"/>
      <c r="AD451" s="770">
        <f>AF451/AF406</f>
        <v>0.21500980595477015</v>
      </c>
      <c r="AE451" s="767"/>
      <c r="AF451" s="769">
        <f>+SUM(AF433:AF450)</f>
        <v>131668.35</v>
      </c>
      <c r="AG451" s="776"/>
      <c r="AH451" s="791">
        <f>+SUM(AH433:AH450)</f>
        <v>31130.316664120965</v>
      </c>
      <c r="AI451" s="768">
        <f>AH451/Z451</f>
        <v>0.30963721520312937</v>
      </c>
      <c r="AJ451" s="770">
        <f>IF($AL$406=0,0,AL451/$AL$406)</f>
        <v>0.14234981689098902</v>
      </c>
      <c r="AK451" s="768"/>
      <c r="AL451" s="769">
        <f>+SUM(AL433:AL450)</f>
        <v>99543.569999999992</v>
      </c>
      <c r="AM451" s="777"/>
      <c r="AN451" s="772">
        <f>+SUM(AN433:AN450)</f>
        <v>32124.779999999984</v>
      </c>
      <c r="AO451" s="792">
        <f t="shared" si="104"/>
        <v>0.32272079452243863</v>
      </c>
      <c r="AP451" s="501"/>
      <c r="AQ451" s="501"/>
      <c r="AR451" s="501"/>
      <c r="AS451" s="501"/>
      <c r="AT451" s="501"/>
      <c r="AU451" s="501"/>
      <c r="AV451" s="501"/>
      <c r="AW451" s="501"/>
      <c r="AX451" s="501"/>
      <c r="AY451" s="501"/>
      <c r="AZ451" s="501"/>
      <c r="BA451" s="501"/>
      <c r="BB451" s="501"/>
      <c r="BC451" s="501"/>
      <c r="BD451" s="501"/>
      <c r="BE451" s="501"/>
      <c r="BF451" s="501"/>
      <c r="BG451" s="501"/>
      <c r="BH451" s="501"/>
      <c r="BI451" s="501"/>
      <c r="BJ451" s="501"/>
    </row>
    <row r="452" spans="1:62" ht="15.75" customHeight="1">
      <c r="A452" s="517" t="s">
        <v>162</v>
      </c>
      <c r="B452" s="498"/>
      <c r="C452" s="721" t="s">
        <v>465</v>
      </c>
      <c r="D452" s="501"/>
      <c r="E452" s="501"/>
      <c r="F452" s="501"/>
      <c r="G452" s="501"/>
      <c r="H452" s="501"/>
      <c r="I452" s="501"/>
      <c r="J452" s="501"/>
      <c r="K452" s="501"/>
      <c r="L452" s="501"/>
      <c r="M452" s="501"/>
      <c r="N452" s="501"/>
      <c r="O452" s="501"/>
      <c r="P452" s="501"/>
      <c r="Q452" s="501"/>
      <c r="R452" s="501"/>
      <c r="S452" s="501"/>
      <c r="T452" s="501"/>
      <c r="U452" s="501"/>
      <c r="V452" s="592" t="s">
        <v>162</v>
      </c>
      <c r="W452" s="758" t="s">
        <v>163</v>
      </c>
      <c r="X452" s="751"/>
      <c r="Y452" s="759"/>
      <c r="Z452" s="752">
        <f t="array" ref="Z452">+INDEX('[5]Budget original'!$A$2:$AO$500,MATCH($A452,'[5]Budget original'!$A$2:$A$500,0),MATCH(F$2,'[5]Budget original'!$A$2:$AO$2,0))</f>
        <v>26000.000000000004</v>
      </c>
      <c r="AA452" s="751"/>
      <c r="AB452" s="759"/>
      <c r="AC452" s="752"/>
      <c r="AD452" s="760"/>
      <c r="AE452" s="759"/>
      <c r="AF452" s="752">
        <f>SUMIFS([5]BV_Data_An_Cour!$O:$O,[5]BV_Data_An_Cour!$V:$V,$V452)</f>
        <v>26000</v>
      </c>
      <c r="AG452" s="753"/>
      <c r="AH452" s="754">
        <f t="shared" ref="AH452:AH460" si="112">AF452-Z452</f>
        <v>0</v>
      </c>
      <c r="AI452" s="755">
        <f t="shared" ref="AI452:AI460" si="113">IF(Z452=0,0,AH452/Z452)</f>
        <v>0</v>
      </c>
      <c r="AJ452" s="760"/>
      <c r="AK452" s="751"/>
      <c r="AL452" s="752">
        <f>SUMIFS([5]BV_Data_An_Prec!$O:$O,[5]BV_Data_An_Prec!$V:$V,$V452)</f>
        <v>26000</v>
      </c>
      <c r="AM452" s="756"/>
      <c r="AN452" s="754">
        <f t="shared" ref="AN452:AN460" si="114">AF452-AL452</f>
        <v>0</v>
      </c>
      <c r="AO452" s="761">
        <f t="shared" si="104"/>
        <v>0</v>
      </c>
      <c r="AP452" s="501"/>
      <c r="AQ452" s="501"/>
      <c r="AR452" s="501"/>
      <c r="AS452" s="501"/>
      <c r="AT452" s="501"/>
      <c r="AU452" s="501"/>
      <c r="AV452" s="501"/>
      <c r="AW452" s="501"/>
      <c r="AX452" s="501"/>
      <c r="AY452" s="501"/>
      <c r="AZ452" s="501"/>
      <c r="BA452" s="501"/>
      <c r="BB452" s="501"/>
      <c r="BC452" s="501"/>
      <c r="BD452" s="501"/>
      <c r="BE452" s="501"/>
      <c r="BF452" s="501"/>
      <c r="BG452" s="501"/>
      <c r="BH452" s="501"/>
      <c r="BI452" s="501"/>
      <c r="BJ452" s="501"/>
    </row>
    <row r="453" spans="1:62" ht="15.75" customHeight="1">
      <c r="A453" s="517" t="s">
        <v>164</v>
      </c>
      <c r="B453" s="498"/>
      <c r="C453" s="721" t="s">
        <v>465</v>
      </c>
      <c r="D453" s="501"/>
      <c r="E453" s="501"/>
      <c r="F453" s="501"/>
      <c r="G453" s="501"/>
      <c r="H453" s="501"/>
      <c r="I453" s="501"/>
      <c r="J453" s="501"/>
      <c r="K453" s="501"/>
      <c r="L453" s="501"/>
      <c r="M453" s="501"/>
      <c r="N453" s="501"/>
      <c r="O453" s="501"/>
      <c r="P453" s="501"/>
      <c r="Q453" s="501"/>
      <c r="R453" s="501"/>
      <c r="S453" s="501"/>
      <c r="T453" s="501"/>
      <c r="U453" s="501"/>
      <c r="V453" s="592" t="s">
        <v>164</v>
      </c>
      <c r="W453" s="758" t="s">
        <v>165</v>
      </c>
      <c r="X453" s="751"/>
      <c r="Y453" s="759"/>
      <c r="Z453" s="752">
        <f t="array" ref="Z453">+INDEX('[5]Budget original'!$A$2:$AO$500,MATCH($A453,'[5]Budget original'!$A$2:$A$500,0),MATCH(F$2,'[5]Budget original'!$A$2:$AO$2,0))</f>
        <v>5281.6050000000005</v>
      </c>
      <c r="AA453" s="751"/>
      <c r="AB453" s="759"/>
      <c r="AC453" s="752"/>
      <c r="AD453" s="760"/>
      <c r="AE453" s="759"/>
      <c r="AF453" s="752">
        <f>SUMIFS([5]BV_Data_An_Cour!$O:$O,[5]BV_Data_An_Cour!$V:$V,$V453)</f>
        <v>4930</v>
      </c>
      <c r="AG453" s="753"/>
      <c r="AH453" s="754">
        <f t="shared" si="112"/>
        <v>-351.60500000000047</v>
      </c>
      <c r="AI453" s="755">
        <f t="shared" si="113"/>
        <v>-6.6571619801177942E-2</v>
      </c>
      <c r="AJ453" s="760"/>
      <c r="AK453" s="751"/>
      <c r="AL453" s="752">
        <f>SUMIFS([5]BV_Data_An_Prec!$O:$O,[5]BV_Data_An_Prec!$V:$V,$V453)</f>
        <v>4930</v>
      </c>
      <c r="AM453" s="756"/>
      <c r="AN453" s="754">
        <f t="shared" si="114"/>
        <v>0</v>
      </c>
      <c r="AO453" s="761">
        <f t="shared" si="104"/>
        <v>0</v>
      </c>
      <c r="AP453" s="501"/>
      <c r="AQ453" s="501"/>
      <c r="AR453" s="501"/>
      <c r="AS453" s="501"/>
      <c r="AT453" s="501"/>
      <c r="AU453" s="501"/>
      <c r="AV453" s="501"/>
      <c r="AW453" s="501"/>
      <c r="AX453" s="501"/>
      <c r="AY453" s="501"/>
      <c r="AZ453" s="501"/>
      <c r="BA453" s="501"/>
      <c r="BB453" s="501"/>
      <c r="BC453" s="501"/>
      <c r="BD453" s="501"/>
      <c r="BE453" s="501"/>
      <c r="BF453" s="501"/>
      <c r="BG453" s="501"/>
      <c r="BH453" s="501"/>
      <c r="BI453" s="501"/>
      <c r="BJ453" s="501"/>
    </row>
    <row r="454" spans="1:62" ht="15.75" customHeight="1">
      <c r="A454" s="517" t="s">
        <v>166</v>
      </c>
      <c r="B454" s="498"/>
      <c r="C454" s="721" t="s">
        <v>465</v>
      </c>
      <c r="D454" s="501"/>
      <c r="E454" s="501"/>
      <c r="F454" s="501"/>
      <c r="G454" s="501"/>
      <c r="H454" s="501"/>
      <c r="I454" s="501"/>
      <c r="J454" s="501"/>
      <c r="K454" s="501"/>
      <c r="L454" s="501"/>
      <c r="M454" s="501"/>
      <c r="N454" s="501"/>
      <c r="O454" s="501"/>
      <c r="P454" s="501"/>
      <c r="Q454" s="501"/>
      <c r="R454" s="501"/>
      <c r="S454" s="501"/>
      <c r="T454" s="501"/>
      <c r="U454" s="501"/>
      <c r="V454" s="593" t="s">
        <v>166</v>
      </c>
      <c r="W454" s="762" t="s">
        <v>167</v>
      </c>
      <c r="X454" s="735"/>
      <c r="Y454" s="763"/>
      <c r="Z454" s="736">
        <f t="array" ref="Z454">+INDEX('[5]Budget original'!$A$2:$AO$500,MATCH($A454,'[5]Budget original'!$A$2:$A$500,0),MATCH(F$2,'[5]Budget original'!$A$2:$AO$2,0))</f>
        <v>3513.8249999999998</v>
      </c>
      <c r="AA454" s="735"/>
      <c r="AB454" s="763"/>
      <c r="AC454" s="736"/>
      <c r="AD454" s="764"/>
      <c r="AE454" s="763"/>
      <c r="AF454" s="736">
        <f>SUMIFS([5]BV_Data_An_Cour!$O:$O,[5]BV_Data_An_Cour!$V:$V,$V454)</f>
        <v>3279.9999999999995</v>
      </c>
      <c r="AG454" s="737"/>
      <c r="AH454" s="738">
        <f t="shared" si="112"/>
        <v>-233.82500000000027</v>
      </c>
      <c r="AI454" s="765">
        <f t="shared" si="113"/>
        <v>-6.6544292900187194E-2</v>
      </c>
      <c r="AJ454" s="764"/>
      <c r="AK454" s="735"/>
      <c r="AL454" s="736">
        <f>SUMIFS([5]BV_Data_An_Prec!$O:$O,[5]BV_Data_An_Prec!$V:$V,$V454)</f>
        <v>3279.9999999999995</v>
      </c>
      <c r="AM454" s="740"/>
      <c r="AN454" s="738">
        <f t="shared" si="114"/>
        <v>0</v>
      </c>
      <c r="AO454" s="741">
        <f t="shared" si="104"/>
        <v>0</v>
      </c>
      <c r="AP454" s="501"/>
      <c r="AQ454" s="501"/>
      <c r="AR454" s="501"/>
      <c r="AS454" s="501"/>
      <c r="AT454" s="501"/>
      <c r="AU454" s="501"/>
      <c r="AV454" s="501"/>
      <c r="AW454" s="501"/>
      <c r="AX454" s="501"/>
      <c r="AY454" s="501"/>
      <c r="AZ454" s="501"/>
      <c r="BA454" s="501"/>
      <c r="BB454" s="501"/>
      <c r="BC454" s="501"/>
      <c r="BD454" s="501"/>
      <c r="BE454" s="501"/>
      <c r="BF454" s="501"/>
      <c r="BG454" s="501"/>
      <c r="BH454" s="501"/>
      <c r="BI454" s="501"/>
      <c r="BJ454" s="501"/>
    </row>
    <row r="455" spans="1:62" ht="15.75" customHeight="1">
      <c r="A455" s="517" t="s">
        <v>168</v>
      </c>
      <c r="B455" s="498"/>
      <c r="C455" s="721" t="s">
        <v>465</v>
      </c>
      <c r="D455" s="501"/>
      <c r="E455" s="501"/>
      <c r="F455" s="501"/>
      <c r="G455" s="501"/>
      <c r="H455" s="501"/>
      <c r="I455" s="501"/>
      <c r="J455" s="501"/>
      <c r="K455" s="501"/>
      <c r="L455" s="501"/>
      <c r="M455" s="501"/>
      <c r="N455" s="501"/>
      <c r="O455" s="501"/>
      <c r="P455" s="501"/>
      <c r="Q455" s="501"/>
      <c r="R455" s="501"/>
      <c r="S455" s="501"/>
      <c r="T455" s="501"/>
      <c r="U455" s="501"/>
      <c r="V455" s="592" t="s">
        <v>168</v>
      </c>
      <c r="W455" s="758"/>
      <c r="X455" s="751"/>
      <c r="Y455" s="759"/>
      <c r="Z455" s="752">
        <f t="array" ref="Z455">+INDEX('[5]Budget original'!$A$2:$AO$500,MATCH($A455,'[5]Budget original'!$A$2:$A$500,0),MATCH(F$2,'[5]Budget original'!$A$2:$AO$2,0))</f>
        <v>0</v>
      </c>
      <c r="AA455" s="751"/>
      <c r="AB455" s="759"/>
      <c r="AC455" s="752"/>
      <c r="AD455" s="760"/>
      <c r="AE455" s="759"/>
      <c r="AF455" s="752">
        <f>SUMIFS([5]BV_Data_An_Cour!$O:$O,[5]BV_Data_An_Cour!$V:$V,$V455)</f>
        <v>0</v>
      </c>
      <c r="AG455" s="753"/>
      <c r="AH455" s="754">
        <f t="shared" si="112"/>
        <v>0</v>
      </c>
      <c r="AI455" s="755">
        <f t="shared" si="113"/>
        <v>0</v>
      </c>
      <c r="AJ455" s="760"/>
      <c r="AK455" s="751"/>
      <c r="AL455" s="752">
        <f>SUMIFS([5]BV_Data_An_Prec!$O:$O,[5]BV_Data_An_Prec!$V:$V,$V455)</f>
        <v>0</v>
      </c>
      <c r="AM455" s="756"/>
      <c r="AN455" s="754">
        <f t="shared" si="114"/>
        <v>0</v>
      </c>
      <c r="AO455" s="761">
        <f t="shared" si="104"/>
        <v>0</v>
      </c>
      <c r="AP455" s="501"/>
      <c r="AQ455" s="501"/>
      <c r="AR455" s="501"/>
      <c r="AS455" s="501"/>
      <c r="AT455" s="501"/>
      <c r="AU455" s="501"/>
      <c r="AV455" s="501"/>
      <c r="AW455" s="501"/>
      <c r="AX455" s="501"/>
      <c r="AY455" s="501"/>
      <c r="AZ455" s="501"/>
      <c r="BA455" s="501"/>
      <c r="BB455" s="501"/>
      <c r="BC455" s="501"/>
      <c r="BD455" s="501"/>
      <c r="BE455" s="501"/>
      <c r="BF455" s="501"/>
      <c r="BG455" s="501"/>
      <c r="BH455" s="501"/>
      <c r="BI455" s="501"/>
      <c r="BJ455" s="501"/>
    </row>
    <row r="456" spans="1:62" ht="15.75" customHeight="1">
      <c r="A456" s="517" t="s">
        <v>169</v>
      </c>
      <c r="B456" s="498"/>
      <c r="C456" s="721" t="s">
        <v>465</v>
      </c>
      <c r="D456" s="501"/>
      <c r="E456" s="501"/>
      <c r="F456" s="501"/>
      <c r="G456" s="501"/>
      <c r="H456" s="501"/>
      <c r="I456" s="501"/>
      <c r="J456" s="501"/>
      <c r="K456" s="501"/>
      <c r="L456" s="501"/>
      <c r="M456" s="501"/>
      <c r="N456" s="501"/>
      <c r="O456" s="501"/>
      <c r="P456" s="501"/>
      <c r="Q456" s="501"/>
      <c r="R456" s="501"/>
      <c r="S456" s="501"/>
      <c r="T456" s="501"/>
      <c r="U456" s="501"/>
      <c r="V456" s="593" t="s">
        <v>169</v>
      </c>
      <c r="W456" s="762" t="s">
        <v>170</v>
      </c>
      <c r="X456" s="735"/>
      <c r="Y456" s="763"/>
      <c r="Z456" s="736">
        <f t="array" ref="Z456">+INDEX('[5]Budget original'!$A$2:$AO$500,MATCH($A456,'[5]Budget original'!$A$2:$A$500,0),MATCH(F$2,'[5]Budget original'!$A$2:$AO$2,0))</f>
        <v>4356.2783333333327</v>
      </c>
      <c r="AA456" s="735"/>
      <c r="AB456" s="763"/>
      <c r="AC456" s="736"/>
      <c r="AD456" s="764"/>
      <c r="AE456" s="763"/>
      <c r="AF456" s="736">
        <f>SUMIF([5]BV_Data_An_Cour!$V:$V,'Juillet 2023'!$V456,[5]BV_Data_An_Cour!$O:$O)</f>
        <v>4271</v>
      </c>
      <c r="AG456" s="737"/>
      <c r="AH456" s="738">
        <f t="shared" si="112"/>
        <v>-85.278333333332739</v>
      </c>
      <c r="AI456" s="765">
        <f t="shared" si="113"/>
        <v>-1.9575960672852496E-2</v>
      </c>
      <c r="AJ456" s="764"/>
      <c r="AK456" s="735"/>
      <c r="AL456" s="736">
        <f>SUMIF([5]BV_Data_An_Prec!$V:$V,'Juillet 2023'!$V456,[5]BV_Data_An_Prec!$O:$O)</f>
        <v>4271</v>
      </c>
      <c r="AM456" s="740"/>
      <c r="AN456" s="738">
        <f t="shared" si="114"/>
        <v>0</v>
      </c>
      <c r="AO456" s="741">
        <f t="shared" si="104"/>
        <v>0</v>
      </c>
      <c r="AP456" s="501"/>
      <c r="AQ456" s="501"/>
      <c r="AR456" s="501"/>
      <c r="AS456" s="501"/>
      <c r="AT456" s="501"/>
      <c r="AU456" s="501"/>
      <c r="AV456" s="501"/>
      <c r="AW456" s="501"/>
      <c r="AX456" s="501"/>
      <c r="AY456" s="501"/>
      <c r="AZ456" s="501"/>
      <c r="BA456" s="501"/>
      <c r="BB456" s="501"/>
      <c r="BC456" s="501"/>
      <c r="BD456" s="501"/>
      <c r="BE456" s="501"/>
      <c r="BF456" s="501"/>
      <c r="BG456" s="501"/>
      <c r="BH456" s="501"/>
      <c r="BI456" s="501"/>
      <c r="BJ456" s="501"/>
    </row>
    <row r="457" spans="1:62" ht="15.75" customHeight="1">
      <c r="A457" s="517" t="s">
        <v>171</v>
      </c>
      <c r="B457" s="498"/>
      <c r="C457" s="721" t="s">
        <v>465</v>
      </c>
      <c r="D457" s="501"/>
      <c r="E457" s="501"/>
      <c r="F457" s="501"/>
      <c r="G457" s="501"/>
      <c r="H457" s="501"/>
      <c r="I457" s="501"/>
      <c r="J457" s="501"/>
      <c r="K457" s="501"/>
      <c r="L457" s="501"/>
      <c r="M457" s="501"/>
      <c r="N457" s="501"/>
      <c r="O457" s="501"/>
      <c r="P457" s="501"/>
      <c r="Q457" s="501"/>
      <c r="R457" s="501"/>
      <c r="S457" s="501"/>
      <c r="T457" s="501"/>
      <c r="U457" s="501"/>
      <c r="V457" s="592" t="s">
        <v>171</v>
      </c>
      <c r="W457" s="758" t="s">
        <v>172</v>
      </c>
      <c r="X457" s="793"/>
      <c r="Y457" s="794"/>
      <c r="Z457" s="752">
        <f t="array" ref="Z457">+INDEX('[5]Budget original'!$A$2:$AO$500,MATCH($A457,'[5]Budget original'!$A$2:$A$500,0),MATCH(F$2,'[5]Budget original'!$A$2:$AO$2,0))</f>
        <v>2510.948249791667</v>
      </c>
      <c r="AA457" s="793"/>
      <c r="AB457" s="794"/>
      <c r="AC457" s="752"/>
      <c r="AD457" s="760"/>
      <c r="AE457" s="759"/>
      <c r="AF457" s="795">
        <f>SUMIFS([5]BV_Data_An_Cour!$O:$O,[5]BV_Data_An_Cour!$V:$V,$V457)</f>
        <v>3629.42</v>
      </c>
      <c r="AG457" s="753"/>
      <c r="AH457" s="754">
        <f t="shared" si="112"/>
        <v>1118.4717502083331</v>
      </c>
      <c r="AI457" s="755">
        <f t="shared" si="113"/>
        <v>0.44543799351545083</v>
      </c>
      <c r="AJ457" s="760"/>
      <c r="AK457" s="751"/>
      <c r="AL457" s="752">
        <f>SUMIFS([5]BV_Data_An_Prec!$O:$O,[5]BV_Data_An_Prec!$V:$V,$V457)</f>
        <v>1932.27</v>
      </c>
      <c r="AM457" s="756"/>
      <c r="AN457" s="754">
        <f t="shared" si="114"/>
        <v>1697.15</v>
      </c>
      <c r="AO457" s="761">
        <f t="shared" si="104"/>
        <v>0.87831928250192781</v>
      </c>
      <c r="AP457" s="501"/>
      <c r="AQ457" s="501"/>
      <c r="AR457" s="501"/>
      <c r="AS457" s="501"/>
      <c r="AT457" s="501"/>
      <c r="AU457" s="501"/>
      <c r="AV457" s="501"/>
      <c r="AW457" s="501"/>
      <c r="AX457" s="501"/>
      <c r="AY457" s="501"/>
      <c r="AZ457" s="501"/>
      <c r="BA457" s="501"/>
      <c r="BB457" s="501"/>
      <c r="BC457" s="501"/>
      <c r="BD457" s="501"/>
      <c r="BE457" s="501"/>
      <c r="BF457" s="501"/>
      <c r="BG457" s="501"/>
      <c r="BH457" s="501"/>
      <c r="BI457" s="501"/>
      <c r="BJ457" s="501"/>
    </row>
    <row r="458" spans="1:62" ht="15.75" customHeight="1">
      <c r="A458" s="517" t="s">
        <v>173</v>
      </c>
      <c r="B458" s="498"/>
      <c r="C458" s="721" t="s">
        <v>465</v>
      </c>
      <c r="D458" s="501"/>
      <c r="E458" s="501"/>
      <c r="F458" s="501"/>
      <c r="G458" s="501"/>
      <c r="H458" s="501"/>
      <c r="I458" s="501"/>
      <c r="J458" s="501"/>
      <c r="K458" s="501"/>
      <c r="L458" s="501"/>
      <c r="M458" s="501"/>
      <c r="N458" s="501"/>
      <c r="O458" s="501"/>
      <c r="P458" s="501"/>
      <c r="Q458" s="501"/>
      <c r="R458" s="501"/>
      <c r="S458" s="501"/>
      <c r="T458" s="501"/>
      <c r="U458" s="501"/>
      <c r="V458" s="592" t="s">
        <v>173</v>
      </c>
      <c r="W458" s="758" t="s">
        <v>174</v>
      </c>
      <c r="X458" s="751"/>
      <c r="Y458" s="759"/>
      <c r="Z458" s="752">
        <f t="array" ref="Z458">+INDEX('[5]Budget original'!$A$2:$AO$500,MATCH($A458,'[5]Budget original'!$A$2:$A$500,0),MATCH(F$2,'[5]Budget original'!$A$2:$AO$2,0))</f>
        <v>6306.8593777777805</v>
      </c>
      <c r="AA458" s="751"/>
      <c r="AB458" s="759"/>
      <c r="AC458" s="752"/>
      <c r="AD458" s="760"/>
      <c r="AE458" s="759"/>
      <c r="AF458" s="752">
        <f>SUMIFS([5]BV_Data_An_Cour!$O:$O,[5]BV_Data_An_Cour!$V:$V,$V458)</f>
        <v>6550.12</v>
      </c>
      <c r="AG458" s="753"/>
      <c r="AH458" s="754">
        <f t="shared" si="112"/>
        <v>243.26062222221935</v>
      </c>
      <c r="AI458" s="755">
        <f t="shared" si="113"/>
        <v>3.8570801670217696E-2</v>
      </c>
      <c r="AJ458" s="760"/>
      <c r="AK458" s="751"/>
      <c r="AL458" s="752">
        <f>SUMIFS([5]BV_Data_An_Prec!$O:$O,[5]BV_Data_An_Prec!$V:$V,$V458)</f>
        <v>6123.33</v>
      </c>
      <c r="AM458" s="756"/>
      <c r="AN458" s="754">
        <f t="shared" si="114"/>
        <v>426.78999999999996</v>
      </c>
      <c r="AO458" s="761">
        <f t="shared" si="104"/>
        <v>6.9699003646708571E-2</v>
      </c>
      <c r="AP458" s="501"/>
      <c r="AQ458" s="501"/>
      <c r="AR458" s="501"/>
      <c r="AS458" s="501"/>
      <c r="AT458" s="501"/>
      <c r="AU458" s="501"/>
      <c r="AV458" s="501"/>
      <c r="AW458" s="501"/>
      <c r="AX458" s="501"/>
      <c r="AY458" s="501"/>
      <c r="AZ458" s="501"/>
      <c r="BA458" s="501"/>
      <c r="BB458" s="501"/>
      <c r="BC458" s="501"/>
      <c r="BD458" s="501"/>
      <c r="BE458" s="501"/>
      <c r="BF458" s="501"/>
      <c r="BG458" s="501"/>
      <c r="BH458" s="501"/>
      <c r="BI458" s="501"/>
      <c r="BJ458" s="501"/>
    </row>
    <row r="459" spans="1:62" ht="15.75" customHeight="1">
      <c r="A459" s="517" t="s">
        <v>175</v>
      </c>
      <c r="B459" s="498"/>
      <c r="C459" s="721" t="s">
        <v>465</v>
      </c>
      <c r="D459" s="501"/>
      <c r="E459" s="501"/>
      <c r="F459" s="501"/>
      <c r="G459" s="501"/>
      <c r="H459" s="501"/>
      <c r="I459" s="501"/>
      <c r="J459" s="501"/>
      <c r="K459" s="501"/>
      <c r="L459" s="501"/>
      <c r="M459" s="501"/>
      <c r="N459" s="501"/>
      <c r="O459" s="501"/>
      <c r="P459" s="501"/>
      <c r="Q459" s="501"/>
      <c r="R459" s="501"/>
      <c r="S459" s="501"/>
      <c r="T459" s="501"/>
      <c r="U459" s="501"/>
      <c r="V459" s="593" t="s">
        <v>175</v>
      </c>
      <c r="W459" s="762" t="s">
        <v>176</v>
      </c>
      <c r="X459" s="735"/>
      <c r="Y459" s="763"/>
      <c r="Z459" s="736">
        <f t="array" ref="Z459">+INDEX('[5]Budget original'!$A$2:$AO$500,MATCH($A459,'[5]Budget original'!$A$2:$A$500,0),MATCH(F$2,'[5]Budget original'!$A$2:$AO$2,0))</f>
        <v>1518.181195972222</v>
      </c>
      <c r="AA459" s="735"/>
      <c r="AB459" s="763"/>
      <c r="AC459" s="736"/>
      <c r="AD459" s="764"/>
      <c r="AE459" s="763"/>
      <c r="AF459" s="736">
        <f>SUMIFS([5]BV_Data_An_Cour!$O:$O,[5]BV_Data_An_Cour!$V:$V,$V459)</f>
        <v>448.8</v>
      </c>
      <c r="AG459" s="737"/>
      <c r="AH459" s="738">
        <f t="shared" si="112"/>
        <v>-1069.381195972222</v>
      </c>
      <c r="AI459" s="765">
        <f t="shared" si="113"/>
        <v>-0.70438311237770623</v>
      </c>
      <c r="AJ459" s="764"/>
      <c r="AK459" s="735"/>
      <c r="AL459" s="736">
        <f>SUMIFS([5]BV_Data_An_Prec!$O:$O,[5]BV_Data_An_Prec!$V:$V,$V459)</f>
        <v>1440.6</v>
      </c>
      <c r="AM459" s="740"/>
      <c r="AN459" s="738">
        <f t="shared" si="114"/>
        <v>-991.8</v>
      </c>
      <c r="AO459" s="741">
        <f t="shared" si="104"/>
        <v>-0.68846314035818412</v>
      </c>
      <c r="AP459" s="501"/>
      <c r="AQ459" s="501"/>
      <c r="AR459" s="501"/>
      <c r="AS459" s="501"/>
      <c r="AT459" s="501"/>
      <c r="AU459" s="501"/>
      <c r="AV459" s="501"/>
      <c r="AW459" s="501"/>
      <c r="AX459" s="501"/>
      <c r="AY459" s="501"/>
      <c r="AZ459" s="501"/>
      <c r="BA459" s="501"/>
      <c r="BB459" s="501"/>
      <c r="BC459" s="501"/>
      <c r="BD459" s="501"/>
      <c r="BE459" s="501"/>
      <c r="BF459" s="501"/>
      <c r="BG459" s="501"/>
      <c r="BH459" s="501"/>
      <c r="BI459" s="501"/>
      <c r="BJ459" s="501"/>
    </row>
    <row r="460" spans="1:62" ht="15.75" customHeight="1">
      <c r="A460" s="517" t="s">
        <v>177</v>
      </c>
      <c r="B460" s="498"/>
      <c r="C460" s="721" t="s">
        <v>465</v>
      </c>
      <c r="D460" s="501"/>
      <c r="E460" s="501"/>
      <c r="F460" s="501"/>
      <c r="G460" s="501"/>
      <c r="H460" s="501"/>
      <c r="I460" s="501"/>
      <c r="J460" s="501"/>
      <c r="K460" s="501"/>
      <c r="L460" s="501"/>
      <c r="M460" s="501"/>
      <c r="N460" s="501"/>
      <c r="O460" s="501"/>
      <c r="P460" s="501"/>
      <c r="Q460" s="501"/>
      <c r="R460" s="501"/>
      <c r="S460" s="501"/>
      <c r="T460" s="501"/>
      <c r="U460" s="796"/>
      <c r="V460" s="592" t="s">
        <v>177</v>
      </c>
      <c r="W460" s="758" t="s">
        <v>178</v>
      </c>
      <c r="X460" s="751"/>
      <c r="Y460" s="759"/>
      <c r="Z460" s="752">
        <f t="array" ref="Z460">+INDEX('[5]Budget original'!$A$2:$AO$500,MATCH($A460,'[5]Budget original'!$A$2:$A$500,0),MATCH(F$2,'[5]Budget original'!$A$2:$AO$2,0))</f>
        <v>80.334374999999994</v>
      </c>
      <c r="AA460" s="751"/>
      <c r="AB460" s="759"/>
      <c r="AC460" s="752"/>
      <c r="AD460" s="760"/>
      <c r="AE460" s="759"/>
      <c r="AF460" s="752">
        <f>SUMIFS([5]BV_Data_An_Cour!$O:$O,[5]BV_Data_An_Cour!$V:$V,$V460)</f>
        <v>561.12</v>
      </c>
      <c r="AG460" s="753"/>
      <c r="AH460" s="754">
        <f t="shared" si="112"/>
        <v>480.78562499999998</v>
      </c>
      <c r="AI460" s="797">
        <f t="shared" si="113"/>
        <v>5.9848056949469015</v>
      </c>
      <c r="AJ460" s="751"/>
      <c r="AK460" s="751"/>
      <c r="AL460" s="752">
        <f>SUMIFS([5]BV_Data_An_Prec!$O:$O,[5]BV_Data_An_Prec!$V:$V,$V460)</f>
        <v>0</v>
      </c>
      <c r="AM460" s="756"/>
      <c r="AN460" s="754">
        <f t="shared" si="114"/>
        <v>561.12</v>
      </c>
      <c r="AO460" s="761">
        <f t="shared" si="104"/>
        <v>0</v>
      </c>
      <c r="AP460" s="501"/>
      <c r="AQ460" s="501"/>
      <c r="AR460" s="501"/>
      <c r="AS460" s="501"/>
      <c r="AT460" s="501"/>
      <c r="AU460" s="501"/>
      <c r="AV460" s="501"/>
      <c r="AW460" s="501"/>
      <c r="AX460" s="501"/>
      <c r="AY460" s="501"/>
      <c r="AZ460" s="501"/>
      <c r="BA460" s="501"/>
      <c r="BB460" s="501"/>
      <c r="BC460" s="501"/>
      <c r="BD460" s="501"/>
      <c r="BE460" s="501"/>
      <c r="BF460" s="501"/>
      <c r="BG460" s="501"/>
      <c r="BH460" s="501"/>
      <c r="BI460" s="501"/>
      <c r="BJ460" s="501"/>
    </row>
    <row r="461" spans="1:62" ht="15.75" customHeight="1">
      <c r="A461" s="517" t="s">
        <v>179</v>
      </c>
      <c r="B461" s="498"/>
      <c r="C461" s="721" t="s">
        <v>465</v>
      </c>
      <c r="D461" s="501"/>
      <c r="E461" s="501"/>
      <c r="F461" s="501"/>
      <c r="G461" s="501"/>
      <c r="H461" s="501"/>
      <c r="I461" s="501"/>
      <c r="J461" s="501"/>
      <c r="K461" s="501"/>
      <c r="L461" s="501"/>
      <c r="M461" s="501"/>
      <c r="N461" s="501"/>
      <c r="O461" s="501"/>
      <c r="P461" s="501"/>
      <c r="Q461" s="501"/>
      <c r="R461" s="501"/>
      <c r="S461" s="501"/>
      <c r="T461" s="501"/>
      <c r="U461" s="796"/>
      <c r="V461" s="592" t="s">
        <v>179</v>
      </c>
      <c r="W461" s="758" t="s">
        <v>180</v>
      </c>
      <c r="X461" s="751"/>
      <c r="Y461" s="759"/>
      <c r="Z461" s="752">
        <v>0</v>
      </c>
      <c r="AA461" s="751"/>
      <c r="AB461" s="759"/>
      <c r="AC461" s="752"/>
      <c r="AD461" s="760"/>
      <c r="AE461" s="759"/>
      <c r="AF461" s="752">
        <f>SUMIFS([5]BV_Data_An_Cour!$O:$O,[5]BV_Data_An_Cour!$V:$V,$V461)</f>
        <v>0</v>
      </c>
      <c r="AG461" s="753"/>
      <c r="AH461" s="754">
        <v>0</v>
      </c>
      <c r="AI461" s="774">
        <v>0</v>
      </c>
      <c r="AJ461" s="751"/>
      <c r="AK461" s="751"/>
      <c r="AL461" s="752">
        <v>0</v>
      </c>
      <c r="AM461" s="756"/>
      <c r="AN461" s="754">
        <v>0</v>
      </c>
      <c r="AO461" s="761">
        <v>0</v>
      </c>
      <c r="AP461" s="501"/>
      <c r="AQ461" s="501"/>
      <c r="AR461" s="501"/>
      <c r="AS461" s="501"/>
      <c r="AT461" s="501"/>
      <c r="AU461" s="501"/>
      <c r="AV461" s="501"/>
      <c r="AW461" s="501"/>
      <c r="AX461" s="501"/>
      <c r="AY461" s="501"/>
      <c r="AZ461" s="501"/>
      <c r="BA461" s="501"/>
      <c r="BB461" s="501"/>
      <c r="BC461" s="501"/>
      <c r="BD461" s="501"/>
      <c r="BE461" s="501"/>
      <c r="BF461" s="501"/>
      <c r="BG461" s="501"/>
      <c r="BH461" s="501"/>
      <c r="BI461" s="501"/>
      <c r="BJ461" s="501"/>
    </row>
    <row r="462" spans="1:62" ht="15.75" hidden="1" customHeight="1">
      <c r="A462" s="517" t="s">
        <v>20</v>
      </c>
      <c r="B462" s="498"/>
      <c r="C462" s="721" t="s">
        <v>465</v>
      </c>
      <c r="D462" s="501"/>
      <c r="E462" s="501"/>
      <c r="F462" s="501"/>
      <c r="G462" s="501"/>
      <c r="H462" s="501"/>
      <c r="I462" s="501"/>
      <c r="J462" s="501"/>
      <c r="K462" s="501"/>
      <c r="L462" s="501"/>
      <c r="M462" s="501"/>
      <c r="N462" s="501"/>
      <c r="O462" s="501"/>
      <c r="P462" s="501"/>
      <c r="Q462" s="501"/>
      <c r="R462" s="501"/>
      <c r="S462" s="501"/>
      <c r="T462" s="501"/>
      <c r="U462" s="796"/>
      <c r="V462" s="592" t="s">
        <v>20</v>
      </c>
      <c r="W462" s="758"/>
      <c r="X462" s="751"/>
      <c r="Y462" s="759"/>
      <c r="Z462" s="752">
        <f t="shared" ref="Z462:Z464" si="115">IFERROR(SUMIF($C:$C,$V462,F:F),0)</f>
        <v>0</v>
      </c>
      <c r="AA462" s="751"/>
      <c r="AB462" s="751"/>
      <c r="AC462" s="752"/>
      <c r="AD462" s="760"/>
      <c r="AE462" s="759"/>
      <c r="AF462" s="752">
        <f t="shared" ref="AF462:AF464" si="116">IFERROR(SUMIF($C:$C,$V462,L:L),0)</f>
        <v>0</v>
      </c>
      <c r="AG462" s="753"/>
      <c r="AH462" s="754">
        <f>AF462-Z462</f>
        <v>0</v>
      </c>
      <c r="AI462" s="755">
        <f>IF(Z462=0,0,AH462/Z462)</f>
        <v>0</v>
      </c>
      <c r="AJ462" s="760"/>
      <c r="AK462" s="751"/>
      <c r="AL462" s="752">
        <f t="shared" ref="AL462:AL464" si="117">IFERROR(SUMIF($C:$C,$V462,Q:Q),0)</f>
        <v>0</v>
      </c>
      <c r="AM462" s="756"/>
      <c r="AN462" s="754">
        <v>0</v>
      </c>
      <c r="AO462" s="761">
        <v>1</v>
      </c>
      <c r="AP462" s="501"/>
      <c r="AQ462" s="501"/>
      <c r="AR462" s="501"/>
      <c r="AS462" s="501"/>
      <c r="AT462" s="501"/>
      <c r="AU462" s="501"/>
      <c r="AV462" s="501"/>
      <c r="AW462" s="501"/>
      <c r="AX462" s="501"/>
      <c r="AY462" s="501"/>
      <c r="AZ462" s="501"/>
      <c r="BA462" s="501"/>
      <c r="BB462" s="501"/>
      <c r="BC462" s="501"/>
      <c r="BD462" s="501"/>
      <c r="BE462" s="501"/>
      <c r="BF462" s="501"/>
      <c r="BG462" s="501"/>
      <c r="BH462" s="501"/>
      <c r="BI462" s="501"/>
      <c r="BJ462" s="501"/>
    </row>
    <row r="463" spans="1:62" ht="15.75" hidden="1" customHeight="1">
      <c r="A463" s="517" t="s">
        <v>20</v>
      </c>
      <c r="B463" s="498"/>
      <c r="C463" s="721" t="s">
        <v>465</v>
      </c>
      <c r="D463" s="501"/>
      <c r="E463" s="501"/>
      <c r="F463" s="501"/>
      <c r="G463" s="501"/>
      <c r="H463" s="501"/>
      <c r="I463" s="501"/>
      <c r="J463" s="501"/>
      <c r="K463" s="501"/>
      <c r="L463" s="501"/>
      <c r="M463" s="501"/>
      <c r="N463" s="501"/>
      <c r="O463" s="501"/>
      <c r="P463" s="501"/>
      <c r="Q463" s="501"/>
      <c r="R463" s="501"/>
      <c r="S463" s="501"/>
      <c r="T463" s="501"/>
      <c r="U463" s="796"/>
      <c r="V463" s="592" t="s">
        <v>20</v>
      </c>
      <c r="W463" s="758"/>
      <c r="X463" s="751"/>
      <c r="Y463" s="759"/>
      <c r="Z463" s="752">
        <f t="shared" si="115"/>
        <v>0</v>
      </c>
      <c r="AA463" s="751"/>
      <c r="AB463" s="751"/>
      <c r="AC463" s="752"/>
      <c r="AD463" s="760"/>
      <c r="AE463" s="759"/>
      <c r="AF463" s="752">
        <f t="shared" si="116"/>
        <v>0</v>
      </c>
      <c r="AG463" s="753"/>
      <c r="AH463" s="754">
        <f>AF463-Z463</f>
        <v>0</v>
      </c>
      <c r="AI463" s="755">
        <f>IF(Z463=0,0,AH463/Z463)</f>
        <v>0</v>
      </c>
      <c r="AJ463" s="760"/>
      <c r="AK463" s="751"/>
      <c r="AL463" s="752">
        <f t="shared" si="117"/>
        <v>0</v>
      </c>
      <c r="AM463" s="756"/>
      <c r="AN463" s="754">
        <v>0</v>
      </c>
      <c r="AO463" s="761">
        <v>2</v>
      </c>
      <c r="AP463" s="501"/>
      <c r="AQ463" s="501"/>
      <c r="AR463" s="501"/>
      <c r="AS463" s="501"/>
      <c r="AT463" s="501"/>
      <c r="AU463" s="501"/>
      <c r="AV463" s="501"/>
      <c r="AW463" s="501"/>
      <c r="AX463" s="501"/>
      <c r="AY463" s="501"/>
      <c r="AZ463" s="501"/>
      <c r="BA463" s="501"/>
      <c r="BB463" s="501"/>
      <c r="BC463" s="501"/>
      <c r="BD463" s="501"/>
      <c r="BE463" s="501"/>
      <c r="BF463" s="501"/>
      <c r="BG463" s="501"/>
      <c r="BH463" s="501"/>
      <c r="BI463" s="501"/>
      <c r="BJ463" s="501"/>
    </row>
    <row r="464" spans="1:62" ht="15.75" hidden="1" customHeight="1">
      <c r="A464" s="517" t="s">
        <v>20</v>
      </c>
      <c r="B464" s="498"/>
      <c r="C464" s="721" t="s">
        <v>465</v>
      </c>
      <c r="D464" s="501"/>
      <c r="E464" s="501"/>
      <c r="F464" s="501"/>
      <c r="G464" s="501"/>
      <c r="H464" s="501"/>
      <c r="I464" s="501"/>
      <c r="J464" s="501"/>
      <c r="K464" s="501"/>
      <c r="L464" s="501"/>
      <c r="M464" s="501"/>
      <c r="N464" s="501"/>
      <c r="O464" s="501"/>
      <c r="P464" s="501"/>
      <c r="Q464" s="501"/>
      <c r="R464" s="501"/>
      <c r="S464" s="501"/>
      <c r="T464" s="501"/>
      <c r="U464" s="501"/>
      <c r="V464" s="592" t="s">
        <v>20</v>
      </c>
      <c r="W464" s="758"/>
      <c r="X464" s="751"/>
      <c r="Y464" s="759"/>
      <c r="Z464" s="752">
        <f t="shared" si="115"/>
        <v>0</v>
      </c>
      <c r="AA464" s="751"/>
      <c r="AB464" s="751"/>
      <c r="AC464" s="752"/>
      <c r="AD464" s="760"/>
      <c r="AE464" s="759"/>
      <c r="AF464" s="752">
        <f t="shared" si="116"/>
        <v>0</v>
      </c>
      <c r="AG464" s="753"/>
      <c r="AH464" s="754">
        <f>AF464-Z464</f>
        <v>0</v>
      </c>
      <c r="AI464" s="755">
        <f>IF(Z464=0,0,AH464/Z464)</f>
        <v>0</v>
      </c>
      <c r="AJ464" s="760"/>
      <c r="AK464" s="751"/>
      <c r="AL464" s="752">
        <f t="shared" si="117"/>
        <v>0</v>
      </c>
      <c r="AM464" s="756"/>
      <c r="AN464" s="754">
        <v>0</v>
      </c>
      <c r="AO464" s="761">
        <v>3</v>
      </c>
      <c r="AP464" s="501"/>
      <c r="AQ464" s="501"/>
      <c r="AR464" s="501"/>
      <c r="AS464" s="501"/>
      <c r="AT464" s="501"/>
      <c r="AU464" s="501"/>
      <c r="AV464" s="501"/>
      <c r="AW464" s="501"/>
      <c r="AX464" s="501"/>
      <c r="AY464" s="501"/>
      <c r="AZ464" s="501"/>
      <c r="BA464" s="501"/>
      <c r="BB464" s="501"/>
      <c r="BC464" s="501"/>
      <c r="BD464" s="501"/>
      <c r="BE464" s="501"/>
      <c r="BF464" s="501"/>
      <c r="BG464" s="501"/>
      <c r="BH464" s="501"/>
      <c r="BI464" s="501"/>
      <c r="BJ464" s="501"/>
    </row>
    <row r="465" spans="1:62" ht="15.75" customHeight="1">
      <c r="A465" s="517" t="s">
        <v>181</v>
      </c>
      <c r="B465" s="498"/>
      <c r="C465" s="721" t="s">
        <v>465</v>
      </c>
      <c r="D465" s="501"/>
      <c r="E465" s="501"/>
      <c r="F465" s="501"/>
      <c r="G465" s="501"/>
      <c r="H465" s="501"/>
      <c r="I465" s="501"/>
      <c r="J465" s="501"/>
      <c r="K465" s="501"/>
      <c r="L465" s="501"/>
      <c r="M465" s="501"/>
      <c r="N465" s="501"/>
      <c r="O465" s="501"/>
      <c r="P465" s="501"/>
      <c r="Q465" s="501"/>
      <c r="R465" s="501"/>
      <c r="S465" s="501"/>
      <c r="T465" s="501"/>
      <c r="U465" s="501"/>
      <c r="V465" s="766" t="s">
        <v>181</v>
      </c>
      <c r="W465" s="767"/>
      <c r="X465" s="768">
        <f>Z465/+Z406</f>
        <v>7.6453276909537085E-2</v>
      </c>
      <c r="Y465" s="767"/>
      <c r="Z465" s="769">
        <f>SUM(Z452:Z464)</f>
        <v>49568.031531875007</v>
      </c>
      <c r="AA465" s="768"/>
      <c r="AB465" s="767"/>
      <c r="AC465" s="769"/>
      <c r="AD465" s="770">
        <f>AF465/AF406</f>
        <v>8.1110122260088874E-2</v>
      </c>
      <c r="AE465" s="767"/>
      <c r="AF465" s="769">
        <f>SUM(AF452:AF464)</f>
        <v>49670.460000000006</v>
      </c>
      <c r="AG465" s="776"/>
      <c r="AH465" s="798">
        <f>SUM(AH452:AH464)</f>
        <v>102.42846812499693</v>
      </c>
      <c r="AI465" s="799">
        <f>IF(Z465=0,0,AH465/Z465)</f>
        <v>2.0664219449410596E-3</v>
      </c>
      <c r="AJ465" s="770">
        <f>IF($AL$406=0,0,AL465/$AL$406)</f>
        <v>6.8608606612585415E-2</v>
      </c>
      <c r="AK465" s="768"/>
      <c r="AL465" s="769">
        <f>SUM(AL452:AL464)</f>
        <v>47977.2</v>
      </c>
      <c r="AM465" s="777"/>
      <c r="AN465" s="772">
        <f>SUM(AN452:AN464)</f>
        <v>1693.2600000000002</v>
      </c>
      <c r="AO465" s="792">
        <f t="shared" ref="AO465:AO482" si="118">IF(AL465=0,0,AN465/AL465)</f>
        <v>3.5293014181736332E-2</v>
      </c>
      <c r="AP465" s="501"/>
      <c r="AQ465" s="501"/>
      <c r="AR465" s="501"/>
      <c r="AS465" s="501"/>
      <c r="AT465" s="501"/>
      <c r="AU465" s="501"/>
      <c r="AV465" s="501"/>
      <c r="AW465" s="501"/>
      <c r="AX465" s="501"/>
      <c r="AY465" s="501"/>
      <c r="AZ465" s="501"/>
      <c r="BA465" s="501"/>
      <c r="BB465" s="501"/>
      <c r="BC465" s="501"/>
      <c r="BD465" s="501"/>
      <c r="BE465" s="501"/>
      <c r="BF465" s="501"/>
      <c r="BG465" s="501"/>
      <c r="BH465" s="501"/>
      <c r="BI465" s="501"/>
      <c r="BJ465" s="501"/>
    </row>
    <row r="466" spans="1:62" ht="15.75" customHeight="1">
      <c r="A466" s="517" t="s">
        <v>466</v>
      </c>
      <c r="B466" s="498"/>
      <c r="C466" s="721" t="s">
        <v>465</v>
      </c>
      <c r="D466" s="501"/>
      <c r="E466" s="501"/>
      <c r="F466" s="501"/>
      <c r="G466" s="501"/>
      <c r="H466" s="501"/>
      <c r="I466" s="501"/>
      <c r="J466" s="501"/>
      <c r="K466" s="501"/>
      <c r="L466" s="501"/>
      <c r="M466" s="501"/>
      <c r="N466" s="501"/>
      <c r="O466" s="501"/>
      <c r="P466" s="501"/>
      <c r="Q466" s="501"/>
      <c r="R466" s="501"/>
      <c r="S466" s="501"/>
      <c r="T466" s="501"/>
      <c r="U466" s="501"/>
      <c r="V466" s="592"/>
      <c r="W466" s="751"/>
      <c r="X466" s="751"/>
      <c r="Y466" s="751"/>
      <c r="Z466" s="800"/>
      <c r="AA466" s="751"/>
      <c r="AB466" s="751"/>
      <c r="AC466" s="800"/>
      <c r="AD466" s="760"/>
      <c r="AE466" s="751"/>
      <c r="AF466" s="800"/>
      <c r="AG466" s="760"/>
      <c r="AH466" s="754">
        <f t="shared" ref="AH466:AH480" si="119">AF466-Z466</f>
        <v>0</v>
      </c>
      <c r="AI466" s="755"/>
      <c r="AJ466" s="760"/>
      <c r="AK466" s="751"/>
      <c r="AL466" s="800"/>
      <c r="AM466" s="801"/>
      <c r="AN466" s="754">
        <f t="shared" ref="AN466:AN482" si="120">AF466-AL466</f>
        <v>0</v>
      </c>
      <c r="AO466" s="802">
        <f t="shared" si="118"/>
        <v>0</v>
      </c>
      <c r="AP466" s="501"/>
      <c r="AQ466" s="501"/>
      <c r="AR466" s="501"/>
      <c r="AS466" s="501"/>
      <c r="AT466" s="501"/>
      <c r="AU466" s="501"/>
      <c r="AV466" s="501"/>
      <c r="AW466" s="501"/>
      <c r="AX466" s="501"/>
      <c r="AY466" s="501"/>
      <c r="AZ466" s="501"/>
      <c r="BA466" s="501"/>
      <c r="BB466" s="501"/>
      <c r="BC466" s="501"/>
      <c r="BD466" s="501"/>
      <c r="BE466" s="501"/>
      <c r="BF466" s="501"/>
      <c r="BG466" s="501"/>
      <c r="BH466" s="501"/>
      <c r="BI466" s="501"/>
      <c r="BJ466" s="501"/>
    </row>
    <row r="467" spans="1:62" ht="15.75" customHeight="1">
      <c r="A467" s="517" t="s">
        <v>65</v>
      </c>
      <c r="B467" s="498"/>
      <c r="C467" s="721" t="s">
        <v>465</v>
      </c>
      <c r="D467" s="501"/>
      <c r="E467" s="501"/>
      <c r="F467" s="501"/>
      <c r="G467" s="501"/>
      <c r="H467" s="501"/>
      <c r="I467" s="501"/>
      <c r="J467" s="501"/>
      <c r="K467" s="501"/>
      <c r="L467" s="501"/>
      <c r="M467" s="501"/>
      <c r="N467" s="501"/>
      <c r="O467" s="501"/>
      <c r="P467" s="501"/>
      <c r="Q467" s="501"/>
      <c r="R467" s="501"/>
      <c r="S467" s="501"/>
      <c r="T467" s="501"/>
      <c r="U467" s="501"/>
      <c r="V467" s="766" t="s">
        <v>65</v>
      </c>
      <c r="W467" s="767"/>
      <c r="X467" s="768">
        <f>Z467/+Z406</f>
        <v>0.91025385720345064</v>
      </c>
      <c r="Y467" s="767"/>
      <c r="Z467" s="769">
        <f>Z418+Z432+Z451+Z465</f>
        <v>590157.72403397283</v>
      </c>
      <c r="AA467" s="768"/>
      <c r="AB467" s="767"/>
      <c r="AC467" s="769"/>
      <c r="AD467" s="770">
        <f>AF467/AF406</f>
        <v>0.96731316839298287</v>
      </c>
      <c r="AE467" s="767"/>
      <c r="AF467" s="769">
        <f>AF418+AF432+AF451+AF465</f>
        <v>592366.14</v>
      </c>
      <c r="AG467" s="776"/>
      <c r="AH467" s="772">
        <f t="shared" si="119"/>
        <v>2208.4159660271835</v>
      </c>
      <c r="AI467" s="768">
        <f>AH467/Z467</f>
        <v>3.7420775431553184E-3</v>
      </c>
      <c r="AJ467" s="770">
        <f>IF($AL$406=0,0,AL467/$AL$406)</f>
        <v>0.8872128945489669</v>
      </c>
      <c r="AK467" s="768"/>
      <c r="AL467" s="769">
        <f>AL418+AL432+AL451+AL465</f>
        <v>620417.64999999991</v>
      </c>
      <c r="AM467" s="777"/>
      <c r="AN467" s="772">
        <f t="shared" si="120"/>
        <v>-28051.509999999893</v>
      </c>
      <c r="AO467" s="749">
        <f t="shared" si="118"/>
        <v>-4.5213913562903787E-2</v>
      </c>
      <c r="AP467" s="501"/>
      <c r="AQ467" s="501"/>
      <c r="AR467" s="501"/>
      <c r="AS467" s="501"/>
      <c r="AT467" s="501"/>
      <c r="AU467" s="501"/>
      <c r="AV467" s="501"/>
      <c r="AW467" s="501"/>
      <c r="AX467" s="501"/>
      <c r="AY467" s="501"/>
      <c r="AZ467" s="501"/>
      <c r="BA467" s="501"/>
      <c r="BB467" s="501"/>
      <c r="BC467" s="501"/>
      <c r="BD467" s="501"/>
      <c r="BE467" s="501"/>
      <c r="BF467" s="501"/>
      <c r="BG467" s="501"/>
      <c r="BH467" s="501"/>
      <c r="BI467" s="501"/>
      <c r="BJ467" s="501"/>
    </row>
    <row r="468" spans="1:62" ht="15.75" customHeight="1">
      <c r="A468" s="517" t="s">
        <v>182</v>
      </c>
      <c r="B468" s="498"/>
      <c r="C468" s="721" t="s">
        <v>465</v>
      </c>
      <c r="D468" s="501"/>
      <c r="E468" s="501"/>
      <c r="F468" s="501"/>
      <c r="G468" s="501"/>
      <c r="H468" s="501"/>
      <c r="I468" s="501"/>
      <c r="J468" s="501"/>
      <c r="K468" s="501"/>
      <c r="L468" s="501"/>
      <c r="M468" s="501"/>
      <c r="N468" s="501"/>
      <c r="O468" s="501"/>
      <c r="P468" s="501"/>
      <c r="Q468" s="501"/>
      <c r="R468" s="501"/>
      <c r="S468" s="501"/>
      <c r="T468" s="501"/>
      <c r="U468" s="501"/>
      <c r="V468" s="592" t="s">
        <v>182</v>
      </c>
      <c r="W468" s="794"/>
      <c r="X468" s="794"/>
      <c r="Y468" s="751"/>
      <c r="Z468" s="780">
        <f t="array" ref="Z468">+INDEX('[5]Budget original'!$A$2:$AO$500,MATCH($A468,'[5]Budget original'!$A$2:$A$500,0),MATCH(F$2,'[5]Budget original'!$A$2:$AO$2,0))</f>
        <v>1091.5</v>
      </c>
      <c r="AA468" s="803"/>
      <c r="AB468" s="804"/>
      <c r="AC468" s="780"/>
      <c r="AD468" s="805"/>
      <c r="AE468" s="804"/>
      <c r="AF468" s="752">
        <f>-SUMIFS([5]BV_Data_An_Cour!$O:$O,[5]BV_Data_An_Cour!$V:$V,$V468)</f>
        <v>58975.7</v>
      </c>
      <c r="AG468" s="806"/>
      <c r="AH468" s="754">
        <f t="shared" si="119"/>
        <v>57884.2</v>
      </c>
      <c r="AI468" s="797">
        <f>IF(AH468=0,0,AH468/Z468)</f>
        <v>53.031791113147044</v>
      </c>
      <c r="AJ468" s="805"/>
      <c r="AK468" s="803"/>
      <c r="AL468" s="807">
        <f>-SUMIFS([5]BV_Data_An_Prec!$O:$O,[5]BV_Data_An_Prec!$V:$V,$V468)</f>
        <v>69252.02</v>
      </c>
      <c r="AM468" s="808"/>
      <c r="AN468" s="754">
        <f t="shared" si="120"/>
        <v>-10276.320000000007</v>
      </c>
      <c r="AO468" s="761">
        <f t="shared" si="118"/>
        <v>-0.14839018414192115</v>
      </c>
      <c r="AP468" s="501"/>
      <c r="AQ468" s="501"/>
      <c r="AR468" s="501"/>
      <c r="AS468" s="501"/>
      <c r="AT468" s="501"/>
      <c r="AU468" s="501"/>
      <c r="AV468" s="501"/>
      <c r="AW468" s="501"/>
      <c r="AX468" s="501"/>
      <c r="AY468" s="501"/>
      <c r="AZ468" s="501"/>
      <c r="BA468" s="501"/>
      <c r="BB468" s="501"/>
      <c r="BC468" s="501"/>
      <c r="BD468" s="501"/>
      <c r="BE468" s="501"/>
      <c r="BF468" s="501"/>
      <c r="BG468" s="501"/>
      <c r="BH468" s="501"/>
      <c r="BI468" s="501"/>
      <c r="BJ468" s="501"/>
    </row>
    <row r="469" spans="1:62" ht="15.75" customHeight="1">
      <c r="A469" s="517" t="s">
        <v>69</v>
      </c>
      <c r="B469" s="498"/>
      <c r="C469" s="721" t="s">
        <v>465</v>
      </c>
      <c r="D469" s="501"/>
      <c r="E469" s="501"/>
      <c r="F469" s="501"/>
      <c r="G469" s="501"/>
      <c r="H469" s="501"/>
      <c r="I469" s="501"/>
      <c r="J469" s="501"/>
      <c r="K469" s="501"/>
      <c r="L469" s="501"/>
      <c r="M469" s="501"/>
      <c r="N469" s="501"/>
      <c r="O469" s="501"/>
      <c r="P469" s="501"/>
      <c r="Q469" s="501"/>
      <c r="R469" s="501"/>
      <c r="S469" s="501"/>
      <c r="T469" s="501"/>
      <c r="U469" s="501"/>
      <c r="V469" s="592" t="s">
        <v>69</v>
      </c>
      <c r="W469" s="751"/>
      <c r="X469" s="751"/>
      <c r="Y469" s="751"/>
      <c r="Z469" s="752">
        <f t="shared" ref="Z469:Z475" si="121">+SUMIF($C:$C,$V469,F:F)</f>
        <v>62181.079922459692</v>
      </c>
      <c r="AA469" s="793"/>
      <c r="AB469" s="754"/>
      <c r="AC469" s="752"/>
      <c r="AD469" s="809"/>
      <c r="AE469" s="810"/>
      <c r="AF469" s="752">
        <f t="shared" ref="AF469:AF475" si="122">+SUMIF($C:$C,$V469,L:L)</f>
        <v>42698.55</v>
      </c>
      <c r="AG469" s="811"/>
      <c r="AH469" s="754">
        <f t="shared" si="119"/>
        <v>-19482.529922459689</v>
      </c>
      <c r="AI469" s="774">
        <f>IF(Z469=0,0,AH469/Z469)</f>
        <v>-0.31331925960042123</v>
      </c>
      <c r="AJ469" s="812"/>
      <c r="AK469" s="793"/>
      <c r="AL469" s="813">
        <f t="shared" ref="AL469:AL475" si="123">+SUMIF($C:$C,$V469,Q:Q)</f>
        <v>69130</v>
      </c>
      <c r="AM469" s="809"/>
      <c r="AN469" s="754">
        <f t="shared" si="120"/>
        <v>-26431.449999999997</v>
      </c>
      <c r="AO469" s="761">
        <f t="shared" si="118"/>
        <v>-0.38234413423983793</v>
      </c>
      <c r="AP469" s="501"/>
      <c r="AQ469" s="501"/>
      <c r="AR469" s="501"/>
      <c r="AS469" s="501"/>
      <c r="AT469" s="501"/>
      <c r="AU469" s="501"/>
      <c r="AV469" s="501"/>
      <c r="AW469" s="501"/>
      <c r="AX469" s="501"/>
      <c r="AY469" s="501"/>
      <c r="AZ469" s="501"/>
      <c r="BA469" s="501"/>
      <c r="BB469" s="501"/>
      <c r="BC469" s="501"/>
      <c r="BD469" s="501"/>
      <c r="BE469" s="501"/>
      <c r="BF469" s="501"/>
      <c r="BG469" s="501"/>
      <c r="BH469" s="501"/>
      <c r="BI469" s="501"/>
      <c r="BJ469" s="501"/>
    </row>
    <row r="470" spans="1:62" ht="15.75" customHeight="1">
      <c r="A470" s="517" t="s">
        <v>198</v>
      </c>
      <c r="B470" s="498"/>
      <c r="C470" s="721" t="s">
        <v>465</v>
      </c>
      <c r="D470" s="501"/>
      <c r="E470" s="501"/>
      <c r="F470" s="501"/>
      <c r="G470" s="501"/>
      <c r="H470" s="501"/>
      <c r="I470" s="501"/>
      <c r="J470" s="501"/>
      <c r="K470" s="501"/>
      <c r="L470" s="501"/>
      <c r="M470" s="501"/>
      <c r="N470" s="501"/>
      <c r="O470" s="501"/>
      <c r="P470" s="501"/>
      <c r="Q470" s="501"/>
      <c r="R470" s="501"/>
      <c r="S470" s="501"/>
      <c r="T470" s="501"/>
      <c r="U470" s="501"/>
      <c r="V470" s="592" t="s">
        <v>198</v>
      </c>
      <c r="W470" s="751"/>
      <c r="X470" s="751"/>
      <c r="Y470" s="751"/>
      <c r="Z470" s="752">
        <f t="shared" si="121"/>
        <v>0</v>
      </c>
      <c r="AA470" s="793"/>
      <c r="AB470" s="794"/>
      <c r="AC470" s="752"/>
      <c r="AD470" s="812"/>
      <c r="AF470" s="752">
        <f t="shared" si="122"/>
        <v>0</v>
      </c>
      <c r="AG470" s="811"/>
      <c r="AH470" s="754">
        <f t="shared" si="119"/>
        <v>0</v>
      </c>
      <c r="AI470" s="774">
        <f t="shared" ref="AI470:AI479" si="124">IF(AH470=0,0,AH470/Z470)</f>
        <v>0</v>
      </c>
      <c r="AJ470" s="812"/>
      <c r="AK470" s="793"/>
      <c r="AL470" s="813">
        <f t="shared" si="123"/>
        <v>0</v>
      </c>
      <c r="AM470" s="809"/>
      <c r="AN470" s="754">
        <f t="shared" si="120"/>
        <v>0</v>
      </c>
      <c r="AO470" s="761">
        <f t="shared" si="118"/>
        <v>0</v>
      </c>
      <c r="AP470" s="501"/>
      <c r="AQ470" s="501"/>
      <c r="AR470" s="501"/>
      <c r="AS470" s="501"/>
      <c r="AT470" s="501"/>
      <c r="AU470" s="501"/>
      <c r="AV470" s="501"/>
      <c r="AW470" s="501"/>
      <c r="AX470" s="501"/>
      <c r="AY470" s="501"/>
      <c r="AZ470" s="501"/>
      <c r="BA470" s="501"/>
      <c r="BB470" s="501"/>
      <c r="BC470" s="501"/>
      <c r="BD470" s="501"/>
      <c r="BE470" s="501"/>
      <c r="BF470" s="501"/>
      <c r="BG470" s="501"/>
      <c r="BH470" s="501"/>
      <c r="BI470" s="501"/>
      <c r="BJ470" s="501"/>
    </row>
    <row r="471" spans="1:62" ht="15.75" customHeight="1">
      <c r="A471" s="517" t="s">
        <v>195</v>
      </c>
      <c r="B471" s="498"/>
      <c r="C471" s="721" t="s">
        <v>465</v>
      </c>
      <c r="D471" s="501"/>
      <c r="E471" s="501"/>
      <c r="F471" s="501"/>
      <c r="G471" s="501"/>
      <c r="H471" s="501"/>
      <c r="I471" s="501"/>
      <c r="J471" s="501"/>
      <c r="K471" s="501"/>
      <c r="L471" s="501"/>
      <c r="M471" s="501"/>
      <c r="N471" s="501"/>
      <c r="O471" s="501"/>
      <c r="P471" s="501"/>
      <c r="Q471" s="501"/>
      <c r="R471" s="501"/>
      <c r="S471" s="501"/>
      <c r="T471" s="501"/>
      <c r="U471" s="501"/>
      <c r="V471" s="592" t="s">
        <v>195</v>
      </c>
      <c r="W471" s="751"/>
      <c r="X471" s="751"/>
      <c r="Y471" s="751"/>
      <c r="Z471" s="752">
        <f t="shared" si="121"/>
        <v>0</v>
      </c>
      <c r="AA471" s="793"/>
      <c r="AB471" s="794"/>
      <c r="AC471" s="752"/>
      <c r="AD471" s="812"/>
      <c r="AE471" s="794"/>
      <c r="AF471" s="752">
        <f t="shared" si="122"/>
        <v>0</v>
      </c>
      <c r="AG471" s="811"/>
      <c r="AH471" s="754">
        <f t="shared" si="119"/>
        <v>0</v>
      </c>
      <c r="AI471" s="774">
        <f t="shared" si="124"/>
        <v>0</v>
      </c>
      <c r="AJ471" s="812"/>
      <c r="AK471" s="793"/>
      <c r="AL471" s="813">
        <f t="shared" si="123"/>
        <v>0</v>
      </c>
      <c r="AM471" s="809"/>
      <c r="AN471" s="754">
        <f t="shared" si="120"/>
        <v>0</v>
      </c>
      <c r="AO471" s="761">
        <f t="shared" si="118"/>
        <v>0</v>
      </c>
      <c r="AP471" s="501"/>
      <c r="AQ471" s="501"/>
      <c r="AR471" s="501"/>
      <c r="AS471" s="501"/>
      <c r="AT471" s="501"/>
      <c r="AU471" s="501"/>
      <c r="AV471" s="501"/>
      <c r="AW471" s="501"/>
      <c r="AX471" s="501"/>
      <c r="AY471" s="501"/>
      <c r="AZ471" s="501"/>
      <c r="BA471" s="501"/>
      <c r="BB471" s="501"/>
      <c r="BC471" s="501"/>
      <c r="BD471" s="501"/>
      <c r="BE471" s="501"/>
      <c r="BF471" s="501"/>
      <c r="BG471" s="501"/>
      <c r="BH471" s="501"/>
      <c r="BI471" s="501"/>
      <c r="BJ471" s="501"/>
    </row>
    <row r="472" spans="1:62" ht="15.75" customHeight="1">
      <c r="A472" s="517" t="s">
        <v>68</v>
      </c>
      <c r="B472" s="498"/>
      <c r="C472" s="721" t="s">
        <v>465</v>
      </c>
      <c r="D472" s="501"/>
      <c r="E472" s="501"/>
      <c r="F472" s="501"/>
      <c r="G472" s="501"/>
      <c r="H472" s="501"/>
      <c r="I472" s="501"/>
      <c r="J472" s="501"/>
      <c r="K472" s="501"/>
      <c r="L472" s="501"/>
      <c r="M472" s="501"/>
      <c r="N472" s="501"/>
      <c r="O472" s="501"/>
      <c r="P472" s="501"/>
      <c r="Q472" s="501"/>
      <c r="R472" s="501"/>
      <c r="S472" s="501"/>
      <c r="T472" s="501"/>
      <c r="U472" s="501"/>
      <c r="V472" s="592" t="s">
        <v>68</v>
      </c>
      <c r="W472" s="751"/>
      <c r="X472" s="751"/>
      <c r="Y472" s="751"/>
      <c r="Z472" s="752">
        <f t="shared" si="121"/>
        <v>0</v>
      </c>
      <c r="AA472" s="793"/>
      <c r="AB472" s="794"/>
      <c r="AC472" s="752"/>
      <c r="AD472" s="812"/>
      <c r="AE472" s="794"/>
      <c r="AF472" s="752">
        <f t="shared" si="122"/>
        <v>0</v>
      </c>
      <c r="AG472" s="811"/>
      <c r="AH472" s="754">
        <f t="shared" si="119"/>
        <v>0</v>
      </c>
      <c r="AI472" s="774">
        <f t="shared" si="124"/>
        <v>0</v>
      </c>
      <c r="AJ472" s="812"/>
      <c r="AK472" s="793"/>
      <c r="AL472" s="813">
        <f t="shared" si="123"/>
        <v>0</v>
      </c>
      <c r="AM472" s="809"/>
      <c r="AN472" s="754">
        <f t="shared" si="120"/>
        <v>0</v>
      </c>
      <c r="AO472" s="761">
        <f t="shared" si="118"/>
        <v>0</v>
      </c>
      <c r="AP472" s="501"/>
      <c r="AQ472" s="501"/>
      <c r="AR472" s="501"/>
      <c r="AS472" s="501"/>
      <c r="AT472" s="501"/>
      <c r="AU472" s="501"/>
      <c r="AV472" s="501"/>
      <c r="AW472" s="501"/>
      <c r="AX472" s="501"/>
      <c r="AY472" s="501"/>
      <c r="AZ472" s="501"/>
      <c r="BA472" s="501"/>
      <c r="BB472" s="501"/>
      <c r="BC472" s="501"/>
      <c r="BD472" s="501"/>
      <c r="BE472" s="501"/>
      <c r="BF472" s="501"/>
      <c r="BG472" s="501"/>
      <c r="BH472" s="501"/>
      <c r="BI472" s="501"/>
      <c r="BJ472" s="501"/>
    </row>
    <row r="473" spans="1:62" ht="15.75" customHeight="1">
      <c r="A473" s="517" t="s">
        <v>211</v>
      </c>
      <c r="B473" s="498"/>
      <c r="C473" s="721" t="s">
        <v>465</v>
      </c>
      <c r="D473" s="501"/>
      <c r="E473" s="501"/>
      <c r="F473" s="501"/>
      <c r="G473" s="501"/>
      <c r="H473" s="501"/>
      <c r="I473" s="501"/>
      <c r="J473" s="501"/>
      <c r="K473" s="501"/>
      <c r="L473" s="501"/>
      <c r="M473" s="501"/>
      <c r="N473" s="501"/>
      <c r="O473" s="501"/>
      <c r="P473" s="501"/>
      <c r="Q473" s="501"/>
      <c r="R473" s="501"/>
      <c r="S473" s="501"/>
      <c r="T473" s="501"/>
      <c r="U473" s="501"/>
      <c r="V473" s="592" t="s">
        <v>211</v>
      </c>
      <c r="W473" s="751"/>
      <c r="X473" s="751"/>
      <c r="Y473" s="751"/>
      <c r="Z473" s="752">
        <f t="shared" si="121"/>
        <v>0</v>
      </c>
      <c r="AA473" s="793"/>
      <c r="AB473" s="794"/>
      <c r="AC473" s="752"/>
      <c r="AD473" s="812"/>
      <c r="AE473" s="794"/>
      <c r="AF473" s="752">
        <f t="shared" si="122"/>
        <v>0</v>
      </c>
      <c r="AG473" s="811"/>
      <c r="AH473" s="754">
        <f t="shared" si="119"/>
        <v>0</v>
      </c>
      <c r="AI473" s="774">
        <f t="shared" si="124"/>
        <v>0</v>
      </c>
      <c r="AJ473" s="812"/>
      <c r="AK473" s="793"/>
      <c r="AL473" s="813">
        <f t="shared" si="123"/>
        <v>0</v>
      </c>
      <c r="AM473" s="809"/>
      <c r="AN473" s="754">
        <f t="shared" si="120"/>
        <v>0</v>
      </c>
      <c r="AO473" s="761">
        <f t="shared" si="118"/>
        <v>0</v>
      </c>
      <c r="AP473" s="501"/>
      <c r="AQ473" s="501"/>
      <c r="AR473" s="501"/>
      <c r="AS473" s="501"/>
      <c r="AT473" s="501"/>
      <c r="AU473" s="501"/>
      <c r="AV473" s="501"/>
      <c r="AW473" s="501"/>
      <c r="AX473" s="501"/>
      <c r="AY473" s="501"/>
      <c r="AZ473" s="501"/>
      <c r="BA473" s="501"/>
      <c r="BB473" s="501"/>
      <c r="BC473" s="501"/>
      <c r="BD473" s="501"/>
      <c r="BE473" s="501"/>
      <c r="BF473" s="501"/>
      <c r="BG473" s="501"/>
      <c r="BH473" s="501"/>
      <c r="BI473" s="501"/>
      <c r="BJ473" s="501"/>
    </row>
    <row r="474" spans="1:62" ht="15.75" customHeight="1">
      <c r="A474" s="517" t="s">
        <v>81</v>
      </c>
      <c r="B474" s="498"/>
      <c r="C474" s="721" t="s">
        <v>465</v>
      </c>
      <c r="D474" s="501"/>
      <c r="E474" s="501"/>
      <c r="F474" s="501"/>
      <c r="G474" s="501"/>
      <c r="H474" s="501"/>
      <c r="I474" s="501"/>
      <c r="J474" s="501"/>
      <c r="K474" s="501"/>
      <c r="L474" s="501"/>
      <c r="M474" s="501"/>
      <c r="N474" s="501"/>
      <c r="O474" s="501"/>
      <c r="P474" s="501"/>
      <c r="Q474" s="501"/>
      <c r="R474" s="501"/>
      <c r="S474" s="501"/>
      <c r="T474" s="501"/>
      <c r="U474" s="501"/>
      <c r="V474" s="592" t="s">
        <v>81</v>
      </c>
      <c r="W474" s="751"/>
      <c r="X474" s="751"/>
      <c r="Y474" s="751"/>
      <c r="Z474" s="752">
        <f t="shared" si="121"/>
        <v>0</v>
      </c>
      <c r="AA474" s="793"/>
      <c r="AB474" s="794"/>
      <c r="AC474" s="752"/>
      <c r="AD474" s="812"/>
      <c r="AE474" s="794"/>
      <c r="AF474" s="752">
        <f t="shared" si="122"/>
        <v>0</v>
      </c>
      <c r="AG474" s="811"/>
      <c r="AH474" s="754">
        <f t="shared" si="119"/>
        <v>0</v>
      </c>
      <c r="AI474" s="774">
        <f t="shared" si="124"/>
        <v>0</v>
      </c>
      <c r="AJ474" s="812"/>
      <c r="AK474" s="793"/>
      <c r="AL474" s="813">
        <f t="shared" si="123"/>
        <v>0</v>
      </c>
      <c r="AM474" s="809"/>
      <c r="AN474" s="754">
        <f t="shared" si="120"/>
        <v>0</v>
      </c>
      <c r="AO474" s="761">
        <f t="shared" si="118"/>
        <v>0</v>
      </c>
      <c r="AP474" s="501"/>
      <c r="AQ474" s="501"/>
      <c r="AR474" s="501"/>
      <c r="AS474" s="501"/>
      <c r="AT474" s="501"/>
      <c r="AU474" s="501"/>
      <c r="AV474" s="501"/>
      <c r="AW474" s="501"/>
      <c r="AX474" s="501"/>
      <c r="AY474" s="501"/>
      <c r="AZ474" s="501"/>
      <c r="BA474" s="501"/>
      <c r="BB474" s="501"/>
      <c r="BC474" s="501"/>
      <c r="BD474" s="501"/>
      <c r="BE474" s="501"/>
      <c r="BF474" s="501"/>
      <c r="BG474" s="501"/>
      <c r="BH474" s="501"/>
      <c r="BI474" s="501"/>
      <c r="BJ474" s="501"/>
    </row>
    <row r="475" spans="1:62" ht="15.75" customHeight="1">
      <c r="A475" s="517" t="s">
        <v>82</v>
      </c>
      <c r="B475" s="498"/>
      <c r="C475" s="721" t="s">
        <v>465</v>
      </c>
      <c r="D475" s="501"/>
      <c r="E475" s="501"/>
      <c r="F475" s="501"/>
      <c r="G475" s="501"/>
      <c r="H475" s="501"/>
      <c r="I475" s="501"/>
      <c r="J475" s="501"/>
      <c r="K475" s="501"/>
      <c r="L475" s="501"/>
      <c r="M475" s="501"/>
      <c r="N475" s="501"/>
      <c r="O475" s="501"/>
      <c r="P475" s="501"/>
      <c r="Q475" s="501"/>
      <c r="R475" s="501"/>
      <c r="S475" s="501"/>
      <c r="T475" s="501"/>
      <c r="U475" s="501"/>
      <c r="V475" s="592" t="s">
        <v>82</v>
      </c>
      <c r="W475" s="751"/>
      <c r="X475" s="751"/>
      <c r="Y475" s="751"/>
      <c r="Z475" s="752">
        <f t="shared" si="121"/>
        <v>0</v>
      </c>
      <c r="AA475" s="793"/>
      <c r="AB475" s="794"/>
      <c r="AC475" s="752"/>
      <c r="AD475" s="812"/>
      <c r="AE475" s="794"/>
      <c r="AF475" s="752">
        <f t="shared" si="122"/>
        <v>0</v>
      </c>
      <c r="AG475" s="811"/>
      <c r="AH475" s="754">
        <f t="shared" si="119"/>
        <v>0</v>
      </c>
      <c r="AI475" s="774">
        <f t="shared" si="124"/>
        <v>0</v>
      </c>
      <c r="AJ475" s="812"/>
      <c r="AK475" s="793"/>
      <c r="AL475" s="813">
        <f t="shared" si="123"/>
        <v>0</v>
      </c>
      <c r="AM475" s="809"/>
      <c r="AN475" s="754">
        <f t="shared" si="120"/>
        <v>0</v>
      </c>
      <c r="AO475" s="761">
        <f t="shared" si="118"/>
        <v>0</v>
      </c>
      <c r="AP475" s="501"/>
      <c r="AQ475" s="501"/>
      <c r="AR475" s="501"/>
      <c r="AS475" s="501"/>
      <c r="AT475" s="501"/>
      <c r="AU475" s="501"/>
      <c r="AV475" s="501"/>
      <c r="AW475" s="501"/>
      <c r="AX475" s="501"/>
      <c r="AY475" s="501"/>
      <c r="AZ475" s="501"/>
      <c r="BA475" s="501"/>
      <c r="BB475" s="501"/>
      <c r="BC475" s="501"/>
      <c r="BD475" s="501"/>
      <c r="BE475" s="501"/>
      <c r="BF475" s="501"/>
      <c r="BG475" s="501"/>
      <c r="BH475" s="501"/>
      <c r="BI475" s="501"/>
      <c r="BJ475" s="501"/>
    </row>
    <row r="476" spans="1:62" ht="15.75" hidden="1" customHeight="1">
      <c r="A476" s="517" t="s">
        <v>20</v>
      </c>
      <c r="B476" s="498"/>
      <c r="C476" s="721" t="s">
        <v>465</v>
      </c>
      <c r="D476" s="501"/>
      <c r="E476" s="501"/>
      <c r="F476" s="501"/>
      <c r="G476" s="501"/>
      <c r="H476" s="501"/>
      <c r="I476" s="501"/>
      <c r="J476" s="501"/>
      <c r="K476" s="501"/>
      <c r="L476" s="501"/>
      <c r="M476" s="501"/>
      <c r="N476" s="501"/>
      <c r="O476" s="501"/>
      <c r="P476" s="501"/>
      <c r="Q476" s="501"/>
      <c r="R476" s="501"/>
      <c r="S476" s="501"/>
      <c r="T476" s="501"/>
      <c r="U476" s="501"/>
      <c r="V476" s="592" t="s">
        <v>20</v>
      </c>
      <c r="W476" s="751"/>
      <c r="X476" s="751"/>
      <c r="Y476" s="751"/>
      <c r="Z476" s="752">
        <f t="shared" ref="Z476:Z478" si="125">IFERROR(SUMIF($C:$C,$V476,F:F),0)</f>
        <v>0</v>
      </c>
      <c r="AA476" s="751"/>
      <c r="AB476" s="751"/>
      <c r="AC476" s="752"/>
      <c r="AD476" s="760"/>
      <c r="AE476" s="759"/>
      <c r="AF476" s="752">
        <f t="shared" ref="AF476:AF478" si="126">IFERROR(SUMIF($C:$C,$V476,L:L),0)</f>
        <v>0</v>
      </c>
      <c r="AG476" s="753"/>
      <c r="AH476" s="754">
        <f t="shared" si="119"/>
        <v>0</v>
      </c>
      <c r="AI476" s="755">
        <f t="shared" si="124"/>
        <v>0</v>
      </c>
      <c r="AJ476" s="760"/>
      <c r="AK476" s="751"/>
      <c r="AL476" s="752">
        <f t="shared" ref="AL476:AL478" si="127">IFERROR(SUMIF($C:$C,$V476,Q:Q),0)</f>
        <v>0</v>
      </c>
      <c r="AM476" s="809"/>
      <c r="AN476" s="754">
        <f t="shared" si="120"/>
        <v>0</v>
      </c>
      <c r="AO476" s="761">
        <f t="shared" si="118"/>
        <v>0</v>
      </c>
      <c r="AP476" s="501"/>
      <c r="AQ476" s="501"/>
      <c r="AR476" s="501"/>
      <c r="AS476" s="501"/>
      <c r="AT476" s="501"/>
      <c r="AU476" s="501"/>
      <c r="AV476" s="501"/>
      <c r="AW476" s="501"/>
      <c r="AX476" s="501"/>
      <c r="AY476" s="501"/>
      <c r="AZ476" s="501"/>
      <c r="BA476" s="501"/>
      <c r="BB476" s="501"/>
      <c r="BC476" s="501"/>
      <c r="BD476" s="501"/>
      <c r="BE476" s="501"/>
      <c r="BF476" s="501"/>
      <c r="BG476" s="501"/>
      <c r="BH476" s="501"/>
      <c r="BI476" s="501"/>
      <c r="BJ476" s="501"/>
    </row>
    <row r="477" spans="1:62" ht="15.75" hidden="1" customHeight="1">
      <c r="A477" s="517" t="s">
        <v>20</v>
      </c>
      <c r="B477" s="498"/>
      <c r="C477" s="721" t="s">
        <v>465</v>
      </c>
      <c r="D477" s="501"/>
      <c r="E477" s="501"/>
      <c r="F477" s="501"/>
      <c r="G477" s="501"/>
      <c r="H477" s="501"/>
      <c r="I477" s="501"/>
      <c r="J477" s="501"/>
      <c r="K477" s="501"/>
      <c r="L477" s="501"/>
      <c r="M477" s="501"/>
      <c r="N477" s="501"/>
      <c r="O477" s="501"/>
      <c r="P477" s="501"/>
      <c r="Q477" s="501"/>
      <c r="R477" s="501"/>
      <c r="S477" s="501"/>
      <c r="T477" s="501"/>
      <c r="U477" s="501"/>
      <c r="V477" s="592" t="s">
        <v>20</v>
      </c>
      <c r="W477" s="751"/>
      <c r="X477" s="751"/>
      <c r="Y477" s="751"/>
      <c r="Z477" s="752">
        <f t="shared" si="125"/>
        <v>0</v>
      </c>
      <c r="AA477" s="751"/>
      <c r="AB477" s="751"/>
      <c r="AC477" s="752"/>
      <c r="AD477" s="760"/>
      <c r="AE477" s="759"/>
      <c r="AF477" s="752">
        <f t="shared" si="126"/>
        <v>0</v>
      </c>
      <c r="AG477" s="753"/>
      <c r="AH477" s="754">
        <f t="shared" si="119"/>
        <v>0</v>
      </c>
      <c r="AI477" s="755">
        <f t="shared" si="124"/>
        <v>0</v>
      </c>
      <c r="AJ477" s="760"/>
      <c r="AK477" s="751"/>
      <c r="AL477" s="752">
        <f t="shared" si="127"/>
        <v>0</v>
      </c>
      <c r="AM477" s="809"/>
      <c r="AN477" s="754">
        <f t="shared" si="120"/>
        <v>0</v>
      </c>
      <c r="AO477" s="761">
        <f t="shared" si="118"/>
        <v>0</v>
      </c>
      <c r="AP477" s="501"/>
      <c r="AQ477" s="501"/>
      <c r="AR477" s="501"/>
      <c r="AS477" s="501"/>
      <c r="AT477" s="501"/>
      <c r="AU477" s="501"/>
      <c r="AV477" s="501"/>
      <c r="AW477" s="501"/>
      <c r="AX477" s="501"/>
      <c r="AY477" s="501"/>
      <c r="AZ477" s="501"/>
      <c r="BA477" s="501"/>
      <c r="BB477" s="501"/>
      <c r="BC477" s="501"/>
      <c r="BD477" s="501"/>
      <c r="BE477" s="501"/>
      <c r="BF477" s="501"/>
      <c r="BG477" s="501"/>
      <c r="BH477" s="501"/>
      <c r="BI477" s="501"/>
      <c r="BJ477" s="501"/>
    </row>
    <row r="478" spans="1:62" ht="15.75" hidden="1" customHeight="1">
      <c r="A478" s="517" t="s">
        <v>20</v>
      </c>
      <c r="B478" s="498"/>
      <c r="C478" s="721" t="s">
        <v>465</v>
      </c>
      <c r="D478" s="501"/>
      <c r="E478" s="501"/>
      <c r="F478" s="501"/>
      <c r="G478" s="501"/>
      <c r="H478" s="501"/>
      <c r="I478" s="501"/>
      <c r="J478" s="501"/>
      <c r="K478" s="501"/>
      <c r="L478" s="501"/>
      <c r="M478" s="501"/>
      <c r="N478" s="501"/>
      <c r="O478" s="501"/>
      <c r="P478" s="501"/>
      <c r="Q478" s="501"/>
      <c r="R478" s="501"/>
      <c r="S478" s="501"/>
      <c r="T478" s="501"/>
      <c r="U478" s="501"/>
      <c r="V478" s="592" t="s">
        <v>20</v>
      </c>
      <c r="W478" s="751"/>
      <c r="X478" s="751"/>
      <c r="Y478" s="751"/>
      <c r="Z478" s="752">
        <f t="shared" si="125"/>
        <v>0</v>
      </c>
      <c r="AA478" s="751"/>
      <c r="AB478" s="751"/>
      <c r="AC478" s="752"/>
      <c r="AD478" s="760"/>
      <c r="AE478" s="759"/>
      <c r="AF478" s="752">
        <f t="shared" si="126"/>
        <v>0</v>
      </c>
      <c r="AG478" s="753"/>
      <c r="AH478" s="754">
        <f t="shared" si="119"/>
        <v>0</v>
      </c>
      <c r="AI478" s="755">
        <f t="shared" si="124"/>
        <v>0</v>
      </c>
      <c r="AJ478" s="760"/>
      <c r="AK478" s="751"/>
      <c r="AL478" s="752">
        <f t="shared" si="127"/>
        <v>0</v>
      </c>
      <c r="AM478" s="809"/>
      <c r="AN478" s="754">
        <f t="shared" si="120"/>
        <v>0</v>
      </c>
      <c r="AO478" s="761">
        <f t="shared" si="118"/>
        <v>0</v>
      </c>
      <c r="AP478" s="501"/>
      <c r="AQ478" s="501"/>
      <c r="AR478" s="501"/>
      <c r="AS478" s="501"/>
      <c r="AT478" s="501"/>
      <c r="AU478" s="501"/>
      <c r="AV478" s="501"/>
      <c r="AW478" s="501"/>
      <c r="AX478" s="501"/>
      <c r="AY478" s="501"/>
      <c r="AZ478" s="501"/>
      <c r="BA478" s="501"/>
      <c r="BB478" s="501"/>
      <c r="BC478" s="501"/>
      <c r="BD478" s="501"/>
      <c r="BE478" s="501"/>
      <c r="BF478" s="501"/>
      <c r="BG478" s="501"/>
      <c r="BH478" s="501"/>
      <c r="BI478" s="501"/>
      <c r="BJ478" s="501"/>
    </row>
    <row r="479" spans="1:62" ht="15.75" customHeight="1">
      <c r="A479" s="517" t="s">
        <v>70</v>
      </c>
      <c r="B479" s="498"/>
      <c r="C479" s="721" t="s">
        <v>465</v>
      </c>
      <c r="D479" s="501"/>
      <c r="E479" s="501"/>
      <c r="F479" s="501"/>
      <c r="G479" s="501"/>
      <c r="H479" s="501"/>
      <c r="I479" s="501"/>
      <c r="J479" s="501"/>
      <c r="K479" s="501"/>
      <c r="L479" s="501"/>
      <c r="M479" s="501"/>
      <c r="N479" s="501"/>
      <c r="O479" s="501"/>
      <c r="P479" s="501"/>
      <c r="Q479" s="501"/>
      <c r="R479" s="501"/>
      <c r="S479" s="501"/>
      <c r="T479" s="501"/>
      <c r="U479" s="501"/>
      <c r="V479" s="593" t="s">
        <v>70</v>
      </c>
      <c r="W479" s="751"/>
      <c r="X479" s="751"/>
      <c r="Y479" s="751"/>
      <c r="Z479" s="752">
        <f>+SUMIF($C:$C,$V479,F:F)</f>
        <v>32518.652705280001</v>
      </c>
      <c r="AA479" s="793"/>
      <c r="AB479" s="794"/>
      <c r="AC479" s="752"/>
      <c r="AD479" s="814">
        <f>AF479/399</f>
        <v>84.977443609022558</v>
      </c>
      <c r="AE479" s="793">
        <f>(AF479/399)/(J13+J15+J96)</f>
        <v>1.1330325814536342</v>
      </c>
      <c r="AF479" s="752">
        <f>+SUMIF($C:$C,$V479,L:L)</f>
        <v>33906</v>
      </c>
      <c r="AG479" s="811"/>
      <c r="AH479" s="754">
        <f t="shared" si="119"/>
        <v>1387.3472947199989</v>
      </c>
      <c r="AI479" s="774">
        <f t="shared" si="124"/>
        <v>4.2663123447753956E-2</v>
      </c>
      <c r="AJ479" s="812"/>
      <c r="AK479" s="793"/>
      <c r="AL479" s="813">
        <f>+SUMIF($C:$C,$V479,Q:Q)</f>
        <v>34565</v>
      </c>
      <c r="AM479" s="809"/>
      <c r="AN479" s="754">
        <f t="shared" si="120"/>
        <v>-659</v>
      </c>
      <c r="AO479" s="761">
        <f t="shared" si="118"/>
        <v>-1.9065528714017069E-2</v>
      </c>
      <c r="AP479" s="501"/>
      <c r="AQ479" s="501"/>
      <c r="AR479" s="501"/>
      <c r="AS479" s="501"/>
      <c r="AT479" s="501"/>
      <c r="AU479" s="501"/>
      <c r="AV479" s="501"/>
      <c r="AW479" s="501"/>
      <c r="AX479" s="501"/>
      <c r="AY479" s="501"/>
      <c r="AZ479" s="501"/>
      <c r="BA479" s="501"/>
      <c r="BB479" s="501"/>
      <c r="BC479" s="501"/>
      <c r="BD479" s="501"/>
      <c r="BE479" s="501"/>
      <c r="BF479" s="501"/>
      <c r="BG479" s="501"/>
      <c r="BH479" s="501"/>
      <c r="BI479" s="501"/>
      <c r="BJ479" s="501"/>
    </row>
    <row r="480" spans="1:62" ht="15.75" customHeight="1">
      <c r="A480" s="517" t="s">
        <v>183</v>
      </c>
      <c r="B480" s="498"/>
      <c r="C480" s="721" t="s">
        <v>465</v>
      </c>
      <c r="D480" s="501"/>
      <c r="E480" s="501"/>
      <c r="F480" s="501"/>
      <c r="G480" s="501"/>
      <c r="H480" s="501"/>
      <c r="I480" s="501"/>
      <c r="J480" s="501"/>
      <c r="K480" s="501"/>
      <c r="L480" s="501"/>
      <c r="M480" s="501"/>
      <c r="N480" s="501"/>
      <c r="O480" s="501"/>
      <c r="P480" s="501"/>
      <c r="Q480" s="501"/>
      <c r="R480" s="501"/>
      <c r="S480" s="501"/>
      <c r="T480" s="501"/>
      <c r="U480" s="501"/>
      <c r="V480" s="766" t="s">
        <v>183</v>
      </c>
      <c r="W480" s="767"/>
      <c r="X480" s="768">
        <f>Z480/+Z406</f>
        <v>0.14774751805273956</v>
      </c>
      <c r="Y480" s="790"/>
      <c r="Z480" s="769">
        <f>SUM(Z468:Z479)</f>
        <v>95791.232627739693</v>
      </c>
      <c r="AA480" s="768"/>
      <c r="AB480" s="790"/>
      <c r="AC480" s="769"/>
      <c r="AD480" s="768">
        <f>AF480/+AF406</f>
        <v>0.22139780170252929</v>
      </c>
      <c r="AE480" s="790"/>
      <c r="AF480" s="769">
        <f>SUM(AF468:AF479)</f>
        <v>135580.25</v>
      </c>
      <c r="AG480" s="776"/>
      <c r="AH480" s="772">
        <f t="shared" si="119"/>
        <v>39789.017372260307</v>
      </c>
      <c r="AI480" s="768">
        <f>AH480/Z480</f>
        <v>0.41537222437555321</v>
      </c>
      <c r="AJ480" s="815"/>
      <c r="AK480" s="816"/>
      <c r="AL480" s="769">
        <f>SUM(AL468:AL479)</f>
        <v>172947.02000000002</v>
      </c>
      <c r="AM480" s="817"/>
      <c r="AN480" s="772">
        <f t="shared" si="120"/>
        <v>-37366.770000000019</v>
      </c>
      <c r="AO480" s="792">
        <f t="shared" si="118"/>
        <v>-0.21605905669840403</v>
      </c>
      <c r="AP480" s="501"/>
      <c r="AQ480" s="501"/>
      <c r="AR480" s="501"/>
      <c r="AS480" s="501"/>
      <c r="AT480" s="501"/>
      <c r="AU480" s="501"/>
      <c r="AV480" s="501"/>
      <c r="AW480" s="501"/>
      <c r="AX480" s="501"/>
      <c r="AY480" s="501"/>
      <c r="AZ480" s="501"/>
      <c r="BA480" s="501"/>
      <c r="BB480" s="501"/>
      <c r="BC480" s="501"/>
      <c r="BD480" s="501"/>
      <c r="BE480" s="501"/>
      <c r="BF480" s="501"/>
      <c r="BG480" s="501"/>
      <c r="BH480" s="501"/>
      <c r="BI480" s="501"/>
      <c r="BJ480" s="501"/>
    </row>
    <row r="481" spans="1:62" ht="6" customHeight="1" thickBot="1">
      <c r="A481" s="517" t="s">
        <v>466</v>
      </c>
      <c r="B481" s="498"/>
      <c r="C481" s="721" t="s">
        <v>465</v>
      </c>
      <c r="D481" s="501"/>
      <c r="E481" s="501"/>
      <c r="F481" s="501"/>
      <c r="G481" s="501"/>
      <c r="H481" s="501"/>
      <c r="I481" s="501"/>
      <c r="J481" s="501"/>
      <c r="K481" s="501"/>
      <c r="L481" s="501"/>
      <c r="M481" s="501"/>
      <c r="N481" s="501"/>
      <c r="O481" s="501"/>
      <c r="P481" s="501"/>
      <c r="Q481" s="501"/>
      <c r="R481" s="501"/>
      <c r="S481" s="501"/>
      <c r="T481" s="501"/>
      <c r="U481" s="501"/>
      <c r="V481" s="818"/>
      <c r="W481" s="819"/>
      <c r="X481" s="819"/>
      <c r="Y481" s="820"/>
      <c r="Z481" s="821"/>
      <c r="AA481" s="819"/>
      <c r="AB481" s="822"/>
      <c r="AC481" s="821"/>
      <c r="AD481" s="819"/>
      <c r="AE481" s="822"/>
      <c r="AF481" s="823"/>
      <c r="AG481" s="824"/>
      <c r="AH481" s="825"/>
      <c r="AI481" s="826"/>
      <c r="AJ481" s="827"/>
      <c r="AK481" s="828"/>
      <c r="AL481" s="823"/>
      <c r="AM481" s="829"/>
      <c r="AN481" s="825">
        <f t="shared" si="120"/>
        <v>0</v>
      </c>
      <c r="AO481" s="830">
        <f t="shared" si="118"/>
        <v>0</v>
      </c>
      <c r="AP481" s="501"/>
      <c r="AQ481" s="501"/>
      <c r="AR481" s="501"/>
      <c r="AS481" s="501"/>
      <c r="AT481" s="501"/>
      <c r="AU481" s="501"/>
      <c r="AV481" s="501"/>
      <c r="AW481" s="501"/>
      <c r="AX481" s="501"/>
      <c r="AY481" s="501"/>
      <c r="AZ481" s="501"/>
      <c r="BA481" s="501"/>
      <c r="BB481" s="501"/>
      <c r="BC481" s="501"/>
      <c r="BD481" s="501"/>
      <c r="BE481" s="501"/>
      <c r="BF481" s="501"/>
      <c r="BG481" s="501"/>
      <c r="BH481" s="501"/>
      <c r="BI481" s="501"/>
      <c r="BJ481" s="501"/>
    </row>
    <row r="482" spans="1:62" ht="15.75" customHeight="1" thickTop="1" thickBot="1">
      <c r="A482" s="517" t="s">
        <v>184</v>
      </c>
      <c r="B482" s="498"/>
      <c r="C482" s="721" t="s">
        <v>465</v>
      </c>
      <c r="D482" s="501"/>
      <c r="E482" s="501"/>
      <c r="F482" s="501"/>
      <c r="G482" s="501"/>
      <c r="H482" s="501"/>
      <c r="I482" s="501"/>
      <c r="J482" s="501"/>
      <c r="K482" s="501"/>
      <c r="L482" s="501"/>
      <c r="M482" s="501"/>
      <c r="N482" s="501"/>
      <c r="O482" s="501"/>
      <c r="P482" s="501"/>
      <c r="Q482" s="501"/>
      <c r="R482" s="501"/>
      <c r="S482" s="501"/>
      <c r="T482" s="501"/>
      <c r="U482" s="501"/>
      <c r="V482" s="831" t="s">
        <v>184</v>
      </c>
      <c r="W482" s="832"/>
      <c r="X482" s="833" t="s">
        <v>185</v>
      </c>
      <c r="Y482" s="834">
        <f>Z482/Z405</f>
        <v>3.3516899670356586E-2</v>
      </c>
      <c r="Z482" s="835">
        <f>Z406-Z467+Z480</f>
        <v>153977.61542029449</v>
      </c>
      <c r="AA482" s="833"/>
      <c r="AB482" s="834"/>
      <c r="AC482" s="835"/>
      <c r="AD482" s="833" t="s">
        <v>185</v>
      </c>
      <c r="AE482" s="834">
        <f>AF482/AF405</f>
        <v>3.3448077057872956E-2</v>
      </c>
      <c r="AF482" s="836">
        <f>AF406-AF467+AF480</f>
        <v>155597.10999999999</v>
      </c>
      <c r="AG482" s="837"/>
      <c r="AH482" s="837">
        <f>AF482-Z482</f>
        <v>1619.494579705497</v>
      </c>
      <c r="AI482" s="838">
        <f>AH482/Z482</f>
        <v>1.0517727367610898E-2</v>
      </c>
      <c r="AJ482" s="839" t="s">
        <v>185</v>
      </c>
      <c r="AK482" s="834">
        <f>IF($AL$405=0,0,AL482/$AL$405)</f>
        <v>4.9627482494704556E-2</v>
      </c>
      <c r="AL482" s="836">
        <f>AL406-AL467+AL480</f>
        <v>251817.72999999998</v>
      </c>
      <c r="AM482" s="840"/>
      <c r="AN482" s="836">
        <f t="shared" si="120"/>
        <v>-96220.62</v>
      </c>
      <c r="AO482" s="841">
        <f t="shared" si="118"/>
        <v>-0.38210423070686883</v>
      </c>
      <c r="AP482" s="501"/>
      <c r="AQ482" s="501"/>
      <c r="AR482" s="501"/>
      <c r="AS482" s="501"/>
      <c r="AT482" s="501"/>
      <c r="AU482" s="501"/>
      <c r="AV482" s="501"/>
      <c r="AW482" s="501"/>
      <c r="AX482" s="501"/>
      <c r="AY482" s="501"/>
      <c r="AZ482" s="501"/>
      <c r="BA482" s="501"/>
      <c r="BB482" s="501"/>
      <c r="BC482" s="501"/>
      <c r="BD482" s="501"/>
      <c r="BE482" s="501"/>
      <c r="BF482" s="501"/>
      <c r="BG482" s="501"/>
      <c r="BH482" s="501"/>
      <c r="BI482" s="501"/>
      <c r="BJ482" s="501"/>
    </row>
    <row r="483" spans="1:62" ht="8.25" customHeight="1" thickTop="1">
      <c r="A483" s="517" t="s">
        <v>466</v>
      </c>
      <c r="B483" s="498"/>
      <c r="C483" s="721" t="s">
        <v>465</v>
      </c>
      <c r="D483" s="501"/>
      <c r="E483" s="501"/>
      <c r="F483" s="501"/>
      <c r="G483" s="501"/>
      <c r="H483" s="501"/>
      <c r="I483" s="501"/>
      <c r="J483" s="501"/>
      <c r="K483" s="501"/>
      <c r="L483" s="501"/>
      <c r="M483" s="501"/>
      <c r="N483" s="501"/>
      <c r="O483" s="501"/>
      <c r="P483" s="501"/>
      <c r="Q483" s="501"/>
      <c r="R483" s="501"/>
      <c r="S483" s="501"/>
      <c r="T483" s="501"/>
      <c r="U483" s="501"/>
      <c r="V483" s="490"/>
      <c r="W483" s="490"/>
      <c r="X483" s="490"/>
      <c r="Y483" s="490"/>
      <c r="Z483" s="569"/>
      <c r="AA483" s="504"/>
      <c r="AB483" s="504"/>
      <c r="AC483" s="569"/>
      <c r="AD483" s="504"/>
      <c r="AE483" s="504"/>
      <c r="AF483" s="842"/>
      <c r="AG483" s="504"/>
      <c r="AH483" s="504"/>
      <c r="AI483" s="504"/>
      <c r="AJ483" s="504"/>
      <c r="AK483" s="504"/>
      <c r="AL483" s="569"/>
      <c r="AM483" s="504"/>
      <c r="AN483" s="504"/>
      <c r="AO483" s="504"/>
      <c r="AP483" s="501"/>
      <c r="AQ483" s="501"/>
      <c r="AR483" s="501"/>
      <c r="AS483" s="501"/>
      <c r="AT483" s="501"/>
      <c r="AU483" s="501"/>
      <c r="AV483" s="501"/>
      <c r="AW483" s="501"/>
      <c r="AX483" s="501"/>
      <c r="AY483" s="501"/>
      <c r="AZ483" s="501"/>
      <c r="BA483" s="501"/>
      <c r="BB483" s="501"/>
      <c r="BC483" s="501"/>
      <c r="BD483" s="501"/>
      <c r="BE483" s="501"/>
      <c r="BF483" s="501"/>
      <c r="BG483" s="501"/>
      <c r="BH483" s="501"/>
      <c r="BI483" s="501"/>
      <c r="BJ483" s="501"/>
    </row>
    <row r="484" spans="1:62" ht="18" customHeight="1">
      <c r="A484" s="517" t="s">
        <v>223</v>
      </c>
      <c r="B484" s="498"/>
      <c r="C484" s="721" t="s">
        <v>465</v>
      </c>
      <c r="D484" s="501"/>
      <c r="E484" s="501"/>
      <c r="F484" s="501"/>
      <c r="G484" s="501"/>
      <c r="H484" s="501"/>
      <c r="I484" s="501"/>
      <c r="J484" s="501"/>
      <c r="K484" s="501"/>
      <c r="L484" s="501"/>
      <c r="M484" s="501"/>
      <c r="N484" s="501"/>
      <c r="O484" s="501"/>
      <c r="P484" s="501"/>
      <c r="Q484" s="501"/>
      <c r="R484" s="501"/>
      <c r="S484" s="501"/>
      <c r="T484" s="501"/>
      <c r="U484" s="501"/>
      <c r="V484" s="843" t="str">
        <f>C1</f>
        <v>Volks</v>
      </c>
      <c r="W484" s="843"/>
      <c r="X484" s="843"/>
      <c r="Y484" s="843"/>
      <c r="Z484" s="843"/>
      <c r="AA484" s="843"/>
      <c r="AB484" s="843"/>
      <c r="AC484" s="843"/>
      <c r="AD484" s="843"/>
      <c r="AE484" s="844" t="s">
        <v>186</v>
      </c>
      <c r="AF484" s="843"/>
      <c r="AG484" s="843"/>
      <c r="AH484" s="843"/>
      <c r="AI484" s="843"/>
      <c r="AJ484" s="845"/>
      <c r="AK484" s="846"/>
      <c r="AL484" s="843"/>
      <c r="AM484" s="843"/>
      <c r="AN484" s="843"/>
      <c r="AO484" s="847" t="str">
        <f>$S$1</f>
        <v>Réalisé, Juillet 2023</v>
      </c>
      <c r="AP484" s="501"/>
      <c r="AQ484" s="501"/>
      <c r="AR484" s="501"/>
      <c r="AS484" s="501"/>
      <c r="AT484" s="501"/>
      <c r="AU484" s="501"/>
      <c r="AV484" s="501"/>
      <c r="AW484" s="501"/>
      <c r="AX484" s="501"/>
      <c r="AY484" s="501"/>
      <c r="AZ484" s="501"/>
      <c r="BA484" s="501"/>
      <c r="BB484" s="501"/>
      <c r="BC484" s="501"/>
      <c r="BD484" s="501"/>
      <c r="BE484" s="501"/>
      <c r="BF484" s="501"/>
      <c r="BG484" s="501"/>
      <c r="BH484" s="501"/>
      <c r="BI484" s="501"/>
      <c r="BJ484" s="501"/>
    </row>
    <row r="485" spans="1:62" ht="3" customHeight="1">
      <c r="A485" s="517" t="s">
        <v>466</v>
      </c>
      <c r="B485" s="498"/>
      <c r="C485" s="721" t="s">
        <v>465</v>
      </c>
      <c r="D485" s="501"/>
      <c r="E485" s="501"/>
      <c r="F485" s="501"/>
      <c r="G485" s="501"/>
      <c r="H485" s="501"/>
      <c r="I485" s="501"/>
      <c r="J485" s="501"/>
      <c r="K485" s="501"/>
      <c r="L485" s="501"/>
      <c r="M485" s="501"/>
      <c r="N485" s="501"/>
      <c r="O485" s="501"/>
      <c r="P485" s="501"/>
      <c r="Q485" s="501"/>
      <c r="R485" s="501"/>
      <c r="S485" s="501"/>
      <c r="T485" s="501"/>
      <c r="U485" s="501"/>
      <c r="V485" s="490"/>
      <c r="W485" s="490"/>
      <c r="X485" s="490"/>
      <c r="Y485" s="490"/>
      <c r="Z485" s="569"/>
      <c r="AA485" s="504"/>
      <c r="AB485" s="504"/>
      <c r="AC485" s="569"/>
      <c r="AD485" s="504"/>
      <c r="AE485" s="504"/>
      <c r="AF485" s="842"/>
      <c r="AG485" s="504"/>
      <c r="AH485" s="504"/>
      <c r="AI485" s="504"/>
      <c r="AJ485" s="504"/>
      <c r="AK485" s="504"/>
      <c r="AL485" s="569"/>
      <c r="AM485" s="504"/>
      <c r="AN485" s="504"/>
      <c r="AO485" s="504"/>
      <c r="AP485" s="501"/>
      <c r="AQ485" s="501"/>
      <c r="AR485" s="501"/>
      <c r="AS485" s="501"/>
      <c r="AT485" s="501"/>
      <c r="AU485" s="501"/>
      <c r="AV485" s="501"/>
      <c r="AW485" s="501"/>
      <c r="AX485" s="501"/>
      <c r="AY485" s="501"/>
      <c r="AZ485" s="501"/>
      <c r="BA485" s="501"/>
      <c r="BB485" s="501"/>
      <c r="BC485" s="501"/>
      <c r="BD485" s="501"/>
      <c r="BE485" s="501"/>
      <c r="BF485" s="501"/>
      <c r="BG485" s="501"/>
      <c r="BH485" s="501"/>
      <c r="BI485" s="501"/>
      <c r="BJ485" s="501"/>
    </row>
    <row r="486" spans="1:62" ht="3" customHeight="1">
      <c r="A486" s="517" t="s">
        <v>466</v>
      </c>
      <c r="B486" s="498"/>
      <c r="C486" s="721" t="s">
        <v>465</v>
      </c>
      <c r="D486" s="501"/>
      <c r="E486" s="501"/>
      <c r="F486" s="501"/>
      <c r="G486" s="501"/>
      <c r="H486" s="501"/>
      <c r="I486" s="501"/>
      <c r="J486" s="501"/>
      <c r="K486" s="501"/>
      <c r="L486" s="501"/>
      <c r="M486" s="501"/>
      <c r="N486" s="501"/>
      <c r="O486" s="501"/>
      <c r="P486" s="501"/>
      <c r="Q486" s="501"/>
      <c r="R486" s="501"/>
      <c r="S486" s="501"/>
      <c r="T486" s="501"/>
      <c r="U486" s="501"/>
      <c r="V486" s="490"/>
      <c r="W486" s="490"/>
      <c r="X486" s="490"/>
      <c r="Y486" s="490"/>
      <c r="Z486" s="569"/>
      <c r="AA486" s="504"/>
      <c r="AB486" s="504"/>
      <c r="AC486" s="569"/>
      <c r="AD486" s="504"/>
      <c r="AE486" s="504"/>
      <c r="AF486" s="842"/>
      <c r="AG486" s="504"/>
      <c r="AH486" s="504"/>
      <c r="AI486" s="504"/>
      <c r="AJ486" s="504"/>
      <c r="AK486" s="504"/>
      <c r="AL486" s="569"/>
      <c r="AM486" s="504"/>
      <c r="AN486" s="504"/>
      <c r="AO486" s="504"/>
      <c r="AP486" s="501"/>
      <c r="AQ486" s="501"/>
      <c r="AR486" s="501"/>
      <c r="AS486" s="501"/>
      <c r="AT486" s="501"/>
      <c r="AU486" s="501"/>
      <c r="AV486" s="501"/>
      <c r="AW486" s="501"/>
      <c r="AX486" s="501"/>
      <c r="AY486" s="501"/>
      <c r="AZ486" s="501"/>
      <c r="BA486" s="501"/>
      <c r="BB486" s="501"/>
      <c r="BC486" s="501"/>
      <c r="BD486" s="501"/>
      <c r="BE486" s="501"/>
      <c r="BF486" s="501"/>
      <c r="BG486" s="501"/>
      <c r="BH486" s="501"/>
      <c r="BI486" s="501"/>
      <c r="BJ486" s="501"/>
    </row>
    <row r="487" spans="1:62" ht="3" customHeight="1" thickBot="1">
      <c r="A487" s="517" t="s">
        <v>466</v>
      </c>
      <c r="B487" s="498"/>
      <c r="C487" s="721" t="s">
        <v>465</v>
      </c>
      <c r="D487" s="501"/>
      <c r="E487" s="501"/>
      <c r="F487" s="501"/>
      <c r="G487" s="501"/>
      <c r="H487" s="501"/>
      <c r="I487" s="501"/>
      <c r="J487" s="501"/>
      <c r="K487" s="501"/>
      <c r="L487" s="501"/>
      <c r="M487" s="501"/>
      <c r="N487" s="501"/>
      <c r="O487" s="501"/>
      <c r="P487" s="501"/>
      <c r="Q487" s="501"/>
      <c r="R487" s="501"/>
      <c r="S487" s="501"/>
      <c r="T487" s="501"/>
      <c r="U487" s="501"/>
      <c r="V487" s="490"/>
      <c r="W487" s="490"/>
      <c r="X487" s="490"/>
      <c r="Y487" s="490"/>
      <c r="Z487" s="569"/>
      <c r="AA487" s="504"/>
      <c r="AB487" s="504"/>
      <c r="AC487" s="569"/>
      <c r="AD487" s="504"/>
      <c r="AE487" s="504"/>
      <c r="AF487" s="842"/>
      <c r="AG487" s="504"/>
      <c r="AH487" s="504"/>
      <c r="AI487" s="504"/>
      <c r="AJ487" s="504"/>
      <c r="AK487" s="504"/>
      <c r="AL487" s="569"/>
      <c r="AM487" s="504"/>
      <c r="AN487" s="504"/>
      <c r="AO487" s="504"/>
      <c r="AP487" s="501"/>
      <c r="AQ487" s="501"/>
      <c r="AR487" s="501"/>
      <c r="AS487" s="501"/>
      <c r="AT487" s="501"/>
      <c r="AU487" s="501"/>
      <c r="AV487" s="501"/>
      <c r="AW487" s="501"/>
      <c r="AX487" s="501"/>
      <c r="AY487" s="501"/>
      <c r="AZ487" s="501"/>
      <c r="BA487" s="501"/>
      <c r="BB487" s="501"/>
      <c r="BC487" s="501"/>
      <c r="BD487" s="501"/>
      <c r="BE487" s="501"/>
      <c r="BF487" s="501"/>
      <c r="BG487" s="501"/>
      <c r="BH487" s="501"/>
      <c r="BI487" s="501"/>
      <c r="BJ487" s="501"/>
    </row>
    <row r="488" spans="1:62" ht="15.75" customHeight="1" thickTop="1" thickBot="1">
      <c r="A488" s="517" t="s">
        <v>184</v>
      </c>
      <c r="B488" s="498"/>
      <c r="C488" s="721" t="s">
        <v>465</v>
      </c>
      <c r="D488" s="501"/>
      <c r="E488" s="501"/>
      <c r="F488" s="501"/>
      <c r="G488" s="501"/>
      <c r="H488" s="501"/>
      <c r="I488" s="501"/>
      <c r="J488" s="501"/>
      <c r="K488" s="501"/>
      <c r="L488" s="501"/>
      <c r="M488" s="501"/>
      <c r="N488" s="501"/>
      <c r="O488" s="501"/>
      <c r="P488" s="501"/>
      <c r="Q488" s="501"/>
      <c r="R488" s="501"/>
      <c r="S488" s="501"/>
      <c r="T488" s="501"/>
      <c r="U488" s="501"/>
      <c r="V488" s="831" t="s">
        <v>184</v>
      </c>
      <c r="W488" s="832"/>
      <c r="X488" s="833" t="s">
        <v>185</v>
      </c>
      <c r="Y488" s="834">
        <f>Z488/Z405</f>
        <v>3.3516899670356586E-2</v>
      </c>
      <c r="Z488" s="835">
        <f>Z482</f>
        <v>153977.61542029449</v>
      </c>
      <c r="AA488" s="833"/>
      <c r="AB488" s="834"/>
      <c r="AC488" s="835"/>
      <c r="AD488" s="833" t="s">
        <v>185</v>
      </c>
      <c r="AE488" s="834">
        <f>AF488/AF405</f>
        <v>3.3448077057872956E-2</v>
      </c>
      <c r="AF488" s="835">
        <f>AF482</f>
        <v>155597.10999999999</v>
      </c>
      <c r="AG488" s="836"/>
      <c r="AH488" s="837">
        <f>AF488-Z488</f>
        <v>1619.494579705497</v>
      </c>
      <c r="AI488" s="838">
        <f>AH488/Z488</f>
        <v>1.0517727367610898E-2</v>
      </c>
      <c r="AJ488" s="833" t="s">
        <v>185</v>
      </c>
      <c r="AK488" s="834">
        <f>IF($AL$405=0,0,AL488/$AL$405)</f>
        <v>4.9627482494704556E-2</v>
      </c>
      <c r="AL488" s="848">
        <f>AL482</f>
        <v>251817.72999999998</v>
      </c>
      <c r="AM488" s="849"/>
      <c r="AN488" s="850">
        <f>AF488-AL488</f>
        <v>-96220.62</v>
      </c>
      <c r="AO488" s="851">
        <f>IF(AL488=0,0,AN488/AL488)</f>
        <v>-0.38210423070686883</v>
      </c>
      <c r="AP488" s="501"/>
      <c r="AQ488" s="501"/>
      <c r="AR488" s="501"/>
      <c r="AS488" s="501"/>
      <c r="AT488" s="501"/>
      <c r="AU488" s="501"/>
      <c r="AV488" s="501"/>
      <c r="AW488" s="501"/>
      <c r="AX488" s="501"/>
      <c r="AY488" s="501"/>
      <c r="AZ488" s="501"/>
      <c r="BA488" s="501"/>
      <c r="BB488" s="501"/>
      <c r="BC488" s="501"/>
      <c r="BD488" s="501"/>
      <c r="BE488" s="501"/>
      <c r="BF488" s="501"/>
      <c r="BG488" s="501"/>
      <c r="BH488" s="501"/>
      <c r="BI488" s="501"/>
      <c r="BJ488" s="501"/>
    </row>
    <row r="489" spans="1:62" ht="15.75" customHeight="1" thickTop="1">
      <c r="A489" s="517" t="s">
        <v>466</v>
      </c>
      <c r="B489" s="498"/>
      <c r="C489" s="721" t="s">
        <v>465</v>
      </c>
      <c r="D489" s="501"/>
      <c r="E489" s="501"/>
      <c r="F489" s="644"/>
      <c r="G489" s="501"/>
      <c r="H489" s="501"/>
      <c r="I489" s="644"/>
      <c r="J489" s="501"/>
      <c r="K489" s="501"/>
      <c r="L489" s="501"/>
      <c r="M489" s="644"/>
      <c r="N489" s="501"/>
      <c r="O489" s="501"/>
      <c r="P489" s="501"/>
      <c r="Q489" s="644"/>
      <c r="R489" s="644"/>
      <c r="S489" s="644"/>
      <c r="T489" s="796"/>
      <c r="U489" s="796"/>
      <c r="V489" s="852"/>
      <c r="W489" s="501"/>
      <c r="X489" s="501"/>
      <c r="Y489" s="501"/>
      <c r="Z489" s="853"/>
      <c r="AA489" s="501"/>
      <c r="AB489" s="501"/>
      <c r="AC489" s="854"/>
      <c r="AD489" s="501"/>
      <c r="AE489" s="501"/>
      <c r="AF489" s="854"/>
      <c r="AG489" s="501"/>
      <c r="AH489" s="501"/>
      <c r="AI489" s="854"/>
      <c r="AJ489" s="501"/>
      <c r="AK489" s="501"/>
      <c r="AL489" s="855"/>
      <c r="AM489" s="856"/>
      <c r="AN489" s="501"/>
      <c r="AO489" s="857"/>
      <c r="AP489" s="501"/>
      <c r="AQ489" s="501"/>
      <c r="AR489" s="501"/>
      <c r="AS489" s="501"/>
      <c r="AT489" s="501"/>
      <c r="AU489" s="501"/>
      <c r="AV489" s="501"/>
      <c r="AW489" s="501"/>
      <c r="AX489" s="501"/>
      <c r="AY489" s="501"/>
      <c r="AZ489" s="501"/>
      <c r="BA489" s="501"/>
      <c r="BB489" s="501"/>
      <c r="BC489" s="501"/>
      <c r="BD489" s="501"/>
      <c r="BE489" s="501"/>
      <c r="BF489" s="501"/>
      <c r="BG489" s="501"/>
      <c r="BH489" s="501"/>
      <c r="BI489" s="501"/>
      <c r="BJ489" s="501"/>
    </row>
    <row r="490" spans="1:62" ht="15.75" customHeight="1">
      <c r="A490" s="517" t="s">
        <v>187</v>
      </c>
      <c r="B490" s="498"/>
      <c r="C490" s="721" t="s">
        <v>465</v>
      </c>
      <c r="D490" s="501"/>
      <c r="E490" s="501"/>
      <c r="F490" s="501"/>
      <c r="G490" s="501"/>
      <c r="H490" s="501"/>
      <c r="I490" s="501"/>
      <c r="J490" s="501"/>
      <c r="K490" s="501"/>
      <c r="L490" s="501"/>
      <c r="M490" s="501"/>
      <c r="N490" s="501"/>
      <c r="O490" s="501"/>
      <c r="P490" s="501"/>
      <c r="Q490" s="501"/>
      <c r="R490" s="501"/>
      <c r="S490" s="501"/>
      <c r="T490" s="501"/>
      <c r="U490" s="501"/>
      <c r="V490" s="592" t="s">
        <v>187</v>
      </c>
      <c r="W490" s="758"/>
      <c r="X490" s="751"/>
      <c r="Y490" s="759"/>
      <c r="Z490" s="752">
        <f t="array" ref="Z490">+INDEX('[5]Budget original'!$A$2:$AO$500,MATCH($A490,'[5]Budget original'!$A$2:$A$500,0),MATCH(F$2,'[5]Budget original'!$A$2:$AO$2,0))</f>
        <v>4664.0375000000004</v>
      </c>
      <c r="AA490" s="751"/>
      <c r="AB490" s="759"/>
      <c r="AC490" s="752"/>
      <c r="AD490" s="751"/>
      <c r="AE490" s="759"/>
      <c r="AF490" s="752">
        <f>SUMIFS([5]BV_Data_An_Cour!$O:$O,[5]BV_Data_An_Cour!$V:$V,$V490)</f>
        <v>4314.5</v>
      </c>
      <c r="AG490" s="751"/>
      <c r="AH490" s="754">
        <f t="shared" ref="AH490:AH497" si="128">AF490-Z490</f>
        <v>-349.53750000000036</v>
      </c>
      <c r="AI490" s="774">
        <f t="shared" ref="AI490:AI496" si="129">IF(Z490=0,0,AH490/Z490)</f>
        <v>-7.4943115272979755E-2</v>
      </c>
      <c r="AJ490" s="751"/>
      <c r="AK490" s="751"/>
      <c r="AL490" s="752">
        <f>SUMIFS([5]BV_Data_An_Prec!$O:$O,[5]BV_Data_An_Prec!$V:$V,$V490)</f>
        <v>4314.5</v>
      </c>
      <c r="AM490" s="756"/>
      <c r="AN490" s="754">
        <f t="shared" ref="AN490:AN497" si="130">AF490-AL490</f>
        <v>0</v>
      </c>
      <c r="AO490" s="761">
        <f t="shared" ref="AO490:AO497" si="131">IF(AL490=0,0,AN490/AL490)</f>
        <v>0</v>
      </c>
      <c r="AP490" s="501"/>
      <c r="AQ490" s="501"/>
      <c r="AR490" s="501"/>
      <c r="AS490" s="501"/>
      <c r="AT490" s="501"/>
      <c r="AU490" s="501"/>
      <c r="AV490" s="501"/>
      <c r="AW490" s="501"/>
      <c r="AX490" s="501"/>
      <c r="AY490" s="501"/>
      <c r="AZ490" s="501"/>
      <c r="BA490" s="501"/>
      <c r="BB490" s="501"/>
      <c r="BC490" s="501"/>
      <c r="BD490" s="501"/>
      <c r="BE490" s="501"/>
      <c r="BF490" s="501"/>
      <c r="BG490" s="501"/>
      <c r="BH490" s="501"/>
      <c r="BI490" s="501"/>
      <c r="BJ490" s="501"/>
    </row>
    <row r="491" spans="1:62" ht="15.75" customHeight="1">
      <c r="A491" s="517" t="s">
        <v>188</v>
      </c>
      <c r="B491" s="498"/>
      <c r="C491" s="721" t="s">
        <v>465</v>
      </c>
      <c r="D491" s="501"/>
      <c r="E491" s="501"/>
      <c r="F491" s="644"/>
      <c r="G491" s="501"/>
      <c r="H491" s="501"/>
      <c r="I491" s="644"/>
      <c r="J491" s="501"/>
      <c r="K491" s="501"/>
      <c r="L491" s="501"/>
      <c r="M491" s="644"/>
      <c r="N491" s="501"/>
      <c r="O491" s="501"/>
      <c r="P491" s="501"/>
      <c r="Q491" s="644"/>
      <c r="R491" s="644"/>
      <c r="S491" s="644"/>
      <c r="T491" s="501"/>
      <c r="U491" s="501"/>
      <c r="V491" s="592" t="s">
        <v>188</v>
      </c>
      <c r="W491" s="501"/>
      <c r="X491" s="501"/>
      <c r="Y491" s="501"/>
      <c r="Z491" s="752">
        <f t="array" ref="Z491">+INDEX('[5]Budget original'!$A$2:$AO$500,MATCH($A491,'[5]Budget original'!$A$2:$A$500,0),MATCH(F$2,'[5]Budget original'!$A$2:$AO$2,0))</f>
        <v>0</v>
      </c>
      <c r="AA491" s="501"/>
      <c r="AB491" s="501"/>
      <c r="AC491" s="752"/>
      <c r="AD491" s="501"/>
      <c r="AE491" s="504"/>
      <c r="AF491" s="752">
        <f>SUMIFS([5]BV_Data_An_Cour!$O:$O,[5]BV_Data_An_Cour!$V:$V,$V491)</f>
        <v>0</v>
      </c>
      <c r="AG491" s="501"/>
      <c r="AH491" s="754">
        <f t="shared" si="128"/>
        <v>0</v>
      </c>
      <c r="AI491" s="774">
        <f t="shared" si="129"/>
        <v>0</v>
      </c>
      <c r="AJ491" s="501"/>
      <c r="AK491" s="501"/>
      <c r="AL491" s="752">
        <f>SUMIFS([5]BV_Data_An_Prec!$O:$O,[5]BV_Data_An_Prec!$V:$V,$V491)</f>
        <v>0</v>
      </c>
      <c r="AM491" s="856"/>
      <c r="AN491" s="754">
        <f t="shared" si="130"/>
        <v>0</v>
      </c>
      <c r="AO491" s="761">
        <f t="shared" si="131"/>
        <v>0</v>
      </c>
      <c r="AP491" s="501"/>
      <c r="AQ491" s="501"/>
      <c r="AR491" s="501"/>
      <c r="AS491" s="501"/>
      <c r="AT491" s="501"/>
      <c r="AU491" s="501"/>
      <c r="AV491" s="501"/>
      <c r="AW491" s="501"/>
      <c r="AX491" s="501"/>
      <c r="AY491" s="501"/>
      <c r="AZ491" s="501"/>
      <c r="BA491" s="501"/>
      <c r="BB491" s="501"/>
      <c r="BC491" s="501"/>
      <c r="BD491" s="501"/>
      <c r="BE491" s="501"/>
      <c r="BF491" s="501"/>
      <c r="BG491" s="501"/>
      <c r="BH491" s="501"/>
      <c r="BI491" s="501"/>
      <c r="BJ491" s="501"/>
    </row>
    <row r="492" spans="1:62" ht="15.75" customHeight="1">
      <c r="A492" s="517" t="s">
        <v>189</v>
      </c>
      <c r="B492" s="498"/>
      <c r="C492" s="721" t="s">
        <v>465</v>
      </c>
      <c r="D492" s="501"/>
      <c r="E492" s="501"/>
      <c r="F492" s="644"/>
      <c r="G492" s="501"/>
      <c r="H492" s="501"/>
      <c r="I492" s="644"/>
      <c r="J492" s="501"/>
      <c r="K492" s="501"/>
      <c r="L492" s="501"/>
      <c r="M492" s="644"/>
      <c r="N492" s="501"/>
      <c r="O492" s="501"/>
      <c r="P492" s="501"/>
      <c r="Q492" s="644"/>
      <c r="R492" s="644"/>
      <c r="S492" s="644"/>
      <c r="T492" s="501"/>
      <c r="U492" s="501"/>
      <c r="V492" s="592" t="s">
        <v>189</v>
      </c>
      <c r="W492" s="504"/>
      <c r="X492" s="504"/>
      <c r="Y492" s="504"/>
      <c r="Z492" s="752">
        <f t="array" ref="Z492">+INDEX('[5]Budget original'!$A$2:$AO$500,MATCH($A492,'[5]Budget original'!$A$2:$A$500,0),MATCH(F$2,'[5]Budget original'!$A$2:$AO$2,0))</f>
        <v>427.39</v>
      </c>
      <c r="AA492" s="501"/>
      <c r="AB492" s="501"/>
      <c r="AC492" s="752"/>
      <c r="AD492" s="501"/>
      <c r="AE492" s="504"/>
      <c r="AF492" s="752">
        <f>SUMIFS([5]BV_Data_An_Cour!$O:$O,[5]BV_Data_An_Cour!$V:$V,$V492)</f>
        <v>0</v>
      </c>
      <c r="AG492" s="501"/>
      <c r="AH492" s="754">
        <f t="shared" si="128"/>
        <v>-427.39</v>
      </c>
      <c r="AI492" s="774">
        <f t="shared" si="129"/>
        <v>-1</v>
      </c>
      <c r="AJ492" s="501"/>
      <c r="AK492" s="501"/>
      <c r="AL492" s="752">
        <f>SUMIFS([5]BV_Data_An_Prec!$O:$O,[5]BV_Data_An_Prec!$V:$V,$V492)</f>
        <v>426.79</v>
      </c>
      <c r="AM492" s="856"/>
      <c r="AN492" s="754">
        <f t="shared" si="130"/>
        <v>-426.79</v>
      </c>
      <c r="AO492" s="761">
        <f t="shared" si="131"/>
        <v>-1</v>
      </c>
      <c r="AP492" s="501"/>
      <c r="AQ492" s="501"/>
      <c r="AR492" s="501"/>
      <c r="AS492" s="501"/>
      <c r="AT492" s="501"/>
      <c r="AU492" s="501"/>
      <c r="AV492" s="501"/>
      <c r="AW492" s="501"/>
      <c r="AX492" s="501"/>
      <c r="AY492" s="501"/>
      <c r="AZ492" s="501"/>
      <c r="BA492" s="501"/>
      <c r="BB492" s="501"/>
      <c r="BC492" s="501"/>
      <c r="BD492" s="501"/>
      <c r="BE492" s="501"/>
      <c r="BF492" s="501"/>
      <c r="BG492" s="501"/>
      <c r="BH492" s="501"/>
      <c r="BI492" s="501"/>
      <c r="BJ492" s="501"/>
    </row>
    <row r="493" spans="1:62" ht="15.75" customHeight="1" thickBot="1">
      <c r="A493" s="517" t="s">
        <v>190</v>
      </c>
      <c r="B493" s="498"/>
      <c r="C493" s="721" t="s">
        <v>465</v>
      </c>
      <c r="D493" s="501"/>
      <c r="E493" s="501"/>
      <c r="F493" s="644"/>
      <c r="G493" s="501"/>
      <c r="H493" s="501"/>
      <c r="I493" s="644"/>
      <c r="J493" s="501"/>
      <c r="K493" s="501"/>
      <c r="L493" s="501"/>
      <c r="M493" s="644"/>
      <c r="N493" s="501"/>
      <c r="O493" s="501"/>
      <c r="P493" s="501"/>
      <c r="Q493" s="644"/>
      <c r="R493" s="644"/>
      <c r="S493" s="644"/>
      <c r="T493" s="501"/>
      <c r="U493" s="501"/>
      <c r="V493" s="592" t="s">
        <v>190</v>
      </c>
      <c r="W493" s="504"/>
      <c r="X493" s="504"/>
      <c r="Y493" s="504"/>
      <c r="Z493" s="752">
        <f t="array" ref="Z493">+INDEX('[5]Budget original'!$A$2:$AO$500,MATCH($A493,'[5]Budget original'!$A$2:$A$500,0),MATCH(F$2,'[5]Budget original'!$A$2:$AO$2,0))</f>
        <v>0</v>
      </c>
      <c r="AA493" s="501"/>
      <c r="AB493" s="501"/>
      <c r="AC493" s="752"/>
      <c r="AD493" s="501"/>
      <c r="AE493" s="504"/>
      <c r="AF493" s="752">
        <f>SUMIFS([5]BV_Data_An_Cour!$O:$O,[5]BV_Data_An_Cour!$V:$V,$V493)</f>
        <v>0</v>
      </c>
      <c r="AG493" s="501"/>
      <c r="AH493" s="754">
        <f t="shared" si="128"/>
        <v>0</v>
      </c>
      <c r="AI493" s="774">
        <f t="shared" si="129"/>
        <v>0</v>
      </c>
      <c r="AJ493" s="501"/>
      <c r="AK493" s="501"/>
      <c r="AL493" s="752">
        <f>SUMIFS([5]BV_Data_An_Prec!$O:$O,[5]BV_Data_An_Prec!$V:$V,$V493)</f>
        <v>0</v>
      </c>
      <c r="AM493" s="856"/>
      <c r="AN493" s="754">
        <f t="shared" si="130"/>
        <v>0</v>
      </c>
      <c r="AO493" s="761">
        <f t="shared" si="131"/>
        <v>0</v>
      </c>
      <c r="AP493" s="501"/>
      <c r="AQ493" s="501"/>
      <c r="AR493" s="501"/>
      <c r="AS493" s="501"/>
      <c r="AT493" s="501"/>
      <c r="AU493" s="501"/>
      <c r="AV493" s="501"/>
      <c r="AW493" s="501"/>
      <c r="AX493" s="501"/>
      <c r="AY493" s="501"/>
      <c r="AZ493" s="501"/>
      <c r="BA493" s="501"/>
      <c r="BB493" s="501"/>
      <c r="BC493" s="501"/>
      <c r="BD493" s="501"/>
      <c r="BE493" s="501"/>
      <c r="BF493" s="501"/>
      <c r="BG493" s="501"/>
      <c r="BH493" s="501"/>
      <c r="BI493" s="501"/>
      <c r="BJ493" s="501"/>
    </row>
    <row r="494" spans="1:62" ht="15.75" hidden="1" customHeight="1">
      <c r="A494" s="517" t="s">
        <v>20</v>
      </c>
      <c r="B494" s="498"/>
      <c r="C494" s="721" t="s">
        <v>465</v>
      </c>
      <c r="D494" s="501"/>
      <c r="E494" s="501"/>
      <c r="F494" s="644"/>
      <c r="G494" s="501"/>
      <c r="H494" s="501"/>
      <c r="I494" s="644"/>
      <c r="J494" s="501"/>
      <c r="K494" s="501"/>
      <c r="L494" s="501"/>
      <c r="M494" s="644"/>
      <c r="N494" s="501"/>
      <c r="O494" s="501"/>
      <c r="P494" s="501"/>
      <c r="Q494" s="644"/>
      <c r="R494" s="644"/>
      <c r="S494" s="644"/>
      <c r="T494" s="501"/>
      <c r="U494" s="501"/>
      <c r="V494" s="592" t="s">
        <v>20</v>
      </c>
      <c r="W494" s="504"/>
      <c r="X494" s="504"/>
      <c r="Y494" s="504"/>
      <c r="Z494" s="752">
        <f t="shared" ref="Z494:Z496" si="132">IFERROR(SUMIF($C:$C,$V494,F:F),0)</f>
        <v>0</v>
      </c>
      <c r="AA494" s="751"/>
      <c r="AB494" s="751"/>
      <c r="AC494" s="752"/>
      <c r="AD494" s="760"/>
      <c r="AE494" s="759"/>
      <c r="AF494" s="752">
        <f t="shared" ref="AF494:AF496" si="133">IFERROR(SUMIF($C:$C,$V494,L:L),0)</f>
        <v>0</v>
      </c>
      <c r="AG494" s="753"/>
      <c r="AH494" s="754">
        <f t="shared" si="128"/>
        <v>0</v>
      </c>
      <c r="AI494" s="755">
        <f t="shared" si="129"/>
        <v>0</v>
      </c>
      <c r="AJ494" s="760"/>
      <c r="AK494" s="751"/>
      <c r="AL494" s="752">
        <f t="shared" ref="AL494:AL496" si="134">IFERROR(SUMIF($C:$C,$V494,Q:Q),0)</f>
        <v>0</v>
      </c>
      <c r="AM494" s="856"/>
      <c r="AN494" s="754">
        <f t="shared" si="130"/>
        <v>0</v>
      </c>
      <c r="AO494" s="761">
        <f t="shared" si="131"/>
        <v>0</v>
      </c>
      <c r="AP494" s="501"/>
      <c r="AQ494" s="501"/>
      <c r="AR494" s="501"/>
      <c r="AS494" s="501"/>
      <c r="AT494" s="501"/>
      <c r="AU494" s="501"/>
      <c r="AV494" s="501"/>
      <c r="AW494" s="501"/>
      <c r="AX494" s="501"/>
      <c r="AY494" s="501"/>
      <c r="AZ494" s="501"/>
      <c r="BA494" s="501"/>
      <c r="BB494" s="501"/>
      <c r="BC494" s="501"/>
      <c r="BD494" s="501"/>
      <c r="BE494" s="501"/>
      <c r="BF494" s="501"/>
      <c r="BG494" s="501"/>
      <c r="BH494" s="501"/>
      <c r="BI494" s="501"/>
      <c r="BJ494" s="501"/>
    </row>
    <row r="495" spans="1:62" ht="15.75" hidden="1" customHeight="1">
      <c r="A495" s="517" t="s">
        <v>20</v>
      </c>
      <c r="B495" s="498"/>
      <c r="C495" s="721" t="s">
        <v>465</v>
      </c>
      <c r="D495" s="501"/>
      <c r="E495" s="501"/>
      <c r="F495" s="644"/>
      <c r="G495" s="501"/>
      <c r="H495" s="501"/>
      <c r="I495" s="644"/>
      <c r="J495" s="501"/>
      <c r="K495" s="501"/>
      <c r="L495" s="501"/>
      <c r="M495" s="644"/>
      <c r="N495" s="501"/>
      <c r="O495" s="501"/>
      <c r="P495" s="501"/>
      <c r="Q495" s="644"/>
      <c r="R495" s="644"/>
      <c r="S495" s="644"/>
      <c r="T495" s="501"/>
      <c r="U495" s="501"/>
      <c r="V495" s="592" t="s">
        <v>20</v>
      </c>
      <c r="W495" s="504"/>
      <c r="X495" s="504"/>
      <c r="Y495" s="504"/>
      <c r="Z495" s="752">
        <f t="shared" si="132"/>
        <v>0</v>
      </c>
      <c r="AA495" s="751"/>
      <c r="AB495" s="751"/>
      <c r="AC495" s="752"/>
      <c r="AD495" s="760"/>
      <c r="AE495" s="759"/>
      <c r="AF495" s="752">
        <f t="shared" si="133"/>
        <v>0</v>
      </c>
      <c r="AG495" s="753"/>
      <c r="AH495" s="754">
        <f t="shared" si="128"/>
        <v>0</v>
      </c>
      <c r="AI495" s="755">
        <f t="shared" si="129"/>
        <v>0</v>
      </c>
      <c r="AJ495" s="760"/>
      <c r="AK495" s="751"/>
      <c r="AL495" s="752">
        <f t="shared" si="134"/>
        <v>0</v>
      </c>
      <c r="AM495" s="856"/>
      <c r="AN495" s="754">
        <f t="shared" si="130"/>
        <v>0</v>
      </c>
      <c r="AO495" s="761">
        <f t="shared" si="131"/>
        <v>0</v>
      </c>
      <c r="AP495" s="501"/>
      <c r="AQ495" s="501"/>
      <c r="AR495" s="501"/>
      <c r="AS495" s="501"/>
      <c r="AT495" s="501"/>
      <c r="AU495" s="501"/>
      <c r="AV495" s="501"/>
      <c r="AW495" s="501"/>
      <c r="AX495" s="501"/>
      <c r="AY495" s="501"/>
      <c r="AZ495" s="501"/>
      <c r="BA495" s="501"/>
      <c r="BB495" s="501"/>
      <c r="BC495" s="501"/>
      <c r="BD495" s="501"/>
      <c r="BE495" s="501"/>
      <c r="BF495" s="501"/>
      <c r="BG495" s="501"/>
      <c r="BH495" s="501"/>
      <c r="BI495" s="501"/>
      <c r="BJ495" s="501"/>
    </row>
    <row r="496" spans="1:62" ht="15.75" hidden="1" customHeight="1">
      <c r="A496" s="517" t="s">
        <v>20</v>
      </c>
      <c r="B496" s="498"/>
      <c r="C496" s="721" t="s">
        <v>465</v>
      </c>
      <c r="D496" s="501"/>
      <c r="E496" s="501"/>
      <c r="F496" s="644"/>
      <c r="G496" s="501"/>
      <c r="H496" s="501"/>
      <c r="I496" s="644"/>
      <c r="J496" s="501"/>
      <c r="K496" s="501"/>
      <c r="L496" s="501"/>
      <c r="M496" s="644"/>
      <c r="N496" s="501"/>
      <c r="O496" s="501"/>
      <c r="P496" s="501"/>
      <c r="Q496" s="644"/>
      <c r="R496" s="644"/>
      <c r="S496" s="644"/>
      <c r="T496" s="501"/>
      <c r="U496" s="501"/>
      <c r="V496" s="592" t="s">
        <v>20</v>
      </c>
      <c r="W496" s="504"/>
      <c r="X496" s="501"/>
      <c r="Y496" s="504"/>
      <c r="Z496" s="752">
        <f t="shared" si="132"/>
        <v>0</v>
      </c>
      <c r="AA496" s="751"/>
      <c r="AB496" s="751"/>
      <c r="AC496" s="752"/>
      <c r="AD496" s="760"/>
      <c r="AE496" s="759"/>
      <c r="AF496" s="752">
        <f t="shared" si="133"/>
        <v>0</v>
      </c>
      <c r="AG496" s="753"/>
      <c r="AH496" s="754">
        <f t="shared" si="128"/>
        <v>0</v>
      </c>
      <c r="AI496" s="755">
        <f t="shared" si="129"/>
        <v>0</v>
      </c>
      <c r="AJ496" s="760"/>
      <c r="AK496" s="751"/>
      <c r="AL496" s="752">
        <f t="shared" si="134"/>
        <v>0</v>
      </c>
      <c r="AM496" s="856"/>
      <c r="AN496" s="754">
        <f t="shared" si="130"/>
        <v>0</v>
      </c>
      <c r="AO496" s="761">
        <f t="shared" si="131"/>
        <v>0</v>
      </c>
      <c r="AP496" s="501"/>
      <c r="AQ496" s="501"/>
      <c r="AR496" s="501"/>
      <c r="AS496" s="501"/>
      <c r="AT496" s="501"/>
      <c r="AU496" s="501"/>
      <c r="AV496" s="501"/>
      <c r="AW496" s="501"/>
      <c r="AX496" s="501"/>
      <c r="AY496" s="501"/>
      <c r="AZ496" s="501"/>
      <c r="BA496" s="501"/>
      <c r="BB496" s="501"/>
      <c r="BC496" s="501"/>
      <c r="BD496" s="501"/>
      <c r="BE496" s="501"/>
      <c r="BF496" s="501"/>
      <c r="BG496" s="501"/>
      <c r="BH496" s="501"/>
      <c r="BI496" s="501"/>
      <c r="BJ496" s="501"/>
    </row>
    <row r="497" spans="1:62" ht="15.75" customHeight="1" thickTop="1" thickBot="1">
      <c r="A497" s="517" t="s">
        <v>192</v>
      </c>
      <c r="B497" s="498"/>
      <c r="C497" s="721" t="s">
        <v>465</v>
      </c>
      <c r="D497" s="501"/>
      <c r="E497" s="501"/>
      <c r="F497" s="644"/>
      <c r="G497" s="501"/>
      <c r="H497" s="501"/>
      <c r="I497" s="644"/>
      <c r="J497" s="501"/>
      <c r="K497" s="501"/>
      <c r="L497" s="501"/>
      <c r="M497" s="644"/>
      <c r="N497" s="501"/>
      <c r="O497" s="501"/>
      <c r="P497" s="501"/>
      <c r="Q497" s="644"/>
      <c r="R497" s="644"/>
      <c r="S497" s="644"/>
      <c r="T497" s="501"/>
      <c r="U497" s="501"/>
      <c r="V497" s="831" t="s">
        <v>192</v>
      </c>
      <c r="W497" s="832"/>
      <c r="X497" s="833" t="s">
        <v>185</v>
      </c>
      <c r="Y497" s="834">
        <f>Z497/Z405</f>
        <v>3.2408629067317334E-2</v>
      </c>
      <c r="Z497" s="835">
        <f>Z488-Z490-Z491-Z492-Z496</f>
        <v>148886.18792029447</v>
      </c>
      <c r="AA497" s="833"/>
      <c r="AB497" s="834"/>
      <c r="AC497" s="835"/>
      <c r="AD497" s="833" t="s">
        <v>185</v>
      </c>
      <c r="AE497" s="834">
        <f>AF497/AF405</f>
        <v>3.2520606563940305E-2</v>
      </c>
      <c r="AF497" s="836">
        <f>AF488-AF490-AF491-AF492-AF496</f>
        <v>151282.60999999999</v>
      </c>
      <c r="AG497" s="837"/>
      <c r="AH497" s="837">
        <f t="shared" si="128"/>
        <v>2396.4220797055168</v>
      </c>
      <c r="AI497" s="838">
        <f>AH497/Z497</f>
        <v>1.6095664165895834E-2</v>
      </c>
      <c r="AJ497" s="839" t="s">
        <v>185</v>
      </c>
      <c r="AK497" s="834">
        <f>IF($AL$405=0,0,AL497/$AL$405)</f>
        <v>4.8693083290655984E-2</v>
      </c>
      <c r="AL497" s="836">
        <f>AL488-AL490-AL491-AL492-AL496</f>
        <v>247076.43999999997</v>
      </c>
      <c r="AM497" s="840"/>
      <c r="AN497" s="836">
        <f t="shared" si="130"/>
        <v>-95793.829999999987</v>
      </c>
      <c r="AO497" s="858">
        <f t="shared" si="131"/>
        <v>-0.38770928543409477</v>
      </c>
      <c r="AP497" s="501"/>
      <c r="AQ497" s="501"/>
      <c r="AR497" s="501"/>
      <c r="AS497" s="501"/>
      <c r="AT497" s="501"/>
      <c r="AU497" s="501"/>
      <c r="AV497" s="501"/>
      <c r="AW497" s="501"/>
      <c r="AX497" s="501"/>
      <c r="AY497" s="501"/>
      <c r="AZ497" s="501"/>
      <c r="BA497" s="501"/>
      <c r="BB497" s="501"/>
      <c r="BC497" s="501"/>
      <c r="BD497" s="501"/>
      <c r="BE497" s="501"/>
      <c r="BF497" s="501"/>
      <c r="BG497" s="501"/>
      <c r="BH497" s="501"/>
      <c r="BI497" s="501"/>
      <c r="BJ497" s="501"/>
    </row>
    <row r="498" spans="1:62" ht="15.75" customHeight="1" thickTop="1">
      <c r="A498" s="517" t="s">
        <v>466</v>
      </c>
      <c r="B498" s="498"/>
      <c r="C498" s="501"/>
      <c r="D498" s="501"/>
      <c r="E498" s="501"/>
      <c r="F498" s="644"/>
      <c r="G498" s="501"/>
      <c r="H498" s="501"/>
      <c r="I498" s="644"/>
      <c r="J498" s="501"/>
      <c r="K498" s="501"/>
      <c r="L498" s="501"/>
      <c r="M498" s="644"/>
      <c r="N498" s="501"/>
      <c r="O498" s="501"/>
      <c r="P498" s="501"/>
      <c r="Q498" s="644"/>
      <c r="R498" s="644"/>
      <c r="S498" s="644"/>
      <c r="T498" s="501"/>
      <c r="U498" s="501"/>
      <c r="V498" s="501"/>
      <c r="W498" s="501"/>
      <c r="X498" s="501"/>
      <c r="Y498" s="501"/>
      <c r="Z498" s="501"/>
      <c r="AA498" s="501"/>
      <c r="AB498" s="501"/>
      <c r="AC498" s="501"/>
      <c r="AD498" s="501"/>
      <c r="AE498" s="859"/>
      <c r="AF498" s="860"/>
      <c r="AG498" s="501"/>
      <c r="AH498" s="501"/>
      <c r="AI498" s="501"/>
      <c r="AJ498" s="501"/>
      <c r="AK498" s="501"/>
      <c r="AL498" s="501"/>
      <c r="AM498" s="501"/>
      <c r="AN498" s="501"/>
      <c r="AO498" s="501"/>
      <c r="AP498" s="501"/>
      <c r="AQ498" s="501"/>
      <c r="AR498" s="501"/>
      <c r="AS498" s="501"/>
      <c r="AT498" s="501"/>
      <c r="AU498" s="501"/>
      <c r="AV498" s="501"/>
      <c r="AW498" s="501"/>
      <c r="AX498" s="501"/>
      <c r="AY498" s="501"/>
      <c r="AZ498" s="501"/>
      <c r="BA498" s="501"/>
      <c r="BB498" s="501"/>
      <c r="BC498" s="501"/>
      <c r="BD498" s="501"/>
      <c r="BE498" s="501"/>
      <c r="BF498" s="501"/>
      <c r="BG498" s="501"/>
      <c r="BH498" s="501"/>
      <c r="BI498" s="501"/>
      <c r="BJ498" s="501"/>
    </row>
    <row r="499" spans="1:62" ht="15.75" customHeight="1">
      <c r="B499" s="498"/>
      <c r="T499" s="501"/>
      <c r="U499" s="501"/>
      <c r="V499" s="501"/>
      <c r="W499" s="501"/>
      <c r="X499" s="501"/>
      <c r="Y499" s="501"/>
      <c r="Z499" s="644"/>
      <c r="AA499" s="501"/>
      <c r="AB499" s="501"/>
      <c r="AC499" s="644"/>
      <c r="AE499" s="501" t="s">
        <v>478</v>
      </c>
      <c r="AF499" s="861">
        <v>102579</v>
      </c>
      <c r="AG499" s="501"/>
      <c r="AH499" s="501"/>
      <c r="AI499" s="501"/>
      <c r="AJ499" s="862" t="s">
        <v>479</v>
      </c>
      <c r="AK499" s="863">
        <v>3.9E-2</v>
      </c>
      <c r="AL499" s="864">
        <v>148007.13</v>
      </c>
      <c r="AM499" s="501"/>
      <c r="AN499" s="501"/>
      <c r="AO499" s="501"/>
      <c r="AP499" s="501"/>
      <c r="AQ499" s="501"/>
      <c r="AR499" s="501"/>
      <c r="AS499" s="501"/>
      <c r="AT499" s="501"/>
      <c r="AU499" s="501"/>
      <c r="AV499" s="501"/>
      <c r="AW499" s="501"/>
      <c r="AX499" s="501"/>
      <c r="AY499" s="501"/>
      <c r="AZ499" s="501"/>
      <c r="BA499" s="501"/>
      <c r="BB499" s="501"/>
      <c r="BC499" s="501"/>
      <c r="BD499" s="501"/>
      <c r="BE499" s="501"/>
      <c r="BF499" s="501"/>
      <c r="BG499" s="501"/>
      <c r="BH499" s="501"/>
      <c r="BI499" s="501"/>
      <c r="BJ499" s="501"/>
    </row>
    <row r="500" spans="1:62" ht="15.75" customHeight="1">
      <c r="B500" s="498"/>
      <c r="C500" s="501"/>
      <c r="S500" s="644"/>
      <c r="W500" s="501"/>
      <c r="X500" s="501"/>
      <c r="Y500" s="501"/>
      <c r="Z500" s="644"/>
      <c r="AA500" s="501"/>
      <c r="AB500" s="501"/>
      <c r="AC500" s="644"/>
      <c r="AD500" s="501"/>
      <c r="AE500" s="501"/>
      <c r="AF500" s="865"/>
      <c r="AG500" s="501"/>
      <c r="AH500" s="501"/>
      <c r="AI500" s="501"/>
      <c r="AJ500" s="501"/>
      <c r="AL500" s="864">
        <f>AL497-AL499</f>
        <v>99069.309999999969</v>
      </c>
      <c r="AM500" s="501"/>
      <c r="AN500" s="501"/>
      <c r="AO500" s="501"/>
      <c r="AP500" s="501"/>
      <c r="AQ500" s="501"/>
      <c r="AR500" s="501"/>
      <c r="AS500" s="501"/>
      <c r="AT500" s="501"/>
      <c r="AU500" s="501"/>
      <c r="AV500" s="501"/>
      <c r="AW500" s="501"/>
      <c r="AX500" s="501"/>
      <c r="AY500" s="501"/>
      <c r="AZ500" s="501"/>
      <c r="BA500" s="501"/>
      <c r="BB500" s="501"/>
      <c r="BC500" s="501"/>
      <c r="BD500" s="501"/>
      <c r="BE500" s="501"/>
      <c r="BF500" s="501"/>
      <c r="BG500" s="501"/>
      <c r="BH500" s="501"/>
      <c r="BI500" s="501"/>
      <c r="BJ500" s="501"/>
    </row>
    <row r="501" spans="1:62" ht="15.75" customHeight="1">
      <c r="B501" s="498"/>
      <c r="C501" s="751"/>
      <c r="W501" s="501"/>
      <c r="X501" s="501"/>
      <c r="Y501" s="501"/>
      <c r="AE501" s="501"/>
      <c r="AF501" s="865"/>
      <c r="AM501" s="501"/>
      <c r="AN501" s="501"/>
      <c r="AO501" s="501"/>
      <c r="AP501" s="501"/>
      <c r="AQ501" s="501"/>
      <c r="AR501" s="501"/>
      <c r="AS501" s="501"/>
      <c r="AT501" s="501"/>
      <c r="AU501" s="501"/>
      <c r="AV501" s="501"/>
      <c r="AW501" s="501"/>
      <c r="AX501" s="501"/>
      <c r="AY501" s="501"/>
      <c r="AZ501" s="501"/>
      <c r="BA501" s="501"/>
      <c r="BB501" s="501"/>
      <c r="BC501" s="501"/>
      <c r="BD501" s="501"/>
      <c r="BE501" s="501"/>
      <c r="BF501" s="501"/>
      <c r="BG501" s="501"/>
      <c r="BH501" s="501"/>
      <c r="BI501" s="501"/>
      <c r="BJ501" s="501"/>
    </row>
    <row r="502" spans="1:62" ht="15.75" customHeight="1">
      <c r="B502" s="498"/>
      <c r="C502" s="751"/>
      <c r="W502" s="501"/>
      <c r="X502" s="501"/>
      <c r="Y502" s="501"/>
      <c r="Z502" s="501"/>
      <c r="AA502" s="501"/>
      <c r="AB502" s="501"/>
      <c r="AC502" s="501"/>
      <c r="AD502" s="501"/>
      <c r="AE502" s="501"/>
      <c r="AF502" s="865"/>
      <c r="AG502" s="501"/>
      <c r="AH502" s="501"/>
      <c r="AI502" s="501"/>
      <c r="AJ502" s="866" t="s">
        <v>480</v>
      </c>
      <c r="AK502" s="863">
        <v>4.2000000000000003E-2</v>
      </c>
      <c r="AL502" s="864">
        <v>227808.43999999983</v>
      </c>
      <c r="AM502" s="501"/>
      <c r="AN502" s="501"/>
      <c r="AO502" s="501"/>
      <c r="AP502" s="501"/>
      <c r="AQ502" s="501"/>
      <c r="AR502" s="501"/>
      <c r="AS502" s="501"/>
      <c r="AT502" s="501"/>
      <c r="AU502" s="501"/>
      <c r="AV502" s="501"/>
      <c r="AW502" s="501"/>
      <c r="AX502" s="501"/>
      <c r="AY502" s="501"/>
      <c r="AZ502" s="501"/>
      <c r="BA502" s="501"/>
      <c r="BB502" s="501"/>
      <c r="BC502" s="501"/>
      <c r="BD502" s="501"/>
      <c r="BE502" s="501"/>
      <c r="BF502" s="501"/>
      <c r="BG502" s="501"/>
      <c r="BH502" s="501"/>
      <c r="BI502" s="501"/>
      <c r="BJ502" s="501"/>
    </row>
    <row r="503" spans="1:62" ht="15.75" customHeight="1">
      <c r="B503" s="498"/>
      <c r="C503" s="751"/>
      <c r="W503" s="501"/>
      <c r="X503" s="501"/>
      <c r="Y503" s="501"/>
      <c r="Z503" s="501"/>
      <c r="AA503" s="501"/>
      <c r="AB503" s="501"/>
      <c r="AC503" s="501"/>
      <c r="AD503" s="501"/>
      <c r="AE503" s="501"/>
      <c r="AF503" s="865"/>
      <c r="AG503" s="501"/>
      <c r="AH503" s="501"/>
      <c r="AI503" s="501"/>
      <c r="AJ503" s="501"/>
      <c r="AK503" s="501"/>
      <c r="AL503" s="501"/>
      <c r="AM503" s="501"/>
      <c r="AN503" s="501"/>
      <c r="AO503" s="501"/>
      <c r="AP503" s="501"/>
      <c r="AQ503" s="501"/>
      <c r="AR503" s="501"/>
      <c r="AS503" s="501"/>
      <c r="AT503" s="501"/>
      <c r="AU503" s="501"/>
      <c r="AV503" s="501"/>
      <c r="AW503" s="501"/>
      <c r="AX503" s="501"/>
      <c r="AY503" s="501"/>
      <c r="AZ503" s="501"/>
      <c r="BA503" s="501"/>
      <c r="BB503" s="501"/>
      <c r="BC503" s="501"/>
      <c r="BD503" s="501"/>
      <c r="BE503" s="501"/>
      <c r="BF503" s="501"/>
      <c r="BG503" s="501"/>
      <c r="BH503" s="501"/>
      <c r="BI503" s="501"/>
      <c r="BJ503" s="501"/>
    </row>
    <row r="504" spans="1:62" ht="15.75" customHeight="1">
      <c r="B504" s="498"/>
      <c r="C504" s="751"/>
      <c r="W504" s="501"/>
      <c r="X504" s="501"/>
      <c r="Y504" s="501"/>
      <c r="Z504" s="501"/>
      <c r="AA504" s="501"/>
      <c r="AB504" s="501"/>
      <c r="AC504" s="501"/>
      <c r="AD504" s="501"/>
      <c r="AE504" s="501"/>
      <c r="AF504" s="501"/>
      <c r="AG504" s="501"/>
      <c r="AH504" s="501"/>
      <c r="AI504" s="501"/>
      <c r="AJ504" s="501"/>
      <c r="AK504" s="501"/>
      <c r="AL504" s="501"/>
      <c r="AM504" s="501"/>
      <c r="AN504" s="501"/>
      <c r="AO504" s="501"/>
      <c r="AP504" s="501"/>
      <c r="AQ504" s="501"/>
      <c r="AR504" s="501"/>
      <c r="AS504" s="501"/>
      <c r="AT504" s="501"/>
      <c r="AU504" s="501"/>
      <c r="AV504" s="501"/>
      <c r="AW504" s="501"/>
      <c r="AX504" s="501"/>
      <c r="AY504" s="501"/>
      <c r="AZ504" s="501"/>
      <c r="BA504" s="501"/>
      <c r="BB504" s="501"/>
      <c r="BC504" s="501"/>
      <c r="BD504" s="501"/>
      <c r="BE504" s="501"/>
      <c r="BF504" s="501"/>
      <c r="BG504" s="501"/>
      <c r="BH504" s="501"/>
      <c r="BI504" s="501"/>
      <c r="BJ504" s="501"/>
    </row>
    <row r="505" spans="1:62" ht="15.75" customHeight="1">
      <c r="B505" s="498"/>
      <c r="C505" s="751"/>
      <c r="W505" s="501"/>
      <c r="X505" s="501"/>
      <c r="Y505" s="501"/>
      <c r="Z505" s="501"/>
      <c r="AA505" s="501"/>
      <c r="AB505" s="501"/>
      <c r="AC505" s="501"/>
      <c r="AD505" s="501"/>
      <c r="AE505" s="501"/>
      <c r="AF505" s="867"/>
      <c r="AG505" s="501"/>
      <c r="AH505" s="501"/>
      <c r="AI505" s="501"/>
      <c r="AJ505" s="501"/>
      <c r="AK505" s="501"/>
      <c r="AL505" s="501"/>
      <c r="AM505" s="501"/>
      <c r="AN505" s="501"/>
      <c r="AO505" s="501"/>
      <c r="AP505" s="501"/>
      <c r="AQ505" s="501"/>
      <c r="AR505" s="501"/>
      <c r="AS505" s="501"/>
      <c r="AT505" s="501"/>
      <c r="AU505" s="501"/>
      <c r="AV505" s="501"/>
      <c r="AW505" s="501"/>
      <c r="AX505" s="501"/>
      <c r="AY505" s="501"/>
      <c r="AZ505" s="501"/>
      <c r="BA505" s="501"/>
      <c r="BB505" s="501"/>
      <c r="BC505" s="501"/>
      <c r="BD505" s="501"/>
      <c r="BE505" s="501"/>
      <c r="BF505" s="501"/>
      <c r="BG505" s="501"/>
      <c r="BH505" s="501"/>
      <c r="BI505" s="501"/>
      <c r="BJ505" s="501"/>
    </row>
    <row r="506" spans="1:62" ht="15.75" customHeight="1">
      <c r="B506" s="498"/>
      <c r="C506" s="751"/>
      <c r="W506" s="501"/>
      <c r="X506" s="501"/>
      <c r="Y506" s="501"/>
      <c r="Z506" s="501"/>
      <c r="AA506" s="501"/>
      <c r="AB506" s="501"/>
      <c r="AC506" s="501"/>
      <c r="AD506" s="501"/>
      <c r="AE506" s="501"/>
      <c r="AF506" s="644"/>
      <c r="AG506" s="501"/>
      <c r="AH506" s="501"/>
      <c r="AI506" s="501"/>
      <c r="AJ506" s="501"/>
      <c r="AK506" s="501"/>
      <c r="AL506" s="501"/>
      <c r="AM506" s="501"/>
      <c r="AN506" s="501"/>
      <c r="AO506" s="501"/>
      <c r="AP506" s="501"/>
      <c r="AQ506" s="501"/>
      <c r="AR506" s="501"/>
      <c r="AS506" s="501"/>
      <c r="AT506" s="501"/>
      <c r="AU506" s="501"/>
      <c r="AV506" s="501"/>
      <c r="AW506" s="501"/>
      <c r="AX506" s="501"/>
      <c r="AY506" s="501"/>
      <c r="AZ506" s="501"/>
      <c r="BA506" s="501"/>
      <c r="BB506" s="501"/>
      <c r="BC506" s="501"/>
      <c r="BD506" s="501"/>
      <c r="BE506" s="501"/>
      <c r="BF506" s="501"/>
      <c r="BG506" s="501"/>
      <c r="BH506" s="501"/>
      <c r="BI506" s="501"/>
      <c r="BJ506" s="501"/>
    </row>
    <row r="507" spans="1:62" ht="15.75" customHeight="1">
      <c r="B507" s="498"/>
      <c r="C507" s="751"/>
      <c r="W507" s="501"/>
      <c r="X507" s="501"/>
      <c r="Y507" s="501"/>
      <c r="Z507" s="501"/>
      <c r="AA507" s="501"/>
      <c r="AB507" s="501"/>
      <c r="AC507" s="501"/>
      <c r="AD507" s="501"/>
      <c r="AE507" s="501"/>
      <c r="AF507" s="644"/>
      <c r="AG507" s="501"/>
      <c r="AH507" s="501"/>
      <c r="AI507" s="501"/>
      <c r="AJ507" s="501"/>
      <c r="AK507" s="501"/>
      <c r="AL507" s="501"/>
      <c r="AM507" s="501"/>
      <c r="AN507" s="501"/>
      <c r="AO507" s="501"/>
      <c r="AP507" s="501"/>
      <c r="AQ507" s="501"/>
      <c r="AR507" s="501"/>
      <c r="AS507" s="501"/>
      <c r="AT507" s="501"/>
      <c r="AU507" s="501"/>
      <c r="AV507" s="501"/>
      <c r="AW507" s="501"/>
      <c r="AX507" s="501"/>
      <c r="AY507" s="501"/>
      <c r="AZ507" s="501"/>
      <c r="BA507" s="501"/>
      <c r="BB507" s="501"/>
      <c r="BC507" s="501"/>
      <c r="BD507" s="501"/>
      <c r="BE507" s="501"/>
      <c r="BF507" s="501"/>
      <c r="BG507" s="501"/>
      <c r="BH507" s="501"/>
      <c r="BI507" s="501"/>
      <c r="BJ507" s="501"/>
    </row>
    <row r="508" spans="1:62" ht="15.75" customHeight="1">
      <c r="B508" s="498"/>
      <c r="C508" s="751"/>
      <c r="W508" s="501"/>
      <c r="X508" s="501"/>
      <c r="Y508" s="501"/>
      <c r="Z508" s="501"/>
      <c r="AA508" s="501"/>
      <c r="AB508" s="501"/>
      <c r="AC508" s="501"/>
      <c r="AD508" s="501"/>
      <c r="AE508" s="501"/>
      <c r="AF508" s="501"/>
      <c r="AG508" s="501"/>
      <c r="AH508" s="501"/>
      <c r="AI508" s="501"/>
      <c r="AJ508" s="501"/>
      <c r="AK508" s="501"/>
      <c r="AL508" s="501"/>
      <c r="AM508" s="501"/>
      <c r="AN508" s="501"/>
      <c r="AO508" s="501"/>
      <c r="AP508" s="501"/>
      <c r="AQ508" s="501"/>
      <c r="AR508" s="501"/>
      <c r="AS508" s="501"/>
      <c r="AT508" s="501"/>
      <c r="AU508" s="501"/>
      <c r="AV508" s="501"/>
      <c r="AW508" s="501"/>
      <c r="AX508" s="501"/>
      <c r="AY508" s="501"/>
      <c r="AZ508" s="501"/>
      <c r="BA508" s="501"/>
      <c r="BB508" s="501"/>
      <c r="BC508" s="501"/>
      <c r="BD508" s="501"/>
      <c r="BE508" s="501"/>
      <c r="BF508" s="501"/>
      <c r="BG508" s="501"/>
      <c r="BH508" s="501"/>
      <c r="BI508" s="501"/>
      <c r="BJ508" s="501"/>
    </row>
    <row r="509" spans="1:62" ht="15.75" customHeight="1">
      <c r="B509" s="498"/>
      <c r="C509" s="751"/>
      <c r="W509" s="796"/>
      <c r="X509" s="796"/>
      <c r="Y509" s="501"/>
      <c r="Z509" s="501"/>
      <c r="AA509" s="501"/>
      <c r="AB509" s="501"/>
      <c r="AC509" s="501"/>
      <c r="AD509" s="501"/>
      <c r="AE509" s="501"/>
      <c r="AF509" s="501"/>
      <c r="AG509" s="501"/>
      <c r="AH509" s="501"/>
      <c r="AI509" s="501"/>
      <c r="AJ509" s="501"/>
      <c r="AK509" s="501"/>
      <c r="AL509" s="501"/>
      <c r="AM509" s="501"/>
      <c r="AN509" s="501"/>
      <c r="AO509" s="501"/>
      <c r="AP509" s="501"/>
      <c r="AQ509" s="501"/>
      <c r="AR509" s="501"/>
      <c r="AS509" s="501"/>
      <c r="AT509" s="501"/>
      <c r="AU509" s="501"/>
      <c r="AV509" s="501"/>
      <c r="AW509" s="501"/>
      <c r="AX509" s="501"/>
      <c r="AY509" s="501"/>
      <c r="AZ509" s="501"/>
      <c r="BA509" s="501"/>
      <c r="BB509" s="501"/>
      <c r="BC509" s="501"/>
      <c r="BD509" s="501"/>
      <c r="BE509" s="501"/>
      <c r="BF509" s="501"/>
      <c r="BG509" s="501"/>
      <c r="BH509" s="501"/>
      <c r="BI509" s="501"/>
      <c r="BJ509" s="501"/>
    </row>
    <row r="510" spans="1:62" ht="15.75" customHeight="1">
      <c r="B510" s="498"/>
      <c r="C510" s="751"/>
      <c r="W510" s="796"/>
      <c r="X510" s="796"/>
      <c r="Y510" s="501"/>
      <c r="Z510" s="501"/>
      <c r="AA510" s="501"/>
      <c r="AB510" s="501"/>
      <c r="AC510" s="501"/>
      <c r="AD510" s="501"/>
      <c r="AE510" s="501"/>
      <c r="AF510" s="501"/>
      <c r="AG510" s="501"/>
      <c r="AH510" s="501"/>
      <c r="AI510" s="501"/>
      <c r="AJ510" s="501"/>
      <c r="AK510" s="501"/>
      <c r="AL510" s="501"/>
      <c r="AM510" s="501"/>
      <c r="AN510" s="501"/>
      <c r="AO510" s="501"/>
      <c r="AP510" s="501"/>
      <c r="AQ510" s="501"/>
      <c r="AR510" s="501"/>
      <c r="AS510" s="501"/>
      <c r="AT510" s="501"/>
      <c r="AU510" s="501"/>
      <c r="AV510" s="501"/>
      <c r="AW510" s="501"/>
      <c r="AX510" s="501"/>
      <c r="AY510" s="501"/>
      <c r="AZ510" s="501"/>
      <c r="BA510" s="501"/>
      <c r="BB510" s="501"/>
      <c r="BC510" s="501"/>
      <c r="BD510" s="501"/>
      <c r="BE510" s="501"/>
      <c r="BF510" s="501"/>
      <c r="BG510" s="501"/>
      <c r="BH510" s="501"/>
      <c r="BI510" s="501"/>
      <c r="BJ510" s="501"/>
    </row>
    <row r="511" spans="1:62" ht="15.75" customHeight="1">
      <c r="B511" s="498"/>
      <c r="C511" s="751"/>
      <c r="W511" s="796"/>
      <c r="X511" s="796"/>
      <c r="Y511" s="501"/>
      <c r="Z511" s="501"/>
      <c r="AA511" s="501"/>
      <c r="AB511" s="501"/>
      <c r="AC511" s="501"/>
      <c r="AD511" s="501"/>
      <c r="AE511" s="501"/>
      <c r="AF511" s="501"/>
      <c r="AG511" s="501"/>
      <c r="AH511" s="501"/>
      <c r="AI511" s="501"/>
      <c r="AJ511" s="501"/>
      <c r="AK511" s="501"/>
      <c r="AL511" s="501"/>
      <c r="AM511" s="501"/>
      <c r="AN511" s="501"/>
      <c r="AO511" s="501"/>
      <c r="AP511" s="501"/>
      <c r="AQ511" s="501"/>
      <c r="AR511" s="501"/>
      <c r="AS511" s="501"/>
      <c r="AT511" s="501"/>
      <c r="AU511" s="501"/>
      <c r="AV511" s="501"/>
      <c r="AW511" s="501"/>
      <c r="AX511" s="501"/>
      <c r="AY511" s="501"/>
      <c r="AZ511" s="501"/>
      <c r="BA511" s="501"/>
      <c r="BB511" s="501"/>
      <c r="BC511" s="501"/>
      <c r="BD511" s="501"/>
      <c r="BE511" s="501"/>
      <c r="BF511" s="501"/>
      <c r="BG511" s="501"/>
      <c r="BH511" s="501"/>
      <c r="BI511" s="501"/>
      <c r="BJ511" s="501"/>
    </row>
    <row r="512" spans="1:62" ht="15.75" customHeight="1">
      <c r="B512" s="498"/>
      <c r="C512" s="751"/>
      <c r="W512" s="796"/>
      <c r="X512" s="796"/>
      <c r="Y512" s="501"/>
      <c r="Z512" s="501"/>
      <c r="AA512" s="501"/>
      <c r="AB512" s="501"/>
      <c r="AC512" s="501"/>
      <c r="AD512" s="501"/>
      <c r="AE512" s="501"/>
      <c r="AF512" s="501"/>
      <c r="AG512" s="501"/>
      <c r="AH512" s="501"/>
      <c r="AI512" s="501"/>
      <c r="AJ512" s="501"/>
      <c r="AK512" s="501"/>
      <c r="AL512" s="501"/>
      <c r="AM512" s="501"/>
      <c r="AN512" s="501"/>
      <c r="AO512" s="501"/>
      <c r="AP512" s="501"/>
      <c r="AQ512" s="501"/>
      <c r="AR512" s="501"/>
      <c r="AS512" s="501"/>
      <c r="AT512" s="501"/>
      <c r="AU512" s="501"/>
      <c r="AV512" s="501"/>
      <c r="AW512" s="501"/>
      <c r="AX512" s="501"/>
      <c r="AY512" s="501"/>
      <c r="AZ512" s="501"/>
      <c r="BA512" s="501"/>
      <c r="BB512" s="501"/>
      <c r="BC512" s="501"/>
      <c r="BD512" s="501"/>
      <c r="BE512" s="501"/>
      <c r="BF512" s="501"/>
      <c r="BG512" s="501"/>
      <c r="BH512" s="501"/>
      <c r="BI512" s="501"/>
      <c r="BJ512" s="501"/>
    </row>
    <row r="513" spans="2:62" ht="15.75" customHeight="1">
      <c r="B513" s="498"/>
      <c r="C513" s="751"/>
      <c r="W513" s="796"/>
      <c r="X513" s="796"/>
      <c r="Y513" s="501"/>
      <c r="Z513" s="501"/>
      <c r="AA513" s="501"/>
      <c r="AB513" s="501"/>
      <c r="AC513" s="501"/>
      <c r="AD513" s="501"/>
      <c r="AE513" s="501"/>
      <c r="AF513" s="501"/>
      <c r="AG513" s="501"/>
      <c r="AH513" s="501"/>
      <c r="AI513" s="501"/>
      <c r="AJ513" s="501"/>
      <c r="AK513" s="501"/>
      <c r="AL513" s="501"/>
      <c r="AM513" s="501"/>
      <c r="AN513" s="501"/>
      <c r="AO513" s="501"/>
      <c r="AP513" s="501"/>
      <c r="AQ513" s="501"/>
      <c r="AR513" s="501"/>
      <c r="AS513" s="501"/>
      <c r="AT513" s="501"/>
      <c r="AU513" s="501"/>
      <c r="AV513" s="501"/>
      <c r="AW513" s="501"/>
      <c r="AX513" s="501"/>
      <c r="AY513" s="501"/>
      <c r="AZ513" s="501"/>
      <c r="BA513" s="501"/>
      <c r="BB513" s="501"/>
      <c r="BC513" s="501"/>
      <c r="BD513" s="501"/>
      <c r="BE513" s="501"/>
      <c r="BF513" s="501"/>
      <c r="BG513" s="501"/>
      <c r="BH513" s="501"/>
      <c r="BI513" s="501"/>
      <c r="BJ513" s="501"/>
    </row>
    <row r="514" spans="2:62" ht="15.75" customHeight="1">
      <c r="B514" s="498"/>
      <c r="C514" s="751"/>
      <c r="W514" s="796"/>
      <c r="X514" s="796"/>
      <c r="Y514" s="501"/>
      <c r="Z514" s="501"/>
      <c r="AA514" s="501"/>
      <c r="AB514" s="501"/>
      <c r="AC514" s="501"/>
      <c r="AD514" s="501"/>
      <c r="AE514" s="501"/>
      <c r="AF514" s="501"/>
      <c r="AG514" s="501"/>
      <c r="AH514" s="501"/>
      <c r="AI514" s="501"/>
      <c r="AJ514" s="501"/>
      <c r="AK514" s="501"/>
      <c r="AL514" s="501"/>
      <c r="AM514" s="501"/>
      <c r="AN514" s="501"/>
      <c r="AO514" s="501"/>
      <c r="AP514" s="501"/>
      <c r="AQ514" s="501"/>
      <c r="AR514" s="501"/>
      <c r="AS514" s="501"/>
      <c r="AT514" s="501"/>
      <c r="AU514" s="501"/>
      <c r="AV514" s="501"/>
      <c r="AW514" s="501"/>
      <c r="AX514" s="501"/>
      <c r="AY514" s="501"/>
      <c r="AZ514" s="501"/>
      <c r="BA514" s="501"/>
      <c r="BB514" s="501"/>
      <c r="BC514" s="501"/>
      <c r="BD514" s="501"/>
      <c r="BE514" s="501"/>
      <c r="BF514" s="501"/>
      <c r="BG514" s="501"/>
      <c r="BH514" s="501"/>
      <c r="BI514" s="501"/>
      <c r="BJ514" s="501"/>
    </row>
    <row r="515" spans="2:62" ht="15.75" customHeight="1">
      <c r="B515" s="498"/>
      <c r="W515" s="796"/>
      <c r="X515" s="796"/>
      <c r="Y515" s="501"/>
      <c r="Z515" s="501"/>
      <c r="AA515" s="501"/>
      <c r="AB515" s="501"/>
      <c r="AC515" s="501"/>
      <c r="AD515" s="501"/>
      <c r="AE515" s="501"/>
      <c r="AF515" s="501"/>
      <c r="AG515" s="501"/>
      <c r="AH515" s="501"/>
      <c r="AI515" s="501"/>
      <c r="AJ515" s="501"/>
      <c r="AK515" s="501"/>
      <c r="AL515" s="501"/>
      <c r="AM515" s="501"/>
      <c r="AN515" s="501"/>
      <c r="AO515" s="501"/>
      <c r="AP515" s="501"/>
      <c r="AQ515" s="501"/>
      <c r="AR515" s="501"/>
      <c r="AS515" s="501"/>
      <c r="AT515" s="501"/>
      <c r="AU515" s="501"/>
      <c r="AV515" s="501"/>
      <c r="AW515" s="501"/>
      <c r="AX515" s="501"/>
      <c r="AY515" s="501"/>
      <c r="AZ515" s="501"/>
      <c r="BA515" s="501"/>
      <c r="BB515" s="501"/>
      <c r="BC515" s="501"/>
      <c r="BD515" s="501"/>
      <c r="BE515" s="501"/>
      <c r="BF515" s="501"/>
      <c r="BG515" s="501"/>
      <c r="BH515" s="501"/>
      <c r="BI515" s="501"/>
      <c r="BJ515" s="501"/>
    </row>
    <row r="516" spans="2:62" ht="15.75" customHeight="1">
      <c r="B516" s="498"/>
      <c r="W516" s="796"/>
      <c r="X516" s="796"/>
      <c r="Y516" s="501"/>
      <c r="Z516" s="501"/>
      <c r="AA516" s="501"/>
      <c r="AB516" s="501"/>
      <c r="AC516" s="501"/>
      <c r="AD516" s="501"/>
      <c r="AE516" s="501"/>
      <c r="AF516" s="501"/>
      <c r="AG516" s="501"/>
      <c r="AH516" s="501"/>
      <c r="AI516" s="501"/>
      <c r="AJ516" s="501"/>
      <c r="AK516" s="501"/>
      <c r="AL516" s="501"/>
      <c r="AM516" s="501"/>
      <c r="AN516" s="501"/>
      <c r="AO516" s="501"/>
      <c r="AP516" s="501"/>
      <c r="AQ516" s="501"/>
      <c r="AR516" s="501"/>
      <c r="AS516" s="501"/>
      <c r="AT516" s="501"/>
      <c r="AU516" s="501"/>
      <c r="AV516" s="501"/>
      <c r="AW516" s="501"/>
      <c r="AX516" s="501"/>
      <c r="AY516" s="501"/>
      <c r="AZ516" s="501"/>
      <c r="BA516" s="501"/>
      <c r="BB516" s="501"/>
      <c r="BC516" s="501"/>
      <c r="BD516" s="501"/>
      <c r="BE516" s="501"/>
      <c r="BF516" s="501"/>
      <c r="BG516" s="501"/>
      <c r="BH516" s="501"/>
      <c r="BI516" s="501"/>
      <c r="BJ516" s="501"/>
    </row>
    <row r="517" spans="2:62" ht="15.75" customHeight="1">
      <c r="B517" s="498"/>
      <c r="W517" s="796"/>
      <c r="X517" s="796"/>
      <c r="Y517" s="501"/>
      <c r="Z517" s="501"/>
      <c r="AA517" s="501"/>
      <c r="AB517" s="501"/>
      <c r="AC517" s="501"/>
      <c r="AD517" s="501"/>
      <c r="AE517" s="501"/>
      <c r="AF517" s="501"/>
      <c r="AG517" s="501"/>
      <c r="AH517" s="501"/>
      <c r="AI517" s="501"/>
      <c r="AJ517" s="501"/>
      <c r="AK517" s="501"/>
      <c r="AL517" s="501"/>
      <c r="AM517" s="501"/>
      <c r="AN517" s="501"/>
      <c r="AO517" s="501"/>
      <c r="AP517" s="501"/>
      <c r="AQ517" s="501"/>
      <c r="AR517" s="501"/>
      <c r="AS517" s="501"/>
      <c r="AT517" s="501"/>
      <c r="AU517" s="501"/>
      <c r="AV517" s="501"/>
      <c r="AW517" s="501"/>
      <c r="AX517" s="501"/>
      <c r="AY517" s="501"/>
      <c r="AZ517" s="501"/>
      <c r="BA517" s="501"/>
      <c r="BB517" s="501"/>
      <c r="BC517" s="501"/>
      <c r="BD517" s="501"/>
      <c r="BE517" s="501"/>
      <c r="BF517" s="501"/>
      <c r="BG517" s="501"/>
      <c r="BH517" s="501"/>
      <c r="BI517" s="501"/>
      <c r="BJ517" s="501"/>
    </row>
    <row r="518" spans="2:62" ht="15.75" customHeight="1">
      <c r="B518" s="498"/>
      <c r="W518" s="796"/>
      <c r="X518" s="796"/>
      <c r="Y518" s="501"/>
      <c r="Z518" s="501"/>
      <c r="AA518" s="501"/>
      <c r="AB518" s="501"/>
      <c r="AC518" s="501"/>
      <c r="AD518" s="501"/>
      <c r="AE518" s="501"/>
      <c r="AF518" s="501"/>
      <c r="AG518" s="501"/>
      <c r="AH518" s="501"/>
      <c r="AI518" s="501"/>
      <c r="AJ518" s="501"/>
      <c r="AK518" s="501"/>
      <c r="AL518" s="501"/>
      <c r="AM518" s="501"/>
      <c r="AN518" s="501"/>
      <c r="AO518" s="501"/>
      <c r="AP518" s="501"/>
      <c r="AQ518" s="501"/>
      <c r="AR518" s="501"/>
      <c r="AS518" s="501"/>
      <c r="AT518" s="501"/>
      <c r="AU518" s="501"/>
      <c r="AV518" s="501"/>
      <c r="AW518" s="501"/>
      <c r="AX518" s="501"/>
      <c r="AY518" s="501"/>
      <c r="AZ518" s="501"/>
      <c r="BA518" s="501"/>
      <c r="BB518" s="501"/>
      <c r="BC518" s="501"/>
      <c r="BD518" s="501"/>
      <c r="BE518" s="501"/>
      <c r="BF518" s="501"/>
      <c r="BG518" s="501"/>
      <c r="BH518" s="501"/>
      <c r="BI518" s="501"/>
      <c r="BJ518" s="501"/>
    </row>
    <row r="519" spans="2:62" ht="15.75" customHeight="1">
      <c r="B519" s="498"/>
      <c r="W519" s="796"/>
      <c r="X519" s="796"/>
      <c r="Y519" s="501"/>
      <c r="Z519" s="501"/>
      <c r="AA519" s="501"/>
      <c r="AB519" s="501"/>
      <c r="AC519" s="501"/>
      <c r="AD519" s="501"/>
      <c r="AE519" s="501"/>
      <c r="AF519" s="501"/>
      <c r="AG519" s="501"/>
      <c r="AH519" s="501"/>
      <c r="AI519" s="501"/>
      <c r="AJ519" s="501"/>
      <c r="AK519" s="501"/>
      <c r="AL519" s="501"/>
      <c r="AM519" s="501"/>
      <c r="AN519" s="501"/>
      <c r="AO519" s="501"/>
      <c r="AP519" s="501"/>
      <c r="AQ519" s="501"/>
      <c r="AR519" s="501"/>
      <c r="AS519" s="501"/>
      <c r="AT519" s="501"/>
      <c r="AU519" s="501"/>
      <c r="AV519" s="501"/>
      <c r="AW519" s="501"/>
      <c r="AX519" s="501"/>
      <c r="AY519" s="501"/>
      <c r="AZ519" s="501"/>
      <c r="BA519" s="501"/>
      <c r="BB519" s="501"/>
      <c r="BC519" s="501"/>
      <c r="BD519" s="501"/>
      <c r="BE519" s="501"/>
      <c r="BF519" s="501"/>
      <c r="BG519" s="501"/>
      <c r="BH519" s="501"/>
      <c r="BI519" s="501"/>
      <c r="BJ519" s="501"/>
    </row>
    <row r="520" spans="2:62" ht="15.75" customHeight="1">
      <c r="B520" s="498"/>
      <c r="W520" s="796"/>
      <c r="X520" s="796"/>
      <c r="Y520" s="501"/>
      <c r="Z520" s="501"/>
      <c r="AA520" s="501"/>
      <c r="AB520" s="501"/>
      <c r="AC520" s="501"/>
      <c r="AD520" s="501"/>
      <c r="AE520" s="501"/>
      <c r="AF520" s="501"/>
      <c r="AG520" s="501"/>
      <c r="AH520" s="501"/>
      <c r="AI520" s="501"/>
      <c r="AJ520" s="501"/>
      <c r="AK520" s="501"/>
      <c r="AL520" s="501"/>
      <c r="AM520" s="501"/>
      <c r="AN520" s="501"/>
      <c r="AO520" s="501"/>
      <c r="AP520" s="501"/>
      <c r="AQ520" s="501"/>
      <c r="AR520" s="501"/>
      <c r="AS520" s="501"/>
      <c r="AT520" s="501"/>
      <c r="AU520" s="501"/>
      <c r="AV520" s="501"/>
      <c r="AW520" s="501"/>
      <c r="AX520" s="501"/>
      <c r="AY520" s="501"/>
      <c r="AZ520" s="501"/>
      <c r="BA520" s="501"/>
      <c r="BB520" s="501"/>
      <c r="BC520" s="501"/>
      <c r="BD520" s="501"/>
      <c r="BE520" s="501"/>
      <c r="BF520" s="501"/>
      <c r="BG520" s="501"/>
      <c r="BH520" s="501"/>
      <c r="BI520" s="501"/>
      <c r="BJ520" s="501"/>
    </row>
    <row r="521" spans="2:62" ht="15.75" customHeight="1">
      <c r="B521" s="498"/>
      <c r="W521" s="796"/>
      <c r="X521" s="796"/>
      <c r="Y521" s="501"/>
      <c r="Z521" s="501"/>
      <c r="AA521" s="501"/>
      <c r="AB521" s="501"/>
      <c r="AC521" s="501"/>
      <c r="AD521" s="501"/>
      <c r="AE521" s="501"/>
      <c r="AF521" s="501"/>
      <c r="AG521" s="501"/>
      <c r="AH521" s="501"/>
      <c r="AI521" s="501"/>
      <c r="AJ521" s="501"/>
      <c r="AK521" s="501"/>
      <c r="AL521" s="501"/>
      <c r="AM521" s="501"/>
      <c r="AN521" s="501"/>
      <c r="AO521" s="501"/>
      <c r="AP521" s="501"/>
      <c r="AQ521" s="501"/>
      <c r="AR521" s="501"/>
      <c r="AS521" s="501"/>
      <c r="AT521" s="501"/>
      <c r="AU521" s="501"/>
      <c r="AV521" s="501"/>
      <c r="AW521" s="501"/>
      <c r="AX521" s="501"/>
      <c r="AY521" s="501"/>
      <c r="AZ521" s="501"/>
      <c r="BA521" s="501"/>
      <c r="BB521" s="501"/>
      <c r="BC521" s="501"/>
      <c r="BD521" s="501"/>
      <c r="BE521" s="501"/>
      <c r="BF521" s="501"/>
      <c r="BG521" s="501"/>
      <c r="BH521" s="501"/>
      <c r="BI521" s="501"/>
      <c r="BJ521" s="501"/>
    </row>
    <row r="522" spans="2:62" ht="15.75" customHeight="1">
      <c r="B522" s="498"/>
      <c r="W522" s="796"/>
      <c r="X522" s="796"/>
      <c r="Y522" s="501"/>
      <c r="Z522" s="501"/>
      <c r="AA522" s="501"/>
      <c r="AB522" s="501"/>
      <c r="AC522" s="501"/>
      <c r="AD522" s="501"/>
      <c r="AE522" s="501"/>
      <c r="AF522" s="501"/>
      <c r="AG522" s="501"/>
      <c r="AH522" s="501"/>
      <c r="AI522" s="501"/>
      <c r="AJ522" s="501"/>
      <c r="AK522" s="501"/>
      <c r="AL522" s="501"/>
      <c r="AM522" s="501"/>
      <c r="AN522" s="501"/>
      <c r="AO522" s="501"/>
      <c r="AP522" s="501"/>
      <c r="AQ522" s="501"/>
      <c r="AR522" s="501"/>
      <c r="AS522" s="501"/>
      <c r="AT522" s="501"/>
      <c r="AU522" s="501"/>
      <c r="AV522" s="501"/>
      <c r="AW522" s="501"/>
      <c r="AX522" s="501"/>
      <c r="AY522" s="501"/>
      <c r="AZ522" s="501"/>
      <c r="BA522" s="501"/>
      <c r="BB522" s="501"/>
      <c r="BC522" s="501"/>
      <c r="BD522" s="501"/>
      <c r="BE522" s="501"/>
      <c r="BF522" s="501"/>
      <c r="BG522" s="501"/>
      <c r="BH522" s="501"/>
      <c r="BI522" s="501"/>
      <c r="BJ522" s="501"/>
    </row>
    <row r="523" spans="2:62" ht="15.75" customHeight="1">
      <c r="B523" s="498"/>
      <c r="W523" s="796"/>
      <c r="X523" s="796"/>
      <c r="Y523" s="501"/>
      <c r="Z523" s="501"/>
      <c r="AA523" s="501"/>
      <c r="AB523" s="501"/>
      <c r="AC523" s="501"/>
      <c r="AD523" s="501"/>
      <c r="AE523" s="501"/>
      <c r="AF523" s="501"/>
      <c r="AG523" s="501"/>
      <c r="AH523" s="501"/>
      <c r="AI523" s="501"/>
      <c r="AJ523" s="501"/>
      <c r="AK523" s="501"/>
      <c r="AL523" s="501"/>
      <c r="AM523" s="501"/>
      <c r="AN523" s="501"/>
      <c r="AO523" s="501"/>
      <c r="AP523" s="501"/>
      <c r="AQ523" s="501"/>
      <c r="AR523" s="501"/>
      <c r="AS523" s="501"/>
      <c r="AT523" s="501"/>
      <c r="AU523" s="501"/>
      <c r="AV523" s="501"/>
      <c r="AW523" s="501"/>
      <c r="AX523" s="501"/>
      <c r="AY523" s="501"/>
      <c r="AZ523" s="501"/>
      <c r="BA523" s="501"/>
      <c r="BB523" s="501"/>
      <c r="BC523" s="501"/>
      <c r="BD523" s="501"/>
      <c r="BE523" s="501"/>
      <c r="BF523" s="501"/>
      <c r="BG523" s="501"/>
      <c r="BH523" s="501"/>
      <c r="BI523" s="501"/>
      <c r="BJ523" s="501"/>
    </row>
    <row r="524" spans="2:62" ht="15.75" customHeight="1">
      <c r="B524" s="498"/>
      <c r="C524" s="751"/>
      <c r="W524" s="796"/>
      <c r="X524" s="796"/>
      <c r="Y524" s="501"/>
      <c r="Z524" s="501"/>
      <c r="AA524" s="501"/>
      <c r="AB524" s="501"/>
      <c r="AC524" s="501"/>
      <c r="AD524" s="501"/>
      <c r="AE524" s="501"/>
      <c r="AF524" s="501"/>
      <c r="AG524" s="501"/>
      <c r="AH524" s="501"/>
      <c r="AI524" s="501"/>
      <c r="AJ524" s="501"/>
      <c r="AK524" s="501"/>
      <c r="AL524" s="501"/>
      <c r="AM524" s="501"/>
      <c r="AN524" s="501"/>
      <c r="AO524" s="501"/>
      <c r="AP524" s="501"/>
      <c r="AQ524" s="501"/>
      <c r="AR524" s="501"/>
      <c r="AS524" s="501"/>
      <c r="AT524" s="501"/>
      <c r="AU524" s="501"/>
      <c r="AV524" s="501"/>
      <c r="AW524" s="501"/>
      <c r="AX524" s="501"/>
      <c r="AY524" s="501"/>
      <c r="AZ524" s="501"/>
      <c r="BA524" s="501"/>
      <c r="BB524" s="501"/>
      <c r="BC524" s="501"/>
      <c r="BD524" s="501"/>
      <c r="BE524" s="501"/>
      <c r="BF524" s="501"/>
      <c r="BG524" s="501"/>
      <c r="BH524" s="501"/>
      <c r="BI524" s="501"/>
      <c r="BJ524" s="501"/>
    </row>
    <row r="525" spans="2:62" ht="15.75" customHeight="1">
      <c r="B525" s="498"/>
      <c r="C525" s="751"/>
      <c r="W525" s="796"/>
      <c r="X525" s="796"/>
      <c r="Y525" s="501"/>
      <c r="Z525" s="501"/>
      <c r="AA525" s="501"/>
      <c r="AB525" s="501"/>
      <c r="AC525" s="501"/>
      <c r="AD525" s="501"/>
      <c r="AE525" s="501"/>
      <c r="AF525" s="501"/>
      <c r="AG525" s="501"/>
      <c r="AH525" s="501"/>
      <c r="AI525" s="501"/>
      <c r="AJ525" s="501"/>
      <c r="AK525" s="501"/>
      <c r="AL525" s="501"/>
      <c r="AM525" s="501"/>
      <c r="AN525" s="501"/>
      <c r="AO525" s="501"/>
      <c r="AP525" s="501"/>
      <c r="AQ525" s="501"/>
      <c r="AR525" s="501"/>
      <c r="AS525" s="501"/>
      <c r="AT525" s="501"/>
      <c r="AU525" s="501"/>
      <c r="AV525" s="501"/>
      <c r="AW525" s="501"/>
      <c r="AX525" s="501"/>
      <c r="AY525" s="501"/>
      <c r="AZ525" s="501"/>
      <c r="BA525" s="501"/>
      <c r="BB525" s="501"/>
      <c r="BC525" s="501"/>
      <c r="BD525" s="501"/>
      <c r="BE525" s="501"/>
      <c r="BF525" s="501"/>
      <c r="BG525" s="501"/>
      <c r="BH525" s="501"/>
      <c r="BI525" s="501"/>
      <c r="BJ525" s="501"/>
    </row>
    <row r="526" spans="2:62" ht="15.75" customHeight="1">
      <c r="B526" s="498"/>
      <c r="C526" s="751"/>
      <c r="W526" s="796"/>
      <c r="X526" s="796"/>
      <c r="Y526" s="501"/>
      <c r="Z526" s="501"/>
      <c r="AA526" s="501"/>
      <c r="AB526" s="501"/>
      <c r="AC526" s="501"/>
      <c r="AD526" s="501"/>
      <c r="AE526" s="501"/>
      <c r="AF526" s="501"/>
      <c r="AG526" s="501"/>
      <c r="AH526" s="501"/>
      <c r="AI526" s="501"/>
      <c r="AJ526" s="501"/>
      <c r="AK526" s="501"/>
      <c r="AL526" s="501"/>
      <c r="AM526" s="501"/>
      <c r="AN526" s="501"/>
      <c r="AO526" s="501"/>
      <c r="AP526" s="501"/>
      <c r="AQ526" s="501"/>
      <c r="AR526" s="501"/>
      <c r="AS526" s="501"/>
      <c r="AT526" s="501"/>
      <c r="AU526" s="501"/>
      <c r="AV526" s="501"/>
      <c r="AW526" s="501"/>
      <c r="AX526" s="501"/>
      <c r="AY526" s="501"/>
      <c r="AZ526" s="501"/>
      <c r="BA526" s="501"/>
      <c r="BB526" s="501"/>
      <c r="BC526" s="501"/>
      <c r="BD526" s="501"/>
      <c r="BE526" s="501"/>
      <c r="BF526" s="501"/>
      <c r="BG526" s="501"/>
      <c r="BH526" s="501"/>
      <c r="BI526" s="501"/>
      <c r="BJ526" s="501"/>
    </row>
    <row r="527" spans="2:62" ht="15.75" customHeight="1">
      <c r="B527" s="498"/>
      <c r="C527" s="751"/>
      <c r="W527" s="796"/>
      <c r="X527" s="796"/>
      <c r="Y527" s="501"/>
      <c r="Z527" s="501"/>
      <c r="AA527" s="501"/>
      <c r="AB527" s="501"/>
      <c r="AC527" s="501"/>
      <c r="AD527" s="501"/>
      <c r="AE527" s="501"/>
      <c r="AF527" s="501"/>
      <c r="AG527" s="501"/>
      <c r="AH527" s="501"/>
      <c r="AI527" s="501"/>
      <c r="AJ527" s="501"/>
      <c r="AK527" s="501"/>
      <c r="AL527" s="501"/>
      <c r="AM527" s="501"/>
      <c r="AN527" s="501"/>
      <c r="AO527" s="501"/>
      <c r="AP527" s="501"/>
      <c r="AQ527" s="501"/>
      <c r="AR527" s="501"/>
      <c r="AS527" s="501"/>
      <c r="AT527" s="501"/>
      <c r="AU527" s="501"/>
      <c r="AV527" s="501"/>
      <c r="AW527" s="501"/>
      <c r="AX527" s="501"/>
      <c r="AY527" s="501"/>
      <c r="AZ527" s="501"/>
      <c r="BA527" s="501"/>
      <c r="BB527" s="501"/>
      <c r="BC527" s="501"/>
      <c r="BD527" s="501"/>
      <c r="BE527" s="501"/>
      <c r="BF527" s="501"/>
      <c r="BG527" s="501"/>
      <c r="BH527" s="501"/>
      <c r="BI527" s="501"/>
      <c r="BJ527" s="501"/>
    </row>
    <row r="528" spans="2:62" ht="15.75" customHeight="1">
      <c r="B528" s="498"/>
      <c r="C528" s="751"/>
      <c r="W528" s="796"/>
      <c r="X528" s="796"/>
      <c r="Y528" s="501"/>
      <c r="Z528" s="501"/>
      <c r="AA528" s="501"/>
      <c r="AB528" s="501"/>
      <c r="AC528" s="501"/>
      <c r="AD528" s="501"/>
      <c r="AE528" s="501"/>
      <c r="AF528" s="501"/>
      <c r="AG528" s="501"/>
      <c r="AH528" s="501"/>
      <c r="AI528" s="501"/>
      <c r="AJ528" s="501"/>
      <c r="AK528" s="501"/>
      <c r="AL528" s="501"/>
      <c r="AM528" s="501"/>
      <c r="AN528" s="501"/>
      <c r="AO528" s="501"/>
      <c r="AP528" s="501"/>
      <c r="AQ528" s="501"/>
      <c r="AR528" s="501"/>
      <c r="AS528" s="501"/>
      <c r="AT528" s="501"/>
      <c r="AU528" s="501"/>
      <c r="AV528" s="501"/>
      <c r="AW528" s="501"/>
      <c r="AX528" s="501"/>
      <c r="AY528" s="501"/>
      <c r="AZ528" s="501"/>
      <c r="BA528" s="501"/>
      <c r="BB528" s="501"/>
      <c r="BC528" s="501"/>
      <c r="BD528" s="501"/>
      <c r="BE528" s="501"/>
      <c r="BF528" s="501"/>
      <c r="BG528" s="501"/>
      <c r="BH528" s="501"/>
      <c r="BI528" s="501"/>
      <c r="BJ528" s="501"/>
    </row>
    <row r="529" spans="2:62" ht="15.75" customHeight="1">
      <c r="B529" s="498"/>
      <c r="C529" s="751"/>
      <c r="W529" s="796"/>
      <c r="X529" s="796"/>
      <c r="Y529" s="501"/>
      <c r="Z529" s="501"/>
      <c r="AA529" s="501"/>
      <c r="AB529" s="501"/>
      <c r="AC529" s="501"/>
      <c r="AD529" s="501"/>
      <c r="AE529" s="501"/>
      <c r="AF529" s="501"/>
      <c r="AG529" s="501"/>
      <c r="AH529" s="501"/>
      <c r="AI529" s="501"/>
      <c r="AJ529" s="501"/>
      <c r="AK529" s="501"/>
      <c r="AL529" s="501"/>
      <c r="AM529" s="501"/>
      <c r="AN529" s="501"/>
      <c r="AO529" s="501"/>
      <c r="AP529" s="501"/>
      <c r="AQ529" s="501"/>
      <c r="AR529" s="501"/>
      <c r="AS529" s="501"/>
      <c r="AT529" s="501"/>
      <c r="AU529" s="501"/>
      <c r="AV529" s="501"/>
      <c r="AW529" s="501"/>
      <c r="AX529" s="501"/>
      <c r="AY529" s="501"/>
      <c r="AZ529" s="501"/>
      <c r="BA529" s="501"/>
      <c r="BB529" s="501"/>
      <c r="BC529" s="501"/>
      <c r="BD529" s="501"/>
      <c r="BE529" s="501"/>
      <c r="BF529" s="501"/>
      <c r="BG529" s="501"/>
      <c r="BH529" s="501"/>
      <c r="BI529" s="501"/>
      <c r="BJ529" s="501"/>
    </row>
    <row r="530" spans="2:62" ht="15.75" customHeight="1">
      <c r="B530" s="498"/>
      <c r="C530" s="751"/>
      <c r="W530" s="796"/>
      <c r="X530" s="796"/>
      <c r="Y530" s="501"/>
      <c r="Z530" s="501"/>
      <c r="AA530" s="501"/>
      <c r="AB530" s="501"/>
      <c r="AC530" s="501"/>
      <c r="AD530" s="501"/>
      <c r="AE530" s="501"/>
      <c r="AF530" s="501"/>
      <c r="AG530" s="501"/>
      <c r="AH530" s="501"/>
      <c r="AI530" s="501"/>
      <c r="AJ530" s="501"/>
      <c r="AK530" s="501"/>
      <c r="AL530" s="501"/>
      <c r="AM530" s="501"/>
      <c r="AN530" s="501"/>
      <c r="AO530" s="501"/>
      <c r="AP530" s="501"/>
      <c r="AQ530" s="501"/>
      <c r="AR530" s="501"/>
      <c r="AS530" s="501"/>
      <c r="AT530" s="501"/>
      <c r="AU530" s="501"/>
      <c r="AV530" s="501"/>
      <c r="AW530" s="501"/>
      <c r="AX530" s="501"/>
      <c r="AY530" s="501"/>
      <c r="AZ530" s="501"/>
      <c r="BA530" s="501"/>
      <c r="BB530" s="501"/>
      <c r="BC530" s="501"/>
      <c r="BD530" s="501"/>
      <c r="BE530" s="501"/>
      <c r="BF530" s="501"/>
      <c r="BG530" s="501"/>
      <c r="BH530" s="501"/>
      <c r="BI530" s="501"/>
      <c r="BJ530" s="501"/>
    </row>
    <row r="531" spans="2:62" ht="15.75" customHeight="1">
      <c r="B531" s="498"/>
      <c r="C531" s="751"/>
      <c r="W531" s="796"/>
      <c r="X531" s="796"/>
      <c r="Y531" s="501"/>
      <c r="Z531" s="501"/>
      <c r="AA531" s="501"/>
      <c r="AB531" s="501"/>
      <c r="AC531" s="501"/>
      <c r="AD531" s="501"/>
      <c r="AE531" s="501"/>
      <c r="AF531" s="501"/>
      <c r="AG531" s="501"/>
      <c r="AH531" s="501"/>
      <c r="AI531" s="501"/>
      <c r="AJ531" s="501"/>
      <c r="AK531" s="501"/>
      <c r="AL531" s="501"/>
      <c r="AM531" s="501"/>
      <c r="AN531" s="501"/>
      <c r="AO531" s="501"/>
      <c r="AP531" s="501"/>
      <c r="AQ531" s="501"/>
      <c r="AR531" s="501"/>
      <c r="AS531" s="501"/>
      <c r="AT531" s="501"/>
      <c r="AU531" s="501"/>
      <c r="AV531" s="501"/>
      <c r="AW531" s="501"/>
      <c r="AX531" s="501"/>
      <c r="AY531" s="501"/>
      <c r="AZ531" s="501"/>
      <c r="BA531" s="501"/>
      <c r="BB531" s="501"/>
      <c r="BC531" s="501"/>
      <c r="BD531" s="501"/>
      <c r="BE531" s="501"/>
      <c r="BF531" s="501"/>
      <c r="BG531" s="501"/>
      <c r="BH531" s="501"/>
      <c r="BI531" s="501"/>
      <c r="BJ531" s="501"/>
    </row>
    <row r="532" spans="2:62" ht="15.75" customHeight="1">
      <c r="B532" s="498"/>
      <c r="C532" s="751"/>
      <c r="W532" s="796"/>
      <c r="X532" s="796"/>
      <c r="Y532" s="501"/>
      <c r="Z532" s="501"/>
      <c r="AA532" s="501"/>
      <c r="AB532" s="501"/>
      <c r="AC532" s="501"/>
      <c r="AD532" s="501"/>
      <c r="AE532" s="501"/>
      <c r="AF532" s="501"/>
      <c r="AG532" s="501"/>
      <c r="AH532" s="501"/>
      <c r="AI532" s="501"/>
      <c r="AJ532" s="501"/>
      <c r="AK532" s="501"/>
      <c r="AL532" s="501"/>
      <c r="AM532" s="501"/>
      <c r="AN532" s="501"/>
      <c r="AO532" s="501"/>
      <c r="AP532" s="501"/>
      <c r="AQ532" s="501"/>
      <c r="AR532" s="501"/>
      <c r="AS532" s="501"/>
      <c r="AT532" s="501"/>
      <c r="AU532" s="501"/>
      <c r="AV532" s="501"/>
      <c r="AW532" s="501"/>
      <c r="AX532" s="501"/>
      <c r="AY532" s="501"/>
      <c r="AZ532" s="501"/>
      <c r="BA532" s="501"/>
      <c r="BB532" s="501"/>
      <c r="BC532" s="501"/>
      <c r="BD532" s="501"/>
      <c r="BE532" s="501"/>
      <c r="BF532" s="501"/>
      <c r="BG532" s="501"/>
      <c r="BH532" s="501"/>
      <c r="BI532" s="501"/>
      <c r="BJ532" s="501"/>
    </row>
    <row r="533" spans="2:62" ht="15.75" customHeight="1">
      <c r="B533" s="498"/>
      <c r="C533" s="751"/>
      <c r="W533" s="796"/>
      <c r="X533" s="796"/>
      <c r="Y533" s="501"/>
      <c r="Z533" s="501"/>
      <c r="AA533" s="501"/>
      <c r="AB533" s="501"/>
      <c r="AC533" s="501"/>
      <c r="AD533" s="501"/>
      <c r="AE533" s="501"/>
      <c r="AF533" s="501"/>
      <c r="AG533" s="501"/>
      <c r="AH533" s="501"/>
      <c r="AI533" s="501"/>
      <c r="AJ533" s="501"/>
      <c r="AK533" s="501"/>
      <c r="AL533" s="501"/>
      <c r="AM533" s="501"/>
      <c r="AN533" s="501"/>
      <c r="AO533" s="501"/>
      <c r="AP533" s="501"/>
      <c r="AQ533" s="501"/>
      <c r="AR533" s="501"/>
      <c r="AS533" s="501"/>
      <c r="AT533" s="501"/>
      <c r="AU533" s="501"/>
      <c r="AV533" s="501"/>
      <c r="AW533" s="501"/>
      <c r="AX533" s="501"/>
      <c r="AY533" s="501"/>
      <c r="AZ533" s="501"/>
      <c r="BA533" s="501"/>
      <c r="BB533" s="501"/>
      <c r="BC533" s="501"/>
      <c r="BD533" s="501"/>
      <c r="BE533" s="501"/>
      <c r="BF533" s="501"/>
      <c r="BG533" s="501"/>
      <c r="BH533" s="501"/>
      <c r="BI533" s="501"/>
      <c r="BJ533" s="501"/>
    </row>
    <row r="534" spans="2:62" ht="15.75" customHeight="1">
      <c r="B534" s="498"/>
      <c r="W534" s="796"/>
      <c r="X534" s="796"/>
      <c r="Y534" s="501"/>
      <c r="Z534" s="501"/>
      <c r="AA534" s="501"/>
      <c r="AB534" s="501"/>
      <c r="AC534" s="501"/>
      <c r="AD534" s="501"/>
      <c r="AE534" s="501"/>
      <c r="AF534" s="501"/>
      <c r="AG534" s="501"/>
      <c r="AH534" s="501"/>
      <c r="AI534" s="501"/>
      <c r="AJ534" s="501"/>
      <c r="AK534" s="501"/>
      <c r="AL534" s="501"/>
      <c r="AM534" s="501"/>
      <c r="AN534" s="501"/>
      <c r="AO534" s="501"/>
      <c r="AP534" s="501"/>
      <c r="AQ534" s="501"/>
      <c r="AR534" s="501"/>
      <c r="AS534" s="501"/>
      <c r="AT534" s="501"/>
      <c r="AU534" s="501"/>
      <c r="AV534" s="501"/>
      <c r="AW534" s="501"/>
      <c r="AX534" s="501"/>
      <c r="AY534" s="501"/>
      <c r="AZ534" s="501"/>
      <c r="BA534" s="501"/>
      <c r="BB534" s="501"/>
      <c r="BC534" s="501"/>
      <c r="BD534" s="501"/>
      <c r="BE534" s="501"/>
      <c r="BF534" s="501"/>
      <c r="BG534" s="501"/>
      <c r="BH534" s="501"/>
      <c r="BI534" s="501"/>
      <c r="BJ534" s="501"/>
    </row>
    <row r="535" spans="2:62" ht="15.75" customHeight="1">
      <c r="B535" s="498"/>
      <c r="W535" s="796"/>
      <c r="X535" s="796"/>
      <c r="Y535" s="501"/>
      <c r="Z535" s="501"/>
      <c r="AA535" s="501"/>
      <c r="AB535" s="501"/>
      <c r="AC535" s="501"/>
      <c r="AD535" s="501"/>
      <c r="AE535" s="501"/>
      <c r="AF535" s="501"/>
      <c r="AG535" s="501"/>
      <c r="AH535" s="501"/>
      <c r="AI535" s="501"/>
      <c r="AJ535" s="501"/>
      <c r="AK535" s="501"/>
      <c r="AL535" s="501"/>
      <c r="AM535" s="501"/>
      <c r="AN535" s="501"/>
      <c r="AO535" s="501"/>
      <c r="AP535" s="501"/>
      <c r="AQ535" s="501"/>
      <c r="AR535" s="501"/>
      <c r="AS535" s="501"/>
      <c r="AT535" s="501"/>
      <c r="AU535" s="501"/>
      <c r="AV535" s="501"/>
      <c r="AW535" s="501"/>
      <c r="AX535" s="501"/>
      <c r="AY535" s="501"/>
      <c r="AZ535" s="501"/>
      <c r="BA535" s="501"/>
      <c r="BB535" s="501"/>
      <c r="BC535" s="501"/>
      <c r="BD535" s="501"/>
      <c r="BE535" s="501"/>
      <c r="BF535" s="501"/>
      <c r="BG535" s="501"/>
      <c r="BH535" s="501"/>
      <c r="BI535" s="501"/>
      <c r="BJ535" s="501"/>
    </row>
    <row r="536" spans="2:62" ht="15.75" customHeight="1">
      <c r="B536" s="498"/>
      <c r="W536" s="796"/>
      <c r="X536" s="796"/>
      <c r="Y536" s="501"/>
      <c r="Z536" s="501"/>
      <c r="AA536" s="501"/>
      <c r="AB536" s="501"/>
      <c r="AC536" s="501"/>
      <c r="AD536" s="501"/>
      <c r="AE536" s="501"/>
      <c r="AF536" s="501"/>
      <c r="AG536" s="501"/>
      <c r="AH536" s="501"/>
      <c r="AI536" s="501"/>
      <c r="AJ536" s="501"/>
      <c r="AK536" s="501"/>
      <c r="AL536" s="501"/>
      <c r="AM536" s="501"/>
      <c r="AN536" s="501"/>
      <c r="AO536" s="501"/>
      <c r="AP536" s="501"/>
      <c r="AQ536" s="501"/>
      <c r="AR536" s="501"/>
      <c r="AS536" s="501"/>
      <c r="AT536" s="501"/>
      <c r="AU536" s="501"/>
      <c r="AV536" s="501"/>
      <c r="AW536" s="501"/>
      <c r="AX536" s="501"/>
      <c r="AY536" s="501"/>
      <c r="AZ536" s="501"/>
      <c r="BA536" s="501"/>
      <c r="BB536" s="501"/>
      <c r="BC536" s="501"/>
      <c r="BD536" s="501"/>
      <c r="BE536" s="501"/>
      <c r="BF536" s="501"/>
      <c r="BG536" s="501"/>
      <c r="BH536" s="501"/>
      <c r="BI536" s="501"/>
      <c r="BJ536" s="501"/>
    </row>
    <row r="537" spans="2:62" ht="15.75" customHeight="1">
      <c r="B537" s="498"/>
      <c r="W537" s="796"/>
      <c r="X537" s="796"/>
      <c r="Y537" s="501"/>
      <c r="Z537" s="501"/>
      <c r="AA537" s="501"/>
      <c r="AB537" s="501"/>
      <c r="AC537" s="501"/>
      <c r="AD537" s="501"/>
      <c r="AE537" s="501"/>
      <c r="AF537" s="501"/>
      <c r="AG537" s="501"/>
      <c r="AH537" s="501"/>
      <c r="AI537" s="501"/>
      <c r="AJ537" s="501"/>
      <c r="AK537" s="501"/>
      <c r="AL537" s="501"/>
      <c r="AM537" s="501"/>
      <c r="AN537" s="501"/>
      <c r="AO537" s="501"/>
      <c r="AP537" s="501"/>
      <c r="AQ537" s="501"/>
      <c r="AR537" s="501"/>
      <c r="AS537" s="501"/>
      <c r="AT537" s="501"/>
      <c r="AU537" s="501"/>
      <c r="AV537" s="501"/>
      <c r="AW537" s="501"/>
      <c r="AX537" s="501"/>
      <c r="AY537" s="501"/>
      <c r="AZ537" s="501"/>
      <c r="BA537" s="501"/>
      <c r="BB537" s="501"/>
      <c r="BC537" s="501"/>
      <c r="BD537" s="501"/>
      <c r="BE537" s="501"/>
      <c r="BF537" s="501"/>
      <c r="BG537" s="501"/>
      <c r="BH537" s="501"/>
      <c r="BI537" s="501"/>
      <c r="BJ537" s="501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X403:Z403"/>
    <mergeCell ref="AA403:AC403"/>
    <mergeCell ref="AD403:AF403"/>
    <mergeCell ref="AG403:AI403"/>
    <mergeCell ref="AJ403:AL403"/>
    <mergeCell ref="AM403:AO403"/>
    <mergeCell ref="D357:F357"/>
    <mergeCell ref="G357:I357"/>
    <mergeCell ref="J357:L357"/>
    <mergeCell ref="M357:N357"/>
    <mergeCell ref="O357:Q357"/>
    <mergeCell ref="R357:S357"/>
    <mergeCell ref="D292:F292"/>
    <mergeCell ref="G292:I292"/>
    <mergeCell ref="J292:L292"/>
    <mergeCell ref="M292:N292"/>
    <mergeCell ref="O292:Q292"/>
    <mergeCell ref="R292:S292"/>
    <mergeCell ref="D237:F237"/>
    <mergeCell ref="G237:I237"/>
    <mergeCell ref="J237:L237"/>
    <mergeCell ref="M237:N237"/>
    <mergeCell ref="O237:Q237"/>
    <mergeCell ref="R237:S237"/>
    <mergeCell ref="D169:F169"/>
    <mergeCell ref="G169:I169"/>
    <mergeCell ref="J169:L169"/>
    <mergeCell ref="M169:N169"/>
    <mergeCell ref="O169:Q169"/>
    <mergeCell ref="R169:S169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1:D112">
    <cfRule type="expression" dxfId="118" priority="60" stopIfTrue="1">
      <formula>"esterreur(reference)"</formula>
    </cfRule>
  </conditionalFormatting>
  <conditionalFormatting sqref="D171:D180">
    <cfRule type="expression" dxfId="117" priority="57" stopIfTrue="1">
      <formula>"esterreur(reference)"</formula>
    </cfRule>
  </conditionalFormatting>
  <conditionalFormatting sqref="D399">
    <cfRule type="expression" dxfId="116" priority="1" stopIfTrue="1">
      <formula>"esterreur(reference)"</formula>
    </cfRule>
  </conditionalFormatting>
  <conditionalFormatting sqref="E185">
    <cfRule type="expression" dxfId="115" priority="58" stopIfTrue="1">
      <formula>"esterreur(reference)"</formula>
    </cfRule>
  </conditionalFormatting>
  <conditionalFormatting sqref="F5">
    <cfRule type="expression" dxfId="114" priority="55" stopIfTrue="1">
      <formula>"esterreur(reference)"</formula>
    </cfRule>
  </conditionalFormatting>
  <conditionalFormatting sqref="F83:F85">
    <cfRule type="expression" dxfId="113" priority="54" stopIfTrue="1">
      <formula>"esterreur(reference)"</formula>
    </cfRule>
  </conditionalFormatting>
  <conditionalFormatting sqref="F100">
    <cfRule type="expression" dxfId="112" priority="59" stopIfTrue="1">
      <formula>"esterreur(reference)"</formula>
    </cfRule>
  </conditionalFormatting>
  <conditionalFormatting sqref="F183">
    <cfRule type="expression" dxfId="111" priority="23" stopIfTrue="1">
      <formula>"esterreur(reference)"</formula>
    </cfRule>
  </conditionalFormatting>
  <conditionalFormatting sqref="G31:G32">
    <cfRule type="expression" dxfId="110" priority="52" stopIfTrue="1">
      <formula>"esterreur(reference)"</formula>
    </cfRule>
  </conditionalFormatting>
  <conditionalFormatting sqref="G111:G112">
    <cfRule type="expression" dxfId="109" priority="49" stopIfTrue="1">
      <formula>"esterreur(reference)"</formula>
    </cfRule>
  </conditionalFormatting>
  <conditionalFormatting sqref="G171:G180">
    <cfRule type="expression" dxfId="108" priority="56" stopIfTrue="1">
      <formula>"esterreur(reference)"</formula>
    </cfRule>
  </conditionalFormatting>
  <conditionalFormatting sqref="H25:H26 H28:H72">
    <cfRule type="expression" dxfId="107" priority="51" stopIfTrue="1">
      <formula>"esterreur(reference)"</formula>
    </cfRule>
  </conditionalFormatting>
  <conditionalFormatting sqref="H359 J359:L359">
    <cfRule type="expression" dxfId="106" priority="11" stopIfTrue="1">
      <formula>"esterreur(reference)"</formula>
    </cfRule>
  </conditionalFormatting>
  <conditionalFormatting sqref="H196:L196">
    <cfRule type="expression" dxfId="105" priority="13" stopIfTrue="1">
      <formula>"esterreur(reference)"</formula>
    </cfRule>
  </conditionalFormatting>
  <conditionalFormatting sqref="H395:L398">
    <cfRule type="expression" dxfId="104" priority="9" stopIfTrue="1">
      <formula>"esterreur(reference)"</formula>
    </cfRule>
  </conditionalFormatting>
  <conditionalFormatting sqref="I16:I18 I20 I24:I30">
    <cfRule type="expression" dxfId="103" priority="53" stopIfTrue="1">
      <formula>"esterreur(reference)"</formula>
    </cfRule>
  </conditionalFormatting>
  <conditionalFormatting sqref="I376:L376 J377:L393 H377:H394">
    <cfRule type="expression" dxfId="102" priority="10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01" priority="2" stopIfTrue="1">
      <formula>"esterreur(reference)"</formula>
    </cfRule>
  </conditionalFormatting>
  <conditionalFormatting sqref="K394">
    <cfRule type="expression" dxfId="100" priority="12" stopIfTrue="1">
      <formula>"esterreur(reference)"</formula>
    </cfRule>
  </conditionalFormatting>
  <conditionalFormatting sqref="K5:L5">
    <cfRule type="expression" dxfId="99" priority="22" stopIfTrue="1">
      <formula>"esterreur(reference)"</formula>
    </cfRule>
  </conditionalFormatting>
  <conditionalFormatting sqref="K243:L243">
    <cfRule type="expression" dxfId="98" priority="19" stopIfTrue="1">
      <formula>"esterreur(reference)"</formula>
    </cfRule>
  </conditionalFormatting>
  <conditionalFormatting sqref="K246:L246">
    <cfRule type="expression" dxfId="97" priority="20" stopIfTrue="1">
      <formula>"esterreur(reference)"</formula>
    </cfRule>
  </conditionalFormatting>
  <conditionalFormatting sqref="L42:L48">
    <cfRule type="expression" dxfId="96" priority="15" stopIfTrue="1">
      <formula>"esterreur(reference)"</formula>
    </cfRule>
  </conditionalFormatting>
  <conditionalFormatting sqref="L75:L82">
    <cfRule type="expression" dxfId="95" priority="4" stopIfTrue="1">
      <formula>"esterreur(reference)"</formula>
    </cfRule>
  </conditionalFormatting>
  <conditionalFormatting sqref="L155:L161">
    <cfRule type="expression" dxfId="94" priority="18" stopIfTrue="1">
      <formula>"esterreur(reference)"</formula>
    </cfRule>
  </conditionalFormatting>
  <conditionalFormatting sqref="L197:L208">
    <cfRule type="expression" dxfId="93" priority="16" stopIfTrue="1">
      <formula>"esterreur(reference)"</formula>
    </cfRule>
  </conditionalFormatting>
  <conditionalFormatting sqref="L210:L227">
    <cfRule type="expression" dxfId="92" priority="17" stopIfTrue="1">
      <formula>"esterreur(reference)"</formula>
    </cfRule>
  </conditionalFormatting>
  <conditionalFormatting sqref="L253:L264">
    <cfRule type="expression" dxfId="91" priority="21" stopIfTrue="1">
      <formula>"esterreur(reference)"</formula>
    </cfRule>
  </conditionalFormatting>
  <conditionalFormatting sqref="L330:L347">
    <cfRule type="expression" dxfId="90" priority="14" stopIfTrue="1">
      <formula>"esterreur(reference)"</formula>
    </cfRule>
  </conditionalFormatting>
  <conditionalFormatting sqref="L355:L356 H356:I356 K356 J356:J357 H358:L358">
    <cfRule type="expression" dxfId="89" priority="8" stopIfTrue="1">
      <formula>"esterreur(reference)"</formula>
    </cfRule>
  </conditionalFormatting>
  <conditionalFormatting sqref="M95:M96">
    <cfRule type="expression" dxfId="88" priority="3" stopIfTrue="1">
      <formula>"esterreur(reference)"</formula>
    </cfRule>
  </conditionalFormatting>
  <conditionalFormatting sqref="O294:P302 O303:Q305 O306:P307 O308:Q316 Q317:Q328 O317:P347 O348:Q348 O351:Q351 O352:P352">
    <cfRule type="expression" dxfId="87" priority="44" stopIfTrue="1">
      <formula>"esterreur(reference)"</formula>
    </cfRule>
  </conditionalFormatting>
  <conditionalFormatting sqref="O196:Q196">
    <cfRule type="expression" dxfId="86" priority="33" stopIfTrue="1">
      <formula>"esterreur(reference)"</formula>
    </cfRule>
  </conditionalFormatting>
  <conditionalFormatting sqref="O242:Q242 O251:Q252 O253:P283 Q266:Q284 O284 O287:Q287 O288:P288">
    <cfRule type="expression" dxfId="85" priority="39" stopIfTrue="1">
      <formula>"esterreur(reference)"</formula>
    </cfRule>
  </conditionalFormatting>
  <conditionalFormatting sqref="O358:Q393">
    <cfRule type="expression" dxfId="84" priority="46" stopIfTrue="1">
      <formula>"esterreur(reference)"</formula>
    </cfRule>
  </conditionalFormatting>
  <conditionalFormatting sqref="O395:Q398">
    <cfRule type="expression" dxfId="83" priority="47" stopIfTrue="1">
      <formula>"esterreur(reference)"</formula>
    </cfRule>
  </conditionalFormatting>
  <conditionalFormatting sqref="P5">
    <cfRule type="expression" dxfId="82" priority="27" stopIfTrue="1">
      <formula>"esterreur(reference)"</formula>
    </cfRule>
  </conditionalFormatting>
  <conditionalFormatting sqref="P174">
    <cfRule type="expression" dxfId="81" priority="36" stopIfTrue="1">
      <formula>"esterreur(reference)"</formula>
    </cfRule>
  </conditionalFormatting>
  <conditionalFormatting sqref="P177">
    <cfRule type="expression" dxfId="80" priority="37" stopIfTrue="1">
      <formula>"esterreur(reference)"</formula>
    </cfRule>
  </conditionalFormatting>
  <conditionalFormatting sqref="P180">
    <cfRule type="expression" dxfId="79" priority="38" stopIfTrue="1">
      <formula>"esterreur(reference)"</formula>
    </cfRule>
  </conditionalFormatting>
  <conditionalFormatting sqref="P394">
    <cfRule type="expression" dxfId="78" priority="48" stopIfTrue="1">
      <formula>"esterreur(reference)"</formula>
    </cfRule>
  </conditionalFormatting>
  <conditionalFormatting sqref="P93:Q95 O96:Q97 O155:P156 O163:Q163 O164:P164">
    <cfRule type="expression" dxfId="77" priority="30" stopIfTrue="1">
      <formula>"esterreur(reference)"</formula>
    </cfRule>
  </conditionalFormatting>
  <conditionalFormatting sqref="P98:Q99">
    <cfRule type="expression" dxfId="76" priority="29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75" priority="32" stopIfTrue="1">
      <formula>"esterreur(reference)"</formula>
    </cfRule>
  </conditionalFormatting>
  <conditionalFormatting sqref="P240:Q240">
    <cfRule type="expression" dxfId="74" priority="43" stopIfTrue="1">
      <formula>"esterreur(reference)"</formula>
    </cfRule>
  </conditionalFormatting>
  <conditionalFormatting sqref="P243:Q243">
    <cfRule type="expression" dxfId="73" priority="40" stopIfTrue="1">
      <formula>"esterreur(reference)"</formula>
    </cfRule>
  </conditionalFormatting>
  <conditionalFormatting sqref="P246:Q246">
    <cfRule type="expression" dxfId="72" priority="41" stopIfTrue="1">
      <formula>"esterreur(reference)"</formula>
    </cfRule>
  </conditionalFormatting>
  <conditionalFormatting sqref="Q5:Q14 O13:O14 O16 Q16:Q24 O18:O24 O25:Q26 O27 Q27 O28:Q72 O83:Q85">
    <cfRule type="expression" dxfId="71" priority="26" stopIfTrue="1">
      <formula>"esterreur(reference)"</formula>
    </cfRule>
  </conditionalFormatting>
  <conditionalFormatting sqref="Q75:Q82">
    <cfRule type="expression" dxfId="70" priority="28" stopIfTrue="1">
      <formula>"esterreur(reference)"</formula>
    </cfRule>
  </conditionalFormatting>
  <conditionalFormatting sqref="Q155:Q161">
    <cfRule type="expression" dxfId="69" priority="31" stopIfTrue="1">
      <formula>"esterreur(reference)"</formula>
    </cfRule>
  </conditionalFormatting>
  <conditionalFormatting sqref="Q197:Q208">
    <cfRule type="expression" dxfId="68" priority="34" stopIfTrue="1">
      <formula>"esterreur(reference)"</formula>
    </cfRule>
  </conditionalFormatting>
  <conditionalFormatting sqref="Q210:Q227">
    <cfRule type="expression" dxfId="67" priority="35" stopIfTrue="1">
      <formula>"esterreur(reference)"</formula>
    </cfRule>
  </conditionalFormatting>
  <conditionalFormatting sqref="Q253:Q264">
    <cfRule type="expression" dxfId="66" priority="42" stopIfTrue="1">
      <formula>"esterreur(reference)"</formula>
    </cfRule>
  </conditionalFormatting>
  <conditionalFormatting sqref="Q330:Q347">
    <cfRule type="expression" dxfId="65" priority="45" stopIfTrue="1">
      <formula>"esterreur(reference)"</formula>
    </cfRule>
  </conditionalFormatting>
  <conditionalFormatting sqref="R311">
    <cfRule type="expression" dxfId="64" priority="5" stopIfTrue="1">
      <formula>"esterreur(reference)"</formula>
    </cfRule>
  </conditionalFormatting>
  <conditionalFormatting sqref="S185">
    <cfRule type="expression" dxfId="63" priority="24" stopIfTrue="1">
      <formula>"esterreur(reference)"</formula>
    </cfRule>
  </conditionalFormatting>
  <conditionalFormatting sqref="AG408:AI417 AH419:AI450 AH452:AI459 AH460:AH461 AH462:AI467 AH490:AI496">
    <cfRule type="cellIs" dxfId="62" priority="6" operator="greaterThan">
      <formula>0</formula>
    </cfRule>
  </conditionalFormatting>
  <conditionalFormatting sqref="AH468:AI475 AH479:AI479">
    <cfRule type="cellIs" dxfId="61" priority="7" operator="lessThan">
      <formula>0</formula>
    </cfRule>
  </conditionalFormatting>
  <conditionalFormatting sqref="AH476:AI478">
    <cfRule type="cellIs" dxfId="60" priority="50" operator="greaterThan">
      <formula>0</formula>
    </cfRule>
  </conditionalFormatting>
  <conditionalFormatting sqref="AO408:AO417">
    <cfRule type="cellIs" dxfId="59" priority="25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8A76-CEE4-40DA-B3D2-F1E275C3A7DF}">
  <sheetPr>
    <tabColor rgb="FFFFC000"/>
  </sheetPr>
  <dimension ref="A1:BJ692"/>
  <sheetViews>
    <sheetView zoomScale="80" zoomScaleNormal="80" workbookViewId="0">
      <pane xSplit="3" topLeftCell="D1" activePane="topRight" state="frozen"/>
      <selection pane="topRight" activeCell="J34" sqref="J34"/>
    </sheetView>
  </sheetViews>
  <sheetFormatPr defaultColWidth="12.59765625" defaultRowHeight="15" customHeight="1"/>
  <cols>
    <col min="1" max="1" width="37.5" style="489" hidden="1" customWidth="1"/>
    <col min="2" max="2" width="21.8984375" style="489" hidden="1" customWidth="1"/>
    <col min="3" max="3" width="31.19921875" style="489" customWidth="1"/>
    <col min="4" max="4" width="16.5" style="489" customWidth="1"/>
    <col min="5" max="5" width="14.59765625" style="489" customWidth="1"/>
    <col min="6" max="6" width="14" style="489" customWidth="1"/>
    <col min="7" max="7" width="17.69921875" style="489" hidden="1" customWidth="1"/>
    <col min="8" max="8" width="15.09765625" style="489" hidden="1" customWidth="1"/>
    <col min="9" max="9" width="14" style="489" hidden="1" customWidth="1"/>
    <col min="10" max="10" width="15.59765625" style="489" customWidth="1"/>
    <col min="11" max="11" width="15.5" style="489" customWidth="1"/>
    <col min="12" max="12" width="14.8984375" style="489" customWidth="1"/>
    <col min="13" max="14" width="16.19921875" style="489" customWidth="1"/>
    <col min="15" max="15" width="15.5" style="489" customWidth="1"/>
    <col min="16" max="16" width="14.59765625" style="489" customWidth="1"/>
    <col min="17" max="17" width="14" style="489" customWidth="1"/>
    <col min="18" max="18" width="14.69921875" style="489" customWidth="1"/>
    <col min="19" max="19" width="19" style="489" customWidth="1"/>
    <col min="20" max="20" width="4.59765625" style="489" customWidth="1"/>
    <col min="21" max="21" width="31.69921875" style="489" customWidth="1"/>
    <col min="22" max="22" width="34" style="489" customWidth="1"/>
    <col min="23" max="23" width="12.19921875" style="489" customWidth="1"/>
    <col min="24" max="24" width="13.69921875" style="489" customWidth="1"/>
    <col min="25" max="25" width="15.09765625" style="489" customWidth="1"/>
    <col min="26" max="26" width="15" style="489" customWidth="1"/>
    <col min="27" max="27" width="11.09765625" style="489" hidden="1" customWidth="1"/>
    <col min="28" max="28" width="9.3984375" style="489" hidden="1" customWidth="1"/>
    <col min="29" max="29" width="14.5" style="489" hidden="1" customWidth="1"/>
    <col min="30" max="30" width="13.5" style="489" customWidth="1"/>
    <col min="31" max="31" width="14.19921875" style="489" customWidth="1"/>
    <col min="32" max="32" width="14.09765625" style="489" customWidth="1"/>
    <col min="33" max="33" width="9" style="489" customWidth="1"/>
    <col min="34" max="34" width="13.5" style="489" customWidth="1"/>
    <col min="35" max="35" width="10.09765625" style="489" customWidth="1"/>
    <col min="36" max="36" width="10.8984375" style="489" customWidth="1"/>
    <col min="37" max="37" width="11.3984375" style="489" customWidth="1"/>
    <col min="38" max="38" width="12.69921875" style="489" customWidth="1"/>
    <col min="39" max="39" width="9" style="489" customWidth="1"/>
    <col min="40" max="40" width="11" style="489" customWidth="1"/>
    <col min="41" max="41" width="14.69921875" style="489" customWidth="1"/>
    <col min="42" max="42" width="11" style="489" customWidth="1"/>
    <col min="43" max="43" width="48.3984375" style="489" customWidth="1"/>
    <col min="44" max="62" width="11" style="489" customWidth="1"/>
    <col min="63" max="16384" width="12.59765625" style="489"/>
  </cols>
  <sheetData>
    <row r="1" spans="1:40" ht="36" thickBot="1">
      <c r="B1" s="490"/>
      <c r="C1" s="491" t="str">
        <f>[6]Parametres!B1</f>
        <v>Volks</v>
      </c>
      <c r="D1" s="492"/>
      <c r="E1" s="493"/>
      <c r="F1" s="492"/>
      <c r="G1" s="492"/>
      <c r="H1" s="490"/>
      <c r="I1" s="492"/>
      <c r="J1" s="490"/>
      <c r="K1" s="494" t="s">
        <v>0</v>
      </c>
      <c r="L1" s="492"/>
      <c r="M1" s="492"/>
      <c r="N1" s="495"/>
      <c r="O1" s="491"/>
      <c r="P1" s="496"/>
      <c r="Q1" s="491"/>
      <c r="R1" s="496"/>
      <c r="S1" s="497" t="str">
        <f>CONCATENATE("Réalisé,"," ",[6]Parametres!B3," ",[6]Parametres!B4)</f>
        <v>Réalisé, Juin 2023</v>
      </c>
      <c r="T1" s="492" t="s">
        <v>1</v>
      </c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</row>
    <row r="2" spans="1:40" ht="15" customHeight="1" thickTop="1" thickBot="1">
      <c r="B2" s="498"/>
      <c r="C2" s="499"/>
      <c r="D2" s="500" t="s">
        <v>2</v>
      </c>
      <c r="E2" s="500" t="s">
        <v>3</v>
      </c>
      <c r="F2" s="500" t="s">
        <v>4</v>
      </c>
      <c r="G2" s="500"/>
      <c r="H2" s="500"/>
      <c r="I2" s="500"/>
      <c r="J2" s="500" t="s">
        <v>213</v>
      </c>
      <c r="K2" s="500"/>
      <c r="L2" s="500" t="s">
        <v>210</v>
      </c>
      <c r="M2" s="501"/>
      <c r="N2" s="501"/>
      <c r="O2" s="500" t="s">
        <v>213</v>
      </c>
      <c r="P2" s="500"/>
      <c r="Q2" s="500" t="s">
        <v>210</v>
      </c>
      <c r="R2" s="501"/>
      <c r="S2" s="501"/>
      <c r="T2" s="501"/>
      <c r="U2" s="501"/>
      <c r="V2" s="502" t="s">
        <v>469</v>
      </c>
      <c r="W2" s="503"/>
    </row>
    <row r="3" spans="1:40" ht="21.6" thickTop="1">
      <c r="B3" s="504"/>
      <c r="C3" s="505"/>
      <c r="D3" s="506" t="s">
        <v>5</v>
      </c>
      <c r="E3" s="507"/>
      <c r="F3" s="508"/>
      <c r="G3" s="509"/>
      <c r="H3" s="507"/>
      <c r="I3" s="508"/>
      <c r="J3" s="509" t="s">
        <v>7</v>
      </c>
      <c r="K3" s="507"/>
      <c r="L3" s="508"/>
      <c r="M3" s="509" t="s">
        <v>472</v>
      </c>
      <c r="N3" s="508"/>
      <c r="O3" s="506" t="s">
        <v>9</v>
      </c>
      <c r="P3" s="507"/>
      <c r="Q3" s="508"/>
      <c r="R3" s="509" t="s">
        <v>473</v>
      </c>
      <c r="S3" s="508"/>
      <c r="T3" s="504"/>
      <c r="U3" s="504"/>
      <c r="V3" s="510" t="s">
        <v>218</v>
      </c>
      <c r="W3" s="511">
        <v>0.45</v>
      </c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J3" s="504"/>
      <c r="AK3" s="504"/>
      <c r="AL3" s="504"/>
      <c r="AM3" s="504"/>
      <c r="AN3" s="504"/>
    </row>
    <row r="4" spans="1:40" ht="20.399999999999999">
      <c r="B4" s="504"/>
      <c r="C4" s="512"/>
      <c r="D4" s="513" t="s">
        <v>474</v>
      </c>
      <c r="E4" s="514" t="s">
        <v>12</v>
      </c>
      <c r="F4" s="515" t="s">
        <v>13</v>
      </c>
      <c r="G4" s="516"/>
      <c r="H4" s="514"/>
      <c r="I4" s="515"/>
      <c r="J4" s="516" t="s">
        <v>474</v>
      </c>
      <c r="K4" s="514" t="s">
        <v>14</v>
      </c>
      <c r="L4" s="515" t="s">
        <v>13</v>
      </c>
      <c r="M4" s="516" t="s">
        <v>474</v>
      </c>
      <c r="N4" s="515" t="s">
        <v>13</v>
      </c>
      <c r="O4" s="514" t="s">
        <v>474</v>
      </c>
      <c r="P4" s="514" t="s">
        <v>14</v>
      </c>
      <c r="Q4" s="515" t="s">
        <v>13</v>
      </c>
      <c r="R4" s="516" t="s">
        <v>474</v>
      </c>
      <c r="S4" s="515" t="s">
        <v>13</v>
      </c>
      <c r="T4" s="504"/>
      <c r="U4" s="504"/>
      <c r="V4" s="510" t="s">
        <v>219</v>
      </c>
      <c r="W4" s="511">
        <v>0.1</v>
      </c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J4" s="504"/>
      <c r="AK4" s="504"/>
      <c r="AL4" s="504"/>
      <c r="AM4" s="504"/>
      <c r="AN4" s="504"/>
    </row>
    <row r="5" spans="1:40" ht="20.399999999999999">
      <c r="A5" s="517" t="s">
        <v>224</v>
      </c>
      <c r="B5" s="504" t="s">
        <v>0</v>
      </c>
      <c r="C5" s="518" t="s">
        <v>15</v>
      </c>
      <c r="D5" s="519"/>
      <c r="E5" s="519"/>
      <c r="F5" s="520">
        <f t="array" ref="F5">+INDEX('[6]Budget original'!$A$2:$AO$500,MATCH($A5,'[6]Budget original'!$A$2:$A$500,0),MATCH(F$2,'[6]Budget original'!$A$2:$AO$2,0))</f>
        <v>2275303.4514942169</v>
      </c>
      <c r="G5" s="519"/>
      <c r="H5" s="519"/>
      <c r="I5" s="521"/>
      <c r="J5" s="518"/>
      <c r="K5" s="522"/>
      <c r="L5" s="520">
        <f>-SUMIFS([6]BV_Data_An_Cour!$O:$O,[6]BV_Data_An_Cour!$X:$X,"Oui",[6]BV_Data_An_Cour!$U:$U,$B5)</f>
        <v>2851329.3100000005</v>
      </c>
      <c r="M5" s="523"/>
      <c r="N5" s="524"/>
      <c r="O5" s="518"/>
      <c r="P5" s="522"/>
      <c r="Q5" s="520">
        <f>-SUMIFS([6]BV_Data_An_Prec!$O:$O,[6]BV_Data_An_Prec!$X:$X,"Oui",[6]BV_Data_An_Prec!$U:$U,$B5)</f>
        <v>2836768.31</v>
      </c>
      <c r="R5" s="523"/>
      <c r="S5" s="524"/>
      <c r="T5" s="504"/>
      <c r="U5" s="504"/>
      <c r="V5" s="510" t="s">
        <v>214</v>
      </c>
      <c r="W5" s="511">
        <v>0.22500000000000001</v>
      </c>
      <c r="X5" s="504"/>
      <c r="Y5" s="504"/>
      <c r="Z5" s="504"/>
      <c r="AA5" s="504"/>
      <c r="AB5" s="504"/>
      <c r="AC5" s="504"/>
      <c r="AD5" s="504"/>
      <c r="AE5" s="504"/>
      <c r="AF5" s="504"/>
      <c r="AG5" s="504"/>
      <c r="AH5" s="504"/>
      <c r="AI5" s="504"/>
      <c r="AJ5" s="504"/>
      <c r="AK5" s="504"/>
      <c r="AL5" s="504"/>
      <c r="AM5" s="504"/>
      <c r="AN5" s="504"/>
    </row>
    <row r="6" spans="1:40" ht="20.399999999999999">
      <c r="A6" s="517" t="s">
        <v>225</v>
      </c>
      <c r="B6" s="504" t="s">
        <v>0</v>
      </c>
      <c r="C6" s="525" t="s">
        <v>16</v>
      </c>
      <c r="D6" s="526">
        <f t="array" ref="D6">+INDEX('[6]Budget original'!$A$2:$AO$500,MATCH($A6,'[6]Budget original'!$A$2:$A$500,0),MATCH(D$2,'[6]Budget original'!$A$2:$AO$2,0))</f>
        <v>9.6891428571428566</v>
      </c>
      <c r="E6" s="526">
        <f t="shared" ref="E6:E12" si="0">IF(D6=0,0,F6/D6)</f>
        <v>1988.4340000000004</v>
      </c>
      <c r="F6" s="526">
        <f t="array" ref="F6">+INDEX('[6]Budget original'!$A$2:$AO$500,MATCH($A6,'[6]Budget original'!$A$2:$A$500,0),MATCH(F$2,'[6]Budget original'!$A$2:$AO$2,0))</f>
        <v>19266.221088000002</v>
      </c>
      <c r="G6" s="527"/>
      <c r="H6" s="526"/>
      <c r="I6" s="526"/>
      <c r="J6" s="527">
        <f>-SUMIFS([6]BV_Data_An_Cour!$O:$O,[6]BV_Data_An_Cour!$U:$U,$B6,[6]BV_Data_An_Cour!$V:$V,$C6,[6]BV_Data_An_Cour!$W:$W,J$2)</f>
        <v>16</v>
      </c>
      <c r="K6" s="526">
        <f t="shared" ref="K6:K12" si="1">IF(J6=0,0,L6/J6)</f>
        <v>2103.448750000005</v>
      </c>
      <c r="L6" s="528">
        <f>-SUMIFS([6]BV_Data_An_Cour!$O:$O,[6]BV_Data_An_Cour!$U:$U,$B6,[6]BV_Data_An_Cour!$V:$V,$C6,[6]BV_Data_An_Cour!$W:$W,L$2)</f>
        <v>33655.18000000008</v>
      </c>
      <c r="M6" s="527">
        <f t="shared" ref="M6:M12" si="2">J6-D6</f>
        <v>6.3108571428571434</v>
      </c>
      <c r="N6" s="528">
        <f t="shared" ref="N6:N12" si="3">L6-F6</f>
        <v>14388.958912000078</v>
      </c>
      <c r="O6" s="527">
        <f>-SUMIFS([6]BV_Data_An_Prec!$O:$O,[6]BV_Data_An_Prec!$U:$U,$B6,[6]BV_Data_An_Prec!$V:$V,$C6,[6]BV_Data_An_Prec!$W:$W,O$2)</f>
        <v>9</v>
      </c>
      <c r="P6" s="526">
        <f t="shared" ref="P6:P12" si="4">IF(O6=0,0,Q6/O6)</f>
        <v>2603.6255555555526</v>
      </c>
      <c r="Q6" s="528">
        <f>-SUMIFS([6]BV_Data_An_Prec!$O:$O,[6]BV_Data_An_Prec!$U:$U,$B6,[6]BV_Data_An_Prec!$V:$V,$C6,[6]BV_Data_An_Prec!$W:$W,Q$2)</f>
        <v>23432.629999999976</v>
      </c>
      <c r="R6" s="527">
        <f t="shared" ref="R6:R12" si="5">J6-O6</f>
        <v>7</v>
      </c>
      <c r="S6" s="528">
        <f t="shared" ref="S6:S12" si="6">L6-Q6</f>
        <v>10222.550000000105</v>
      </c>
      <c r="T6" s="504"/>
      <c r="U6" s="504"/>
      <c r="V6" s="510" t="s">
        <v>220</v>
      </c>
      <c r="W6" s="511">
        <v>2.5000000000000001E-2</v>
      </c>
      <c r="X6" s="504"/>
      <c r="Y6" s="504"/>
      <c r="Z6" s="504"/>
      <c r="AA6" s="504"/>
      <c r="AB6" s="504"/>
      <c r="AC6" s="504"/>
      <c r="AD6" s="504"/>
      <c r="AE6" s="504"/>
      <c r="AF6" s="504"/>
      <c r="AG6" s="504"/>
      <c r="AH6" s="504"/>
      <c r="AI6" s="504"/>
      <c r="AJ6" s="504"/>
      <c r="AK6" s="504"/>
      <c r="AL6" s="504"/>
      <c r="AM6" s="504"/>
      <c r="AN6" s="504"/>
    </row>
    <row r="7" spans="1:40" ht="20.399999999999999">
      <c r="A7" s="517" t="s">
        <v>226</v>
      </c>
      <c r="B7" s="504" t="s">
        <v>0</v>
      </c>
      <c r="C7" s="525" t="s">
        <v>17</v>
      </c>
      <c r="D7" s="526">
        <f t="array" ref="D7">+INDEX('[6]Budget original'!$A$2:$AO$500,MATCH($A7,'[6]Budget original'!$A$2:$A$500,0),MATCH(D$2,'[6]Budget original'!$A$2:$AO$2,0))</f>
        <v>38.752695771428577</v>
      </c>
      <c r="E7" s="526">
        <f t="shared" si="0"/>
        <v>2556.333633363336</v>
      </c>
      <c r="F7" s="526">
        <f t="array" ref="F7">+INDEX('[6]Budget original'!$A$2:$AO$500,MATCH($A7,'[6]Budget original'!$A$2:$A$500,0),MATCH(F$2,'[6]Budget original'!$A$2:$AO$2,0))</f>
        <v>99064.819583999997</v>
      </c>
      <c r="G7" s="527"/>
      <c r="H7" s="526"/>
      <c r="I7" s="526"/>
      <c r="J7" s="527">
        <f>-SUMIFS([6]BV_Data_An_Cour!$O:$O,[6]BV_Data_An_Cour!$U:$U,$B7,[6]BV_Data_An_Cour!$V:$V,$C7,[6]BV_Data_An_Cour!$W:$W,J$2)</f>
        <v>39</v>
      </c>
      <c r="K7" s="526">
        <f t="shared" si="1"/>
        <v>2445.2556410256461</v>
      </c>
      <c r="L7" s="528">
        <f>-SUMIFS([6]BV_Data_An_Cour!$O:$O,[6]BV_Data_An_Cour!$U:$U,$B7,[6]BV_Data_An_Cour!$V:$V,$C7,[6]BV_Data_An_Cour!$W:$W,L$2)</f>
        <v>95364.970000000205</v>
      </c>
      <c r="M7" s="527">
        <f t="shared" si="2"/>
        <v>0.24730422857142287</v>
      </c>
      <c r="N7" s="528">
        <f t="shared" si="3"/>
        <v>-3699.8495839997922</v>
      </c>
      <c r="O7" s="527">
        <f>-SUMIFS([6]BV_Data_An_Prec!$O:$O,[6]BV_Data_An_Prec!$U:$U,$B7,[6]BV_Data_An_Prec!$V:$V,$C7,[6]BV_Data_An_Prec!$W:$W,O$2)</f>
        <v>43</v>
      </c>
      <c r="P7" s="526">
        <f t="shared" si="4"/>
        <v>3826.4693023255882</v>
      </c>
      <c r="Q7" s="528">
        <f>-SUMIFS([6]BV_Data_An_Prec!$O:$O,[6]BV_Data_An_Prec!$U:$U,$B7,[6]BV_Data_An_Prec!$V:$V,$C7,[6]BV_Data_An_Prec!$W:$W,Q$2)</f>
        <v>164538.18000000028</v>
      </c>
      <c r="R7" s="527">
        <f t="shared" si="5"/>
        <v>-4</v>
      </c>
      <c r="S7" s="528">
        <f t="shared" si="6"/>
        <v>-69173.210000000079</v>
      </c>
      <c r="T7" s="504"/>
      <c r="U7" s="504"/>
      <c r="V7" s="510" t="s">
        <v>221</v>
      </c>
      <c r="W7" s="511">
        <v>0.2</v>
      </c>
      <c r="X7" s="504"/>
      <c r="Y7" s="504"/>
      <c r="Z7" s="504"/>
      <c r="AA7" s="504"/>
      <c r="AB7" s="504"/>
      <c r="AC7" s="504"/>
      <c r="AD7" s="504"/>
      <c r="AE7" s="504"/>
      <c r="AF7" s="504"/>
      <c r="AG7" s="504"/>
      <c r="AH7" s="504"/>
      <c r="AI7" s="504"/>
      <c r="AJ7" s="504"/>
      <c r="AK7" s="504"/>
      <c r="AL7" s="504"/>
      <c r="AM7" s="504"/>
      <c r="AN7" s="504"/>
    </row>
    <row r="8" spans="1:40" ht="21" thickBot="1">
      <c r="A8" s="517" t="s">
        <v>227</v>
      </c>
      <c r="B8" s="504" t="s">
        <v>0</v>
      </c>
      <c r="C8" s="525" t="s">
        <v>18</v>
      </c>
      <c r="D8" s="526">
        <f t="array" ref="D8">+INDEX('[6]Budget original'!$A$2:$AO$500,MATCH($A8,'[6]Budget original'!$A$2:$A$500,0),MATCH(D$2,'[6]Budget original'!$A$2:$AO$2,0))</f>
        <v>0</v>
      </c>
      <c r="E8" s="526">
        <f t="shared" si="0"/>
        <v>0</v>
      </c>
      <c r="F8" s="526">
        <f t="array" ref="F8">+INDEX('[6]Budget original'!$A$2:$AO$500,MATCH($A8,'[6]Budget original'!$A$2:$A$500,0),MATCH(F$2,'[6]Budget original'!$A$2:$AO$2,0))</f>
        <v>0</v>
      </c>
      <c r="G8" s="527"/>
      <c r="H8" s="526"/>
      <c r="I8" s="526"/>
      <c r="J8" s="527">
        <f>-SUMIFS([6]BV_Data_An_Cour!$O:$O,[6]BV_Data_An_Cour!$U:$U,$B8,[6]BV_Data_An_Cour!$V:$V,$C8,[6]BV_Data_An_Cour!$W:$W,J$2)</f>
        <v>0</v>
      </c>
      <c r="K8" s="526">
        <f t="shared" si="1"/>
        <v>0</v>
      </c>
      <c r="L8" s="528">
        <f>-SUMIFS([6]BV_Data_An_Cour!$O:$O,[6]BV_Data_An_Cour!$U:$U,$B8,[6]BV_Data_An_Cour!$V:$V,$C8,[6]BV_Data_An_Cour!$W:$W,L$2)</f>
        <v>0</v>
      </c>
      <c r="M8" s="527">
        <f t="shared" si="2"/>
        <v>0</v>
      </c>
      <c r="N8" s="528">
        <f t="shared" si="3"/>
        <v>0</v>
      </c>
      <c r="O8" s="527">
        <f>-SUMIFS([6]BV_Data_An_Prec!$O:$O,[6]BV_Data_An_Prec!$U:$U,$B8,[6]BV_Data_An_Prec!$V:$V,$C8,[6]BV_Data_An_Prec!$W:$W,O$2)</f>
        <v>0</v>
      </c>
      <c r="P8" s="526">
        <f t="shared" si="4"/>
        <v>0</v>
      </c>
      <c r="Q8" s="528">
        <f>-SUMIFS([6]BV_Data_An_Prec!$O:$O,[6]BV_Data_An_Prec!$U:$U,$B8,[6]BV_Data_An_Prec!$V:$V,$C8,[6]BV_Data_An_Prec!$W:$W,Q$2)</f>
        <v>0</v>
      </c>
      <c r="R8" s="527">
        <f t="shared" si="5"/>
        <v>0</v>
      </c>
      <c r="S8" s="528">
        <f t="shared" si="6"/>
        <v>0</v>
      </c>
      <c r="T8" s="504"/>
      <c r="U8" s="504"/>
      <c r="V8" s="529"/>
      <c r="W8" s="530">
        <f>SUM(W3:W7)</f>
        <v>1</v>
      </c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504"/>
      <c r="AI8" s="504"/>
      <c r="AJ8" s="504"/>
      <c r="AK8" s="504"/>
      <c r="AL8" s="504"/>
      <c r="AM8" s="504"/>
      <c r="AN8" s="504"/>
    </row>
    <row r="9" spans="1:40" ht="21" thickTop="1">
      <c r="A9" s="517" t="s">
        <v>228</v>
      </c>
      <c r="B9" s="504" t="s">
        <v>0</v>
      </c>
      <c r="C9" s="525" t="s">
        <v>19</v>
      </c>
      <c r="D9" s="526">
        <f t="array" ref="D9">+INDEX('[6]Budget original'!$A$2:$AO$500,MATCH($A9,'[6]Budget original'!$A$2:$A$500,0),MATCH(D$2,'[6]Budget original'!$A$2:$AO$2,0))</f>
        <v>0</v>
      </c>
      <c r="E9" s="526">
        <f t="shared" si="0"/>
        <v>0</v>
      </c>
      <c r="F9" s="526">
        <f t="array" ref="F9">+INDEX('[6]Budget original'!$A$2:$AO$500,MATCH($A9,'[6]Budget original'!$A$2:$A$500,0),MATCH(F$2,'[6]Budget original'!$A$2:$AO$2,0))</f>
        <v>0</v>
      </c>
      <c r="G9" s="527"/>
      <c r="H9" s="526"/>
      <c r="I9" s="526"/>
      <c r="J9" s="527">
        <f>-SUMIFS([6]BV_Data_An_Cour!$O:$O,[6]BV_Data_An_Cour!$U:$U,$B9,[6]BV_Data_An_Cour!$V:$V,$C9,[6]BV_Data_An_Cour!$W:$W,J$2)</f>
        <v>0</v>
      </c>
      <c r="K9" s="526">
        <f t="shared" si="1"/>
        <v>0</v>
      </c>
      <c r="L9" s="528">
        <f>-SUMIFS([6]BV_Data_An_Cour!$O:$O,[6]BV_Data_An_Cour!$U:$U,$B9,[6]BV_Data_An_Cour!$V:$V,$C9,[6]BV_Data_An_Cour!$W:$W,L$2)</f>
        <v>0</v>
      </c>
      <c r="M9" s="527">
        <f t="shared" si="2"/>
        <v>0</v>
      </c>
      <c r="N9" s="528">
        <f t="shared" si="3"/>
        <v>0</v>
      </c>
      <c r="O9" s="527">
        <f>-SUMIFS([6]BV_Data_An_Prec!$O:$O,[6]BV_Data_An_Prec!$U:$U,$B9,[6]BV_Data_An_Prec!$V:$V,$C9,[6]BV_Data_An_Prec!$W:$W,O$2)</f>
        <v>0</v>
      </c>
      <c r="P9" s="526">
        <f t="shared" si="4"/>
        <v>0</v>
      </c>
      <c r="Q9" s="528">
        <f>-SUMIFS([6]BV_Data_An_Prec!$O:$O,[6]BV_Data_An_Prec!$U:$U,$B9,[6]BV_Data_An_Prec!$V:$V,$C9,[6]BV_Data_An_Prec!$W:$W,Q$2)</f>
        <v>0</v>
      </c>
      <c r="R9" s="527">
        <f t="shared" si="5"/>
        <v>0</v>
      </c>
      <c r="S9" s="528">
        <f t="shared" si="6"/>
        <v>0</v>
      </c>
      <c r="T9" s="504"/>
      <c r="U9" s="504"/>
      <c r="V9" s="504"/>
      <c r="W9" s="504"/>
      <c r="X9" s="504"/>
      <c r="Y9" s="504"/>
      <c r="Z9" s="504"/>
      <c r="AA9" s="504"/>
      <c r="AB9" s="504"/>
      <c r="AC9" s="504"/>
      <c r="AD9" s="504"/>
      <c r="AE9" s="504"/>
      <c r="AF9" s="504"/>
      <c r="AG9" s="504"/>
      <c r="AH9" s="504"/>
      <c r="AI9" s="504"/>
      <c r="AJ9" s="504"/>
      <c r="AK9" s="504"/>
      <c r="AL9" s="504"/>
      <c r="AM9" s="504"/>
      <c r="AN9" s="504"/>
    </row>
    <row r="10" spans="1:40" ht="20.25" hidden="1" customHeight="1">
      <c r="A10" s="517" t="s">
        <v>229</v>
      </c>
      <c r="B10" s="504" t="s">
        <v>0</v>
      </c>
      <c r="C10" s="525" t="s">
        <v>20</v>
      </c>
      <c r="D10" s="526">
        <v>0</v>
      </c>
      <c r="E10" s="526">
        <f t="shared" si="0"/>
        <v>0</v>
      </c>
      <c r="F10" s="526">
        <f t="array" ref="F10">+INDEX('[6]Budget original'!$A$2:$AO$500,MATCH($A10,'[6]Budget original'!$A$2:$A$500,0),MATCH(F$2,'[6]Budget original'!$A$2:$AO$2,0))</f>
        <v>0</v>
      </c>
      <c r="G10" s="527"/>
      <c r="H10" s="526"/>
      <c r="I10" s="526"/>
      <c r="J10" s="527">
        <f>-SUMIFS([6]BV_Data_An_Cour!$O:$O,[6]BV_Data_An_Cour!$U:$U,$B10,[6]BV_Data_An_Cour!$V:$V,$C10,[6]BV_Data_An_Cour!$W:$W,J$2)</f>
        <v>0</v>
      </c>
      <c r="K10" s="526">
        <f t="shared" si="1"/>
        <v>0</v>
      </c>
      <c r="L10" s="528">
        <f>-SUMIFS([6]BV_Data_An_Cour!$O:$O,[6]BV_Data_An_Cour!$U:$U,$B10,[6]BV_Data_An_Cour!$V:$V,$C10,[6]BV_Data_An_Cour!$W:$W,L$2)</f>
        <v>0</v>
      </c>
      <c r="M10" s="527">
        <f t="shared" si="2"/>
        <v>0</v>
      </c>
      <c r="N10" s="528">
        <f t="shared" si="3"/>
        <v>0</v>
      </c>
      <c r="O10" s="527">
        <f>-SUMIFS([6]BV_Data_An_Prec!$O:$O,[6]BV_Data_An_Prec!$U:$U,$B10,[6]BV_Data_An_Prec!$V:$V,$C10,[6]BV_Data_An_Prec!$W:$W,O$2)</f>
        <v>0</v>
      </c>
      <c r="P10" s="526">
        <f t="shared" si="4"/>
        <v>0</v>
      </c>
      <c r="Q10" s="528">
        <f>-SUMIFS([6]BV_Data_An_Prec!$O:$O,[6]BV_Data_An_Prec!$U:$U,$B10,[6]BV_Data_An_Prec!$V:$V,$C10,[6]BV_Data_An_Prec!$W:$W,Q$2)</f>
        <v>0</v>
      </c>
      <c r="R10" s="527">
        <f t="shared" si="5"/>
        <v>0</v>
      </c>
      <c r="S10" s="528">
        <f t="shared" si="6"/>
        <v>0</v>
      </c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</row>
    <row r="11" spans="1:40" ht="20.25" hidden="1" customHeight="1">
      <c r="A11" s="517" t="s">
        <v>229</v>
      </c>
      <c r="B11" s="504" t="s">
        <v>0</v>
      </c>
      <c r="C11" s="525" t="s">
        <v>20</v>
      </c>
      <c r="D11" s="526">
        <v>0</v>
      </c>
      <c r="E11" s="526">
        <f t="shared" si="0"/>
        <v>0</v>
      </c>
      <c r="F11" s="526">
        <f t="array" ref="F11">+INDEX('[6]Budget original'!$A$2:$AO$500,MATCH($A11,'[6]Budget original'!$A$2:$A$500,0),MATCH(F$2,'[6]Budget original'!$A$2:$AO$2,0))</f>
        <v>0</v>
      </c>
      <c r="G11" s="527"/>
      <c r="H11" s="526"/>
      <c r="I11" s="526"/>
      <c r="J11" s="527">
        <f>-SUMIFS([6]BV_Data_An_Cour!$O:$O,[6]BV_Data_An_Cour!$U:$U,$B11,[6]BV_Data_An_Cour!$V:$V,$C11,[6]BV_Data_An_Cour!$W:$W,J$2)</f>
        <v>0</v>
      </c>
      <c r="K11" s="526">
        <f t="shared" si="1"/>
        <v>0</v>
      </c>
      <c r="L11" s="528">
        <f>-SUMIFS([6]BV_Data_An_Cour!$O:$O,[6]BV_Data_An_Cour!$U:$U,$B11,[6]BV_Data_An_Cour!$V:$V,$C11,[6]BV_Data_An_Cour!$W:$W,L$2)</f>
        <v>0</v>
      </c>
      <c r="M11" s="527">
        <f t="shared" si="2"/>
        <v>0</v>
      </c>
      <c r="N11" s="528">
        <f t="shared" si="3"/>
        <v>0</v>
      </c>
      <c r="O11" s="527">
        <f>-SUMIFS([6]BV_Data_An_Prec!$O:$O,[6]BV_Data_An_Prec!$U:$U,$B11,[6]BV_Data_An_Prec!$V:$V,$C11,[6]BV_Data_An_Prec!$W:$W,O$2)</f>
        <v>0</v>
      </c>
      <c r="P11" s="526">
        <f t="shared" si="4"/>
        <v>0</v>
      </c>
      <c r="Q11" s="528">
        <f>-SUMIFS([6]BV_Data_An_Prec!$O:$O,[6]BV_Data_An_Prec!$U:$U,$B11,[6]BV_Data_An_Prec!$V:$V,$C11,[6]BV_Data_An_Prec!$W:$W,Q$2)</f>
        <v>0</v>
      </c>
      <c r="R11" s="527">
        <f t="shared" si="5"/>
        <v>0</v>
      </c>
      <c r="S11" s="528">
        <f t="shared" si="6"/>
        <v>0</v>
      </c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4"/>
      <c r="AK11" s="504"/>
      <c r="AL11" s="504"/>
      <c r="AM11" s="504"/>
      <c r="AN11" s="504"/>
    </row>
    <row r="12" spans="1:40" ht="20.25" hidden="1" customHeight="1">
      <c r="A12" s="517" t="s">
        <v>229</v>
      </c>
      <c r="B12" s="504" t="s">
        <v>0</v>
      </c>
      <c r="C12" s="525" t="s">
        <v>20</v>
      </c>
      <c r="D12" s="526">
        <v>0</v>
      </c>
      <c r="E12" s="526">
        <f t="shared" si="0"/>
        <v>0</v>
      </c>
      <c r="F12" s="526">
        <f t="array" ref="F12">+INDEX('[6]Budget original'!$A$2:$AO$500,MATCH($A12,'[6]Budget original'!$A$2:$A$500,0),MATCH(F$2,'[6]Budget original'!$A$2:$AO$2,0))</f>
        <v>0</v>
      </c>
      <c r="G12" s="527"/>
      <c r="H12" s="526"/>
      <c r="I12" s="526"/>
      <c r="J12" s="527">
        <f>-SUMIFS([6]BV_Data_An_Cour!$O:$O,[6]BV_Data_An_Cour!$U:$U,$B12,[6]BV_Data_An_Cour!$V:$V,$C12,[6]BV_Data_An_Cour!$W:$W,J$2)</f>
        <v>0</v>
      </c>
      <c r="K12" s="526">
        <f t="shared" si="1"/>
        <v>0</v>
      </c>
      <c r="L12" s="528">
        <f>-SUMIFS([6]BV_Data_An_Cour!$O:$O,[6]BV_Data_An_Cour!$U:$U,$B12,[6]BV_Data_An_Cour!$V:$V,$C12,[6]BV_Data_An_Cour!$W:$W,L$2)</f>
        <v>0</v>
      </c>
      <c r="M12" s="527">
        <f t="shared" si="2"/>
        <v>0</v>
      </c>
      <c r="N12" s="528">
        <f t="shared" si="3"/>
        <v>0</v>
      </c>
      <c r="O12" s="527">
        <f>-SUMIFS([6]BV_Data_An_Prec!$O:$O,[6]BV_Data_An_Prec!$U:$U,$B12,[6]BV_Data_An_Prec!$V:$V,$C12,[6]BV_Data_An_Prec!$W:$W,O$2)</f>
        <v>0</v>
      </c>
      <c r="P12" s="526">
        <f t="shared" si="4"/>
        <v>0</v>
      </c>
      <c r="Q12" s="528">
        <f>-SUMIFS([6]BV_Data_An_Prec!$O:$O,[6]BV_Data_An_Prec!$U:$U,$B12,[6]BV_Data_An_Prec!$V:$V,$C12,[6]BV_Data_An_Prec!$W:$W,Q$2)</f>
        <v>0</v>
      </c>
      <c r="R12" s="527">
        <f t="shared" si="5"/>
        <v>0</v>
      </c>
      <c r="S12" s="528">
        <f t="shared" si="6"/>
        <v>0</v>
      </c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L12" s="504"/>
      <c r="AM12" s="504"/>
      <c r="AN12" s="504"/>
    </row>
    <row r="13" spans="1:40" ht="21">
      <c r="A13" s="517" t="s">
        <v>230</v>
      </c>
      <c r="B13" s="504" t="s">
        <v>0</v>
      </c>
      <c r="C13" s="531" t="s">
        <v>21</v>
      </c>
      <c r="D13" s="532">
        <f>+SUM(D6:D12)</f>
        <v>48.441838628571432</v>
      </c>
      <c r="E13" s="532">
        <f>IF(D13&lt;=0,0,F13/D13)</f>
        <v>2442.7446195695657</v>
      </c>
      <c r="F13" s="533">
        <f t="shared" ref="F13" si="7">+SUM(F6:F12)</f>
        <v>118331.040672</v>
      </c>
      <c r="G13" s="534"/>
      <c r="H13" s="532"/>
      <c r="I13" s="533"/>
      <c r="J13" s="534">
        <f t="shared" ref="J13" si="8">+SUM(J6:J12)</f>
        <v>55</v>
      </c>
      <c r="K13" s="532">
        <f>IF(J13&lt;=0,0,L13/J13)</f>
        <v>2345.8209090909145</v>
      </c>
      <c r="L13" s="533">
        <f t="shared" ref="L13:O13" si="9">+SUM(L6:L12)</f>
        <v>129020.15000000029</v>
      </c>
      <c r="M13" s="534">
        <f>+SUM(M6:M12)</f>
        <v>6.5581613714285663</v>
      </c>
      <c r="N13" s="533">
        <f t="shared" ref="N13" si="10">+SUM(N6:N12)</f>
        <v>10689.109328000286</v>
      </c>
      <c r="O13" s="534">
        <f t="shared" si="9"/>
        <v>52</v>
      </c>
      <c r="P13" s="532">
        <f>IF(O13&lt;=0,0,Q13/O13)</f>
        <v>3614.8232692307743</v>
      </c>
      <c r="Q13" s="533">
        <f t="shared" ref="Q13:S13" si="11">+SUM(Q6:Q12)</f>
        <v>187970.81000000026</v>
      </c>
      <c r="R13" s="534">
        <f t="shared" si="11"/>
        <v>3</v>
      </c>
      <c r="S13" s="533">
        <f t="shared" si="11"/>
        <v>-58950.659999999974</v>
      </c>
      <c r="T13" s="504"/>
      <c r="U13" s="504"/>
      <c r="V13" s="504"/>
      <c r="W13" s="504"/>
      <c r="X13" s="504"/>
      <c r="Y13" s="504"/>
      <c r="Z13" s="504"/>
      <c r="AA13" s="504"/>
      <c r="AB13" s="504"/>
      <c r="AC13" s="504"/>
      <c r="AD13" s="504"/>
      <c r="AE13" s="504"/>
      <c r="AF13" s="504"/>
      <c r="AG13" s="504"/>
      <c r="AH13" s="504"/>
      <c r="AI13" s="504"/>
      <c r="AJ13" s="504"/>
      <c r="AK13" s="504"/>
      <c r="AL13" s="504"/>
      <c r="AM13" s="504"/>
      <c r="AN13" s="504"/>
    </row>
    <row r="14" spans="1:40" ht="20.399999999999999">
      <c r="A14" s="517" t="s">
        <v>0</v>
      </c>
      <c r="B14" s="504" t="s">
        <v>0</v>
      </c>
      <c r="C14" s="525"/>
      <c r="D14" s="504"/>
      <c r="E14" s="526"/>
      <c r="F14" s="535"/>
      <c r="G14" s="525"/>
      <c r="H14" s="526"/>
      <c r="I14" s="535"/>
      <c r="J14" s="525"/>
      <c r="K14" s="526"/>
      <c r="L14" s="535"/>
      <c r="M14" s="536">
        <f>IF(D13=0,0,M13/D13)</f>
        <v>0.13538217287154133</v>
      </c>
      <c r="N14" s="537">
        <f>IF(F13=0,0,N13/F13)</f>
        <v>9.0332251514877351E-2</v>
      </c>
      <c r="O14" s="525"/>
      <c r="P14" s="526"/>
      <c r="Q14" s="535"/>
      <c r="R14" s="536">
        <f>R13/O13</f>
        <v>5.7692307692307696E-2</v>
      </c>
      <c r="S14" s="537">
        <f>IF(Q13=0,0,(S13/Q13))</f>
        <v>-0.31361603431937063</v>
      </c>
      <c r="T14" s="504"/>
      <c r="U14" s="504"/>
      <c r="V14" s="504"/>
      <c r="W14" s="526"/>
      <c r="X14" s="526"/>
      <c r="Y14" s="504"/>
      <c r="Z14" s="504"/>
      <c r="AA14" s="504"/>
      <c r="AB14" s="504"/>
      <c r="AC14" s="504"/>
      <c r="AD14" s="504">
        <v>20</v>
      </c>
      <c r="AE14" s="504">
        <v>1000</v>
      </c>
      <c r="AF14" s="504">
        <f>AD14*AE14</f>
        <v>20000</v>
      </c>
      <c r="AG14" s="504"/>
      <c r="AH14" s="504"/>
      <c r="AI14" s="504"/>
      <c r="AJ14" s="504"/>
      <c r="AK14" s="504"/>
      <c r="AL14" s="504"/>
      <c r="AM14" s="504"/>
      <c r="AN14" s="504"/>
    </row>
    <row r="15" spans="1:40" ht="21">
      <c r="A15" s="517" t="s">
        <v>231</v>
      </c>
      <c r="B15" s="504" t="s">
        <v>0</v>
      </c>
      <c r="C15" s="538" t="s">
        <v>22</v>
      </c>
      <c r="D15" s="522">
        <f t="array" ref="D15">+INDEX('[6]Budget original'!$A$2:$AO$500,MATCH($A15,'[6]Budget original'!$A$2:$A$500,0),MATCH(D$2,'[6]Budget original'!$A$2:$AO$2,0))</f>
        <v>2.3142857142857141</v>
      </c>
      <c r="E15" s="522">
        <f>IF(D15=0,0,F15/D15)</f>
        <v>2442.5491999999999</v>
      </c>
      <c r="F15" s="520">
        <f t="array" ref="F15">+INDEX('[6]Budget original'!$A$2:$AO$500,MATCH($A15,'[6]Budget original'!$A$2:$A$500,0),MATCH(F$2,'[6]Budget original'!$A$2:$AO$2,0))</f>
        <v>5652.7567199999994</v>
      </c>
      <c r="G15" s="539"/>
      <c r="H15" s="522"/>
      <c r="I15" s="520"/>
      <c r="J15" s="540">
        <f>-SUMIFS([6]BV_Data_An_Cour!$O:$O,[6]BV_Data_An_Cour!$U:$U,$B15,[6]BV_Data_An_Cour!$V:$V,$C15,[6]BV_Data_An_Cour!$W:$W,J$2)</f>
        <v>2</v>
      </c>
      <c r="K15" s="541">
        <f>IF(J15=0,0,L15/J15)</f>
        <v>1486.7300000000032</v>
      </c>
      <c r="L15" s="541">
        <f>-SUMIFS([6]BV_Data_An_Cour!$O:$O,[6]BV_Data_An_Cour!$U:$U,$B15,[6]BV_Data_An_Cour!$V:$V,$C15,[6]BV_Data_An_Cour!$W:$W,L$2)</f>
        <v>2973.4600000000064</v>
      </c>
      <c r="M15" s="539">
        <f>J15-D15</f>
        <v>-0.31428571428571406</v>
      </c>
      <c r="N15" s="520">
        <f>L15-F15</f>
        <v>-2679.296719999993</v>
      </c>
      <c r="O15" s="540">
        <f>-SUMIFS([6]BV_Data_An_Prec!$O:$O,[6]BV_Data_An_Prec!$U:$U,$B15,[6]BV_Data_An_Prec!$V:$V,$C15,[6]BV_Data_An_Prec!$W:$W,O$2)</f>
        <v>4</v>
      </c>
      <c r="P15" s="541">
        <f>IF(O15=0,0,Q15/O15)</f>
        <v>2132.3599999999933</v>
      </c>
      <c r="Q15" s="541">
        <f>-SUMIFS([6]BV_Data_An_Prec!$O:$O,[6]BV_Data_An_Prec!$U:$U,$B15,[6]BV_Data_An_Prec!$V:$V,$C15,[6]BV_Data_An_Prec!$W:$W,Q$2)</f>
        <v>8529.4399999999732</v>
      </c>
      <c r="R15" s="539">
        <f>J15-O15</f>
        <v>-2</v>
      </c>
      <c r="S15" s="520">
        <f>L15-Q15</f>
        <v>-5555.9799999999668</v>
      </c>
      <c r="T15" s="504"/>
      <c r="U15" s="504"/>
      <c r="V15" s="526"/>
      <c r="W15" s="504"/>
      <c r="X15" s="504"/>
      <c r="Y15" s="504"/>
      <c r="Z15" s="504"/>
      <c r="AA15" s="504"/>
      <c r="AB15" s="504"/>
      <c r="AC15" s="504"/>
      <c r="AD15" s="504">
        <v>25</v>
      </c>
      <c r="AE15" s="504">
        <f>AF15/AD15</f>
        <v>800</v>
      </c>
      <c r="AF15" s="504">
        <f>AF14</f>
        <v>20000</v>
      </c>
      <c r="AG15" s="504"/>
      <c r="AH15" s="504"/>
      <c r="AI15" s="504"/>
      <c r="AJ15" s="504"/>
      <c r="AK15" s="504"/>
      <c r="AL15" s="504"/>
      <c r="AM15" s="504"/>
      <c r="AN15" s="504"/>
    </row>
    <row r="16" spans="1:40" ht="21">
      <c r="A16" s="517" t="s">
        <v>0</v>
      </c>
      <c r="B16" s="504" t="s">
        <v>0</v>
      </c>
      <c r="C16" s="525"/>
      <c r="D16" s="504"/>
      <c r="E16" s="526"/>
      <c r="F16" s="535"/>
      <c r="G16" s="525"/>
      <c r="H16" s="526"/>
      <c r="I16" s="535"/>
      <c r="J16" s="525"/>
      <c r="K16" s="526"/>
      <c r="L16" s="528"/>
      <c r="M16" s="542"/>
      <c r="N16" s="543"/>
      <c r="O16" s="525"/>
      <c r="P16" s="526"/>
      <c r="Q16" s="528"/>
      <c r="R16" s="542"/>
      <c r="S16" s="543"/>
      <c r="T16" s="504"/>
      <c r="U16" s="504"/>
      <c r="V16" s="504"/>
      <c r="W16" s="504"/>
      <c r="X16" s="504"/>
      <c r="Y16" s="504"/>
      <c r="Z16" s="504"/>
      <c r="AA16" s="504"/>
      <c r="AB16" s="504"/>
      <c r="AC16" s="504"/>
      <c r="AD16" s="504"/>
      <c r="AE16" s="504"/>
      <c r="AF16" s="504"/>
      <c r="AG16" s="504"/>
      <c r="AH16" s="504"/>
      <c r="AI16" s="504"/>
      <c r="AJ16" s="504"/>
      <c r="AK16" s="504"/>
      <c r="AL16" s="504"/>
      <c r="AM16" s="504"/>
      <c r="AN16" s="504"/>
    </row>
    <row r="17" spans="1:40" ht="21">
      <c r="A17" s="517" t="s">
        <v>232</v>
      </c>
      <c r="B17" s="504" t="s">
        <v>0</v>
      </c>
      <c r="C17" s="544" t="s">
        <v>23</v>
      </c>
      <c r="D17" s="526">
        <f t="array" ref="D17">+INDEX('[6]Budget original'!$A$2:$AO$500,MATCH($A17,'[6]Budget original'!$A$2:$A$500,0),MATCH(D$2,'[6]Budget original'!$A$2:$AO$2,0))</f>
        <v>1.8514285714285714</v>
      </c>
      <c r="E17" s="526">
        <f>IF(D17=0,0,F17/D17)</f>
        <v>2442.5491999999999</v>
      </c>
      <c r="F17" s="526">
        <f t="array" ref="F17">+INDEX('[6]Budget original'!$A$2:$AO$500,MATCH($A17,'[6]Budget original'!$A$2:$A$500,0),MATCH(F$2,'[6]Budget original'!$A$2:$AO$2,0))</f>
        <v>4522.2053759999999</v>
      </c>
      <c r="G17" s="527"/>
      <c r="H17" s="526"/>
      <c r="I17" s="526"/>
      <c r="J17" s="539">
        <f>-SUMIFS([6]BV_Data_An_Cour!$O:$O,[6]BV_Data_An_Cour!$U:$U,$B17,[6]BV_Data_An_Cour!$V:$V,$C17,[6]BV_Data_An_Cour!$W:$W,J$2)</f>
        <v>2</v>
      </c>
      <c r="K17" s="526">
        <f>IF(J17=0,0,L17/J17)</f>
        <v>2962.9449999999997</v>
      </c>
      <c r="L17" s="528">
        <f>-SUMIFS([6]BV_Data_An_Cour!$O:$O,[6]BV_Data_An_Cour!$U:$U,$B17,[6]BV_Data_An_Cour!$V:$V,$C17,[6]BV_Data_An_Cour!$W:$W,L$2)</f>
        <v>5925.8899999999994</v>
      </c>
      <c r="M17" s="539">
        <f>J17-D17</f>
        <v>0.14857142857142858</v>
      </c>
      <c r="N17" s="528">
        <f>L17-F17</f>
        <v>1403.6846239999995</v>
      </c>
      <c r="O17" s="539">
        <f>-SUMIFS([6]BV_Data_An_Prec!$O:$O,[6]BV_Data_An_Prec!$U:$U,$B17,[6]BV_Data_An_Prec!$V:$V,$C17,[6]BV_Data_An_Prec!$W:$W,O$2)</f>
        <v>0</v>
      </c>
      <c r="P17" s="526">
        <f>IF(O17=0,0,Q17/O17)</f>
        <v>0</v>
      </c>
      <c r="Q17" s="528">
        <f>-SUMIFS([6]BV_Data_An_Prec!$O:$O,[6]BV_Data_An_Prec!$U:$U,$B17,[6]BV_Data_An_Prec!$V:$V,$C17,[6]BV_Data_An_Prec!$W:$W,Q$2)</f>
        <v>0</v>
      </c>
      <c r="R17" s="527">
        <f>J17-O17</f>
        <v>2</v>
      </c>
      <c r="S17" s="528">
        <f>L17-Q17</f>
        <v>5925.8899999999994</v>
      </c>
      <c r="T17" s="504"/>
      <c r="U17" s="504"/>
      <c r="V17" s="545">
        <f>+L13+L15+L17-4000</f>
        <v>133919.50000000029</v>
      </c>
      <c r="W17" s="504"/>
      <c r="X17" s="504"/>
      <c r="Y17" s="504"/>
      <c r="Z17" s="504"/>
      <c r="AA17" s="526"/>
      <c r="AB17" s="504"/>
      <c r="AC17" s="504"/>
      <c r="AD17" s="504"/>
      <c r="AE17" s="504"/>
      <c r="AF17" s="504"/>
      <c r="AG17" s="504"/>
      <c r="AH17" s="504"/>
      <c r="AI17" s="504"/>
      <c r="AJ17" s="504"/>
      <c r="AK17" s="504"/>
      <c r="AL17" s="504"/>
      <c r="AM17" s="504"/>
      <c r="AN17" s="504"/>
    </row>
    <row r="18" spans="1:40" ht="21">
      <c r="A18" s="517" t="s">
        <v>0</v>
      </c>
      <c r="B18" s="504" t="s">
        <v>0</v>
      </c>
      <c r="C18" s="531"/>
      <c r="D18" s="546"/>
      <c r="E18" s="546"/>
      <c r="F18" s="547"/>
      <c r="G18" s="548"/>
      <c r="H18" s="546"/>
      <c r="I18" s="547"/>
      <c r="J18" s="527"/>
      <c r="K18" s="546"/>
      <c r="L18" s="547"/>
      <c r="M18" s="527"/>
      <c r="N18" s="547"/>
      <c r="O18" s="527"/>
      <c r="P18" s="546"/>
      <c r="Q18" s="547"/>
      <c r="R18" s="548"/>
      <c r="S18" s="547"/>
      <c r="T18" s="504"/>
      <c r="U18" s="504"/>
      <c r="V18" s="489">
        <f>+L31/V17</f>
        <v>0.32831566724786088</v>
      </c>
      <c r="W18" s="504"/>
      <c r="X18" s="504"/>
      <c r="Y18" s="504"/>
      <c r="Z18" s="504"/>
      <c r="AA18" s="504"/>
      <c r="AB18" s="504"/>
      <c r="AC18" s="504"/>
      <c r="AD18" s="504"/>
      <c r="AE18" s="504"/>
      <c r="AF18" s="504"/>
      <c r="AG18" s="504"/>
      <c r="AH18" s="504"/>
      <c r="AI18" s="504"/>
      <c r="AJ18" s="504"/>
      <c r="AK18" s="504"/>
      <c r="AL18" s="504"/>
      <c r="AM18" s="504"/>
      <c r="AN18" s="504"/>
    </row>
    <row r="19" spans="1:40" ht="21">
      <c r="A19" s="517" t="s">
        <v>233</v>
      </c>
      <c r="B19" s="504" t="s">
        <v>0</v>
      </c>
      <c r="C19" s="538" t="s">
        <v>24</v>
      </c>
      <c r="D19" s="526">
        <f t="array" ref="D19">+INDEX('[6]Budget original'!$A$2:$AO$500,MATCH($A19,'[6]Budget original'!$A$2:$A$500,0),MATCH(D$2,'[6]Budget original'!$A$2:$AO$2,0))</f>
        <v>0</v>
      </c>
      <c r="E19" s="526">
        <f>IF(D19=0,0,F19/D19)</f>
        <v>0</v>
      </c>
      <c r="F19" s="526">
        <f t="array" ref="F19">+INDEX('[6]Budget original'!$A$2:$AO$500,MATCH($A19,'[6]Budget original'!$A$2:$A$500,0),MATCH(F$2,'[6]Budget original'!$A$2:$AO$2,0))</f>
        <v>11520</v>
      </c>
      <c r="G19" s="527"/>
      <c r="H19" s="526"/>
      <c r="I19" s="526"/>
      <c r="J19" s="539"/>
      <c r="K19" s="526"/>
      <c r="L19" s="528">
        <f>-SUMIFS([6]BV_Data_An_Cour!$O:$O,[6]BV_Data_An_Cour!$U:$U,$B19,[6]BV_Data_An_Cour!$V:$V,$C19,[6]BV_Data_An_Cour!$W:$W,L$2)</f>
        <v>12900.75</v>
      </c>
      <c r="M19" s="527"/>
      <c r="N19" s="528">
        <f>L19-F19</f>
        <v>1380.75</v>
      </c>
      <c r="O19" s="539"/>
      <c r="P19" s="526"/>
      <c r="Q19" s="528">
        <f>-SUMIFS([6]BV_Data_An_Prec!$O:$O,[6]BV_Data_An_Prec!$U:$U,$B19,[6]BV_Data_An_Prec!$V:$V,$C19,[6]BV_Data_An_Prec!$W:$W,Q$2)</f>
        <v>13151.099999999977</v>
      </c>
      <c r="R19" s="527">
        <f>O19-K19</f>
        <v>0</v>
      </c>
      <c r="S19" s="528">
        <f>L19-Q19</f>
        <v>-250.34999999997672</v>
      </c>
      <c r="T19" s="504"/>
      <c r="W19" s="526"/>
      <c r="X19" s="549"/>
      <c r="Y19" s="504"/>
      <c r="Z19" s="504"/>
      <c r="AA19" s="504"/>
      <c r="AB19" s="504"/>
      <c r="AC19" s="504"/>
      <c r="AD19" s="504"/>
      <c r="AE19" s="504"/>
      <c r="AF19" s="504"/>
      <c r="AG19" s="504"/>
      <c r="AH19" s="504"/>
      <c r="AI19" s="504"/>
      <c r="AJ19" s="504"/>
      <c r="AK19" s="504"/>
      <c r="AL19" s="504"/>
      <c r="AM19" s="504"/>
      <c r="AN19" s="504"/>
    </row>
    <row r="20" spans="1:40" ht="21">
      <c r="A20" s="517" t="s">
        <v>0</v>
      </c>
      <c r="B20" s="504" t="s">
        <v>0</v>
      </c>
      <c r="C20" s="531"/>
      <c r="D20" s="546"/>
      <c r="E20" s="546"/>
      <c r="F20" s="547"/>
      <c r="G20" s="548"/>
      <c r="H20" s="546"/>
      <c r="I20" s="547"/>
      <c r="J20" s="527"/>
      <c r="K20" s="546"/>
      <c r="L20" s="547"/>
      <c r="M20" s="548"/>
      <c r="N20" s="547"/>
      <c r="O20" s="527"/>
      <c r="P20" s="546"/>
      <c r="Q20" s="547"/>
      <c r="R20" s="548"/>
      <c r="S20" s="547"/>
      <c r="T20" s="504"/>
      <c r="U20" s="504"/>
      <c r="W20" s="526"/>
      <c r="X20" s="549"/>
      <c r="Y20" s="504"/>
      <c r="Z20" s="504"/>
      <c r="AA20" s="504"/>
      <c r="AB20" s="504"/>
      <c r="AC20" s="504"/>
      <c r="AD20" s="504"/>
      <c r="AE20" s="504"/>
      <c r="AF20" s="504"/>
      <c r="AG20" s="504"/>
      <c r="AH20" s="504"/>
      <c r="AI20" s="504"/>
      <c r="AJ20" s="504"/>
      <c r="AK20" s="504"/>
      <c r="AL20" s="504"/>
      <c r="AM20" s="504"/>
      <c r="AN20" s="504"/>
    </row>
    <row r="21" spans="1:40" ht="15.75" customHeight="1">
      <c r="A21" s="517" t="s">
        <v>234</v>
      </c>
      <c r="B21" s="504" t="s">
        <v>0</v>
      </c>
      <c r="C21" s="525" t="s">
        <v>25</v>
      </c>
      <c r="D21" s="526">
        <f t="array" ref="D21">+INDEX('[6]Budget original'!$A$2:$AO$500,MATCH($A21,'[6]Budget original'!$A$2:$A$500,0),MATCH(D$2,'[6]Budget original'!$A$2:$AO$2,0))</f>
        <v>0</v>
      </c>
      <c r="E21" s="526">
        <f t="shared" ref="E21:E23" si="12">IF(D21=0,0,F21/D21)</f>
        <v>0</v>
      </c>
      <c r="F21" s="526">
        <f t="array" ref="F21">+INDEX('[6]Budget original'!$A$2:$AO$500,MATCH($A21,'[6]Budget original'!$A$2:$A$500,0),MATCH(F$2,'[6]Budget original'!$A$2:$AO$2,0))</f>
        <v>8730.0533869714291</v>
      </c>
      <c r="G21" s="527"/>
      <c r="H21" s="526"/>
      <c r="I21" s="526"/>
      <c r="J21" s="527"/>
      <c r="K21" s="526">
        <f>IF(J13=0,0,L21/(J13+J15))</f>
        <v>89.401578947368421</v>
      </c>
      <c r="L21" s="528">
        <f>-SUMIFS([6]BV_Data_An_Cour!$O:$O,[6]BV_Data_An_Cour!$U:$U,$B21,[6]BV_Data_An_Cour!$V:$V,$C21,[6]BV_Data_An_Cour!$W:$W,L$2)</f>
        <v>5095.8900000000003</v>
      </c>
      <c r="M21" s="527"/>
      <c r="N21" s="528">
        <f>L21-F21</f>
        <v>-3634.1633869714287</v>
      </c>
      <c r="O21" s="527"/>
      <c r="P21" s="526">
        <f>IF(O13=0,0,Q21/(O13+O15))</f>
        <v>228.50482142857143</v>
      </c>
      <c r="Q21" s="528">
        <f>-SUMIFS([6]BV_Data_An_Prec!$O:$O,[6]BV_Data_An_Prec!$U:$U,$B21,[6]BV_Data_An_Prec!$V:$V,$C21,[6]BV_Data_An_Prec!$W:$W,Q$2)</f>
        <v>12796.27</v>
      </c>
      <c r="R21" s="527">
        <f t="shared" ref="R21:R23" si="13">O21-K21</f>
        <v>-89.401578947368421</v>
      </c>
      <c r="S21" s="528">
        <f t="shared" ref="S21:S24" si="14">L21-Q21</f>
        <v>-7700.38</v>
      </c>
      <c r="T21" s="504"/>
      <c r="U21" s="504"/>
      <c r="W21" s="504"/>
      <c r="X21" s="549"/>
      <c r="Y21" s="504"/>
      <c r="Z21" s="504"/>
      <c r="AA21" s="504"/>
      <c r="AB21" s="504"/>
      <c r="AC21" s="504"/>
      <c r="AD21" s="504"/>
      <c r="AE21" s="504"/>
      <c r="AF21" s="504"/>
      <c r="AG21" s="504"/>
      <c r="AH21" s="504"/>
      <c r="AI21" s="504"/>
      <c r="AJ21" s="504"/>
      <c r="AK21" s="504"/>
      <c r="AL21" s="504"/>
      <c r="AM21" s="504"/>
      <c r="AN21" s="504"/>
    </row>
    <row r="22" spans="1:40" ht="18" customHeight="1">
      <c r="A22" s="517" t="s">
        <v>235</v>
      </c>
      <c r="B22" s="504" t="s">
        <v>0</v>
      </c>
      <c r="C22" s="525" t="s">
        <v>26</v>
      </c>
      <c r="D22" s="526">
        <f t="array" ref="D22">+INDEX('[6]Budget original'!$A$2:$AO$500,MATCH($A22,'[6]Budget original'!$A$2:$A$500,0),MATCH(D$2,'[6]Budget original'!$A$2:$AO$2,0))</f>
        <v>0</v>
      </c>
      <c r="E22" s="526">
        <f t="shared" si="12"/>
        <v>0</v>
      </c>
      <c r="F22" s="526">
        <f t="array" ref="F22">+INDEX('[6]Budget original'!$A$2:$AO$500,MATCH($A22,'[6]Budget original'!$A$2:$A$500,0),MATCH(F$2,'[6]Budget original'!$A$2:$AO$2,0))</f>
        <v>48015.293628342864</v>
      </c>
      <c r="G22" s="527"/>
      <c r="H22" s="526"/>
      <c r="I22" s="526"/>
      <c r="J22" s="527"/>
      <c r="K22" s="526">
        <f>IF(J13=0,0,L22/(J13+J15))</f>
        <v>868.40771929824552</v>
      </c>
      <c r="L22" s="528">
        <f>-SUMIFS([6]BV_Data_An_Cour!$O:$O,[6]BV_Data_An_Cour!$U:$U,$B22,[6]BV_Data_An_Cour!$V:$V,$C22,[6]BV_Data_An_Cour!$W:$W,L$2)</f>
        <v>49499.24</v>
      </c>
      <c r="M22" s="527"/>
      <c r="N22" s="528">
        <f>L22-F22</f>
        <v>1483.9463716571336</v>
      </c>
      <c r="O22" s="527"/>
      <c r="P22" s="526">
        <f>IF(O13=0,0,Q22/(O13+O15))</f>
        <v>947.25267857142865</v>
      </c>
      <c r="Q22" s="528">
        <f>-SUMIFS([6]BV_Data_An_Prec!$O:$O,[6]BV_Data_An_Prec!$U:$U,$B22,[6]BV_Data_An_Prec!$V:$V,$C22,[6]BV_Data_An_Prec!$W:$W,Q$2)</f>
        <v>53046.15</v>
      </c>
      <c r="R22" s="527">
        <f t="shared" si="13"/>
        <v>-868.40771929824552</v>
      </c>
      <c r="S22" s="528">
        <f t="shared" si="14"/>
        <v>-3546.9100000000035</v>
      </c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4"/>
      <c r="AK22" s="504"/>
      <c r="AL22" s="504"/>
      <c r="AM22" s="504"/>
      <c r="AN22" s="504"/>
    </row>
    <row r="23" spans="1:40" ht="19.5" customHeight="1">
      <c r="A23" s="517" t="s">
        <v>236</v>
      </c>
      <c r="B23" s="504" t="s">
        <v>0</v>
      </c>
      <c r="C23" s="525" t="s">
        <v>27</v>
      </c>
      <c r="D23" s="526">
        <f t="array" ref="D23">+INDEX('[6]Budget original'!$A$2:$AO$500,MATCH($A23,'[6]Budget original'!$A$2:$A$500,0),MATCH(D$2,'[6]Budget original'!$A$2:$AO$2,0))</f>
        <v>0</v>
      </c>
      <c r="E23" s="526">
        <f t="shared" si="12"/>
        <v>0</v>
      </c>
      <c r="F23" s="526">
        <f t="array" ref="F23">+INDEX('[6]Budget original'!$A$2:$AO$500,MATCH($A23,'[6]Budget original'!$A$2:$A$500,0),MATCH(F$2,'[6]Budget original'!$A$2:$AO$2,0))</f>
        <v>1471.9276059428573</v>
      </c>
      <c r="G23" s="527"/>
      <c r="H23" s="526"/>
      <c r="I23" s="526"/>
      <c r="J23" s="527"/>
      <c r="K23" s="526">
        <f>IF(J13=0,0,L23/(J13+J15))</f>
        <v>0</v>
      </c>
      <c r="L23" s="528">
        <f>-SUMIFS([6]BV_Data_An_Cour!$O:$O,[6]BV_Data_An_Cour!$U:$U,$B23,[6]BV_Data_An_Cour!$V:$V,$C23,[6]BV_Data_An_Cour!$W:$W,L$2)</f>
        <v>0</v>
      </c>
      <c r="M23" s="539"/>
      <c r="N23" s="528">
        <f>L23-F23</f>
        <v>-1471.9276059428573</v>
      </c>
      <c r="O23" s="527"/>
      <c r="P23" s="526">
        <f>IF(O13=0,0,Q23/(O13+O15))</f>
        <v>13.778571428571428</v>
      </c>
      <c r="Q23" s="528">
        <f>-SUMIFS([6]BV_Data_An_Prec!$O:$O,[6]BV_Data_An_Prec!$U:$U,$B23,[6]BV_Data_An_Prec!$V:$V,$C23,[6]BV_Data_An_Prec!$W:$W,Q$2)</f>
        <v>771.6</v>
      </c>
      <c r="R23" s="527">
        <f t="shared" si="13"/>
        <v>0</v>
      </c>
      <c r="S23" s="528">
        <f t="shared" si="14"/>
        <v>-771.6</v>
      </c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4"/>
      <c r="AK23" s="504"/>
      <c r="AL23" s="504"/>
      <c r="AM23" s="504"/>
      <c r="AN23" s="504"/>
    </row>
    <row r="24" spans="1:40" ht="18" customHeight="1">
      <c r="A24" s="517" t="s">
        <v>237</v>
      </c>
      <c r="B24" s="504" t="s">
        <v>0</v>
      </c>
      <c r="C24" s="531" t="s">
        <v>28</v>
      </c>
      <c r="D24" s="532">
        <f>+D15+D13</f>
        <v>50.756124342857149</v>
      </c>
      <c r="E24" s="532">
        <f>IF(D24&lt;=0,0,F24/D24)</f>
        <v>1147</v>
      </c>
      <c r="F24" s="533">
        <f>F21+F22+F23</f>
        <v>58217.274621257151</v>
      </c>
      <c r="G24" s="534"/>
      <c r="H24" s="532"/>
      <c r="I24" s="533"/>
      <c r="J24" s="534">
        <f>+J15+J13</f>
        <v>57</v>
      </c>
      <c r="K24" s="532">
        <f>IF(J24&lt;=0,0,L24/J24)</f>
        <v>957.80929824561395</v>
      </c>
      <c r="L24" s="533">
        <f>L21+L22+L23</f>
        <v>54595.13</v>
      </c>
      <c r="M24" s="550">
        <f>J24-D24</f>
        <v>6.2438756571428513</v>
      </c>
      <c r="N24" s="533">
        <f>L24-F24</f>
        <v>-3622.1446212571536</v>
      </c>
      <c r="O24" s="534">
        <f>+O15+O13</f>
        <v>56</v>
      </c>
      <c r="P24" s="532">
        <f>IF(O24&lt;=0,0,Q24/O24)</f>
        <v>1189.5360714285714</v>
      </c>
      <c r="Q24" s="533">
        <f>Q21+Q22+Q23</f>
        <v>66614.02</v>
      </c>
      <c r="R24" s="548"/>
      <c r="S24" s="533">
        <f t="shared" si="14"/>
        <v>-12018.890000000007</v>
      </c>
      <c r="T24" s="504"/>
      <c r="U24" s="504"/>
      <c r="V24" s="504"/>
      <c r="W24" s="504"/>
      <c r="X24" s="504"/>
      <c r="Y24" s="504"/>
      <c r="Z24" s="504"/>
      <c r="AA24" s="504"/>
      <c r="AB24" s="504"/>
      <c r="AC24" s="504"/>
      <c r="AD24" s="504"/>
      <c r="AE24" s="504"/>
      <c r="AF24" s="504"/>
      <c r="AG24" s="504"/>
      <c r="AH24" s="504"/>
      <c r="AI24" s="504"/>
      <c r="AJ24" s="504"/>
      <c r="AK24" s="504"/>
      <c r="AL24" s="504"/>
      <c r="AM24" s="504"/>
      <c r="AN24" s="504"/>
    </row>
    <row r="25" spans="1:40" ht="15.75" customHeight="1">
      <c r="A25" s="517" t="s">
        <v>0</v>
      </c>
      <c r="B25" s="504" t="s">
        <v>0</v>
      </c>
      <c r="C25" s="525"/>
      <c r="D25" s="504"/>
      <c r="E25" s="504"/>
      <c r="F25" s="551"/>
      <c r="G25" s="525"/>
      <c r="H25" s="504"/>
      <c r="I25" s="551"/>
      <c r="J25" s="525"/>
      <c r="K25" s="504"/>
      <c r="L25" s="551"/>
      <c r="M25" s="542"/>
      <c r="N25" s="543">
        <f>IF(N24=0,0,N24/F24)</f>
        <v>-6.2217694744758502E-2</v>
      </c>
      <c r="O25" s="525"/>
      <c r="P25" s="504"/>
      <c r="Q25" s="551"/>
      <c r="R25" s="552"/>
      <c r="S25" s="543">
        <f>IF(Q24=0,0,(S24/Q24))</f>
        <v>-0.1804258322797514</v>
      </c>
      <c r="T25" s="504"/>
      <c r="U25" s="504"/>
      <c r="V25" s="504"/>
      <c r="W25" s="504"/>
      <c r="X25" s="504"/>
      <c r="Y25" s="504"/>
      <c r="Z25" s="504"/>
      <c r="AA25" s="504"/>
      <c r="AB25" s="504"/>
      <c r="AC25" s="504"/>
      <c r="AD25" s="504"/>
      <c r="AE25" s="504"/>
      <c r="AF25" s="504"/>
      <c r="AG25" s="504"/>
      <c r="AH25" s="504"/>
      <c r="AI25" s="504"/>
      <c r="AJ25" s="504"/>
      <c r="AK25" s="504"/>
      <c r="AL25" s="504"/>
      <c r="AM25" s="504"/>
      <c r="AN25" s="504"/>
    </row>
    <row r="26" spans="1:40" ht="15.75" customHeight="1" thickBot="1">
      <c r="A26" s="517" t="s">
        <v>0</v>
      </c>
      <c r="B26" s="504" t="s">
        <v>0</v>
      </c>
      <c r="C26" s="525"/>
      <c r="D26" s="504"/>
      <c r="E26" s="504"/>
      <c r="F26" s="535"/>
      <c r="G26" s="525"/>
      <c r="H26" s="504"/>
      <c r="I26" s="535"/>
      <c r="J26" s="525"/>
      <c r="K26" s="504"/>
      <c r="L26" s="535"/>
      <c r="M26" s="525"/>
      <c r="N26" s="535"/>
      <c r="O26" s="525"/>
      <c r="P26" s="504"/>
      <c r="Q26" s="535"/>
      <c r="R26" s="525"/>
      <c r="S26" s="535"/>
      <c r="T26" s="504"/>
      <c r="U26" s="504"/>
      <c r="V26" s="504"/>
      <c r="W26" s="504"/>
      <c r="X26" s="504"/>
      <c r="Y26" s="504"/>
      <c r="Z26" s="504"/>
      <c r="AA26" s="504"/>
      <c r="AB26" s="504"/>
      <c r="AC26" s="50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</row>
    <row r="27" spans="1:40" ht="18" customHeight="1" thickTop="1">
      <c r="A27" s="517" t="s">
        <v>238</v>
      </c>
      <c r="B27" s="504" t="s">
        <v>0</v>
      </c>
      <c r="C27" s="553" t="s">
        <v>29</v>
      </c>
      <c r="D27" s="554">
        <f>+D13+D15+D17</f>
        <v>52.607552914285719</v>
      </c>
      <c r="E27" s="555">
        <f>IF(D27&lt;=0,0,F27/D27)</f>
        <v>3768.3424985050706</v>
      </c>
      <c r="F27" s="556">
        <f>F13+F17+F24+F19+F15</f>
        <v>198243.27738925716</v>
      </c>
      <c r="G27" s="557"/>
      <c r="H27" s="555"/>
      <c r="I27" s="556"/>
      <c r="J27" s="557">
        <f>+J13+J15+J17</f>
        <v>59</v>
      </c>
      <c r="K27" s="555">
        <f>IF(J27&lt;=0,0,L27/J27)</f>
        <v>3481.6166101694967</v>
      </c>
      <c r="L27" s="556">
        <f>L13+L17+L24+L19+L15</f>
        <v>205415.3800000003</v>
      </c>
      <c r="M27" s="557">
        <f>J27-D27</f>
        <v>6.3924470857142808</v>
      </c>
      <c r="N27" s="556">
        <f>L27-F27</f>
        <v>7172.1026107431389</v>
      </c>
      <c r="O27" s="557">
        <f>+O13+O15+O17</f>
        <v>56</v>
      </c>
      <c r="P27" s="555">
        <f>IF(O27&lt;=0,0,Q27/O27)</f>
        <v>4933.3101785714325</v>
      </c>
      <c r="Q27" s="556">
        <f>Q13+Q17+Q24+Q19+Q15</f>
        <v>276265.37000000023</v>
      </c>
      <c r="R27" s="557">
        <f>J27-O27</f>
        <v>3</v>
      </c>
      <c r="S27" s="556">
        <f>L27-Q27</f>
        <v>-70849.989999999932</v>
      </c>
      <c r="T27" s="504"/>
      <c r="U27" s="504"/>
      <c r="V27" s="504"/>
      <c r="W27" s="504"/>
      <c r="X27" s="504"/>
      <c r="Y27" s="504"/>
      <c r="Z27" s="504"/>
      <c r="AA27" s="504"/>
      <c r="AB27" s="504"/>
      <c r="AC27" s="50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</row>
    <row r="28" spans="1:40" ht="22.5" customHeight="1" thickBot="1">
      <c r="A28" s="517" t="s">
        <v>0</v>
      </c>
      <c r="B28" s="504" t="s">
        <v>0</v>
      </c>
      <c r="C28" s="558"/>
      <c r="D28" s="559"/>
      <c r="E28" s="559"/>
      <c r="F28" s="560"/>
      <c r="G28" s="558"/>
      <c r="H28" s="559"/>
      <c r="I28" s="560"/>
      <c r="J28" s="558"/>
      <c r="K28" s="559"/>
      <c r="L28" s="561">
        <f>L27/F27</f>
        <v>1.0361782891465241</v>
      </c>
      <c r="M28" s="562">
        <f>M27/D27</f>
        <v>0.12151196418753009</v>
      </c>
      <c r="N28" s="563">
        <f>N27/F27</f>
        <v>3.6178289146524149E-2</v>
      </c>
      <c r="O28" s="558"/>
      <c r="P28" s="559"/>
      <c r="Q28" s="560"/>
      <c r="R28" s="562">
        <f>R27/O27</f>
        <v>5.3571428571428568E-2</v>
      </c>
      <c r="S28" s="563">
        <f>IF(Q27=0,0,S27/Q27)</f>
        <v>-0.25645628331918646</v>
      </c>
      <c r="T28" s="504"/>
      <c r="U28" s="504"/>
      <c r="V28" s="504"/>
      <c r="W28" s="504"/>
      <c r="X28" s="504"/>
      <c r="Y28" s="504"/>
      <c r="Z28" s="504"/>
      <c r="AA28" s="504"/>
      <c r="AB28" s="504"/>
      <c r="AC28" s="504"/>
      <c r="AD28" s="504"/>
      <c r="AE28" s="504"/>
      <c r="AF28" s="504"/>
      <c r="AG28" s="504"/>
      <c r="AH28" s="504"/>
      <c r="AI28" s="504"/>
      <c r="AJ28" s="504"/>
      <c r="AK28" s="504"/>
      <c r="AL28" s="504"/>
      <c r="AM28" s="504"/>
      <c r="AN28" s="504"/>
    </row>
    <row r="29" spans="1:40" ht="15.75" customHeight="1" thickTop="1">
      <c r="A29" s="517" t="s">
        <v>0</v>
      </c>
      <c r="B29" s="504" t="s">
        <v>0</v>
      </c>
      <c r="C29" s="544"/>
      <c r="D29" s="564"/>
      <c r="E29" s="564"/>
      <c r="F29" s="565"/>
      <c r="G29" s="544"/>
      <c r="H29" s="564"/>
      <c r="I29" s="565"/>
      <c r="J29" s="544"/>
      <c r="K29" s="564"/>
      <c r="L29" s="565"/>
      <c r="M29" s="542"/>
      <c r="N29" s="543"/>
      <c r="O29" s="544"/>
      <c r="P29" s="564"/>
      <c r="Q29" s="565"/>
      <c r="R29" s="542"/>
      <c r="S29" s="543"/>
      <c r="T29" s="504"/>
      <c r="U29" s="504"/>
      <c r="V29" s="504"/>
      <c r="W29" s="504"/>
      <c r="X29" s="504"/>
      <c r="Y29" s="504"/>
      <c r="Z29" s="504"/>
      <c r="AA29" s="504"/>
      <c r="AB29" s="504"/>
      <c r="AC29" s="504"/>
      <c r="AD29" s="504"/>
      <c r="AE29" s="504"/>
      <c r="AF29" s="504"/>
      <c r="AG29" s="504"/>
      <c r="AH29" s="504"/>
      <c r="AI29" s="504"/>
      <c r="AJ29" s="504"/>
      <c r="AK29" s="504"/>
      <c r="AL29" s="504"/>
      <c r="AM29" s="504"/>
      <c r="AN29" s="504"/>
    </row>
    <row r="30" spans="1:40" ht="15.75" customHeight="1">
      <c r="A30" s="517" t="s">
        <v>239</v>
      </c>
      <c r="B30" s="504" t="s">
        <v>0</v>
      </c>
      <c r="C30" s="566" t="s">
        <v>30</v>
      </c>
      <c r="D30" s="504"/>
      <c r="E30" s="567"/>
      <c r="F30" s="551"/>
      <c r="G30" s="525"/>
      <c r="H30" s="567"/>
      <c r="I30" s="551"/>
      <c r="J30" s="525"/>
      <c r="K30" s="567"/>
      <c r="L30" s="535"/>
      <c r="M30" s="525"/>
      <c r="N30" s="535"/>
      <c r="O30" s="525"/>
      <c r="P30" s="567"/>
      <c r="Q30" s="535"/>
      <c r="R30" s="525"/>
      <c r="S30" s="535"/>
      <c r="T30" s="504"/>
      <c r="U30" s="504"/>
      <c r="V30" s="504"/>
      <c r="W30" s="504"/>
      <c r="X30" s="504"/>
      <c r="Y30" s="504"/>
      <c r="Z30" s="504"/>
      <c r="AA30" s="504"/>
      <c r="AB30" s="504"/>
      <c r="AC30" s="504"/>
      <c r="AD30" s="504"/>
      <c r="AE30" s="504"/>
      <c r="AF30" s="504"/>
      <c r="AG30" s="504"/>
      <c r="AH30" s="504"/>
      <c r="AI30" s="504"/>
      <c r="AJ30" s="504"/>
      <c r="AK30" s="504"/>
      <c r="AL30" s="504"/>
      <c r="AM30" s="504"/>
      <c r="AN30" s="504"/>
    </row>
    <row r="31" spans="1:40" ht="15.75" customHeight="1">
      <c r="A31" s="517" t="s">
        <v>240</v>
      </c>
      <c r="B31" s="504" t="s">
        <v>0</v>
      </c>
      <c r="C31" s="525" t="s">
        <v>31</v>
      </c>
      <c r="D31" s="568">
        <f>F31/(F15+F13+F17)</f>
        <v>0.30874421841222754</v>
      </c>
      <c r="E31" s="569">
        <f t="shared" ref="E31:E40" si="15">F31/D$24</f>
        <v>781.6886316590718</v>
      </c>
      <c r="F31" s="526">
        <f t="array" ref="F31">+INDEX('[6]Budget original'!$A$2:$AO$500,MATCH($A31,'[6]Budget original'!$A$2:$A$500,0),MATCH(F$2,'[6]Budget original'!$A$2:$AO$2,0))</f>
        <v>39675.48538588571</v>
      </c>
      <c r="G31" s="570"/>
      <c r="H31" s="569"/>
      <c r="I31" s="526"/>
      <c r="J31" s="570">
        <f>L31/(L15+L13+L17)</f>
        <v>0.31879371662455208</v>
      </c>
      <c r="K31" s="569">
        <f t="shared" ref="K31:K40" si="16">IF(L31=0,0,L31/J$24)</f>
        <v>771.36614035087723</v>
      </c>
      <c r="L31" s="526">
        <f>SUMIFS([6]BV_Data_An_Cour!$O:$O,[6]BV_Data_An_Cour!$U:$U,$B31,[6]BV_Data_An_Cour!$V:$V,$C31,[6]BV_Data_An_Cour!$W:$W,L$2)</f>
        <v>43967.87</v>
      </c>
      <c r="M31" s="525"/>
      <c r="N31" s="551">
        <f t="shared" ref="N31:N53" si="17">L31-F31</f>
        <v>4292.3846141142931</v>
      </c>
      <c r="O31" s="525"/>
      <c r="P31" s="569">
        <f t="shared" ref="P31:P40" si="18">IF(Q31=0,0,Q31/O$24)</f>
        <v>956.86767857142854</v>
      </c>
      <c r="Q31" s="528">
        <f>SUMIFS([6]BV_Data_An_Prec!$O:$O,[6]BV_Data_An_Prec!$U:$U,$B31,[6]BV_Data_An_Prec!$V:$V,$C31,[6]BV_Data_An_Prec!$W:$W,Q$2)</f>
        <v>53584.59</v>
      </c>
      <c r="R31" s="525"/>
      <c r="S31" s="551">
        <f t="shared" ref="S31:S53" si="19">L31-Q31</f>
        <v>-9616.7199999999939</v>
      </c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4"/>
      <c r="AK31" s="504"/>
      <c r="AL31" s="504"/>
      <c r="AM31" s="504"/>
      <c r="AN31" s="504"/>
    </row>
    <row r="32" spans="1:40" ht="15.75" customHeight="1">
      <c r="A32" s="517" t="s">
        <v>241</v>
      </c>
      <c r="B32" s="504" t="s">
        <v>0</v>
      </c>
      <c r="C32" s="518" t="s">
        <v>32</v>
      </c>
      <c r="D32" s="571">
        <f>F32/F24</f>
        <v>0.3</v>
      </c>
      <c r="E32" s="572">
        <f t="shared" si="15"/>
        <v>344.1</v>
      </c>
      <c r="F32" s="520">
        <f t="array" ref="F32">+INDEX('[6]Budget original'!$A$2:$AO$500,MATCH($A32,'[6]Budget original'!$A$2:$A$500,0),MATCH(F$2,'[6]Budget original'!$A$2:$AO$2,0))</f>
        <v>17465.182386377146</v>
      </c>
      <c r="G32" s="573"/>
      <c r="H32" s="572"/>
      <c r="I32" s="520"/>
      <c r="J32" s="573">
        <f>L32/L24</f>
        <v>0.30010863606332655</v>
      </c>
      <c r="K32" s="572">
        <f t="shared" si="16"/>
        <v>287.44684210526316</v>
      </c>
      <c r="L32" s="520">
        <f>SUMIFS([6]BV_Data_An_Cour!$O:$O,[6]BV_Data_An_Cour!$U:$U,$B32,[6]BV_Data_An_Cour!$V:$V,$C32,[6]BV_Data_An_Cour!$W:$W,L$2)</f>
        <v>16384.47</v>
      </c>
      <c r="M32" s="518"/>
      <c r="N32" s="574">
        <f t="shared" si="17"/>
        <v>-1080.7123863771449</v>
      </c>
      <c r="O32" s="518"/>
      <c r="P32" s="572">
        <f t="shared" si="18"/>
        <v>397.28392857142859</v>
      </c>
      <c r="Q32" s="520">
        <f>SUMIFS([6]BV_Data_An_Prec!$O:$O,[6]BV_Data_An_Prec!$U:$U,$B32,[6]BV_Data_An_Prec!$V:$V,$C32,[6]BV_Data_An_Prec!$W:$W,Q$2)</f>
        <v>22247.9</v>
      </c>
      <c r="R32" s="518"/>
      <c r="S32" s="574">
        <f t="shared" si="19"/>
        <v>-5863.43</v>
      </c>
      <c r="T32" s="504"/>
      <c r="U32" s="575">
        <f>(L32+L112)/(L104+L24+L19)</f>
        <v>0.27062904414395267</v>
      </c>
      <c r="V32" s="576" t="s">
        <v>467</v>
      </c>
      <c r="X32" s="489">
        <f>L24*U32</f>
        <v>14775.027846814834</v>
      </c>
      <c r="Y32" s="545">
        <f>+L32-X32</f>
        <v>1609.4421531851676</v>
      </c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4"/>
      <c r="AK32" s="504"/>
      <c r="AL32" s="504"/>
      <c r="AM32" s="504"/>
      <c r="AN32" s="504"/>
    </row>
    <row r="33" spans="1:40" ht="15.75" customHeight="1">
      <c r="A33" s="517" t="s">
        <v>242</v>
      </c>
      <c r="B33" s="504" t="s">
        <v>0</v>
      </c>
      <c r="C33" s="525" t="s">
        <v>33</v>
      </c>
      <c r="D33" s="577"/>
      <c r="E33" s="569">
        <f t="shared" si="15"/>
        <v>113.25897667238421</v>
      </c>
      <c r="F33" s="526">
        <f t="array" ref="F33">+INDEX('[6]Budget original'!$A$2:$AO$500,MATCH($A33,'[6]Budget original'!$A$2:$A$500,0),MATCH(F$2,'[6]Budget original'!$A$2:$AO$2,0))</f>
        <v>5748.5867029282899</v>
      </c>
      <c r="G33" s="578"/>
      <c r="H33" s="569"/>
      <c r="I33" s="526"/>
      <c r="J33" s="525"/>
      <c r="K33" s="569">
        <f t="shared" si="16"/>
        <v>98.259649122807019</v>
      </c>
      <c r="L33" s="526">
        <f>SUMIFS([6]BV_Data_An_Cour!$O:$O,[6]BV_Data_An_Cour!$U:$U,$B33,[6]BV_Data_An_Cour!$V:$V,$C33,[6]BV_Data_An_Cour!$W:$W,L$2)</f>
        <v>5600.8</v>
      </c>
      <c r="M33" s="525"/>
      <c r="N33" s="551">
        <f t="shared" si="17"/>
        <v>-147.78670292828974</v>
      </c>
      <c r="O33" s="525"/>
      <c r="P33" s="569">
        <f t="shared" si="18"/>
        <v>83.595178571428576</v>
      </c>
      <c r="Q33" s="528">
        <f>SUMIFS([6]BV_Data_An_Prec!$O:$O,[6]BV_Data_An_Prec!$U:$U,$B33,[6]BV_Data_An_Prec!$V:$V,$C33,[6]BV_Data_An_Prec!$W:$W,Q$2)</f>
        <v>4681.33</v>
      </c>
      <c r="R33" s="525"/>
      <c r="S33" s="551">
        <f t="shared" si="19"/>
        <v>919.47000000000025</v>
      </c>
      <c r="T33" s="504"/>
      <c r="Z33" s="504"/>
      <c r="AA33" s="504"/>
      <c r="AB33" s="504"/>
      <c r="AC33" s="504"/>
      <c r="AD33" s="504"/>
      <c r="AE33" s="504"/>
      <c r="AF33" s="504"/>
      <c r="AG33" s="504"/>
      <c r="AH33" s="504"/>
      <c r="AI33" s="504"/>
      <c r="AJ33" s="504"/>
      <c r="AK33" s="504"/>
      <c r="AL33" s="504"/>
      <c r="AM33" s="504"/>
      <c r="AN33" s="504"/>
    </row>
    <row r="34" spans="1:40" ht="15.75" customHeight="1">
      <c r="A34" s="517" t="s">
        <v>243</v>
      </c>
      <c r="B34" s="504" t="s">
        <v>0</v>
      </c>
      <c r="C34" s="525" t="s">
        <v>34</v>
      </c>
      <c r="D34" s="577"/>
      <c r="E34" s="569">
        <f t="shared" si="15"/>
        <v>5.1177856446126109</v>
      </c>
      <c r="F34" s="526">
        <f t="array" ref="F34">+INDEX('[6]Budget original'!$A$2:$AO$500,MATCH($A34,'[6]Budget original'!$A$2:$A$500,0),MATCH(F$2,'[6]Budget original'!$A$2:$AO$2,0))</f>
        <v>259.758964538047</v>
      </c>
      <c r="G34" s="578"/>
      <c r="H34" s="569"/>
      <c r="I34" s="526"/>
      <c r="J34" s="525"/>
      <c r="K34" s="569">
        <f t="shared" si="16"/>
        <v>0</v>
      </c>
      <c r="L34" s="526">
        <f>SUMIFS([6]BV_Data_An_Cour!$O:$O,[6]BV_Data_An_Cour!$U:$U,$B34,[6]BV_Data_An_Cour!$V:$V,$C34,[6]BV_Data_An_Cour!$W:$W,L$2)</f>
        <v>0</v>
      </c>
      <c r="M34" s="525"/>
      <c r="N34" s="551">
        <f t="shared" si="17"/>
        <v>-259.758964538047</v>
      </c>
      <c r="O34" s="525"/>
      <c r="P34" s="569">
        <f t="shared" si="18"/>
        <v>10.361964285714285</v>
      </c>
      <c r="Q34" s="528">
        <f>SUMIFS([6]BV_Data_An_Prec!$O:$O,[6]BV_Data_An_Prec!$U:$U,$B34,[6]BV_Data_An_Prec!$V:$V,$C34,[6]BV_Data_An_Prec!$W:$W,Q$2)</f>
        <v>580.27</v>
      </c>
      <c r="R34" s="525"/>
      <c r="S34" s="551">
        <f t="shared" si="19"/>
        <v>-580.27</v>
      </c>
      <c r="T34" s="504"/>
      <c r="Z34" s="504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04"/>
      <c r="AL34" s="504"/>
      <c r="AM34" s="504"/>
      <c r="AN34" s="504"/>
    </row>
    <row r="35" spans="1:40" ht="15.75" customHeight="1">
      <c r="A35" s="517" t="s">
        <v>244</v>
      </c>
      <c r="B35" s="504" t="s">
        <v>0</v>
      </c>
      <c r="C35" s="518" t="s">
        <v>35</v>
      </c>
      <c r="D35" s="579"/>
      <c r="E35" s="572">
        <f t="shared" si="15"/>
        <v>105.01044339622641</v>
      </c>
      <c r="F35" s="520">
        <f t="array" ref="F35">+INDEX('[6]Budget original'!$A$2:$AO$500,MATCH($A35,'[6]Budget original'!$A$2:$A$500,0),MATCH(F$2,'[6]Budget original'!$A$2:$AO$2,0))</f>
        <v>5329.9231223174302</v>
      </c>
      <c r="G35" s="580"/>
      <c r="H35" s="572"/>
      <c r="I35" s="520"/>
      <c r="J35" s="518"/>
      <c r="K35" s="572">
        <f t="shared" si="16"/>
        <v>70.21052631578948</v>
      </c>
      <c r="L35" s="520">
        <f>SUMIFS([6]BV_Data_An_Cour!$O:$O,[6]BV_Data_An_Cour!$U:$U,$B35,[6]BV_Data_An_Cour!$V:$V,$C35,[6]BV_Data_An_Cour!$W:$W,L$2)</f>
        <v>4002</v>
      </c>
      <c r="M35" s="518"/>
      <c r="N35" s="574">
        <f t="shared" si="17"/>
        <v>-1327.9231223174302</v>
      </c>
      <c r="O35" s="518"/>
      <c r="P35" s="572">
        <f t="shared" si="18"/>
        <v>66.075178571428566</v>
      </c>
      <c r="Q35" s="528">
        <f>SUMIFS([6]BV_Data_An_Prec!$O:$O,[6]BV_Data_An_Prec!$U:$U,$B35,[6]BV_Data_An_Prec!$V:$V,$C35,[6]BV_Data_An_Prec!$W:$W,Q$2)</f>
        <v>3700.21</v>
      </c>
      <c r="R35" s="518"/>
      <c r="S35" s="574">
        <f t="shared" si="19"/>
        <v>301.78999999999996</v>
      </c>
      <c r="T35" s="504"/>
      <c r="Z35" s="504"/>
      <c r="AA35" s="504"/>
      <c r="AB35" s="504"/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</row>
    <row r="36" spans="1:40" ht="15.75" customHeight="1">
      <c r="A36" s="517" t="s">
        <v>245</v>
      </c>
      <c r="B36" s="504" t="s">
        <v>0</v>
      </c>
      <c r="C36" s="525" t="s">
        <v>36</v>
      </c>
      <c r="D36" s="577"/>
      <c r="E36" s="569">
        <f t="shared" si="15"/>
        <v>300.75552273170507</v>
      </c>
      <c r="F36" s="526">
        <f t="array" ref="F36">+INDEX('[6]Budget original'!$A$2:$AO$500,MATCH($A36,'[6]Budget original'!$A$2:$A$500,0),MATCH(F$2,'[6]Budget original'!$A$2:$AO$2,0))</f>
        <v>15265.184708571423</v>
      </c>
      <c r="G36" s="578"/>
      <c r="H36" s="569"/>
      <c r="I36" s="526"/>
      <c r="J36" s="525"/>
      <c r="K36" s="569">
        <f t="shared" si="16"/>
        <v>122.48649122807016</v>
      </c>
      <c r="L36" s="581">
        <f>SUMIFS([6]BV_Data_An_Cour!$O:$O,[6]BV_Data_An_Cour!$U:$U,$B36,[6]BV_Data_An_Cour!$V:$V,$C36,[6]BV_Data_An_Cour!$W:$W,L$2)</f>
        <v>6981.73</v>
      </c>
      <c r="M36" s="504"/>
      <c r="N36" s="551">
        <f t="shared" si="17"/>
        <v>-8283.4547085714239</v>
      </c>
      <c r="O36" s="525"/>
      <c r="P36" s="569">
        <f t="shared" si="18"/>
        <v>151.55625000000001</v>
      </c>
      <c r="Q36" s="547">
        <f>SUMIFS([6]BV_Data_An_Prec!$O:$O,[6]BV_Data_An_Prec!$U:$U,$B36,[6]BV_Data_An_Prec!$V:$V,$C36,[6]BV_Data_An_Prec!$W:$W,Q$2)</f>
        <v>8487.15</v>
      </c>
      <c r="R36" s="525"/>
      <c r="S36" s="551">
        <f t="shared" si="19"/>
        <v>-1505.42</v>
      </c>
      <c r="T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</row>
    <row r="37" spans="1:40" ht="15.75" customHeight="1">
      <c r="A37" s="517" t="s">
        <v>246</v>
      </c>
      <c r="B37" s="504" t="s">
        <v>0</v>
      </c>
      <c r="C37" s="525" t="s">
        <v>37</v>
      </c>
      <c r="D37" s="577"/>
      <c r="E37" s="569">
        <f t="shared" si="15"/>
        <v>45.737233533581673</v>
      </c>
      <c r="F37" s="526">
        <f t="array" ref="F37">+INDEX('[6]Budget original'!$A$2:$AO$500,MATCH($A37,'[6]Budget original'!$A$2:$A$500,0),MATCH(F$2,'[6]Budget original'!$A$2:$AO$2,0))</f>
        <v>2321.4447123287669</v>
      </c>
      <c r="G37" s="578"/>
      <c r="H37" s="569"/>
      <c r="I37" s="526"/>
      <c r="J37" s="525"/>
      <c r="K37" s="569">
        <f t="shared" si="16"/>
        <v>83.07263157894738</v>
      </c>
      <c r="L37" s="582">
        <f>SUMIFS([6]BV_Data_An_Cour!$O:$O,[6]BV_Data_An_Cour!$U:$U,$B37,[6]BV_Data_An_Cour!$V:$V,$C37,[6]BV_Data_An_Cour!$W:$W,L$2)</f>
        <v>4735.1400000000003</v>
      </c>
      <c r="M37" s="504"/>
      <c r="N37" s="551">
        <f t="shared" si="17"/>
        <v>2413.6952876712335</v>
      </c>
      <c r="O37" s="525"/>
      <c r="P37" s="569">
        <f t="shared" si="18"/>
        <v>4.1001785714285717</v>
      </c>
      <c r="Q37" s="528">
        <f>SUMIFS([6]BV_Data_An_Prec!$O:$O,[6]BV_Data_An_Prec!$U:$U,$B37,[6]BV_Data_An_Prec!$V:$V,$C37,[6]BV_Data_An_Prec!$W:$W,Q$2)</f>
        <v>229.61</v>
      </c>
      <c r="R37" s="525"/>
      <c r="S37" s="551">
        <f t="shared" si="19"/>
        <v>4505.5300000000007</v>
      </c>
      <c r="T37" s="504"/>
      <c r="Z37" s="504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04"/>
      <c r="AL37" s="504"/>
      <c r="AM37" s="504"/>
      <c r="AN37" s="504"/>
    </row>
    <row r="38" spans="1:40" ht="15.75" hidden="1" customHeight="1">
      <c r="A38" s="517" t="s">
        <v>229</v>
      </c>
      <c r="B38" s="504" t="s">
        <v>0</v>
      </c>
      <c r="C38" s="525" t="s">
        <v>20</v>
      </c>
      <c r="D38" s="577"/>
      <c r="E38" s="569">
        <f t="shared" si="15"/>
        <v>0</v>
      </c>
      <c r="F38" s="526">
        <f t="array" ref="F38">+INDEX('[6]Budget original'!$A$2:$AO$500,MATCH($A38,'[6]Budget original'!$A$2:$A$500,0),MATCH(F$2,'[6]Budget original'!$A$2:$AO$2,0))</f>
        <v>0</v>
      </c>
      <c r="G38" s="578"/>
      <c r="H38" s="569"/>
      <c r="I38" s="526"/>
      <c r="J38" s="525"/>
      <c r="K38" s="569">
        <f t="shared" si="16"/>
        <v>0</v>
      </c>
      <c r="L38" s="582">
        <f>SUMIFS([6]BV_Data_An_Cour!$O:$O,[6]BV_Data_An_Cour!$U:$U,$B38,[6]BV_Data_An_Cour!$V:$V,$C38,[6]BV_Data_An_Cour!$W:$W,L$2)</f>
        <v>0</v>
      </c>
      <c r="M38" s="504"/>
      <c r="N38" s="551">
        <f t="shared" si="17"/>
        <v>0</v>
      </c>
      <c r="O38" s="525"/>
      <c r="P38" s="569">
        <f t="shared" si="18"/>
        <v>0</v>
      </c>
      <c r="Q38" s="528">
        <f>SUMIFS([6]BV_Data_An_Prec!$O:$O,[6]BV_Data_An_Prec!$U:$U,$B38,[6]BV_Data_An_Prec!$V:$V,$C38,[6]BV_Data_An_Prec!$W:$W,Q$2)</f>
        <v>0</v>
      </c>
      <c r="R38" s="525"/>
      <c r="S38" s="551">
        <f t="shared" si="19"/>
        <v>0</v>
      </c>
      <c r="T38" s="504"/>
      <c r="U38" s="504"/>
      <c r="V38" s="504"/>
      <c r="W38" s="504"/>
      <c r="X38" s="504"/>
      <c r="Y38" s="504"/>
      <c r="Z38" s="504"/>
      <c r="AA38" s="504"/>
      <c r="AB38" s="504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</row>
    <row r="39" spans="1:40" ht="15.75" hidden="1" customHeight="1">
      <c r="A39" s="517" t="s">
        <v>229</v>
      </c>
      <c r="B39" s="504" t="s">
        <v>0</v>
      </c>
      <c r="C39" s="525" t="s">
        <v>20</v>
      </c>
      <c r="D39" s="577"/>
      <c r="E39" s="569">
        <f t="shared" si="15"/>
        <v>0</v>
      </c>
      <c r="F39" s="526">
        <f t="array" ref="F39">+INDEX('[6]Budget original'!$A$2:$AO$500,MATCH($A39,'[6]Budget original'!$A$2:$A$500,0),MATCH(F$2,'[6]Budget original'!$A$2:$AO$2,0))</f>
        <v>0</v>
      </c>
      <c r="G39" s="578"/>
      <c r="H39" s="569"/>
      <c r="I39" s="526"/>
      <c r="J39" s="525"/>
      <c r="K39" s="569">
        <f t="shared" si="16"/>
        <v>0</v>
      </c>
      <c r="L39" s="582">
        <f>SUMIFS([6]BV_Data_An_Cour!$O:$O,[6]BV_Data_An_Cour!$U:$U,$B39,[6]BV_Data_An_Cour!$V:$V,$C39,[6]BV_Data_An_Cour!$W:$W,L$2)</f>
        <v>0</v>
      </c>
      <c r="M39" s="504"/>
      <c r="N39" s="551">
        <f t="shared" si="17"/>
        <v>0</v>
      </c>
      <c r="O39" s="525"/>
      <c r="P39" s="569">
        <f t="shared" si="18"/>
        <v>0</v>
      </c>
      <c r="Q39" s="528">
        <f>SUMIFS([6]BV_Data_An_Prec!$O:$O,[6]BV_Data_An_Prec!$U:$U,$B39,[6]BV_Data_An_Prec!$V:$V,$C39,[6]BV_Data_An_Prec!$W:$W,Q$2)</f>
        <v>0</v>
      </c>
      <c r="R39" s="525"/>
      <c r="S39" s="551">
        <f t="shared" si="19"/>
        <v>0</v>
      </c>
      <c r="T39" s="504"/>
      <c r="U39" s="504"/>
      <c r="V39" s="504"/>
      <c r="W39" s="504"/>
      <c r="X39" s="504"/>
      <c r="Y39" s="504"/>
      <c r="Z39" s="504"/>
      <c r="AA39" s="504"/>
      <c r="AB39" s="504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</row>
    <row r="40" spans="1:40" ht="15.75" hidden="1" customHeight="1">
      <c r="A40" s="517" t="s">
        <v>229</v>
      </c>
      <c r="B40" s="504" t="s">
        <v>0</v>
      </c>
      <c r="C40" s="525" t="s">
        <v>20</v>
      </c>
      <c r="D40" s="577"/>
      <c r="E40" s="569">
        <f t="shared" si="15"/>
        <v>0</v>
      </c>
      <c r="F40" s="526">
        <f t="array" ref="F40">+INDEX('[6]Budget original'!$A$2:$AO$500,MATCH($A40,'[6]Budget original'!$A$2:$A$500,0),MATCH(F$2,'[6]Budget original'!$A$2:$AO$2,0))</f>
        <v>0</v>
      </c>
      <c r="G40" s="578"/>
      <c r="H40" s="569"/>
      <c r="I40" s="526"/>
      <c r="J40" s="525"/>
      <c r="K40" s="569">
        <f t="shared" si="16"/>
        <v>0</v>
      </c>
      <c r="L40" s="583">
        <f>SUMIFS([6]BV_Data_An_Cour!$O:$O,[6]BV_Data_An_Cour!$U:$U,$B40,[6]BV_Data_An_Cour!$V:$V,$C40,[6]BV_Data_An_Cour!$W:$W,L$2)</f>
        <v>0</v>
      </c>
      <c r="M40" s="504"/>
      <c r="N40" s="551">
        <f t="shared" si="17"/>
        <v>0</v>
      </c>
      <c r="O40" s="525"/>
      <c r="P40" s="569">
        <f t="shared" si="18"/>
        <v>0</v>
      </c>
      <c r="Q40" s="528">
        <f>SUMIFS([6]BV_Data_An_Prec!$O:$O,[6]BV_Data_An_Prec!$U:$U,$B40,[6]BV_Data_An_Prec!$V:$V,$C40,[6]BV_Data_An_Prec!$W:$W,Q$2)</f>
        <v>0</v>
      </c>
      <c r="R40" s="525"/>
      <c r="S40" s="551">
        <f t="shared" si="19"/>
        <v>0</v>
      </c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</row>
    <row r="41" spans="1:40" ht="15.75" customHeight="1">
      <c r="A41" s="517" t="s">
        <v>247</v>
      </c>
      <c r="B41" s="504" t="s">
        <v>0</v>
      </c>
      <c r="C41" s="584" t="s">
        <v>38</v>
      </c>
      <c r="D41" s="585" t="s">
        <v>39</v>
      </c>
      <c r="E41" s="586">
        <f>F41/F$27</f>
        <v>0.43414115785603297</v>
      </c>
      <c r="F41" s="587">
        <f>SUM(F31:F40)</f>
        <v>86065.56598294682</v>
      </c>
      <c r="G41" s="588"/>
      <c r="H41" s="586"/>
      <c r="I41" s="587"/>
      <c r="J41" s="588" t="s">
        <v>39</v>
      </c>
      <c r="K41" s="586">
        <f>L41/L$27</f>
        <v>0.39759442550017371</v>
      </c>
      <c r="L41" s="587">
        <f>SUM(L31:L40)</f>
        <v>81672.009999999995</v>
      </c>
      <c r="M41" s="589"/>
      <c r="N41" s="587">
        <f t="shared" si="17"/>
        <v>-4393.5559829468257</v>
      </c>
      <c r="O41" s="588" t="s">
        <v>39</v>
      </c>
      <c r="P41" s="586">
        <f>Q41/Q$27</f>
        <v>0.33848274215476198</v>
      </c>
      <c r="Q41" s="590">
        <f>SUM(Q31:Q40)</f>
        <v>93511.06</v>
      </c>
      <c r="R41" s="591"/>
      <c r="S41" s="587">
        <f t="shared" si="19"/>
        <v>-11839.050000000003</v>
      </c>
      <c r="T41" s="504"/>
      <c r="U41" s="504"/>
      <c r="V41" s="504"/>
      <c r="W41" s="504"/>
      <c r="X41" s="504"/>
      <c r="Y41" s="504"/>
      <c r="Z41" s="504"/>
      <c r="AA41" s="504"/>
      <c r="AB41" s="504"/>
      <c r="AC41" s="504"/>
      <c r="AD41" s="504"/>
      <c r="AE41" s="504"/>
      <c r="AF41" s="504"/>
      <c r="AG41" s="504"/>
      <c r="AH41" s="504"/>
      <c r="AI41" s="504"/>
      <c r="AJ41" s="504"/>
      <c r="AK41" s="504"/>
      <c r="AL41" s="504"/>
      <c r="AM41" s="504"/>
      <c r="AN41" s="504"/>
    </row>
    <row r="42" spans="1:40" ht="15.75" customHeight="1">
      <c r="A42" s="517" t="s">
        <v>248</v>
      </c>
      <c r="B42" s="504" t="s">
        <v>0</v>
      </c>
      <c r="C42" s="592" t="s">
        <v>41</v>
      </c>
      <c r="D42" s="504"/>
      <c r="E42" s="504"/>
      <c r="F42" s="526">
        <f t="array" ref="F42">+INDEX('[6]Budget original'!$A$2:$AO$500,MATCH($A42,'[6]Budget original'!$A$2:$A$500,0),MATCH(F$2,'[6]Budget original'!$A$2:$AO$2,0))</f>
        <v>17292.496551724136</v>
      </c>
      <c r="G42" s="525"/>
      <c r="H42" s="504"/>
      <c r="I42" s="526"/>
      <c r="J42" s="525"/>
      <c r="K42" s="504"/>
      <c r="L42" s="528">
        <f>SUMIFS([6]BV_Data_An_Cour!$O:$O,[6]BV_Data_An_Cour!$U:$U,$B42,[6]BV_Data_An_Cour!$V:$V,$C42,[6]BV_Data_An_Cour!$W:$W,L$2)</f>
        <v>13776.33</v>
      </c>
      <c r="M42" s="525"/>
      <c r="N42" s="551">
        <f t="shared" si="17"/>
        <v>-3516.1665517241363</v>
      </c>
      <c r="O42" s="525"/>
      <c r="P42" s="504"/>
      <c r="Q42" s="528">
        <f>SUMIFS([6]BV_Data_An_Prec!$O:$O,[6]BV_Data_An_Prec!$U:$U,$B42,[6]BV_Data_An_Prec!$V:$V,$C42,[6]BV_Data_An_Prec!$W:$W,Q$2)</f>
        <v>17258.29</v>
      </c>
      <c r="R42" s="525"/>
      <c r="S42" s="551">
        <f t="shared" si="19"/>
        <v>-3481.9600000000009</v>
      </c>
      <c r="T42" s="504"/>
      <c r="U42" s="504"/>
      <c r="V42" s="504"/>
      <c r="W42" s="504"/>
      <c r="X42" s="504"/>
      <c r="Y42" s="504"/>
      <c r="Z42" s="504"/>
      <c r="AA42" s="504"/>
      <c r="AB42" s="50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</row>
    <row r="43" spans="1:40" ht="15.75" customHeight="1">
      <c r="A43" s="517" t="s">
        <v>249</v>
      </c>
      <c r="B43" s="504" t="s">
        <v>0</v>
      </c>
      <c r="C43" s="593" t="s">
        <v>42</v>
      </c>
      <c r="D43" s="577"/>
      <c r="E43" s="504"/>
      <c r="F43" s="520">
        <f t="array" ref="F43">+INDEX('[6]Budget original'!$A$2:$AO$500,MATCH($A43,'[6]Budget original'!$A$2:$A$500,0),MATCH(F$2,'[6]Budget original'!$A$2:$AO$2,0))</f>
        <v>10224.637241379311</v>
      </c>
      <c r="G43" s="578"/>
      <c r="H43" s="504"/>
      <c r="I43" s="520"/>
      <c r="J43" s="525"/>
      <c r="K43" s="504"/>
      <c r="L43" s="528">
        <f>SUMIFS([6]BV_Data_An_Cour!$O:$O,[6]BV_Data_An_Cour!$U:$U,$B43,[6]BV_Data_An_Cour!$V:$V,$C43,[6]BV_Data_An_Cour!$W:$W,L$2)</f>
        <v>14509.06</v>
      </c>
      <c r="M43" s="525"/>
      <c r="N43" s="551">
        <f t="shared" si="17"/>
        <v>4284.4227586206889</v>
      </c>
      <c r="O43" s="525"/>
      <c r="P43" s="504"/>
      <c r="Q43" s="528">
        <f>SUMIFS([6]BV_Data_An_Prec!$O:$O,[6]BV_Data_An_Prec!$U:$U,$B43,[6]BV_Data_An_Prec!$V:$V,$C43,[6]BV_Data_An_Prec!$W:$W,Q$2)</f>
        <v>7489.24</v>
      </c>
      <c r="R43" s="525"/>
      <c r="S43" s="551">
        <f t="shared" si="19"/>
        <v>7019.82</v>
      </c>
      <c r="T43" s="504"/>
      <c r="U43" s="504"/>
      <c r="V43" s="504"/>
      <c r="W43" s="504"/>
      <c r="X43" s="504"/>
      <c r="Y43" s="504"/>
      <c r="Z43" s="504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04"/>
      <c r="AL43" s="504"/>
      <c r="AM43" s="504"/>
      <c r="AN43" s="504"/>
    </row>
    <row r="44" spans="1:40" ht="15.75" customHeight="1">
      <c r="A44" s="517" t="s">
        <v>250</v>
      </c>
      <c r="B44" s="504" t="s">
        <v>0</v>
      </c>
      <c r="C44" s="592" t="s">
        <v>43</v>
      </c>
      <c r="D44" s="594"/>
      <c r="E44" s="595"/>
      <c r="F44" s="526">
        <f t="array" ref="F44">+INDEX('[6]Budget original'!$A$2:$AO$500,MATCH($A44,'[6]Budget original'!$A$2:$A$500,0),MATCH(F$2,'[6]Budget original'!$A$2:$AO$2,0))</f>
        <v>8208.9839080459769</v>
      </c>
      <c r="G44" s="596"/>
      <c r="H44" s="595"/>
      <c r="I44" s="526"/>
      <c r="J44" s="512"/>
      <c r="K44" s="595"/>
      <c r="L44" s="547">
        <f>SUMIFS([6]BV_Data_An_Cour!$O:$O,[6]BV_Data_An_Cour!$U:$U,$B44,[6]BV_Data_An_Cour!$V:$V,$C44,[6]BV_Data_An_Cour!$W:$W,L$2)</f>
        <v>13387.76</v>
      </c>
      <c r="M44" s="512"/>
      <c r="N44" s="597">
        <f t="shared" si="17"/>
        <v>5178.7760919540233</v>
      </c>
      <c r="O44" s="512"/>
      <c r="P44" s="595"/>
      <c r="Q44" s="547">
        <f>SUMIFS([6]BV_Data_An_Prec!$O:$O,[6]BV_Data_An_Prec!$U:$U,$B44,[6]BV_Data_An_Prec!$V:$V,$C44,[6]BV_Data_An_Prec!$W:$W,Q$2)</f>
        <v>3923.31</v>
      </c>
      <c r="R44" s="512"/>
      <c r="S44" s="597">
        <f t="shared" si="19"/>
        <v>9464.4500000000007</v>
      </c>
      <c r="T44" s="504"/>
      <c r="U44" s="504"/>
      <c r="V44" s="504"/>
      <c r="W44" s="504"/>
      <c r="X44" s="504"/>
      <c r="Y44" s="504"/>
      <c r="Z44" s="504"/>
      <c r="AA44" s="504"/>
      <c r="AB44" s="504"/>
      <c r="AC44" s="504"/>
      <c r="AD44" s="504"/>
      <c r="AE44" s="504"/>
      <c r="AF44" s="504"/>
      <c r="AG44" s="504"/>
      <c r="AH44" s="504"/>
      <c r="AI44" s="504"/>
      <c r="AJ44" s="504"/>
      <c r="AK44" s="504"/>
      <c r="AL44" s="504"/>
      <c r="AM44" s="504"/>
      <c r="AN44" s="504"/>
    </row>
    <row r="45" spans="1:40" ht="15.75" customHeight="1">
      <c r="A45" s="517" t="s">
        <v>251</v>
      </c>
      <c r="B45" s="504" t="s">
        <v>0</v>
      </c>
      <c r="C45" s="592" t="s">
        <v>44</v>
      </c>
      <c r="D45" s="577"/>
      <c r="E45" s="504"/>
      <c r="F45" s="526">
        <f t="array" ref="F45">+INDEX('[6]Budget original'!$A$2:$AO$500,MATCH($A45,'[6]Budget original'!$A$2:$A$500,0),MATCH(F$2,'[6]Budget original'!$A$2:$AO$2,0))</f>
        <v>0</v>
      </c>
      <c r="G45" s="578"/>
      <c r="H45" s="504"/>
      <c r="I45" s="526"/>
      <c r="J45" s="525"/>
      <c r="K45" s="504"/>
      <c r="L45" s="528">
        <f>SUMIFS([6]BV_Data_An_Cour!$O:$O,[6]BV_Data_An_Cour!$U:$U,$B45,[6]BV_Data_An_Cour!$V:$V,$C45,[6]BV_Data_An_Cour!$W:$W,L$2)</f>
        <v>0</v>
      </c>
      <c r="M45" s="525"/>
      <c r="N45" s="551">
        <f t="shared" si="17"/>
        <v>0</v>
      </c>
      <c r="O45" s="525"/>
      <c r="P45" s="504"/>
      <c r="Q45" s="528">
        <f>SUMIFS([6]BV_Data_An_Prec!$O:$O,[6]BV_Data_An_Prec!$U:$U,$B45,[6]BV_Data_An_Prec!$V:$V,$C45,[6]BV_Data_An_Prec!$W:$W,Q$2)</f>
        <v>0</v>
      </c>
      <c r="R45" s="525"/>
      <c r="S45" s="551">
        <f t="shared" si="19"/>
        <v>0</v>
      </c>
      <c r="T45" s="504"/>
      <c r="U45" s="504"/>
      <c r="V45" s="504"/>
      <c r="W45" s="504"/>
      <c r="X45" s="504"/>
      <c r="Y45" s="504"/>
      <c r="Z45" s="504"/>
      <c r="AA45" s="504"/>
      <c r="AB45" s="50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</row>
    <row r="46" spans="1:40" ht="15.75" hidden="1" customHeight="1">
      <c r="A46" s="517" t="s">
        <v>229</v>
      </c>
      <c r="B46" s="504" t="s">
        <v>0</v>
      </c>
      <c r="C46" s="592" t="s">
        <v>20</v>
      </c>
      <c r="D46" s="577"/>
      <c r="E46" s="504"/>
      <c r="F46" s="526">
        <f t="array" ref="F46">+INDEX('[6]Budget original'!$A$2:$AO$500,MATCH($A46,'[6]Budget original'!$A$2:$A$500,0),MATCH(F$2,'[6]Budget original'!$A$2:$AO$2,0))</f>
        <v>0</v>
      </c>
      <c r="G46" s="578"/>
      <c r="H46" s="504"/>
      <c r="I46" s="526"/>
      <c r="J46" s="525"/>
      <c r="K46" s="504"/>
      <c r="L46" s="528">
        <f>SUMIFS([6]BV_Data_An_Cour!$O:$O,[6]BV_Data_An_Cour!$U:$U,$B46,[6]BV_Data_An_Cour!$V:$V,$C46,[6]BV_Data_An_Cour!$W:$W,L$2)</f>
        <v>0</v>
      </c>
      <c r="M46" s="525"/>
      <c r="N46" s="551">
        <f t="shared" si="17"/>
        <v>0</v>
      </c>
      <c r="O46" s="525"/>
      <c r="P46" s="504"/>
      <c r="Q46" s="528">
        <f>SUMIFS([6]BV_Data_An_Prec!$O:$O,[6]BV_Data_An_Prec!$U:$U,$B46,[6]BV_Data_An_Prec!$V:$V,$C46,[6]BV_Data_An_Prec!$W:$W,Q$2)</f>
        <v>0</v>
      </c>
      <c r="R46" s="525"/>
      <c r="S46" s="551">
        <f t="shared" si="19"/>
        <v>0</v>
      </c>
      <c r="T46" s="504"/>
      <c r="U46" s="504"/>
      <c r="V46" s="504"/>
      <c r="W46" s="504"/>
      <c r="X46" s="504"/>
      <c r="Y46" s="504"/>
      <c r="Z46" s="504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04"/>
      <c r="AL46" s="504"/>
      <c r="AM46" s="504"/>
      <c r="AN46" s="504"/>
    </row>
    <row r="47" spans="1:40" ht="15.75" hidden="1" customHeight="1">
      <c r="A47" s="517" t="s">
        <v>229</v>
      </c>
      <c r="B47" s="504" t="s">
        <v>0</v>
      </c>
      <c r="C47" s="592" t="s">
        <v>20</v>
      </c>
      <c r="D47" s="577"/>
      <c r="E47" s="504"/>
      <c r="F47" s="526">
        <f t="array" ref="F47">+INDEX('[6]Budget original'!$A$2:$AO$500,MATCH($A47,'[6]Budget original'!$A$2:$A$500,0),MATCH(F$2,'[6]Budget original'!$A$2:$AO$2,0))</f>
        <v>0</v>
      </c>
      <c r="G47" s="578"/>
      <c r="H47" s="504"/>
      <c r="I47" s="526"/>
      <c r="J47" s="525"/>
      <c r="K47" s="504"/>
      <c r="L47" s="528">
        <f>SUMIFS([6]BV_Data_An_Cour!$O:$O,[6]BV_Data_An_Cour!$U:$U,$B47,[6]BV_Data_An_Cour!$V:$V,$C47,[6]BV_Data_An_Cour!$W:$W,L$2)</f>
        <v>0</v>
      </c>
      <c r="M47" s="525"/>
      <c r="N47" s="551">
        <f t="shared" si="17"/>
        <v>0</v>
      </c>
      <c r="O47" s="525"/>
      <c r="P47" s="504"/>
      <c r="Q47" s="528">
        <f>SUMIFS([6]BV_Data_An_Prec!$O:$O,[6]BV_Data_An_Prec!$U:$U,$B47,[6]BV_Data_An_Prec!$V:$V,$C47,[6]BV_Data_An_Prec!$W:$W,Q$2)</f>
        <v>0</v>
      </c>
      <c r="R47" s="525"/>
      <c r="S47" s="551">
        <f t="shared" si="19"/>
        <v>0</v>
      </c>
      <c r="T47" s="504"/>
      <c r="U47" s="504"/>
      <c r="V47" s="504"/>
      <c r="W47" s="504"/>
      <c r="X47" s="504"/>
      <c r="Y47" s="504"/>
      <c r="Z47" s="504"/>
      <c r="AA47" s="504"/>
      <c r="AB47" s="504"/>
      <c r="AC47" s="504"/>
      <c r="AD47" s="504"/>
      <c r="AE47" s="504"/>
      <c r="AF47" s="504"/>
      <c r="AG47" s="504"/>
      <c r="AH47" s="504"/>
      <c r="AI47" s="504"/>
      <c r="AJ47" s="504"/>
      <c r="AK47" s="504"/>
      <c r="AL47" s="504"/>
      <c r="AM47" s="504"/>
      <c r="AN47" s="504"/>
    </row>
    <row r="48" spans="1:40" ht="15.75" hidden="1" customHeight="1">
      <c r="A48" s="517" t="s">
        <v>229</v>
      </c>
      <c r="B48" s="504" t="s">
        <v>0</v>
      </c>
      <c r="C48" s="592" t="s">
        <v>20</v>
      </c>
      <c r="D48" s="577"/>
      <c r="E48" s="504"/>
      <c r="F48" s="526">
        <f t="array" ref="F48">+INDEX('[6]Budget original'!$A$2:$AO$500,MATCH($A48,'[6]Budget original'!$A$2:$A$500,0),MATCH(F$2,'[6]Budget original'!$A$2:$AO$2,0))</f>
        <v>0</v>
      </c>
      <c r="G48" s="578"/>
      <c r="H48" s="504"/>
      <c r="I48" s="526"/>
      <c r="J48" s="525"/>
      <c r="K48" s="504"/>
      <c r="L48" s="528">
        <f>SUMIFS([6]BV_Data_An_Cour!$O:$O,[6]BV_Data_An_Cour!$U:$U,$B48,[6]BV_Data_An_Cour!$V:$V,$C48,[6]BV_Data_An_Cour!$W:$W,L$2)</f>
        <v>0</v>
      </c>
      <c r="M48" s="525"/>
      <c r="N48" s="551">
        <f t="shared" si="17"/>
        <v>0</v>
      </c>
      <c r="O48" s="525"/>
      <c r="P48" s="504"/>
      <c r="Q48" s="528">
        <f>SUMIFS([6]BV_Data_An_Prec!$O:$O,[6]BV_Data_An_Prec!$U:$U,$B48,[6]BV_Data_An_Prec!$V:$V,$C48,[6]BV_Data_An_Prec!$W:$W,Q$2)</f>
        <v>0</v>
      </c>
      <c r="R48" s="525"/>
      <c r="S48" s="551">
        <f t="shared" si="19"/>
        <v>0</v>
      </c>
      <c r="T48" s="504"/>
      <c r="U48" s="504"/>
      <c r="V48" s="504"/>
      <c r="W48" s="504"/>
      <c r="X48" s="504"/>
      <c r="Y48" s="504"/>
      <c r="Z48" s="504"/>
      <c r="AA48" s="504"/>
      <c r="AB48" s="504"/>
      <c r="AC48" s="504"/>
      <c r="AD48" s="504"/>
      <c r="AE48" s="504"/>
      <c r="AF48" s="504"/>
      <c r="AG48" s="504"/>
      <c r="AH48" s="504"/>
      <c r="AI48" s="504"/>
      <c r="AJ48" s="504"/>
      <c r="AK48" s="504"/>
      <c r="AL48" s="504"/>
      <c r="AM48" s="504"/>
      <c r="AN48" s="504"/>
    </row>
    <row r="49" spans="1:40" ht="15.75" customHeight="1">
      <c r="A49" s="517" t="s">
        <v>252</v>
      </c>
      <c r="B49" s="504" t="s">
        <v>0</v>
      </c>
      <c r="C49" s="593" t="s">
        <v>45</v>
      </c>
      <c r="D49" s="577"/>
      <c r="E49" s="504"/>
      <c r="F49" s="520">
        <f t="array" ref="F49">+INDEX('[6]Budget original'!$A$2:$AO$500,MATCH($A49,'[6]Budget original'!$A$2:$A$500,0),MATCH(F$2,'[6]Budget original'!$A$2:$AO$2,0))</f>
        <v>11279.396948802207</v>
      </c>
      <c r="G49" s="578"/>
      <c r="H49" s="504"/>
      <c r="I49" s="520"/>
      <c r="J49" s="525"/>
      <c r="K49" s="504"/>
      <c r="L49" s="520">
        <f>SUMIFS([6]BV_Data_An_Cour!$O:$O,[6]BV_Data_An_Cour!$U:$U,$B49,[6]BV_Data_An_Cour!$V:$V,$C49,[6]BV_Data_An_Cour!$W:$W,L$2)</f>
        <v>12929.12</v>
      </c>
      <c r="M49" s="525"/>
      <c r="N49" s="551">
        <f t="shared" si="17"/>
        <v>1649.7230511977941</v>
      </c>
      <c r="O49" s="525"/>
      <c r="P49" s="504"/>
      <c r="Q49" s="520">
        <f>SUMIFS([6]BV_Data_An_Prec!$O:$O,[6]BV_Data_An_Prec!$U:$U,$B49,[6]BV_Data_An_Prec!$V:$V,$C49,[6]BV_Data_An_Prec!$W:$W,Q$2)</f>
        <v>17407.080000000002</v>
      </c>
      <c r="R49" s="525"/>
      <c r="S49" s="551">
        <f t="shared" si="19"/>
        <v>-4477.9600000000009</v>
      </c>
      <c r="T49" s="504"/>
      <c r="U49" s="504"/>
      <c r="V49" s="504"/>
      <c r="W49" s="504"/>
      <c r="X49" s="501"/>
      <c r="Y49" s="504"/>
      <c r="Z49" s="504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</row>
    <row r="50" spans="1:40" ht="15.75" customHeight="1">
      <c r="A50" s="517" t="s">
        <v>253</v>
      </c>
      <c r="B50" s="504" t="s">
        <v>0</v>
      </c>
      <c r="C50" s="592" t="s">
        <v>46</v>
      </c>
      <c r="D50" s="594"/>
      <c r="E50" s="595"/>
      <c r="F50" s="526">
        <f t="array" ref="F50">+INDEX('[6]Budget original'!$A$2:$AO$500,MATCH($A50,'[6]Budget original'!$A$2:$A$500,0),MATCH(F$2,'[6]Budget original'!$A$2:$AO$2,0))</f>
        <v>11212.831106010968</v>
      </c>
      <c r="G50" s="596"/>
      <c r="H50" s="595"/>
      <c r="I50" s="526"/>
      <c r="J50" s="512"/>
      <c r="K50" s="595"/>
      <c r="L50" s="528">
        <f>SUMIFS([6]BV_Data_An_Cour!$O:$O,[6]BV_Data_An_Cour!$U:$U,$B50,[6]BV_Data_An_Cour!$V:$V,$C50,[6]BV_Data_An_Cour!$W:$W,L$2)</f>
        <v>12404.94</v>
      </c>
      <c r="M50" s="512"/>
      <c r="N50" s="597">
        <f t="shared" si="17"/>
        <v>1192.1088939890324</v>
      </c>
      <c r="O50" s="512"/>
      <c r="P50" s="595"/>
      <c r="Q50" s="528">
        <f>SUMIFS([6]BV_Data_An_Prec!$O:$O,[6]BV_Data_An_Prec!$U:$U,$B50,[6]BV_Data_An_Prec!$V:$V,$C50,[6]BV_Data_An_Prec!$W:$W,Q$2)</f>
        <v>20529.61</v>
      </c>
      <c r="R50" s="512"/>
      <c r="S50" s="597">
        <f t="shared" si="19"/>
        <v>-8124.67</v>
      </c>
      <c r="T50" s="504"/>
      <c r="U50" s="504"/>
      <c r="V50" s="504"/>
      <c r="W50" s="504"/>
      <c r="X50" s="501"/>
      <c r="Y50" s="504"/>
      <c r="Z50" s="504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</row>
    <row r="51" spans="1:40" ht="15.75" customHeight="1">
      <c r="A51" s="517" t="s">
        <v>254</v>
      </c>
      <c r="B51" s="504" t="s">
        <v>0</v>
      </c>
      <c r="C51" s="592" t="s">
        <v>47</v>
      </c>
      <c r="D51" s="577"/>
      <c r="E51" s="504"/>
      <c r="F51" s="526">
        <f t="array" ref="F51">+INDEX('[6]Budget original'!$A$2:$AO$500,MATCH($A51,'[6]Budget original'!$A$2:$A$500,0),MATCH(F$2,'[6]Budget original'!$A$2:$AO$2,0))</f>
        <v>7851.8750650615802</v>
      </c>
      <c r="G51" s="578"/>
      <c r="H51" s="504"/>
      <c r="I51" s="526"/>
      <c r="J51" s="525"/>
      <c r="K51" s="504"/>
      <c r="L51" s="528">
        <f>SUMIFS([6]BV_Data_An_Cour!$O:$O,[6]BV_Data_An_Cour!$U:$U,$B51,[6]BV_Data_An_Cour!$V:$V,$C51,[6]BV_Data_An_Cour!$W:$W,L$2)</f>
        <v>5591.6100000000006</v>
      </c>
      <c r="M51" s="525"/>
      <c r="N51" s="551">
        <f t="shared" si="17"/>
        <v>-2260.2650650615797</v>
      </c>
      <c r="O51" s="525"/>
      <c r="P51" s="504"/>
      <c r="Q51" s="528">
        <f>SUMIFS([6]BV_Data_An_Prec!$O:$O,[6]BV_Data_An_Prec!$U:$U,$B51,[6]BV_Data_An_Prec!$V:$V,$C51,[6]BV_Data_An_Prec!$W:$W,Q$2)</f>
        <v>8891.51</v>
      </c>
      <c r="R51" s="525"/>
      <c r="S51" s="551">
        <f t="shared" si="19"/>
        <v>-3299.8999999999996</v>
      </c>
      <c r="T51" s="504"/>
      <c r="U51" s="504"/>
      <c r="V51" s="504"/>
      <c r="W51" s="504"/>
      <c r="X51" s="501"/>
      <c r="Y51" s="504"/>
      <c r="Z51" s="504"/>
      <c r="AA51" s="504"/>
      <c r="AB51" s="50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</row>
    <row r="52" spans="1:40" ht="15.75" customHeight="1">
      <c r="A52" s="517" t="s">
        <v>255</v>
      </c>
      <c r="B52" s="504" t="s">
        <v>0</v>
      </c>
      <c r="C52" s="592" t="s">
        <v>48</v>
      </c>
      <c r="D52" s="577"/>
      <c r="E52" s="504"/>
      <c r="F52" s="526">
        <f t="array" ref="F52">+INDEX('[6]Budget original'!$A$2:$AO$500,MATCH($A52,'[6]Budget original'!$A$2:$A$500,0),MATCH(F$2,'[6]Budget original'!$A$2:$AO$2,0))</f>
        <v>3751.0670373245107</v>
      </c>
      <c r="G52" s="578"/>
      <c r="H52" s="504"/>
      <c r="I52" s="526"/>
      <c r="J52" s="525"/>
      <c r="K52" s="504"/>
      <c r="L52" s="528">
        <f>SUMIFS([6]BV_Data_An_Cour!$O:$O,[6]BV_Data_An_Cour!$U:$U,$B52,[6]BV_Data_An_Cour!$V:$V,$C52,[6]BV_Data_An_Cour!$W:$W,L$2)</f>
        <v>3273.76</v>
      </c>
      <c r="M52" s="525"/>
      <c r="N52" s="551">
        <f t="shared" si="17"/>
        <v>-477.30703732451047</v>
      </c>
      <c r="O52" s="525"/>
      <c r="P52" s="504"/>
      <c r="Q52" s="528">
        <f>SUMIFS([6]BV_Data_An_Prec!$O:$O,[6]BV_Data_An_Prec!$U:$U,$B52,[6]BV_Data_An_Prec!$V:$V,$C52,[6]BV_Data_An_Prec!$W:$W,Q$2)</f>
        <v>6026.16</v>
      </c>
      <c r="R52" s="525"/>
      <c r="S52" s="551">
        <f t="shared" si="19"/>
        <v>-2752.3999999999996</v>
      </c>
      <c r="T52" s="504"/>
      <c r="U52" s="504"/>
      <c r="V52" s="504"/>
      <c r="W52" s="504"/>
      <c r="X52" s="501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</row>
    <row r="53" spans="1:40" ht="15.75" hidden="1" customHeight="1">
      <c r="A53" s="517" t="s">
        <v>229</v>
      </c>
      <c r="B53" s="504" t="s">
        <v>0</v>
      </c>
      <c r="C53" s="525" t="s">
        <v>20</v>
      </c>
      <c r="D53" s="579"/>
      <c r="E53" s="598"/>
      <c r="F53" s="526">
        <f t="array" ref="F53">+INDEX('[6]Budget original'!$A$2:$AO$500,MATCH($A53,'[6]Budget original'!$A$2:$A$500,0),MATCH(F$2,'[6]Budget original'!$A$2:$AO$2,0))</f>
        <v>0</v>
      </c>
      <c r="G53" s="580"/>
      <c r="H53" s="598"/>
      <c r="I53" s="526"/>
      <c r="J53" s="518"/>
      <c r="K53" s="598"/>
      <c r="L53" s="528">
        <f>SUMIFS([6]BV_Data_An_Cour!$O:$O,[6]BV_Data_An_Cour!$U:$U,$B53,[6]BV_Data_An_Cour!$V:$V,$C53,[6]BV_Data_An_Cour!$W:$W,L$2)</f>
        <v>0</v>
      </c>
      <c r="M53" s="518"/>
      <c r="N53" s="574">
        <f t="shared" si="17"/>
        <v>0</v>
      </c>
      <c r="O53" s="518"/>
      <c r="P53" s="598"/>
      <c r="Q53" s="528">
        <f>SUMIFS([6]BV_Data_An_Prec!$O:$O,[6]BV_Data_An_Prec!$U:$U,$B53,[6]BV_Data_An_Prec!$V:$V,$C53,[6]BV_Data_An_Prec!$W:$W,Q$2)</f>
        <v>0</v>
      </c>
      <c r="R53" s="518"/>
      <c r="S53" s="574">
        <f t="shared" si="19"/>
        <v>0</v>
      </c>
      <c r="T53" s="504"/>
      <c r="U53" s="504"/>
      <c r="V53" s="504"/>
      <c r="W53" s="504"/>
      <c r="X53" s="501"/>
      <c r="Y53" s="504"/>
      <c r="Z53" s="504"/>
      <c r="AA53" s="504"/>
      <c r="AB53" s="50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</row>
    <row r="54" spans="1:40" ht="15.75" customHeight="1">
      <c r="A54" s="517" t="s">
        <v>256</v>
      </c>
      <c r="B54" s="504" t="s">
        <v>0</v>
      </c>
      <c r="C54" s="584" t="s">
        <v>49</v>
      </c>
      <c r="D54" s="585" t="s">
        <v>39</v>
      </c>
      <c r="E54" s="586">
        <f>F54/F$27</f>
        <v>0.35220002805569195</v>
      </c>
      <c r="F54" s="587">
        <f>+SUM(F42:F53)</f>
        <v>69821.287858348689</v>
      </c>
      <c r="G54" s="588"/>
      <c r="H54" s="586"/>
      <c r="I54" s="587"/>
      <c r="J54" s="588" t="s">
        <v>39</v>
      </c>
      <c r="K54" s="586">
        <f>L54/L$27</f>
        <v>0.36936172938949308</v>
      </c>
      <c r="L54" s="587">
        <f>+SUM(L42:L53)</f>
        <v>75872.58</v>
      </c>
      <c r="M54" s="591"/>
      <c r="N54" s="587">
        <f>+SUM(N42:N53)</f>
        <v>6051.2921416513127</v>
      </c>
      <c r="O54" s="588" t="s">
        <v>39</v>
      </c>
      <c r="P54" s="586">
        <f>Q54/Q$27</f>
        <v>0.29509742752050294</v>
      </c>
      <c r="Q54" s="587">
        <f>+SUM(Q42:Q53)</f>
        <v>81525.2</v>
      </c>
      <c r="R54" s="591"/>
      <c r="S54" s="587">
        <f>+SUM(S42:S53)</f>
        <v>-5652.6200000000008</v>
      </c>
      <c r="T54" s="569"/>
      <c r="U54" s="504"/>
      <c r="V54" s="504"/>
      <c r="W54" s="504"/>
      <c r="X54" s="501"/>
      <c r="Y54" s="504"/>
      <c r="Z54" s="504"/>
      <c r="AA54" s="504"/>
      <c r="AB54" s="504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  <c r="AM54" s="504"/>
      <c r="AN54" s="504"/>
    </row>
    <row r="55" spans="1:40" ht="15.75" hidden="1" customHeight="1">
      <c r="A55" s="517" t="s">
        <v>257</v>
      </c>
      <c r="B55" s="504" t="s">
        <v>0</v>
      </c>
      <c r="C55" s="525" t="s">
        <v>50</v>
      </c>
      <c r="D55" s="577"/>
      <c r="E55" s="504"/>
      <c r="F55" s="526">
        <f t="array" ref="F55">+INDEX('[6]Budget original'!$A$2:$AO$500,MATCH($A55,'[6]Budget original'!$A$2:$A$500,0),MATCH(F$2,'[6]Budget original'!$A$2:$AO$2,0))</f>
        <v>0</v>
      </c>
      <c r="G55" s="578"/>
      <c r="H55" s="504"/>
      <c r="I55" s="526"/>
      <c r="J55" s="525"/>
      <c r="K55" s="504"/>
      <c r="L55" s="528">
        <f>SUMIFS([6]BV_Data_An_Cour!$O:$O,[6]BV_Data_An_Cour!$U:$U,$B55,[6]BV_Data_An_Cour!$V:$V,$C55,[6]BV_Data_An_Cour!$W:$W,L$2)</f>
        <v>0</v>
      </c>
      <c r="M55" s="525"/>
      <c r="N55" s="551">
        <f t="shared" ref="N55:N71" si="20">L55-F55</f>
        <v>0</v>
      </c>
      <c r="O55" s="525"/>
      <c r="P55" s="504"/>
      <c r="Q55" s="528">
        <f>SUMIFS([6]BV_Data_An_Prec!$O:$O,[6]BV_Data_An_Prec!$U:$U,$B55,[6]BV_Data_An_Prec!$V:$V,$C55,[6]BV_Data_An_Prec!$W:$W,Q$2)</f>
        <v>0</v>
      </c>
      <c r="R55" s="525"/>
      <c r="S55" s="551">
        <f t="shared" ref="S55:S71" si="21">L55-Q55</f>
        <v>0</v>
      </c>
      <c r="T55" s="569"/>
      <c r="U55" s="504"/>
      <c r="V55" s="504"/>
      <c r="W55" s="504"/>
      <c r="X55" s="501"/>
      <c r="Y55" s="504"/>
      <c r="Z55" s="504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  <c r="AM55" s="504"/>
      <c r="AN55" s="504"/>
    </row>
    <row r="56" spans="1:40" ht="15.75" hidden="1" customHeight="1">
      <c r="A56" s="517" t="s">
        <v>258</v>
      </c>
      <c r="B56" s="504" t="s">
        <v>0</v>
      </c>
      <c r="C56" s="525" t="s">
        <v>51</v>
      </c>
      <c r="D56" s="577"/>
      <c r="E56" s="504"/>
      <c r="F56" s="526">
        <f t="array" ref="F56">+INDEX('[6]Budget original'!$A$2:$AO$500,MATCH($A56,'[6]Budget original'!$A$2:$A$500,0),MATCH(F$2,'[6]Budget original'!$A$2:$AO$2,0))</f>
        <v>0</v>
      </c>
      <c r="G56" s="578"/>
      <c r="H56" s="504"/>
      <c r="I56" s="526"/>
      <c r="J56" s="525"/>
      <c r="K56" s="504"/>
      <c r="L56" s="528">
        <f>SUMIFS([6]BV_Data_An_Cour!$O:$O,[6]BV_Data_An_Cour!$U:$U,$B56,[6]BV_Data_An_Cour!$V:$V,$C56,[6]BV_Data_An_Cour!$W:$W,L$2)</f>
        <v>0</v>
      </c>
      <c r="M56" s="525"/>
      <c r="N56" s="551">
        <f t="shared" si="20"/>
        <v>0</v>
      </c>
      <c r="O56" s="525"/>
      <c r="P56" s="504"/>
      <c r="Q56" s="528">
        <f>SUMIFS([6]BV_Data_An_Prec!$O:$O,[6]BV_Data_An_Prec!$U:$U,$B56,[6]BV_Data_An_Prec!$V:$V,$C56,[6]BV_Data_An_Prec!$W:$W,Q$2)</f>
        <v>0</v>
      </c>
      <c r="R56" s="525"/>
      <c r="S56" s="551">
        <f t="shared" si="21"/>
        <v>0</v>
      </c>
      <c r="T56" s="569"/>
      <c r="U56" s="504"/>
      <c r="V56" s="504"/>
      <c r="W56" s="504"/>
      <c r="X56" s="501"/>
      <c r="Y56" s="504"/>
      <c r="Z56" s="504"/>
      <c r="AA56" s="504"/>
      <c r="AB56" s="504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  <c r="AM56" s="504"/>
      <c r="AN56" s="504"/>
    </row>
    <row r="57" spans="1:40" ht="15.75" customHeight="1">
      <c r="A57" s="517" t="s">
        <v>259</v>
      </c>
      <c r="B57" s="504" t="s">
        <v>0</v>
      </c>
      <c r="C57" s="518" t="s">
        <v>52</v>
      </c>
      <c r="D57" s="579"/>
      <c r="E57" s="598"/>
      <c r="F57" s="520">
        <f t="array" ref="F57">+INDEX('[6]Budget original'!$A$2:$AO$500,MATCH($A57,'[6]Budget original'!$A$2:$A$500,0),MATCH(F$2,'[6]Budget original'!$A$2:$AO$2,0))</f>
        <v>7945.833333333333</v>
      </c>
      <c r="G57" s="580"/>
      <c r="H57" s="598"/>
      <c r="I57" s="520"/>
      <c r="J57" s="518"/>
      <c r="K57" s="598"/>
      <c r="L57" s="520">
        <f>SUMIFS([6]BV_Data_An_Cour!$O:$O,[6]BV_Data_An_Cour!$U:$U,$B57,[6]BV_Data_An_Cour!$V:$V,$C57,[6]BV_Data_An_Cour!$W:$W,L$2)</f>
        <v>5916.23</v>
      </c>
      <c r="M57" s="518"/>
      <c r="N57" s="574">
        <f t="shared" si="20"/>
        <v>-2029.6033333333335</v>
      </c>
      <c r="O57" s="518"/>
      <c r="P57" s="598"/>
      <c r="Q57" s="520">
        <f>SUMIFS([6]BV_Data_An_Prec!$O:$O,[6]BV_Data_An_Prec!$U:$U,$B57,[6]BV_Data_An_Prec!$V:$V,$C57,[6]BV_Data_An_Prec!$W:$W,Q$2)</f>
        <v>8324.85</v>
      </c>
      <c r="R57" s="518"/>
      <c r="S57" s="574">
        <f t="shared" si="21"/>
        <v>-2408.6200000000008</v>
      </c>
      <c r="T57" s="599"/>
      <c r="U57" s="504"/>
      <c r="V57" s="504"/>
      <c r="W57" s="504"/>
      <c r="X57" s="501"/>
      <c r="Y57" s="504"/>
      <c r="Z57" s="504"/>
      <c r="AA57" s="504"/>
      <c r="AB57" s="504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  <c r="AM57" s="504"/>
      <c r="AN57" s="504"/>
    </row>
    <row r="58" spans="1:40" ht="15.75" customHeight="1">
      <c r="A58" s="517" t="s">
        <v>260</v>
      </c>
      <c r="B58" s="504" t="s">
        <v>0</v>
      </c>
      <c r="C58" s="525" t="s">
        <v>53</v>
      </c>
      <c r="D58" s="577"/>
      <c r="E58" s="504"/>
      <c r="F58" s="526">
        <f t="array" ref="F58">+INDEX('[6]Budget original'!$A$2:$AO$500,MATCH($A58,'[6]Budget original'!$A$2:$A$500,0),MATCH(F$2,'[6]Budget original'!$A$2:$AO$2,0))</f>
        <v>6260.866398666667</v>
      </c>
      <c r="G58" s="578"/>
      <c r="H58" s="504"/>
      <c r="I58" s="526"/>
      <c r="J58" s="525"/>
      <c r="K58" s="504"/>
      <c r="L58" s="528">
        <f>SUMIFS([6]BV_Data_An_Cour!$O:$O,[6]BV_Data_An_Cour!$U:$U,$B58,[6]BV_Data_An_Cour!$V:$V,$C58,[6]BV_Data_An_Cour!$W:$W,L$2)</f>
        <v>7019.75</v>
      </c>
      <c r="M58" s="525"/>
      <c r="N58" s="551">
        <f t="shared" si="20"/>
        <v>758.88360133333299</v>
      </c>
      <c r="O58" s="525"/>
      <c r="P58" s="504"/>
      <c r="Q58" s="528">
        <f>SUMIFS([6]BV_Data_An_Prec!$O:$O,[6]BV_Data_An_Prec!$U:$U,$B58,[6]BV_Data_An_Prec!$V:$V,$C58,[6]BV_Data_An_Prec!$W:$W,Q$2)</f>
        <v>7033.71</v>
      </c>
      <c r="R58" s="525"/>
      <c r="S58" s="551">
        <f t="shared" si="21"/>
        <v>-13.960000000000036</v>
      </c>
      <c r="T58" s="569"/>
      <c r="U58" s="504"/>
      <c r="V58" s="504"/>
      <c r="W58" s="504"/>
      <c r="X58" s="504"/>
      <c r="Y58" s="504"/>
      <c r="Z58" s="504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  <c r="AM58" s="504"/>
      <c r="AN58" s="504"/>
    </row>
    <row r="59" spans="1:40" ht="15.75" customHeight="1">
      <c r="A59" s="517" t="s">
        <v>261</v>
      </c>
      <c r="B59" s="504" t="s">
        <v>0</v>
      </c>
      <c r="C59" s="525" t="s">
        <v>54</v>
      </c>
      <c r="D59" s="577"/>
      <c r="E59" s="504"/>
      <c r="F59" s="526">
        <f t="array" ref="F59">+INDEX('[6]Budget original'!$A$2:$AO$500,MATCH($A59,'[6]Budget original'!$A$2:$A$500,0),MATCH(F$2,'[6]Budget original'!$A$2:$AO$2,0))</f>
        <v>1000.0880446666665</v>
      </c>
      <c r="G59" s="578"/>
      <c r="H59" s="504"/>
      <c r="I59" s="526"/>
      <c r="J59" s="525"/>
      <c r="K59" s="504"/>
      <c r="L59" s="528">
        <f>SUMIFS([6]BV_Data_An_Cour!$O:$O,[6]BV_Data_An_Cour!$U:$U,$B59,[6]BV_Data_An_Cour!$V:$V,$C59,[6]BV_Data_An_Cour!$W:$W,L$2)</f>
        <v>504.08</v>
      </c>
      <c r="M59" s="525"/>
      <c r="N59" s="551">
        <f t="shared" si="20"/>
        <v>-496.00804466666654</v>
      </c>
      <c r="O59" s="525"/>
      <c r="P59" s="504"/>
      <c r="Q59" s="528">
        <f>SUMIFS([6]BV_Data_An_Prec!$O:$O,[6]BV_Data_An_Prec!$U:$U,$B59,[6]BV_Data_An_Prec!$V:$V,$C59,[6]BV_Data_An_Prec!$W:$W,Q$2)</f>
        <v>2502.7600000000002</v>
      </c>
      <c r="R59" s="525"/>
      <c r="S59" s="551">
        <f t="shared" si="21"/>
        <v>-1998.6800000000003</v>
      </c>
      <c r="T59" s="504"/>
      <c r="U59" s="504"/>
      <c r="V59" s="504"/>
      <c r="W59" s="504"/>
      <c r="X59" s="504"/>
      <c r="Y59" s="504"/>
      <c r="Z59" s="504"/>
      <c r="AA59" s="504"/>
      <c r="AB59" s="504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  <c r="AM59" s="504"/>
      <c r="AN59" s="504"/>
    </row>
    <row r="60" spans="1:40" ht="15.75" customHeight="1">
      <c r="A60" s="517" t="s">
        <v>262</v>
      </c>
      <c r="B60" s="504" t="s">
        <v>0</v>
      </c>
      <c r="C60" s="518" t="s">
        <v>55</v>
      </c>
      <c r="D60" s="579"/>
      <c r="E60" s="598"/>
      <c r="F60" s="520">
        <f t="array" ref="F60">+INDEX('[6]Budget original'!$A$2:$AO$500,MATCH($A60,'[6]Budget original'!$A$2:$A$500,0),MATCH(F$2,'[6]Budget original'!$A$2:$AO$2,0))</f>
        <v>6901.1637297777779</v>
      </c>
      <c r="G60" s="580"/>
      <c r="H60" s="598"/>
      <c r="I60" s="520"/>
      <c r="J60" s="518"/>
      <c r="K60" s="598"/>
      <c r="L60" s="520">
        <f>SUMIFS([6]BV_Data_An_Cour!$O:$O,[6]BV_Data_An_Cour!$U:$U,$B60,[6]BV_Data_An_Cour!$V:$V,$C60,[6]BV_Data_An_Cour!$W:$W,L$2)</f>
        <v>6175.67</v>
      </c>
      <c r="M60" s="518"/>
      <c r="N60" s="574">
        <f t="shared" si="20"/>
        <v>-725.49372977777784</v>
      </c>
      <c r="O60" s="518"/>
      <c r="P60" s="598"/>
      <c r="Q60" s="520">
        <f>SUMIFS([6]BV_Data_An_Prec!$O:$O,[6]BV_Data_An_Prec!$U:$U,$B60,[6]BV_Data_An_Prec!$V:$V,$C60,[6]BV_Data_An_Prec!$W:$W,Q$2)</f>
        <v>7293.4</v>
      </c>
      <c r="R60" s="518"/>
      <c r="S60" s="574">
        <f t="shared" si="21"/>
        <v>-1117.7299999999996</v>
      </c>
      <c r="T60" s="504"/>
      <c r="U60" s="504"/>
      <c r="V60" s="504"/>
      <c r="W60" s="504"/>
      <c r="X60" s="504"/>
      <c r="Y60" s="504"/>
      <c r="Z60" s="504"/>
      <c r="AA60" s="504"/>
      <c r="AB60" s="504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  <c r="AM60" s="504"/>
      <c r="AN60" s="504"/>
    </row>
    <row r="61" spans="1:40" ht="15.75" customHeight="1">
      <c r="A61" s="517" t="s">
        <v>263</v>
      </c>
      <c r="B61" s="504" t="s">
        <v>0</v>
      </c>
      <c r="C61" s="525" t="s">
        <v>56</v>
      </c>
      <c r="D61" s="577"/>
      <c r="E61" s="504"/>
      <c r="F61" s="526">
        <f t="array" ref="F61">+INDEX('[6]Budget original'!$A$2:$AO$500,MATCH($A61,'[6]Budget original'!$A$2:$A$500,0),MATCH(F$2,'[6]Budget original'!$A$2:$AO$2,0))</f>
        <v>119.79021815603429</v>
      </c>
      <c r="G61" s="578"/>
      <c r="H61" s="504"/>
      <c r="I61" s="526"/>
      <c r="J61" s="525"/>
      <c r="K61" s="504"/>
      <c r="L61" s="528">
        <f>SUMIFS([6]BV_Data_An_Cour!$O:$O,[6]BV_Data_An_Cour!$U:$U,$B61,[6]BV_Data_An_Cour!$V:$V,$C61,[6]BV_Data_An_Cour!$W:$W,L$2)</f>
        <v>0</v>
      </c>
      <c r="M61" s="525"/>
      <c r="N61" s="551">
        <f t="shared" si="20"/>
        <v>-119.79021815603429</v>
      </c>
      <c r="O61" s="525"/>
      <c r="P61" s="504"/>
      <c r="Q61" s="528">
        <f>SUMIFS([6]BV_Data_An_Prec!$O:$O,[6]BV_Data_An_Prec!$U:$U,$B61,[6]BV_Data_An_Prec!$V:$V,$C61,[6]BV_Data_An_Prec!$W:$W,Q$2)</f>
        <v>0</v>
      </c>
      <c r="R61" s="525"/>
      <c r="S61" s="551">
        <f t="shared" si="21"/>
        <v>0</v>
      </c>
      <c r="T61" s="504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</row>
    <row r="62" spans="1:40" ht="15.75" customHeight="1">
      <c r="A62" s="517" t="s">
        <v>264</v>
      </c>
      <c r="B62" s="504" t="s">
        <v>0</v>
      </c>
      <c r="C62" s="525" t="s">
        <v>57</v>
      </c>
      <c r="D62" s="577"/>
      <c r="E62" s="504"/>
      <c r="F62" s="526">
        <f t="array" ref="F62">+INDEX('[6]Budget original'!$A$2:$AO$500,MATCH($A62,'[6]Budget original'!$A$2:$A$500,0),MATCH(F$2,'[6]Budget original'!$A$2:$AO$2,0))</f>
        <v>61.858302861334295</v>
      </c>
      <c r="G62" s="578"/>
      <c r="H62" s="504"/>
      <c r="I62" s="526"/>
      <c r="J62" s="525"/>
      <c r="K62" s="504"/>
      <c r="L62" s="528">
        <f>SUMIFS([6]BV_Data_An_Cour!$O:$O,[6]BV_Data_An_Cour!$U:$U,$B62,[6]BV_Data_An_Cour!$V:$V,$C62,[6]BV_Data_An_Cour!$W:$W,L$2)</f>
        <v>0</v>
      </c>
      <c r="M62" s="525"/>
      <c r="N62" s="551">
        <f t="shared" si="20"/>
        <v>-61.858302861334295</v>
      </c>
      <c r="O62" s="525"/>
      <c r="P62" s="504"/>
      <c r="Q62" s="528">
        <f>SUMIFS([6]BV_Data_An_Prec!$O:$O,[6]BV_Data_An_Prec!$U:$U,$B62,[6]BV_Data_An_Prec!$V:$V,$C62,[6]BV_Data_An_Prec!$W:$W,Q$2)</f>
        <v>0</v>
      </c>
      <c r="R62" s="525"/>
      <c r="S62" s="551">
        <f t="shared" si="21"/>
        <v>0</v>
      </c>
      <c r="T62" s="504"/>
      <c r="U62" s="504"/>
      <c r="V62" s="504"/>
      <c r="W62" s="504"/>
      <c r="X62" s="504"/>
      <c r="Y62" s="504"/>
      <c r="Z62" s="504"/>
      <c r="AA62" s="504"/>
      <c r="AB62" s="50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</row>
    <row r="63" spans="1:40" ht="15.75" customHeight="1">
      <c r="A63" s="517" t="s">
        <v>265</v>
      </c>
      <c r="B63" s="504" t="s">
        <v>0</v>
      </c>
      <c r="C63" s="525" t="s">
        <v>58</v>
      </c>
      <c r="D63" s="577"/>
      <c r="E63" s="504"/>
      <c r="F63" s="526">
        <f t="array" ref="F63">+INDEX('[6]Budget original'!$A$2:$AO$500,MATCH($A63,'[6]Budget original'!$A$2:$A$500,0),MATCH(F$2,'[6]Budget original'!$A$2:$AO$2,0))</f>
        <v>763.45103519999975</v>
      </c>
      <c r="G63" s="578"/>
      <c r="H63" s="504"/>
      <c r="I63" s="526"/>
      <c r="J63" s="525"/>
      <c r="K63" s="504"/>
      <c r="L63" s="528">
        <f>SUMIFS([6]BV_Data_An_Cour!$O:$O,[6]BV_Data_An_Cour!$U:$U,$B63,[6]BV_Data_An_Cour!$V:$V,$C63,[6]BV_Data_An_Cour!$W:$W,L$2)</f>
        <v>605.80999999999995</v>
      </c>
      <c r="M63" s="525"/>
      <c r="N63" s="551">
        <f t="shared" si="20"/>
        <v>-157.64103519999981</v>
      </c>
      <c r="O63" s="525"/>
      <c r="P63" s="504"/>
      <c r="Q63" s="528">
        <f>SUMIFS([6]BV_Data_An_Prec!$O:$O,[6]BV_Data_An_Prec!$U:$U,$B63,[6]BV_Data_An_Prec!$V:$V,$C63,[6]BV_Data_An_Prec!$W:$W,Q$2)</f>
        <v>472.5</v>
      </c>
      <c r="R63" s="525"/>
      <c r="S63" s="551">
        <f t="shared" si="21"/>
        <v>133.30999999999995</v>
      </c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</row>
    <row r="64" spans="1:40" ht="15.75" customHeight="1">
      <c r="A64" s="517" t="s">
        <v>266</v>
      </c>
      <c r="B64" s="504" t="s">
        <v>0</v>
      </c>
      <c r="C64" s="525" t="s">
        <v>59</v>
      </c>
      <c r="D64" s="577"/>
      <c r="E64" s="504"/>
      <c r="F64" s="526">
        <f t="array" ref="F64">+INDEX('[6]Budget original'!$A$2:$AO$500,MATCH($A64,'[6]Budget original'!$A$2:$A$500,0),MATCH(F$2,'[6]Budget original'!$A$2:$AO$2,0))</f>
        <v>258.72025015555556</v>
      </c>
      <c r="G64" s="578"/>
      <c r="H64" s="504"/>
      <c r="I64" s="526"/>
      <c r="J64" s="525"/>
      <c r="K64" s="504"/>
      <c r="L64" s="528">
        <f>SUMIFS([6]BV_Data_An_Cour!$O:$O,[6]BV_Data_An_Cour!$U:$U,$B64,[6]BV_Data_An_Cour!$V:$V,$C64,[6]BV_Data_An_Cour!$W:$W,L$2)</f>
        <v>232.9</v>
      </c>
      <c r="M64" s="525"/>
      <c r="N64" s="551">
        <f t="shared" si="20"/>
        <v>-25.820250155555556</v>
      </c>
      <c r="O64" s="525"/>
      <c r="P64" s="504"/>
      <c r="Q64" s="528">
        <f>SUMIFS([6]BV_Data_An_Prec!$O:$O,[6]BV_Data_An_Prec!$U:$U,$B64,[6]BV_Data_An_Prec!$V:$V,$C64,[6]BV_Data_An_Prec!$W:$W,Q$2)</f>
        <v>394.79</v>
      </c>
      <c r="R64" s="525"/>
      <c r="S64" s="551">
        <f t="shared" si="21"/>
        <v>-161.89000000000001</v>
      </c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</row>
    <row r="65" spans="1:40" ht="15.75" customHeight="1">
      <c r="A65" s="517" t="s">
        <v>267</v>
      </c>
      <c r="B65" s="504" t="s">
        <v>0</v>
      </c>
      <c r="C65" s="525" t="s">
        <v>60</v>
      </c>
      <c r="D65" s="577"/>
      <c r="E65" s="504"/>
      <c r="F65" s="526">
        <f t="array" ref="F65">+INDEX('[6]Budget original'!$A$2:$AO$500,MATCH($A65,'[6]Budget original'!$A$2:$A$500,0),MATCH(F$2,'[6]Budget original'!$A$2:$AO$2,0))</f>
        <v>123.74429384444443</v>
      </c>
      <c r="G65" s="578"/>
      <c r="H65" s="504"/>
      <c r="I65" s="526"/>
      <c r="J65" s="525"/>
      <c r="K65" s="504"/>
      <c r="L65" s="528">
        <f>SUMIFS([6]BV_Data_An_Cour!$O:$O,[6]BV_Data_An_Cour!$U:$U,$B65,[6]BV_Data_An_Cour!$V:$V,$C65,[6]BV_Data_An_Cour!$W:$W,L$2)</f>
        <v>81.84</v>
      </c>
      <c r="M65" s="525"/>
      <c r="N65" s="551">
        <f t="shared" si="20"/>
        <v>-41.904293844444425</v>
      </c>
      <c r="O65" s="525"/>
      <c r="P65" s="504"/>
      <c r="Q65" s="528">
        <f>SUMIFS([6]BV_Data_An_Prec!$O:$O,[6]BV_Data_An_Prec!$U:$U,$B65,[6]BV_Data_An_Prec!$V:$V,$C65,[6]BV_Data_An_Prec!$W:$W,Q$2)</f>
        <v>112.03</v>
      </c>
      <c r="R65" s="525"/>
      <c r="S65" s="551">
        <f t="shared" si="21"/>
        <v>-30.189999999999998</v>
      </c>
      <c r="T65" s="504"/>
      <c r="U65" s="504"/>
      <c r="V65" s="504"/>
      <c r="W65" s="504"/>
      <c r="X65" s="504"/>
      <c r="Y65" s="504"/>
      <c r="Z65" s="504"/>
      <c r="AA65" s="504"/>
      <c r="AB65" s="50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</row>
    <row r="66" spans="1:40" ht="15.75" customHeight="1">
      <c r="A66" s="517" t="s">
        <v>268</v>
      </c>
      <c r="B66" s="504" t="s">
        <v>0</v>
      </c>
      <c r="C66" s="525" t="s">
        <v>61</v>
      </c>
      <c r="D66" s="577"/>
      <c r="E66" s="504"/>
      <c r="F66" s="526">
        <f t="array" ref="F66">+INDEX('[6]Budget original'!$A$2:$AO$500,MATCH($A66,'[6]Budget original'!$A$2:$A$500,0),MATCH(F$2,'[6]Budget original'!$A$2:$AO$2,0))</f>
        <v>470.18236304444446</v>
      </c>
      <c r="G66" s="578"/>
      <c r="H66" s="504"/>
      <c r="I66" s="526"/>
      <c r="J66" s="525"/>
      <c r="K66" s="504"/>
      <c r="L66" s="528">
        <f>SUMIFS([6]BV_Data_An_Cour!$O:$O,[6]BV_Data_An_Cour!$U:$U,$B66,[6]BV_Data_An_Cour!$V:$V,$C66,[6]BV_Data_An_Cour!$W:$W,L$2)</f>
        <v>111.34</v>
      </c>
      <c r="M66" s="525"/>
      <c r="N66" s="551">
        <f t="shared" si="20"/>
        <v>-358.84236304444448</v>
      </c>
      <c r="O66" s="525"/>
      <c r="P66" s="504"/>
      <c r="Q66" s="528">
        <f>SUMIFS([6]BV_Data_An_Prec!$O:$O,[6]BV_Data_An_Prec!$U:$U,$B66,[6]BV_Data_An_Prec!$V:$V,$C66,[6]BV_Data_An_Prec!$W:$W,Q$2)</f>
        <v>238.3</v>
      </c>
      <c r="R66" s="525"/>
      <c r="S66" s="551">
        <f t="shared" si="21"/>
        <v>-126.96000000000001</v>
      </c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</row>
    <row r="67" spans="1:40" ht="15.75" customHeight="1">
      <c r="A67" s="517" t="s">
        <v>269</v>
      </c>
      <c r="B67" s="504" t="s">
        <v>0</v>
      </c>
      <c r="C67" s="525" t="s">
        <v>62</v>
      </c>
      <c r="D67" s="577"/>
      <c r="E67" s="504"/>
      <c r="F67" s="526">
        <f t="array" ref="F67">+INDEX('[6]Budget original'!$A$2:$AO$500,MATCH($A67,'[6]Budget original'!$A$2:$A$500,0),MATCH(F$2,'[6]Budget original'!$A$2:$AO$2,0))</f>
        <v>612.74030200304071</v>
      </c>
      <c r="G67" s="578"/>
      <c r="H67" s="504"/>
      <c r="I67" s="526"/>
      <c r="J67" s="525"/>
      <c r="K67" s="504"/>
      <c r="L67" s="528">
        <f>SUMIFS([6]BV_Data_An_Cour!$O:$O,[6]BV_Data_An_Cour!$U:$U,$B67,[6]BV_Data_An_Cour!$V:$V,$C67,[6]BV_Data_An_Cour!$W:$W,L$2)</f>
        <v>487.93</v>
      </c>
      <c r="M67" s="525"/>
      <c r="N67" s="551">
        <f t="shared" si="20"/>
        <v>-124.8103020030407</v>
      </c>
      <c r="O67" s="525"/>
      <c r="P67" s="504"/>
      <c r="Q67" s="528">
        <f>SUMIFS([6]BV_Data_An_Prec!$O:$O,[6]BV_Data_An_Prec!$U:$U,$B67,[6]BV_Data_An_Prec!$V:$V,$C67,[6]BV_Data_An_Prec!$W:$W,Q$2)</f>
        <v>1444.75</v>
      </c>
      <c r="R67" s="525"/>
      <c r="S67" s="551">
        <f t="shared" si="21"/>
        <v>-956.81999999999994</v>
      </c>
      <c r="T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</row>
    <row r="68" spans="1:40" ht="15.75" customHeight="1">
      <c r="A68" s="517" t="s">
        <v>270</v>
      </c>
      <c r="B68" s="504" t="s">
        <v>0</v>
      </c>
      <c r="C68" s="525" t="s">
        <v>63</v>
      </c>
      <c r="D68" s="577"/>
      <c r="E68" s="504"/>
      <c r="F68" s="526">
        <f t="array" ref="F68">+INDEX('[6]Budget original'!$A$2:$AO$500,MATCH($A68,'[6]Budget original'!$A$2:$A$500,0),MATCH(F$2,'[6]Budget original'!$A$2:$AO$2,0))</f>
        <v>1204.8888227830162</v>
      </c>
      <c r="G68" s="578"/>
      <c r="H68" s="504"/>
      <c r="I68" s="526"/>
      <c r="J68" s="525"/>
      <c r="K68" s="504"/>
      <c r="L68" s="528">
        <f>SUMIFS([6]BV_Data_An_Cour!$O:$O,[6]BV_Data_An_Cour!$U:$U,$B68,[6]BV_Data_An_Cour!$V:$V,$C68,[6]BV_Data_An_Cour!$W:$W,L$2)</f>
        <v>3537.15</v>
      </c>
      <c r="M68" s="525"/>
      <c r="N68" s="551">
        <f t="shared" si="20"/>
        <v>2332.2611772169839</v>
      </c>
      <c r="O68" s="525"/>
      <c r="P68" s="504"/>
      <c r="Q68" s="528">
        <f>AL447*W3</f>
        <v>3064.9994999999999</v>
      </c>
      <c r="R68" s="525"/>
      <c r="S68" s="551">
        <f t="shared" si="21"/>
        <v>472.15050000000019</v>
      </c>
      <c r="T68" s="504"/>
      <c r="X68" s="504"/>
      <c r="Y68" s="504"/>
      <c r="Z68" s="504"/>
      <c r="AA68" s="504"/>
      <c r="AB68" s="50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</row>
    <row r="69" spans="1:40" ht="15.75" hidden="1" customHeight="1">
      <c r="A69" s="517" t="s">
        <v>229</v>
      </c>
      <c r="B69" s="504" t="s">
        <v>0</v>
      </c>
      <c r="C69" s="525" t="s">
        <v>20</v>
      </c>
      <c r="D69" s="577"/>
      <c r="E69" s="504"/>
      <c r="F69" s="526">
        <f t="array" ref="F69">+INDEX('[6]Budget original'!$A$2:$AO$500,MATCH($A69,'[6]Budget original'!$A$2:$A$500,0),MATCH(F$2,'[6]Budget original'!$A$2:$AO$2,0))</f>
        <v>0</v>
      </c>
      <c r="G69" s="578"/>
      <c r="H69" s="504"/>
      <c r="I69" s="526"/>
      <c r="J69" s="525"/>
      <c r="K69" s="504"/>
      <c r="L69" s="528"/>
      <c r="M69" s="525"/>
      <c r="N69" s="551">
        <f t="shared" si="20"/>
        <v>0</v>
      </c>
      <c r="O69" s="525"/>
      <c r="P69" s="504"/>
      <c r="Q69" s="528">
        <f>SUMIFS([6]BV_Data_An_Prec!$O:$O,[6]BV_Data_An_Prec!$U:$U,$B69,[6]BV_Data_An_Prec!$V:$V,$C69,[6]BV_Data_An_Prec!$W:$W,Q$2)</f>
        <v>0</v>
      </c>
      <c r="R69" s="525"/>
      <c r="S69" s="551">
        <f t="shared" si="21"/>
        <v>0</v>
      </c>
      <c r="T69" s="504"/>
      <c r="X69" s="504"/>
      <c r="Y69" s="504"/>
      <c r="Z69" s="504"/>
      <c r="AA69" s="504"/>
      <c r="AB69" s="50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</row>
    <row r="70" spans="1:40" ht="15.75" hidden="1" customHeight="1">
      <c r="A70" s="517" t="s">
        <v>229</v>
      </c>
      <c r="B70" s="504" t="s">
        <v>0</v>
      </c>
      <c r="C70" s="525" t="s">
        <v>20</v>
      </c>
      <c r="D70" s="577"/>
      <c r="E70" s="504"/>
      <c r="F70" s="526">
        <f t="array" ref="F70">+INDEX('[6]Budget original'!$A$2:$AO$500,MATCH($A70,'[6]Budget original'!$A$2:$A$500,0),MATCH(F$2,'[6]Budget original'!$A$2:$AO$2,0))</f>
        <v>0</v>
      </c>
      <c r="G70" s="578"/>
      <c r="H70" s="504"/>
      <c r="I70" s="526"/>
      <c r="J70" s="525"/>
      <c r="K70" s="504"/>
      <c r="L70" s="528">
        <f>SUMIFS([6]BV_Data_An_Cour!$O:$O,[6]BV_Data_An_Cour!$U:$U,$B70,[6]BV_Data_An_Cour!$V:$V,$C70,[6]BV_Data_An_Cour!$W:$W,L$2)</f>
        <v>0</v>
      </c>
      <c r="M70" s="525"/>
      <c r="N70" s="551">
        <f t="shared" si="20"/>
        <v>0</v>
      </c>
      <c r="O70" s="525"/>
      <c r="P70" s="504"/>
      <c r="Q70" s="528">
        <f>SUMIFS([6]BV_Data_An_Prec!$O:$O,[6]BV_Data_An_Prec!$U:$U,$B70,[6]BV_Data_An_Prec!$V:$V,$C70,[6]BV_Data_An_Prec!$W:$W,Q$2)</f>
        <v>0</v>
      </c>
      <c r="R70" s="525"/>
      <c r="S70" s="551">
        <f t="shared" si="21"/>
        <v>0</v>
      </c>
      <c r="T70" s="504"/>
      <c r="X70" s="504"/>
      <c r="Y70" s="504"/>
      <c r="Z70" s="504"/>
      <c r="AA70" s="504"/>
      <c r="AB70" s="50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</row>
    <row r="71" spans="1:40" ht="15.75" hidden="1" customHeight="1">
      <c r="A71" s="517" t="s">
        <v>229</v>
      </c>
      <c r="B71" s="504" t="s">
        <v>0</v>
      </c>
      <c r="C71" s="525" t="s">
        <v>20</v>
      </c>
      <c r="D71" s="577"/>
      <c r="E71" s="504"/>
      <c r="F71" s="526">
        <f t="array" ref="F71">+INDEX('[6]Budget original'!$A$2:$AO$500,MATCH($A71,'[6]Budget original'!$A$2:$A$500,0),MATCH(F$2,'[6]Budget original'!$A$2:$AO$2,0))</f>
        <v>0</v>
      </c>
      <c r="G71" s="578"/>
      <c r="H71" s="504"/>
      <c r="I71" s="526"/>
      <c r="J71" s="525"/>
      <c r="K71" s="504"/>
      <c r="L71" s="528">
        <f>SUMIFS([6]BV_Data_An_Cour!$O:$O,[6]BV_Data_An_Cour!$U:$U,$B71,[6]BV_Data_An_Cour!$V:$V,$C71,[6]BV_Data_An_Cour!$W:$W,L$2)*0.32</f>
        <v>0</v>
      </c>
      <c r="M71" s="525"/>
      <c r="N71" s="551">
        <f t="shared" si="20"/>
        <v>0</v>
      </c>
      <c r="O71" s="525"/>
      <c r="P71" s="504"/>
      <c r="Q71" s="528">
        <f>SUMIFS([6]BV_Data_An_Prec!$O:$O,[6]BV_Data_An_Prec!$U:$U,$B71,[6]BV_Data_An_Prec!$V:$V,$C71,[6]BV_Data_An_Prec!$W:$W,Q$2)*0.32</f>
        <v>0</v>
      </c>
      <c r="R71" s="525"/>
      <c r="S71" s="551">
        <f t="shared" si="21"/>
        <v>0</v>
      </c>
      <c r="T71" s="504"/>
      <c r="X71" s="504"/>
      <c r="Y71" s="504"/>
      <c r="Z71" s="504"/>
      <c r="AA71" s="504"/>
      <c r="AB71" s="50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</row>
    <row r="72" spans="1:40" ht="15.75" customHeight="1">
      <c r="A72" s="517" t="s">
        <v>271</v>
      </c>
      <c r="B72" s="504" t="s">
        <v>0</v>
      </c>
      <c r="C72" s="584" t="s">
        <v>64</v>
      </c>
      <c r="D72" s="585" t="s">
        <v>39</v>
      </c>
      <c r="E72" s="586">
        <f>F72/F$27</f>
        <v>0.12975636517541891</v>
      </c>
      <c r="F72" s="587">
        <f>+SUM(F55:F71)</f>
        <v>25723.327094492317</v>
      </c>
      <c r="G72" s="588"/>
      <c r="H72" s="586"/>
      <c r="I72" s="587"/>
      <c r="J72" s="588" t="s">
        <v>39</v>
      </c>
      <c r="K72" s="586">
        <f>L72/L$27</f>
        <v>0.12011125943928819</v>
      </c>
      <c r="L72" s="587">
        <f>+SUM(L55:L71)</f>
        <v>24672.700000000004</v>
      </c>
      <c r="M72" s="591"/>
      <c r="N72" s="587">
        <f>+SUM(N55:N71)</f>
        <v>-1050.6270944923149</v>
      </c>
      <c r="O72" s="588" t="s">
        <v>39</v>
      </c>
      <c r="P72" s="586">
        <f>Q72/Q$27</f>
        <v>0.11178414978323188</v>
      </c>
      <c r="Q72" s="587">
        <f>+SUM(Q55:Q71)</f>
        <v>30882.089500000002</v>
      </c>
      <c r="R72" s="591"/>
      <c r="S72" s="587">
        <f>+SUM(S55:S71)</f>
        <v>-6209.3894999999993</v>
      </c>
      <c r="T72" s="504"/>
      <c r="X72" s="504"/>
      <c r="Y72" s="504"/>
      <c r="Z72" s="504"/>
      <c r="AA72" s="504"/>
      <c r="AB72" s="50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</row>
    <row r="73" spans="1:40" ht="15.75" customHeight="1">
      <c r="A73" s="517" t="s">
        <v>0</v>
      </c>
      <c r="B73" s="504" t="s">
        <v>0</v>
      </c>
      <c r="C73" s="518"/>
      <c r="D73" s="579"/>
      <c r="E73" s="598"/>
      <c r="F73" s="551"/>
      <c r="G73" s="580"/>
      <c r="H73" s="598"/>
      <c r="I73" s="551"/>
      <c r="J73" s="518"/>
      <c r="K73" s="598"/>
      <c r="L73" s="574"/>
      <c r="M73" s="518"/>
      <c r="N73" s="574"/>
      <c r="O73" s="518"/>
      <c r="P73" s="598"/>
      <c r="Q73" s="574"/>
      <c r="R73" s="518"/>
      <c r="S73" s="574"/>
      <c r="T73" s="504"/>
      <c r="U73" s="504"/>
      <c r="V73" s="504"/>
      <c r="W73" s="504"/>
      <c r="X73" s="504"/>
      <c r="Y73" s="504"/>
      <c r="Z73" s="504"/>
      <c r="AA73" s="504"/>
      <c r="AB73" s="50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</row>
    <row r="74" spans="1:40" ht="15.75" customHeight="1">
      <c r="A74" s="517" t="s">
        <v>272</v>
      </c>
      <c r="B74" s="504" t="s">
        <v>0</v>
      </c>
      <c r="C74" s="584" t="s">
        <v>65</v>
      </c>
      <c r="D74" s="585" t="s">
        <v>39</v>
      </c>
      <c r="E74" s="586">
        <f>F74/F$27</f>
        <v>0.91609755108714397</v>
      </c>
      <c r="F74" s="587">
        <f>F41+F54+F72</f>
        <v>181610.18093578785</v>
      </c>
      <c r="G74" s="588"/>
      <c r="H74" s="586"/>
      <c r="I74" s="587"/>
      <c r="J74" s="588" t="s">
        <v>39</v>
      </c>
      <c r="K74" s="586">
        <f>L74/L$27</f>
        <v>0.88706741432895508</v>
      </c>
      <c r="L74" s="587">
        <f>L41+L54+L72</f>
        <v>182217.29</v>
      </c>
      <c r="M74" s="591"/>
      <c r="N74" s="600">
        <f t="shared" ref="N74:N82" si="22">L74-F74</f>
        <v>607.10906421215623</v>
      </c>
      <c r="O74" s="588" t="s">
        <v>39</v>
      </c>
      <c r="P74" s="586">
        <f>Q74/Q$27</f>
        <v>0.7453643194584969</v>
      </c>
      <c r="Q74" s="587">
        <f>Q41+Q54+Q72</f>
        <v>205918.34950000001</v>
      </c>
      <c r="R74" s="591"/>
      <c r="S74" s="600">
        <f>L74-Q74</f>
        <v>-23701.059500000003</v>
      </c>
      <c r="T74" s="504"/>
      <c r="U74" s="504"/>
      <c r="V74" s="504"/>
      <c r="W74" s="504"/>
      <c r="X74" s="504"/>
      <c r="Y74" s="504"/>
      <c r="Z74" s="504"/>
      <c r="AA74" s="504"/>
      <c r="AB74" s="50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</row>
    <row r="75" spans="1:40" ht="15.75" customHeight="1">
      <c r="A75" s="517" t="s">
        <v>273</v>
      </c>
      <c r="B75" s="504" t="s">
        <v>0</v>
      </c>
      <c r="C75" s="525" t="s">
        <v>198</v>
      </c>
      <c r="D75" s="577"/>
      <c r="E75" s="504"/>
      <c r="F75" s="526">
        <f t="array" ref="F75">+INDEX('[6]Budget original'!$A$2:$AO$500,MATCH($A75,'[6]Budget original'!$A$2:$A$500,0),MATCH(F$2,'[6]Budget original'!$A$2:$AO$2,0))</f>
        <v>16584.689512713256</v>
      </c>
      <c r="G75" s="578"/>
      <c r="H75" s="504"/>
      <c r="I75" s="526"/>
      <c r="J75" s="525"/>
      <c r="K75" s="504"/>
      <c r="L75" s="528">
        <f>-SUMIFS([6]BV_Data_An_Cour!$O:$O,[6]BV_Data_An_Cour!$U:$U,$B75,[6]BV_Data_An_Cour!$V:$V,$C75,[6]BV_Data_An_Cour!$W:$W,L$2)-L155</f>
        <v>0</v>
      </c>
      <c r="M75" s="525"/>
      <c r="N75" s="551">
        <f t="shared" si="22"/>
        <v>-16584.689512713256</v>
      </c>
      <c r="O75" s="525"/>
      <c r="P75" s="504"/>
      <c r="Q75" s="528">
        <f>-SUMIFS([6]BV_Data_An_Prec!$O:$O,[6]BV_Data_An_Prec!$U:$U,$B75,[6]BV_Data_An_Prec!$V:$V,$C75,[6]BV_Data_An_Prec!$W:$W,Q$2)</f>
        <v>22000</v>
      </c>
      <c r="R75" s="525"/>
      <c r="S75" s="551"/>
      <c r="T75" s="504"/>
      <c r="U75" s="504"/>
      <c r="V75" s="504"/>
      <c r="W75" s="504"/>
      <c r="X75" s="504"/>
      <c r="Y75" s="504"/>
      <c r="Z75" s="504"/>
      <c r="AA75" s="504"/>
      <c r="AB75" s="50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</row>
    <row r="76" spans="1:40" ht="15.75" customHeight="1">
      <c r="A76" s="517" t="s">
        <v>274</v>
      </c>
      <c r="B76" s="504" t="s">
        <v>0</v>
      </c>
      <c r="C76" s="525" t="s">
        <v>195</v>
      </c>
      <c r="D76" s="577"/>
      <c r="E76" s="504"/>
      <c r="F76" s="526">
        <f t="array" ref="F76">+INDEX('[6]Budget original'!$A$2:$AO$500,MATCH($A76,'[6]Budget original'!$A$2:$A$500,0),MATCH(F$2,'[6]Budget original'!$A$2:$AO$2,0))</f>
        <v>0</v>
      </c>
      <c r="G76" s="578"/>
      <c r="H76" s="504"/>
      <c r="I76" s="526"/>
      <c r="J76" s="525"/>
      <c r="K76" s="504"/>
      <c r="L76" s="528">
        <f>-SUMIFS([6]BV_Data_An_Cour!$O:$O,[6]BV_Data_An_Cour!$U:$U,$B76,[6]BV_Data_An_Cour!$V:$V,$C76,[6]BV_Data_An_Cour!$W:$W,L$2)</f>
        <v>0</v>
      </c>
      <c r="M76" s="525"/>
      <c r="N76" s="551">
        <f t="shared" si="22"/>
        <v>0</v>
      </c>
      <c r="O76" s="525"/>
      <c r="P76" s="504"/>
      <c r="Q76" s="528">
        <f>-SUMIFS([6]BV_Data_An_Prec!$O:$O,[6]BV_Data_An_Prec!$U:$U,$B76,[6]BV_Data_An_Prec!$V:$V,$C76,[6]BV_Data_An_Prec!$W:$W,Q$2)</f>
        <v>0</v>
      </c>
      <c r="R76" s="525"/>
      <c r="S76" s="551">
        <f t="shared" ref="S76:S82" si="23">L76-Q76</f>
        <v>0</v>
      </c>
      <c r="T76" s="504"/>
      <c r="U76" s="504"/>
      <c r="V76" s="504"/>
      <c r="W76" s="504"/>
      <c r="X76" s="504"/>
      <c r="Y76" s="504"/>
      <c r="Z76" s="504"/>
      <c r="AA76" s="504"/>
      <c r="AB76" s="50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</row>
    <row r="77" spans="1:40" ht="15.75" customHeight="1">
      <c r="A77" s="517" t="s">
        <v>275</v>
      </c>
      <c r="B77" s="504" t="s">
        <v>0</v>
      </c>
      <c r="C77" s="525" t="s">
        <v>68</v>
      </c>
      <c r="D77" s="577"/>
      <c r="E77" s="504"/>
      <c r="F77" s="526">
        <f t="array" ref="F77">+INDEX('[6]Budget original'!$A$2:$AO$500,MATCH($A77,'[6]Budget original'!$A$2:$A$500,0),MATCH(F$2,'[6]Budget original'!$A$2:$AO$2,0))</f>
        <v>0</v>
      </c>
      <c r="G77" s="578"/>
      <c r="H77" s="504"/>
      <c r="I77" s="526"/>
      <c r="J77" s="525"/>
      <c r="K77" s="504"/>
      <c r="L77" s="528">
        <f>-SUMIFS([6]BV_Data_An_Cour!$O:$O,[6]BV_Data_An_Cour!$U:$U,$B77,[6]BV_Data_An_Cour!$V:$V,$C77,[6]BV_Data_An_Cour!$W:$W,L$2)</f>
        <v>0</v>
      </c>
      <c r="M77" s="525"/>
      <c r="N77" s="551">
        <f t="shared" si="22"/>
        <v>0</v>
      </c>
      <c r="O77" s="525"/>
      <c r="P77" s="504"/>
      <c r="Q77" s="528">
        <f>-SUMIFS([6]BV_Data_An_Prec!$O:$O,[6]BV_Data_An_Prec!$U:$U,$B77,[6]BV_Data_An_Prec!$V:$V,$C77,[6]BV_Data_An_Prec!$W:$W,Q$2)</f>
        <v>0</v>
      </c>
      <c r="R77" s="525"/>
      <c r="S77" s="551">
        <f t="shared" si="23"/>
        <v>0</v>
      </c>
      <c r="T77" s="504"/>
      <c r="U77" s="504"/>
      <c r="V77" s="504"/>
      <c r="W77" s="504"/>
      <c r="X77" s="504"/>
      <c r="Y77" s="504"/>
      <c r="Z77" s="504"/>
      <c r="AA77" s="504"/>
      <c r="AB77" s="50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</row>
    <row r="78" spans="1:40" ht="15.75" customHeight="1">
      <c r="A78" s="517" t="s">
        <v>276</v>
      </c>
      <c r="B78" s="504" t="s">
        <v>0</v>
      </c>
      <c r="C78" s="525" t="s">
        <v>69</v>
      </c>
      <c r="D78" s="577"/>
      <c r="E78" s="601">
        <f>+F78/D24</f>
        <v>1181.3417167759831</v>
      </c>
      <c r="F78" s="526">
        <f t="array" ref="F78">+INDEX('[6]Budget original'!$A$2:$AO$500,MATCH($A78,'[6]Budget original'!$A$2:$A$500,0),MATCH(F$2,'[6]Budget original'!$A$2:$AO$2,0))</f>
        <v>59960.327068086131</v>
      </c>
      <c r="G78" s="578"/>
      <c r="H78" s="504"/>
      <c r="I78" s="526"/>
      <c r="J78" s="525"/>
      <c r="K78" s="601">
        <f>+L78/J24</f>
        <v>1113.5008771929824</v>
      </c>
      <c r="L78" s="528">
        <f>-SUMIFS([6]BV_Data_An_Cour!$O:$O,[6]BV_Data_An_Cour!$U:$U,$B78,[6]BV_Data_An_Cour!$V:$V,$C78,[6]BV_Data_An_Cour!$W:$W,L$2)</f>
        <v>63469.55</v>
      </c>
      <c r="M78" s="525"/>
      <c r="N78" s="551">
        <f t="shared" si="22"/>
        <v>3509.2229319138714</v>
      </c>
      <c r="O78" s="525"/>
      <c r="P78" s="504"/>
      <c r="Q78" s="528">
        <f>-SUMIFS([6]BV_Data_An_Prec!$O:$O,[6]BV_Data_An_Prec!$U:$U,$B78,[6]BV_Data_An_Prec!$V:$V,$C78,[6]BV_Data_An_Prec!$W:$W,Q$2)</f>
        <v>66097</v>
      </c>
      <c r="R78" s="525"/>
      <c r="S78" s="551">
        <f t="shared" si="23"/>
        <v>-2627.4499999999971</v>
      </c>
      <c r="T78" s="504"/>
      <c r="U78" s="504"/>
      <c r="V78" s="504"/>
      <c r="W78" s="504"/>
      <c r="X78" s="504"/>
      <c r="Y78" s="504"/>
      <c r="Z78" s="504"/>
      <c r="AA78" s="504"/>
      <c r="AB78" s="50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</row>
    <row r="79" spans="1:40" ht="15.75" hidden="1" customHeight="1">
      <c r="A79" s="517" t="s">
        <v>229</v>
      </c>
      <c r="B79" s="504" t="s">
        <v>0</v>
      </c>
      <c r="C79" s="525" t="s">
        <v>20</v>
      </c>
      <c r="D79" s="577"/>
      <c r="E79" s="504"/>
      <c r="F79" s="526">
        <f t="array" ref="F79">+INDEX('[6]Budget original'!$A$2:$AO$500,MATCH($A79,'[6]Budget original'!$A$2:$A$500,0),MATCH(F$2,'[6]Budget original'!$A$2:$AO$2,0))</f>
        <v>0</v>
      </c>
      <c r="G79" s="578"/>
      <c r="H79" s="504"/>
      <c r="I79" s="526"/>
      <c r="J79" s="525"/>
      <c r="K79" s="504"/>
      <c r="L79" s="528">
        <f>-SUMIFS([6]BV_Data_An_Cour!$O:$O,[6]BV_Data_An_Cour!$U:$U,$B79,[6]BV_Data_An_Cour!$V:$V,$C79,[6]BV_Data_An_Cour!$W:$W,L$2)</f>
        <v>0</v>
      </c>
      <c r="M79" s="525"/>
      <c r="N79" s="551">
        <f t="shared" si="22"/>
        <v>0</v>
      </c>
      <c r="O79" s="525"/>
      <c r="P79" s="504"/>
      <c r="Q79" s="528">
        <f>-SUMIFS([6]BV_Data_An_Prec!$O:$O,[6]BV_Data_An_Prec!$U:$U,$B79,[6]BV_Data_An_Prec!$V:$V,$C79,[6]BV_Data_An_Prec!$W:$W,Q$2)</f>
        <v>0</v>
      </c>
      <c r="R79" s="525"/>
      <c r="S79" s="551">
        <f t="shared" si="23"/>
        <v>0</v>
      </c>
      <c r="T79" s="504"/>
      <c r="U79" s="504"/>
      <c r="V79" s="504"/>
      <c r="W79" s="504"/>
      <c r="X79" s="504"/>
      <c r="Y79" s="504"/>
      <c r="Z79" s="504"/>
      <c r="AA79" s="504"/>
      <c r="AB79" s="50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</row>
    <row r="80" spans="1:40" ht="15.75" hidden="1" customHeight="1">
      <c r="A80" s="517" t="s">
        <v>229</v>
      </c>
      <c r="B80" s="504" t="s">
        <v>0</v>
      </c>
      <c r="C80" s="525" t="s">
        <v>20</v>
      </c>
      <c r="D80" s="577"/>
      <c r="E80" s="504"/>
      <c r="F80" s="526">
        <f t="array" ref="F80">+INDEX('[6]Budget original'!$A$2:$AO$500,MATCH($A80,'[6]Budget original'!$A$2:$A$500,0),MATCH(F$2,'[6]Budget original'!$A$2:$AO$2,0))</f>
        <v>0</v>
      </c>
      <c r="G80" s="578"/>
      <c r="H80" s="504"/>
      <c r="I80" s="526"/>
      <c r="J80" s="525"/>
      <c r="K80" s="504"/>
      <c r="L80" s="528">
        <f>-SUMIFS([6]BV_Data_An_Cour!$O:$O,[6]BV_Data_An_Cour!$U:$U,$B80,[6]BV_Data_An_Cour!$V:$V,$C80,[6]BV_Data_An_Cour!$W:$W,L$2)</f>
        <v>0</v>
      </c>
      <c r="M80" s="525"/>
      <c r="N80" s="551">
        <f t="shared" si="22"/>
        <v>0</v>
      </c>
      <c r="O80" s="525"/>
      <c r="P80" s="504"/>
      <c r="Q80" s="528">
        <f>-SUMIFS([6]BV_Data_An_Prec!$O:$O,[6]BV_Data_An_Prec!$U:$U,$B80,[6]BV_Data_An_Prec!$V:$V,$C80,[6]BV_Data_An_Prec!$W:$W,Q$2)</f>
        <v>0</v>
      </c>
      <c r="R80" s="525"/>
      <c r="S80" s="551">
        <f t="shared" si="23"/>
        <v>0</v>
      </c>
      <c r="T80" s="504"/>
      <c r="U80" s="504"/>
      <c r="V80" s="504"/>
      <c r="W80" s="504"/>
      <c r="X80" s="504"/>
      <c r="Y80" s="504"/>
      <c r="Z80" s="504"/>
      <c r="AA80" s="504"/>
      <c r="AB80" s="50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</row>
    <row r="81" spans="1:40" ht="15.75" hidden="1" customHeight="1">
      <c r="A81" s="517" t="s">
        <v>229</v>
      </c>
      <c r="B81" s="504" t="s">
        <v>0</v>
      </c>
      <c r="C81" s="525" t="s">
        <v>20</v>
      </c>
      <c r="D81" s="577"/>
      <c r="E81" s="504"/>
      <c r="F81" s="526">
        <f t="array" ref="F81">+INDEX('[6]Budget original'!$A$2:$AO$500,MATCH($A81,'[6]Budget original'!$A$2:$A$500,0),MATCH(F$2,'[6]Budget original'!$A$2:$AO$2,0))</f>
        <v>0</v>
      </c>
      <c r="G81" s="578"/>
      <c r="H81" s="504"/>
      <c r="I81" s="526"/>
      <c r="J81" s="525"/>
      <c r="K81" s="504"/>
      <c r="L81" s="528">
        <f>-SUMIFS([6]BV_Data_An_Cour!$O:$O,[6]BV_Data_An_Cour!$U:$U,$B81,[6]BV_Data_An_Cour!$V:$V,$C81,[6]BV_Data_An_Cour!$W:$W,L$2)</f>
        <v>0</v>
      </c>
      <c r="M81" s="525"/>
      <c r="N81" s="551">
        <f t="shared" si="22"/>
        <v>0</v>
      </c>
      <c r="O81" s="525"/>
      <c r="P81" s="504"/>
      <c r="Q81" s="528">
        <f>-SUMIFS([6]BV_Data_An_Prec!$O:$O,[6]BV_Data_An_Prec!$U:$U,$B81,[6]BV_Data_An_Prec!$V:$V,$C81,[6]BV_Data_An_Prec!$W:$W,Q$2)</f>
        <v>0</v>
      </c>
      <c r="R81" s="525"/>
      <c r="S81" s="551">
        <f t="shared" si="23"/>
        <v>0</v>
      </c>
      <c r="T81" s="504"/>
      <c r="U81" s="504"/>
      <c r="V81" s="504"/>
      <c r="W81" s="504"/>
      <c r="X81" s="504"/>
      <c r="Y81" s="504"/>
      <c r="Z81" s="504"/>
      <c r="AA81" s="504"/>
      <c r="AB81" s="50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</row>
    <row r="82" spans="1:40" ht="15.75" customHeight="1">
      <c r="A82" s="602" t="s">
        <v>277</v>
      </c>
      <c r="B82" s="603" t="s">
        <v>0</v>
      </c>
      <c r="C82" s="525" t="s">
        <v>70</v>
      </c>
      <c r="D82" s="577"/>
      <c r="E82" s="504"/>
      <c r="F82" s="526">
        <f t="array" ref="F82">+INDEX('[6]Budget original'!$A$2:$AO$500,MATCH($A82,'[6]Budget original'!$A$2:$A$500,0),MATCH(F$2,'[6]Budget original'!$A$2:$AO$2,0))</f>
        <v>18891.372251520002</v>
      </c>
      <c r="G82" s="578"/>
      <c r="H82" s="504"/>
      <c r="I82" s="526"/>
      <c r="J82" s="604">
        <f>+L82/K82</f>
        <v>59</v>
      </c>
      <c r="K82" s="605">
        <f>+L82/J27</f>
        <v>447.22033898305085</v>
      </c>
      <c r="L82" s="528">
        <f>-SUMIFS([6]BV_Data_An_Cour!$O:$O,[6]BV_Data_An_Cour!$U:$U,$B82,[6]BV_Data_An_Cour!$V:$V,$C82,[6]BV_Data_An_Cour!$W:$W,L$2)</f>
        <v>26386</v>
      </c>
      <c r="M82" s="525"/>
      <c r="N82" s="551">
        <f t="shared" si="22"/>
        <v>7494.6277484799975</v>
      </c>
      <c r="O82" s="525"/>
      <c r="P82" s="504"/>
      <c r="Q82" s="528">
        <f>-SUMIFS([6]BV_Data_An_Prec!$O:$O,[6]BV_Data_An_Prec!$U:$U,$B82,[6]BV_Data_An_Prec!$V:$V,$C82,[6]BV_Data_An_Prec!$W:$W,Q$2)</f>
        <v>-28919</v>
      </c>
      <c r="R82" s="525"/>
      <c r="S82" s="551">
        <f t="shared" si="23"/>
        <v>55305</v>
      </c>
      <c r="T82" s="504"/>
      <c r="U82" s="504"/>
      <c r="V82" s="504"/>
      <c r="W82" s="504"/>
      <c r="X82" s="504"/>
      <c r="Y82" s="504"/>
      <c r="Z82" s="504"/>
      <c r="AA82" s="504"/>
      <c r="AB82" s="50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</row>
    <row r="83" spans="1:40" ht="15.75" customHeight="1">
      <c r="A83" s="517" t="s">
        <v>278</v>
      </c>
      <c r="B83" s="504" t="s">
        <v>0</v>
      </c>
      <c r="C83" s="584" t="s">
        <v>71</v>
      </c>
      <c r="D83" s="585"/>
      <c r="E83" s="586"/>
      <c r="F83" s="587">
        <f>+SUM(F75:F82)</f>
        <v>95436.388832319397</v>
      </c>
      <c r="G83" s="588"/>
      <c r="H83" s="586"/>
      <c r="I83" s="587"/>
      <c r="J83" s="588"/>
      <c r="K83" s="586"/>
      <c r="L83" s="587">
        <f>+SUM(L75:L82)</f>
        <v>89855.55</v>
      </c>
      <c r="M83" s="591"/>
      <c r="N83" s="587">
        <f>+SUM(N75:N82)</f>
        <v>-5580.8388323193867</v>
      </c>
      <c r="O83" s="588"/>
      <c r="P83" s="586"/>
      <c r="Q83" s="587">
        <f>+SUM(Q75:Q82)</f>
        <v>59178</v>
      </c>
      <c r="R83" s="591"/>
      <c r="S83" s="587">
        <f>+SUM(S75:S82)</f>
        <v>52677.55</v>
      </c>
      <c r="T83" s="504"/>
      <c r="U83" s="504"/>
      <c r="V83" s="504"/>
      <c r="W83" s="504"/>
      <c r="X83" s="504"/>
      <c r="Y83" s="504"/>
      <c r="Z83" s="504"/>
      <c r="AA83" s="504"/>
      <c r="AB83" s="50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</row>
    <row r="84" spans="1:40" ht="15.75" customHeight="1">
      <c r="A84" s="517" t="s">
        <v>0</v>
      </c>
      <c r="B84" s="504" t="s">
        <v>0</v>
      </c>
      <c r="C84" s="606"/>
      <c r="D84" s="607"/>
      <c r="E84" s="608"/>
      <c r="F84" s="609"/>
      <c r="G84" s="610"/>
      <c r="H84" s="608"/>
      <c r="I84" s="609"/>
      <c r="J84" s="611"/>
      <c r="K84" s="612"/>
      <c r="L84" s="609"/>
      <c r="M84" s="611"/>
      <c r="N84" s="613"/>
      <c r="O84" s="611"/>
      <c r="P84" s="612"/>
      <c r="Q84" s="609"/>
      <c r="R84" s="611"/>
      <c r="S84" s="613"/>
      <c r="T84" s="504"/>
      <c r="U84" s="504"/>
      <c r="V84" s="504"/>
      <c r="W84" s="504"/>
      <c r="X84" s="504"/>
      <c r="Y84" s="504"/>
      <c r="Z84" s="504"/>
      <c r="AA84" s="504"/>
      <c r="AB84" s="50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</row>
    <row r="85" spans="1:40" ht="22.5" customHeight="1" thickBot="1">
      <c r="A85" s="517" t="s">
        <v>279</v>
      </c>
      <c r="B85" s="504" t="s">
        <v>0</v>
      </c>
      <c r="C85" s="614" t="s">
        <v>72</v>
      </c>
      <c r="D85" s="615"/>
      <c r="E85" s="616"/>
      <c r="F85" s="617">
        <f>F27-F74+F83</f>
        <v>112069.4852857887</v>
      </c>
      <c r="G85" s="618"/>
      <c r="H85" s="616"/>
      <c r="I85" s="617"/>
      <c r="J85" s="618"/>
      <c r="K85" s="615"/>
      <c r="L85" s="617">
        <f>L27-L74+L83</f>
        <v>113053.64000000029</v>
      </c>
      <c r="M85" s="618"/>
      <c r="N85" s="617">
        <f>N27-N41-N54-N72+N83</f>
        <v>984.15471421157963</v>
      </c>
      <c r="O85" s="618"/>
      <c r="P85" s="615"/>
      <c r="Q85" s="617">
        <f>Q27-Q74+Q83</f>
        <v>129525.02050000022</v>
      </c>
      <c r="R85" s="618"/>
      <c r="S85" s="617">
        <f>S27-S41-S54-S72+S83</f>
        <v>5528.6195000000735</v>
      </c>
      <c r="T85" s="504"/>
      <c r="U85" s="504"/>
      <c r="V85" s="504"/>
      <c r="W85" s="504"/>
      <c r="X85" s="504"/>
      <c r="Y85" s="504"/>
      <c r="Z85" s="504"/>
      <c r="AA85" s="504"/>
      <c r="AB85" s="50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</row>
    <row r="86" spans="1:40" ht="15.75" customHeight="1" thickTop="1">
      <c r="B86" s="619"/>
      <c r="C86" s="619"/>
      <c r="D86" s="619"/>
      <c r="E86" s="619"/>
      <c r="F86" s="619"/>
      <c r="G86" s="619"/>
      <c r="H86" s="619"/>
      <c r="I86" s="619"/>
      <c r="J86" s="620"/>
      <c r="K86" s="619"/>
      <c r="L86" s="621"/>
      <c r="M86" s="619"/>
      <c r="N86" s="619"/>
      <c r="O86" s="619"/>
      <c r="P86" s="619"/>
      <c r="Q86" s="619"/>
      <c r="R86" s="619"/>
      <c r="S86" s="619"/>
      <c r="T86" s="619"/>
      <c r="U86" s="619"/>
      <c r="V86" s="619"/>
      <c r="W86" s="619"/>
      <c r="X86" s="619"/>
      <c r="Y86" s="619"/>
      <c r="Z86" s="619"/>
      <c r="AA86" s="619"/>
      <c r="AB86" s="619"/>
      <c r="AC86" s="619"/>
      <c r="AD86" s="619"/>
      <c r="AE86" s="619"/>
      <c r="AF86" s="619"/>
      <c r="AG86" s="619"/>
      <c r="AH86" s="619"/>
      <c r="AI86" s="619"/>
      <c r="AJ86" s="619"/>
      <c r="AK86" s="619"/>
      <c r="AL86" s="619"/>
      <c r="AM86" s="619"/>
      <c r="AN86" s="619"/>
    </row>
    <row r="87" spans="1:40" ht="12.75" customHeight="1">
      <c r="B87" s="619"/>
      <c r="C87" s="619"/>
      <c r="D87" s="619"/>
      <c r="E87" s="619"/>
      <c r="F87" s="619"/>
      <c r="G87" s="619"/>
      <c r="H87" s="619"/>
      <c r="I87" s="621"/>
      <c r="J87" s="619"/>
      <c r="K87" s="619"/>
      <c r="L87" s="619"/>
      <c r="M87" s="619"/>
      <c r="N87" s="619"/>
      <c r="O87" s="619"/>
      <c r="P87" s="619"/>
      <c r="Q87" s="619"/>
      <c r="R87" s="619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619"/>
      <c r="AD87" s="619"/>
      <c r="AE87" s="619"/>
      <c r="AF87" s="619"/>
      <c r="AG87" s="619"/>
      <c r="AH87" s="619"/>
      <c r="AI87" s="619"/>
      <c r="AJ87" s="619"/>
      <c r="AK87" s="619"/>
      <c r="AL87" s="619"/>
      <c r="AM87" s="619"/>
      <c r="AN87" s="619"/>
    </row>
    <row r="88" spans="1:40" ht="15.75" hidden="1" customHeight="1">
      <c r="B88" s="498"/>
      <c r="C88" s="501"/>
      <c r="D88" s="501"/>
      <c r="E88" s="501"/>
      <c r="F88" s="501"/>
      <c r="G88" s="501"/>
      <c r="H88" s="501"/>
      <c r="I88" s="501"/>
      <c r="J88" s="501"/>
      <c r="K88" s="501"/>
      <c r="L88" s="501"/>
      <c r="M88" s="501"/>
      <c r="N88" s="501"/>
      <c r="O88" s="501"/>
      <c r="P88" s="501"/>
      <c r="Q88" s="501"/>
      <c r="R88" s="501"/>
      <c r="S88" s="501"/>
      <c r="T88" s="501"/>
      <c r="U88" s="501"/>
    </row>
    <row r="89" spans="1:40" ht="33" customHeight="1">
      <c r="B89" s="490"/>
      <c r="C89" s="622" t="str">
        <f>C1</f>
        <v>Volks</v>
      </c>
      <c r="D89" s="492"/>
      <c r="E89" s="492"/>
      <c r="F89" s="492"/>
      <c r="G89" s="492"/>
      <c r="H89" s="490"/>
      <c r="I89" s="490"/>
      <c r="J89" s="490"/>
      <c r="K89" s="494" t="s">
        <v>73</v>
      </c>
      <c r="L89" s="492"/>
      <c r="M89" s="492"/>
      <c r="N89" s="490"/>
      <c r="O89" s="490"/>
      <c r="P89" s="492"/>
      <c r="Q89" s="490"/>
      <c r="R89" s="492"/>
      <c r="S89" s="623" t="str">
        <f>$S$1</f>
        <v>Réalisé, Juin 2023</v>
      </c>
      <c r="T89" s="490"/>
      <c r="U89" s="490"/>
      <c r="V89" s="490"/>
      <c r="W89" s="490"/>
      <c r="X89" s="490"/>
      <c r="Y89" s="490"/>
      <c r="Z89" s="490"/>
      <c r="AA89" s="490"/>
      <c r="AB89" s="490"/>
      <c r="AC89" s="490"/>
      <c r="AD89" s="490"/>
      <c r="AE89" s="490"/>
      <c r="AF89" s="490"/>
      <c r="AG89" s="490"/>
      <c r="AH89" s="490"/>
      <c r="AI89" s="490"/>
      <c r="AJ89" s="490"/>
      <c r="AK89" s="490"/>
      <c r="AL89" s="490"/>
      <c r="AM89" s="490"/>
      <c r="AN89" s="490"/>
    </row>
    <row r="90" spans="1:40" ht="15.75" customHeight="1" thickBot="1">
      <c r="B90" s="498"/>
      <c r="C90" s="499"/>
      <c r="D90" s="501"/>
      <c r="E90" s="501"/>
      <c r="F90" s="501"/>
      <c r="G90" s="501"/>
      <c r="H90" s="501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</row>
    <row r="91" spans="1:40" ht="15.75" customHeight="1" thickTop="1">
      <c r="B91" s="504"/>
      <c r="C91" s="505"/>
      <c r="D91" s="506" t="s">
        <v>5</v>
      </c>
      <c r="E91" s="507"/>
      <c r="F91" s="508"/>
      <c r="G91" s="509"/>
      <c r="H91" s="507"/>
      <c r="I91" s="508"/>
      <c r="J91" s="509" t="s">
        <v>7</v>
      </c>
      <c r="K91" s="507"/>
      <c r="L91" s="508"/>
      <c r="M91" s="509" t="s">
        <v>472</v>
      </c>
      <c r="N91" s="508"/>
      <c r="O91" s="506" t="s">
        <v>9</v>
      </c>
      <c r="P91" s="507"/>
      <c r="Q91" s="508"/>
      <c r="R91" s="509" t="s">
        <v>473</v>
      </c>
      <c r="S91" s="508"/>
      <c r="T91" s="504"/>
      <c r="U91" s="504"/>
      <c r="V91" s="504"/>
      <c r="W91" s="504"/>
      <c r="X91" s="504"/>
      <c r="Y91" s="504"/>
      <c r="Z91" s="504"/>
      <c r="AA91" s="504"/>
      <c r="AB91" s="50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</row>
    <row r="92" spans="1:40" ht="15.75" customHeight="1">
      <c r="B92" s="504"/>
      <c r="C92" s="525"/>
      <c r="D92" s="513" t="s">
        <v>474</v>
      </c>
      <c r="E92" s="514" t="s">
        <v>12</v>
      </c>
      <c r="F92" s="515" t="s">
        <v>13</v>
      </c>
      <c r="G92" s="516"/>
      <c r="H92" s="514"/>
      <c r="I92" s="515"/>
      <c r="J92" s="516" t="s">
        <v>474</v>
      </c>
      <c r="K92" s="514" t="s">
        <v>14</v>
      </c>
      <c r="L92" s="515" t="s">
        <v>13</v>
      </c>
      <c r="M92" s="516" t="s">
        <v>474</v>
      </c>
      <c r="N92" s="515" t="s">
        <v>13</v>
      </c>
      <c r="O92" s="514" t="s">
        <v>474</v>
      </c>
      <c r="P92" s="514" t="s">
        <v>14</v>
      </c>
      <c r="Q92" s="515" t="s">
        <v>13</v>
      </c>
      <c r="R92" s="516" t="s">
        <v>474</v>
      </c>
      <c r="S92" s="515" t="s">
        <v>13</v>
      </c>
      <c r="T92" s="504"/>
      <c r="U92" s="504"/>
      <c r="V92" s="504"/>
      <c r="W92" s="504"/>
      <c r="X92" s="504"/>
      <c r="Y92" s="504"/>
      <c r="Z92" s="504"/>
      <c r="AA92" s="504"/>
      <c r="AB92" s="50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</row>
    <row r="93" spans="1:40" ht="24" customHeight="1">
      <c r="A93" s="517" t="s">
        <v>280</v>
      </c>
      <c r="B93" s="504" t="s">
        <v>73</v>
      </c>
      <c r="C93" s="518" t="s">
        <v>15</v>
      </c>
      <c r="D93" s="522"/>
      <c r="E93" s="522"/>
      <c r="F93" s="520">
        <f t="array" ref="F93">+INDEX('[6]Budget original'!$A$2:$AO$500,MATCH($A93,'[6]Budget original'!$A$2:$A$500,0),MATCH(F$2,'[6]Budget original'!$A$2:$AO$2,0))</f>
        <v>1671360.7532164184</v>
      </c>
      <c r="G93" s="539"/>
      <c r="H93" s="522"/>
      <c r="I93" s="520"/>
      <c r="J93" s="518"/>
      <c r="K93" s="522"/>
      <c r="L93" s="520">
        <f>-SUMIFS([6]BV_Data_An_Cour!$O:$O,[6]BV_Data_An_Cour!$X:$X,"Oui",[6]BV_Data_An_Cour!$U:$U,$B93)</f>
        <v>1977586.1099999999</v>
      </c>
      <c r="M93" s="624"/>
      <c r="N93" s="625"/>
      <c r="O93" s="518"/>
      <c r="P93" s="522"/>
      <c r="Q93" s="520">
        <f>-SUMIFS([6]BV_Data_An_Prec!$O:$O,[6]BV_Data_An_Prec!$X:$X,"Oui",[6]BV_Data_An_Prec!$U:$U,$B93)</f>
        <v>1873950.2200000002</v>
      </c>
      <c r="R93" s="624"/>
      <c r="S93" s="625"/>
      <c r="T93" s="504"/>
      <c r="U93" s="504"/>
      <c r="V93" s="504"/>
      <c r="W93" s="504"/>
      <c r="X93" s="504"/>
      <c r="Y93" s="504"/>
      <c r="Z93" s="504"/>
      <c r="AA93" s="504"/>
      <c r="AB93" s="50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</row>
    <row r="94" spans="1:40" ht="21.75" customHeight="1">
      <c r="A94" s="517" t="s">
        <v>281</v>
      </c>
      <c r="B94" s="504" t="s">
        <v>73</v>
      </c>
      <c r="C94" s="525" t="s">
        <v>75</v>
      </c>
      <c r="D94" s="526">
        <f t="array" ref="D94">+INDEX('[6]Budget original'!$A$2:$AO$500,MATCH($A94,'[6]Budget original'!$A$2:$A$500,0),MATCH(D$2,'[6]Budget original'!$A$2:$AO$2,0))</f>
        <v>40</v>
      </c>
      <c r="E94" s="526">
        <f t="shared" ref="E94:E97" si="24">IF(D94=0,0,F94/D94)</f>
        <v>1858</v>
      </c>
      <c r="F94" s="526">
        <f t="array" ref="F94">+INDEX('[6]Budget original'!$A$2:$AO$500,MATCH($A94,'[6]Budget original'!$A$2:$A$500,0),MATCH(F$2,'[6]Budget original'!$A$2:$AO$2,0))</f>
        <v>74320</v>
      </c>
      <c r="G94" s="527"/>
      <c r="H94" s="526"/>
      <c r="I94" s="526"/>
      <c r="J94" s="527">
        <f>-SUMIFS([6]BV_Data_An_Cour!$O:$O,[6]BV_Data_An_Cour!$U:$U,$B94,[6]BV_Data_An_Cour!$V:$V,$C94,[6]BV_Data_An_Cour!$W:$W,J$2)</f>
        <v>18</v>
      </c>
      <c r="K94" s="526">
        <f t="shared" ref="K94:K95" si="25">IF(J94=0,0,L94/J94)</f>
        <v>2437.2944444444465</v>
      </c>
      <c r="L94" s="528">
        <f>-SUMIFS([6]BV_Data_An_Cour!$O:$O,[6]BV_Data_An_Cour!$U:$U,$B94,[6]BV_Data_An_Cour!$V:$V,$C94,[6]BV_Data_An_Cour!$W:$W,$L2)</f>
        <v>43871.300000000039</v>
      </c>
      <c r="M94" s="527">
        <f>J94-D94</f>
        <v>-22</v>
      </c>
      <c r="N94" s="528">
        <f>L94-F94</f>
        <v>-30448.699999999961</v>
      </c>
      <c r="O94" s="527">
        <f>-SUMIFS([6]BV_Data_An_Prec!$O:$O,[6]BV_Data_An_Prec!$U:$U,$B94,[6]BV_Data_An_Prec!$V:$V,$C94,[6]BV_Data_An_Prec!$W:$W,O$2)</f>
        <v>34</v>
      </c>
      <c r="P94" s="526">
        <f t="shared" ref="P94:P95" si="26">IF(O94=0,0,Q94/O94)</f>
        <v>2572.5085294117634</v>
      </c>
      <c r="Q94" s="528">
        <f>-SUMIFS([6]BV_Data_An_Prec!$O:$O,[6]BV_Data_An_Prec!$U:$U,$B94,[6]BV_Data_An_Prec!$V:$V,$C94,[6]BV_Data_An_Prec!$W:$W,$L2)</f>
        <v>87465.28999999995</v>
      </c>
      <c r="R94" s="527">
        <f t="shared" ref="R94:R95" si="27">J94-O94</f>
        <v>-16</v>
      </c>
      <c r="S94" s="528">
        <f t="shared" ref="S94:S95" si="28">L94-Q94</f>
        <v>-43593.989999999911</v>
      </c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</row>
    <row r="95" spans="1:40" ht="18.75" customHeight="1">
      <c r="A95" s="517" t="s">
        <v>282</v>
      </c>
      <c r="B95" s="504" t="s">
        <v>73</v>
      </c>
      <c r="C95" s="525" t="s">
        <v>76</v>
      </c>
      <c r="D95" s="526">
        <f t="array" ref="D95">+INDEX('[6]Budget original'!$A$2:$AO$500,MATCH($A95,'[6]Budget original'!$A$2:$A$500,0),MATCH(D$2,'[6]Budget original'!$A$2:$AO$2,0))</f>
        <v>0</v>
      </c>
      <c r="E95" s="522">
        <f t="shared" si="24"/>
        <v>0</v>
      </c>
      <c r="F95" s="526">
        <f t="array" ref="F95">+INDEX('[6]Budget original'!$A$2:$AO$500,MATCH($A95,'[6]Budget original'!$A$2:$A$500,0),MATCH(F$2,'[6]Budget original'!$A$2:$AO$2,0))</f>
        <v>0</v>
      </c>
      <c r="G95" s="527"/>
      <c r="H95" s="526"/>
      <c r="I95" s="526"/>
      <c r="J95" s="527">
        <f>-SUMIFS([6]BV_Data_An_Cour!$O:$O,[6]BV_Data_An_Cour!$U:$U,$B95,[6]BV_Data_An_Cour!$V:$V,$C95,[6]BV_Data_An_Cour!$W:$W,J$2)</f>
        <v>7</v>
      </c>
      <c r="K95" s="526">
        <f t="shared" si="25"/>
        <v>1925.8071428571409</v>
      </c>
      <c r="L95" s="528">
        <f>-SUMIFS([6]BV_Data_An_Cour!$O:$O,[6]BV_Data_An_Cour!$U:$U,$B95,[6]BV_Data_An_Cour!$V:$V,$C95,[6]BV_Data_An_Cour!$W:$W,$L2)</f>
        <v>13480.649999999987</v>
      </c>
      <c r="M95" s="527">
        <f>J95-D95</f>
        <v>7</v>
      </c>
      <c r="N95" s="528">
        <f>L95-F95</f>
        <v>13480.649999999987</v>
      </c>
      <c r="O95" s="527">
        <f>-SUMIFS([6]BV_Data_An_Prec!$O:$O,[6]BV_Data_An_Prec!$U:$U,$B95,[6]BV_Data_An_Prec!$V:$V,$C95,[6]BV_Data_An_Prec!$W:$W,O$2)</f>
        <v>2</v>
      </c>
      <c r="P95" s="526">
        <f t="shared" si="26"/>
        <v>1700.3899999999999</v>
      </c>
      <c r="Q95" s="528">
        <f>-SUMIFS([6]BV_Data_An_Prec!$O:$O,[6]BV_Data_An_Prec!$U:$U,$B95,[6]BV_Data_An_Prec!$V:$V,$C95,[6]BV_Data_An_Prec!$W:$W,$L2)</f>
        <v>3400.7799999999997</v>
      </c>
      <c r="R95" s="527">
        <f t="shared" si="27"/>
        <v>5</v>
      </c>
      <c r="S95" s="528">
        <f t="shared" si="28"/>
        <v>10079.869999999988</v>
      </c>
      <c r="T95" s="504"/>
      <c r="U95" s="504"/>
      <c r="V95" s="626"/>
      <c r="W95" s="504"/>
      <c r="X95" s="504"/>
      <c r="Y95" s="504"/>
      <c r="Z95" s="504"/>
      <c r="AA95" s="504"/>
      <c r="AB95" s="50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</row>
    <row r="96" spans="1:40" ht="15.75" customHeight="1">
      <c r="A96" s="517" t="s">
        <v>283</v>
      </c>
      <c r="B96" s="504" t="s">
        <v>73</v>
      </c>
      <c r="C96" s="531" t="s">
        <v>77</v>
      </c>
      <c r="D96" s="532">
        <f>+D95+D94</f>
        <v>40</v>
      </c>
      <c r="E96" s="526">
        <f t="shared" si="24"/>
        <v>1858</v>
      </c>
      <c r="F96" s="533">
        <f>+F94+F95</f>
        <v>74320</v>
      </c>
      <c r="G96" s="534"/>
      <c r="H96" s="532"/>
      <c r="I96" s="533"/>
      <c r="J96" s="534">
        <f t="shared" ref="J96" si="29">+J94+J95</f>
        <v>25</v>
      </c>
      <c r="K96" s="532">
        <f>IF(J96&lt;=0,0,L96/J96)</f>
        <v>2294.0780000000009</v>
      </c>
      <c r="L96" s="533">
        <f>+L94+L95</f>
        <v>57351.950000000026</v>
      </c>
      <c r="M96" s="534">
        <f>J96-D96</f>
        <v>-15</v>
      </c>
      <c r="N96" s="533">
        <f>L96-F96</f>
        <v>-16968.049999999974</v>
      </c>
      <c r="O96" s="534">
        <f>+O94+O95</f>
        <v>36</v>
      </c>
      <c r="P96" s="532">
        <f>IF(O96&lt;=0,0,Q96/O96)</f>
        <v>2524.0574999999985</v>
      </c>
      <c r="Q96" s="533">
        <f>+Q94+Q95</f>
        <v>90866.069999999949</v>
      </c>
      <c r="R96" s="534">
        <f t="shared" ref="R96:S96" si="30">R94+R95</f>
        <v>-11</v>
      </c>
      <c r="S96" s="533">
        <f t="shared" si="30"/>
        <v>-33514.119999999923</v>
      </c>
      <c r="T96" s="504"/>
      <c r="U96" s="504"/>
      <c r="V96" s="504"/>
      <c r="W96" s="504"/>
      <c r="X96" s="504"/>
      <c r="Y96" s="504"/>
      <c r="Z96" s="504"/>
      <c r="AA96" s="504"/>
      <c r="AB96" s="504"/>
      <c r="AC96" s="569"/>
      <c r="AD96" s="504"/>
      <c r="AE96" s="504"/>
      <c r="AF96" s="569"/>
      <c r="AG96" s="504"/>
      <c r="AH96" s="504"/>
      <c r="AI96" s="504"/>
      <c r="AJ96" s="504"/>
      <c r="AK96" s="504"/>
      <c r="AL96" s="504"/>
      <c r="AM96" s="504"/>
      <c r="AN96" s="504"/>
    </row>
    <row r="97" spans="1:40" ht="15.75" customHeight="1">
      <c r="A97" s="517" t="s">
        <v>73</v>
      </c>
      <c r="B97" s="504" t="s">
        <v>73</v>
      </c>
      <c r="C97" s="525"/>
      <c r="D97" s="504"/>
      <c r="E97" s="526">
        <f t="shared" si="24"/>
        <v>0</v>
      </c>
      <c r="F97" s="535"/>
      <c r="G97" s="525"/>
      <c r="H97" s="504"/>
      <c r="I97" s="535"/>
      <c r="J97" s="525"/>
      <c r="K97" s="504"/>
      <c r="L97" s="535"/>
      <c r="M97" s="627">
        <f>M96/D96</f>
        <v>-0.375</v>
      </c>
      <c r="N97" s="628">
        <f>N96/F96</f>
        <v>-0.22831068353067779</v>
      </c>
      <c r="O97" s="525"/>
      <c r="P97" s="504"/>
      <c r="Q97" s="535"/>
      <c r="R97" s="627">
        <f>R96/O96</f>
        <v>-0.30555555555555558</v>
      </c>
      <c r="S97" s="628">
        <f>IF(Q96=0,0,(S96/Q96))</f>
        <v>-0.3688298613552885</v>
      </c>
      <c r="T97" s="504"/>
      <c r="U97" s="504"/>
      <c r="V97" s="504"/>
      <c r="W97" s="504"/>
      <c r="X97" s="504"/>
      <c r="Y97" s="504"/>
      <c r="Z97" s="504"/>
      <c r="AA97" s="504"/>
      <c r="AB97" s="50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</row>
    <row r="98" spans="1:40" ht="15.75" customHeight="1">
      <c r="A98" s="517" t="s">
        <v>284</v>
      </c>
      <c r="B98" s="504" t="s">
        <v>73</v>
      </c>
      <c r="C98" s="525" t="s">
        <v>194</v>
      </c>
      <c r="D98" s="526"/>
      <c r="E98" s="526"/>
      <c r="F98" s="526"/>
      <c r="G98" s="527"/>
      <c r="H98" s="526"/>
      <c r="I98" s="526"/>
      <c r="J98" s="527"/>
      <c r="K98" s="526"/>
      <c r="L98" s="528"/>
      <c r="M98" s="527"/>
      <c r="N98" s="528"/>
      <c r="O98" s="527"/>
      <c r="P98" s="526"/>
      <c r="Q98" s="528"/>
      <c r="R98" s="527"/>
      <c r="S98" s="528"/>
      <c r="T98" s="504"/>
      <c r="U98" s="504"/>
      <c r="V98" s="504"/>
      <c r="W98" s="526"/>
      <c r="X98" s="526"/>
      <c r="Y98" s="504"/>
      <c r="Z98" s="504"/>
      <c r="AA98" s="504"/>
      <c r="AB98" s="50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</row>
    <row r="99" spans="1:40" ht="15.75" customHeight="1">
      <c r="A99" s="517" t="s">
        <v>285</v>
      </c>
      <c r="B99" s="504" t="s">
        <v>73</v>
      </c>
      <c r="C99" s="525" t="s">
        <v>78</v>
      </c>
      <c r="D99" s="526">
        <f t="array" ref="D99">+INDEX('[6]Budget original'!$A$2:$AO$500,MATCH($A99,'[6]Budget original'!$A$2:$A$500,0),MATCH(D$2,'[6]Budget original'!$A$2:$AO$2,0))</f>
        <v>33.846153846153847</v>
      </c>
      <c r="E99" s="526">
        <f>IF(D99=0,0,F99/D99)</f>
        <v>399</v>
      </c>
      <c r="F99" s="526">
        <f t="array" ref="F99">+INDEX('[6]Budget original'!$A$2:$AO$500,MATCH($A99,'[6]Budget original'!$A$2:$A$500,0),MATCH(F$2,'[6]Budget original'!$A$2:$AO$2,0))</f>
        <v>13504.615384615385</v>
      </c>
      <c r="G99" s="527"/>
      <c r="H99" s="526"/>
      <c r="I99" s="526"/>
      <c r="J99" s="527">
        <f>-SUMIFS([6]BV_Data_An_Cour!$O:$O,[6]BV_Data_An_Cour!$U:$U,$B99,[6]BV_Data_An_Cour!$V:$V,$C99,[6]BV_Data_An_Cour!$W:$W,J$2)</f>
        <v>57</v>
      </c>
      <c r="K99" s="526">
        <f>IF(J99=0,0,L99/J99)</f>
        <v>568.81631578947417</v>
      </c>
      <c r="L99" s="528">
        <f>-SUMIFS([6]BV_Data_An_Cour!$O:$O,[6]BV_Data_An_Cour!$U:$U,$B99,[6]BV_Data_An_Cour!$V:$V,$C99,[6]BV_Data_An_Cour!$W:$W,L$2)</f>
        <v>32422.530000000028</v>
      </c>
      <c r="M99" s="527">
        <f>J99-D99</f>
        <v>23.153846153846153</v>
      </c>
      <c r="N99" s="528">
        <f>L99-F99</f>
        <v>18917.914615384645</v>
      </c>
      <c r="O99" s="527">
        <f>-SUMIFS([6]BV_Data_An_Prec!$O:$O,[6]BV_Data_An_Prec!$U:$U,$B99,[6]BV_Data_An_Prec!$V:$V,$C99,[6]BV_Data_An_Prec!$W:$W,O$2)</f>
        <v>34</v>
      </c>
      <c r="P99" s="526">
        <f>IF(O99=0,0,Q99/O99)</f>
        <v>-56.072058823528039</v>
      </c>
      <c r="Q99" s="528">
        <f>-SUMIFS([6]BV_Data_An_Prec!$O:$O,[6]BV_Data_An_Prec!$U:$U,$B99,[6]BV_Data_An_Prec!$V:$V,$C99,[6]BV_Data_An_Prec!$W:$W,Q$2)</f>
        <v>-1906.4499999999534</v>
      </c>
      <c r="R99" s="527">
        <f>J99-O99</f>
        <v>23</v>
      </c>
      <c r="S99" s="528">
        <f>L99-Q99</f>
        <v>34328.979999999981</v>
      </c>
      <c r="T99" s="504"/>
      <c r="U99" s="504"/>
      <c r="V99" s="504"/>
      <c r="W99" s="504"/>
      <c r="X99" s="504"/>
      <c r="Y99" s="504"/>
      <c r="Z99" s="504"/>
      <c r="AA99" s="504"/>
      <c r="AB99" s="504"/>
      <c r="AC99" s="569"/>
      <c r="AD99" s="504"/>
      <c r="AE99" s="504"/>
      <c r="AF99" s="629"/>
      <c r="AG99" s="504"/>
      <c r="AH99" s="504"/>
      <c r="AI99" s="504"/>
      <c r="AJ99" s="504"/>
      <c r="AK99" s="504"/>
      <c r="AL99" s="504"/>
      <c r="AM99" s="504"/>
      <c r="AN99" s="504"/>
    </row>
    <row r="100" spans="1:40" ht="15.75" customHeight="1">
      <c r="A100" s="517" t="s">
        <v>73</v>
      </c>
      <c r="B100" s="504" t="s">
        <v>73</v>
      </c>
      <c r="C100" s="518"/>
      <c r="D100" s="522"/>
      <c r="E100" s="522"/>
      <c r="F100" s="520"/>
      <c r="G100" s="539"/>
      <c r="H100" s="522"/>
      <c r="I100" s="520"/>
      <c r="J100" s="539"/>
      <c r="K100" s="522"/>
      <c r="L100" s="520"/>
      <c r="M100" s="540"/>
      <c r="N100" s="630"/>
      <c r="O100" s="539"/>
      <c r="P100" s="522"/>
      <c r="Q100" s="520"/>
      <c r="R100" s="540"/>
      <c r="S100" s="630"/>
      <c r="T100" s="504"/>
      <c r="U100" s="504"/>
      <c r="V100" s="504"/>
      <c r="W100" s="504"/>
      <c r="X100" s="504"/>
      <c r="Y100" s="504"/>
      <c r="Z100" s="504"/>
      <c r="AA100" s="504"/>
      <c r="AB100" s="504"/>
      <c r="AC100" s="504"/>
      <c r="AD100" s="504"/>
      <c r="AE100" s="504"/>
      <c r="AF100" s="629"/>
      <c r="AG100" s="504"/>
      <c r="AH100" s="504"/>
      <c r="AI100" s="504"/>
      <c r="AJ100" s="504"/>
      <c r="AK100" s="504"/>
      <c r="AL100" s="504"/>
      <c r="AM100" s="504"/>
      <c r="AN100" s="504"/>
    </row>
    <row r="101" spans="1:40" ht="15.75" customHeight="1">
      <c r="A101" s="517" t="s">
        <v>286</v>
      </c>
      <c r="B101" s="504" t="s">
        <v>73</v>
      </c>
      <c r="C101" s="525" t="s">
        <v>25</v>
      </c>
      <c r="D101" s="526">
        <f t="array" ref="D101">+INDEX('[6]Budget original'!$A$2:$AO$500,MATCH($A101,'[6]Budget original'!$A$2:$A$500,0),MATCH(D$2,'[6]Budget original'!$A$2:$AO$2,0))</f>
        <v>0</v>
      </c>
      <c r="E101" s="526">
        <f t="shared" ref="E101:E104" si="31">IF(D101=0,0,F101/D101)</f>
        <v>0</v>
      </c>
      <c r="F101" s="528">
        <f t="array" ref="F101">+INDEX('[6]Budget original'!$A$2:$AO$500,MATCH($A101,'[6]Budget original'!$A$2:$A$500,0),MATCH(F$2,'[6]Budget original'!$A$2:$AO$2,0))</f>
        <v>20000</v>
      </c>
      <c r="G101" s="527"/>
      <c r="H101" s="526"/>
      <c r="I101" s="526"/>
      <c r="J101" s="527"/>
      <c r="K101" s="526">
        <f>IF(J96=0,0,L101/J96)</f>
        <v>734.96679999999992</v>
      </c>
      <c r="L101" s="528">
        <f>-SUMIFS([6]BV_Data_An_Cour!$O:$O,[6]BV_Data_An_Cour!$U:$U,$B101,[6]BV_Data_An_Cour!$V:$V,$C101,[6]BV_Data_An_Cour!$W:$W,$L2)</f>
        <v>18374.169999999998</v>
      </c>
      <c r="M101" s="527"/>
      <c r="N101" s="528">
        <f>L101-F101</f>
        <v>-1625.8300000000017</v>
      </c>
      <c r="O101" s="527"/>
      <c r="P101" s="526">
        <f>IF(O96=0,0,Q101/O96)</f>
        <v>1201.3561111111112</v>
      </c>
      <c r="Q101" s="528">
        <f>-SUMIFS([6]BV_Data_An_Prec!$O:$O,[6]BV_Data_An_Prec!$U:$U,$B101,[6]BV_Data_An_Prec!$V:$V,$C101,[6]BV_Data_An_Prec!$W:$W,$L2)</f>
        <v>43248.82</v>
      </c>
      <c r="R101" s="527">
        <f t="shared" ref="R101:R103" si="32">O101-K101</f>
        <v>-734.96679999999992</v>
      </c>
      <c r="S101" s="528">
        <f t="shared" ref="S101:S104" si="33">L101-Q101</f>
        <v>-24874.65</v>
      </c>
      <c r="T101" s="504"/>
      <c r="U101" s="504"/>
      <c r="V101" s="504"/>
      <c r="W101" s="504"/>
      <c r="X101" s="504"/>
      <c r="Y101" s="504"/>
      <c r="Z101" s="504"/>
      <c r="AA101" s="504"/>
      <c r="AB101" s="50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</row>
    <row r="102" spans="1:40" ht="15.75" customHeight="1">
      <c r="A102" s="517" t="s">
        <v>287</v>
      </c>
      <c r="B102" s="504" t="s">
        <v>73</v>
      </c>
      <c r="C102" s="525" t="s">
        <v>26</v>
      </c>
      <c r="D102" s="526">
        <f t="array" ref="D102">+INDEX('[6]Budget original'!$A$2:$AO$500,MATCH($A102,'[6]Budget original'!$A$2:$A$500,0),MATCH(D$2,'[6]Budget original'!$A$2:$AO$2,0))</f>
        <v>0</v>
      </c>
      <c r="E102" s="526">
        <f t="shared" si="31"/>
        <v>0</v>
      </c>
      <c r="F102" s="528">
        <f t="array" ref="F102">+INDEX('[6]Budget original'!$A$2:$AO$500,MATCH($A102,'[6]Budget original'!$A$2:$A$500,0),MATCH(F$2,'[6]Budget original'!$A$2:$AO$2,0))</f>
        <v>50000</v>
      </c>
      <c r="G102" s="527"/>
      <c r="H102" s="526"/>
      <c r="I102" s="526"/>
      <c r="J102" s="527"/>
      <c r="K102" s="526">
        <f>IF(J96=0,0,L102/J96)</f>
        <v>1754.646</v>
      </c>
      <c r="L102" s="528">
        <f>-SUMIFS([6]BV_Data_An_Cour!$O:$O,[6]BV_Data_An_Cour!$U:$U,$B102,[6]BV_Data_An_Cour!$V:$V,$C102,[6]BV_Data_An_Cour!$W:$W,$L2)</f>
        <v>43866.15</v>
      </c>
      <c r="M102" s="527"/>
      <c r="N102" s="528">
        <f>L102-F102</f>
        <v>-6133.8499999999985</v>
      </c>
      <c r="O102" s="527"/>
      <c r="P102" s="526">
        <f>IF(O96=0,0,Q102/O96)</f>
        <v>1261.9402777777777</v>
      </c>
      <c r="Q102" s="528">
        <f>-SUMIFS([6]BV_Data_An_Prec!$O:$O,[6]BV_Data_An_Prec!$U:$U,$B102,[6]BV_Data_An_Prec!$V:$V,$C102,[6]BV_Data_An_Prec!$W:$W,$L2)</f>
        <v>45429.85</v>
      </c>
      <c r="R102" s="527">
        <f t="shared" si="32"/>
        <v>-1754.646</v>
      </c>
      <c r="S102" s="528">
        <f t="shared" si="33"/>
        <v>-1563.6999999999971</v>
      </c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</row>
    <row r="103" spans="1:40" ht="15.75" customHeight="1">
      <c r="A103" s="517" t="s">
        <v>288</v>
      </c>
      <c r="B103" s="504" t="s">
        <v>73</v>
      </c>
      <c r="C103" s="525" t="s">
        <v>27</v>
      </c>
      <c r="D103" s="526">
        <f t="array" ref="D103">+INDEX('[6]Budget original'!$A$2:$AO$500,MATCH($A103,'[6]Budget original'!$A$2:$A$500,0),MATCH(D$2,'[6]Budget original'!$A$2:$AO$2,0))</f>
        <v>0</v>
      </c>
      <c r="E103" s="522">
        <f t="shared" si="31"/>
        <v>0</v>
      </c>
      <c r="F103" s="528">
        <f t="array" ref="F103">+INDEX('[6]Budget original'!$A$2:$AO$500,MATCH($A103,'[6]Budget original'!$A$2:$A$500,0),MATCH(F$2,'[6]Budget original'!$A$2:$AO$2,0))</f>
        <v>14000</v>
      </c>
      <c r="G103" s="527"/>
      <c r="H103" s="522"/>
      <c r="I103" s="526"/>
      <c r="J103" s="527"/>
      <c r="K103" s="522">
        <f>IF(J96=0,0,L103/J96)</f>
        <v>59.932400000000001</v>
      </c>
      <c r="L103" s="528">
        <f>-SUMIFS([6]BV_Data_An_Cour!$O:$O,[6]BV_Data_An_Cour!$U:$U,$B103,[6]BV_Data_An_Cour!$V:$V,$C103,[6]BV_Data_An_Cour!$W:$W,$L$2)</f>
        <v>1498.31</v>
      </c>
      <c r="M103" s="539"/>
      <c r="N103" s="528">
        <f>L103-F103</f>
        <v>-12501.69</v>
      </c>
      <c r="O103" s="527"/>
      <c r="P103" s="522">
        <f>IF(O96=0,0,Q103/O96)</f>
        <v>41.279166666666669</v>
      </c>
      <c r="Q103" s="528">
        <f>-SUMIFS([6]BV_Data_An_Prec!$O:$O,[6]BV_Data_An_Prec!$U:$U,$B103,[6]BV_Data_An_Prec!$V:$V,$C103,[6]BV_Data_An_Prec!$W:$W,$L$2)</f>
        <v>1486.05</v>
      </c>
      <c r="R103" s="527">
        <f t="shared" si="32"/>
        <v>-59.932400000000001</v>
      </c>
      <c r="S103" s="528">
        <f t="shared" si="33"/>
        <v>12.259999999999991</v>
      </c>
      <c r="T103" s="504"/>
      <c r="U103" s="504"/>
      <c r="V103" s="504"/>
      <c r="W103" s="504"/>
      <c r="X103" s="504"/>
      <c r="Y103" s="504"/>
      <c r="Z103" s="504"/>
      <c r="AA103" s="504"/>
      <c r="AB103" s="50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</row>
    <row r="104" spans="1:40" ht="15.75" customHeight="1">
      <c r="A104" s="517" t="s">
        <v>289</v>
      </c>
      <c r="B104" s="504" t="s">
        <v>73</v>
      </c>
      <c r="C104" s="531" t="s">
        <v>28</v>
      </c>
      <c r="D104" s="532">
        <f>D96</f>
        <v>40</v>
      </c>
      <c r="E104" s="526">
        <f t="shared" si="31"/>
        <v>2100</v>
      </c>
      <c r="F104" s="533">
        <f>F101+F102+F103</f>
        <v>84000</v>
      </c>
      <c r="G104" s="534"/>
      <c r="H104" s="532"/>
      <c r="I104" s="533"/>
      <c r="J104" s="534">
        <f>J96</f>
        <v>25</v>
      </c>
      <c r="K104" s="532">
        <f>IF(J104&lt;=0,0,L104/J104)</f>
        <v>2549.5452</v>
      </c>
      <c r="L104" s="533">
        <f>L101+L102+L103</f>
        <v>63738.63</v>
      </c>
      <c r="M104" s="527">
        <f>J104-D104</f>
        <v>-15</v>
      </c>
      <c r="N104" s="533">
        <f>L104-F104</f>
        <v>-20261.370000000003</v>
      </c>
      <c r="O104" s="534">
        <f>O96</f>
        <v>36</v>
      </c>
      <c r="P104" s="532">
        <f>IF(O104&lt;=0,0,Q104/O104)</f>
        <v>2504.5755555555556</v>
      </c>
      <c r="Q104" s="533">
        <f>Q101+Q102+Q103</f>
        <v>90164.72</v>
      </c>
      <c r="R104" s="548"/>
      <c r="S104" s="533">
        <f t="shared" si="33"/>
        <v>-26426.090000000004</v>
      </c>
      <c r="T104" s="504"/>
      <c r="U104" s="504"/>
      <c r="V104" s="504"/>
      <c r="W104" s="504"/>
      <c r="X104" s="504"/>
      <c r="Y104" s="504"/>
      <c r="Z104" s="504"/>
      <c r="AA104" s="504"/>
      <c r="AB104" s="50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</row>
    <row r="105" spans="1:40" ht="15.75" customHeight="1">
      <c r="A105" s="517" t="s">
        <v>73</v>
      </c>
      <c r="B105" s="504" t="s">
        <v>73</v>
      </c>
      <c r="C105" s="525"/>
      <c r="D105" s="504"/>
      <c r="E105" s="504"/>
      <c r="F105" s="551"/>
      <c r="G105" s="525"/>
      <c r="H105" s="631"/>
      <c r="I105" s="551"/>
      <c r="J105" s="525"/>
      <c r="K105" s="504"/>
      <c r="L105" s="551"/>
      <c r="M105" s="542"/>
      <c r="N105" s="543">
        <f>N104/F104</f>
        <v>-0.24120678571428575</v>
      </c>
      <c r="O105" s="525"/>
      <c r="P105" s="504"/>
      <c r="Q105" s="551"/>
      <c r="R105" s="552"/>
      <c r="S105" s="543">
        <f>IF(Q104=0,0,(S104/Q104))</f>
        <v>-0.29308680823275451</v>
      </c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</row>
    <row r="106" spans="1:40" ht="15.75" customHeight="1" thickBot="1">
      <c r="A106" s="517" t="s">
        <v>73</v>
      </c>
      <c r="B106" s="504" t="s">
        <v>73</v>
      </c>
      <c r="C106" s="525"/>
      <c r="D106" s="504"/>
      <c r="E106" s="504"/>
      <c r="F106" s="551"/>
      <c r="G106" s="525"/>
      <c r="H106" s="631"/>
      <c r="I106" s="551"/>
      <c r="J106" s="525"/>
      <c r="K106" s="504"/>
      <c r="L106" s="551"/>
      <c r="M106" s="542"/>
      <c r="N106" s="543"/>
      <c r="O106" s="525"/>
      <c r="P106" s="504"/>
      <c r="Q106" s="551"/>
      <c r="R106" s="552"/>
      <c r="S106" s="543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</row>
    <row r="107" spans="1:40" ht="23.25" customHeight="1" thickTop="1">
      <c r="A107" s="517" t="s">
        <v>290</v>
      </c>
      <c r="B107" s="504" t="s">
        <v>73</v>
      </c>
      <c r="C107" s="553" t="s">
        <v>79</v>
      </c>
      <c r="D107" s="554">
        <f>D96+D99</f>
        <v>73.84615384615384</v>
      </c>
      <c r="E107" s="555">
        <f>IF(D107&lt;=0,0,F107/D107)</f>
        <v>2326.791666666667</v>
      </c>
      <c r="F107" s="556">
        <f>F96+F104+F99</f>
        <v>171824.61538461538</v>
      </c>
      <c r="G107" s="557"/>
      <c r="H107" s="632"/>
      <c r="I107" s="556"/>
      <c r="J107" s="557">
        <f>J96+J99</f>
        <v>82</v>
      </c>
      <c r="K107" s="555">
        <f>IF(J107&lt;=0,0,L107/J107)</f>
        <v>1872.1110975609761</v>
      </c>
      <c r="L107" s="556">
        <f>L96+L104+L99</f>
        <v>153513.11000000004</v>
      </c>
      <c r="M107" s="557">
        <f>J107-D107</f>
        <v>8.1538461538461604</v>
      </c>
      <c r="N107" s="556">
        <f>L107-F107</f>
        <v>-18311.505384615331</v>
      </c>
      <c r="O107" s="557">
        <f>O96+O99</f>
        <v>70</v>
      </c>
      <c r="P107" s="555">
        <f>IF(O107&lt;=0,0,Q107/O107)</f>
        <v>2558.919142857143</v>
      </c>
      <c r="Q107" s="556">
        <f>Q96+Q104+Q99</f>
        <v>179124.34</v>
      </c>
      <c r="R107" s="557">
        <f>J107-O107</f>
        <v>12</v>
      </c>
      <c r="S107" s="556">
        <f>L107-Q107</f>
        <v>-25611.229999999952</v>
      </c>
      <c r="T107" s="504"/>
      <c r="U107" s="504"/>
      <c r="V107" s="504"/>
      <c r="W107" s="504"/>
      <c r="X107" s="504"/>
      <c r="Y107" s="504"/>
      <c r="Z107" s="504"/>
      <c r="AA107" s="504"/>
      <c r="AB107" s="50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</row>
    <row r="108" spans="1:40" ht="19.5" customHeight="1" thickBot="1">
      <c r="A108" s="517" t="s">
        <v>73</v>
      </c>
      <c r="B108" s="504" t="s">
        <v>73</v>
      </c>
      <c r="C108" s="558"/>
      <c r="D108" s="559"/>
      <c r="E108" s="559"/>
      <c r="F108" s="560"/>
      <c r="G108" s="558"/>
      <c r="H108" s="559"/>
      <c r="I108" s="560"/>
      <c r="J108" s="558"/>
      <c r="K108" s="559"/>
      <c r="L108" s="561">
        <f>L107/F107</f>
        <v>0.89342909138119397</v>
      </c>
      <c r="M108" s="562">
        <f>M107/D107</f>
        <v>0.11041666666666676</v>
      </c>
      <c r="N108" s="563">
        <f>N107/F107</f>
        <v>-0.106570908618806</v>
      </c>
      <c r="O108" s="558"/>
      <c r="P108" s="559"/>
      <c r="Q108" s="560"/>
      <c r="R108" s="633">
        <f>O107/R107</f>
        <v>5.833333333333333</v>
      </c>
      <c r="S108" s="634">
        <f>IF(Q107=0,0,(S107/Q107))</f>
        <v>-0.14298017790323722</v>
      </c>
      <c r="T108" s="504"/>
      <c r="U108" s="504"/>
      <c r="V108" s="504"/>
      <c r="W108" s="504"/>
      <c r="X108" s="504"/>
      <c r="Y108" s="504"/>
      <c r="Z108" s="504"/>
      <c r="AA108" s="504"/>
      <c r="AB108" s="50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</row>
    <row r="109" spans="1:40" ht="15.75" customHeight="1" thickTop="1">
      <c r="A109" s="517" t="s">
        <v>73</v>
      </c>
      <c r="B109" s="504" t="s">
        <v>73</v>
      </c>
      <c r="C109" s="544"/>
      <c r="D109" s="564"/>
      <c r="E109" s="564"/>
      <c r="F109" s="565"/>
      <c r="G109" s="544"/>
      <c r="H109" s="564"/>
      <c r="I109" s="565"/>
      <c r="J109" s="544"/>
      <c r="K109" s="564"/>
      <c r="L109" s="565"/>
      <c r="M109" s="542"/>
      <c r="N109" s="543"/>
      <c r="O109" s="544"/>
      <c r="P109" s="564"/>
      <c r="Q109" s="565"/>
      <c r="R109" s="542"/>
      <c r="S109" s="543"/>
      <c r="T109" s="504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</row>
    <row r="110" spans="1:40" ht="15.75" customHeight="1">
      <c r="A110" s="517" t="s">
        <v>291</v>
      </c>
      <c r="B110" s="504" t="s">
        <v>73</v>
      </c>
      <c r="C110" s="566" t="s">
        <v>30</v>
      </c>
      <c r="D110" s="504"/>
      <c r="E110" s="567"/>
      <c r="F110" s="551"/>
      <c r="G110" s="525"/>
      <c r="H110" s="567"/>
      <c r="I110" s="551"/>
      <c r="J110" s="525"/>
      <c r="K110" s="567"/>
      <c r="L110" s="535"/>
      <c r="M110" s="525"/>
      <c r="N110" s="535"/>
      <c r="O110" s="525"/>
      <c r="P110" s="567"/>
      <c r="Q110" s="535"/>
      <c r="R110" s="525"/>
      <c r="S110" s="535"/>
      <c r="T110" s="504"/>
      <c r="U110" s="504"/>
      <c r="V110" s="504"/>
      <c r="W110" s="504"/>
      <c r="X110" s="504"/>
      <c r="Y110" s="504"/>
      <c r="Z110" s="504"/>
      <c r="AA110" s="504"/>
      <c r="AB110" s="50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</row>
    <row r="111" spans="1:40" ht="15.75" customHeight="1">
      <c r="A111" s="517" t="s">
        <v>292</v>
      </c>
      <c r="B111" s="504" t="s">
        <v>73</v>
      </c>
      <c r="C111" s="525" t="s">
        <v>31</v>
      </c>
      <c r="D111" s="635">
        <f>F111/F96</f>
        <v>0.31175995694294939</v>
      </c>
      <c r="E111" s="569">
        <f t="shared" ref="E111:E120" si="34">F111/D$96</f>
        <v>579.25</v>
      </c>
      <c r="F111" s="526">
        <f t="array" ref="F111">+INDEX('[6]Budget original'!$A$2:$AO$500,MATCH($A111,'[6]Budget original'!$A$2:$A$500,0),MATCH(F$2,'[6]Budget original'!$A$2:$AO$2,0))</f>
        <v>23170</v>
      </c>
      <c r="G111" s="570"/>
      <c r="H111" s="569"/>
      <c r="I111" s="526"/>
      <c r="J111" s="570">
        <f>L111/L96</f>
        <v>0.42385620715599015</v>
      </c>
      <c r="K111" s="569">
        <f t="shared" ref="K111:K120" si="35">IF($J$96=0,0,L111/(J$94+J$95))</f>
        <v>972.35919999999999</v>
      </c>
      <c r="L111" s="528">
        <f>SUMIFS([6]BV_Data_An_Cour!$O:$O,[6]BV_Data_An_Cour!$U:$U,$B111,[6]BV_Data_An_Cour!$V:$V,$C111,[6]BV_Data_An_Cour!$W:$W,$L$2)</f>
        <v>24308.98</v>
      </c>
      <c r="M111" s="525"/>
      <c r="N111" s="551">
        <f t="shared" ref="N111:N152" si="36">L111-F111</f>
        <v>1138.9799999999996</v>
      </c>
      <c r="O111" s="525"/>
      <c r="P111" s="569">
        <f t="shared" ref="P111:P120" si="37">IF($J$96=0,0,Q111/(O$94+O$95))</f>
        <v>791.83027777777772</v>
      </c>
      <c r="Q111" s="528">
        <f>SUMIFS([6]BV_Data_An_Prec!$O:$O,[6]BV_Data_An_Prec!$U:$U,$B111,[6]BV_Data_An_Prec!$V:$V,$C111,[6]BV_Data_An_Prec!$W:$W,$L$2)</f>
        <v>28505.89</v>
      </c>
      <c r="R111" s="525"/>
      <c r="S111" s="551">
        <f t="shared" ref="S111:S152" si="38">L111-Q111</f>
        <v>-4196.91</v>
      </c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</row>
    <row r="112" spans="1:40" ht="15.75" customHeight="1">
      <c r="A112" s="517" t="s">
        <v>293</v>
      </c>
      <c r="B112" s="504" t="s">
        <v>73</v>
      </c>
      <c r="C112" s="518" t="s">
        <v>32</v>
      </c>
      <c r="D112" s="636">
        <f>F112/(F104+F19)</f>
        <v>0.26381909547738691</v>
      </c>
      <c r="E112" s="572">
        <f t="shared" si="34"/>
        <v>630</v>
      </c>
      <c r="F112" s="520">
        <f t="array" ref="F112">+INDEX('[6]Budget original'!$A$2:$AO$500,MATCH($A112,'[6]Budget original'!$A$2:$A$500,0),MATCH(F$2,'[6]Budget original'!$A$2:$AO$2,0))</f>
        <v>25200</v>
      </c>
      <c r="G112" s="573"/>
      <c r="H112" s="572"/>
      <c r="I112" s="520"/>
      <c r="J112" s="573">
        <f>L112/(L104+L19)</f>
        <v>0.24962884616237763</v>
      </c>
      <c r="K112" s="572">
        <f t="shared" si="35"/>
        <v>765.25600000000009</v>
      </c>
      <c r="L112" s="528">
        <f>SUMIFS([6]BV_Data_An_Cour!$O:$O,[6]BV_Data_An_Cour!$U:$U,$B112,[6]BV_Data_An_Cour!$V:$V,$C112,[6]BV_Data_An_Cour!$W:$W,$L$2)</f>
        <v>19131.400000000001</v>
      </c>
      <c r="M112" s="518"/>
      <c r="N112" s="574">
        <f t="shared" si="36"/>
        <v>-6068.5999999999985</v>
      </c>
      <c r="O112" s="518"/>
      <c r="P112" s="572">
        <f t="shared" si="37"/>
        <v>757.13638888888886</v>
      </c>
      <c r="Q112" s="528">
        <f>SUMIFS([6]BV_Data_An_Prec!$O:$O,[6]BV_Data_An_Prec!$U:$U,$B112,[6]BV_Data_An_Prec!$V:$V,$C112,[6]BV_Data_An_Prec!$W:$W,$L$2)</f>
        <v>27256.91</v>
      </c>
      <c r="R112" s="518"/>
      <c r="S112" s="574">
        <f t="shared" si="38"/>
        <v>-8125.5099999999984</v>
      </c>
      <c r="T112" s="504"/>
      <c r="U112" s="504"/>
      <c r="V112" s="504"/>
      <c r="W112" s="504"/>
      <c r="X112" s="504"/>
      <c r="Y112" s="504"/>
      <c r="Z112" s="504"/>
      <c r="AA112" s="504"/>
      <c r="AB112" s="50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</row>
    <row r="113" spans="1:40" ht="15.75" customHeight="1">
      <c r="A113" s="517" t="s">
        <v>294</v>
      </c>
      <c r="B113" s="504" t="s">
        <v>73</v>
      </c>
      <c r="C113" s="525" t="s">
        <v>33</v>
      </c>
      <c r="D113" s="577"/>
      <c r="E113" s="569">
        <f t="shared" si="34"/>
        <v>43.638219139208324</v>
      </c>
      <c r="F113" s="526">
        <f t="array" ref="F113">+INDEX('[6]Budget original'!$A$2:$AO$500,MATCH($A113,'[6]Budget original'!$A$2:$A$500,0),MATCH(F$2,'[6]Budget original'!$A$2:$AO$2,0))</f>
        <v>1745.528765568333</v>
      </c>
      <c r="G113" s="578"/>
      <c r="H113" s="569"/>
      <c r="I113" s="526"/>
      <c r="J113" s="525"/>
      <c r="K113" s="569">
        <f t="shared" si="35"/>
        <v>-2.5384000000000002</v>
      </c>
      <c r="L113" s="547">
        <f>SUMIFS([6]BV_Data_An_Cour!$O:$O,[6]BV_Data_An_Cour!$U:$U,$B113,[6]BV_Data_An_Cour!$V:$V,$C113,[6]BV_Data_An_Cour!$W:$W,$L$2)</f>
        <v>-63.46</v>
      </c>
      <c r="M113" s="525"/>
      <c r="N113" s="551">
        <f t="shared" si="36"/>
        <v>-1808.9887655683331</v>
      </c>
      <c r="O113" s="525"/>
      <c r="P113" s="569">
        <f t="shared" si="37"/>
        <v>3.5430555555555556</v>
      </c>
      <c r="Q113" s="547">
        <f>SUMIFS([6]BV_Data_An_Prec!$O:$O,[6]BV_Data_An_Prec!$U:$U,$B113,[6]BV_Data_An_Prec!$V:$V,$C113,[6]BV_Data_An_Prec!$W:$W,$L$2)</f>
        <v>127.55</v>
      </c>
      <c r="R113" s="525"/>
      <c r="S113" s="551">
        <f t="shared" si="38"/>
        <v>-191.01</v>
      </c>
      <c r="T113" s="504"/>
      <c r="U113" s="504"/>
      <c r="V113" s="504"/>
      <c r="W113" s="526"/>
      <c r="X113" s="504"/>
      <c r="Y113" s="504"/>
      <c r="Z113" s="504"/>
      <c r="AA113" s="504"/>
      <c r="AB113" s="50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</row>
    <row r="114" spans="1:40" ht="15.75" customHeight="1">
      <c r="A114" s="517" t="s">
        <v>295</v>
      </c>
      <c r="B114" s="504" t="s">
        <v>73</v>
      </c>
      <c r="C114" s="525" t="s">
        <v>34</v>
      </c>
      <c r="D114" s="577"/>
      <c r="E114" s="569">
        <f t="shared" si="34"/>
        <v>15.731566240051018</v>
      </c>
      <c r="F114" s="526">
        <f t="array" ref="F114">+INDEX('[6]Budget original'!$A$2:$AO$500,MATCH($A114,'[6]Budget original'!$A$2:$A$500,0),MATCH(F$2,'[6]Budget original'!$A$2:$AO$2,0))</f>
        <v>629.26264960204071</v>
      </c>
      <c r="G114" s="578"/>
      <c r="H114" s="569"/>
      <c r="I114" s="526"/>
      <c r="J114" s="525"/>
      <c r="K114" s="569">
        <f t="shared" si="35"/>
        <v>0</v>
      </c>
      <c r="L114" s="528">
        <f>SUMIFS([6]BV_Data_An_Cour!$O:$O,[6]BV_Data_An_Cour!$U:$U,$B114,[6]BV_Data_An_Cour!$V:$V,$C114,[6]BV_Data_An_Cour!$W:$W,$L$2)</f>
        <v>0</v>
      </c>
      <c r="M114" s="525"/>
      <c r="N114" s="551">
        <f t="shared" si="36"/>
        <v>-629.26264960204071</v>
      </c>
      <c r="O114" s="525"/>
      <c r="P114" s="569">
        <f t="shared" si="37"/>
        <v>0</v>
      </c>
      <c r="Q114" s="528">
        <f>SUMIFS([6]BV_Data_An_Prec!$O:$O,[6]BV_Data_An_Prec!$U:$U,$B114,[6]BV_Data_An_Prec!$V:$V,$C114,[6]BV_Data_An_Prec!$W:$W,$L$2)</f>
        <v>0</v>
      </c>
      <c r="R114" s="525"/>
      <c r="S114" s="551">
        <f t="shared" si="38"/>
        <v>0</v>
      </c>
      <c r="T114" s="504"/>
      <c r="U114" s="504"/>
      <c r="V114" s="504"/>
      <c r="W114" s="526"/>
      <c r="X114" s="504"/>
      <c r="Y114" s="504"/>
      <c r="Z114" s="504"/>
      <c r="AA114" s="504"/>
      <c r="AB114" s="50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</row>
    <row r="115" spans="1:40" ht="15.75" customHeight="1">
      <c r="A115" s="517" t="s">
        <v>296</v>
      </c>
      <c r="B115" s="504" t="s">
        <v>73</v>
      </c>
      <c r="C115" s="518" t="s">
        <v>35</v>
      </c>
      <c r="D115" s="579"/>
      <c r="E115" s="572">
        <f t="shared" si="34"/>
        <v>125.42456696334298</v>
      </c>
      <c r="F115" s="520">
        <f t="array" ref="F115">+INDEX('[6]Budget original'!$A$2:$AO$500,MATCH($A115,'[6]Budget original'!$A$2:$A$500,0),MATCH(F$2,'[6]Budget original'!$A$2:$AO$2,0))</f>
        <v>5016.9826785337191</v>
      </c>
      <c r="G115" s="580"/>
      <c r="H115" s="572"/>
      <c r="I115" s="520"/>
      <c r="J115" s="518"/>
      <c r="K115" s="572">
        <f t="shared" si="35"/>
        <v>166.30360000000002</v>
      </c>
      <c r="L115" s="520">
        <f>SUMIFS([6]BV_Data_An_Cour!$O:$O,[6]BV_Data_An_Cour!$U:$U,$B115,[6]BV_Data_An_Cour!$V:$V,$C115,[6]BV_Data_An_Cour!$W:$W,$L$2)</f>
        <v>4157.59</v>
      </c>
      <c r="M115" s="518"/>
      <c r="N115" s="574">
        <f t="shared" si="36"/>
        <v>-859.39267853371894</v>
      </c>
      <c r="O115" s="518"/>
      <c r="P115" s="572">
        <f t="shared" si="37"/>
        <v>153.47638888888889</v>
      </c>
      <c r="Q115" s="520">
        <f>SUMIFS([6]BV_Data_An_Prec!$O:$O,[6]BV_Data_An_Prec!$U:$U,$B115,[6]BV_Data_An_Prec!$V:$V,$C115,[6]BV_Data_An_Prec!$W:$W,$L$2)</f>
        <v>5525.15</v>
      </c>
      <c r="R115" s="518"/>
      <c r="S115" s="574">
        <f t="shared" si="38"/>
        <v>-1367.5599999999995</v>
      </c>
      <c r="T115" s="504"/>
      <c r="U115" s="569"/>
      <c r="V115" s="504"/>
      <c r="W115" s="526"/>
      <c r="X115" s="504"/>
      <c r="Y115" s="504"/>
      <c r="Z115" s="504"/>
      <c r="AA115" s="504"/>
      <c r="AB115" s="50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</row>
    <row r="116" spans="1:40" ht="19.5" customHeight="1">
      <c r="A116" s="517" t="s">
        <v>297</v>
      </c>
      <c r="B116" s="504" t="s">
        <v>73</v>
      </c>
      <c r="C116" s="525" t="s">
        <v>36</v>
      </c>
      <c r="D116" s="577"/>
      <c r="E116" s="569">
        <f t="shared" si="34"/>
        <v>69.006410256410248</v>
      </c>
      <c r="F116" s="526">
        <f t="array" ref="F116">+INDEX('[6]Budget original'!$A$2:$AO$500,MATCH($A116,'[6]Budget original'!$A$2:$A$500,0),MATCH(F$2,'[6]Budget original'!$A$2:$AO$2,0))</f>
        <v>2760.2564102564102</v>
      </c>
      <c r="G116" s="578"/>
      <c r="H116" s="569"/>
      <c r="I116" s="526"/>
      <c r="J116" s="525"/>
      <c r="K116" s="569">
        <f t="shared" si="35"/>
        <v>557.51400000000001</v>
      </c>
      <c r="L116" s="528">
        <f>SUMIFS([6]BV_Data_An_Cour!$O:$O,[6]BV_Data_An_Cour!$U:$U,$B116,[6]BV_Data_An_Cour!$V:$V,$C116,[6]BV_Data_An_Cour!$W:$W,$L$2)</f>
        <v>13937.85</v>
      </c>
      <c r="M116" s="525"/>
      <c r="N116" s="551">
        <f t="shared" si="36"/>
        <v>11177.59358974359</v>
      </c>
      <c r="O116" s="525"/>
      <c r="P116" s="569">
        <f t="shared" si="37"/>
        <v>147.16194444444443</v>
      </c>
      <c r="Q116" s="528">
        <f>SUMIFS([6]BV_Data_An_Prec!$O:$O,[6]BV_Data_An_Prec!$U:$U,$B116,[6]BV_Data_An_Prec!$V:$V,$C116,[6]BV_Data_An_Prec!$W:$W,$L$2)</f>
        <v>5297.83</v>
      </c>
      <c r="R116" s="525"/>
      <c r="S116" s="551">
        <f t="shared" si="38"/>
        <v>8640.02</v>
      </c>
      <c r="T116" s="504"/>
      <c r="U116" s="504"/>
      <c r="V116" s="504"/>
      <c r="W116" s="526"/>
      <c r="Z116" s="504"/>
      <c r="AA116" s="504"/>
      <c r="AB116" s="50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</row>
    <row r="117" spans="1:40" ht="15.75" customHeight="1">
      <c r="A117" s="517" t="s">
        <v>298</v>
      </c>
      <c r="B117" s="504" t="s">
        <v>73</v>
      </c>
      <c r="C117" s="525" t="s">
        <v>37</v>
      </c>
      <c r="D117" s="577"/>
      <c r="E117" s="569">
        <f t="shared" si="34"/>
        <v>161.77315068493147</v>
      </c>
      <c r="F117" s="526">
        <f t="array" ref="F117">+INDEX('[6]Budget original'!$A$2:$AO$500,MATCH($A117,'[6]Budget original'!$A$2:$A$500,0),MATCH(F$2,'[6]Budget original'!$A$2:$AO$2,0))</f>
        <v>6470.9260273972586</v>
      </c>
      <c r="G117" s="578"/>
      <c r="H117" s="569"/>
      <c r="I117" s="526"/>
      <c r="J117" s="525"/>
      <c r="K117" s="569">
        <f t="shared" si="35"/>
        <v>62.494</v>
      </c>
      <c r="L117" s="528">
        <f>SUMIFS([6]BV_Data_An_Cour!$O:$O,[6]BV_Data_An_Cour!$U:$U,$B117,[6]BV_Data_An_Cour!$V:$V,$C117,[6]BV_Data_An_Cour!$W:$W,$L$2)</f>
        <v>1562.35</v>
      </c>
      <c r="M117" s="525"/>
      <c r="N117" s="551">
        <f t="shared" si="36"/>
        <v>-4908.5760273972592</v>
      </c>
      <c r="O117" s="525"/>
      <c r="P117" s="569">
        <f t="shared" si="37"/>
        <v>102.61777777777777</v>
      </c>
      <c r="Q117" s="528">
        <f>SUMIFS([6]BV_Data_An_Prec!$O:$O,[6]BV_Data_An_Prec!$U:$U,$B117,[6]BV_Data_An_Prec!$V:$V,$C117,[6]BV_Data_An_Prec!$W:$W,$L$2)</f>
        <v>3694.24</v>
      </c>
      <c r="R117" s="525"/>
      <c r="S117" s="551">
        <f t="shared" si="38"/>
        <v>-2131.89</v>
      </c>
      <c r="T117" s="504"/>
      <c r="U117" s="504"/>
      <c r="V117" s="504"/>
      <c r="W117" s="526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</row>
    <row r="118" spans="1:40" ht="15.75" hidden="1" customHeight="1">
      <c r="A118" s="517" t="s">
        <v>299</v>
      </c>
      <c r="B118" s="504" t="s">
        <v>73</v>
      </c>
      <c r="C118" s="525" t="s">
        <v>20</v>
      </c>
      <c r="D118" s="577"/>
      <c r="E118" s="569">
        <f t="shared" si="34"/>
        <v>0</v>
      </c>
      <c r="F118" s="526">
        <f t="array" ref="F118">+INDEX('[6]Budget original'!$A$2:$AO$500,MATCH($A118,'[6]Budget original'!$A$2:$A$500,0),MATCH(F$2,'[6]Budget original'!$A$2:$AO$2,0))</f>
        <v>0</v>
      </c>
      <c r="G118" s="578"/>
      <c r="H118" s="569"/>
      <c r="I118" s="526"/>
      <c r="J118" s="525"/>
      <c r="K118" s="569">
        <f t="shared" si="35"/>
        <v>0</v>
      </c>
      <c r="L118" s="528">
        <f>SUMIFS([6]BV_Data_An_Cour!$O:$O,[6]BV_Data_An_Cour!$U:$U,$B118,[6]BV_Data_An_Cour!$V:$V,$C118,[6]BV_Data_An_Cour!$W:$W,$L$2)</f>
        <v>0</v>
      </c>
      <c r="M118" s="525"/>
      <c r="N118" s="551">
        <f t="shared" si="36"/>
        <v>0</v>
      </c>
      <c r="O118" s="525"/>
      <c r="P118" s="569">
        <f t="shared" si="37"/>
        <v>0</v>
      </c>
      <c r="Q118" s="528">
        <f>SUMIFS([6]BV_Data_An_Prec!$O:$O,[6]BV_Data_An_Prec!$U:$U,$B118,[6]BV_Data_An_Prec!$V:$V,$C118,[6]BV_Data_An_Prec!$W:$W,$L$2)</f>
        <v>0</v>
      </c>
      <c r="R118" s="525"/>
      <c r="S118" s="551">
        <f t="shared" si="38"/>
        <v>0</v>
      </c>
      <c r="T118" s="504"/>
      <c r="U118" s="504"/>
      <c r="V118" s="504"/>
      <c r="W118" s="504"/>
      <c r="X118" s="504"/>
      <c r="Y118" s="504"/>
      <c r="Z118" s="504"/>
      <c r="AA118" s="504"/>
      <c r="AB118" s="50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</row>
    <row r="119" spans="1:40" ht="15.75" hidden="1" customHeight="1">
      <c r="A119" s="517" t="s">
        <v>299</v>
      </c>
      <c r="B119" s="504" t="s">
        <v>73</v>
      </c>
      <c r="C119" s="525" t="s">
        <v>20</v>
      </c>
      <c r="D119" s="577"/>
      <c r="E119" s="569">
        <f t="shared" si="34"/>
        <v>0</v>
      </c>
      <c r="F119" s="526">
        <f t="array" ref="F119">+INDEX('[6]Budget original'!$A$2:$AO$500,MATCH($A119,'[6]Budget original'!$A$2:$A$500,0),MATCH(F$2,'[6]Budget original'!$A$2:$AO$2,0))</f>
        <v>0</v>
      </c>
      <c r="G119" s="578"/>
      <c r="H119" s="569"/>
      <c r="I119" s="526"/>
      <c r="J119" s="525"/>
      <c r="K119" s="569">
        <f t="shared" si="35"/>
        <v>0</v>
      </c>
      <c r="L119" s="528">
        <f>SUMIFS([6]BV_Data_An_Cour!$O:$O,[6]BV_Data_An_Cour!$U:$U,$B119,[6]BV_Data_An_Cour!$V:$V,$C119,[6]BV_Data_An_Cour!$W:$W,$L$2)</f>
        <v>0</v>
      </c>
      <c r="M119" s="525"/>
      <c r="N119" s="551">
        <f t="shared" si="36"/>
        <v>0</v>
      </c>
      <c r="O119" s="525"/>
      <c r="P119" s="569">
        <f t="shared" si="37"/>
        <v>0</v>
      </c>
      <c r="Q119" s="528">
        <f>SUMIFS([6]BV_Data_An_Prec!$O:$O,[6]BV_Data_An_Prec!$U:$U,$B119,[6]BV_Data_An_Prec!$V:$V,$C119,[6]BV_Data_An_Prec!$W:$W,$L$2)</f>
        <v>0</v>
      </c>
      <c r="R119" s="525"/>
      <c r="S119" s="551">
        <f t="shared" si="38"/>
        <v>0</v>
      </c>
      <c r="T119" s="504"/>
      <c r="U119" s="504"/>
      <c r="V119" s="504"/>
      <c r="W119" s="504"/>
      <c r="X119" s="504"/>
      <c r="Y119" s="504"/>
      <c r="Z119" s="504"/>
      <c r="AA119" s="504"/>
      <c r="AB119" s="50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</row>
    <row r="120" spans="1:40" ht="15.75" hidden="1" customHeight="1">
      <c r="A120" s="517" t="s">
        <v>299</v>
      </c>
      <c r="B120" s="504" t="s">
        <v>73</v>
      </c>
      <c r="C120" s="525" t="s">
        <v>20</v>
      </c>
      <c r="D120" s="577"/>
      <c r="E120" s="569">
        <f t="shared" si="34"/>
        <v>0</v>
      </c>
      <c r="F120" s="526">
        <f t="array" ref="F120">+INDEX('[6]Budget original'!$A$2:$AO$500,MATCH($A120,'[6]Budget original'!$A$2:$A$500,0),MATCH(F$2,'[6]Budget original'!$A$2:$AO$2,0))</f>
        <v>0</v>
      </c>
      <c r="G120" s="578"/>
      <c r="H120" s="569"/>
      <c r="I120" s="526"/>
      <c r="J120" s="525"/>
      <c r="K120" s="569">
        <f t="shared" si="35"/>
        <v>0</v>
      </c>
      <c r="L120" s="528">
        <f>SUMIFS([6]BV_Data_An_Cour!$O:$O,[6]BV_Data_An_Cour!$U:$U,$B120,[6]BV_Data_An_Cour!$V:$V,$C120,[6]BV_Data_An_Cour!$W:$W,$L$2)</f>
        <v>0</v>
      </c>
      <c r="M120" s="525"/>
      <c r="N120" s="551">
        <f t="shared" si="36"/>
        <v>0</v>
      </c>
      <c r="O120" s="525"/>
      <c r="P120" s="569">
        <f t="shared" si="37"/>
        <v>0</v>
      </c>
      <c r="Q120" s="528">
        <f>SUMIFS([6]BV_Data_An_Prec!$O:$O,[6]BV_Data_An_Prec!$U:$U,$B120,[6]BV_Data_An_Prec!$V:$V,$C120,[6]BV_Data_An_Prec!$W:$W,$L$2)</f>
        <v>0</v>
      </c>
      <c r="R120" s="525"/>
      <c r="S120" s="551">
        <f t="shared" si="38"/>
        <v>0</v>
      </c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</row>
    <row r="121" spans="1:40" ht="15.75" customHeight="1">
      <c r="A121" s="517" t="s">
        <v>300</v>
      </c>
      <c r="B121" s="504" t="s">
        <v>73</v>
      </c>
      <c r="C121" s="584" t="s">
        <v>38</v>
      </c>
      <c r="D121" s="585" t="s">
        <v>39</v>
      </c>
      <c r="E121" s="586">
        <f>F121/F$107</f>
        <v>0.37825172130242418</v>
      </c>
      <c r="F121" s="587">
        <f>SUM(F111:F120)</f>
        <v>64992.956531357762</v>
      </c>
      <c r="G121" s="588"/>
      <c r="H121" s="586"/>
      <c r="I121" s="587"/>
      <c r="J121" s="588" t="s">
        <v>39</v>
      </c>
      <c r="K121" s="586">
        <f>L121/L$107</f>
        <v>0.41061450712580827</v>
      </c>
      <c r="L121" s="587">
        <f>SUM(L111:L120)</f>
        <v>63034.710000000006</v>
      </c>
      <c r="M121" s="591"/>
      <c r="N121" s="587">
        <f t="shared" si="36"/>
        <v>-1958.2465313577559</v>
      </c>
      <c r="O121" s="588" t="s">
        <v>39</v>
      </c>
      <c r="P121" s="586">
        <f>Q121/Q$107</f>
        <v>0.39306534220865802</v>
      </c>
      <c r="Q121" s="587">
        <f>SUM(Q111:Q120)</f>
        <v>70407.570000000007</v>
      </c>
      <c r="R121" s="591"/>
      <c r="S121" s="587">
        <f t="shared" si="38"/>
        <v>-7372.8600000000006</v>
      </c>
      <c r="T121" s="504"/>
      <c r="U121" s="504"/>
      <c r="X121" s="504"/>
      <c r="Y121" s="504"/>
      <c r="Z121" s="504"/>
      <c r="AA121" s="504"/>
      <c r="AB121" s="50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</row>
    <row r="122" spans="1:40" ht="15.75" customHeight="1">
      <c r="A122" s="517" t="s">
        <v>301</v>
      </c>
      <c r="B122" s="504" t="s">
        <v>73</v>
      </c>
      <c r="C122" s="592" t="s">
        <v>41</v>
      </c>
      <c r="D122" s="504"/>
      <c r="E122" s="504"/>
      <c r="F122" s="526">
        <f t="array" ref="F122">+INDEX('[6]Budget original'!$A$2:$AO$500,MATCH($A122,'[6]Budget original'!$A$2:$A$500,0),MATCH(F$2,'[6]Budget original'!$A$2:$AO$2,0))</f>
        <v>10057.767432950193</v>
      </c>
      <c r="G122" s="525"/>
      <c r="H122" s="504"/>
      <c r="I122" s="526"/>
      <c r="J122" s="525"/>
      <c r="K122" s="504"/>
      <c r="L122" s="528">
        <f>SUMIFS([6]BV_Data_An_Cour!$O:$O,[6]BV_Data_An_Cour!$U:$U,$B122,[6]BV_Data_An_Cour!$V:$V,$C122,[6]BV_Data_An_Cour!$W:$W,$L$2)</f>
        <v>5868.57</v>
      </c>
      <c r="M122" s="525"/>
      <c r="N122" s="551">
        <f t="shared" si="36"/>
        <v>-4189.1974329501936</v>
      </c>
      <c r="O122" s="525"/>
      <c r="P122" s="504"/>
      <c r="Q122" s="528">
        <f>SUMIFS([6]BV_Data_An_Prec!$O:$O,[6]BV_Data_An_Prec!$U:$U,$B122,[6]BV_Data_An_Prec!$V:$V,$C122,[6]BV_Data_An_Prec!$W:$W,$L$2)</f>
        <v>10842.74</v>
      </c>
      <c r="R122" s="525"/>
      <c r="S122" s="551">
        <f t="shared" si="38"/>
        <v>-4974.17</v>
      </c>
      <c r="T122" s="504"/>
      <c r="U122" s="504"/>
      <c r="V122" s="504"/>
      <c r="W122" s="504"/>
      <c r="X122" s="504"/>
      <c r="Y122" s="504"/>
      <c r="Z122" s="504"/>
      <c r="AA122" s="504"/>
      <c r="AB122" s="50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</row>
    <row r="123" spans="1:40" ht="15.75" customHeight="1">
      <c r="A123" s="517" t="s">
        <v>302</v>
      </c>
      <c r="B123" s="504" t="s">
        <v>73</v>
      </c>
      <c r="C123" s="593" t="s">
        <v>42</v>
      </c>
      <c r="D123" s="577"/>
      <c r="E123" s="504"/>
      <c r="F123" s="520">
        <f t="array" ref="F123">+INDEX('[6]Budget original'!$A$2:$AO$500,MATCH($A123,'[6]Budget original'!$A$2:$A$500,0),MATCH(F$2,'[6]Budget original'!$A$2:$AO$2,0))</f>
        <v>2272.1416091954025</v>
      </c>
      <c r="G123" s="578"/>
      <c r="H123" s="504"/>
      <c r="I123" s="520"/>
      <c r="J123" s="525"/>
      <c r="K123" s="504"/>
      <c r="L123" s="520">
        <f>SUMIFS([6]BV_Data_An_Cour!$O:$O,[6]BV_Data_An_Cour!$U:$U,$B123,[6]BV_Data_An_Cour!$V:$V,$C123,[6]BV_Data_An_Cour!$W:$W,$L$2)</f>
        <v>7695.5</v>
      </c>
      <c r="M123" s="525"/>
      <c r="N123" s="551">
        <f t="shared" si="36"/>
        <v>5423.3583908045975</v>
      </c>
      <c r="O123" s="525"/>
      <c r="P123" s="504"/>
      <c r="Q123" s="520">
        <f>SUMIFS([6]BV_Data_An_Prec!$O:$O,[6]BV_Data_An_Prec!$U:$U,$B123,[6]BV_Data_An_Prec!$V:$V,$C123,[6]BV_Data_An_Prec!$W:$W,$L$2)</f>
        <v>1664.27</v>
      </c>
      <c r="R123" s="525"/>
      <c r="S123" s="551">
        <f t="shared" si="38"/>
        <v>6031.23</v>
      </c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</row>
    <row r="124" spans="1:40" ht="15.75" customHeight="1">
      <c r="A124" s="517" t="s">
        <v>303</v>
      </c>
      <c r="B124" s="504" t="s">
        <v>73</v>
      </c>
      <c r="C124" s="592" t="s">
        <v>43</v>
      </c>
      <c r="D124" s="594"/>
      <c r="E124" s="595"/>
      <c r="F124" s="526">
        <f t="array" ref="F124">+INDEX('[6]Budget original'!$A$2:$AO$500,MATCH($A124,'[6]Budget original'!$A$2:$A$500,0),MATCH(F$2,'[6]Budget original'!$A$2:$AO$2,0))</f>
        <v>7779.2674329501933</v>
      </c>
      <c r="G124" s="596"/>
      <c r="H124" s="595"/>
      <c r="I124" s="526"/>
      <c r="J124" s="512"/>
      <c r="K124" s="595"/>
      <c r="L124" s="528">
        <f>SUMIFS([6]BV_Data_An_Cour!$O:$O,[6]BV_Data_An_Cour!$U:$U,$B124,[6]BV_Data_An_Cour!$V:$V,$C124,[6]BV_Data_An_Cour!$W:$W,$L$2)</f>
        <v>10820.29</v>
      </c>
      <c r="M124" s="512"/>
      <c r="N124" s="597">
        <f t="shared" si="36"/>
        <v>3041.0225670498075</v>
      </c>
      <c r="O124" s="512"/>
      <c r="P124" s="595"/>
      <c r="Q124" s="528">
        <f>SUMIFS([6]BV_Data_An_Prec!$O:$O,[6]BV_Data_An_Prec!$U:$U,$B124,[6]BV_Data_An_Prec!$V:$V,$C124,[6]BV_Data_An_Prec!$W:$W,$L$2)</f>
        <v>7471.31</v>
      </c>
      <c r="R124" s="512"/>
      <c r="S124" s="597">
        <f t="shared" si="38"/>
        <v>3348.9800000000005</v>
      </c>
      <c r="T124" s="504"/>
      <c r="U124" s="504"/>
      <c r="V124" s="504"/>
      <c r="W124" s="504"/>
      <c r="X124" s="504"/>
      <c r="Y124" s="504"/>
      <c r="Z124" s="504"/>
      <c r="AA124" s="504"/>
      <c r="AB124" s="50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</row>
    <row r="125" spans="1:40" ht="15.75" customHeight="1">
      <c r="A125" s="517" t="s">
        <v>304</v>
      </c>
      <c r="B125" s="504" t="s">
        <v>73</v>
      </c>
      <c r="C125" s="592" t="s">
        <v>44</v>
      </c>
      <c r="D125" s="577"/>
      <c r="E125" s="504"/>
      <c r="F125" s="526">
        <f t="array" ref="F125">+INDEX('[6]Budget original'!$A$2:$AO$500,MATCH($A125,'[6]Budget original'!$A$2:$A$500,0),MATCH(F$2,'[6]Budget original'!$A$2:$AO$2,0))</f>
        <v>0</v>
      </c>
      <c r="G125" s="578"/>
      <c r="H125" s="504"/>
      <c r="I125" s="526"/>
      <c r="J125" s="525"/>
      <c r="K125" s="504"/>
      <c r="L125" s="528">
        <f>SUMIFS([6]BV_Data_An_Cour!$O:$O,[6]BV_Data_An_Cour!$U:$U,$B125,[6]BV_Data_An_Cour!$V:$V,$C125,[6]BV_Data_An_Cour!$W:$W,$L$2)</f>
        <v>0</v>
      </c>
      <c r="M125" s="525"/>
      <c r="N125" s="551">
        <f t="shared" si="36"/>
        <v>0</v>
      </c>
      <c r="O125" s="525"/>
      <c r="P125" s="504"/>
      <c r="Q125" s="528">
        <f>SUMIFS([6]BV_Data_An_Prec!$O:$O,[6]BV_Data_An_Prec!$U:$U,$B125,[6]BV_Data_An_Prec!$V:$V,$C125,[6]BV_Data_An_Prec!$W:$W,$L$2)</f>
        <v>0</v>
      </c>
      <c r="R125" s="525"/>
      <c r="S125" s="551">
        <f t="shared" si="38"/>
        <v>0</v>
      </c>
      <c r="T125" s="504"/>
      <c r="U125" s="504"/>
      <c r="V125" s="504"/>
      <c r="W125" s="504"/>
      <c r="X125" s="504"/>
      <c r="Y125" s="504"/>
      <c r="Z125" s="504"/>
      <c r="AA125" s="504"/>
      <c r="AB125" s="50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</row>
    <row r="126" spans="1:40" ht="15.75" hidden="1" customHeight="1">
      <c r="A126" s="517" t="s">
        <v>299</v>
      </c>
      <c r="B126" s="504" t="s">
        <v>73</v>
      </c>
      <c r="C126" s="592" t="s">
        <v>20</v>
      </c>
      <c r="D126" s="577"/>
      <c r="E126" s="504"/>
      <c r="F126" s="526">
        <f t="array" ref="F126">+INDEX('[6]Budget original'!$A$2:$AO$500,MATCH($A126,'[6]Budget original'!$A$2:$A$500,0),MATCH(F$2,'[6]Budget original'!$A$2:$AO$2,0))</f>
        <v>0</v>
      </c>
      <c r="G126" s="578"/>
      <c r="H126" s="504"/>
      <c r="I126" s="526"/>
      <c r="J126" s="525"/>
      <c r="K126" s="504"/>
      <c r="L126" s="528">
        <f>SUMIFS([6]BV_Data_An_Cour!$O:$O,[6]BV_Data_An_Cour!$U:$U,$B126,[6]BV_Data_An_Cour!$V:$V,$C126,[6]BV_Data_An_Cour!$W:$W,$L$2)</f>
        <v>0</v>
      </c>
      <c r="M126" s="525"/>
      <c r="N126" s="551">
        <f t="shared" si="36"/>
        <v>0</v>
      </c>
      <c r="O126" s="525"/>
      <c r="P126" s="504"/>
      <c r="Q126" s="528">
        <f>SUMIFS([6]BV_Data_An_Prec!$O:$O,[6]BV_Data_An_Prec!$U:$U,$B126,[6]BV_Data_An_Prec!$V:$V,$C126,[6]BV_Data_An_Prec!$W:$W,$L$2)</f>
        <v>0</v>
      </c>
      <c r="R126" s="525"/>
      <c r="S126" s="551">
        <f t="shared" si="38"/>
        <v>0</v>
      </c>
      <c r="T126" s="504"/>
      <c r="U126" s="504"/>
      <c r="V126" s="504"/>
      <c r="W126" s="504"/>
      <c r="X126" s="504"/>
      <c r="Y126" s="504"/>
      <c r="Z126" s="504"/>
      <c r="AA126" s="504"/>
      <c r="AB126" s="50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</row>
    <row r="127" spans="1:40" ht="15.75" hidden="1" customHeight="1">
      <c r="A127" s="517" t="s">
        <v>299</v>
      </c>
      <c r="B127" s="504" t="s">
        <v>73</v>
      </c>
      <c r="C127" s="592" t="s">
        <v>20</v>
      </c>
      <c r="D127" s="577"/>
      <c r="E127" s="504"/>
      <c r="F127" s="526">
        <f t="array" ref="F127">+INDEX('[6]Budget original'!$A$2:$AO$500,MATCH($A127,'[6]Budget original'!$A$2:$A$500,0),MATCH(F$2,'[6]Budget original'!$A$2:$AO$2,0))</f>
        <v>0</v>
      </c>
      <c r="G127" s="578"/>
      <c r="H127" s="504"/>
      <c r="I127" s="526"/>
      <c r="J127" s="525"/>
      <c r="K127" s="504"/>
      <c r="L127" s="528">
        <f>SUMIFS([6]BV_Data_An_Cour!$O:$O,[6]BV_Data_An_Cour!$U:$U,$B127,[6]BV_Data_An_Cour!$V:$V,$C127,[6]BV_Data_An_Cour!$W:$W,$L$2)</f>
        <v>0</v>
      </c>
      <c r="M127" s="525"/>
      <c r="N127" s="551">
        <f t="shared" si="36"/>
        <v>0</v>
      </c>
      <c r="O127" s="525"/>
      <c r="P127" s="504"/>
      <c r="Q127" s="528">
        <f>SUMIFS([6]BV_Data_An_Prec!$O:$O,[6]BV_Data_An_Prec!$U:$U,$B127,[6]BV_Data_An_Prec!$V:$V,$C127,[6]BV_Data_An_Prec!$W:$W,$L$2)</f>
        <v>0</v>
      </c>
      <c r="R127" s="525"/>
      <c r="S127" s="551">
        <f t="shared" si="38"/>
        <v>0</v>
      </c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</row>
    <row r="128" spans="1:40" ht="15.75" hidden="1" customHeight="1">
      <c r="A128" s="517" t="s">
        <v>299</v>
      </c>
      <c r="B128" s="504" t="s">
        <v>73</v>
      </c>
      <c r="C128" s="592" t="s">
        <v>20</v>
      </c>
      <c r="D128" s="577"/>
      <c r="E128" s="504"/>
      <c r="F128" s="526">
        <f t="array" ref="F128">+INDEX('[6]Budget original'!$A$2:$AO$500,MATCH($A128,'[6]Budget original'!$A$2:$A$500,0),MATCH(F$2,'[6]Budget original'!$A$2:$AO$2,0))</f>
        <v>0</v>
      </c>
      <c r="G128" s="578"/>
      <c r="H128" s="504"/>
      <c r="I128" s="526"/>
      <c r="J128" s="525"/>
      <c r="K128" s="504"/>
      <c r="L128" s="528">
        <f>SUMIFS([6]BV_Data_An_Cour!$O:$O,[6]BV_Data_An_Cour!$U:$U,$B128,[6]BV_Data_An_Cour!$V:$V,$C128,[6]BV_Data_An_Cour!$W:$W,$L$2)</f>
        <v>0</v>
      </c>
      <c r="M128" s="525"/>
      <c r="N128" s="551">
        <f t="shared" si="36"/>
        <v>0</v>
      </c>
      <c r="O128" s="525"/>
      <c r="P128" s="504"/>
      <c r="Q128" s="528">
        <f>SUMIFS([6]BV_Data_An_Prec!$O:$O,[6]BV_Data_An_Prec!$U:$U,$B128,[6]BV_Data_An_Prec!$V:$V,$C128,[6]BV_Data_An_Prec!$W:$W,$L$2)</f>
        <v>0</v>
      </c>
      <c r="R128" s="525"/>
      <c r="S128" s="551">
        <f t="shared" si="38"/>
        <v>0</v>
      </c>
      <c r="T128" s="504"/>
      <c r="U128" s="504"/>
      <c r="V128" s="504"/>
      <c r="W128" s="504"/>
      <c r="X128" s="504"/>
      <c r="Y128" s="504"/>
      <c r="Z128" s="504"/>
      <c r="AA128" s="504"/>
      <c r="AB128" s="50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</row>
    <row r="129" spans="1:40" ht="15.75" customHeight="1">
      <c r="A129" s="517" t="s">
        <v>305</v>
      </c>
      <c r="B129" s="504" t="s">
        <v>73</v>
      </c>
      <c r="C129" s="593" t="s">
        <v>45</v>
      </c>
      <c r="D129" s="577"/>
      <c r="E129" s="504"/>
      <c r="F129" s="526">
        <f t="array" ref="F129">+INDEX('[6]Budget original'!$A$2:$AO$500,MATCH($A129,'[6]Budget original'!$A$2:$A$500,0),MATCH(F$2,'[6]Budget original'!$A$2:$AO$2,0))</f>
        <v>7905.8922480357178</v>
      </c>
      <c r="G129" s="578"/>
      <c r="H129" s="504"/>
      <c r="I129" s="526"/>
      <c r="J129" s="525"/>
      <c r="K129" s="504"/>
      <c r="L129" s="528">
        <f>SUMIFS([6]BV_Data_An_Cour!$O:$O,[6]BV_Data_An_Cour!$U:$U,$B129,[6]BV_Data_An_Cour!$V:$V,$C129,[6]BV_Data_An_Cour!$W:$W,$L$2)</f>
        <v>9064.58</v>
      </c>
      <c r="M129" s="525"/>
      <c r="N129" s="551">
        <f t="shared" si="36"/>
        <v>1158.6877519642821</v>
      </c>
      <c r="O129" s="525"/>
      <c r="P129" s="504"/>
      <c r="Q129" s="528">
        <f>SUMIFS([6]BV_Data_An_Prec!$O:$O,[6]BV_Data_An_Prec!$U:$U,$B129,[6]BV_Data_An_Prec!$V:$V,$C129,[6]BV_Data_An_Prec!$W:$W,$L$2)</f>
        <v>4496.3900000000003</v>
      </c>
      <c r="R129" s="525"/>
      <c r="S129" s="551">
        <f t="shared" si="38"/>
        <v>4568.1899999999996</v>
      </c>
      <c r="T129" s="504"/>
      <c r="U129" s="504"/>
      <c r="V129" s="504"/>
      <c r="W129" s="504"/>
      <c r="X129" s="504"/>
      <c r="Y129" s="504"/>
      <c r="Z129" s="504"/>
      <c r="AA129" s="504"/>
      <c r="AB129" s="50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</row>
    <row r="130" spans="1:40" ht="15.75" customHeight="1">
      <c r="A130" s="517" t="s">
        <v>306</v>
      </c>
      <c r="B130" s="504" t="s">
        <v>73</v>
      </c>
      <c r="C130" s="592" t="s">
        <v>46</v>
      </c>
      <c r="D130" s="594"/>
      <c r="E130" s="595"/>
      <c r="F130" s="546">
        <f t="array" ref="F130">+INDEX('[6]Budget original'!$A$2:$AO$500,MATCH($A130,'[6]Budget original'!$A$2:$A$500,0),MATCH(F$2,'[6]Budget original'!$A$2:$AO$2,0))</f>
        <v>7859.2352873049313</v>
      </c>
      <c r="G130" s="596"/>
      <c r="H130" s="595"/>
      <c r="I130" s="546"/>
      <c r="J130" s="512"/>
      <c r="K130" s="595"/>
      <c r="L130" s="547">
        <f>SUMIFS([6]BV_Data_An_Cour!$O:$O,[6]BV_Data_An_Cour!$U:$U,$B130,[6]BV_Data_An_Cour!$V:$V,$C130,[6]BV_Data_An_Cour!$W:$W,$L$2)</f>
        <v>8664.81</v>
      </c>
      <c r="M130" s="512"/>
      <c r="N130" s="597">
        <f t="shared" si="36"/>
        <v>805.57471269506823</v>
      </c>
      <c r="O130" s="512"/>
      <c r="P130" s="595"/>
      <c r="Q130" s="547">
        <f>SUMIFS([6]BV_Data_An_Prec!$O:$O,[6]BV_Data_An_Prec!$U:$U,$B130,[6]BV_Data_An_Prec!$V:$V,$C130,[6]BV_Data_An_Prec!$W:$W,$L$2)</f>
        <v>3705.01</v>
      </c>
      <c r="R130" s="512"/>
      <c r="S130" s="597">
        <f t="shared" si="38"/>
        <v>4959.7999999999993</v>
      </c>
      <c r="T130" s="504"/>
      <c r="U130" s="504"/>
      <c r="V130" s="504"/>
      <c r="W130" s="504"/>
      <c r="X130" s="504"/>
      <c r="Y130" s="504"/>
      <c r="Z130" s="504"/>
      <c r="AA130" s="504"/>
      <c r="AB130" s="50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</row>
    <row r="131" spans="1:40" ht="15.75" customHeight="1">
      <c r="A131" s="517" t="s">
        <v>307</v>
      </c>
      <c r="B131" s="504" t="s">
        <v>73</v>
      </c>
      <c r="C131" s="592" t="s">
        <v>47</v>
      </c>
      <c r="D131" s="577"/>
      <c r="E131" s="504"/>
      <c r="F131" s="526">
        <f t="array" ref="F131">+INDEX('[6]Budget original'!$A$2:$AO$500,MATCH($A131,'[6]Budget original'!$A$2:$A$500,0),MATCH(F$2,'[6]Budget original'!$A$2:$AO$2,0))</f>
        <v>5503.4926504654441</v>
      </c>
      <c r="G131" s="578"/>
      <c r="H131" s="504"/>
      <c r="I131" s="526"/>
      <c r="J131" s="525"/>
      <c r="K131" s="504"/>
      <c r="L131" s="528">
        <f>SUMIFS([6]BV_Data_An_Cour!$O:$O,[6]BV_Data_An_Cour!$U:$U,$B131,[6]BV_Data_An_Cour!$V:$V,$C131,[6]BV_Data_An_Cour!$W:$W,$L$2)</f>
        <v>3509.34</v>
      </c>
      <c r="M131" s="525"/>
      <c r="N131" s="551">
        <f t="shared" si="36"/>
        <v>-1994.1526504654439</v>
      </c>
      <c r="O131" s="525"/>
      <c r="P131" s="504"/>
      <c r="Q131" s="528">
        <f>SUMIFS([6]BV_Data_An_Prec!$O:$O,[6]BV_Data_An_Prec!$U:$U,$B131,[6]BV_Data_An_Prec!$V:$V,$C131,[6]BV_Data_An_Prec!$W:$W,$L$2)</f>
        <v>3334.33</v>
      </c>
      <c r="R131" s="525"/>
      <c r="S131" s="551">
        <f t="shared" si="38"/>
        <v>175.01000000000022</v>
      </c>
      <c r="T131" s="504"/>
      <c r="U131" s="504"/>
      <c r="V131" s="504"/>
      <c r="W131" s="504"/>
      <c r="X131" s="504"/>
      <c r="Y131" s="504"/>
      <c r="Z131" s="504"/>
      <c r="AA131" s="504"/>
      <c r="AB131" s="50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</row>
    <row r="132" spans="1:40" ht="15.75" customHeight="1">
      <c r="A132" s="517" t="s">
        <v>308</v>
      </c>
      <c r="B132" s="504" t="s">
        <v>73</v>
      </c>
      <c r="C132" s="592" t="s">
        <v>48</v>
      </c>
      <c r="D132" s="577"/>
      <c r="E132" s="504"/>
      <c r="F132" s="526">
        <f t="array" ref="F132">+INDEX('[6]Budget original'!$A$2:$AO$500,MATCH($A132,'[6]Budget original'!$A$2:$A$500,0),MATCH(F$2,'[6]Budget original'!$A$2:$AO$2,0))</f>
        <v>2629.177069204517</v>
      </c>
      <c r="G132" s="578"/>
      <c r="H132" s="504"/>
      <c r="I132" s="526"/>
      <c r="J132" s="525"/>
      <c r="K132" s="504"/>
      <c r="L132" s="528">
        <f>SUMIFS([6]BV_Data_An_Cour!$O:$O,[6]BV_Data_An_Cour!$U:$U,$B132,[6]BV_Data_An_Cour!$V:$V,$C132,[6]BV_Data_An_Cour!$W:$W,$L$2)</f>
        <v>1964.95</v>
      </c>
      <c r="M132" s="525"/>
      <c r="N132" s="551">
        <f t="shared" si="36"/>
        <v>-664.22706920451697</v>
      </c>
      <c r="O132" s="525"/>
      <c r="P132" s="504"/>
      <c r="Q132" s="528">
        <f>SUMIFS([6]BV_Data_An_Prec!$O:$O,[6]BV_Data_An_Prec!$U:$U,$B132,[6]BV_Data_An_Prec!$V:$V,$C132,[6]BV_Data_An_Prec!$W:$W,$L$2)</f>
        <v>2542.04</v>
      </c>
      <c r="R132" s="525"/>
      <c r="S132" s="551">
        <f t="shared" si="38"/>
        <v>-577.08999999999992</v>
      </c>
      <c r="T132" s="504"/>
      <c r="U132" s="504"/>
      <c r="V132" s="504"/>
      <c r="W132" s="504"/>
      <c r="X132" s="504"/>
      <c r="Y132" s="504"/>
      <c r="Z132" s="504"/>
      <c r="AA132" s="504"/>
      <c r="AB132" s="50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</row>
    <row r="133" spans="1:40" ht="15.75" hidden="1" customHeight="1">
      <c r="A133" s="517" t="s">
        <v>299</v>
      </c>
      <c r="B133" s="504" t="s">
        <v>73</v>
      </c>
      <c r="C133" s="525" t="s">
        <v>20</v>
      </c>
      <c r="D133" s="579"/>
      <c r="E133" s="598"/>
      <c r="F133" s="526">
        <f t="array" ref="F133">+INDEX('[6]Budget original'!$A$2:$AO$500,MATCH($A133,'[6]Budget original'!$A$2:$A$500,0),MATCH(F$2,'[6]Budget original'!$A$2:$AO$2,0))</f>
        <v>0</v>
      </c>
      <c r="G133" s="580"/>
      <c r="H133" s="598"/>
      <c r="I133" s="526"/>
      <c r="J133" s="518"/>
      <c r="K133" s="598"/>
      <c r="L133" s="528">
        <f>SUMIFS([6]BV_Data_An_Cour!$O:$O,[6]BV_Data_An_Cour!$U:$U,$B133,[6]BV_Data_An_Cour!$V:$V,$C133,[6]BV_Data_An_Cour!$W:$W,$L$2)</f>
        <v>0</v>
      </c>
      <c r="M133" s="518"/>
      <c r="N133" s="574">
        <f t="shared" si="36"/>
        <v>0</v>
      </c>
      <c r="O133" s="518"/>
      <c r="P133" s="598"/>
      <c r="Q133" s="528">
        <f>SUMIFS([6]BV_Data_An_Prec!$O:$O,[6]BV_Data_An_Prec!$U:$U,$B133,[6]BV_Data_An_Prec!$V:$V,$C133,[6]BV_Data_An_Prec!$W:$W,$L$2)</f>
        <v>0</v>
      </c>
      <c r="R133" s="518"/>
      <c r="S133" s="574">
        <f t="shared" si="38"/>
        <v>0</v>
      </c>
      <c r="T133" s="504"/>
      <c r="U133" s="504"/>
      <c r="V133" s="504"/>
      <c r="W133" s="504"/>
      <c r="X133" s="504"/>
      <c r="Y133" s="504"/>
      <c r="Z133" s="504"/>
      <c r="AA133" s="504"/>
      <c r="AB133" s="50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</row>
    <row r="134" spans="1:40" ht="15.75" customHeight="1">
      <c r="A134" s="517" t="s">
        <v>309</v>
      </c>
      <c r="B134" s="504" t="s">
        <v>73</v>
      </c>
      <c r="C134" s="584" t="s">
        <v>49</v>
      </c>
      <c r="D134" s="585" t="s">
        <v>39</v>
      </c>
      <c r="E134" s="586">
        <f>F134/F$107</f>
        <v>0.25611565392770047</v>
      </c>
      <c r="F134" s="587">
        <f>+SUM(F122:F133)</f>
        <v>44006.973730106394</v>
      </c>
      <c r="G134" s="588"/>
      <c r="H134" s="586"/>
      <c r="I134" s="587"/>
      <c r="J134" s="588" t="s">
        <v>39</v>
      </c>
      <c r="K134" s="586">
        <f>L134/L$107</f>
        <v>0.3099933289085211</v>
      </c>
      <c r="L134" s="587">
        <f>SUM(L122:L133)</f>
        <v>47588.039999999994</v>
      </c>
      <c r="M134" s="637"/>
      <c r="N134" s="600">
        <f t="shared" si="36"/>
        <v>3581.0662698935994</v>
      </c>
      <c r="O134" s="588" t="s">
        <v>39</v>
      </c>
      <c r="P134" s="586">
        <f>Q134/Q$107</f>
        <v>0.19012541790802973</v>
      </c>
      <c r="Q134" s="587">
        <f>SUM(Q122:Q133)</f>
        <v>34056.090000000004</v>
      </c>
      <c r="R134" s="637"/>
      <c r="S134" s="600">
        <f t="shared" si="38"/>
        <v>13531.94999999999</v>
      </c>
      <c r="T134" s="504"/>
      <c r="U134" s="504"/>
      <c r="V134" s="504"/>
      <c r="W134" s="504"/>
      <c r="X134" s="504"/>
      <c r="Y134" s="504"/>
      <c r="Z134" s="504"/>
      <c r="AA134" s="504"/>
      <c r="AB134" s="50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</row>
    <row r="135" spans="1:40" ht="15.75" hidden="1" customHeight="1">
      <c r="A135" s="517" t="s">
        <v>310</v>
      </c>
      <c r="B135" s="504" t="s">
        <v>73</v>
      </c>
      <c r="C135" s="525" t="s">
        <v>50</v>
      </c>
      <c r="D135" s="577"/>
      <c r="E135" s="504"/>
      <c r="F135" s="526">
        <f t="array" ref="F135">+INDEX('[6]Budget original'!$A$2:$AO$500,MATCH($A135,'[6]Budget original'!$A$2:$A$500,0),MATCH(F$2,'[6]Budget original'!$A$2:$AO$2,0))</f>
        <v>0</v>
      </c>
      <c r="G135" s="578"/>
      <c r="H135" s="504"/>
      <c r="I135" s="526"/>
      <c r="J135" s="525"/>
      <c r="K135" s="504"/>
      <c r="L135" s="528">
        <f>SUMIFS([6]BV_Data_An_Cour!$O:$O,[6]BV_Data_An_Cour!$U:$U,$B135,[6]BV_Data_An_Cour!$V:$V,$C135,[6]BV_Data_An_Cour!$W:$W,$L$2)</f>
        <v>0</v>
      </c>
      <c r="M135" s="525"/>
      <c r="N135" s="551">
        <f t="shared" si="36"/>
        <v>0</v>
      </c>
      <c r="O135" s="525"/>
      <c r="P135" s="504"/>
      <c r="Q135" s="528">
        <f>SUMIFS([6]BV_Data_An_Prec!$O:$O,[6]BV_Data_An_Prec!$U:$U,$B135,[6]BV_Data_An_Prec!$V:$V,$C135,[6]BV_Data_An_Prec!$W:$W,$L$2)</f>
        <v>0</v>
      </c>
      <c r="R135" s="525"/>
      <c r="S135" s="551">
        <f t="shared" si="38"/>
        <v>0</v>
      </c>
      <c r="T135" s="504"/>
      <c r="U135" s="504"/>
      <c r="V135" s="504"/>
      <c r="W135" s="504"/>
      <c r="X135" s="504"/>
      <c r="Y135" s="504"/>
      <c r="Z135" s="504"/>
      <c r="AA135" s="504"/>
      <c r="AB135" s="50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</row>
    <row r="136" spans="1:40" ht="15.75" hidden="1" customHeight="1">
      <c r="A136" s="517" t="s">
        <v>311</v>
      </c>
      <c r="B136" s="504" t="s">
        <v>73</v>
      </c>
      <c r="C136" s="525" t="s">
        <v>51</v>
      </c>
      <c r="D136" s="577"/>
      <c r="E136" s="504"/>
      <c r="F136" s="526">
        <f t="array" ref="F136">+INDEX('[6]Budget original'!$A$2:$AO$500,MATCH($A136,'[6]Budget original'!$A$2:$A$500,0),MATCH(F$2,'[6]Budget original'!$A$2:$AO$2,0))</f>
        <v>0</v>
      </c>
      <c r="G136" s="578"/>
      <c r="H136" s="504"/>
      <c r="I136" s="526"/>
      <c r="J136" s="525"/>
      <c r="K136" s="504"/>
      <c r="L136" s="528">
        <f>SUMIFS([6]BV_Data_An_Cour!$O:$O,[6]BV_Data_An_Cour!$U:$U,$B136,[6]BV_Data_An_Cour!$V:$V,$C136,[6]BV_Data_An_Cour!$W:$W,$L$2)</f>
        <v>0</v>
      </c>
      <c r="M136" s="525"/>
      <c r="N136" s="551">
        <f t="shared" si="36"/>
        <v>0</v>
      </c>
      <c r="O136" s="525"/>
      <c r="P136" s="504"/>
      <c r="Q136" s="528">
        <f>SUMIFS([6]BV_Data_An_Prec!$O:$O,[6]BV_Data_An_Prec!$U:$U,$B136,[6]BV_Data_An_Prec!$V:$V,$C136,[6]BV_Data_An_Prec!$W:$W,$L$2)</f>
        <v>0</v>
      </c>
      <c r="R136" s="525"/>
      <c r="S136" s="551">
        <f t="shared" si="38"/>
        <v>0</v>
      </c>
      <c r="T136" s="504"/>
      <c r="U136" s="504"/>
      <c r="V136" s="504"/>
      <c r="W136" s="504"/>
      <c r="X136" s="504"/>
      <c r="Y136" s="504"/>
      <c r="Z136" s="504"/>
      <c r="AA136" s="504"/>
      <c r="AB136" s="50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</row>
    <row r="137" spans="1:40" ht="15.75" customHeight="1">
      <c r="A137" s="517" t="s">
        <v>312</v>
      </c>
      <c r="B137" s="504" t="s">
        <v>73</v>
      </c>
      <c r="C137" s="518" t="s">
        <v>52</v>
      </c>
      <c r="D137" s="579"/>
      <c r="E137" s="598"/>
      <c r="F137" s="520">
        <f t="array" ref="F137">+INDEX('[6]Budget original'!$A$2:$AO$500,MATCH($A137,'[6]Budget original'!$A$2:$A$500,0),MATCH(F$2,'[6]Budget original'!$A$2:$AO$2,0))</f>
        <v>180</v>
      </c>
      <c r="G137" s="580"/>
      <c r="H137" s="598"/>
      <c r="I137" s="520"/>
      <c r="J137" s="518"/>
      <c r="K137" s="598"/>
      <c r="L137" s="520">
        <f>SUMIFS([6]BV_Data_An_Cour!$O:$O,[6]BV_Data_An_Cour!$U:$U,$B137,[6]BV_Data_An_Cour!$V:$V,$C137,[6]BV_Data_An_Cour!$W:$W,$L$2)</f>
        <v>1622</v>
      </c>
      <c r="M137" s="518"/>
      <c r="N137" s="574">
        <f t="shared" si="36"/>
        <v>1442</v>
      </c>
      <c r="O137" s="518"/>
      <c r="P137" s="598"/>
      <c r="Q137" s="520">
        <f>SUMIFS([6]BV_Data_An_Prec!$O:$O,[6]BV_Data_An_Prec!$U:$U,$B137,[6]BV_Data_An_Prec!$V:$V,$C137,[6]BV_Data_An_Prec!$W:$W,$L$2)</f>
        <v>444.86</v>
      </c>
      <c r="R137" s="518"/>
      <c r="S137" s="574">
        <f t="shared" si="38"/>
        <v>1177.1399999999999</v>
      </c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</row>
    <row r="138" spans="1:40" ht="15.75" customHeight="1">
      <c r="A138" s="517" t="s">
        <v>313</v>
      </c>
      <c r="B138" s="504" t="s">
        <v>73</v>
      </c>
      <c r="C138" s="525" t="s">
        <v>53</v>
      </c>
      <c r="D138" s="577"/>
      <c r="E138" s="504"/>
      <c r="F138" s="526">
        <f t="array" ref="F138">+INDEX('[6]Budget original'!$A$2:$AO$500,MATCH($A138,'[6]Budget original'!$A$2:$A$500,0),MATCH(F$2,'[6]Budget original'!$A$2:$AO$2,0))</f>
        <v>2754.3646119999999</v>
      </c>
      <c r="G138" s="578"/>
      <c r="H138" s="504"/>
      <c r="I138" s="526"/>
      <c r="J138" s="525"/>
      <c r="K138" s="504"/>
      <c r="L138" s="528">
        <f>SUMIFS([6]BV_Data_An_Cour!$O:$O,[6]BV_Data_An_Cour!$U:$U,$B138,[6]BV_Data_An_Cour!$V:$V,$C138,[6]BV_Data_An_Cour!$W:$W,$L$2)</f>
        <v>3390.32</v>
      </c>
      <c r="M138" s="525"/>
      <c r="N138" s="551">
        <f t="shared" si="36"/>
        <v>635.95538800000031</v>
      </c>
      <c r="O138" s="525"/>
      <c r="P138" s="504"/>
      <c r="Q138" s="528">
        <f>SUMIFS([6]BV_Data_An_Prec!$O:$O,[6]BV_Data_An_Prec!$U:$U,$B138,[6]BV_Data_An_Prec!$V:$V,$C138,[6]BV_Data_An_Prec!$W:$W,$L$2)</f>
        <v>2731</v>
      </c>
      <c r="R138" s="525"/>
      <c r="S138" s="551">
        <f t="shared" si="38"/>
        <v>659.32000000000016</v>
      </c>
      <c r="T138" s="504"/>
      <c r="U138" s="504"/>
      <c r="V138" s="504"/>
      <c r="W138" s="504"/>
      <c r="X138" s="504"/>
      <c r="Y138" s="504"/>
      <c r="Z138" s="504"/>
      <c r="AA138" s="504"/>
      <c r="AB138" s="50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</row>
    <row r="139" spans="1:40" ht="15.75" customHeight="1">
      <c r="A139" s="517" t="s">
        <v>314</v>
      </c>
      <c r="B139" s="504" t="s">
        <v>73</v>
      </c>
      <c r="C139" s="525" t="s">
        <v>54</v>
      </c>
      <c r="D139" s="577"/>
      <c r="E139" s="504"/>
      <c r="F139" s="526">
        <f t="array" ref="F139">+INDEX('[6]Budget original'!$A$2:$AO$500,MATCH($A139,'[6]Budget original'!$A$2:$A$500,0),MATCH(F$2,'[6]Budget original'!$A$2:$AO$2,0))</f>
        <v>375.03301674999994</v>
      </c>
      <c r="G139" s="578"/>
      <c r="H139" s="504"/>
      <c r="I139" s="526"/>
      <c r="J139" s="525"/>
      <c r="K139" s="504"/>
      <c r="L139" s="528">
        <f>SUMIFS([6]BV_Data_An_Cour!$O:$O,[6]BV_Data_An_Cour!$U:$U,$B139,[6]BV_Data_An_Cour!$V:$V,$C139,[6]BV_Data_An_Cour!$W:$W,$L$2)</f>
        <v>-6.81</v>
      </c>
      <c r="M139" s="525"/>
      <c r="N139" s="551">
        <f t="shared" si="36"/>
        <v>-381.84301674999995</v>
      </c>
      <c r="O139" s="525"/>
      <c r="P139" s="504"/>
      <c r="Q139" s="528">
        <f>SUMIFS([6]BV_Data_An_Prec!$O:$O,[6]BV_Data_An_Prec!$U:$U,$B139,[6]BV_Data_An_Prec!$V:$V,$C139,[6]BV_Data_An_Prec!$W:$W,$L$2)</f>
        <v>933.28</v>
      </c>
      <c r="R139" s="525"/>
      <c r="S139" s="551">
        <f t="shared" si="38"/>
        <v>-940.08999999999992</v>
      </c>
      <c r="T139" s="635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</row>
    <row r="140" spans="1:40" ht="15.75" customHeight="1">
      <c r="A140" s="517" t="s">
        <v>315</v>
      </c>
      <c r="B140" s="504" t="s">
        <v>73</v>
      </c>
      <c r="C140" s="518" t="s">
        <v>55</v>
      </c>
      <c r="D140" s="579"/>
      <c r="E140" s="598"/>
      <c r="F140" s="520">
        <f t="array" ref="F140">+INDEX('[6]Budget original'!$A$2:$AO$500,MATCH($A140,'[6]Budget original'!$A$2:$A$500,0),MATCH(F$2,'[6]Budget original'!$A$2:$AO$2,0))</f>
        <v>1584.8113986666665</v>
      </c>
      <c r="G140" s="580"/>
      <c r="H140" s="598"/>
      <c r="I140" s="520"/>
      <c r="J140" s="518"/>
      <c r="K140" s="598"/>
      <c r="L140" s="520">
        <f>SUMIFS([6]BV_Data_An_Cour!$O:$O,[6]BV_Data_An_Cour!$U:$U,$B140,[6]BV_Data_An_Cour!$V:$V,$C140,[6]BV_Data_An_Cour!$W:$W,$L$2)</f>
        <v>1114.8</v>
      </c>
      <c r="M140" s="518"/>
      <c r="N140" s="574">
        <f t="shared" si="36"/>
        <v>-470.01139866666654</v>
      </c>
      <c r="O140" s="518"/>
      <c r="P140" s="598"/>
      <c r="Q140" s="520">
        <f>SUMIFS([6]BV_Data_An_Prec!$O:$O,[6]BV_Data_An_Prec!$U:$U,$B140,[6]BV_Data_An_Prec!$V:$V,$C140,[6]BV_Data_An_Prec!$W:$W,$L$2)</f>
        <v>1263.48</v>
      </c>
      <c r="R140" s="518"/>
      <c r="S140" s="574">
        <f t="shared" si="38"/>
        <v>-148.68000000000006</v>
      </c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</row>
    <row r="141" spans="1:40" ht="15.75" customHeight="1">
      <c r="A141" s="517" t="s">
        <v>316</v>
      </c>
      <c r="B141" s="504" t="s">
        <v>73</v>
      </c>
      <c r="C141" s="525" t="s">
        <v>56</v>
      </c>
      <c r="D141" s="577"/>
      <c r="E141" s="504"/>
      <c r="F141" s="526">
        <f t="array" ref="F141">+INDEX('[6]Budget original'!$A$2:$AO$500,MATCH($A141,'[6]Budget original'!$A$2:$A$500,0),MATCH(F$2,'[6]Budget original'!$A$2:$AO$2,0))</f>
        <v>119.79021815603429</v>
      </c>
      <c r="G141" s="578"/>
      <c r="H141" s="504"/>
      <c r="I141" s="526"/>
      <c r="J141" s="525"/>
      <c r="K141" s="504"/>
      <c r="L141" s="528">
        <f>SUMIFS([6]BV_Data_An_Cour!$O:$O,[6]BV_Data_An_Cour!$U:$U,$B141,[6]BV_Data_An_Cour!$V:$V,$C141,[6]BV_Data_An_Cour!$W:$W,$L$2)</f>
        <v>0</v>
      </c>
      <c r="M141" s="525"/>
      <c r="N141" s="551">
        <f t="shared" si="36"/>
        <v>-119.79021815603429</v>
      </c>
      <c r="O141" s="525"/>
      <c r="P141" s="504"/>
      <c r="Q141" s="528">
        <f>SUMIFS([6]BV_Data_An_Prec!$O:$O,[6]BV_Data_An_Prec!$U:$U,$B141,[6]BV_Data_An_Prec!$V:$V,$C141,[6]BV_Data_An_Prec!$W:$W,$L$2)</f>
        <v>0</v>
      </c>
      <c r="R141" s="525"/>
      <c r="S141" s="551">
        <f t="shared" si="38"/>
        <v>0</v>
      </c>
      <c r="T141" s="504"/>
      <c r="U141" s="504"/>
      <c r="V141" s="504"/>
      <c r="W141" s="504"/>
      <c r="X141" s="504"/>
      <c r="Y141" s="504"/>
      <c r="Z141" s="504"/>
      <c r="AA141" s="504"/>
      <c r="AB141" s="50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</row>
    <row r="142" spans="1:40" ht="15.75" customHeight="1">
      <c r="A142" s="517" t="s">
        <v>317</v>
      </c>
      <c r="B142" s="504" t="s">
        <v>73</v>
      </c>
      <c r="C142" s="525" t="s">
        <v>57</v>
      </c>
      <c r="D142" s="577"/>
      <c r="E142" s="504"/>
      <c r="F142" s="526">
        <f t="array" ref="F142">+INDEX('[6]Budget original'!$A$2:$AO$500,MATCH($A142,'[6]Budget original'!$A$2:$A$500,0),MATCH(F$2,'[6]Budget original'!$A$2:$AO$2,0))</f>
        <v>61.858302861334295</v>
      </c>
      <c r="G142" s="578"/>
      <c r="H142" s="504"/>
      <c r="I142" s="526"/>
      <c r="J142" s="525"/>
      <c r="K142" s="504"/>
      <c r="L142" s="528">
        <f>SUMIFS([6]BV_Data_An_Cour!$O:$O,[6]BV_Data_An_Cour!$U:$U,$B142,[6]BV_Data_An_Cour!$V:$V,$C142,[6]BV_Data_An_Cour!$W:$W,$L$2)</f>
        <v>0</v>
      </c>
      <c r="M142" s="525"/>
      <c r="N142" s="551">
        <f t="shared" si="36"/>
        <v>-61.858302861334295</v>
      </c>
      <c r="O142" s="525"/>
      <c r="P142" s="504"/>
      <c r="Q142" s="528">
        <f>SUMIFS([6]BV_Data_An_Prec!$O:$O,[6]BV_Data_An_Prec!$U:$U,$B142,[6]BV_Data_An_Prec!$V:$V,$C142,[6]BV_Data_An_Prec!$W:$W,$L$2)</f>
        <v>0</v>
      </c>
      <c r="R142" s="525"/>
      <c r="S142" s="551">
        <f t="shared" si="38"/>
        <v>0</v>
      </c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</row>
    <row r="143" spans="1:40" ht="15.75" customHeight="1">
      <c r="A143" s="517" t="s">
        <v>318</v>
      </c>
      <c r="B143" s="504" t="s">
        <v>73</v>
      </c>
      <c r="C143" s="525" t="s">
        <v>58</v>
      </c>
      <c r="D143" s="577"/>
      <c r="E143" s="504"/>
      <c r="F143" s="526">
        <f t="array" ref="F143">+INDEX('[6]Budget original'!$A$2:$AO$500,MATCH($A143,'[6]Budget original'!$A$2:$A$500,0),MATCH(F$2,'[6]Budget original'!$A$2:$AO$2,0))</f>
        <v>286.29413819999991</v>
      </c>
      <c r="G143" s="578"/>
      <c r="H143" s="504"/>
      <c r="I143" s="526"/>
      <c r="J143" s="525"/>
      <c r="K143" s="504"/>
      <c r="L143" s="528">
        <f>SUMIFS([6]BV_Data_An_Cour!$O:$O,[6]BV_Data_An_Cour!$U:$U,$B143,[6]BV_Data_An_Cour!$V:$V,$C143,[6]BV_Data_An_Cour!$W:$W,$L$2)</f>
        <v>227.16</v>
      </c>
      <c r="M143" s="525"/>
      <c r="N143" s="551">
        <f t="shared" si="36"/>
        <v>-59.13413819999991</v>
      </c>
      <c r="O143" s="525"/>
      <c r="P143" s="504"/>
      <c r="Q143" s="528">
        <f>SUMIFS([6]BV_Data_An_Prec!$O:$O,[6]BV_Data_An_Prec!$U:$U,$B143,[6]BV_Data_An_Prec!$V:$V,$C143,[6]BV_Data_An_Prec!$W:$W,$L$2)</f>
        <v>177.2</v>
      </c>
      <c r="R143" s="525"/>
      <c r="S143" s="551">
        <f t="shared" si="38"/>
        <v>49.960000000000008</v>
      </c>
      <c r="T143" s="504"/>
      <c r="U143" s="504"/>
      <c r="V143" s="504"/>
      <c r="W143" s="504"/>
      <c r="X143" s="504"/>
      <c r="Y143" s="504"/>
      <c r="Z143" s="504"/>
      <c r="AA143" s="504"/>
      <c r="AB143" s="50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</row>
    <row r="144" spans="1:40" ht="15.75" customHeight="1">
      <c r="A144" s="517" t="s">
        <v>319</v>
      </c>
      <c r="B144" s="504" t="s">
        <v>73</v>
      </c>
      <c r="C144" s="525" t="s">
        <v>59</v>
      </c>
      <c r="D144" s="577"/>
      <c r="E144" s="504"/>
      <c r="F144" s="526">
        <f t="array" ref="F144">+INDEX('[6]Budget original'!$A$2:$AO$500,MATCH($A144,'[6]Budget original'!$A$2:$A$500,0),MATCH(F$2,'[6]Budget original'!$A$2:$AO$2,0))</f>
        <v>97.020093808333328</v>
      </c>
      <c r="G144" s="578"/>
      <c r="H144" s="504"/>
      <c r="I144" s="526"/>
      <c r="J144" s="525"/>
      <c r="K144" s="504"/>
      <c r="L144" s="528">
        <f>SUMIFS([6]BV_Data_An_Cour!$O:$O,[6]BV_Data_An_Cour!$U:$U,$B144,[6]BV_Data_An_Cour!$V:$V,$C144,[6]BV_Data_An_Cour!$W:$W,$L$2)</f>
        <v>35.96</v>
      </c>
      <c r="M144" s="525"/>
      <c r="N144" s="551">
        <f t="shared" si="36"/>
        <v>-61.060093808333328</v>
      </c>
      <c r="O144" s="525"/>
      <c r="P144" s="504"/>
      <c r="Q144" s="528">
        <f>SUMIFS([6]BV_Data_An_Prec!$O:$O,[6]BV_Data_An_Prec!$U:$U,$B144,[6]BV_Data_An_Prec!$V:$V,$C144,[6]BV_Data_An_Prec!$W:$W,$L$2)</f>
        <v>70.27</v>
      </c>
      <c r="R144" s="525"/>
      <c r="S144" s="551">
        <f t="shared" si="38"/>
        <v>-34.309999999999995</v>
      </c>
      <c r="T144" s="504"/>
      <c r="U144" s="504"/>
      <c r="V144" s="504"/>
      <c r="W144" s="504"/>
      <c r="X144" s="504"/>
      <c r="Y144" s="504"/>
      <c r="Z144" s="504"/>
      <c r="AA144" s="504"/>
      <c r="AB144" s="50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</row>
    <row r="145" spans="1:40" ht="15.75" customHeight="1">
      <c r="A145" s="517" t="s">
        <v>320</v>
      </c>
      <c r="B145" s="504" t="s">
        <v>73</v>
      </c>
      <c r="C145" s="525" t="s">
        <v>60</v>
      </c>
      <c r="D145" s="577"/>
      <c r="E145" s="504"/>
      <c r="F145" s="526">
        <f t="array" ref="F145">+INDEX('[6]Budget original'!$A$2:$AO$500,MATCH($A145,'[6]Budget original'!$A$2:$A$500,0),MATCH(F$2,'[6]Budget original'!$A$2:$AO$2,0))</f>
        <v>46.404110191666653</v>
      </c>
      <c r="G145" s="578"/>
      <c r="H145" s="504"/>
      <c r="I145" s="526"/>
      <c r="J145" s="525"/>
      <c r="K145" s="504"/>
      <c r="L145" s="528">
        <f>SUMIFS([6]BV_Data_An_Cour!$O:$O,[6]BV_Data_An_Cour!$U:$U,$B145,[6]BV_Data_An_Cour!$V:$V,$C145,[6]BV_Data_An_Cour!$W:$W,$L$2)</f>
        <v>30.69</v>
      </c>
      <c r="M145" s="525"/>
      <c r="N145" s="551">
        <f t="shared" si="36"/>
        <v>-15.714110191666652</v>
      </c>
      <c r="O145" s="525"/>
      <c r="P145" s="504"/>
      <c r="Q145" s="528">
        <f>SUMIFS([6]BV_Data_An_Prec!$O:$O,[6]BV_Data_An_Prec!$U:$U,$B145,[6]BV_Data_An_Prec!$V:$V,$C145,[6]BV_Data_An_Prec!$W:$W,$L$2)</f>
        <v>42.01</v>
      </c>
      <c r="R145" s="525"/>
      <c r="S145" s="551">
        <f t="shared" si="38"/>
        <v>-11.319999999999997</v>
      </c>
      <c r="T145" s="504"/>
      <c r="U145" s="504"/>
      <c r="V145" s="504"/>
      <c r="W145" s="504"/>
      <c r="X145" s="504"/>
      <c r="Y145" s="504"/>
      <c r="Z145" s="504"/>
      <c r="AA145" s="504"/>
      <c r="AB145" s="50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</row>
    <row r="146" spans="1:40" ht="15.75" customHeight="1">
      <c r="A146" s="517" t="s">
        <v>321</v>
      </c>
      <c r="B146" s="504" t="s">
        <v>73</v>
      </c>
      <c r="C146" s="525" t="s">
        <v>61</v>
      </c>
      <c r="D146" s="577"/>
      <c r="E146" s="504"/>
      <c r="F146" s="526">
        <f t="array" ref="F146">+INDEX('[6]Budget original'!$A$2:$AO$500,MATCH($A146,'[6]Budget original'!$A$2:$A$500,0),MATCH(F$2,'[6]Budget original'!$A$2:$AO$2,0))</f>
        <v>176.31838614166665</v>
      </c>
      <c r="G146" s="578"/>
      <c r="H146" s="504"/>
      <c r="I146" s="526"/>
      <c r="J146" s="525"/>
      <c r="K146" s="504"/>
      <c r="L146" s="528">
        <f>SUMIFS([6]BV_Data_An_Cour!$O:$O,[6]BV_Data_An_Cour!$U:$U,$B146,[6]BV_Data_An_Cour!$V:$V,$C146,[6]BV_Data_An_Cour!$W:$W,$L$2)</f>
        <v>41.75</v>
      </c>
      <c r="M146" s="525"/>
      <c r="N146" s="551">
        <f t="shared" si="36"/>
        <v>-134.56838614166665</v>
      </c>
      <c r="O146" s="525"/>
      <c r="P146" s="504"/>
      <c r="Q146" s="528">
        <f>SUMIFS([6]BV_Data_An_Prec!$O:$O,[6]BV_Data_An_Prec!$U:$U,$B146,[6]BV_Data_An_Prec!$V:$V,$C146,[6]BV_Data_An_Prec!$W:$W,$L$2)</f>
        <v>89.36</v>
      </c>
      <c r="R146" s="525"/>
      <c r="S146" s="551">
        <f t="shared" si="38"/>
        <v>-47.61</v>
      </c>
      <c r="T146" s="504"/>
      <c r="U146" s="504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</row>
    <row r="147" spans="1:40" ht="15.75" customHeight="1">
      <c r="A147" s="517" t="s">
        <v>322</v>
      </c>
      <c r="B147" s="504" t="s">
        <v>73</v>
      </c>
      <c r="C147" s="525" t="s">
        <v>62</v>
      </c>
      <c r="D147" s="577"/>
      <c r="E147" s="504"/>
      <c r="F147" s="526">
        <f t="array" ref="F147">+INDEX('[6]Budget original'!$A$2:$AO$500,MATCH($A147,'[6]Budget original'!$A$2:$A$500,0),MATCH(F$2,'[6]Budget original'!$A$2:$AO$2,0))</f>
        <v>310.58430909104328</v>
      </c>
      <c r="G147" s="578"/>
      <c r="H147" s="504"/>
      <c r="I147" s="526"/>
      <c r="J147" s="525"/>
      <c r="K147" s="504"/>
      <c r="L147" s="528">
        <f>SUMIFS([6]BV_Data_An_Cour!$O:$O,[6]BV_Data_An_Cour!$U:$U,$B147,[6]BV_Data_An_Cour!$V:$V,$C147,[6]BV_Data_An_Cour!$W:$W,$L$2)</f>
        <v>182.97</v>
      </c>
      <c r="M147" s="525"/>
      <c r="N147" s="551">
        <f t="shared" si="36"/>
        <v>-127.61430909104328</v>
      </c>
      <c r="O147" s="525"/>
      <c r="P147" s="504"/>
      <c r="Q147" s="528">
        <f>SUMIFS([6]BV_Data_An_Prec!$O:$O,[6]BV_Data_An_Prec!$U:$U,$B147,[6]BV_Data_An_Prec!$V:$V,$C147,[6]BV_Data_An_Prec!$W:$W,$L$2)</f>
        <v>189.75</v>
      </c>
      <c r="R147" s="525"/>
      <c r="S147" s="551">
        <f t="shared" si="38"/>
        <v>-6.7800000000000011</v>
      </c>
      <c r="T147" s="504"/>
      <c r="X147" s="504"/>
      <c r="Y147" s="504"/>
      <c r="Z147" s="504"/>
      <c r="AA147" s="504"/>
      <c r="AB147" s="50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</row>
    <row r="148" spans="1:40" ht="15.75" customHeight="1">
      <c r="A148" s="517" t="s">
        <v>323</v>
      </c>
      <c r="B148" s="504" t="s">
        <v>73</v>
      </c>
      <c r="C148" s="525" t="s">
        <v>63</v>
      </c>
      <c r="D148" s="577"/>
      <c r="E148" s="504"/>
      <c r="F148" s="526">
        <f t="array" ref="F148">+INDEX('[6]Budget original'!$A$2:$AO$500,MATCH($A148,'[6]Budget original'!$A$2:$A$500,0),MATCH(F$2,'[6]Budget original'!$A$2:$AO$2,0))</f>
        <v>610.7311063631106</v>
      </c>
      <c r="G148" s="578"/>
      <c r="H148" s="504"/>
      <c r="I148" s="526"/>
      <c r="J148" s="525"/>
      <c r="K148" s="504"/>
      <c r="L148" s="528">
        <f>SUMIFS([6]BV_Data_An_Cour!$O:$O,[6]BV_Data_An_Cour!$U:$U,$B148,[6]BV_Data_An_Cour!$V:$V,$C148,[6]BV_Data_An_Cour!$W:$W,$L$2)</f>
        <v>786.04</v>
      </c>
      <c r="M148" s="525"/>
      <c r="N148" s="551">
        <f t="shared" si="36"/>
        <v>175.30889363688937</v>
      </c>
      <c r="O148" s="525"/>
      <c r="P148" s="504"/>
      <c r="Q148" s="528">
        <f>AL447*W4</f>
        <v>681.11099999999999</v>
      </c>
      <c r="R148" s="525"/>
      <c r="S148" s="551">
        <f t="shared" si="38"/>
        <v>104.92899999999997</v>
      </c>
      <c r="T148" s="569"/>
      <c r="X148" s="504"/>
      <c r="Y148" s="504"/>
      <c r="Z148" s="504"/>
      <c r="AA148" s="504"/>
      <c r="AB148" s="50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</row>
    <row r="149" spans="1:40" ht="15.75" hidden="1" customHeight="1">
      <c r="A149" s="517" t="s">
        <v>299</v>
      </c>
      <c r="B149" s="504" t="s">
        <v>73</v>
      </c>
      <c r="C149" s="525" t="s">
        <v>20</v>
      </c>
      <c r="D149" s="577"/>
      <c r="E149" s="504"/>
      <c r="F149" s="526">
        <f t="array" ref="F149">+INDEX('[6]Budget original'!$A$2:$AO$500,MATCH($A149,'[6]Budget original'!$A$2:$A$500,0),MATCH(F$2,'[6]Budget original'!$A$2:$AO$2,0))</f>
        <v>0</v>
      </c>
      <c r="G149" s="578"/>
      <c r="H149" s="504"/>
      <c r="I149" s="526"/>
      <c r="J149" s="525"/>
      <c r="K149" s="504"/>
      <c r="L149" s="528">
        <f>SUMIFS([6]BV_Data_An_Cour!$O:$O,[6]BV_Data_An_Cour!$U:$U,$B149,[6]BV_Data_An_Cour!$V:$V,$C149,[6]BV_Data_An_Cour!$W:$W,$L$2)</f>
        <v>0</v>
      </c>
      <c r="M149" s="525"/>
      <c r="N149" s="551">
        <f t="shared" si="36"/>
        <v>0</v>
      </c>
      <c r="O149" s="525"/>
      <c r="P149" s="504"/>
      <c r="Q149" s="528">
        <f>SUMIFS([6]BV_Data_An_Prec!$O:$O,[6]BV_Data_An_Prec!$U:$U,$B149,[6]BV_Data_An_Prec!$V:$V,$C149,[6]BV_Data_An_Prec!$W:$W,$L$2)</f>
        <v>0</v>
      </c>
      <c r="R149" s="525"/>
      <c r="S149" s="551">
        <f t="shared" si="38"/>
        <v>0</v>
      </c>
      <c r="T149" s="504"/>
      <c r="X149" s="504"/>
      <c r="Y149" s="504"/>
      <c r="Z149" s="504"/>
      <c r="AA149" s="504"/>
      <c r="AB149" s="50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</row>
    <row r="150" spans="1:40" ht="15.75" hidden="1" customHeight="1">
      <c r="A150" s="517" t="s">
        <v>299</v>
      </c>
      <c r="B150" s="504" t="s">
        <v>73</v>
      </c>
      <c r="C150" s="525" t="s">
        <v>20</v>
      </c>
      <c r="D150" s="577"/>
      <c r="E150" s="504"/>
      <c r="F150" s="526">
        <f t="array" ref="F150">+INDEX('[6]Budget original'!$A$2:$AO$500,MATCH($A150,'[6]Budget original'!$A$2:$A$500,0),MATCH(F$2,'[6]Budget original'!$A$2:$AO$2,0))</f>
        <v>0</v>
      </c>
      <c r="G150" s="578"/>
      <c r="H150" s="504"/>
      <c r="I150" s="526"/>
      <c r="J150" s="525"/>
      <c r="K150" s="504"/>
      <c r="L150" s="528">
        <f>SUMIFS([6]BV_Data_An_Cour!$O:$O,[6]BV_Data_An_Cour!$U:$U,$B150,[6]BV_Data_An_Cour!$V:$V,$C150,[6]BV_Data_An_Cour!$W:$W,$L$2)</f>
        <v>0</v>
      </c>
      <c r="M150" s="525"/>
      <c r="N150" s="551">
        <f t="shared" si="36"/>
        <v>0</v>
      </c>
      <c r="O150" s="525"/>
      <c r="P150" s="504"/>
      <c r="Q150" s="528">
        <f>SUMIFS([6]BV_Data_An_Prec!$O:$O,[6]BV_Data_An_Prec!$U:$U,$B150,[6]BV_Data_An_Prec!$V:$V,$C150,[6]BV_Data_An_Prec!$W:$W,$L$2)</f>
        <v>0</v>
      </c>
      <c r="R150" s="525"/>
      <c r="S150" s="551">
        <f t="shared" si="38"/>
        <v>0</v>
      </c>
      <c r="T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</row>
    <row r="151" spans="1:40" ht="15.75" hidden="1" customHeight="1">
      <c r="A151" s="517" t="s">
        <v>299</v>
      </c>
      <c r="B151" s="504" t="s">
        <v>73</v>
      </c>
      <c r="C151" s="525" t="s">
        <v>20</v>
      </c>
      <c r="D151" s="577"/>
      <c r="E151" s="504"/>
      <c r="F151" s="526">
        <f t="array" ref="F151">+INDEX('[6]Budget original'!$A$2:$AO$500,MATCH($A151,'[6]Budget original'!$A$2:$A$500,0),MATCH(F$2,'[6]Budget original'!$A$2:$AO$2,0))</f>
        <v>0</v>
      </c>
      <c r="G151" s="578"/>
      <c r="H151" s="504"/>
      <c r="I151" s="526"/>
      <c r="J151" s="525"/>
      <c r="K151" s="504"/>
      <c r="L151" s="528">
        <f>SUMIFS([6]BV_Data_An_Cour!$O:$O,[6]BV_Data_An_Cour!$U:$U,$B151,[6]BV_Data_An_Cour!$V:$V,$C151,[6]BV_Data_An_Cour!$W:$W,$L$2)</f>
        <v>0</v>
      </c>
      <c r="M151" s="525"/>
      <c r="N151" s="551">
        <f t="shared" si="36"/>
        <v>0</v>
      </c>
      <c r="O151" s="525"/>
      <c r="P151" s="504"/>
      <c r="Q151" s="528">
        <f>SUMIFS([6]BV_Data_An_Prec!$O:$O,[6]BV_Data_An_Prec!$U:$U,$B151,[6]BV_Data_An_Prec!$V:$V,$C151,[6]BV_Data_An_Prec!$W:$W,$L$2)</f>
        <v>0</v>
      </c>
      <c r="R151" s="525"/>
      <c r="S151" s="551">
        <f t="shared" si="38"/>
        <v>0</v>
      </c>
      <c r="T151" s="569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</row>
    <row r="152" spans="1:40" ht="15.75" customHeight="1">
      <c r="A152" s="517" t="s">
        <v>324</v>
      </c>
      <c r="B152" s="504" t="s">
        <v>73</v>
      </c>
      <c r="C152" s="584" t="s">
        <v>64</v>
      </c>
      <c r="D152" s="585" t="s">
        <v>39</v>
      </c>
      <c r="E152" s="586">
        <f>F152/F$107</f>
        <v>3.842994018900673E-2</v>
      </c>
      <c r="F152" s="587">
        <f>+SUM(F135:F151)</f>
        <v>6603.2096922298542</v>
      </c>
      <c r="G152" s="588"/>
      <c r="H152" s="586"/>
      <c r="I152" s="587"/>
      <c r="J152" s="588" t="s">
        <v>39</v>
      </c>
      <c r="K152" s="586">
        <f>L152/L$107</f>
        <v>4.8366422906812305E-2</v>
      </c>
      <c r="L152" s="587">
        <f>+SUM(L135:L151)</f>
        <v>7424.8799999999992</v>
      </c>
      <c r="M152" s="591"/>
      <c r="N152" s="587">
        <f t="shared" si="36"/>
        <v>821.67030777014497</v>
      </c>
      <c r="O152" s="588" t="s">
        <v>39</v>
      </c>
      <c r="P152" s="586">
        <f>Q152/Q$107</f>
        <v>3.6970525613660328E-2</v>
      </c>
      <c r="Q152" s="587">
        <f>+SUM(Q135:Q151)</f>
        <v>6622.3210000000008</v>
      </c>
      <c r="R152" s="591"/>
      <c r="S152" s="587">
        <f t="shared" si="38"/>
        <v>802.55899999999838</v>
      </c>
      <c r="T152" s="599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</row>
    <row r="153" spans="1:40" ht="15.75" customHeight="1">
      <c r="A153" s="517" t="s">
        <v>73</v>
      </c>
      <c r="B153" s="504" t="s">
        <v>73</v>
      </c>
      <c r="C153" s="518"/>
      <c r="D153" s="579"/>
      <c r="E153" s="598"/>
      <c r="F153" s="551"/>
      <c r="G153" s="580"/>
      <c r="H153" s="598"/>
      <c r="I153" s="551"/>
      <c r="J153" s="518"/>
      <c r="K153" s="598"/>
      <c r="L153" s="574"/>
      <c r="M153" s="518"/>
      <c r="N153" s="574"/>
      <c r="O153" s="518"/>
      <c r="P153" s="598"/>
      <c r="Q153" s="574"/>
      <c r="R153" s="518"/>
      <c r="S153" s="574"/>
      <c r="T153" s="599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</row>
    <row r="154" spans="1:40" ht="15.75" customHeight="1">
      <c r="A154" s="517" t="s">
        <v>325</v>
      </c>
      <c r="B154" s="504" t="s">
        <v>73</v>
      </c>
      <c r="C154" s="584" t="s">
        <v>65</v>
      </c>
      <c r="D154" s="585" t="s">
        <v>39</v>
      </c>
      <c r="E154" s="586">
        <f>F154/F$107</f>
        <v>0.67279731541913135</v>
      </c>
      <c r="F154" s="587">
        <f>F121+F134+F152</f>
        <v>115603.139953694</v>
      </c>
      <c r="G154" s="588"/>
      <c r="H154" s="586"/>
      <c r="I154" s="587"/>
      <c r="J154" s="588" t="s">
        <v>39</v>
      </c>
      <c r="K154" s="586">
        <f>L154/L$107</f>
        <v>0.76897425894114169</v>
      </c>
      <c r="L154" s="587">
        <f>L121+L134+L152</f>
        <v>118047.63</v>
      </c>
      <c r="M154" s="591"/>
      <c r="N154" s="600">
        <f t="shared" ref="N154:N161" si="39">L154-F154</f>
        <v>2444.4900463060039</v>
      </c>
      <c r="O154" s="588" t="s">
        <v>39</v>
      </c>
      <c r="P154" s="586">
        <f>Q154/Q$107</f>
        <v>0.62016128573034801</v>
      </c>
      <c r="Q154" s="587">
        <f>Q121+Q134+Q152</f>
        <v>111085.981</v>
      </c>
      <c r="R154" s="591"/>
      <c r="S154" s="600">
        <f t="shared" ref="S154:S161" si="40">L154-Q154</f>
        <v>6961.6490000000049</v>
      </c>
      <c r="T154" s="599"/>
      <c r="U154" s="504"/>
      <c r="V154" s="504"/>
      <c r="W154" s="504"/>
      <c r="X154" s="504"/>
      <c r="Y154" s="504"/>
      <c r="Z154" s="504"/>
      <c r="AA154" s="504"/>
      <c r="AB154" s="50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</row>
    <row r="155" spans="1:40" ht="15.75" customHeight="1">
      <c r="A155" s="517" t="s">
        <v>326</v>
      </c>
      <c r="B155" s="504" t="s">
        <v>73</v>
      </c>
      <c r="C155" s="525" t="s">
        <v>211</v>
      </c>
      <c r="D155" s="638"/>
      <c r="E155" s="639"/>
      <c r="F155" s="526">
        <f t="array" ref="F155">+INDEX('[6]Budget original'!$A$2:$AO$500,MATCH($A155,'[6]Budget original'!$A$2:$A$500,0),MATCH(F$2,'[6]Budget original'!$A$2:$AO$2,0))</f>
        <v>0</v>
      </c>
      <c r="G155" s="640"/>
      <c r="H155" s="639"/>
      <c r="I155" s="526"/>
      <c r="J155" s="640"/>
      <c r="K155" s="639"/>
      <c r="L155" s="528">
        <v>0</v>
      </c>
      <c r="M155" s="525"/>
      <c r="N155" s="551">
        <f t="shared" si="39"/>
        <v>0</v>
      </c>
      <c r="O155" s="640"/>
      <c r="P155" s="639"/>
      <c r="Q155" s="528">
        <f>-SUMIFS([6]BV_Data_An_Prec!$O:$O,[6]BV_Data_An_Prec!$U:$U,$B155,[6]BV_Data_An_Prec!$V:$V,$C155,[6]BV_Data_An_Prec!$W:$W,$L$2)</f>
        <v>0</v>
      </c>
      <c r="R155" s="525"/>
      <c r="S155" s="551">
        <f t="shared" si="40"/>
        <v>0</v>
      </c>
      <c r="T155" s="599"/>
      <c r="U155" s="504"/>
      <c r="V155" s="504"/>
      <c r="W155" s="504"/>
      <c r="X155" s="504"/>
      <c r="Y155" s="504"/>
      <c r="Z155" s="504"/>
      <c r="AA155" s="504"/>
      <c r="AB155" s="50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</row>
    <row r="156" spans="1:40" ht="15.75" customHeight="1">
      <c r="A156" s="517" t="s">
        <v>327</v>
      </c>
      <c r="B156" s="504" t="s">
        <v>73</v>
      </c>
      <c r="C156" s="525" t="s">
        <v>81</v>
      </c>
      <c r="D156" s="638"/>
      <c r="E156" s="639"/>
      <c r="F156" s="526">
        <f t="array" ref="F156">+INDEX('[6]Budget original'!$A$2:$AO$500,MATCH($A156,'[6]Budget original'!$A$2:$A$500,0),MATCH(F$2,'[6]Budget original'!$A$2:$AO$2,0))</f>
        <v>0</v>
      </c>
      <c r="G156" s="640"/>
      <c r="H156" s="639"/>
      <c r="I156" s="526"/>
      <c r="J156" s="640"/>
      <c r="K156" s="639"/>
      <c r="L156" s="528">
        <f>-SUMIFS([6]BV_Data_An_Cour!$O:$O,[6]BV_Data_An_Cour!$U:$U,$B156,[6]BV_Data_An_Cour!$V:$V,$C156,[6]BV_Data_An_Cour!$W:$W,$L$2)</f>
        <v>0</v>
      </c>
      <c r="M156" s="525"/>
      <c r="N156" s="551">
        <f t="shared" si="39"/>
        <v>0</v>
      </c>
      <c r="O156" s="640"/>
      <c r="P156" s="639"/>
      <c r="Q156" s="528">
        <f>-SUMIFS([6]BV_Data_An_Prec!$O:$O,[6]BV_Data_An_Prec!$U:$U,$B156,[6]BV_Data_An_Prec!$V:$V,$C156,[6]BV_Data_An_Prec!$W:$W,$L$2)</f>
        <v>0</v>
      </c>
      <c r="R156" s="525"/>
      <c r="S156" s="551">
        <f t="shared" si="40"/>
        <v>0</v>
      </c>
      <c r="T156" s="599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</row>
    <row r="157" spans="1:40" ht="15.75" customHeight="1">
      <c r="A157" s="517" t="s">
        <v>328</v>
      </c>
      <c r="B157" s="504" t="s">
        <v>73</v>
      </c>
      <c r="C157" s="525" t="s">
        <v>82</v>
      </c>
      <c r="D157" s="577"/>
      <c r="E157" s="504"/>
      <c r="F157" s="526">
        <f t="array" ref="F157">+INDEX('[6]Budget original'!$A$2:$AO$500,MATCH($A157,'[6]Budget original'!$A$2:$A$500,0),MATCH(F$2,'[6]Budget original'!$A$2:$AO$2,0))</f>
        <v>0</v>
      </c>
      <c r="G157" s="578"/>
      <c r="H157" s="504"/>
      <c r="I157" s="526"/>
      <c r="J157" s="525"/>
      <c r="K157" s="504"/>
      <c r="L157" s="528">
        <f>-SUMIFS([6]BV_Data_An_Cour!$O:$O,[6]BV_Data_An_Cour!$U:$U,$B157,[6]BV_Data_An_Cour!$V:$V,$C157,[6]BV_Data_An_Cour!$W:$W,$L$2)</f>
        <v>0</v>
      </c>
      <c r="M157" s="525"/>
      <c r="N157" s="551">
        <f t="shared" si="39"/>
        <v>0</v>
      </c>
      <c r="O157" s="525"/>
      <c r="P157" s="504"/>
      <c r="Q157" s="528">
        <f>-SUMIFS([6]BV_Data_An_Prec!$O:$O,[6]BV_Data_An_Prec!$U:$U,$B157,[6]BV_Data_An_Prec!$V:$V,$C157,[6]BV_Data_An_Prec!$W:$W,$L$2)</f>
        <v>0</v>
      </c>
      <c r="R157" s="525"/>
      <c r="S157" s="551">
        <f t="shared" si="40"/>
        <v>0</v>
      </c>
      <c r="T157" s="599"/>
      <c r="U157" s="504"/>
      <c r="V157" s="504"/>
      <c r="W157" s="504"/>
      <c r="X157" s="504"/>
      <c r="Y157" s="504"/>
      <c r="Z157" s="504"/>
      <c r="AA157" s="504"/>
      <c r="AB157" s="50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</row>
    <row r="158" spans="1:40" ht="15.75" customHeight="1">
      <c r="A158" s="517" t="s">
        <v>329</v>
      </c>
      <c r="B158" s="504" t="s">
        <v>73</v>
      </c>
      <c r="C158" s="525" t="s">
        <v>70</v>
      </c>
      <c r="D158" s="641">
        <f>+D96</f>
        <v>40</v>
      </c>
      <c r="E158" s="605">
        <f>+F158/D158</f>
        <v>359.1</v>
      </c>
      <c r="F158" s="526">
        <f t="array" ref="F158">+INDEX('[6]Budget original'!$A$2:$AO$500,MATCH($A158,'[6]Budget original'!$A$2:$A$500,0),MATCH(F$2,'[6]Budget original'!$A$2:$AO$2,0))</f>
        <v>14364</v>
      </c>
      <c r="G158" s="578"/>
      <c r="H158" s="504"/>
      <c r="I158" s="526"/>
      <c r="J158" s="604">
        <f>+J96</f>
        <v>25</v>
      </c>
      <c r="K158" s="605">
        <f>+L158/J158</f>
        <v>342.08</v>
      </c>
      <c r="L158" s="528">
        <f>-SUMIFS([6]BV_Data_An_Cour!$O:$O,[6]BV_Data_An_Cour!$U:$U,$B158,[6]BV_Data_An_Cour!$V:$V,$C158,[6]BV_Data_An_Cour!$W:$W,L$2)</f>
        <v>8552</v>
      </c>
      <c r="M158" s="525"/>
      <c r="N158" s="551">
        <f t="shared" si="39"/>
        <v>-5812</v>
      </c>
      <c r="O158" s="525"/>
      <c r="P158" s="504"/>
      <c r="Q158" s="528">
        <f>-SUMIFS([6]BV_Data_An_Prec!$O:$O,[6]BV_Data_An_Prec!$U:$U,$B158,[6]BV_Data_An_Prec!$V:$V,$C158,[6]BV_Data_An_Prec!$W:$W,$L$2)</f>
        <v>59958.49</v>
      </c>
      <c r="R158" s="525"/>
      <c r="S158" s="551">
        <f t="shared" si="40"/>
        <v>-51406.49</v>
      </c>
      <c r="T158" s="599"/>
      <c r="U158" s="504"/>
      <c r="V158" s="504"/>
      <c r="W158" s="504"/>
      <c r="X158" s="504"/>
      <c r="Y158" s="504"/>
      <c r="Z158" s="504"/>
      <c r="AA158" s="504"/>
      <c r="AB158" s="50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</row>
    <row r="159" spans="1:40" ht="15.75" hidden="1" customHeight="1">
      <c r="A159" s="517" t="s">
        <v>299</v>
      </c>
      <c r="B159" s="504" t="s">
        <v>73</v>
      </c>
      <c r="C159" s="525" t="s">
        <v>20</v>
      </c>
      <c r="D159" s="577"/>
      <c r="E159" s="504"/>
      <c r="F159" s="526">
        <f t="array" ref="F159">+INDEX('[6]Budget original'!$A$2:$AO$500,MATCH($A159,'[6]Budget original'!$A$2:$A$500,0),MATCH(F$2,'[6]Budget original'!$A$2:$AO$2,0))</f>
        <v>0</v>
      </c>
      <c r="G159" s="578"/>
      <c r="H159" s="504"/>
      <c r="I159" s="526"/>
      <c r="J159" s="525"/>
      <c r="K159" s="504"/>
      <c r="L159" s="528">
        <f>-SUMIFS([6]BV_Data_An_Cour!$O:$O,[6]BV_Data_An_Cour!$U:$U,$B159,[6]BV_Data_An_Cour!$V:$V,$C159,[6]BV_Data_An_Cour!$W:$W,$L$2)</f>
        <v>0</v>
      </c>
      <c r="M159" s="525"/>
      <c r="N159" s="551">
        <f t="shared" si="39"/>
        <v>0</v>
      </c>
      <c r="O159" s="525"/>
      <c r="P159" s="504"/>
      <c r="Q159" s="528">
        <f>-SUMIFS([6]BV_Data_An_Prec!$O:$O,[6]BV_Data_An_Prec!$U:$U,$B159,[6]BV_Data_An_Prec!$V:$V,$C159,[6]BV_Data_An_Prec!$W:$W,$L$2)</f>
        <v>0</v>
      </c>
      <c r="R159" s="525"/>
      <c r="S159" s="551">
        <f t="shared" si="40"/>
        <v>0</v>
      </c>
      <c r="T159" s="599"/>
      <c r="U159" s="504"/>
      <c r="V159" s="504"/>
      <c r="W159" s="504"/>
      <c r="X159" s="504"/>
      <c r="Y159" s="504"/>
      <c r="Z159" s="504"/>
      <c r="AA159" s="504"/>
      <c r="AB159" s="50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</row>
    <row r="160" spans="1:40" ht="15.75" hidden="1" customHeight="1">
      <c r="A160" s="517" t="s">
        <v>299</v>
      </c>
      <c r="B160" s="504" t="s">
        <v>73</v>
      </c>
      <c r="C160" s="525" t="s">
        <v>20</v>
      </c>
      <c r="D160" s="577"/>
      <c r="E160" s="504"/>
      <c r="F160" s="526">
        <f t="array" ref="F160">+INDEX('[6]Budget original'!$A$2:$AO$500,MATCH($A160,'[6]Budget original'!$A$2:$A$500,0),MATCH(F$2,'[6]Budget original'!$A$2:$AO$2,0))</f>
        <v>0</v>
      </c>
      <c r="G160" s="578"/>
      <c r="H160" s="504"/>
      <c r="I160" s="526"/>
      <c r="J160" s="525"/>
      <c r="K160" s="504"/>
      <c r="L160" s="528">
        <f>-SUMIFS([6]BV_Data_An_Cour!$O:$O,[6]BV_Data_An_Cour!$U:$U,$B160,[6]BV_Data_An_Cour!$V:$V,$C160,[6]BV_Data_An_Cour!$W:$W,$L$2)</f>
        <v>0</v>
      </c>
      <c r="M160" s="525"/>
      <c r="N160" s="551">
        <f t="shared" si="39"/>
        <v>0</v>
      </c>
      <c r="O160" s="525"/>
      <c r="P160" s="504"/>
      <c r="Q160" s="528">
        <f>-SUMIFS([6]BV_Data_An_Prec!$O:$O,[6]BV_Data_An_Prec!$U:$U,$B160,[6]BV_Data_An_Prec!$V:$V,$C160,[6]BV_Data_An_Prec!$W:$W,$L$2)</f>
        <v>0</v>
      </c>
      <c r="R160" s="525"/>
      <c r="S160" s="551">
        <f t="shared" si="40"/>
        <v>0</v>
      </c>
      <c r="T160" s="599"/>
      <c r="U160" s="504"/>
      <c r="V160" s="504"/>
      <c r="W160" s="504"/>
      <c r="X160" s="504"/>
      <c r="Y160" s="504"/>
      <c r="Z160" s="504"/>
      <c r="AA160" s="504"/>
      <c r="AB160" s="50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</row>
    <row r="161" spans="1:40" ht="15.75" hidden="1" customHeight="1">
      <c r="A161" s="517" t="s">
        <v>299</v>
      </c>
      <c r="B161" s="504" t="s">
        <v>73</v>
      </c>
      <c r="C161" s="518" t="s">
        <v>20</v>
      </c>
      <c r="D161" s="579"/>
      <c r="E161" s="598"/>
      <c r="F161" s="526">
        <f t="array" ref="F161">+INDEX('[6]Budget original'!$A$2:$AO$500,MATCH($A161,'[6]Budget original'!$A$2:$A$500,0),MATCH(F$2,'[6]Budget original'!$A$2:$AO$2,0))</f>
        <v>0</v>
      </c>
      <c r="G161" s="578"/>
      <c r="H161" s="504"/>
      <c r="I161" s="526"/>
      <c r="J161" s="525"/>
      <c r="K161" s="504"/>
      <c r="L161" s="528">
        <f>-SUMIFS([6]BV_Data_An_Cour!$O:$O,[6]BV_Data_An_Cour!$U:$U,$B161,[6]BV_Data_An_Cour!$V:$V,$C161,[6]BV_Data_An_Cour!$W:$W,$L$2)</f>
        <v>0</v>
      </c>
      <c r="M161" s="525"/>
      <c r="N161" s="551">
        <f t="shared" si="39"/>
        <v>0</v>
      </c>
      <c r="O161" s="525"/>
      <c r="P161" s="504"/>
      <c r="Q161" s="528">
        <f>-SUMIFS([6]BV_Data_An_Prec!$O:$O,[6]BV_Data_An_Prec!$U:$U,$B161,[6]BV_Data_An_Prec!$V:$V,$C161,[6]BV_Data_An_Prec!$W:$W,$L$2)</f>
        <v>0</v>
      </c>
      <c r="R161" s="525"/>
      <c r="S161" s="551">
        <f t="shared" si="40"/>
        <v>0</v>
      </c>
      <c r="T161" s="599"/>
      <c r="U161" s="504"/>
      <c r="V161" s="504"/>
      <c r="W161" s="504"/>
      <c r="X161" s="504"/>
      <c r="Y161" s="504"/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</row>
    <row r="162" spans="1:40" ht="15.75" customHeight="1">
      <c r="B162" s="504"/>
      <c r="C162" s="584" t="s">
        <v>71</v>
      </c>
      <c r="D162" s="585"/>
      <c r="E162" s="586"/>
      <c r="F162" s="587">
        <f>+SUM(F155:F161)</f>
        <v>14364</v>
      </c>
      <c r="G162" s="588"/>
      <c r="H162" s="586"/>
      <c r="I162" s="587"/>
      <c r="J162" s="588"/>
      <c r="K162" s="586"/>
      <c r="L162" s="587">
        <f>+SUM(L155:L161)</f>
        <v>8552</v>
      </c>
      <c r="M162" s="591"/>
      <c r="N162" s="587">
        <f>SUM(N155:N158)</f>
        <v>-5812</v>
      </c>
      <c r="O162" s="588"/>
      <c r="P162" s="586"/>
      <c r="Q162" s="587">
        <f>+SUM(Q155:Q161)</f>
        <v>59958.49</v>
      </c>
      <c r="R162" s="591"/>
      <c r="S162" s="587">
        <f>+SUM(S155:S161)</f>
        <v>-51406.49</v>
      </c>
      <c r="T162" s="599"/>
      <c r="U162" s="504"/>
      <c r="V162" s="504"/>
      <c r="W162" s="504"/>
      <c r="X162" s="504"/>
      <c r="Y162" s="504"/>
      <c r="Z162" s="504"/>
      <c r="AA162" s="504"/>
      <c r="AB162" s="50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</row>
    <row r="163" spans="1:40" ht="15.75" customHeight="1">
      <c r="B163" s="504"/>
      <c r="C163" s="525"/>
      <c r="D163" s="577"/>
      <c r="E163" s="504"/>
      <c r="F163" s="551"/>
      <c r="G163" s="578"/>
      <c r="H163" s="504"/>
      <c r="I163" s="551"/>
      <c r="J163" s="525"/>
      <c r="K163" s="504"/>
      <c r="L163" s="551"/>
      <c r="M163" s="525"/>
      <c r="N163" s="551"/>
      <c r="O163" s="525"/>
      <c r="P163" s="504"/>
      <c r="Q163" s="551"/>
      <c r="R163" s="525"/>
      <c r="S163" s="551"/>
      <c r="T163" s="639"/>
      <c r="U163" s="504"/>
      <c r="V163" s="504"/>
      <c r="W163" s="504"/>
      <c r="X163" s="504"/>
      <c r="Y163" s="504"/>
      <c r="Z163" s="504"/>
      <c r="AA163" s="504"/>
      <c r="AB163" s="50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</row>
    <row r="164" spans="1:40" ht="15.75" customHeight="1" thickBot="1">
      <c r="B164" s="504"/>
      <c r="C164" s="614" t="s">
        <v>72</v>
      </c>
      <c r="D164" s="642"/>
      <c r="E164" s="615"/>
      <c r="F164" s="617">
        <f>F107-F154+F162</f>
        <v>70585.475430921375</v>
      </c>
      <c r="G164" s="643"/>
      <c r="H164" s="615"/>
      <c r="I164" s="617"/>
      <c r="J164" s="614"/>
      <c r="K164" s="616"/>
      <c r="L164" s="617">
        <f>L107-L154+L162</f>
        <v>44017.48000000004</v>
      </c>
      <c r="M164" s="614"/>
      <c r="N164" s="617">
        <f>L164-F164</f>
        <v>-26567.995430921335</v>
      </c>
      <c r="O164" s="614"/>
      <c r="P164" s="616"/>
      <c r="Q164" s="617">
        <f>Q107-Q154+Q162</f>
        <v>127996.84899999999</v>
      </c>
      <c r="R164" s="614"/>
      <c r="S164" s="617">
        <f>L164-Q164</f>
        <v>-83979.368999999948</v>
      </c>
      <c r="T164" s="569"/>
      <c r="U164" s="504"/>
      <c r="V164" s="504"/>
      <c r="W164" s="504"/>
      <c r="X164" s="504"/>
      <c r="Y164" s="504"/>
      <c r="Z164" s="504"/>
      <c r="AA164" s="504"/>
      <c r="AB164" s="50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</row>
    <row r="165" spans="1:40" ht="15.75" customHeight="1" thickTop="1">
      <c r="B165" s="504"/>
      <c r="C165" s="501"/>
      <c r="D165" s="501"/>
      <c r="E165" s="501"/>
      <c r="F165" s="501"/>
      <c r="G165" s="501"/>
      <c r="H165" s="501"/>
      <c r="I165" s="501"/>
      <c r="J165" s="501"/>
      <c r="K165" s="501"/>
      <c r="L165" s="644"/>
      <c r="M165" s="501"/>
      <c r="N165" s="501"/>
      <c r="O165" s="501"/>
      <c r="P165" s="501"/>
      <c r="Q165" s="501"/>
      <c r="R165" s="501"/>
      <c r="S165" s="501"/>
      <c r="T165" s="644"/>
      <c r="U165" s="501"/>
      <c r="V165" s="504"/>
      <c r="W165" s="504"/>
      <c r="X165" s="504"/>
      <c r="Y165" s="504"/>
      <c r="Z165" s="504"/>
      <c r="AA165" s="504"/>
      <c r="AB165" s="50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</row>
    <row r="166" spans="1:40" ht="8.25" customHeight="1">
      <c r="B166" s="504"/>
      <c r="C166" s="501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501"/>
      <c r="O166" s="501"/>
      <c r="P166" s="501"/>
      <c r="Q166" s="501"/>
      <c r="R166" s="501"/>
      <c r="S166" s="501"/>
      <c r="T166" s="644"/>
      <c r="U166" s="501"/>
      <c r="V166" s="501"/>
      <c r="W166" s="501"/>
      <c r="X166" s="501"/>
      <c r="Y166" s="501"/>
      <c r="Z166" s="501"/>
      <c r="AA166" s="501"/>
      <c r="AB166" s="501"/>
      <c r="AC166" s="501"/>
      <c r="AD166" s="501"/>
      <c r="AE166" s="501"/>
      <c r="AF166" s="501"/>
      <c r="AG166" s="501"/>
      <c r="AH166" s="501"/>
      <c r="AI166" s="501"/>
      <c r="AJ166" s="501"/>
      <c r="AK166" s="501"/>
      <c r="AL166" s="501"/>
      <c r="AM166" s="501"/>
      <c r="AN166" s="501"/>
    </row>
    <row r="167" spans="1:40" ht="33.75" customHeight="1">
      <c r="B167" s="504"/>
      <c r="C167" s="622" t="str">
        <f>C1</f>
        <v>Volks</v>
      </c>
      <c r="D167" s="492"/>
      <c r="E167" s="492"/>
      <c r="F167" s="492"/>
      <c r="G167" s="492"/>
      <c r="H167" s="490"/>
      <c r="I167" s="490"/>
      <c r="J167" s="490"/>
      <c r="K167" s="494" t="s">
        <v>83</v>
      </c>
      <c r="L167" s="492"/>
      <c r="M167" s="492"/>
      <c r="N167" s="490"/>
      <c r="O167" s="490"/>
      <c r="P167" s="492"/>
      <c r="Q167" s="490"/>
      <c r="R167" s="492"/>
      <c r="S167" s="623" t="str">
        <f>$S$1</f>
        <v>Réalisé, Juin 2023</v>
      </c>
      <c r="T167" s="492"/>
      <c r="U167" s="490"/>
      <c r="V167" s="501"/>
      <c r="W167" s="501"/>
      <c r="X167" s="501"/>
      <c r="Y167" s="501"/>
      <c r="Z167" s="501"/>
      <c r="AA167" s="501"/>
      <c r="AB167" s="501"/>
      <c r="AC167" s="501"/>
      <c r="AD167" s="501"/>
      <c r="AE167" s="501"/>
      <c r="AF167" s="501"/>
      <c r="AG167" s="501"/>
      <c r="AH167" s="501"/>
      <c r="AI167" s="501"/>
      <c r="AJ167" s="501"/>
      <c r="AK167" s="501"/>
      <c r="AL167" s="501"/>
      <c r="AM167" s="501"/>
      <c r="AN167" s="501"/>
    </row>
    <row r="168" spans="1:40" ht="15.75" customHeight="1" thickBot="1">
      <c r="B168" s="504"/>
      <c r="C168" s="499"/>
      <c r="D168" s="501"/>
      <c r="E168" s="501"/>
      <c r="F168" s="501"/>
      <c r="G168" s="501"/>
      <c r="H168" s="501"/>
      <c r="I168" s="501"/>
      <c r="J168" s="501"/>
      <c r="K168" s="501"/>
      <c r="L168" s="501"/>
      <c r="M168" s="501"/>
      <c r="N168" s="501"/>
      <c r="O168" s="501"/>
      <c r="P168" s="501"/>
      <c r="Q168" s="501"/>
      <c r="R168" s="501"/>
      <c r="S168" s="501"/>
      <c r="T168" s="501"/>
      <c r="U168" s="501"/>
      <c r="V168" s="490"/>
      <c r="W168" s="490"/>
      <c r="X168" s="490"/>
      <c r="Y168" s="490"/>
      <c r="Z168" s="490"/>
      <c r="AA168" s="490"/>
      <c r="AB168" s="490"/>
      <c r="AC168" s="490"/>
      <c r="AD168" s="490"/>
      <c r="AE168" s="490"/>
      <c r="AF168" s="490"/>
      <c r="AG168" s="490"/>
      <c r="AH168" s="490"/>
      <c r="AI168" s="490"/>
      <c r="AJ168" s="490"/>
      <c r="AK168" s="490"/>
      <c r="AL168" s="490"/>
      <c r="AM168" s="490"/>
      <c r="AN168" s="490"/>
    </row>
    <row r="169" spans="1:40" ht="15.75" customHeight="1" thickTop="1">
      <c r="B169" s="504"/>
      <c r="C169" s="505"/>
      <c r="D169" s="506" t="s">
        <v>5</v>
      </c>
      <c r="E169" s="507"/>
      <c r="F169" s="508"/>
      <c r="G169" s="509"/>
      <c r="H169" s="507"/>
      <c r="I169" s="508"/>
      <c r="J169" s="509" t="s">
        <v>7</v>
      </c>
      <c r="K169" s="507"/>
      <c r="L169" s="508"/>
      <c r="M169" s="509" t="s">
        <v>472</v>
      </c>
      <c r="N169" s="508"/>
      <c r="O169" s="506" t="s">
        <v>9</v>
      </c>
      <c r="P169" s="507"/>
      <c r="Q169" s="508"/>
      <c r="R169" s="509" t="s">
        <v>473</v>
      </c>
      <c r="S169" s="508"/>
      <c r="T169" s="638"/>
      <c r="AA169" s="501"/>
      <c r="AB169" s="501"/>
      <c r="AC169" s="501"/>
      <c r="AD169" s="501"/>
      <c r="AE169" s="501"/>
      <c r="AF169" s="501"/>
      <c r="AG169" s="501"/>
      <c r="AH169" s="501"/>
      <c r="AI169" s="501"/>
      <c r="AJ169" s="501"/>
      <c r="AK169" s="501"/>
      <c r="AL169" s="501"/>
      <c r="AM169" s="501"/>
      <c r="AN169" s="501"/>
    </row>
    <row r="170" spans="1:40" ht="15.75" customHeight="1">
      <c r="A170" s="517" t="s">
        <v>83</v>
      </c>
      <c r="B170" s="504" t="s">
        <v>83</v>
      </c>
      <c r="C170" s="525"/>
      <c r="D170" s="567" t="s">
        <v>40</v>
      </c>
      <c r="E170" s="567" t="s">
        <v>84</v>
      </c>
      <c r="F170" s="645" t="s">
        <v>13</v>
      </c>
      <c r="G170" s="646"/>
      <c r="H170" s="567"/>
      <c r="I170" s="645"/>
      <c r="J170" s="646" t="s">
        <v>40</v>
      </c>
      <c r="K170" s="567" t="s">
        <v>84</v>
      </c>
      <c r="L170" s="645" t="s">
        <v>13</v>
      </c>
      <c r="M170" s="646" t="s">
        <v>468</v>
      </c>
      <c r="N170" s="645" t="s">
        <v>475</v>
      </c>
      <c r="O170" s="567" t="s">
        <v>40</v>
      </c>
      <c r="P170" s="567" t="s">
        <v>84</v>
      </c>
      <c r="Q170" s="645" t="s">
        <v>13</v>
      </c>
      <c r="R170" s="646" t="s">
        <v>85</v>
      </c>
      <c r="S170" s="645" t="s">
        <v>13</v>
      </c>
      <c r="T170" s="567"/>
      <c r="AA170" s="504"/>
      <c r="AB170" s="50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</row>
    <row r="171" spans="1:40" ht="15.75" customHeight="1">
      <c r="A171" s="517" t="s">
        <v>330</v>
      </c>
      <c r="B171" s="504" t="s">
        <v>83</v>
      </c>
      <c r="C171" s="525" t="s">
        <v>86</v>
      </c>
      <c r="D171" s="569">
        <f t="array" ref="D171">+INDEX('[6]Budget original'!$A$2:$AO$500,MATCH($A171,'[6]Budget original'!$A$2:$A$500,0),MATCH(D$2,'[6]Budget original'!$A$2:$AO$2,0))</f>
        <v>410.56469169076877</v>
      </c>
      <c r="E171" s="569">
        <f t="array" ref="E171">+INDEX('[6]Budget original'!$A$2:$AO$500,MATCH($A171,'[6]Budget original'!$A$2:$A$500,0),MATCH(E$2,'[6]Budget original'!$A$2:$AO$2,0))</f>
        <v>121116.5840487768</v>
      </c>
      <c r="F171" s="569">
        <f t="array" ref="F171">+INDEX('[6]Budget original'!$A$2:$AO$500,MATCH($A171,'[6]Budget original'!$A$2:$A$500,0),MATCH(F$2,'[6]Budget original'!$A$2:$AO$2,0))</f>
        <v>92048.603877070374</v>
      </c>
      <c r="G171" s="552"/>
      <c r="H171" s="569"/>
      <c r="I171" s="569"/>
      <c r="J171" s="552">
        <f>-SUMIFS([6]BV_Data_An_Cour!$O:$O,[6]BV_Data_An_Cour!$U:$U,$B171,[6]BV_Data_An_Cour!$V:$V,$C171,[6]BV_Data_An_Cour!$W:$W,J$2)</f>
        <v>424</v>
      </c>
      <c r="K171" s="526">
        <f>-SUMIFS([6]BV_Data_An_Cour!$O:$O,[6]BV_Data_An_Cour!$X:$X,"Oui",[6]BV_Data_An_Cour!$U:$U,$B171,[6]BV_Data_An_Cour!$V:$V,$C171)</f>
        <v>163560.49</v>
      </c>
      <c r="L171" s="528">
        <f>-SUMIFS([6]BV_Data_An_Cour!$O:$O,[6]BV_Data_An_Cour!$U:$U,$B171,[6]BV_Data_An_Cour!$V:$V,$C171,[6]BV_Data_An_Cour!$W:$W,$L$2)</f>
        <v>130305.84999999999</v>
      </c>
      <c r="M171" s="570">
        <f>(K171-E171)/E171</f>
        <v>0.35043843322174545</v>
      </c>
      <c r="N171" s="551">
        <f>L171-F171</f>
        <v>38257.246122929617</v>
      </c>
      <c r="O171" s="552">
        <f>-SUMIFS([6]BV_Data_An_Prec!$O:$O,[6]BV_Data_An_Prec!$U:$U,$B171,[6]BV_Data_An_Prec!$V:$V,$C171,[6]BV_Data_An_Prec!$W:$W,O$2)</f>
        <v>417</v>
      </c>
      <c r="P171" s="526">
        <f>-SUMIFS([6]BV_Data_An_Prec!$O:$O,[6]BV_Data_An_Prec!$X:$X,"Oui",[6]BV_Data_An_Prec!$U:$U,$B171,[6]BV_Data_An_Prec!$V:$V,$C171)</f>
        <v>131924.35</v>
      </c>
      <c r="Q171" s="528">
        <f>-SUMIFS([6]BV_Data_An_Prec!$O:$O,[6]BV_Data_An_Prec!$U:$U,$B171,[6]BV_Data_An_Prec!$V:$V,$C171,[6]BV_Data_An_Prec!$W:$W,$L$2)</f>
        <v>103603.64000000001</v>
      </c>
      <c r="R171" s="570">
        <f>IF(O171=0,0,J171/O171)</f>
        <v>1.0167865707434052</v>
      </c>
      <c r="S171" s="551">
        <f>L171-Q171</f>
        <v>26702.209999999977</v>
      </c>
      <c r="T171" s="569"/>
      <c r="AA171" s="504"/>
      <c r="AB171" s="50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</row>
    <row r="172" spans="1:40" ht="15.75" customHeight="1">
      <c r="A172" s="517" t="s">
        <v>331</v>
      </c>
      <c r="B172" s="504" t="s">
        <v>83</v>
      </c>
      <c r="C172" s="525" t="s">
        <v>87</v>
      </c>
      <c r="D172" s="569"/>
      <c r="E172" s="631"/>
      <c r="F172" s="647">
        <f>F171/E171</f>
        <v>0.76</v>
      </c>
      <c r="G172" s="552"/>
      <c r="H172" s="631"/>
      <c r="I172" s="647"/>
      <c r="J172" s="552"/>
      <c r="K172" s="504"/>
      <c r="L172" s="647">
        <f>IF(L171=0,0,L171/K171)</f>
        <v>0.79668292752118808</v>
      </c>
      <c r="M172" s="570"/>
      <c r="N172" s="551"/>
      <c r="O172" s="552"/>
      <c r="P172" s="504"/>
      <c r="Q172" s="647">
        <f>IF(Q171=0,0,Q171/P171)</f>
        <v>0.7853261357740251</v>
      </c>
      <c r="R172" s="552"/>
      <c r="S172" s="551"/>
      <c r="T172" s="569"/>
      <c r="AA172" s="504"/>
      <c r="AB172" s="50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</row>
    <row r="173" spans="1:40" ht="15.75" customHeight="1">
      <c r="A173" s="517" t="s">
        <v>83</v>
      </c>
      <c r="B173" s="504" t="s">
        <v>83</v>
      </c>
      <c r="C173" s="518"/>
      <c r="D173" s="572"/>
      <c r="E173" s="648">
        <f>IFERROR(E171/D171,0)</f>
        <v>295.00000000000006</v>
      </c>
      <c r="F173" s="649"/>
      <c r="G173" s="650"/>
      <c r="H173" s="648"/>
      <c r="I173" s="649"/>
      <c r="J173" s="650"/>
      <c r="K173" s="648">
        <f>IFERROR(K171/J171,0)</f>
        <v>385.75587264150943</v>
      </c>
      <c r="L173" s="649"/>
      <c r="M173" s="573"/>
      <c r="N173" s="574"/>
      <c r="O173" s="650"/>
      <c r="P173" s="648">
        <f>IFERROR(P171/O171,0)</f>
        <v>316.36534772182256</v>
      </c>
      <c r="Q173" s="649"/>
      <c r="R173" s="650"/>
      <c r="S173" s="574"/>
      <c r="T173" s="569"/>
      <c r="AA173" s="504"/>
      <c r="AB173" s="50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</row>
    <row r="174" spans="1:40" ht="18" customHeight="1">
      <c r="A174" s="517" t="s">
        <v>332</v>
      </c>
      <c r="B174" s="504" t="s">
        <v>83</v>
      </c>
      <c r="C174" s="512" t="s">
        <v>88</v>
      </c>
      <c r="D174" s="651">
        <f t="array" ref="D174">+INDEX('[6]Budget original'!$A$2:$AO$500,MATCH($A174,'[6]Budget original'!$A$2:$A$500,0),MATCH(D$2,'[6]Budget original'!$A$2:$AO$2,0))</f>
        <v>286.0513448826847</v>
      </c>
      <c r="E174" s="569">
        <f t="array" ref="E174">+INDEX('[6]Budget original'!$A$2:$AO$500,MATCH($A174,'[6]Budget original'!$A$2:$A$500,0),MATCH(E$2,'[6]Budget original'!$A$2:$AO$2,0))</f>
        <v>48628.728630056401</v>
      </c>
      <c r="F174" s="569">
        <f t="array" ref="F174">+INDEX('[6]Budget original'!$A$2:$AO$500,MATCH($A174,'[6]Budget original'!$A$2:$A$500,0),MATCH(F$2,'[6]Budget original'!$A$2:$AO$2,0))</f>
        <v>33067.535468438356</v>
      </c>
      <c r="G174" s="652"/>
      <c r="H174" s="569"/>
      <c r="I174" s="569"/>
      <c r="J174" s="652">
        <f>-SUMIFS([6]BV_Data_An_Cour!$O:$O,[6]BV_Data_An_Cour!$U:$U,$B174,[6]BV_Data_An_Cour!$V:$V,$C174,[6]BV_Data_An_Cour!$W:$W,J$2)</f>
        <v>93</v>
      </c>
      <c r="K174" s="546">
        <f>-SUMIFS([6]BV_Data_An_Cour!$O:$O,[6]BV_Data_An_Cour!$X:$X,"Oui",[6]BV_Data_An_Cour!$U:$U,$B174,[6]BV_Data_An_Cour!$V:$V,$C174)</f>
        <v>23312.13</v>
      </c>
      <c r="L174" s="528">
        <f>-SUMIFS([6]BV_Data_An_Cour!$O:$O,[6]BV_Data_An_Cour!$U:$U,$B174,[6]BV_Data_An_Cour!$V:$V,$C174,[6]BV_Data_An_Cour!$W:$W,$L$2)</f>
        <v>14886.990000000002</v>
      </c>
      <c r="M174" s="570">
        <f>(K174-E174)/E174</f>
        <v>-0.52060992222627711</v>
      </c>
      <c r="N174" s="597">
        <f>L174-F174</f>
        <v>-18180.545468438355</v>
      </c>
      <c r="O174" s="652">
        <f>-SUMIFS([6]BV_Data_An_Prec!$O:$O,[6]BV_Data_An_Prec!$U:$U,$B174,[6]BV_Data_An_Prec!$V:$V,$C174,[6]BV_Data_An_Prec!$W:$W,O$2)</f>
        <v>199</v>
      </c>
      <c r="P174" s="546">
        <f>-SUMIFS([6]BV_Data_An_Prec!$O:$O,[6]BV_Data_An_Prec!$X:$X,"Oui",[6]BV_Data_An_Prec!$U:$U,$B174,[6]BV_Data_An_Prec!$V:$V,$C174)</f>
        <v>42375.1</v>
      </c>
      <c r="Q174" s="528">
        <f>-SUMIFS([6]BV_Data_An_Prec!$O:$O,[6]BV_Data_An_Prec!$U:$U,$B174,[6]BV_Data_An_Prec!$V:$V,$C174,[6]BV_Data_An_Prec!$W:$W,$L$2)</f>
        <v>28911.32</v>
      </c>
      <c r="R174" s="570">
        <f>IF(O174=0,0,J174/O174)</f>
        <v>0.46733668341708545</v>
      </c>
      <c r="S174" s="551">
        <f>L174-Q174</f>
        <v>-14024.329999999998</v>
      </c>
      <c r="T174" s="569"/>
      <c r="U174" s="504" t="s">
        <v>470</v>
      </c>
      <c r="V174" s="526">
        <f>+K174+J296</f>
        <v>44686.14</v>
      </c>
      <c r="W174" s="504"/>
      <c r="AA174" s="504"/>
      <c r="AB174" s="50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</row>
    <row r="175" spans="1:40" ht="15.75" customHeight="1">
      <c r="A175" s="517" t="s">
        <v>331</v>
      </c>
      <c r="B175" s="504" t="s">
        <v>83</v>
      </c>
      <c r="C175" s="525" t="s">
        <v>87</v>
      </c>
      <c r="D175" s="504"/>
      <c r="E175" s="504"/>
      <c r="F175" s="647">
        <f>F174/E174</f>
        <v>0.68</v>
      </c>
      <c r="G175" s="525"/>
      <c r="H175" s="504"/>
      <c r="I175" s="647"/>
      <c r="J175" s="525"/>
      <c r="K175" s="504"/>
      <c r="L175" s="647">
        <f>IF(L174=0,0,L174/K174)</f>
        <v>0.63859415677589315</v>
      </c>
      <c r="M175" s="542"/>
      <c r="N175" s="543"/>
      <c r="O175" s="525"/>
      <c r="P175" s="504"/>
      <c r="Q175" s="647">
        <f>IF(Q174=0,0,Q174/P174)</f>
        <v>0.6822714282680159</v>
      </c>
      <c r="R175" s="542"/>
      <c r="S175" s="543"/>
      <c r="T175" s="504"/>
      <c r="U175" s="504" t="s">
        <v>471</v>
      </c>
      <c r="V175" s="526">
        <f>+L174+L296</f>
        <v>20030.239999999998</v>
      </c>
      <c r="W175" s="653">
        <f>+V175/V174</f>
        <v>0.4482427884798284</v>
      </c>
      <c r="AA175" s="504"/>
      <c r="AB175" s="50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</row>
    <row r="176" spans="1:40" ht="15.75" customHeight="1">
      <c r="A176" s="517" t="s">
        <v>83</v>
      </c>
      <c r="B176" s="504" t="s">
        <v>83</v>
      </c>
      <c r="C176" s="518"/>
      <c r="D176" s="598"/>
      <c r="E176" s="648">
        <f>IFERROR(E174/D174,0)</f>
        <v>170</v>
      </c>
      <c r="F176" s="649"/>
      <c r="G176" s="650"/>
      <c r="H176" s="648"/>
      <c r="I176" s="649"/>
      <c r="J176" s="650"/>
      <c r="K176" s="648">
        <f>IFERROR(K174/J174,0)</f>
        <v>250.66806451612905</v>
      </c>
      <c r="L176" s="649"/>
      <c r="M176" s="573"/>
      <c r="N176" s="574"/>
      <c r="O176" s="650"/>
      <c r="P176" s="648">
        <f>IFERROR(P174/O174,0)</f>
        <v>212.94020100502513</v>
      </c>
      <c r="Q176" s="649"/>
      <c r="R176" s="654"/>
      <c r="S176" s="655"/>
      <c r="T176" s="504"/>
      <c r="AA176" s="504"/>
      <c r="AB176" s="50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</row>
    <row r="177" spans="1:40" ht="15.75" customHeight="1">
      <c r="A177" s="517" t="s">
        <v>333</v>
      </c>
      <c r="B177" s="504" t="s">
        <v>83</v>
      </c>
      <c r="C177" s="525" t="s">
        <v>89</v>
      </c>
      <c r="D177" s="569">
        <f t="array" ref="D177">+INDEX('[6]Budget original'!$A$2:$AO$500,MATCH($A177,'[6]Budget original'!$A$2:$A$500,0),MATCH(D$2,'[6]Budget original'!$A$2:$AO$2,0))</f>
        <v>258.93185185339246</v>
      </c>
      <c r="E177" s="569">
        <f t="array" ref="E177">+INDEX('[6]Budget original'!$A$2:$AO$500,MATCH($A177,'[6]Budget original'!$A$2:$A$500,0),MATCH(E$2,'[6]Budget original'!$A$2:$AO$2,0))</f>
        <v>58259.666667013298</v>
      </c>
      <c r="F177" s="569">
        <f t="array" ref="F177">+INDEX('[6]Budget original'!$A$2:$AO$500,MATCH($A177,'[6]Budget original'!$A$2:$A$500,0),MATCH(F$2,'[6]Budget original'!$A$2:$AO$2,0))</f>
        <v>43112.153333589842</v>
      </c>
      <c r="G177" s="552"/>
      <c r="H177" s="569"/>
      <c r="I177" s="569"/>
      <c r="J177" s="552">
        <f>-SUMIFS([6]BV_Data_An_Cour!$O:$O,[6]BV_Data_An_Cour!$U:$U,$B177,[6]BV_Data_An_Cour!$V:$V,$C177,[6]BV_Data_An_Cour!$W:$W,J$2)</f>
        <v>207</v>
      </c>
      <c r="K177" s="546">
        <f>-SUMIFS([6]BV_Data_An_Cour!$O:$O,[6]BV_Data_An_Cour!$X:$X,"Oui",[6]BV_Data_An_Cour!$U:$U,$B177,[6]BV_Data_An_Cour!$V:$V,$C177)</f>
        <v>61936.79</v>
      </c>
      <c r="L177" s="528">
        <f>-SUMIFS([6]BV_Data_An_Cour!$O:$O,[6]BV_Data_An_Cour!$U:$U,$B177,[6]BV_Data_An_Cour!$V:$V,$C177,[6]BV_Data_An_Cour!$W:$W,$L$2)</f>
        <v>45575.42</v>
      </c>
      <c r="M177" s="570">
        <f>(K177-E177)/E177</f>
        <v>6.3116106619756807E-2</v>
      </c>
      <c r="N177" s="551">
        <f>L177-F177</f>
        <v>2463.2666664101562</v>
      </c>
      <c r="O177" s="552">
        <f>-SUMIFS([6]BV_Data_An_Prec!$O:$O,[6]BV_Data_An_Prec!$U:$U,$B177,[6]BV_Data_An_Prec!$V:$V,$C177,[6]BV_Data_An_Prec!$W:$W,O$2)</f>
        <v>219</v>
      </c>
      <c r="P177" s="546">
        <f>-SUMIFS([6]BV_Data_An_Prec!$O:$O,[6]BV_Data_An_Prec!$X:$X,"Oui",[6]BV_Data_An_Prec!$U:$U,$B177,[6]BV_Data_An_Prec!$V:$V,$C177)</f>
        <v>70824.639999999999</v>
      </c>
      <c r="Q177" s="528">
        <f>-SUMIFS([6]BV_Data_An_Prec!$O:$O,[6]BV_Data_An_Prec!$U:$U,$B177,[6]BV_Data_An_Prec!$V:$V,$C177,[6]BV_Data_An_Prec!$W:$W,$L$2)</f>
        <v>51528.71</v>
      </c>
      <c r="R177" s="570">
        <f>IF(O177=0,0,J177/O177)</f>
        <v>0.9452054794520548</v>
      </c>
      <c r="S177" s="551">
        <f>L177-Q177</f>
        <v>-5953.2900000000009</v>
      </c>
      <c r="T177" s="569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</row>
    <row r="178" spans="1:40" ht="15.75" customHeight="1">
      <c r="A178" s="517" t="s">
        <v>331</v>
      </c>
      <c r="B178" s="504" t="s">
        <v>83</v>
      </c>
      <c r="C178" s="525" t="s">
        <v>87</v>
      </c>
      <c r="D178" s="569"/>
      <c r="E178" s="631"/>
      <c r="F178" s="647">
        <f>F177/E177</f>
        <v>0.74</v>
      </c>
      <c r="G178" s="552"/>
      <c r="H178" s="631"/>
      <c r="I178" s="647"/>
      <c r="J178" s="552"/>
      <c r="K178" s="631"/>
      <c r="L178" s="647">
        <f>IF(L177=0,0,L177/K177)</f>
        <v>0.73583761767440636</v>
      </c>
      <c r="M178" s="570"/>
      <c r="N178" s="551">
        <f>L178-F178</f>
        <v>-4.1623823255936276E-3</v>
      </c>
      <c r="O178" s="552"/>
      <c r="P178" s="631"/>
      <c r="Q178" s="647">
        <f>IF(Q177=0,0,Q177/P177)</f>
        <v>0.7275534333813769</v>
      </c>
      <c r="R178" s="552">
        <f>O178-K178</f>
        <v>0</v>
      </c>
      <c r="S178" s="551"/>
      <c r="T178" s="569"/>
      <c r="AA178" s="504"/>
      <c r="AB178" s="50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</row>
    <row r="179" spans="1:40" ht="15.75" customHeight="1">
      <c r="A179" s="517" t="s">
        <v>83</v>
      </c>
      <c r="B179" s="504" t="s">
        <v>83</v>
      </c>
      <c r="C179" s="525"/>
      <c r="D179" s="569"/>
      <c r="E179" s="648">
        <f>IFERROR(E177/D177,0)</f>
        <v>224.99999999999997</v>
      </c>
      <c r="F179" s="649"/>
      <c r="G179" s="650"/>
      <c r="H179" s="648"/>
      <c r="I179" s="649"/>
      <c r="J179" s="650"/>
      <c r="K179" s="648">
        <f>IFERROR(K177/J177,0)</f>
        <v>299.2115458937198</v>
      </c>
      <c r="L179" s="649"/>
      <c r="M179" s="573"/>
      <c r="N179" s="574"/>
      <c r="O179" s="650"/>
      <c r="P179" s="648">
        <f>IFERROR(P177/O177,0)</f>
        <v>323.40018264840182</v>
      </c>
      <c r="Q179" s="647"/>
      <c r="R179" s="650"/>
      <c r="S179" s="551"/>
      <c r="T179" s="569"/>
      <c r="U179" s="545">
        <f>K177</f>
        <v>61936.79</v>
      </c>
      <c r="V179" s="489">
        <v>65</v>
      </c>
      <c r="X179" s="489">
        <v>35</v>
      </c>
      <c r="AA179" s="504"/>
      <c r="AB179" s="50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</row>
    <row r="180" spans="1:40" ht="15.75" customHeight="1">
      <c r="A180" s="517" t="s">
        <v>334</v>
      </c>
      <c r="B180" s="504" t="s">
        <v>83</v>
      </c>
      <c r="C180" s="512" t="s">
        <v>90</v>
      </c>
      <c r="D180" s="651">
        <f t="array" ref="D180">+INDEX('[6]Budget original'!$A$2:$AO$500,MATCH($A180,'[6]Budget original'!$A$2:$A$500,0),MATCH(D$2,'[6]Budget original'!$A$2:$AO$2,0))</f>
        <v>9.8102556191094603</v>
      </c>
      <c r="E180" s="569">
        <f t="array" ref="E180">+INDEX('[6]Budget original'!$A$2:$AO$500,MATCH($A180,'[6]Budget original'!$A$2:$A$500,0),MATCH(E$2,'[6]Budget original'!$A$2:$AO$2,0))</f>
        <v>981.02556191094607</v>
      </c>
      <c r="F180" s="569">
        <f t="array" ref="F180">+INDEX('[6]Budget original'!$A$2:$AO$500,MATCH($A180,'[6]Budget original'!$A$2:$A$500,0),MATCH(F$2,'[6]Budget original'!$A$2:$AO$2,0))</f>
        <v>686.71789333766219</v>
      </c>
      <c r="G180" s="652"/>
      <c r="H180" s="569"/>
      <c r="I180" s="569"/>
      <c r="J180" s="652">
        <f>-SUMIFS([6]BV_Data_An_Cour!$O:$O,[6]BV_Data_An_Cour!$U:$U,$B180,[6]BV_Data_An_Cour!$V:$V,$C180,[6]BV_Data_An_Cour!$W:$W,J$2)</f>
        <v>0</v>
      </c>
      <c r="K180" s="546">
        <f>-SUMIFS([6]BV_Data_An_Cour!$O:$O,[6]BV_Data_An_Cour!$X:$X,"Oui",[6]BV_Data_An_Cour!$U:$U,$B180,[6]BV_Data_An_Cour!$V:$V,$C180)</f>
        <v>12535.35</v>
      </c>
      <c r="L180" s="547">
        <f>-SUMIFS([6]BV_Data_An_Cour!$O:$O,[6]BV_Data_An_Cour!$U:$U,$B180,[6]BV_Data_An_Cour!$V:$V,$C180,[6]BV_Data_An_Cour!$W:$W,$L$2)</f>
        <v>9643.2100000000009</v>
      </c>
      <c r="M180" s="656">
        <f>IF(E180=0,0,(K180-E180)/E180)</f>
        <v>11.777801605477343</v>
      </c>
      <c r="N180" s="597">
        <f>L180-F180</f>
        <v>8956.4921066623392</v>
      </c>
      <c r="O180" s="652">
        <f>-SUMIFS([6]BV_Data_An_Prec!$O:$O,[6]BV_Data_An_Prec!$U:$U,$B180,[6]BV_Data_An_Prec!$V:$V,$C180,[6]BV_Data_An_Prec!$W:$W,O$2)</f>
        <v>0</v>
      </c>
      <c r="P180" s="546">
        <f>-SUMIFS([6]BV_Data_An_Prec!$O:$O,[6]BV_Data_An_Prec!$X:$X,"Oui",[6]BV_Data_An_Prec!$U:$U,$B180,[6]BV_Data_An_Prec!$V:$V,$C180)</f>
        <v>846.95</v>
      </c>
      <c r="Q180" s="547">
        <f>-SUMIFS([6]BV_Data_An_Prec!$O:$O,[6]BV_Data_An_Prec!$U:$U,$B180,[6]BV_Data_An_Prec!$V:$V,$C180,[6]BV_Data_An_Prec!$W:$W,$L$2)</f>
        <v>602.75</v>
      </c>
      <c r="R180" s="570">
        <f>IF(O180=0,0,J180/O180)</f>
        <v>0</v>
      </c>
      <c r="S180" s="597">
        <f>L180-Q180</f>
        <v>9040.4600000000009</v>
      </c>
      <c r="T180" s="569"/>
      <c r="U180" s="545">
        <f>U179-U181</f>
        <v>16361.370000000003</v>
      </c>
      <c r="V180" s="489">
        <v>30</v>
      </c>
      <c r="X180" s="489">
        <v>35</v>
      </c>
      <c r="AA180" s="504"/>
      <c r="AB180" s="50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</row>
    <row r="181" spans="1:40" ht="15.75" customHeight="1">
      <c r="A181" s="517" t="s">
        <v>331</v>
      </c>
      <c r="B181" s="504" t="s">
        <v>83</v>
      </c>
      <c r="C181" s="525" t="s">
        <v>87</v>
      </c>
      <c r="D181" s="564"/>
      <c r="E181" s="657"/>
      <c r="F181" s="647">
        <f>IFERROR(F180/E180,0)</f>
        <v>0.7</v>
      </c>
      <c r="G181" s="544"/>
      <c r="H181" s="657"/>
      <c r="I181" s="647"/>
      <c r="J181" s="658"/>
      <c r="K181" s="657">
        <f>IF(J181&lt;=0,0,L181/J181)</f>
        <v>0</v>
      </c>
      <c r="L181" s="647">
        <f>IF(L180=0,0,L180/K180)</f>
        <v>0.76928127256119694</v>
      </c>
      <c r="M181" s="552">
        <f>J181-D181</f>
        <v>0</v>
      </c>
      <c r="N181" s="659"/>
      <c r="O181" s="658"/>
      <c r="P181" s="657">
        <f>IF(O181&lt;=0,0,Q181/O181)</f>
        <v>0</v>
      </c>
      <c r="Q181" s="647">
        <f>IF(Q180=0,0,Q180/P180)</f>
        <v>0.71167129110337091</v>
      </c>
      <c r="R181" s="525"/>
      <c r="S181" s="659"/>
      <c r="T181" s="599"/>
      <c r="U181" s="545">
        <f>L177</f>
        <v>45575.42</v>
      </c>
      <c r="X181" s="489">
        <v>0</v>
      </c>
      <c r="AA181" s="504"/>
      <c r="AB181" s="50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</row>
    <row r="182" spans="1:40" ht="15.75" customHeight="1">
      <c r="A182" s="517" t="s">
        <v>83</v>
      </c>
      <c r="B182" s="504" t="s">
        <v>83</v>
      </c>
      <c r="C182" s="518"/>
      <c r="D182" s="660"/>
      <c r="E182" s="661"/>
      <c r="F182" s="649"/>
      <c r="G182" s="538"/>
      <c r="H182" s="661"/>
      <c r="I182" s="649"/>
      <c r="J182" s="662"/>
      <c r="K182" s="522"/>
      <c r="L182" s="649"/>
      <c r="M182" s="650"/>
      <c r="N182" s="663"/>
      <c r="O182" s="662"/>
      <c r="P182" s="522"/>
      <c r="Q182" s="649"/>
      <c r="R182" s="518"/>
      <c r="S182" s="663"/>
      <c r="T182" s="599"/>
      <c r="AA182" s="504"/>
      <c r="AB182" s="50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</row>
    <row r="183" spans="1:40" ht="26.25" customHeight="1" thickBot="1">
      <c r="A183" s="517" t="s">
        <v>335</v>
      </c>
      <c r="B183" s="504" t="s">
        <v>83</v>
      </c>
      <c r="C183" s="525" t="s">
        <v>91</v>
      </c>
      <c r="D183" s="504"/>
      <c r="E183" s="504"/>
      <c r="F183" s="551">
        <f t="array" ref="F183">+INDEX('[6]Budget original'!$A$2:$AO$500,MATCH($A183,'[6]Budget original'!$A$2:$A$500,0),MATCH(F$2,'[6]Budget original'!$A$2:$AO$2,0))</f>
        <v>-2860.6072174032893</v>
      </c>
      <c r="G183" s="525"/>
      <c r="H183" s="569"/>
      <c r="I183" s="569"/>
      <c r="J183" s="552"/>
      <c r="K183" s="569"/>
      <c r="L183" s="569">
        <f>-SUMIFS([6]BV_Data_An_Cour!$O:$O,[6]BV_Data_An_Cour!$U:$U,$B183,[6]BV_Data_An_Cour!$V:$V,$C183,[6]BV_Data_An_Cour!$W:$W,$L$2)</f>
        <v>-2801.5</v>
      </c>
      <c r="M183" s="658"/>
      <c r="N183" s="551">
        <f>L183-F183</f>
        <v>59.107217403289269</v>
      </c>
      <c r="O183" s="552"/>
      <c r="P183" s="569"/>
      <c r="Q183" s="528">
        <f>-SUMIFS([6]BV_Data_An_Prec!$O:$O,[6]BV_Data_An_Prec!$U:$U,$B183,[6]BV_Data_An_Prec!$V:$V,$C183,[6]BV_Data_An_Prec!$W:$W,$L$2)</f>
        <v>-354.38</v>
      </c>
      <c r="R183" s="664"/>
      <c r="S183" s="551">
        <f t="shared" ref="S183:S184" si="41">L183-Q183</f>
        <v>-2447.12</v>
      </c>
      <c r="T183" s="504"/>
      <c r="U183" s="504"/>
      <c r="V183" s="504"/>
      <c r="W183" s="504"/>
      <c r="X183" s="504"/>
      <c r="Y183" s="504"/>
      <c r="Z183" s="504"/>
      <c r="AA183" s="504"/>
      <c r="AB183" s="50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</row>
    <row r="184" spans="1:40" ht="15.75" customHeight="1" thickTop="1">
      <c r="A184" s="517" t="s">
        <v>336</v>
      </c>
      <c r="B184" s="504" t="s">
        <v>83</v>
      </c>
      <c r="C184" s="665" t="s">
        <v>92</v>
      </c>
      <c r="D184" s="666">
        <f t="shared" ref="D184:L184" si="42">D171+D174+D177+D180+D183</f>
        <v>965.35814404595544</v>
      </c>
      <c r="E184" s="666">
        <f t="shared" si="42"/>
        <v>228986.00490775745</v>
      </c>
      <c r="F184" s="667">
        <f t="shared" si="42"/>
        <v>166054.40335503293</v>
      </c>
      <c r="G184" s="668"/>
      <c r="H184" s="666"/>
      <c r="I184" s="667"/>
      <c r="J184" s="668">
        <f t="shared" si="42"/>
        <v>724</v>
      </c>
      <c r="K184" s="666">
        <f t="shared" si="42"/>
        <v>261344.76</v>
      </c>
      <c r="L184" s="667">
        <f t="shared" si="42"/>
        <v>197609.97</v>
      </c>
      <c r="M184" s="669">
        <f>(K184-E184)/E184</f>
        <v>0.14131324359878522</v>
      </c>
      <c r="N184" s="667">
        <f>L184-F184</f>
        <v>31555.566644967068</v>
      </c>
      <c r="O184" s="668">
        <f t="shared" ref="O184:Q184" si="43">O171+O174+O177+O180+O183</f>
        <v>835</v>
      </c>
      <c r="P184" s="666">
        <f t="shared" si="43"/>
        <v>245971.04000000004</v>
      </c>
      <c r="Q184" s="667">
        <f t="shared" si="43"/>
        <v>184292.04</v>
      </c>
      <c r="R184" s="542">
        <f>IF(O184=0,0,J184/O184)</f>
        <v>0.86706586826347309</v>
      </c>
      <c r="S184" s="667">
        <f t="shared" si="41"/>
        <v>13317.929999999993</v>
      </c>
      <c r="T184" s="599"/>
      <c r="U184" s="504"/>
      <c r="V184" s="504"/>
      <c r="W184" s="504"/>
      <c r="X184" s="504"/>
      <c r="Y184" s="504"/>
      <c r="Z184" s="504"/>
      <c r="AA184" s="504"/>
      <c r="AB184" s="50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</row>
    <row r="185" spans="1:40" ht="15.75" customHeight="1">
      <c r="A185" s="517" t="s">
        <v>337</v>
      </c>
      <c r="B185" s="504" t="s">
        <v>83</v>
      </c>
      <c r="C185" s="670" t="s">
        <v>93</v>
      </c>
      <c r="D185" s="671"/>
      <c r="E185" s="672">
        <f>IF(D184=0,0,E184/D184)</f>
        <v>237.2031627019212</v>
      </c>
      <c r="F185" s="673">
        <f>F184/E184</f>
        <v>0.72517271709214159</v>
      </c>
      <c r="G185" s="674"/>
      <c r="H185" s="672"/>
      <c r="I185" s="543"/>
      <c r="J185" s="674"/>
      <c r="K185" s="672">
        <f>IF(J184=0,0,K184/J184)</f>
        <v>360.97342541436467</v>
      </c>
      <c r="L185" s="543">
        <f>IF(L184=0,0,L184/K184)</f>
        <v>0.7561275381989675</v>
      </c>
      <c r="M185" s="674"/>
      <c r="N185" s="673">
        <f>N184/F184</f>
        <v>0.19003149574720779</v>
      </c>
      <c r="O185" s="674"/>
      <c r="P185" s="672">
        <f>IF(O184=0,0,P184/O184)</f>
        <v>294.57609580838329</v>
      </c>
      <c r="Q185" s="543">
        <f>IF(Q184=0,0,Q184/P184)</f>
        <v>0.74924283769341293</v>
      </c>
      <c r="R185" s="674"/>
      <c r="S185" s="543">
        <f>S184/Q184</f>
        <v>7.2265356658920227E-2</v>
      </c>
      <c r="T185" s="599"/>
      <c r="U185" s="504"/>
      <c r="V185" s="504"/>
      <c r="W185" s="504"/>
      <c r="X185" s="504"/>
      <c r="Y185" s="504"/>
      <c r="Z185" s="504"/>
      <c r="AA185" s="504"/>
      <c r="AB185" s="50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</row>
    <row r="186" spans="1:40" ht="15.75" customHeight="1">
      <c r="A186" s="517" t="s">
        <v>83</v>
      </c>
      <c r="B186" s="504" t="s">
        <v>83</v>
      </c>
      <c r="C186" s="531"/>
      <c r="D186" s="675"/>
      <c r="E186" s="676"/>
      <c r="F186" s="677"/>
      <c r="G186" s="678"/>
      <c r="H186" s="676"/>
      <c r="I186" s="677"/>
      <c r="J186" s="678"/>
      <c r="K186" s="676"/>
      <c r="L186" s="677">
        <f>K184-L184</f>
        <v>63734.790000000008</v>
      </c>
      <c r="M186" s="678"/>
      <c r="N186" s="677"/>
      <c r="O186" s="678"/>
      <c r="P186" s="676"/>
      <c r="Q186" s="677"/>
      <c r="R186" s="678"/>
      <c r="S186" s="677"/>
      <c r="T186" s="599"/>
      <c r="U186" s="504"/>
      <c r="V186" s="504"/>
      <c r="W186" s="504"/>
      <c r="X186" s="504"/>
      <c r="Y186" s="504"/>
      <c r="Z186" s="504"/>
      <c r="AA186" s="504"/>
      <c r="AB186" s="50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</row>
    <row r="187" spans="1:40" ht="19.5" customHeight="1">
      <c r="A187" s="517" t="s">
        <v>338</v>
      </c>
      <c r="B187" s="504" t="s">
        <v>83</v>
      </c>
      <c r="C187" s="525" t="s">
        <v>94</v>
      </c>
      <c r="D187" s="569"/>
      <c r="E187" s="569">
        <f t="array" ref="E187">+INDEX('[6]Budget original'!$A$2:$AO$500,MATCH($A187,'[6]Budget original'!$A$2:$A$500,0),MATCH(E$2,'[6]Budget original'!$A$2:$AO$2,0))</f>
        <v>28934.69773899654</v>
      </c>
      <c r="F187" s="569">
        <f t="array" ref="F187">+INDEX('[6]Budget original'!$A$2:$AO$500,MATCH($A187,'[6]Budget original'!$A$2:$A$500,0),MATCH(F$2,'[6]Budget original'!$A$2:$AO$2,0))</f>
        <v>6365.6335025792387</v>
      </c>
      <c r="G187" s="552"/>
      <c r="H187" s="569"/>
      <c r="I187" s="569"/>
      <c r="J187" s="552"/>
      <c r="K187" s="526">
        <f>-SUMIFS([6]BV_Data_An_Cour!$O:$O,[6]BV_Data_An_Cour!$X:$X,"Oui",[6]BV_Data_An_Cour!$U:$U,$B187,[6]BV_Data_An_Cour!$V:$V,$C187)</f>
        <v>11169.3</v>
      </c>
      <c r="L187" s="528">
        <f>-SUMIFS([6]BV_Data_An_Cour!$O:$O,[6]BV_Data_An_Cour!$U:$U,$B187,[6]BV_Data_An_Cour!$V:$V,$C187,[6]BV_Data_An_Cour!$W:$W,$L$2)</f>
        <v>2446.3999999999996</v>
      </c>
      <c r="M187" s="570">
        <f>IF(E187=0,0,(K187-E187)/E187)</f>
        <v>-0.61398248909486097</v>
      </c>
      <c r="N187" s="551">
        <f>L187-F187</f>
        <v>-3919.233502579239</v>
      </c>
      <c r="O187" s="552"/>
      <c r="P187" s="526">
        <f>-SUMIFS([6]BV_Data_An_Prec!$O:$O,[6]BV_Data_An_Prec!$X:$X,"Oui",[6]BV_Data_An_Prec!$U:$U,$B187,[6]BV_Data_An_Prec!$V:$V,$C187)</f>
        <v>30007.469999999998</v>
      </c>
      <c r="Q187" s="528">
        <f>-SUMIFS([6]BV_Data_An_Prec!$O:$O,[6]BV_Data_An_Prec!$U:$U,$B187,[6]BV_Data_An_Prec!$V:$V,$C187,[6]BV_Data_An_Prec!$W:$W,$L$2)</f>
        <v>6069.3399999999965</v>
      </c>
      <c r="R187" s="570">
        <f>IF(O187=0,0,J187/O187)</f>
        <v>0</v>
      </c>
      <c r="S187" s="551">
        <f>L187-Q187</f>
        <v>-3622.9399999999969</v>
      </c>
      <c r="T187" s="599"/>
      <c r="U187" s="504"/>
      <c r="V187" s="504"/>
      <c r="W187" s="504"/>
      <c r="X187" s="504"/>
      <c r="Y187" s="504"/>
      <c r="Z187" s="504"/>
      <c r="AA187" s="504"/>
      <c r="AB187" s="50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</row>
    <row r="188" spans="1:40" ht="21" customHeight="1">
      <c r="A188" s="517" t="s">
        <v>331</v>
      </c>
      <c r="B188" s="504" t="s">
        <v>83</v>
      </c>
      <c r="C188" s="525" t="s">
        <v>87</v>
      </c>
      <c r="D188" s="504"/>
      <c r="E188" s="631"/>
      <c r="F188" s="647">
        <f>IFERROR(F187/E187,0)</f>
        <v>0.22</v>
      </c>
      <c r="G188" s="525"/>
      <c r="H188" s="631"/>
      <c r="I188" s="647"/>
      <c r="J188" s="658"/>
      <c r="K188" s="657"/>
      <c r="L188" s="647">
        <f>IF(L187=0,0,L187/K187)</f>
        <v>0.21902894541287277</v>
      </c>
      <c r="M188" s="658"/>
      <c r="N188" s="659"/>
      <c r="O188" s="658"/>
      <c r="P188" s="657"/>
      <c r="Q188" s="647">
        <f>IF(Q187=0,0,Q187/P187)</f>
        <v>0.20226097035171567</v>
      </c>
      <c r="R188" s="658"/>
      <c r="S188" s="659"/>
      <c r="T188" s="599"/>
      <c r="U188" s="504"/>
      <c r="V188" s="504"/>
      <c r="W188" s="504"/>
      <c r="X188" s="504"/>
      <c r="Y188" s="504"/>
      <c r="Z188" s="504"/>
      <c r="AA188" s="504"/>
      <c r="AB188" s="50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</row>
    <row r="189" spans="1:40" ht="15.75" customHeight="1">
      <c r="A189" s="517" t="s">
        <v>83</v>
      </c>
      <c r="B189" s="504" t="s">
        <v>83</v>
      </c>
      <c r="C189" s="525"/>
      <c r="D189" s="504"/>
      <c r="E189" s="631"/>
      <c r="F189" s="647"/>
      <c r="G189" s="525"/>
      <c r="H189" s="631"/>
      <c r="I189" s="647"/>
      <c r="J189" s="658"/>
      <c r="K189" s="657"/>
      <c r="L189" s="647"/>
      <c r="M189" s="658"/>
      <c r="N189" s="659"/>
      <c r="O189" s="658"/>
      <c r="P189" s="657"/>
      <c r="Q189" s="647"/>
      <c r="R189" s="658"/>
      <c r="S189" s="659"/>
      <c r="T189" s="599"/>
      <c r="U189" s="504"/>
      <c r="V189" s="504"/>
      <c r="W189" s="504"/>
      <c r="X189" s="504"/>
      <c r="Y189" s="504"/>
      <c r="Z189" s="504"/>
      <c r="AA189" s="504"/>
      <c r="AB189" s="50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</row>
    <row r="190" spans="1:40" ht="15.75" customHeight="1">
      <c r="A190" s="517" t="s">
        <v>339</v>
      </c>
      <c r="B190" s="504" t="s">
        <v>83</v>
      </c>
      <c r="C190" s="525" t="s">
        <v>95</v>
      </c>
      <c r="D190" s="504"/>
      <c r="E190" s="569">
        <f t="array" ref="E190">+INDEX('[6]Budget original'!$A$2:$AO$500,MATCH($A190,'[6]Budget original'!$A$2:$A$500,0),MATCH(E$2,'[6]Budget original'!$A$2:$AO$2,0))</f>
        <v>0</v>
      </c>
      <c r="F190" s="569">
        <f t="array" ref="F190">+INDEX('[6]Budget original'!$A$2:$AO$500,MATCH($A190,'[6]Budget original'!$A$2:$A$500,0),MATCH(F$2,'[6]Budget original'!$A$2:$AO$2,0))</f>
        <v>0</v>
      </c>
      <c r="G190" s="525"/>
      <c r="H190" s="569"/>
      <c r="I190" s="569"/>
      <c r="J190" s="658"/>
      <c r="K190" s="526">
        <f>-SUMIFS([6]BV_Data_An_Cour!$O:$O,[6]BV_Data_An_Cour!$X:$X,"Oui",[6]BV_Data_An_Cour!$U:$U,$B190,[6]BV_Data_An_Cour!$V:$V,$C190)</f>
        <v>0</v>
      </c>
      <c r="L190" s="647"/>
      <c r="M190" s="658"/>
      <c r="N190" s="659"/>
      <c r="O190" s="658"/>
      <c r="P190" s="526">
        <f>-SUMIFS([6]BV_Data_An_Prec!$O:$O,[6]BV_Data_An_Prec!$X:$X,"Oui",[6]BV_Data_An_Prec!$U:$U,$B190,[6]BV_Data_An_Prec!$V:$V,$C190)</f>
        <v>0</v>
      </c>
      <c r="Q190" s="647"/>
      <c r="R190" s="658"/>
      <c r="S190" s="659"/>
      <c r="T190" s="599"/>
      <c r="U190" s="504"/>
      <c r="V190" s="504"/>
      <c r="W190" s="504"/>
      <c r="X190" s="504"/>
      <c r="Y190" s="504"/>
      <c r="Z190" s="504"/>
      <c r="AA190" s="504"/>
      <c r="AB190" s="50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</row>
    <row r="191" spans="1:40" ht="15.75" customHeight="1">
      <c r="A191" s="517" t="s">
        <v>331</v>
      </c>
      <c r="B191" s="504" t="s">
        <v>83</v>
      </c>
      <c r="C191" s="525" t="s">
        <v>87</v>
      </c>
      <c r="D191" s="504"/>
      <c r="E191" s="631"/>
      <c r="F191" s="647">
        <f>IF(F190=0,0,F190/E190)</f>
        <v>0</v>
      </c>
      <c r="G191" s="525"/>
      <c r="H191" s="631"/>
      <c r="I191" s="647"/>
      <c r="J191" s="658"/>
      <c r="K191" s="657"/>
      <c r="L191" s="647">
        <f>IF(L190=0,0,L190/K190)</f>
        <v>0</v>
      </c>
      <c r="M191" s="658"/>
      <c r="N191" s="659"/>
      <c r="O191" s="658"/>
      <c r="P191" s="657"/>
      <c r="Q191" s="647">
        <f>IF(Q190=0,0,Q190/P190)</f>
        <v>0</v>
      </c>
      <c r="R191" s="658"/>
      <c r="S191" s="659"/>
      <c r="T191" s="599"/>
      <c r="U191" s="504"/>
      <c r="V191" s="504"/>
      <c r="W191" s="504"/>
      <c r="X191" s="504"/>
      <c r="Y191" s="504"/>
      <c r="Z191" s="504"/>
      <c r="AA191" s="504"/>
      <c r="AB191" s="50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</row>
    <row r="192" spans="1:40" ht="15.75" customHeight="1" thickBot="1">
      <c r="A192" s="517" t="s">
        <v>83</v>
      </c>
      <c r="B192" s="504" t="s">
        <v>83</v>
      </c>
      <c r="C192" s="679"/>
      <c r="D192" s="680"/>
      <c r="E192" s="681"/>
      <c r="F192" s="682"/>
      <c r="G192" s="683"/>
      <c r="H192" s="681"/>
      <c r="I192" s="682"/>
      <c r="J192" s="683"/>
      <c r="K192" s="681"/>
      <c r="L192" s="682"/>
      <c r="M192" s="683"/>
      <c r="N192" s="682"/>
      <c r="O192" s="683"/>
      <c r="P192" s="681"/>
      <c r="Q192" s="682"/>
      <c r="R192" s="683"/>
      <c r="S192" s="682"/>
      <c r="T192" s="599"/>
      <c r="U192" s="504"/>
      <c r="V192" s="504"/>
      <c r="W192" s="504"/>
      <c r="X192" s="504"/>
      <c r="Y192" s="504"/>
      <c r="Z192" s="504"/>
      <c r="AA192" s="504"/>
      <c r="AB192" s="50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</row>
    <row r="193" spans="1:40" ht="24.75" customHeight="1" thickTop="1">
      <c r="A193" s="517" t="s">
        <v>340</v>
      </c>
      <c r="B193" s="504" t="s">
        <v>83</v>
      </c>
      <c r="C193" s="553" t="s">
        <v>96</v>
      </c>
      <c r="D193" s="554"/>
      <c r="E193" s="554">
        <f t="shared" ref="E193:F193" si="44">E184+E187+E190</f>
        <v>257920.70264675398</v>
      </c>
      <c r="F193" s="556">
        <f t="shared" si="44"/>
        <v>172420.03685761217</v>
      </c>
      <c r="G193" s="557"/>
      <c r="H193" s="554"/>
      <c r="I193" s="556"/>
      <c r="J193" s="557"/>
      <c r="K193" s="554">
        <f t="shared" ref="K193:L193" si="45">K184+K187+K190</f>
        <v>272514.06</v>
      </c>
      <c r="L193" s="556">
        <f t="shared" si="45"/>
        <v>200056.37</v>
      </c>
      <c r="M193" s="684">
        <f>L194-F194</f>
        <v>6.5613756165913029E-2</v>
      </c>
      <c r="N193" s="556">
        <f>L193-F193</f>
        <v>27636.333142387826</v>
      </c>
      <c r="O193" s="557"/>
      <c r="P193" s="554">
        <f t="shared" ref="P193:Q193" si="46">P184+P187+P190</f>
        <v>275978.51</v>
      </c>
      <c r="Q193" s="556">
        <f t="shared" si="46"/>
        <v>190361.38</v>
      </c>
      <c r="R193" s="684"/>
      <c r="S193" s="556">
        <f>L193-Q193</f>
        <v>9694.9899999999907</v>
      </c>
      <c r="T193" s="599"/>
      <c r="U193" s="504"/>
      <c r="V193" s="504"/>
      <c r="W193" s="504"/>
      <c r="X193" s="504"/>
      <c r="Y193" s="504"/>
      <c r="Z193" s="504"/>
      <c r="AA193" s="504"/>
      <c r="AB193" s="50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</row>
    <row r="194" spans="1:40" ht="24" customHeight="1" thickBot="1">
      <c r="A194" s="517" t="s">
        <v>83</v>
      </c>
      <c r="B194" s="504" t="s">
        <v>83</v>
      </c>
      <c r="C194" s="558"/>
      <c r="D194" s="559"/>
      <c r="E194" s="559"/>
      <c r="F194" s="563">
        <f>F193/E193</f>
        <v>0.66850018276259582</v>
      </c>
      <c r="G194" s="558"/>
      <c r="H194" s="559"/>
      <c r="I194" s="563"/>
      <c r="J194" s="558"/>
      <c r="K194" s="559"/>
      <c r="L194" s="563">
        <f>L193/K193</f>
        <v>0.73411393892850885</v>
      </c>
      <c r="M194" s="562"/>
      <c r="N194" s="563">
        <f>N193/F193</f>
        <v>0.16028492770367778</v>
      </c>
      <c r="O194" s="558"/>
      <c r="P194" s="559"/>
      <c r="Q194" s="563">
        <f>Q193/P193</f>
        <v>0.68976885192981152</v>
      </c>
      <c r="R194" s="562"/>
      <c r="S194" s="563">
        <f>L193/S193</f>
        <v>20.635025925761674</v>
      </c>
      <c r="T194" s="564"/>
      <c r="U194" s="504"/>
      <c r="V194" s="504"/>
      <c r="W194" s="504"/>
      <c r="X194" s="504"/>
      <c r="Y194" s="504"/>
      <c r="Z194" s="504"/>
      <c r="AA194" s="504"/>
      <c r="AB194" s="50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</row>
    <row r="195" spans="1:40" ht="15.75" customHeight="1" thickTop="1">
      <c r="A195" s="517" t="s">
        <v>83</v>
      </c>
      <c r="B195" s="504" t="s">
        <v>83</v>
      </c>
      <c r="C195" s="544"/>
      <c r="D195" s="564"/>
      <c r="E195" s="564"/>
      <c r="F195" s="543"/>
      <c r="G195" s="544"/>
      <c r="H195" s="564"/>
      <c r="I195" s="543"/>
      <c r="J195" s="544"/>
      <c r="K195" s="599"/>
      <c r="L195" s="543"/>
      <c r="M195" s="542"/>
      <c r="N195" s="543"/>
      <c r="O195" s="544"/>
      <c r="P195" s="564"/>
      <c r="Q195" s="543"/>
      <c r="R195" s="542"/>
      <c r="S195" s="543"/>
      <c r="T195" s="564"/>
      <c r="U195" s="504"/>
      <c r="V195" s="504"/>
      <c r="W195" s="504"/>
      <c r="X195" s="504"/>
      <c r="Y195" s="504"/>
      <c r="Z195" s="504"/>
      <c r="AA195" s="504"/>
      <c r="AB195" s="50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</row>
    <row r="196" spans="1:40" ht="15.75" customHeight="1">
      <c r="A196" s="517" t="s">
        <v>341</v>
      </c>
      <c r="B196" s="504" t="s">
        <v>83</v>
      </c>
      <c r="C196" s="566" t="s">
        <v>30</v>
      </c>
      <c r="D196" s="504"/>
      <c r="E196" s="504"/>
      <c r="F196" s="551"/>
      <c r="G196" s="525"/>
      <c r="H196" s="504"/>
      <c r="I196" s="551"/>
      <c r="J196" s="525"/>
      <c r="K196" s="504"/>
      <c r="L196" s="535"/>
      <c r="M196" s="525"/>
      <c r="N196" s="535"/>
      <c r="O196" s="525"/>
      <c r="P196" s="504"/>
      <c r="Q196" s="535"/>
      <c r="R196" s="525"/>
      <c r="S196" s="535"/>
      <c r="T196" s="504"/>
      <c r="U196" s="504"/>
      <c r="V196" s="504"/>
      <c r="W196" s="504"/>
      <c r="X196" s="504"/>
      <c r="Y196" s="504"/>
      <c r="Z196" s="504"/>
      <c r="AA196" s="504"/>
      <c r="AB196" s="50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</row>
    <row r="197" spans="1:40" ht="15.75" customHeight="1">
      <c r="A197" s="517" t="s">
        <v>342</v>
      </c>
      <c r="B197" s="504" t="s">
        <v>83</v>
      </c>
      <c r="C197" s="592" t="s">
        <v>41</v>
      </c>
      <c r="D197" s="504"/>
      <c r="E197" s="504"/>
      <c r="F197" s="526">
        <f t="array" ref="F197">+INDEX('[6]Budget original'!$A$2:$AO$500,MATCH($A197,'[6]Budget original'!$A$2:$A$500,0),MATCH(F$2,'[6]Budget original'!$A$2:$AO$2,0))</f>
        <v>12721.539463601532</v>
      </c>
      <c r="G197" s="525"/>
      <c r="H197" s="504"/>
      <c r="I197" s="526"/>
      <c r="J197" s="525"/>
      <c r="K197" s="504"/>
      <c r="L197" s="528">
        <f>SUMIFS([6]BV_Data_An_Cour!$O:$O,[6]BV_Data_An_Cour!$U:$U,$B197,[6]BV_Data_An_Cour!$V:$V,$C197,[6]BV_Data_An_Cour!$W:$W,$L$2)</f>
        <v>10048.370000000001</v>
      </c>
      <c r="M197" s="525"/>
      <c r="N197" s="551">
        <f t="shared" ref="N197:N228" si="47">L197-F197</f>
        <v>-2673.1694636015309</v>
      </c>
      <c r="O197" s="525"/>
      <c r="P197" s="504"/>
      <c r="Q197" s="528">
        <f>SUMIFS([6]BV_Data_An_Prec!$O:$O,[6]BV_Data_An_Prec!$U:$U,$B197,[6]BV_Data_An_Prec!$V:$V,$C197,[6]BV_Data_An_Prec!$W:$W,$L$2)</f>
        <v>6588.91</v>
      </c>
      <c r="R197" s="525"/>
      <c r="S197" s="528">
        <f t="shared" ref="S197:S228" si="48">L197-Q197</f>
        <v>3459.4600000000009</v>
      </c>
      <c r="T197" s="504"/>
      <c r="U197" s="504"/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</row>
    <row r="198" spans="1:40" ht="15.75" customHeight="1">
      <c r="A198" s="517" t="s">
        <v>343</v>
      </c>
      <c r="B198" s="504" t="s">
        <v>83</v>
      </c>
      <c r="C198" s="593" t="s">
        <v>42</v>
      </c>
      <c r="D198" s="577"/>
      <c r="E198" s="504"/>
      <c r="F198" s="520">
        <f t="array" ref="F198">+INDEX('[6]Budget original'!$A$2:$AO$500,MATCH($A198,'[6]Budget original'!$A$2:$A$500,0),MATCH(F$2,'[6]Budget original'!$A$2:$AO$2,0))</f>
        <v>10086.291954022989</v>
      </c>
      <c r="G198" s="578"/>
      <c r="H198" s="504"/>
      <c r="I198" s="520"/>
      <c r="J198" s="525"/>
      <c r="K198" s="504"/>
      <c r="L198" s="528">
        <f>SUMIFS([6]BV_Data_An_Cour!$O:$O,[6]BV_Data_An_Cour!$U:$U,$B198,[6]BV_Data_An_Cour!$V:$V,$C198,[6]BV_Data_An_Cour!$W:$W,$L$2)</f>
        <v>4392.7299999999996</v>
      </c>
      <c r="M198" s="525"/>
      <c r="N198" s="551">
        <f t="shared" si="47"/>
        <v>-5693.5619540229891</v>
      </c>
      <c r="O198" s="525"/>
      <c r="P198" s="504"/>
      <c r="Q198" s="528">
        <f>SUMIFS([6]BV_Data_An_Prec!$O:$O,[6]BV_Data_An_Prec!$U:$U,$B198,[6]BV_Data_An_Prec!$V:$V,$C198,[6]BV_Data_An_Prec!$W:$W,$L$2)</f>
        <v>8528.69</v>
      </c>
      <c r="R198" s="525"/>
      <c r="S198" s="551">
        <f t="shared" si="48"/>
        <v>-4135.9600000000009</v>
      </c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</row>
    <row r="199" spans="1:40" ht="20.399999999999999">
      <c r="A199" s="517" t="s">
        <v>344</v>
      </c>
      <c r="B199" s="504" t="s">
        <v>83</v>
      </c>
      <c r="C199" s="592" t="s">
        <v>43</v>
      </c>
      <c r="D199" s="594"/>
      <c r="E199" s="595"/>
      <c r="F199" s="526">
        <f t="array" ref="F199">+INDEX('[6]Budget original'!$A$2:$AO$500,MATCH($A199,'[6]Budget original'!$A$2:$A$500,0),MATCH(F$2,'[6]Budget original'!$A$2:$AO$2,0))</f>
        <v>12981.605363984674</v>
      </c>
      <c r="G199" s="596"/>
      <c r="H199" s="595"/>
      <c r="I199" s="526"/>
      <c r="J199" s="512"/>
      <c r="K199" s="595"/>
      <c r="L199" s="547">
        <f>SUMIFS([6]BV_Data_An_Cour!$O:$O,[6]BV_Data_An_Cour!$U:$U,$B199,[6]BV_Data_An_Cour!$V:$V,$C199,[6]BV_Data_An_Cour!$W:$W,$L$2)</f>
        <v>4935.46</v>
      </c>
      <c r="M199" s="512"/>
      <c r="N199" s="597">
        <f t="shared" si="47"/>
        <v>-8046.1453639846741</v>
      </c>
      <c r="O199" s="512"/>
      <c r="P199" s="595"/>
      <c r="Q199" s="547">
        <f>SUMIFS([6]BV_Data_An_Prec!$O:$O,[6]BV_Data_An_Prec!$U:$U,$B199,[6]BV_Data_An_Prec!$V:$V,$C199,[6]BV_Data_An_Prec!$W:$W,$L$2)</f>
        <v>21239.45</v>
      </c>
      <c r="R199" s="512"/>
      <c r="S199" s="597">
        <f t="shared" si="48"/>
        <v>-16303.990000000002</v>
      </c>
      <c r="T199" s="504"/>
      <c r="U199" s="504"/>
      <c r="V199" s="504"/>
      <c r="W199" s="504"/>
      <c r="X199" s="504"/>
      <c r="Y199" s="504">
        <f>(45000*1.3)/12</f>
        <v>4875</v>
      </c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</row>
    <row r="200" spans="1:40" ht="21.75" customHeight="1">
      <c r="A200" s="517" t="s">
        <v>345</v>
      </c>
      <c r="B200" s="504" t="s">
        <v>83</v>
      </c>
      <c r="C200" s="592" t="s">
        <v>44</v>
      </c>
      <c r="D200" s="577"/>
      <c r="E200" s="504"/>
      <c r="F200" s="526">
        <f t="array" ref="F200">+INDEX('[6]Budget original'!$A$2:$AO$500,MATCH($A200,'[6]Budget original'!$A$2:$A$500,0),MATCH(F$2,'[6]Budget original'!$A$2:$AO$2,0))</f>
        <v>31541.276601436075</v>
      </c>
      <c r="G200" s="578"/>
      <c r="H200" s="504"/>
      <c r="I200" s="526"/>
      <c r="J200" s="525"/>
      <c r="K200" s="504"/>
      <c r="L200" s="528">
        <f>SUMIFS([6]BV_Data_An_Cour!$O:$O,[6]BV_Data_An_Cour!$U:$U,$B200,[6]BV_Data_An_Cour!$V:$V,$C200,[6]BV_Data_An_Cour!$W:$W,$L$2)</f>
        <v>33595.35</v>
      </c>
      <c r="M200" s="525"/>
      <c r="N200" s="551">
        <f t="shared" si="47"/>
        <v>2054.0733985639235</v>
      </c>
      <c r="O200" s="525"/>
      <c r="P200" s="504"/>
      <c r="Q200" s="528">
        <f>SUMIFS([6]BV_Data_An_Prec!$O:$O,[6]BV_Data_An_Prec!$U:$U,$B200,[6]BV_Data_An_Prec!$V:$V,$C200,[6]BV_Data_An_Prec!$W:$W,$L$2)</f>
        <v>46026.29</v>
      </c>
      <c r="R200" s="525"/>
      <c r="S200" s="551">
        <f t="shared" si="48"/>
        <v>-12430.940000000002</v>
      </c>
      <c r="T200" s="504"/>
      <c r="U200" s="504"/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</row>
    <row r="201" spans="1:40" ht="15.75" hidden="1" customHeight="1">
      <c r="A201" s="517" t="s">
        <v>346</v>
      </c>
      <c r="B201" s="504" t="s">
        <v>83</v>
      </c>
      <c r="C201" s="525" t="s">
        <v>20</v>
      </c>
      <c r="D201" s="577"/>
      <c r="E201" s="504"/>
      <c r="F201" s="526">
        <f t="array" ref="F201">+INDEX('[6]Budget original'!$A$2:$AO$500,MATCH($A201,'[6]Budget original'!$A$2:$A$500,0),MATCH(F$2,'[6]Budget original'!$A$2:$AO$2,0))</f>
        <v>0</v>
      </c>
      <c r="G201" s="578"/>
      <c r="H201" s="504"/>
      <c r="I201" s="526"/>
      <c r="J201" s="525"/>
      <c r="K201" s="504"/>
      <c r="L201" s="528">
        <f>SUMIFS([6]BV_Data_An_Cour!$O:$O,[6]BV_Data_An_Cour!$U:$U,$B201,[6]BV_Data_An_Cour!$V:$V,$C201,[6]BV_Data_An_Cour!$W:$W,$L$2)</f>
        <v>0</v>
      </c>
      <c r="M201" s="525"/>
      <c r="N201" s="551">
        <f t="shared" si="47"/>
        <v>0</v>
      </c>
      <c r="O201" s="525"/>
      <c r="P201" s="504"/>
      <c r="Q201" s="528">
        <f>SUMIFS([6]BV_Data_An_Prec!$O:$O,[6]BV_Data_An_Prec!$U:$U,$B201,[6]BV_Data_An_Prec!$V:$V,$C201,[6]BV_Data_An_Prec!$W:$W,$L$2)</f>
        <v>0</v>
      </c>
      <c r="R201" s="525"/>
      <c r="S201" s="551">
        <f t="shared" si="48"/>
        <v>0</v>
      </c>
      <c r="T201" s="504"/>
      <c r="U201" s="504"/>
      <c r="V201" s="504"/>
      <c r="W201" s="504"/>
      <c r="X201" s="504"/>
      <c r="Y201" s="504"/>
      <c r="Z201" s="504"/>
      <c r="AA201" s="504"/>
      <c r="AB201" s="50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</row>
    <row r="202" spans="1:40" ht="15.75" hidden="1" customHeight="1">
      <c r="A202" s="517" t="s">
        <v>346</v>
      </c>
      <c r="B202" s="504" t="s">
        <v>83</v>
      </c>
      <c r="C202" s="525" t="s">
        <v>20</v>
      </c>
      <c r="D202" s="577"/>
      <c r="E202" s="504"/>
      <c r="F202" s="526">
        <f t="array" ref="F202">+INDEX('[6]Budget original'!$A$2:$AO$500,MATCH($A202,'[6]Budget original'!$A$2:$A$500,0),MATCH(F$2,'[6]Budget original'!$A$2:$AO$2,0))</f>
        <v>0</v>
      </c>
      <c r="G202" s="578"/>
      <c r="H202" s="504"/>
      <c r="I202" s="526"/>
      <c r="J202" s="525"/>
      <c r="K202" s="504"/>
      <c r="L202" s="528">
        <f>SUMIFS([6]BV_Data_An_Cour!$O:$O,[6]BV_Data_An_Cour!$U:$U,$B202,[6]BV_Data_An_Cour!$V:$V,$C202,[6]BV_Data_An_Cour!$W:$W,$L$2)</f>
        <v>0</v>
      </c>
      <c r="M202" s="525"/>
      <c r="N202" s="551">
        <f t="shared" si="47"/>
        <v>0</v>
      </c>
      <c r="O202" s="525"/>
      <c r="P202" s="504"/>
      <c r="Q202" s="528">
        <f>SUMIFS([6]BV_Data_An_Prec!$O:$O,[6]BV_Data_An_Prec!$U:$U,$B202,[6]BV_Data_An_Prec!$V:$V,$C202,[6]BV_Data_An_Prec!$W:$W,$L$2)</f>
        <v>0</v>
      </c>
      <c r="R202" s="525"/>
      <c r="S202" s="551">
        <f t="shared" si="48"/>
        <v>0</v>
      </c>
      <c r="T202" s="504"/>
      <c r="U202" s="504"/>
      <c r="V202" s="504"/>
      <c r="W202" s="504"/>
      <c r="X202" s="504"/>
      <c r="Y202" s="504"/>
      <c r="Z202" s="504"/>
      <c r="AA202" s="504"/>
      <c r="AB202" s="50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</row>
    <row r="203" spans="1:40" ht="15.75" hidden="1" customHeight="1">
      <c r="A203" s="517" t="s">
        <v>346</v>
      </c>
      <c r="B203" s="504" t="s">
        <v>83</v>
      </c>
      <c r="C203" s="525" t="s">
        <v>20</v>
      </c>
      <c r="D203" s="577"/>
      <c r="E203" s="504"/>
      <c r="F203" s="526">
        <f t="array" ref="F203">+INDEX('[6]Budget original'!$A$2:$AO$500,MATCH($A203,'[6]Budget original'!$A$2:$A$500,0),MATCH(F$2,'[6]Budget original'!$A$2:$AO$2,0))</f>
        <v>0</v>
      </c>
      <c r="G203" s="578"/>
      <c r="H203" s="504"/>
      <c r="I203" s="526"/>
      <c r="J203" s="525"/>
      <c r="K203" s="504"/>
      <c r="L203" s="528">
        <f>SUMIFS([6]BV_Data_An_Cour!$O:$O,[6]BV_Data_An_Cour!$U:$U,$B203,[6]BV_Data_An_Cour!$V:$V,$C203,[6]BV_Data_An_Cour!$W:$W,$L$2)</f>
        <v>0</v>
      </c>
      <c r="M203" s="525"/>
      <c r="N203" s="551">
        <f t="shared" si="47"/>
        <v>0</v>
      </c>
      <c r="O203" s="525"/>
      <c r="P203" s="504"/>
      <c r="Q203" s="528">
        <f>SUMIFS([6]BV_Data_An_Prec!$O:$O,[6]BV_Data_An_Prec!$U:$U,$B203,[6]BV_Data_An_Prec!$V:$V,$C203,[6]BV_Data_An_Prec!$W:$W,$L$2)</f>
        <v>0</v>
      </c>
      <c r="R203" s="525"/>
      <c r="S203" s="551">
        <f t="shared" si="48"/>
        <v>0</v>
      </c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</row>
    <row r="204" spans="1:40" ht="21.75" customHeight="1">
      <c r="A204" s="517" t="s">
        <v>347</v>
      </c>
      <c r="B204" s="504" t="s">
        <v>83</v>
      </c>
      <c r="C204" s="593" t="s">
        <v>45</v>
      </c>
      <c r="D204" s="577"/>
      <c r="E204" s="504"/>
      <c r="F204" s="526">
        <f t="array" ref="F204">+INDEX('[6]Budget original'!$A$2:$AO$500,MATCH($A204,'[6]Budget original'!$A$2:$A$500,0),MATCH(F$2,'[6]Budget original'!$A$2:$AO$2,0))</f>
        <v>15100.453163041591</v>
      </c>
      <c r="G204" s="578"/>
      <c r="H204" s="504"/>
      <c r="I204" s="526"/>
      <c r="J204" s="525"/>
      <c r="K204" s="504"/>
      <c r="L204" s="528">
        <f>SUMIFS([6]BV_Data_An_Cour!$O:$O,[6]BV_Data_An_Cour!$U:$U,$B204,[6]BV_Data_An_Cour!$V:$V,$C204,[6]BV_Data_An_Cour!$W:$W,$L$2)</f>
        <v>17366.91</v>
      </c>
      <c r="M204" s="525"/>
      <c r="N204" s="551">
        <f t="shared" si="47"/>
        <v>2266.4568369584085</v>
      </c>
      <c r="O204" s="525"/>
      <c r="P204" s="504"/>
      <c r="Q204" s="528">
        <f>SUMIFS([6]BV_Data_An_Prec!$O:$O,[6]BV_Data_An_Prec!$U:$U,$B204,[6]BV_Data_An_Prec!$V:$V,$C204,[6]BV_Data_An_Prec!$W:$W,$L$2)</f>
        <v>20058.400000000001</v>
      </c>
      <c r="R204" s="525"/>
      <c r="S204" s="551">
        <f t="shared" si="48"/>
        <v>-2691.4900000000016</v>
      </c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</row>
    <row r="205" spans="1:40" ht="15.75" customHeight="1">
      <c r="A205" s="517" t="s">
        <v>348</v>
      </c>
      <c r="B205" s="504" t="s">
        <v>83</v>
      </c>
      <c r="C205" s="592" t="s">
        <v>46</v>
      </c>
      <c r="D205" s="594"/>
      <c r="E205" s="595"/>
      <c r="F205" s="547">
        <f t="array" ref="F205">+INDEX('[6]Budget original'!$A$2:$AO$500,MATCH($A205,'[6]Budget original'!$A$2:$A$500,0),MATCH(F$2,'[6]Budget original'!$A$2:$AO$2,0))</f>
        <v>15011.337193820009</v>
      </c>
      <c r="G205" s="596"/>
      <c r="H205" s="595"/>
      <c r="I205" s="547"/>
      <c r="J205" s="512"/>
      <c r="K205" s="595"/>
      <c r="L205" s="547">
        <f>SUMIFS([6]BV_Data_An_Cour!$O:$O,[6]BV_Data_An_Cour!$U:$U,$B205,[6]BV_Data_An_Cour!$V:$V,$C205,[6]BV_Data_An_Cour!$W:$W,$L$2)</f>
        <v>16373.82</v>
      </c>
      <c r="M205" s="512"/>
      <c r="N205" s="597">
        <f t="shared" si="47"/>
        <v>1362.4828061799908</v>
      </c>
      <c r="O205" s="512"/>
      <c r="P205" s="595"/>
      <c r="Q205" s="547">
        <f>SUMIFS([6]BV_Data_An_Prec!$O:$O,[6]BV_Data_An_Prec!$U:$U,$B205,[6]BV_Data_An_Prec!$V:$V,$C205,[6]BV_Data_An_Prec!$W:$W,$L$2)</f>
        <v>19337.54</v>
      </c>
      <c r="R205" s="512"/>
      <c r="S205" s="597">
        <f t="shared" si="48"/>
        <v>-2963.7200000000012</v>
      </c>
      <c r="T205" s="504"/>
      <c r="U205" s="504"/>
      <c r="V205" s="504">
        <f>5608/3</f>
        <v>1869.3333333333333</v>
      </c>
      <c r="W205" s="504"/>
      <c r="X205" s="504"/>
      <c r="Y205" s="504"/>
      <c r="Z205" s="504"/>
      <c r="AA205" s="504"/>
      <c r="AB205" s="50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</row>
    <row r="206" spans="1:40" ht="15.75" customHeight="1">
      <c r="A206" s="517" t="s">
        <v>349</v>
      </c>
      <c r="B206" s="504" t="s">
        <v>83</v>
      </c>
      <c r="C206" s="592" t="s">
        <v>47</v>
      </c>
      <c r="D206" s="577"/>
      <c r="E206" s="504"/>
      <c r="F206" s="526">
        <f t="array" ref="F206">+INDEX('[6]Budget original'!$A$2:$AO$500,MATCH($A206,'[6]Budget original'!$A$2:$A$500,0),MATCH(F$2,'[6]Budget original'!$A$2:$AO$2,0))</f>
        <v>10511.809469974149</v>
      </c>
      <c r="G206" s="578"/>
      <c r="H206" s="504"/>
      <c r="I206" s="526"/>
      <c r="J206" s="525"/>
      <c r="K206" s="504"/>
      <c r="L206" s="528">
        <f>SUMIFS([6]BV_Data_An_Cour!$O:$O,[6]BV_Data_An_Cour!$U:$U,$B206,[6]BV_Data_An_Cour!$V:$V,$C206,[6]BV_Data_An_Cour!$W:$W,$L$2)</f>
        <v>11498.830000000002</v>
      </c>
      <c r="M206" s="525"/>
      <c r="N206" s="551">
        <f t="shared" si="47"/>
        <v>987.02053002585308</v>
      </c>
      <c r="O206" s="525"/>
      <c r="P206" s="504"/>
      <c r="Q206" s="528">
        <f>SUMIFS([6]BV_Data_An_Prec!$O:$O,[6]BV_Data_An_Prec!$U:$U,$B206,[6]BV_Data_An_Prec!$V:$V,$C206,[6]BV_Data_An_Prec!$W:$W,$L$2)</f>
        <v>7020.87</v>
      </c>
      <c r="R206" s="525"/>
      <c r="S206" s="551">
        <f t="shared" si="48"/>
        <v>4477.9600000000019</v>
      </c>
      <c r="T206" s="504"/>
      <c r="U206" s="504"/>
      <c r="V206" s="504"/>
      <c r="W206" s="504"/>
      <c r="X206" s="504"/>
      <c r="Y206" s="504"/>
      <c r="Z206" s="504"/>
      <c r="AA206" s="504"/>
      <c r="AB206" s="50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</row>
    <row r="207" spans="1:40" ht="15.75" customHeight="1">
      <c r="A207" s="517" t="s">
        <v>350</v>
      </c>
      <c r="B207" s="504" t="s">
        <v>83</v>
      </c>
      <c r="C207" s="592" t="s">
        <v>48</v>
      </c>
      <c r="D207" s="577"/>
      <c r="E207" s="504"/>
      <c r="F207" s="526">
        <f t="array" ref="F207">+INDEX('[6]Budget original'!$A$2:$AO$500,MATCH($A207,'[6]Budget original'!$A$2:$A$500,0),MATCH(F$2,'[6]Budget original'!$A$2:$AO$2,0))</f>
        <v>5021.7943712463311</v>
      </c>
      <c r="G207" s="578"/>
      <c r="H207" s="504"/>
      <c r="I207" s="526"/>
      <c r="J207" s="525"/>
      <c r="K207" s="504"/>
      <c r="L207" s="528">
        <f>SUMIFS([6]BV_Data_An_Cour!$O:$O,[6]BV_Data_An_Cour!$U:$U,$B207,[6]BV_Data_An_Cour!$V:$V,$C207,[6]BV_Data_An_Cour!$W:$W,$L$2)</f>
        <v>5572.29</v>
      </c>
      <c r="M207" s="525"/>
      <c r="N207" s="551">
        <f t="shared" si="47"/>
        <v>550.49562875366883</v>
      </c>
      <c r="O207" s="525"/>
      <c r="P207" s="504"/>
      <c r="Q207" s="528">
        <f>SUMIFS([6]BV_Data_An_Prec!$O:$O,[6]BV_Data_An_Prec!$U:$U,$B207,[6]BV_Data_An_Prec!$V:$V,$C207,[6]BV_Data_An_Prec!$W:$W,$L$2)</f>
        <v>8599.2900000000009</v>
      </c>
      <c r="R207" s="525"/>
      <c r="S207" s="551">
        <f t="shared" si="48"/>
        <v>-3027.0000000000009</v>
      </c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</row>
    <row r="208" spans="1:40" ht="15.75" hidden="1" customHeight="1">
      <c r="A208" s="517" t="s">
        <v>346</v>
      </c>
      <c r="B208" s="504" t="s">
        <v>83</v>
      </c>
      <c r="C208" s="525" t="s">
        <v>20</v>
      </c>
      <c r="D208" s="579"/>
      <c r="E208" s="598"/>
      <c r="F208" s="526">
        <f t="array" ref="F208">+INDEX('[6]Budget original'!$A$2:$AO$500,MATCH($A208,'[6]Budget original'!$A$2:$A$500,0),MATCH(F$2,'[6]Budget original'!$A$2:$AO$2,0))</f>
        <v>0</v>
      </c>
      <c r="G208" s="580"/>
      <c r="H208" s="598"/>
      <c r="I208" s="526"/>
      <c r="J208" s="518"/>
      <c r="K208" s="598"/>
      <c r="L208" s="528">
        <f>SUMIFS([6]BV_Data_An_Cour!$O:$O,[6]BV_Data_An_Cour!$U:$U,$B208,[6]BV_Data_An_Cour!$V:$V,$C208,[6]BV_Data_An_Cour!$W:$W,$L$2)</f>
        <v>0</v>
      </c>
      <c r="M208" s="518"/>
      <c r="N208" s="574">
        <f t="shared" si="47"/>
        <v>0</v>
      </c>
      <c r="O208" s="518"/>
      <c r="P208" s="598"/>
      <c r="Q208" s="528">
        <f>SUMIFS([6]BV_Data_An_Prec!$O:$O,[6]BV_Data_An_Prec!$U:$U,$B208,[6]BV_Data_An_Prec!$V:$V,$C208,[6]BV_Data_An_Prec!$W:$W,$L$2)</f>
        <v>0</v>
      </c>
      <c r="R208" s="518"/>
      <c r="S208" s="574">
        <f t="shared" si="48"/>
        <v>0</v>
      </c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</row>
    <row r="209" spans="1:40" ht="15.75" customHeight="1">
      <c r="A209" s="517" t="s">
        <v>351</v>
      </c>
      <c r="B209" s="504" t="s">
        <v>83</v>
      </c>
      <c r="C209" s="584" t="s">
        <v>49</v>
      </c>
      <c r="D209" s="585" t="s">
        <v>97</v>
      </c>
      <c r="E209" s="586">
        <f>F209/F$193</f>
        <v>0.65523769534062459</v>
      </c>
      <c r="F209" s="587">
        <f>+SUM(F197:F208)</f>
        <v>112976.10758112735</v>
      </c>
      <c r="G209" s="588"/>
      <c r="H209" s="586"/>
      <c r="I209" s="587"/>
      <c r="J209" s="588" t="s">
        <v>97</v>
      </c>
      <c r="K209" s="586">
        <f>L209/L$193</f>
        <v>0.51877258394721448</v>
      </c>
      <c r="L209" s="587">
        <f>+SUM(L197:L208)</f>
        <v>103783.76000000001</v>
      </c>
      <c r="M209" s="637"/>
      <c r="N209" s="600">
        <f t="shared" si="47"/>
        <v>-9192.3475811273383</v>
      </c>
      <c r="O209" s="588" t="s">
        <v>97</v>
      </c>
      <c r="P209" s="586">
        <f>Q209/Q$193</f>
        <v>0.72178211778040269</v>
      </c>
      <c r="Q209" s="587">
        <f>+SUM(Q197:Q208)</f>
        <v>137399.44</v>
      </c>
      <c r="R209" s="637"/>
      <c r="S209" s="600">
        <f t="shared" si="48"/>
        <v>-33615.679999999993</v>
      </c>
      <c r="T209" s="504"/>
      <c r="U209" s="504"/>
      <c r="V209" s="504"/>
      <c r="W209" s="504"/>
      <c r="X209" s="504"/>
      <c r="Y209" s="504"/>
      <c r="Z209" s="504"/>
      <c r="AA209" s="504"/>
      <c r="AB209" s="50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</row>
    <row r="210" spans="1:40" ht="15.75" customHeight="1">
      <c r="A210" s="517" t="s">
        <v>352</v>
      </c>
      <c r="B210" s="504" t="s">
        <v>83</v>
      </c>
      <c r="C210" s="525" t="s">
        <v>50</v>
      </c>
      <c r="D210" s="577"/>
      <c r="E210" s="504"/>
      <c r="F210" s="526">
        <f t="array" ref="F210">+INDEX('[6]Budget original'!$A$2:$AO$500,MATCH($A210,'[6]Budget original'!$A$2:$A$500,0),MATCH(F$2,'[6]Budget original'!$A$2:$AO$2,0))</f>
        <v>8429.5936020833342</v>
      </c>
      <c r="G210" s="578"/>
      <c r="H210" s="504"/>
      <c r="I210" s="526"/>
      <c r="J210" s="525"/>
      <c r="K210" s="504"/>
      <c r="L210" s="528">
        <f>SUMIFS([6]BV_Data_An_Cour!$O:$O,[6]BV_Data_An_Cour!$U:$U,$B210,[6]BV_Data_An_Cour!$V:$V,$C210,[6]BV_Data_An_Cour!$W:$W,$L$2)</f>
        <v>11043.03</v>
      </c>
      <c r="M210" s="525"/>
      <c r="N210" s="551">
        <f t="shared" si="47"/>
        <v>2613.4363979166665</v>
      </c>
      <c r="O210" s="525"/>
      <c r="P210" s="504"/>
      <c r="Q210" s="528">
        <f>SUMIFS([6]BV_Data_An_Prec!$O:$O,[6]BV_Data_An_Prec!$U:$U,$B210,[6]BV_Data_An_Prec!$V:$V,$C210,[6]BV_Data_An_Prec!$W:$W,$L$2)</f>
        <v>10368.24</v>
      </c>
      <c r="R210" s="525"/>
      <c r="S210" s="551">
        <f t="shared" si="48"/>
        <v>674.79000000000087</v>
      </c>
      <c r="T210" s="504"/>
      <c r="U210" s="504"/>
      <c r="V210" s="504"/>
      <c r="W210" s="504"/>
      <c r="X210" s="504"/>
      <c r="Y210" s="504"/>
      <c r="Z210" s="504"/>
      <c r="AA210" s="504"/>
      <c r="AB210" s="50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</row>
    <row r="211" spans="1:40" ht="15.75" customHeight="1">
      <c r="A211" s="517" t="s">
        <v>353</v>
      </c>
      <c r="B211" s="504" t="s">
        <v>83</v>
      </c>
      <c r="C211" s="525" t="s">
        <v>51</v>
      </c>
      <c r="D211" s="577"/>
      <c r="E211" s="504"/>
      <c r="F211" s="526">
        <f t="array" ref="F211">+INDEX('[6]Budget original'!$A$2:$AO$500,MATCH($A211,'[6]Budget original'!$A$2:$A$500,0),MATCH(F$2,'[6]Budget original'!$A$2:$AO$2,0))</f>
        <v>2511.7819483712269</v>
      </c>
      <c r="G211" s="578"/>
      <c r="H211" s="504"/>
      <c r="I211" s="526"/>
      <c r="J211" s="525"/>
      <c r="K211" s="504"/>
      <c r="L211" s="528">
        <f>SUMIFS([6]BV_Data_An_Cour!$O:$O,[6]BV_Data_An_Cour!$U:$U,$B211,[6]BV_Data_An_Cour!$V:$V,$C211,[6]BV_Data_An_Cour!$W:$W,$L$2)</f>
        <v>4858.63</v>
      </c>
      <c r="M211" s="525"/>
      <c r="N211" s="551">
        <f t="shared" si="47"/>
        <v>2346.8480516287732</v>
      </c>
      <c r="O211" s="525"/>
      <c r="P211" s="504"/>
      <c r="Q211" s="528">
        <f>SUMIFS([6]BV_Data_An_Prec!$O:$O,[6]BV_Data_An_Prec!$U:$U,$B211,[6]BV_Data_An_Prec!$V:$V,$C211,[6]BV_Data_An_Prec!$W:$W,$L$2)</f>
        <v>4936.82</v>
      </c>
      <c r="R211" s="525"/>
      <c r="S211" s="551">
        <f t="shared" si="48"/>
        <v>-78.1899999999996</v>
      </c>
      <c r="T211" s="504"/>
      <c r="U211" s="504"/>
      <c r="V211" s="504"/>
      <c r="W211" s="504"/>
      <c r="X211" s="504"/>
      <c r="Y211" s="504"/>
      <c r="Z211" s="504"/>
      <c r="AA211" s="504"/>
      <c r="AB211" s="50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</row>
    <row r="212" spans="1:40" ht="15.75" customHeight="1">
      <c r="A212" s="517" t="s">
        <v>354</v>
      </c>
      <c r="B212" s="504" t="s">
        <v>83</v>
      </c>
      <c r="C212" s="518" t="s">
        <v>52</v>
      </c>
      <c r="D212" s="579"/>
      <c r="E212" s="598"/>
      <c r="F212" s="520">
        <f t="array" ref="F212">+INDEX('[6]Budget original'!$A$2:$AO$500,MATCH($A212,'[6]Budget original'!$A$2:$A$500,0),MATCH(F$2,'[6]Budget original'!$A$2:$AO$2,0))</f>
        <v>13231.666666666666</v>
      </c>
      <c r="G212" s="580"/>
      <c r="H212" s="598"/>
      <c r="I212" s="520"/>
      <c r="J212" s="518"/>
      <c r="K212" s="598"/>
      <c r="L212" s="528">
        <f>SUMIFS([6]BV_Data_An_Cour!$O:$O,[6]BV_Data_An_Cour!$U:$U,$B212,[6]BV_Data_An_Cour!$V:$V,$C212,[6]BV_Data_An_Cour!$W:$W,$L$2)</f>
        <v>14198.73</v>
      </c>
      <c r="M212" s="518"/>
      <c r="N212" s="574">
        <f t="shared" si="47"/>
        <v>967.0633333333335</v>
      </c>
      <c r="O212" s="518"/>
      <c r="P212" s="598"/>
      <c r="Q212" s="528">
        <f>SUMIFS([6]BV_Data_An_Prec!$O:$O,[6]BV_Data_An_Prec!$U:$U,$B212,[6]BV_Data_An_Prec!$V:$V,$C212,[6]BV_Data_An_Prec!$W:$W,$L$2)</f>
        <v>17451.02</v>
      </c>
      <c r="R212" s="518"/>
      <c r="S212" s="574">
        <f t="shared" si="48"/>
        <v>-3252.2900000000009</v>
      </c>
      <c r="T212" s="504"/>
      <c r="U212" s="504"/>
      <c r="V212" s="504"/>
      <c r="W212" s="504"/>
      <c r="X212" s="504"/>
      <c r="Y212" s="504"/>
      <c r="Z212" s="504"/>
      <c r="AA212" s="504"/>
      <c r="AB212" s="50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</row>
    <row r="213" spans="1:40" ht="15.75" customHeight="1">
      <c r="A213" s="517" t="s">
        <v>355</v>
      </c>
      <c r="B213" s="504" t="s">
        <v>83</v>
      </c>
      <c r="C213" s="525" t="s">
        <v>53</v>
      </c>
      <c r="D213" s="577"/>
      <c r="E213" s="504"/>
      <c r="F213" s="526">
        <f t="array" ref="F213">+INDEX('[6]Budget original'!$A$2:$AO$500,MATCH($A213,'[6]Budget original'!$A$2:$A$500,0),MATCH(F$2,'[6]Budget original'!$A$2:$AO$2,0))</f>
        <v>6003.0056239999994</v>
      </c>
      <c r="G213" s="578"/>
      <c r="H213" s="504"/>
      <c r="I213" s="526"/>
      <c r="J213" s="525"/>
      <c r="K213" s="504"/>
      <c r="L213" s="547">
        <f>SUMIFS([6]BV_Data_An_Cour!$O:$O,[6]BV_Data_An_Cour!$U:$U,$B213,[6]BV_Data_An_Cour!$V:$V,$C213,[6]BV_Data_An_Cour!$W:$W,$L$2)</f>
        <v>3979.91</v>
      </c>
      <c r="M213" s="525"/>
      <c r="N213" s="551">
        <f t="shared" si="47"/>
        <v>-2023.0956239999996</v>
      </c>
      <c r="O213" s="525"/>
      <c r="P213" s="504"/>
      <c r="Q213" s="547">
        <f>SUMIFS([6]BV_Data_An_Prec!$O:$O,[6]BV_Data_An_Prec!$U:$U,$B213,[6]BV_Data_An_Prec!$V:$V,$C213,[6]BV_Data_An_Prec!$W:$W,$L$2)</f>
        <v>3983.16</v>
      </c>
      <c r="R213" s="525"/>
      <c r="S213" s="551">
        <f t="shared" si="48"/>
        <v>-3.25</v>
      </c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</row>
    <row r="214" spans="1:40" ht="15.75" customHeight="1">
      <c r="A214" s="517" t="s">
        <v>356</v>
      </c>
      <c r="B214" s="504" t="s">
        <v>83</v>
      </c>
      <c r="C214" s="525" t="s">
        <v>54</v>
      </c>
      <c r="D214" s="577"/>
      <c r="E214" s="504"/>
      <c r="F214" s="526">
        <f t="array" ref="F214">+INDEX('[6]Budget original'!$A$2:$AO$500,MATCH($A214,'[6]Budget original'!$A$2:$A$500,0),MATCH(F$2,'[6]Budget original'!$A$2:$AO$2,0))</f>
        <v>750.06603349999989</v>
      </c>
      <c r="G214" s="578"/>
      <c r="H214" s="504"/>
      <c r="I214" s="526"/>
      <c r="J214" s="525"/>
      <c r="K214" s="504"/>
      <c r="L214" s="528">
        <f>SUMIFS([6]BV_Data_An_Cour!$O:$O,[6]BV_Data_An_Cour!$U:$U,$B214,[6]BV_Data_An_Cour!$V:$V,$C214,[6]BV_Data_An_Cour!$W:$W,$L$2)</f>
        <v>2116.58</v>
      </c>
      <c r="M214" s="525"/>
      <c r="N214" s="551">
        <f t="shared" si="47"/>
        <v>1366.5139665000002</v>
      </c>
      <c r="O214" s="525"/>
      <c r="P214" s="504"/>
      <c r="Q214" s="528">
        <f>SUMIFS([6]BV_Data_An_Prec!$O:$O,[6]BV_Data_An_Prec!$U:$U,$B214,[6]BV_Data_An_Prec!$V:$V,$C214,[6]BV_Data_An_Prec!$W:$W,$L$2)</f>
        <v>2001.21</v>
      </c>
      <c r="R214" s="525"/>
      <c r="S214" s="551">
        <f t="shared" si="48"/>
        <v>115.36999999999989</v>
      </c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</row>
    <row r="215" spans="1:40" ht="15.75" customHeight="1">
      <c r="A215" s="517" t="s">
        <v>357</v>
      </c>
      <c r="B215" s="504" t="s">
        <v>83</v>
      </c>
      <c r="C215" s="518" t="s">
        <v>55</v>
      </c>
      <c r="D215" s="579"/>
      <c r="E215" s="598"/>
      <c r="F215" s="520">
        <f t="array" ref="F215">+INDEX('[6]Budget original'!$A$2:$AO$500,MATCH($A215,'[6]Budget original'!$A$2:$A$500,0),MATCH(F$2,'[6]Budget original'!$A$2:$AO$2,0))</f>
        <v>3169.622797333333</v>
      </c>
      <c r="G215" s="580"/>
      <c r="H215" s="598"/>
      <c r="I215" s="520"/>
      <c r="J215" s="518"/>
      <c r="K215" s="598"/>
      <c r="L215" s="528">
        <f>SUMIFS([6]BV_Data_An_Cour!$O:$O,[6]BV_Data_An_Cour!$U:$U,$B215,[6]BV_Data_An_Cour!$V:$V,$C215,[6]BV_Data_An_Cour!$W:$W,$L$2)</f>
        <v>4130.46</v>
      </c>
      <c r="M215" s="518"/>
      <c r="N215" s="574">
        <f t="shared" si="47"/>
        <v>960.83720266666705</v>
      </c>
      <c r="O215" s="518"/>
      <c r="P215" s="598"/>
      <c r="Q215" s="528">
        <f>SUMIFS([6]BV_Data_An_Prec!$O:$O,[6]BV_Data_An_Prec!$U:$U,$B215,[6]BV_Data_An_Prec!$V:$V,$C215,[6]BV_Data_An_Prec!$W:$W,$L$2)</f>
        <v>2526.96</v>
      </c>
      <c r="R215" s="518"/>
      <c r="S215" s="574">
        <f t="shared" si="48"/>
        <v>1603.5</v>
      </c>
      <c r="T215" s="504"/>
      <c r="U215" s="504"/>
      <c r="V215" s="504"/>
      <c r="W215" s="504"/>
      <c r="X215" s="504"/>
      <c r="Y215" s="504"/>
      <c r="Z215" s="504"/>
      <c r="AA215" s="504"/>
      <c r="AB215" s="50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</row>
    <row r="216" spans="1:40" ht="15.75" customHeight="1">
      <c r="A216" s="517" t="s">
        <v>358</v>
      </c>
      <c r="B216" s="504" t="s">
        <v>83</v>
      </c>
      <c r="C216" s="525" t="s">
        <v>98</v>
      </c>
      <c r="D216" s="577"/>
      <c r="E216" s="504"/>
      <c r="F216" s="526"/>
      <c r="G216" s="578"/>
      <c r="H216" s="504"/>
      <c r="I216" s="526"/>
      <c r="J216" s="525"/>
      <c r="K216" s="504"/>
      <c r="L216" s="547">
        <f>SUMIFS([6]BV_Data_An_Cour!$O:$O,[6]BV_Data_An_Cour!$U:$U,$B216,[6]BV_Data_An_Cour!$V:$V,$C216,[6]BV_Data_An_Cour!$W:$W,$L$2)</f>
        <v>0</v>
      </c>
      <c r="M216" s="525"/>
      <c r="N216" s="551">
        <f t="shared" si="47"/>
        <v>0</v>
      </c>
      <c r="O216" s="525"/>
      <c r="P216" s="504"/>
      <c r="Q216" s="547">
        <f>SUMIFS([6]BV_Data_An_Prec!$O:$O,[6]BV_Data_An_Prec!$U:$U,$B216,[6]BV_Data_An_Prec!$V:$V,$C216,[6]BV_Data_An_Prec!$W:$W,$L$2)</f>
        <v>0</v>
      </c>
      <c r="R216" s="525"/>
      <c r="S216" s="551">
        <f t="shared" si="48"/>
        <v>0</v>
      </c>
      <c r="T216" s="504"/>
      <c r="U216" s="504"/>
      <c r="V216" s="504"/>
      <c r="W216" s="504"/>
      <c r="X216" s="504"/>
      <c r="Y216" s="504"/>
      <c r="Z216" s="504"/>
      <c r="AA216" s="504"/>
      <c r="AB216" s="50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</row>
    <row r="217" spans="1:40" ht="15.75" customHeight="1">
      <c r="A217" s="517" t="s">
        <v>359</v>
      </c>
      <c r="B217" s="504" t="s">
        <v>83</v>
      </c>
      <c r="C217" s="525" t="s">
        <v>56</v>
      </c>
      <c r="D217" s="577"/>
      <c r="E217" s="504"/>
      <c r="F217" s="526">
        <f t="array" ref="F217">+INDEX('[6]Budget original'!$A$2:$AO$500,MATCH($A217,'[6]Budget original'!$A$2:$A$500,0),MATCH(F$2,'[6]Budget original'!$A$2:$AO$2,0))</f>
        <v>1604.1472692199377</v>
      </c>
      <c r="G217" s="578"/>
      <c r="H217" s="504"/>
      <c r="I217" s="526"/>
      <c r="J217" s="525"/>
      <c r="K217" s="504"/>
      <c r="L217" s="528">
        <f>SUMIFS([6]BV_Data_An_Cour!$O:$O,[6]BV_Data_An_Cour!$U:$U,$B217,[6]BV_Data_An_Cour!$V:$V,$C217,[6]BV_Data_An_Cour!$W:$W,$L$2)</f>
        <v>4394.93</v>
      </c>
      <c r="M217" s="525"/>
      <c r="N217" s="551">
        <f t="shared" si="47"/>
        <v>2790.7827307800626</v>
      </c>
      <c r="O217" s="525"/>
      <c r="P217" s="504"/>
      <c r="Q217" s="528">
        <f>SUMIFS([6]BV_Data_An_Prec!$O:$O,[6]BV_Data_An_Prec!$U:$U,$B217,[6]BV_Data_An_Prec!$V:$V,$C217,[6]BV_Data_An_Prec!$W:$W,$L$2)</f>
        <v>1317.58</v>
      </c>
      <c r="R217" s="525"/>
      <c r="S217" s="551">
        <f t="shared" si="48"/>
        <v>3077.3500000000004</v>
      </c>
      <c r="T217" s="504"/>
      <c r="U217" s="504"/>
      <c r="V217" s="504"/>
      <c r="W217" s="504"/>
      <c r="X217" s="504"/>
      <c r="Y217" s="504"/>
      <c r="Z217" s="504"/>
      <c r="AA217" s="504"/>
      <c r="AB217" s="50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</row>
    <row r="218" spans="1:40" ht="15.75" customHeight="1">
      <c r="A218" s="517" t="s">
        <v>360</v>
      </c>
      <c r="B218" s="504" t="s">
        <v>83</v>
      </c>
      <c r="C218" s="525" t="s">
        <v>57</v>
      </c>
      <c r="D218" s="577"/>
      <c r="E218" s="504"/>
      <c r="F218" s="526">
        <f t="array" ref="F218">+INDEX('[6]Budget original'!$A$2:$AO$500,MATCH($A218,'[6]Budget original'!$A$2:$A$500,0),MATCH(F$2,'[6]Budget original'!$A$2:$AO$2,0))</f>
        <v>828.36336005612884</v>
      </c>
      <c r="G218" s="578"/>
      <c r="H218" s="504"/>
      <c r="I218" s="526"/>
      <c r="J218" s="525"/>
      <c r="K218" s="504"/>
      <c r="L218" s="528">
        <f>SUMIFS([6]BV_Data_An_Cour!$O:$O,[6]BV_Data_An_Cour!$U:$U,$B218,[6]BV_Data_An_Cour!$V:$V,$C218,[6]BV_Data_An_Cour!$W:$W,$L$2)</f>
        <v>788.71</v>
      </c>
      <c r="M218" s="525"/>
      <c r="N218" s="551">
        <f t="shared" si="47"/>
        <v>-39.653360056128804</v>
      </c>
      <c r="O218" s="525"/>
      <c r="P218" s="504"/>
      <c r="Q218" s="528">
        <f>SUMIFS([6]BV_Data_An_Prec!$O:$O,[6]BV_Data_An_Prec!$U:$U,$B218,[6]BV_Data_An_Prec!$V:$V,$C218,[6]BV_Data_An_Prec!$W:$W,$L$2)</f>
        <v>512.22</v>
      </c>
      <c r="R218" s="525"/>
      <c r="S218" s="551">
        <f t="shared" si="48"/>
        <v>276.49</v>
      </c>
      <c r="T218" s="504"/>
      <c r="U218" s="504"/>
      <c r="V218" s="504"/>
      <c r="W218" s="504"/>
      <c r="X218" s="504"/>
      <c r="Y218" s="504"/>
      <c r="Z218" s="504"/>
      <c r="AA218" s="504"/>
      <c r="AB218" s="50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</row>
    <row r="219" spans="1:40" ht="15.75" customHeight="1">
      <c r="A219" s="517" t="s">
        <v>361</v>
      </c>
      <c r="B219" s="504" t="s">
        <v>83</v>
      </c>
      <c r="C219" s="525" t="s">
        <v>58</v>
      </c>
      <c r="D219" s="577"/>
      <c r="E219" s="504"/>
      <c r="F219" s="526">
        <f t="array" ref="F219">+INDEX('[6]Budget original'!$A$2:$AO$500,MATCH($A219,'[6]Budget original'!$A$2:$A$500,0),MATCH(F$2,'[6]Budget original'!$A$2:$AO$2,0))</f>
        <v>572.58827639999981</v>
      </c>
      <c r="G219" s="578"/>
      <c r="H219" s="504"/>
      <c r="I219" s="526"/>
      <c r="J219" s="525"/>
      <c r="K219" s="504"/>
      <c r="L219" s="528">
        <f>SUMIFS([6]BV_Data_An_Cour!$O:$O,[6]BV_Data_An_Cour!$U:$U,$B219,[6]BV_Data_An_Cour!$V:$V,$C219,[6]BV_Data_An_Cour!$W:$W,$L$2)</f>
        <v>1170.8699999999999</v>
      </c>
      <c r="M219" s="525"/>
      <c r="N219" s="551">
        <f t="shared" si="47"/>
        <v>598.28172360000008</v>
      </c>
      <c r="O219" s="525"/>
      <c r="P219" s="504"/>
      <c r="Q219" s="528">
        <f>SUMIFS([6]BV_Data_An_Prec!$O:$O,[6]BV_Data_An_Prec!$U:$U,$B219,[6]BV_Data_An_Prec!$V:$V,$C219,[6]BV_Data_An_Prec!$W:$W,$L$2)</f>
        <v>1073.27</v>
      </c>
      <c r="R219" s="525"/>
      <c r="S219" s="551">
        <f t="shared" si="48"/>
        <v>97.599999999999909</v>
      </c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</row>
    <row r="220" spans="1:40" ht="15.75" customHeight="1">
      <c r="A220" s="517" t="s">
        <v>362</v>
      </c>
      <c r="B220" s="504" t="s">
        <v>83</v>
      </c>
      <c r="C220" s="525" t="s">
        <v>59</v>
      </c>
      <c r="D220" s="577"/>
      <c r="E220" s="504"/>
      <c r="F220" s="526">
        <f t="array" ref="F220">+INDEX('[6]Budget original'!$A$2:$AO$500,MATCH($A220,'[6]Budget original'!$A$2:$A$500,0),MATCH(F$2,'[6]Budget original'!$A$2:$AO$2,0))</f>
        <v>194.04018761666666</v>
      </c>
      <c r="G220" s="578"/>
      <c r="H220" s="504"/>
      <c r="I220" s="526"/>
      <c r="J220" s="525"/>
      <c r="K220" s="504"/>
      <c r="L220" s="528">
        <f>SUMIFS([6]BV_Data_An_Cour!$O:$O,[6]BV_Data_An_Cour!$U:$U,$B220,[6]BV_Data_An_Cour!$V:$V,$C220,[6]BV_Data_An_Cour!$W:$W,$L$2)</f>
        <v>177.5</v>
      </c>
      <c r="M220" s="525"/>
      <c r="N220" s="551">
        <f t="shared" si="47"/>
        <v>-16.540187616666657</v>
      </c>
      <c r="O220" s="525"/>
      <c r="P220" s="504"/>
      <c r="Q220" s="528">
        <f>SUMIFS([6]BV_Data_An_Prec!$O:$O,[6]BV_Data_An_Prec!$U:$U,$B220,[6]BV_Data_An_Prec!$V:$V,$C220,[6]BV_Data_An_Prec!$W:$W,$L$2)</f>
        <v>351.7</v>
      </c>
      <c r="R220" s="525"/>
      <c r="S220" s="551">
        <f t="shared" si="48"/>
        <v>-174.2</v>
      </c>
      <c r="T220" s="504"/>
      <c r="U220" s="504"/>
      <c r="V220" s="504"/>
      <c r="W220" s="504"/>
      <c r="X220" s="504"/>
      <c r="Y220" s="504"/>
      <c r="Z220" s="504"/>
      <c r="AA220" s="504"/>
      <c r="AB220" s="50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</row>
    <row r="221" spans="1:40" ht="15.75" customHeight="1">
      <c r="A221" s="517" t="s">
        <v>363</v>
      </c>
      <c r="B221" s="504" t="s">
        <v>83</v>
      </c>
      <c r="C221" s="525" t="s">
        <v>60</v>
      </c>
      <c r="D221" s="577"/>
      <c r="E221" s="504"/>
      <c r="F221" s="526">
        <f t="array" ref="F221">+INDEX('[6]Budget original'!$A$2:$AO$500,MATCH($A221,'[6]Budget original'!$A$2:$A$500,0),MATCH(F$2,'[6]Budget original'!$A$2:$AO$2,0))</f>
        <v>92.808220383333307</v>
      </c>
      <c r="G221" s="578"/>
      <c r="H221" s="504"/>
      <c r="I221" s="526"/>
      <c r="J221" s="525"/>
      <c r="K221" s="504"/>
      <c r="L221" s="528">
        <f>SUMIFS([6]BV_Data_An_Cour!$O:$O,[6]BV_Data_An_Cour!$U:$U,$B221,[6]BV_Data_An_Cour!$V:$V,$C221,[6]BV_Data_An_Cour!$W:$W,$L$2)</f>
        <v>-15.61</v>
      </c>
      <c r="M221" s="525"/>
      <c r="N221" s="551">
        <f t="shared" si="47"/>
        <v>-108.41822038333331</v>
      </c>
      <c r="O221" s="525"/>
      <c r="P221" s="504"/>
      <c r="Q221" s="528">
        <f>SUMIFS([6]BV_Data_An_Prec!$O:$O,[6]BV_Data_An_Prec!$U:$U,$B221,[6]BV_Data_An_Prec!$V:$V,$C221,[6]BV_Data_An_Prec!$W:$W,$L$2)</f>
        <v>84.01</v>
      </c>
      <c r="R221" s="525"/>
      <c r="S221" s="551">
        <f t="shared" si="48"/>
        <v>-99.62</v>
      </c>
      <c r="T221" s="504"/>
      <c r="U221" s="504"/>
      <c r="V221" s="504"/>
      <c r="W221" s="504"/>
      <c r="X221" s="504"/>
      <c r="Y221" s="504"/>
      <c r="Z221" s="504"/>
      <c r="AA221" s="504"/>
      <c r="AB221" s="50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</row>
    <row r="222" spans="1:40" ht="15.75" customHeight="1">
      <c r="A222" s="517" t="s">
        <v>364</v>
      </c>
      <c r="B222" s="504" t="s">
        <v>83</v>
      </c>
      <c r="C222" s="525" t="s">
        <v>61</v>
      </c>
      <c r="D222" s="577"/>
      <c r="E222" s="504"/>
      <c r="F222" s="526">
        <f t="array" ref="F222">+INDEX('[6]Budget original'!$A$2:$AO$500,MATCH($A222,'[6]Budget original'!$A$2:$A$500,0),MATCH(F$2,'[6]Budget original'!$A$2:$AO$2,0))</f>
        <v>352.6367722833333</v>
      </c>
      <c r="G222" s="578"/>
      <c r="H222" s="504"/>
      <c r="I222" s="526"/>
      <c r="J222" s="525"/>
      <c r="K222" s="504"/>
      <c r="L222" s="528">
        <f>SUMIFS([6]BV_Data_An_Cour!$O:$O,[6]BV_Data_An_Cour!$U:$U,$B222,[6]BV_Data_An_Cour!$V:$V,$C222,[6]BV_Data_An_Cour!$W:$W,$L$2)</f>
        <v>83.51</v>
      </c>
      <c r="M222" s="525"/>
      <c r="N222" s="551">
        <f t="shared" si="47"/>
        <v>-269.12677228333331</v>
      </c>
      <c r="O222" s="525"/>
      <c r="P222" s="504"/>
      <c r="Q222" s="528">
        <f>SUMIFS([6]BV_Data_An_Prec!$O:$O,[6]BV_Data_An_Prec!$U:$U,$B222,[6]BV_Data_An_Prec!$V:$V,$C222,[6]BV_Data_An_Prec!$W:$W,$L$2)</f>
        <v>178.72</v>
      </c>
      <c r="R222" s="525"/>
      <c r="S222" s="551">
        <f t="shared" si="48"/>
        <v>-95.21</v>
      </c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</row>
    <row r="223" spans="1:40" ht="15.75" customHeight="1">
      <c r="A223" s="517" t="s">
        <v>365</v>
      </c>
      <c r="B223" s="504" t="s">
        <v>83</v>
      </c>
      <c r="C223" s="525" t="s">
        <v>62</v>
      </c>
      <c r="D223" s="577"/>
      <c r="E223" s="504"/>
      <c r="F223" s="526">
        <f t="array" ref="F223">+INDEX('[6]Budget original'!$A$2:$AO$500,MATCH($A223,'[6]Budget original'!$A$2:$A$500,0),MATCH(F$2,'[6]Budget original'!$A$2:$AO$2,0))</f>
        <v>1972.9836663454639</v>
      </c>
      <c r="G223" s="578"/>
      <c r="H223" s="504"/>
      <c r="I223" s="526"/>
      <c r="J223" s="525"/>
      <c r="K223" s="504"/>
      <c r="L223" s="528">
        <f>SUMIFS([6]BV_Data_An_Cour!$O:$O,[6]BV_Data_An_Cour!$U:$U,$B223,[6]BV_Data_An_Cour!$V:$V,$C223,[6]BV_Data_An_Cour!$W:$W,$L$2)</f>
        <v>3115.28</v>
      </c>
      <c r="M223" s="525"/>
      <c r="N223" s="551">
        <f t="shared" si="47"/>
        <v>1142.2963336545363</v>
      </c>
      <c r="O223" s="525"/>
      <c r="P223" s="504"/>
      <c r="Q223" s="528">
        <f>SUMIFS([6]BV_Data_An_Prec!$O:$O,[6]BV_Data_An_Prec!$U:$U,$B223,[6]BV_Data_An_Prec!$V:$V,$C223,[6]BV_Data_An_Prec!$W:$W,$L$2)</f>
        <v>2085.21</v>
      </c>
      <c r="R223" s="525"/>
      <c r="S223" s="551">
        <f t="shared" si="48"/>
        <v>1030.0700000000002</v>
      </c>
      <c r="T223" s="504"/>
      <c r="X223" s="504"/>
      <c r="Y223" s="504"/>
      <c r="Z223" s="504"/>
      <c r="AA223" s="504"/>
      <c r="AB223" s="50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</row>
    <row r="224" spans="1:40" ht="15.75" customHeight="1">
      <c r="A224" s="517" t="s">
        <v>366</v>
      </c>
      <c r="B224" s="504" t="s">
        <v>83</v>
      </c>
      <c r="C224" s="525" t="s">
        <v>63</v>
      </c>
      <c r="D224" s="577"/>
      <c r="E224" s="504"/>
      <c r="F224" s="526">
        <f t="array" ref="F224">+INDEX('[6]Budget original'!$A$2:$AO$500,MATCH($A224,'[6]Budget original'!$A$2:$A$500,0),MATCH(F$2,'[6]Budget original'!$A$2:$AO$2,0))</f>
        <v>3879.6631449604047</v>
      </c>
      <c r="G224" s="578"/>
      <c r="H224" s="504"/>
      <c r="I224" s="526"/>
      <c r="J224" s="525"/>
      <c r="K224" s="504"/>
      <c r="L224" s="528">
        <f>SUMIFS([6]BV_Data_An_Cour!$O:$O,[6]BV_Data_An_Cour!$U:$U,$B224,[6]BV_Data_An_Cour!$V:$V,$C224,[6]BV_Data_An_Cour!$W:$W,$L$2)</f>
        <v>1768.57</v>
      </c>
      <c r="M224" s="525"/>
      <c r="N224" s="551">
        <f t="shared" si="47"/>
        <v>-2111.093144960405</v>
      </c>
      <c r="O224" s="525"/>
      <c r="P224" s="504"/>
      <c r="Q224" s="528">
        <f>AL447*W5</f>
        <v>1532.4997499999999</v>
      </c>
      <c r="R224" s="525"/>
      <c r="S224" s="551">
        <f t="shared" si="48"/>
        <v>236.07024999999999</v>
      </c>
      <c r="T224" s="504"/>
      <c r="X224" s="504"/>
      <c r="Y224" s="504"/>
      <c r="Z224" s="504"/>
      <c r="AA224" s="504"/>
      <c r="AB224" s="50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</row>
    <row r="225" spans="1:40" ht="15.75" hidden="1" customHeight="1">
      <c r="A225" s="517" t="s">
        <v>346</v>
      </c>
      <c r="B225" s="504" t="s">
        <v>83</v>
      </c>
      <c r="C225" s="525" t="s">
        <v>20</v>
      </c>
      <c r="D225" s="577"/>
      <c r="E225" s="504"/>
      <c r="F225" s="526">
        <f t="array" ref="F225">+INDEX('[6]Budget original'!$A$2:$AO$500,MATCH($A225,'[6]Budget original'!$A$2:$A$500,0),MATCH(F$2,'[6]Budget original'!$A$2:$AO$2,0))</f>
        <v>0</v>
      </c>
      <c r="G225" s="578"/>
      <c r="H225" s="504"/>
      <c r="I225" s="526"/>
      <c r="J225" s="525"/>
      <c r="K225" s="504"/>
      <c r="L225" s="528">
        <f>SUMIFS([6]BV_Data_An_Cour!$O:$O,[6]BV_Data_An_Cour!$U:$U,$B225,[6]BV_Data_An_Cour!$V:$V,$C225,[6]BV_Data_An_Cour!$W:$W,$L$2)</f>
        <v>0</v>
      </c>
      <c r="M225" s="525"/>
      <c r="N225" s="551">
        <f t="shared" si="47"/>
        <v>0</v>
      </c>
      <c r="O225" s="525"/>
      <c r="P225" s="504"/>
      <c r="Q225" s="528">
        <f>SUMIFS([6]BV_Data_An_Prec!$O:$O,[6]BV_Data_An_Prec!$U:$U,$B225,[6]BV_Data_An_Prec!$V:$V,$C225,[6]BV_Data_An_Prec!$W:$W,$L$2)</f>
        <v>0</v>
      </c>
      <c r="R225" s="525"/>
      <c r="S225" s="551">
        <f t="shared" si="48"/>
        <v>0</v>
      </c>
      <c r="T225" s="504"/>
      <c r="U225" s="504"/>
      <c r="V225" s="504"/>
      <c r="W225" s="504"/>
      <c r="X225" s="504"/>
      <c r="Y225" s="504"/>
      <c r="Z225" s="504"/>
      <c r="AA225" s="504"/>
      <c r="AB225" s="50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</row>
    <row r="226" spans="1:40" ht="15.75" hidden="1" customHeight="1">
      <c r="A226" s="517" t="s">
        <v>346</v>
      </c>
      <c r="B226" s="504" t="s">
        <v>83</v>
      </c>
      <c r="C226" s="525" t="s">
        <v>20</v>
      </c>
      <c r="D226" s="577"/>
      <c r="E226" s="504"/>
      <c r="F226" s="526">
        <f t="array" ref="F226">+INDEX('[6]Budget original'!$A$2:$AO$500,MATCH($A226,'[6]Budget original'!$A$2:$A$500,0),MATCH(F$2,'[6]Budget original'!$A$2:$AO$2,0))</f>
        <v>0</v>
      </c>
      <c r="G226" s="578"/>
      <c r="H226" s="504"/>
      <c r="I226" s="526"/>
      <c r="J226" s="525"/>
      <c r="K226" s="504"/>
      <c r="L226" s="528">
        <f>SUMIFS([6]BV_Data_An_Cour!$O:$O,[6]BV_Data_An_Cour!$U:$U,$B226,[6]BV_Data_An_Cour!$V:$V,$C226,[6]BV_Data_An_Cour!$W:$W,$L$2)</f>
        <v>0</v>
      </c>
      <c r="M226" s="525"/>
      <c r="N226" s="551">
        <f t="shared" si="47"/>
        <v>0</v>
      </c>
      <c r="O226" s="525"/>
      <c r="P226" s="504"/>
      <c r="Q226" s="528">
        <f>SUMIFS([6]BV_Data_An_Prec!$O:$O,[6]BV_Data_An_Prec!$U:$U,$B226,[6]BV_Data_An_Prec!$V:$V,$C226,[6]BV_Data_An_Prec!$W:$W,$L$2)</f>
        <v>0</v>
      </c>
      <c r="R226" s="525"/>
      <c r="S226" s="551">
        <f t="shared" si="48"/>
        <v>0</v>
      </c>
      <c r="T226" s="504"/>
      <c r="U226" s="504"/>
      <c r="V226" s="504"/>
      <c r="W226" s="504"/>
      <c r="X226" s="504"/>
      <c r="Y226" s="504"/>
      <c r="Z226" s="504"/>
      <c r="AA226" s="504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</row>
    <row r="227" spans="1:40" ht="15.75" hidden="1" customHeight="1">
      <c r="A227" s="517" t="s">
        <v>346</v>
      </c>
      <c r="B227" s="504" t="s">
        <v>83</v>
      </c>
      <c r="C227" s="525" t="s">
        <v>20</v>
      </c>
      <c r="D227" s="577"/>
      <c r="E227" s="504"/>
      <c r="F227" s="526">
        <f t="array" ref="F227">+INDEX('[6]Budget original'!$A$2:$AO$500,MATCH($A227,'[6]Budget original'!$A$2:$A$500,0),MATCH(F$2,'[6]Budget original'!$A$2:$AO$2,0))</f>
        <v>0</v>
      </c>
      <c r="G227" s="578"/>
      <c r="H227" s="504"/>
      <c r="I227" s="526"/>
      <c r="J227" s="525"/>
      <c r="K227" s="504"/>
      <c r="L227" s="528">
        <f>SUMIFS([6]BV_Data_An_Cour!$O:$O,[6]BV_Data_An_Cour!$U:$U,$B227,[6]BV_Data_An_Cour!$V:$V,$C227,[6]BV_Data_An_Cour!$W:$W,$L$2)</f>
        <v>0</v>
      </c>
      <c r="M227" s="525"/>
      <c r="N227" s="551">
        <f t="shared" si="47"/>
        <v>0</v>
      </c>
      <c r="O227" s="525"/>
      <c r="P227" s="504"/>
      <c r="Q227" s="528">
        <f>SUMIFS([6]BV_Data_An_Prec!$O:$O,[6]BV_Data_An_Prec!$U:$U,$B227,[6]BV_Data_An_Prec!$V:$V,$C227,[6]BV_Data_An_Prec!$W:$W,$L$2)</f>
        <v>0</v>
      </c>
      <c r="R227" s="525"/>
      <c r="S227" s="551">
        <f t="shared" si="48"/>
        <v>0</v>
      </c>
      <c r="T227" s="504"/>
      <c r="U227" s="504"/>
      <c r="V227" s="504"/>
      <c r="W227" s="504"/>
      <c r="X227" s="504"/>
      <c r="Y227" s="504"/>
      <c r="Z227" s="504"/>
      <c r="AA227" s="504"/>
      <c r="AB227" s="50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</row>
    <row r="228" spans="1:40" ht="15.75" customHeight="1">
      <c r="B228" s="504"/>
      <c r="C228" s="584" t="s">
        <v>64</v>
      </c>
      <c r="D228" s="585" t="s">
        <v>97</v>
      </c>
      <c r="E228" s="586">
        <f>F228/F$193</f>
        <v>0.2528300559709295</v>
      </c>
      <c r="F228" s="587">
        <f>+SUM(F210:F227)</f>
        <v>43592.967569219814</v>
      </c>
      <c r="G228" s="588"/>
      <c r="H228" s="586"/>
      <c r="I228" s="587"/>
      <c r="J228" s="588" t="s">
        <v>97</v>
      </c>
      <c r="K228" s="586">
        <f>L228/L$193</f>
        <v>0.25898250578074572</v>
      </c>
      <c r="L228" s="587">
        <f>+SUM(L210:L227)</f>
        <v>51811.100000000006</v>
      </c>
      <c r="M228" s="591"/>
      <c r="N228" s="587">
        <f t="shared" si="47"/>
        <v>8218.1324307801915</v>
      </c>
      <c r="O228" s="588" t="s">
        <v>97</v>
      </c>
      <c r="P228" s="586">
        <f>Q228/Q$193</f>
        <v>0.25426701440176575</v>
      </c>
      <c r="Q228" s="587">
        <f>+SUM(Q210:Q227)</f>
        <v>48402.619750000005</v>
      </c>
      <c r="R228" s="591"/>
      <c r="S228" s="587">
        <f t="shared" si="48"/>
        <v>3408.4802500000005</v>
      </c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</row>
    <row r="229" spans="1:40" ht="15.75" customHeight="1">
      <c r="B229" s="504"/>
      <c r="C229" s="518"/>
      <c r="D229" s="579"/>
      <c r="E229" s="598"/>
      <c r="F229" s="551"/>
      <c r="G229" s="580"/>
      <c r="H229" s="598"/>
      <c r="I229" s="551"/>
      <c r="J229" s="518"/>
      <c r="K229" s="598"/>
      <c r="L229" s="574"/>
      <c r="M229" s="518"/>
      <c r="N229" s="574"/>
      <c r="O229" s="518"/>
      <c r="P229" s="598"/>
      <c r="Q229" s="574"/>
      <c r="R229" s="518"/>
      <c r="S229" s="574"/>
      <c r="T229" s="504"/>
      <c r="U229" s="504"/>
      <c r="V229" s="504"/>
      <c r="W229" s="504"/>
      <c r="X229" s="504"/>
      <c r="Y229" s="504"/>
      <c r="Z229" s="504"/>
      <c r="AA229" s="504"/>
      <c r="AB229" s="50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</row>
    <row r="230" spans="1:40" ht="15.75" customHeight="1">
      <c r="B230" s="504"/>
      <c r="C230" s="584" t="s">
        <v>65</v>
      </c>
      <c r="D230" s="585" t="s">
        <v>39</v>
      </c>
      <c r="E230" s="586">
        <f>F230/F$193</f>
        <v>0.90806775131155415</v>
      </c>
      <c r="F230" s="587">
        <f>F209+F228</f>
        <v>156569.07515034717</v>
      </c>
      <c r="G230" s="588"/>
      <c r="H230" s="586"/>
      <c r="I230" s="587"/>
      <c r="J230" s="588" t="s">
        <v>39</v>
      </c>
      <c r="K230" s="586">
        <f>L230/L$193</f>
        <v>0.77775508972796026</v>
      </c>
      <c r="L230" s="587">
        <f>L209+L228</f>
        <v>155594.86000000002</v>
      </c>
      <c r="M230" s="591"/>
      <c r="N230" s="600">
        <f>L230-F230</f>
        <v>-974.21515034715412</v>
      </c>
      <c r="O230" s="588" t="s">
        <v>39</v>
      </c>
      <c r="P230" s="586">
        <f>Q230/Q$193</f>
        <v>0.97604913218216849</v>
      </c>
      <c r="Q230" s="587">
        <f>Q209+Q228</f>
        <v>185802.05975000001</v>
      </c>
      <c r="R230" s="591"/>
      <c r="S230" s="600">
        <f>L230-Q230</f>
        <v>-30207.19975</v>
      </c>
      <c r="T230" s="504"/>
      <c r="U230" s="504"/>
      <c r="V230" s="504"/>
      <c r="W230" s="504"/>
      <c r="X230" s="50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</row>
    <row r="231" spans="1:40" ht="15.75" customHeight="1">
      <c r="B231" s="504"/>
      <c r="C231" s="525"/>
      <c r="D231" s="577"/>
      <c r="E231" s="504"/>
      <c r="F231" s="551"/>
      <c r="G231" s="578"/>
      <c r="H231" s="504"/>
      <c r="I231" s="551"/>
      <c r="J231" s="525"/>
      <c r="K231" s="504"/>
      <c r="L231" s="551"/>
      <c r="M231" s="525"/>
      <c r="N231" s="551">
        <f>L231-F231</f>
        <v>0</v>
      </c>
      <c r="O231" s="525"/>
      <c r="P231" s="504"/>
      <c r="Q231" s="551"/>
      <c r="R231" s="525"/>
      <c r="S231" s="551"/>
      <c r="T231" s="504"/>
      <c r="U231" s="504"/>
      <c r="V231" s="504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</row>
    <row r="232" spans="1:40" ht="15.75" customHeight="1" thickBot="1">
      <c r="B232" s="504"/>
      <c r="C232" s="614" t="s">
        <v>72</v>
      </c>
      <c r="D232" s="642"/>
      <c r="E232" s="615"/>
      <c r="F232" s="617">
        <f>F193-F230</f>
        <v>15850.961707265</v>
      </c>
      <c r="G232" s="643"/>
      <c r="H232" s="615"/>
      <c r="I232" s="617"/>
      <c r="J232" s="614"/>
      <c r="K232" s="616"/>
      <c r="L232" s="617">
        <f>L193-L230</f>
        <v>44461.50999999998</v>
      </c>
      <c r="M232" s="614"/>
      <c r="N232" s="617">
        <f>L232-F232</f>
        <v>28610.54829273498</v>
      </c>
      <c r="O232" s="614"/>
      <c r="P232" s="616"/>
      <c r="Q232" s="617">
        <f>Q193-Q230</f>
        <v>4559.3202499999898</v>
      </c>
      <c r="R232" s="614"/>
      <c r="S232" s="617">
        <f>L232-Q232</f>
        <v>39902.18974999999</v>
      </c>
      <c r="T232" s="504"/>
      <c r="U232" s="504"/>
      <c r="V232" s="504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</row>
    <row r="233" spans="1:40" ht="15.75" customHeight="1" thickTop="1"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69"/>
      <c r="M233" s="569"/>
      <c r="N233" s="504"/>
      <c r="O233" s="569"/>
      <c r="P233" s="504"/>
      <c r="Q233" s="569"/>
      <c r="R233" s="504"/>
      <c r="S233" s="504"/>
      <c r="T233" s="504"/>
      <c r="U233" s="504"/>
      <c r="V233" s="504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</row>
    <row r="234" spans="1:40" ht="15.75" customHeight="1">
      <c r="B234" s="504"/>
      <c r="C234" s="501"/>
      <c r="D234" s="501"/>
      <c r="E234" s="501"/>
      <c r="F234" s="501"/>
      <c r="G234" s="501"/>
      <c r="H234" s="501"/>
      <c r="I234" s="501"/>
      <c r="J234" s="501"/>
      <c r="K234" s="501"/>
      <c r="L234" s="644"/>
      <c r="M234" s="644"/>
      <c r="N234" s="501"/>
      <c r="O234" s="644"/>
      <c r="P234" s="501"/>
      <c r="Q234" s="644"/>
      <c r="R234" s="501"/>
      <c r="S234" s="501"/>
      <c r="T234" s="501"/>
      <c r="U234" s="501"/>
      <c r="V234" s="504"/>
      <c r="W234" s="504"/>
      <c r="X234" s="504"/>
      <c r="Y234" s="504"/>
      <c r="Z234" s="504"/>
      <c r="AA234" s="504"/>
      <c r="AB234" s="50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</row>
    <row r="235" spans="1:40" ht="33" customHeight="1">
      <c r="B235" s="504"/>
      <c r="C235" s="622" t="str">
        <f>C1</f>
        <v>Volks</v>
      </c>
      <c r="D235" s="492"/>
      <c r="E235" s="492"/>
      <c r="F235" s="492"/>
      <c r="G235" s="492"/>
      <c r="H235" s="490"/>
      <c r="I235" s="490"/>
      <c r="J235" s="490"/>
      <c r="K235" s="494" t="s">
        <v>99</v>
      </c>
      <c r="L235" s="492"/>
      <c r="M235" s="492"/>
      <c r="N235" s="490"/>
      <c r="O235" s="490"/>
      <c r="P235" s="492"/>
      <c r="Q235" s="490"/>
      <c r="R235" s="492"/>
      <c r="S235" s="623" t="str">
        <f>$S$1</f>
        <v>Réalisé, Juin 2023</v>
      </c>
      <c r="T235" s="492"/>
      <c r="U235" s="490"/>
      <c r="V235" s="501"/>
      <c r="W235" s="501"/>
      <c r="X235" s="501"/>
      <c r="Y235" s="501"/>
      <c r="Z235" s="501"/>
      <c r="AA235" s="501"/>
      <c r="AB235" s="501"/>
      <c r="AC235" s="501"/>
      <c r="AD235" s="501"/>
      <c r="AE235" s="501"/>
      <c r="AF235" s="501"/>
      <c r="AG235" s="501"/>
      <c r="AH235" s="501"/>
      <c r="AI235" s="501"/>
      <c r="AJ235" s="501"/>
      <c r="AK235" s="501"/>
      <c r="AL235" s="501"/>
      <c r="AM235" s="501"/>
      <c r="AN235" s="501"/>
    </row>
    <row r="236" spans="1:40" ht="24" customHeight="1" thickBot="1">
      <c r="B236" s="504"/>
      <c r="C236" s="499"/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  <c r="V236" s="490"/>
      <c r="W236" s="490"/>
      <c r="X236" s="490"/>
      <c r="Y236" s="490"/>
      <c r="Z236" s="490"/>
      <c r="AA236" s="490"/>
      <c r="AB236" s="490"/>
      <c r="AC236" s="490"/>
      <c r="AD236" s="490"/>
      <c r="AE236" s="490"/>
      <c r="AF236" s="490"/>
      <c r="AG236" s="490"/>
      <c r="AH236" s="490"/>
      <c r="AI236" s="490"/>
      <c r="AJ236" s="490"/>
      <c r="AK236" s="490"/>
      <c r="AL236" s="490"/>
      <c r="AM236" s="490"/>
      <c r="AN236" s="490"/>
    </row>
    <row r="237" spans="1:40" ht="15.75" customHeight="1" thickTop="1">
      <c r="B237" s="504"/>
      <c r="C237" s="505"/>
      <c r="D237" s="506" t="s">
        <v>5</v>
      </c>
      <c r="E237" s="507"/>
      <c r="F237" s="508"/>
      <c r="G237" s="509"/>
      <c r="H237" s="507"/>
      <c r="I237" s="508"/>
      <c r="J237" s="509" t="s">
        <v>7</v>
      </c>
      <c r="K237" s="507"/>
      <c r="L237" s="508"/>
      <c r="M237" s="509" t="s">
        <v>472</v>
      </c>
      <c r="N237" s="508"/>
      <c r="O237" s="506" t="s">
        <v>9</v>
      </c>
      <c r="P237" s="507"/>
      <c r="Q237" s="508"/>
      <c r="R237" s="509" t="s">
        <v>473</v>
      </c>
      <c r="S237" s="508"/>
      <c r="T237" s="638"/>
      <c r="U237" s="504"/>
      <c r="V237" s="501"/>
      <c r="W237" s="501"/>
      <c r="X237" s="501"/>
      <c r="Y237" s="501"/>
      <c r="Z237" s="501"/>
      <c r="AA237" s="501"/>
      <c r="AB237" s="501"/>
      <c r="AC237" s="501"/>
      <c r="AD237" s="501"/>
      <c r="AE237" s="501"/>
      <c r="AF237" s="501"/>
      <c r="AG237" s="501"/>
      <c r="AH237" s="501"/>
      <c r="AI237" s="501"/>
      <c r="AJ237" s="501"/>
      <c r="AK237" s="501"/>
      <c r="AL237" s="501"/>
      <c r="AM237" s="501"/>
      <c r="AN237" s="501"/>
    </row>
    <row r="238" spans="1:40" ht="15.75" customHeight="1">
      <c r="A238" s="517" t="s">
        <v>99</v>
      </c>
      <c r="B238" s="504" t="s">
        <v>99</v>
      </c>
      <c r="C238" s="525"/>
      <c r="D238" s="567" t="s">
        <v>40</v>
      </c>
      <c r="E238" s="567" t="s">
        <v>84</v>
      </c>
      <c r="F238" s="645" t="s">
        <v>13</v>
      </c>
      <c r="G238" s="646"/>
      <c r="H238" s="567"/>
      <c r="I238" s="645"/>
      <c r="J238" s="646" t="s">
        <v>40</v>
      </c>
      <c r="K238" s="567" t="s">
        <v>84</v>
      </c>
      <c r="L238" s="645" t="s">
        <v>13</v>
      </c>
      <c r="M238" s="646" t="s">
        <v>40</v>
      </c>
      <c r="N238" s="645" t="s">
        <v>475</v>
      </c>
      <c r="O238" s="567" t="s">
        <v>40</v>
      </c>
      <c r="P238" s="567" t="s">
        <v>84</v>
      </c>
      <c r="Q238" s="645" t="s">
        <v>13</v>
      </c>
      <c r="R238" s="646" t="s">
        <v>85</v>
      </c>
      <c r="S238" s="645" t="s">
        <v>13</v>
      </c>
      <c r="T238" s="567"/>
      <c r="U238" s="504"/>
      <c r="V238" s="504"/>
      <c r="W238" s="504"/>
      <c r="X238" s="504"/>
      <c r="Y238" s="504"/>
      <c r="Z238" s="504"/>
      <c r="AA238" s="504"/>
      <c r="AB238" s="504"/>
      <c r="AC238" s="50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</row>
    <row r="239" spans="1:40" ht="15.75" customHeight="1">
      <c r="A239" s="517" t="s">
        <v>99</v>
      </c>
      <c r="B239" s="504" t="s">
        <v>99</v>
      </c>
      <c r="C239" s="525"/>
      <c r="D239" s="567"/>
      <c r="E239" s="567"/>
      <c r="F239" s="645"/>
      <c r="G239" s="646"/>
      <c r="H239" s="567"/>
      <c r="I239" s="645"/>
      <c r="J239" s="646"/>
      <c r="K239" s="526"/>
      <c r="L239" s="528"/>
      <c r="M239" s="646"/>
      <c r="N239" s="645"/>
      <c r="O239" s="567"/>
      <c r="P239" s="567"/>
      <c r="Q239" s="645"/>
      <c r="R239" s="646"/>
      <c r="S239" s="645"/>
      <c r="T239" s="567"/>
      <c r="U239" s="504"/>
      <c r="V239" s="504"/>
      <c r="W239" s="504"/>
      <c r="X239" s="504"/>
      <c r="Y239" s="504"/>
      <c r="Z239" s="504"/>
      <c r="AA239" s="504"/>
      <c r="AB239" s="504"/>
      <c r="AC239" s="50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</row>
    <row r="240" spans="1:40" ht="15.75" customHeight="1">
      <c r="A240" s="517" t="s">
        <v>367</v>
      </c>
      <c r="B240" s="504" t="s">
        <v>99</v>
      </c>
      <c r="C240" s="525" t="s">
        <v>100</v>
      </c>
      <c r="D240" s="685">
        <f t="array" ref="D240">+INDEX('[6]Budget original'!$A$2:$AO$500,MATCH($A240,'[6]Budget original'!$A$2:$A$500,0),MATCH(D$2,'[6]Budget original'!$A$2:$AO$2,0))</f>
        <v>0</v>
      </c>
      <c r="E240" s="569">
        <f t="array" ref="E240">+INDEX('[6]Budget original'!$A$2:$AO$500,MATCH($A240,'[6]Budget original'!$A$2:$A$500,0),MATCH(E$2,'[6]Budget original'!$A$2:$AO$2,0))</f>
        <v>109434.21769626775</v>
      </c>
      <c r="F240" s="569">
        <f t="array" ref="F240">+INDEX('[6]Budget original'!$A$2:$AO$500,MATCH($A240,'[6]Budget original'!$A$2:$A$500,0),MATCH(F$2,'[6]Budget original'!$A$2:$AO$2,0))</f>
        <v>25727.327476402927</v>
      </c>
      <c r="G240" s="604"/>
      <c r="H240" s="569"/>
      <c r="I240" s="569"/>
      <c r="J240" s="552">
        <f>-SUMIFS([6]BV_Data_An_Cour!$O:$O,[6]BV_Data_An_Cour!$U:$U,$B240,[6]BV_Data_An_Cour!$V:$V,$C240,[6]BV_Data_An_Cour!$W:$W,J$2)</f>
        <v>35</v>
      </c>
      <c r="K240" s="526">
        <f>-SUMIFS([6]BV_Data_An_Cour!$O:$O,[6]BV_Data_An_Cour!$X:$X,"Oui",[6]BV_Data_An_Cour!$U:$U,$B240,[6]BV_Data_An_Cour!$V:$V,$C240)</f>
        <v>61602.33</v>
      </c>
      <c r="L240" s="528">
        <f>-SUMIFS([6]BV_Data_An_Cour!$O:$O,[6]BV_Data_An_Cour!$U:$U,$B240,[6]BV_Data_An_Cour!$V:$V,$C240,[6]BV_Data_An_Cour!$W:$W,$L$2)</f>
        <v>12667.000000000002</v>
      </c>
      <c r="M240" s="570">
        <f>IFERROR((K240-E240)/E240,0)</f>
        <v>-0.43708347081188165</v>
      </c>
      <c r="N240" s="551">
        <f>L240-F240</f>
        <v>-13060.327476402925</v>
      </c>
      <c r="O240" s="552">
        <f>-SUMIFS([6]BV_Data_An_Prec!$O:$O,[6]BV_Data_An_Prec!$U:$U,$B240,[6]BV_Data_An_Prec!$V:$V,$C240,[6]BV_Data_An_Prec!$W:$W,O$2)</f>
        <v>77</v>
      </c>
      <c r="P240" s="526">
        <f>-SUMIFS([6]BV_Data_An_Prec!$O:$O,[6]BV_Data_An_Prec!$X:$X,"Oui",[6]BV_Data_An_Prec!$U:$U,$B240,[6]BV_Data_An_Prec!$V:$V,$C240)</f>
        <v>117303.03000000001</v>
      </c>
      <c r="Q240" s="528">
        <f>-SUMIFS([6]BV_Data_An_Prec!$O:$O,[6]BV_Data_An_Prec!$U:$U,$B240,[6]BV_Data_An_Prec!$V:$V,$C240,[6]BV_Data_An_Prec!$W:$W,$L$2)</f>
        <v>25370.320000000003</v>
      </c>
      <c r="R240" s="570">
        <f>IF(O240=0,0,J240/O240)</f>
        <v>0.45454545454545453</v>
      </c>
      <c r="S240" s="551">
        <f>L240-Q240</f>
        <v>-12703.320000000002</v>
      </c>
      <c r="T240" s="567"/>
      <c r="U240" s="504"/>
      <c r="V240" s="504"/>
      <c r="W240" s="504"/>
      <c r="X240" s="504"/>
      <c r="Y240" s="504"/>
      <c r="Z240" s="504"/>
      <c r="AA240" s="504"/>
      <c r="AB240" s="504"/>
      <c r="AC240" s="50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</row>
    <row r="241" spans="1:40" ht="15.75" customHeight="1">
      <c r="A241" s="517" t="s">
        <v>368</v>
      </c>
      <c r="B241" s="504" t="s">
        <v>99</v>
      </c>
      <c r="C241" s="525" t="s">
        <v>87</v>
      </c>
      <c r="D241" s="567"/>
      <c r="E241" s="631"/>
      <c r="F241" s="647">
        <f>IFERROR(F240/E240,0)</f>
        <v>0.23509399544307572</v>
      </c>
      <c r="G241" s="525"/>
      <c r="H241" s="631"/>
      <c r="I241" s="647"/>
      <c r="J241" s="552"/>
      <c r="K241" s="504"/>
      <c r="L241" s="647">
        <f>IFERROR(L240/K240,0)</f>
        <v>0.20562533917142423</v>
      </c>
      <c r="M241" s="570"/>
      <c r="N241" s="551">
        <f>IFERROR(N240/M240,0)</f>
        <v>29880.625437844614</v>
      </c>
      <c r="O241" s="552"/>
      <c r="P241" s="504"/>
      <c r="Q241" s="647">
        <f>IFERROR(Q240/P240,0)</f>
        <v>0.21628017622392193</v>
      </c>
      <c r="R241" s="552"/>
      <c r="S241" s="551">
        <f>IFERROR(S240/R240,0)</f>
        <v>-27947.304000000004</v>
      </c>
      <c r="T241" s="567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4"/>
      <c r="AJ241" s="504"/>
      <c r="AK241" s="504"/>
      <c r="AL241" s="504"/>
      <c r="AM241" s="504"/>
      <c r="AN241" s="504"/>
    </row>
    <row r="242" spans="1:40" ht="15.75" customHeight="1">
      <c r="A242" s="517" t="s">
        <v>99</v>
      </c>
      <c r="B242" s="504" t="s">
        <v>99</v>
      </c>
      <c r="C242" s="525"/>
      <c r="D242" s="567"/>
      <c r="E242" s="686"/>
      <c r="F242" s="625"/>
      <c r="G242" s="646"/>
      <c r="H242" s="686"/>
      <c r="I242" s="625"/>
      <c r="J242" s="646"/>
      <c r="K242" s="567"/>
      <c r="L242" s="645"/>
      <c r="M242" s="646"/>
      <c r="N242" s="645"/>
      <c r="O242" s="646"/>
      <c r="P242" s="567"/>
      <c r="Q242" s="645"/>
      <c r="R242" s="624"/>
      <c r="S242" s="645"/>
      <c r="T242" s="567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4"/>
      <c r="AJ242" s="504"/>
      <c r="AK242" s="504"/>
      <c r="AL242" s="504"/>
      <c r="AM242" s="504"/>
      <c r="AN242" s="504"/>
    </row>
    <row r="243" spans="1:40" ht="15.75" customHeight="1">
      <c r="A243" s="517" t="s">
        <v>369</v>
      </c>
      <c r="B243" s="504" t="s">
        <v>99</v>
      </c>
      <c r="C243" s="512" t="s">
        <v>101</v>
      </c>
      <c r="D243" s="651">
        <f t="array" ref="D243">+INDEX('[6]Budget original'!$A$2:$AO$500,MATCH($A243,'[6]Budget original'!$A$2:$A$500,0),MATCH(D$2,'[6]Budget original'!$A$2:$AO$2,0))</f>
        <v>0</v>
      </c>
      <c r="E243" s="569">
        <f t="array" ref="E243">+INDEX('[6]Budget original'!$A$2:$AO$500,MATCH($A243,'[6]Budget original'!$A$2:$A$500,0),MATCH(E$2,'[6]Budget original'!$A$2:$AO$2,0))</f>
        <v>0</v>
      </c>
      <c r="F243" s="569">
        <f t="array" ref="F243">+INDEX('[6]Budget original'!$A$2:$AO$500,MATCH($A243,'[6]Budget original'!$A$2:$A$500,0),MATCH(F$2,'[6]Budget original'!$A$2:$AO$2,0))</f>
        <v>0</v>
      </c>
      <c r="G243" s="687"/>
      <c r="H243" s="569"/>
      <c r="I243" s="569"/>
      <c r="J243" s="652">
        <f>SUMIFS([6]BV_Data_An_Cour!$C$1:$C$388,[6]BV_Data_An_Cour!$V$1:$V$388,$C243,[6]BV_Data_An_Cour!$U$1:$U$388,$K$235)</f>
        <v>0</v>
      </c>
      <c r="K243" s="546">
        <f>-SUMIFS([6]BV_Data_An_Cour!$O:$O,[6]BV_Data_An_Cour!$X:$X,"Oui",[6]BV_Data_An_Cour!$U:$U,$B243,[6]BV_Data_An_Cour!$V:$V,$C243)</f>
        <v>0</v>
      </c>
      <c r="L243" s="547">
        <f>-SUMIFS([6]BV_Data_An_Cour!$O:$O,[6]BV_Data_An_Cour!$U:$U,$B243,[6]BV_Data_An_Cour!$V:$V,$C243,[6]BV_Data_An_Cour!$W:$W,$L$2)</f>
        <v>0</v>
      </c>
      <c r="M243" s="656">
        <f>IFERROR((K243-E243)/E243,0)</f>
        <v>0</v>
      </c>
      <c r="N243" s="597">
        <f>L243-F243</f>
        <v>0</v>
      </c>
      <c r="O243" s="652">
        <f>SUMIFS([6]BV_Data_An_Prec!$C$1:$C$637,[6]BV_Data_An_Prec!$V$1:$V$637,$C243,[6]BV_Data_An_Prec!$U$1:$U$637,$K$235)</f>
        <v>0</v>
      </c>
      <c r="P243" s="546">
        <f>-SUMIFS([6]BV_Data_An_Prec!$O:$O,[6]BV_Data_An_Prec!$X:$X,"Oui",[6]BV_Data_An_Prec!$U:$U,$B243,[6]BV_Data_An_Prec!$V:$V,$C243)</f>
        <v>0</v>
      </c>
      <c r="Q243" s="547">
        <f>-SUMIFS([6]BV_Data_An_Prec!$O:$O,[6]BV_Data_An_Prec!$U:$U,$B243,[6]BV_Data_An_Prec!$V:$V,$C243,[6]BV_Data_An_Prec!$W:$W,$L$2)</f>
        <v>0</v>
      </c>
      <c r="R243" s="570">
        <f>IF(O243=0,0,J243/O243)</f>
        <v>0</v>
      </c>
      <c r="S243" s="597">
        <f>L243-Q243</f>
        <v>0</v>
      </c>
      <c r="T243" s="635"/>
      <c r="U243" s="504"/>
      <c r="V243" s="504"/>
      <c r="W243" s="504"/>
      <c r="X243" s="504"/>
      <c r="Y243" s="504"/>
      <c r="Z243" s="504"/>
      <c r="AA243" s="504"/>
      <c r="AB243" s="504"/>
      <c r="AC243" s="504"/>
      <c r="AD243" s="504"/>
      <c r="AE243" s="504"/>
      <c r="AF243" s="504"/>
      <c r="AG243" s="504"/>
      <c r="AH243" s="504"/>
      <c r="AI243" s="504"/>
      <c r="AJ243" s="504"/>
      <c r="AK243" s="504"/>
      <c r="AL243" s="504"/>
      <c r="AM243" s="504"/>
      <c r="AN243" s="504"/>
    </row>
    <row r="244" spans="1:40" ht="15.75" customHeight="1">
      <c r="A244" s="517" t="s">
        <v>368</v>
      </c>
      <c r="B244" s="504" t="s">
        <v>99</v>
      </c>
      <c r="C244" s="525" t="s">
        <v>87</v>
      </c>
      <c r="D244" s="504"/>
      <c r="E244" s="631"/>
      <c r="F244" s="647">
        <f>IFERROR(F243/E243,0)</f>
        <v>0</v>
      </c>
      <c r="G244" s="525"/>
      <c r="H244" s="631"/>
      <c r="I244" s="647"/>
      <c r="J244" s="552"/>
      <c r="K244" s="504"/>
      <c r="L244" s="647">
        <f>IFERROR(L243/K243,0)</f>
        <v>0</v>
      </c>
      <c r="M244" s="570"/>
      <c r="N244" s="551">
        <f>IFERROR(N243/F243,0)</f>
        <v>0</v>
      </c>
      <c r="O244" s="552"/>
      <c r="P244" s="504"/>
      <c r="Q244" s="647">
        <f>IFERROR(Q243/P243,0)</f>
        <v>0</v>
      </c>
      <c r="R244" s="552"/>
      <c r="S244" s="551">
        <f>IF(Q243=0,0,S243/Q243)</f>
        <v>0</v>
      </c>
      <c r="T244" s="635"/>
      <c r="U244" s="504"/>
      <c r="V244" s="504"/>
      <c r="W244" s="504"/>
      <c r="X244" s="504"/>
      <c r="Y244" s="504"/>
      <c r="Z244" s="504"/>
      <c r="AA244" s="504"/>
      <c r="AB244" s="504"/>
      <c r="AC244" s="504"/>
      <c r="AD244" s="504"/>
      <c r="AE244" s="504"/>
      <c r="AF244" s="504"/>
      <c r="AG244" s="504"/>
      <c r="AH244" s="504"/>
      <c r="AI244" s="504"/>
      <c r="AJ244" s="504"/>
      <c r="AK244" s="504"/>
      <c r="AL244" s="504"/>
      <c r="AM244" s="504"/>
      <c r="AN244" s="504"/>
    </row>
    <row r="245" spans="1:40" ht="15.75" customHeight="1">
      <c r="A245" s="517" t="s">
        <v>99</v>
      </c>
      <c r="B245" s="504" t="s">
        <v>99</v>
      </c>
      <c r="C245" s="518"/>
      <c r="D245" s="598"/>
      <c r="E245" s="688"/>
      <c r="F245" s="649"/>
      <c r="G245" s="518"/>
      <c r="H245" s="688"/>
      <c r="I245" s="649"/>
      <c r="J245" s="650"/>
      <c r="K245" s="689"/>
      <c r="L245" s="649"/>
      <c r="M245" s="573"/>
      <c r="N245" s="574"/>
      <c r="O245" s="650"/>
      <c r="P245" s="689"/>
      <c r="Q245" s="649"/>
      <c r="R245" s="650"/>
      <c r="S245" s="574"/>
      <c r="T245" s="635"/>
      <c r="U245" s="504"/>
      <c r="V245" s="504"/>
      <c r="W245" s="504"/>
      <c r="X245" s="504"/>
      <c r="Y245" s="504"/>
      <c r="Z245" s="504"/>
      <c r="AA245" s="504"/>
      <c r="AB245" s="504"/>
      <c r="AC245" s="504"/>
      <c r="AD245" s="504"/>
      <c r="AE245" s="504"/>
      <c r="AF245" s="504"/>
      <c r="AG245" s="504"/>
      <c r="AH245" s="504"/>
      <c r="AI245" s="504"/>
      <c r="AJ245" s="504"/>
      <c r="AK245" s="504"/>
      <c r="AL245" s="504"/>
      <c r="AM245" s="504"/>
      <c r="AN245" s="504"/>
    </row>
    <row r="246" spans="1:40" ht="15.75" customHeight="1">
      <c r="A246" s="517" t="s">
        <v>370</v>
      </c>
      <c r="B246" s="504" t="s">
        <v>99</v>
      </c>
      <c r="C246" s="512" t="s">
        <v>102</v>
      </c>
      <c r="D246" s="651">
        <v>0</v>
      </c>
      <c r="E246" s="569">
        <v>0</v>
      </c>
      <c r="F246" s="569">
        <v>0</v>
      </c>
      <c r="G246" s="652"/>
      <c r="H246" s="569"/>
      <c r="I246" s="569"/>
      <c r="J246" s="652">
        <f>SUMIFS([6]BV_Data_An_Cour!$C$1:$C$388,[6]BV_Data_An_Cour!$V$1:$V$388,$C246,[6]BV_Data_An_Cour!$U$1:$U$388,$K$235)</f>
        <v>0</v>
      </c>
      <c r="K246" s="526">
        <f>-SUMIFS([6]BV_Data_An_Cour!$O:$O,[6]BV_Data_An_Cour!$X:$X,"Oui",[6]BV_Data_An_Cour!$U:$U,$B246,[6]BV_Data_An_Cour!$V:$V,$C246)</f>
        <v>0</v>
      </c>
      <c r="L246" s="528">
        <f>-SUMIFS([6]BV_Data_An_Cour!$O:$O,[6]BV_Data_An_Cour!$U:$U,$B246,[6]BV_Data_An_Cour!$V:$V,$C246,[6]BV_Data_An_Cour!$W:$W,$L$2)</f>
        <v>0</v>
      </c>
      <c r="M246" s="570">
        <f>IFERROR((K246-E246)/E246,0)</f>
        <v>0</v>
      </c>
      <c r="N246" s="597">
        <f>L246-F246</f>
        <v>0</v>
      </c>
      <c r="O246" s="652">
        <f>SUMIFS([6]BV_Data_An_Prec!$C$1:$C$637,[6]BV_Data_An_Prec!$V$1:$V$637,$C246,[6]BV_Data_An_Prec!$U$1:$U$637,$K$235)</f>
        <v>0</v>
      </c>
      <c r="P246" s="526">
        <f>-SUMIFS([6]BV_Data_An_Prec!$O:$O,[6]BV_Data_An_Prec!$X:$X,"Oui",[6]BV_Data_An_Prec!$U:$U,$B246,[6]BV_Data_An_Prec!$V:$V,$C246)</f>
        <v>0</v>
      </c>
      <c r="Q246" s="528">
        <f>-SUMIFS([6]BV_Data_An_Prec!$O:$O,[6]BV_Data_An_Prec!$U:$U,$B246,[6]BV_Data_An_Prec!$V:$V,$C246,[6]BV_Data_An_Prec!$W:$W,$L$2)</f>
        <v>0</v>
      </c>
      <c r="R246" s="570">
        <f>IF(O246=0,0,J246/O246)</f>
        <v>0</v>
      </c>
      <c r="S246" s="551">
        <f>L246-Q246</f>
        <v>0</v>
      </c>
      <c r="T246" s="635"/>
      <c r="U246" s="504"/>
      <c r="V246" s="504"/>
      <c r="W246" s="504"/>
      <c r="X246" s="504"/>
      <c r="Y246" s="504"/>
      <c r="Z246" s="504"/>
      <c r="AA246" s="504"/>
      <c r="AB246" s="504"/>
      <c r="AC246" s="504"/>
      <c r="AD246" s="504"/>
      <c r="AE246" s="504"/>
      <c r="AF246" s="504"/>
      <c r="AG246" s="504"/>
      <c r="AH246" s="504"/>
      <c r="AI246" s="504"/>
      <c r="AJ246" s="504"/>
      <c r="AK246" s="504"/>
      <c r="AL246" s="504"/>
      <c r="AM246" s="504"/>
      <c r="AN246" s="504"/>
    </row>
    <row r="247" spans="1:40" ht="15.75" customHeight="1">
      <c r="A247" s="517" t="s">
        <v>368</v>
      </c>
      <c r="B247" s="504" t="s">
        <v>99</v>
      </c>
      <c r="C247" s="525" t="s">
        <v>87</v>
      </c>
      <c r="D247" s="504"/>
      <c r="E247" s="504"/>
      <c r="F247" s="647">
        <f>IFERROR(F246/E246,0)</f>
        <v>0</v>
      </c>
      <c r="G247" s="525"/>
      <c r="H247" s="504"/>
      <c r="I247" s="647"/>
      <c r="J247" s="525"/>
      <c r="K247" s="504"/>
      <c r="L247" s="647">
        <f>IFERROR(L246/K246,0)</f>
        <v>0</v>
      </c>
      <c r="M247" s="542"/>
      <c r="N247" s="543">
        <f>IF(L246=0,0,N246/L246)</f>
        <v>0</v>
      </c>
      <c r="O247" s="525"/>
      <c r="P247" s="504"/>
      <c r="Q247" s="647">
        <f>IFERROR(Q246/P246,0)</f>
        <v>0</v>
      </c>
      <c r="R247" s="542"/>
      <c r="S247" s="543">
        <f>IF(Q246=0,0,S246/Q246)</f>
        <v>0</v>
      </c>
      <c r="T247" s="635"/>
      <c r="U247" s="504"/>
      <c r="V247" s="504"/>
      <c r="W247" s="504"/>
      <c r="X247" s="504"/>
      <c r="Y247" s="504"/>
      <c r="Z247" s="504"/>
      <c r="AA247" s="504"/>
      <c r="AB247" s="504"/>
      <c r="AC247" s="504"/>
      <c r="AD247" s="504"/>
      <c r="AE247" s="504"/>
      <c r="AF247" s="504"/>
      <c r="AG247" s="504"/>
      <c r="AH247" s="504"/>
      <c r="AI247" s="504"/>
      <c r="AJ247" s="504"/>
      <c r="AK247" s="504"/>
      <c r="AL247" s="504"/>
      <c r="AM247" s="504"/>
      <c r="AN247" s="504"/>
    </row>
    <row r="248" spans="1:40" ht="15.75" customHeight="1" thickBot="1">
      <c r="A248" s="517" t="s">
        <v>99</v>
      </c>
      <c r="B248" s="504" t="s">
        <v>99</v>
      </c>
      <c r="C248" s="525"/>
      <c r="D248" s="504"/>
      <c r="E248" s="504"/>
      <c r="F248" s="647"/>
      <c r="G248" s="525"/>
      <c r="H248" s="504"/>
      <c r="I248" s="647"/>
      <c r="J248" s="525"/>
      <c r="K248" s="504"/>
      <c r="L248" s="647"/>
      <c r="M248" s="542"/>
      <c r="N248" s="543"/>
      <c r="O248" s="525"/>
      <c r="P248" s="504"/>
      <c r="Q248" s="647"/>
      <c r="R248" s="542"/>
      <c r="S248" s="543"/>
      <c r="T248" s="635"/>
      <c r="U248" s="504"/>
      <c r="V248" s="504"/>
      <c r="W248" s="504"/>
      <c r="X248" s="504"/>
      <c r="Y248" s="504"/>
      <c r="Z248" s="504"/>
      <c r="AA248" s="504"/>
      <c r="AB248" s="504"/>
      <c r="AC248" s="504"/>
      <c r="AD248" s="504"/>
      <c r="AE248" s="504"/>
      <c r="AF248" s="504"/>
      <c r="AG248" s="504"/>
      <c r="AH248" s="504"/>
      <c r="AI248" s="504"/>
      <c r="AJ248" s="504"/>
      <c r="AK248" s="504"/>
      <c r="AL248" s="504"/>
      <c r="AM248" s="504"/>
      <c r="AN248" s="504"/>
    </row>
    <row r="249" spans="1:40" ht="15.75" customHeight="1" thickTop="1">
      <c r="A249" s="517" t="s">
        <v>371</v>
      </c>
      <c r="B249" s="504" t="s">
        <v>99</v>
      </c>
      <c r="C249" s="553" t="s">
        <v>96</v>
      </c>
      <c r="D249" s="554"/>
      <c r="E249" s="554">
        <f t="shared" ref="E249:F249" si="49">E243+E246+E240</f>
        <v>109434.21769626775</v>
      </c>
      <c r="F249" s="556">
        <f t="shared" si="49"/>
        <v>25727.327476402927</v>
      </c>
      <c r="G249" s="557"/>
      <c r="H249" s="554"/>
      <c r="I249" s="556"/>
      <c r="J249" s="557"/>
      <c r="K249" s="554">
        <f t="shared" ref="K249:L249" si="50">K243+K246+K240</f>
        <v>61602.33</v>
      </c>
      <c r="L249" s="556">
        <f t="shared" si="50"/>
        <v>12667.000000000002</v>
      </c>
      <c r="M249" s="684">
        <f>L250-F250</f>
        <v>-2.9468656271651489E-2</v>
      </c>
      <c r="N249" s="556">
        <f>L249-F249</f>
        <v>-13060.327476402925</v>
      </c>
      <c r="O249" s="557"/>
      <c r="P249" s="554">
        <f t="shared" ref="P249:Q249" si="51">P243+P246+P240</f>
        <v>117303.03000000001</v>
      </c>
      <c r="Q249" s="556">
        <f t="shared" si="51"/>
        <v>25370.320000000003</v>
      </c>
      <c r="R249" s="690">
        <f>L250-Q250</f>
        <v>-1.0654837052497701E-2</v>
      </c>
      <c r="S249" s="556">
        <f>L249-Q249</f>
        <v>-12703.320000000002</v>
      </c>
      <c r="T249" s="635"/>
      <c r="U249" s="504"/>
      <c r="V249" s="504"/>
      <c r="W249" s="504"/>
      <c r="X249" s="504"/>
      <c r="Y249" s="504"/>
      <c r="Z249" s="504"/>
      <c r="AA249" s="504"/>
      <c r="AB249" s="504"/>
      <c r="AC249" s="504"/>
      <c r="AD249" s="504"/>
      <c r="AE249" s="504"/>
      <c r="AF249" s="504"/>
      <c r="AG249" s="504"/>
      <c r="AH249" s="504"/>
      <c r="AI249" s="504"/>
      <c r="AJ249" s="504"/>
      <c r="AK249" s="504"/>
      <c r="AL249" s="504"/>
      <c r="AM249" s="504"/>
      <c r="AN249" s="504"/>
    </row>
    <row r="250" spans="1:40" ht="23.25" customHeight="1" thickBot="1">
      <c r="A250" s="517" t="s">
        <v>99</v>
      </c>
      <c r="B250" s="504" t="s">
        <v>99</v>
      </c>
      <c r="C250" s="558"/>
      <c r="D250" s="559"/>
      <c r="E250" s="559"/>
      <c r="F250" s="563">
        <f>F249/E249</f>
        <v>0.23509399544307572</v>
      </c>
      <c r="G250" s="558"/>
      <c r="H250" s="559"/>
      <c r="I250" s="563"/>
      <c r="J250" s="558"/>
      <c r="K250" s="559"/>
      <c r="L250" s="563">
        <f>IF(K249=0,0,L249/K249)</f>
        <v>0.20562533917142423</v>
      </c>
      <c r="M250" s="562"/>
      <c r="N250" s="563">
        <f>N249/F249</f>
        <v>-0.50764415730245749</v>
      </c>
      <c r="O250" s="558"/>
      <c r="P250" s="559"/>
      <c r="Q250" s="563">
        <f>IF(P249=0,0,Q249/P249)</f>
        <v>0.21628017622392193</v>
      </c>
      <c r="R250" s="562"/>
      <c r="S250" s="563">
        <f>S249/Q249</f>
        <v>-0.50071579704158242</v>
      </c>
      <c r="T250" s="635"/>
      <c r="U250" s="504"/>
      <c r="V250" s="504"/>
      <c r="W250" s="504"/>
      <c r="X250" s="504"/>
      <c r="Y250" s="504"/>
      <c r="Z250" s="504"/>
      <c r="AA250" s="504"/>
      <c r="AB250" s="504"/>
      <c r="AC250" s="504"/>
      <c r="AD250" s="504"/>
      <c r="AE250" s="504"/>
      <c r="AF250" s="504"/>
      <c r="AG250" s="504"/>
      <c r="AH250" s="504"/>
      <c r="AI250" s="504"/>
      <c r="AJ250" s="504"/>
      <c r="AK250" s="504"/>
      <c r="AL250" s="504"/>
      <c r="AM250" s="504"/>
      <c r="AN250" s="504"/>
    </row>
    <row r="251" spans="1:40" ht="15.75" customHeight="1" thickTop="1">
      <c r="A251" s="517" t="s">
        <v>99</v>
      </c>
      <c r="B251" s="504" t="s">
        <v>99</v>
      </c>
      <c r="C251" s="525"/>
      <c r="D251" s="504"/>
      <c r="E251" s="504"/>
      <c r="F251" s="551"/>
      <c r="G251" s="525"/>
      <c r="H251" s="504"/>
      <c r="I251" s="551"/>
      <c r="J251" s="525"/>
      <c r="K251" s="504"/>
      <c r="L251" s="535"/>
      <c r="M251" s="525"/>
      <c r="N251" s="535"/>
      <c r="O251" s="525"/>
      <c r="P251" s="504"/>
      <c r="Q251" s="535"/>
      <c r="R251" s="525"/>
      <c r="S251" s="535"/>
      <c r="T251" s="504"/>
      <c r="U251" s="504"/>
      <c r="V251" s="504"/>
      <c r="W251" s="504"/>
      <c r="X251" s="504"/>
      <c r="Y251" s="504"/>
      <c r="Z251" s="504"/>
      <c r="AA251" s="504"/>
      <c r="AB251" s="504"/>
      <c r="AC251" s="504"/>
      <c r="AD251" s="504"/>
      <c r="AE251" s="504"/>
      <c r="AF251" s="504"/>
      <c r="AG251" s="504"/>
      <c r="AH251" s="504"/>
      <c r="AI251" s="504"/>
      <c r="AJ251" s="504"/>
      <c r="AK251" s="504"/>
      <c r="AL251" s="504"/>
      <c r="AM251" s="504"/>
      <c r="AN251" s="504"/>
    </row>
    <row r="252" spans="1:40" ht="15.75" customHeight="1">
      <c r="A252" s="517" t="s">
        <v>372</v>
      </c>
      <c r="B252" s="504" t="s">
        <v>99</v>
      </c>
      <c r="C252" s="566" t="s">
        <v>30</v>
      </c>
      <c r="D252" s="504"/>
      <c r="E252" s="504"/>
      <c r="F252" s="551"/>
      <c r="G252" s="525"/>
      <c r="H252" s="504"/>
      <c r="I252" s="551"/>
      <c r="J252" s="525"/>
      <c r="K252" s="504"/>
      <c r="L252" s="535"/>
      <c r="M252" s="525"/>
      <c r="N252" s="535"/>
      <c r="O252" s="525"/>
      <c r="P252" s="504"/>
      <c r="Q252" s="535"/>
      <c r="R252" s="525"/>
      <c r="S252" s="535"/>
      <c r="T252" s="504"/>
      <c r="U252" s="504"/>
      <c r="V252" s="504"/>
      <c r="W252" s="504"/>
      <c r="X252" s="504"/>
      <c r="Y252" s="504"/>
      <c r="Z252" s="504"/>
      <c r="AA252" s="504"/>
      <c r="AB252" s="504"/>
      <c r="AC252" s="504"/>
      <c r="AD252" s="504"/>
      <c r="AE252" s="504"/>
      <c r="AF252" s="504"/>
      <c r="AG252" s="504"/>
      <c r="AH252" s="504"/>
      <c r="AI252" s="504"/>
      <c r="AJ252" s="504"/>
      <c r="AK252" s="504"/>
      <c r="AL252" s="504"/>
      <c r="AM252" s="504"/>
      <c r="AN252" s="504"/>
    </row>
    <row r="253" spans="1:40" ht="15.75" customHeight="1">
      <c r="A253" s="517" t="s">
        <v>373</v>
      </c>
      <c r="B253" s="504" t="s">
        <v>99</v>
      </c>
      <c r="C253" s="592" t="s">
        <v>41</v>
      </c>
      <c r="D253" s="504"/>
      <c r="E253" s="504"/>
      <c r="F253" s="526">
        <f t="array" ref="F253">+INDEX('[6]Budget original'!$A$2:$AO$500,MATCH($A253,'[6]Budget original'!$A$2:$A$500,0),MATCH(F$2,'[6]Budget original'!$A$2:$AO$2,0))</f>
        <v>325.80440613026821</v>
      </c>
      <c r="G253" s="525"/>
      <c r="H253" s="504"/>
      <c r="I253" s="526"/>
      <c r="J253" s="525"/>
      <c r="K253" s="504"/>
      <c r="L253" s="528">
        <f>SUMIFS([6]BV_Data_An_Cour!$O:$O,[6]BV_Data_An_Cour!$U:$U,$B253,[6]BV_Data_An_Cour!$V:$V,$C253,[6]BV_Data_An_Cour!$W:$W,$L$2)</f>
        <v>768.04</v>
      </c>
      <c r="M253" s="525"/>
      <c r="N253" s="551">
        <f t="shared" ref="N253:N283" si="52">L253-F253</f>
        <v>442.23559386973176</v>
      </c>
      <c r="O253" s="525"/>
      <c r="P253" s="504"/>
      <c r="Q253" s="528">
        <f>SUMIFS([6]BV_Data_An_Prec!$O:$O,[6]BV_Data_An_Prec!$U:$U,$B253,[6]BV_Data_An_Prec!$V:$V,$C253,[6]BV_Data_An_Prec!$W:$W,$L$2)</f>
        <v>901.88</v>
      </c>
      <c r="R253" s="525"/>
      <c r="S253" s="528">
        <f t="shared" ref="S253:S284" si="53">L253-Q253</f>
        <v>-133.84000000000003</v>
      </c>
      <c r="T253" s="504"/>
      <c r="U253" s="504"/>
      <c r="V253" s="504"/>
      <c r="W253" s="504"/>
      <c r="X253" s="504"/>
      <c r="Y253" s="504"/>
      <c r="Z253" s="504"/>
      <c r="AA253" s="504"/>
      <c r="AB253" s="504"/>
      <c r="AC253" s="504"/>
      <c r="AD253" s="504"/>
      <c r="AE253" s="504"/>
      <c r="AF253" s="504"/>
      <c r="AG253" s="504"/>
      <c r="AH253" s="504"/>
      <c r="AI253" s="504"/>
      <c r="AJ253" s="504"/>
      <c r="AK253" s="504"/>
      <c r="AL253" s="504"/>
      <c r="AM253" s="504"/>
      <c r="AN253" s="504"/>
    </row>
    <row r="254" spans="1:40" ht="15.75" customHeight="1">
      <c r="A254" s="517" t="s">
        <v>374</v>
      </c>
      <c r="B254" s="504" t="s">
        <v>99</v>
      </c>
      <c r="C254" s="593" t="s">
        <v>42</v>
      </c>
      <c r="D254" s="577"/>
      <c r="E254" s="504"/>
      <c r="F254" s="520">
        <f t="array" ref="F254">+INDEX('[6]Budget original'!$A$2:$AO$500,MATCH($A254,'[6]Budget original'!$A$2:$A$500,0),MATCH(F$2,'[6]Budget original'!$A$2:$AO$2,0))</f>
        <v>568.03540229885061</v>
      </c>
      <c r="G254" s="578"/>
      <c r="H254" s="504"/>
      <c r="I254" s="520"/>
      <c r="J254" s="525"/>
      <c r="K254" s="504"/>
      <c r="L254" s="528">
        <f>SUMIFS([6]BV_Data_An_Cour!$O:$O,[6]BV_Data_An_Cour!$U:$U,$B254,[6]BV_Data_An_Cour!$V:$V,$C254,[6]BV_Data_An_Cour!$W:$W,$L$2)</f>
        <v>0</v>
      </c>
      <c r="M254" s="525"/>
      <c r="N254" s="551">
        <f t="shared" si="52"/>
        <v>-568.03540229885061</v>
      </c>
      <c r="O254" s="525"/>
      <c r="P254" s="504"/>
      <c r="Q254" s="528">
        <f>SUMIFS([6]BV_Data_An_Prec!$O:$O,[6]BV_Data_An_Prec!$U:$U,$B254,[6]BV_Data_An_Prec!$V:$V,$C254,[6]BV_Data_An_Prec!$W:$W,$L$2)</f>
        <v>0</v>
      </c>
      <c r="R254" s="525"/>
      <c r="S254" s="551">
        <f t="shared" si="53"/>
        <v>0</v>
      </c>
      <c r="T254" s="504"/>
      <c r="U254" s="504"/>
      <c r="V254" s="504"/>
      <c r="W254" s="504"/>
      <c r="X254" s="504"/>
      <c r="Y254" s="504"/>
      <c r="Z254" s="504"/>
      <c r="AA254" s="504"/>
      <c r="AB254" s="504"/>
      <c r="AC254" s="504"/>
      <c r="AD254" s="504"/>
      <c r="AE254" s="504"/>
      <c r="AF254" s="504"/>
      <c r="AG254" s="504"/>
      <c r="AH254" s="504"/>
      <c r="AI254" s="504"/>
      <c r="AJ254" s="504"/>
      <c r="AK254" s="504"/>
      <c r="AL254" s="504"/>
      <c r="AM254" s="504"/>
      <c r="AN254" s="504"/>
    </row>
    <row r="255" spans="1:40" ht="15.75" customHeight="1">
      <c r="A255" s="517" t="s">
        <v>375</v>
      </c>
      <c r="B255" s="504" t="s">
        <v>99</v>
      </c>
      <c r="C255" s="592" t="s">
        <v>43</v>
      </c>
      <c r="D255" s="594"/>
      <c r="E255" s="595"/>
      <c r="F255" s="526">
        <f t="array" ref="F255">+INDEX('[6]Budget original'!$A$2:$AO$500,MATCH($A255,'[6]Budget original'!$A$2:$A$500,0),MATCH(F$2,'[6]Budget original'!$A$2:$AO$2,0))</f>
        <v>371.30268199233717</v>
      </c>
      <c r="G255" s="596"/>
      <c r="H255" s="595"/>
      <c r="I255" s="526"/>
      <c r="J255" s="512"/>
      <c r="K255" s="595"/>
      <c r="L255" s="547">
        <f>SUMIFS([6]BV_Data_An_Cour!$O:$O,[6]BV_Data_An_Cour!$U:$U,$B255,[6]BV_Data_An_Cour!$V:$V,$C255,[6]BV_Data_An_Cour!$W:$W,$L$2)</f>
        <v>0.21</v>
      </c>
      <c r="M255" s="512"/>
      <c r="N255" s="597">
        <f t="shared" si="52"/>
        <v>-371.09268199233719</v>
      </c>
      <c r="O255" s="512"/>
      <c r="P255" s="595"/>
      <c r="Q255" s="547">
        <f>SUMIFS([6]BV_Data_An_Prec!$O:$O,[6]BV_Data_An_Prec!$U:$U,$B255,[6]BV_Data_An_Prec!$V:$V,$C255,[6]BV_Data_An_Prec!$W:$W,$L$2)</f>
        <v>1.23</v>
      </c>
      <c r="R255" s="512"/>
      <c r="S255" s="597">
        <f t="shared" si="53"/>
        <v>-1.02</v>
      </c>
      <c r="T255" s="504"/>
      <c r="U255" s="504"/>
      <c r="V255" s="504"/>
      <c r="W255" s="504"/>
      <c r="X255" s="504"/>
      <c r="Y255" s="504"/>
      <c r="Z255" s="504"/>
      <c r="AA255" s="504"/>
      <c r="AB255" s="504"/>
      <c r="AC255" s="504"/>
      <c r="AD255" s="504"/>
      <c r="AE255" s="504"/>
      <c r="AF255" s="504"/>
      <c r="AG255" s="504"/>
      <c r="AH255" s="504"/>
      <c r="AI255" s="504"/>
      <c r="AJ255" s="504"/>
      <c r="AK255" s="504"/>
      <c r="AL255" s="504"/>
      <c r="AM255" s="504"/>
      <c r="AN255" s="504"/>
    </row>
    <row r="256" spans="1:40" ht="15.75" customHeight="1">
      <c r="A256" s="517" t="s">
        <v>376</v>
      </c>
      <c r="B256" s="504" t="s">
        <v>99</v>
      </c>
      <c r="C256" s="592" t="s">
        <v>44</v>
      </c>
      <c r="D256" s="577"/>
      <c r="E256" s="504"/>
      <c r="F256" s="526">
        <f t="array" ref="F256">+INDEX('[6]Budget original'!$A$2:$AO$500,MATCH($A256,'[6]Budget original'!$A$2:$A$500,0),MATCH(F$2,'[6]Budget original'!$A$2:$AO$2,0))</f>
        <v>3655.8620689655172</v>
      </c>
      <c r="G256" s="578"/>
      <c r="H256" s="504"/>
      <c r="I256" s="526"/>
      <c r="J256" s="525"/>
      <c r="K256" s="504"/>
      <c r="L256" s="528">
        <f>SUMIFS([6]BV_Data_An_Cour!$O:$O,[6]BV_Data_An_Cour!$U:$U,$B256,[6]BV_Data_An_Cour!$V:$V,$C256,[6]BV_Data_An_Cour!$W:$W,$L$2)</f>
        <v>5032.4399999999996</v>
      </c>
      <c r="M256" s="525"/>
      <c r="N256" s="551">
        <f t="shared" si="52"/>
        <v>1376.5779310344824</v>
      </c>
      <c r="O256" s="525"/>
      <c r="P256" s="504"/>
      <c r="Q256" s="528">
        <f>SUMIFS([6]BV_Data_An_Prec!$O:$O,[6]BV_Data_An_Prec!$U:$U,$B256,[6]BV_Data_An_Prec!$V:$V,$C256,[6]BV_Data_An_Prec!$W:$W,$L$2)</f>
        <v>5245.7199999999993</v>
      </c>
      <c r="R256" s="525"/>
      <c r="S256" s="551">
        <f t="shared" si="53"/>
        <v>-213.27999999999975</v>
      </c>
      <c r="T256" s="504"/>
      <c r="U256" s="504"/>
      <c r="V256" s="504"/>
      <c r="W256" s="504"/>
      <c r="X256" s="504"/>
      <c r="Y256" s="504"/>
      <c r="Z256" s="504"/>
      <c r="AA256" s="504"/>
      <c r="AB256" s="504"/>
      <c r="AC256" s="504"/>
      <c r="AD256" s="504"/>
      <c r="AE256" s="504"/>
      <c r="AF256" s="504"/>
      <c r="AG256" s="504"/>
      <c r="AH256" s="504"/>
      <c r="AI256" s="504"/>
      <c r="AJ256" s="504"/>
      <c r="AK256" s="504"/>
      <c r="AL256" s="504"/>
      <c r="AM256" s="504"/>
      <c r="AN256" s="504"/>
    </row>
    <row r="257" spans="1:40" ht="15.75" hidden="1" customHeight="1">
      <c r="A257" s="517" t="s">
        <v>377</v>
      </c>
      <c r="B257" s="504" t="s">
        <v>99</v>
      </c>
      <c r="C257" s="525" t="s">
        <v>20</v>
      </c>
      <c r="D257" s="577"/>
      <c r="E257" s="504"/>
      <c r="F257" s="526">
        <f t="array" ref="F257">+INDEX('[6]Budget original'!$A$2:$AO$500,MATCH($A257,'[6]Budget original'!$A$2:$A$500,0),MATCH(F$2,'[6]Budget original'!$A$2:$AO$2,0))</f>
        <v>0</v>
      </c>
      <c r="G257" s="578"/>
      <c r="H257" s="504"/>
      <c r="I257" s="526"/>
      <c r="J257" s="525"/>
      <c r="K257" s="504"/>
      <c r="L257" s="528">
        <f>SUMIFS([6]BV_Data_An_Cour!$O:$O,[6]BV_Data_An_Cour!$U:$U,$B257,[6]BV_Data_An_Cour!$V:$V,$C257,[6]BV_Data_An_Cour!$W:$W,$L$2)</f>
        <v>0</v>
      </c>
      <c r="M257" s="525"/>
      <c r="N257" s="551">
        <f t="shared" si="52"/>
        <v>0</v>
      </c>
      <c r="O257" s="525"/>
      <c r="P257" s="504"/>
      <c r="Q257" s="528">
        <f>SUMIFS([6]BV_Data_An_Prec!$O:$O,[6]BV_Data_An_Prec!$U:$U,$B257,[6]BV_Data_An_Prec!$V:$V,$C257,[6]BV_Data_An_Prec!$W:$W,$L$2)</f>
        <v>0</v>
      </c>
      <c r="R257" s="525"/>
      <c r="S257" s="551">
        <f t="shared" si="53"/>
        <v>0</v>
      </c>
      <c r="T257" s="504"/>
      <c r="U257" s="504"/>
      <c r="V257" s="504"/>
      <c r="W257" s="504"/>
      <c r="X257" s="504"/>
      <c r="Y257" s="504"/>
      <c r="Z257" s="504"/>
      <c r="AA257" s="504"/>
      <c r="AB257" s="504"/>
      <c r="AC257" s="504"/>
      <c r="AD257" s="504"/>
      <c r="AE257" s="504"/>
      <c r="AF257" s="504"/>
      <c r="AG257" s="504"/>
      <c r="AH257" s="504"/>
      <c r="AI257" s="504"/>
      <c r="AJ257" s="504"/>
      <c r="AK257" s="504"/>
      <c r="AL257" s="504"/>
      <c r="AM257" s="504"/>
      <c r="AN257" s="504"/>
    </row>
    <row r="258" spans="1:40" ht="15.75" hidden="1" customHeight="1">
      <c r="A258" s="517" t="s">
        <v>377</v>
      </c>
      <c r="B258" s="504" t="s">
        <v>99</v>
      </c>
      <c r="C258" s="525" t="s">
        <v>20</v>
      </c>
      <c r="D258" s="577"/>
      <c r="E258" s="504"/>
      <c r="F258" s="526">
        <f t="array" ref="F258">+INDEX('[6]Budget original'!$A$2:$AO$500,MATCH($A258,'[6]Budget original'!$A$2:$A$500,0),MATCH(F$2,'[6]Budget original'!$A$2:$AO$2,0))</f>
        <v>0</v>
      </c>
      <c r="G258" s="578"/>
      <c r="H258" s="504"/>
      <c r="I258" s="526"/>
      <c r="J258" s="525"/>
      <c r="K258" s="504"/>
      <c r="L258" s="528">
        <f>SUMIFS([6]BV_Data_An_Cour!$O:$O,[6]BV_Data_An_Cour!$U:$U,$B258,[6]BV_Data_An_Cour!$V:$V,$C258,[6]BV_Data_An_Cour!$W:$W,$L$2)</f>
        <v>0</v>
      </c>
      <c r="M258" s="525"/>
      <c r="N258" s="551">
        <f t="shared" si="52"/>
        <v>0</v>
      </c>
      <c r="O258" s="525"/>
      <c r="P258" s="504"/>
      <c r="Q258" s="528">
        <f>SUMIFS([6]BV_Data_An_Prec!$O:$O,[6]BV_Data_An_Prec!$U:$U,$B258,[6]BV_Data_An_Prec!$V:$V,$C258,[6]BV_Data_An_Prec!$W:$W,$L$2)</f>
        <v>0</v>
      </c>
      <c r="R258" s="525"/>
      <c r="S258" s="551">
        <f t="shared" si="53"/>
        <v>0</v>
      </c>
      <c r="T258" s="504"/>
      <c r="U258" s="504"/>
      <c r="V258" s="504"/>
      <c r="W258" s="504"/>
      <c r="X258" s="504"/>
      <c r="Y258" s="504"/>
      <c r="Z258" s="504"/>
      <c r="AA258" s="504"/>
      <c r="AB258" s="504"/>
      <c r="AC258" s="504"/>
      <c r="AD258" s="504"/>
      <c r="AE258" s="504"/>
      <c r="AF258" s="504"/>
      <c r="AG258" s="504"/>
      <c r="AH258" s="504"/>
      <c r="AI258" s="504"/>
      <c r="AJ258" s="504"/>
      <c r="AK258" s="504"/>
      <c r="AL258" s="504"/>
      <c r="AM258" s="504"/>
      <c r="AN258" s="504"/>
    </row>
    <row r="259" spans="1:40" ht="15.75" hidden="1" customHeight="1">
      <c r="A259" s="517" t="s">
        <v>377</v>
      </c>
      <c r="B259" s="504" t="s">
        <v>99</v>
      </c>
      <c r="C259" s="525" t="s">
        <v>20</v>
      </c>
      <c r="D259" s="577"/>
      <c r="E259" s="504"/>
      <c r="F259" s="526">
        <f t="array" ref="F259">+INDEX('[6]Budget original'!$A$2:$AO$500,MATCH($A259,'[6]Budget original'!$A$2:$A$500,0),MATCH(F$2,'[6]Budget original'!$A$2:$AO$2,0))</f>
        <v>0</v>
      </c>
      <c r="G259" s="578"/>
      <c r="H259" s="504"/>
      <c r="I259" s="526"/>
      <c r="J259" s="525"/>
      <c r="K259" s="504"/>
      <c r="L259" s="528">
        <f>SUMIFS([6]BV_Data_An_Cour!$O:$O,[6]BV_Data_An_Cour!$U:$U,$B259,[6]BV_Data_An_Cour!$V:$V,$C259,[6]BV_Data_An_Cour!$W:$W,$L$2)</f>
        <v>0</v>
      </c>
      <c r="M259" s="525"/>
      <c r="N259" s="551">
        <f t="shared" si="52"/>
        <v>0</v>
      </c>
      <c r="O259" s="525"/>
      <c r="P259" s="504"/>
      <c r="Q259" s="528">
        <f>SUMIFS([6]BV_Data_An_Prec!$O:$O,[6]BV_Data_An_Prec!$U:$U,$B259,[6]BV_Data_An_Prec!$V:$V,$C259,[6]BV_Data_An_Prec!$W:$W,$L$2)</f>
        <v>0</v>
      </c>
      <c r="R259" s="525"/>
      <c r="S259" s="551">
        <f t="shared" si="53"/>
        <v>0</v>
      </c>
      <c r="T259" s="504"/>
      <c r="U259" s="504"/>
      <c r="V259" s="504"/>
      <c r="W259" s="504"/>
      <c r="X259" s="504"/>
      <c r="Y259" s="504"/>
      <c r="Z259" s="504"/>
      <c r="AA259" s="504"/>
      <c r="AB259" s="504"/>
      <c r="AC259" s="504"/>
      <c r="AD259" s="504"/>
      <c r="AE259" s="504"/>
      <c r="AF259" s="504"/>
      <c r="AG259" s="504"/>
      <c r="AH259" s="504"/>
      <c r="AI259" s="504"/>
      <c r="AJ259" s="504"/>
      <c r="AK259" s="504"/>
      <c r="AL259" s="504"/>
      <c r="AM259" s="504"/>
      <c r="AN259" s="504"/>
    </row>
    <row r="260" spans="1:40" ht="15.75" customHeight="1">
      <c r="A260" s="517" t="s">
        <v>378</v>
      </c>
      <c r="B260" s="504" t="s">
        <v>99</v>
      </c>
      <c r="C260" s="593" t="s">
        <v>45</v>
      </c>
      <c r="D260" s="577"/>
      <c r="E260" s="504"/>
      <c r="F260" s="520">
        <f t="array" ref="F260">+INDEX('[6]Budget original'!$A$2:$AO$500,MATCH($A260,'[6]Budget original'!$A$2:$A$500,0),MATCH(F$2,'[6]Budget original'!$A$2:$AO$2,0))</f>
        <v>599.74349788961297</v>
      </c>
      <c r="G260" s="578"/>
      <c r="H260" s="504"/>
      <c r="I260" s="520"/>
      <c r="J260" s="525"/>
      <c r="K260" s="504"/>
      <c r="L260" s="528">
        <f>SUMIFS([6]BV_Data_An_Cour!$O:$O,[6]BV_Data_An_Cour!$U:$U,$B260,[6]BV_Data_An_Cour!$V:$V,$C260,[6]BV_Data_An_Cour!$W:$W,$L$2)</f>
        <v>352.77</v>
      </c>
      <c r="M260" s="525"/>
      <c r="N260" s="551">
        <f t="shared" si="52"/>
        <v>-246.97349788961299</v>
      </c>
      <c r="O260" s="525"/>
      <c r="P260" s="504"/>
      <c r="Q260" s="528">
        <f>SUMIFS([6]BV_Data_An_Prec!$O:$O,[6]BV_Data_An_Prec!$U:$U,$B260,[6]BV_Data_An_Prec!$V:$V,$C260,[6]BV_Data_An_Prec!$W:$W,$L$2)</f>
        <v>921.57</v>
      </c>
      <c r="R260" s="525"/>
      <c r="S260" s="551">
        <f t="shared" si="53"/>
        <v>-568.80000000000007</v>
      </c>
      <c r="T260" s="504"/>
      <c r="U260" s="504"/>
      <c r="V260" s="504"/>
      <c r="W260" s="504"/>
      <c r="X260" s="504"/>
      <c r="Y260" s="504"/>
      <c r="Z260" s="504"/>
      <c r="AA260" s="504"/>
      <c r="AB260" s="504"/>
      <c r="AC260" s="504"/>
      <c r="AD260" s="504"/>
      <c r="AE260" s="504"/>
      <c r="AF260" s="504"/>
      <c r="AG260" s="504"/>
      <c r="AH260" s="504"/>
      <c r="AI260" s="504"/>
      <c r="AJ260" s="504"/>
      <c r="AK260" s="504"/>
      <c r="AL260" s="504"/>
      <c r="AM260" s="504"/>
      <c r="AN260" s="504"/>
    </row>
    <row r="261" spans="1:40" ht="15.75" customHeight="1">
      <c r="A261" s="517" t="s">
        <v>379</v>
      </c>
      <c r="B261" s="504" t="s">
        <v>99</v>
      </c>
      <c r="C261" s="592" t="s">
        <v>46</v>
      </c>
      <c r="D261" s="594"/>
      <c r="E261" s="595"/>
      <c r="F261" s="526">
        <f t="array" ref="F261">+INDEX('[6]Budget original'!$A$2:$AO$500,MATCH($A261,'[6]Budget original'!$A$2:$A$500,0),MATCH(F$2,'[6]Budget original'!$A$2:$AO$2,0))</f>
        <v>596.20408602417399</v>
      </c>
      <c r="G261" s="596"/>
      <c r="H261" s="595"/>
      <c r="I261" s="526"/>
      <c r="J261" s="512"/>
      <c r="K261" s="595"/>
      <c r="L261" s="547">
        <f>SUMIFS([6]BV_Data_An_Cour!$O:$O,[6]BV_Data_An_Cour!$U:$U,$B261,[6]BV_Data_An_Cour!$V:$V,$C261,[6]BV_Data_An_Cour!$W:$W,$L$2)</f>
        <v>1340.49</v>
      </c>
      <c r="M261" s="512"/>
      <c r="N261" s="597">
        <f t="shared" si="52"/>
        <v>744.28591397582602</v>
      </c>
      <c r="O261" s="512"/>
      <c r="P261" s="595"/>
      <c r="Q261" s="547">
        <f>SUMIFS([6]BV_Data_An_Prec!$O:$O,[6]BV_Data_An_Prec!$U:$U,$B261,[6]BV_Data_An_Prec!$V:$V,$C261,[6]BV_Data_An_Prec!$W:$W,$L$2)</f>
        <v>1948.28</v>
      </c>
      <c r="R261" s="512"/>
      <c r="S261" s="597">
        <f t="shared" si="53"/>
        <v>-607.79</v>
      </c>
      <c r="T261" s="504"/>
      <c r="U261" s="504"/>
      <c r="V261" s="504"/>
      <c r="W261" s="504"/>
      <c r="X261" s="504"/>
      <c r="Y261" s="504"/>
      <c r="Z261" s="504"/>
      <c r="AA261" s="504"/>
      <c r="AB261" s="504"/>
      <c r="AC261" s="504"/>
      <c r="AD261" s="504"/>
      <c r="AE261" s="504"/>
      <c r="AF261" s="504"/>
      <c r="AG261" s="504"/>
      <c r="AH261" s="504"/>
      <c r="AI261" s="504"/>
      <c r="AJ261" s="504"/>
      <c r="AK261" s="504"/>
      <c r="AL261" s="504"/>
      <c r="AM261" s="504"/>
      <c r="AN261" s="504"/>
    </row>
    <row r="262" spans="1:40" ht="15.75" customHeight="1">
      <c r="A262" s="517" t="s">
        <v>380</v>
      </c>
      <c r="B262" s="504" t="s">
        <v>99</v>
      </c>
      <c r="C262" s="592" t="s">
        <v>47</v>
      </c>
      <c r="D262" s="577"/>
      <c r="E262" s="504"/>
      <c r="F262" s="526">
        <f t="array" ref="F262">+INDEX('[6]Budget original'!$A$2:$AO$500,MATCH($A262,'[6]Budget original'!$A$2:$A$500,0),MATCH(F$2,'[6]Budget original'!$A$2:$AO$2,0))</f>
        <v>417.4967010991079</v>
      </c>
      <c r="G262" s="578"/>
      <c r="H262" s="504"/>
      <c r="I262" s="526"/>
      <c r="J262" s="525"/>
      <c r="K262" s="504"/>
      <c r="L262" s="528">
        <f>SUMIFS([6]BV_Data_An_Cour!$O:$O,[6]BV_Data_An_Cour!$U:$U,$B262,[6]BV_Data_An_Cour!$V:$V,$C262,[6]BV_Data_An_Cour!$W:$W,$L$2)</f>
        <v>122.31</v>
      </c>
      <c r="M262" s="525"/>
      <c r="N262" s="551">
        <f t="shared" si="52"/>
        <v>-295.18670109910789</v>
      </c>
      <c r="O262" s="525"/>
      <c r="P262" s="504"/>
      <c r="Q262" s="528">
        <f>SUMIFS([6]BV_Data_An_Prec!$O:$O,[6]BV_Data_An_Prec!$U:$U,$B262,[6]BV_Data_An_Prec!$V:$V,$C262,[6]BV_Data_An_Prec!$W:$W,$L$2)</f>
        <v>1945.03</v>
      </c>
      <c r="R262" s="525"/>
      <c r="S262" s="551">
        <f t="shared" si="53"/>
        <v>-1822.72</v>
      </c>
      <c r="T262" s="504"/>
      <c r="U262" s="504"/>
      <c r="V262" s="504"/>
      <c r="W262" s="504"/>
      <c r="X262" s="504"/>
      <c r="Y262" s="504"/>
      <c r="Z262" s="504"/>
      <c r="AA262" s="504"/>
      <c r="AB262" s="504"/>
      <c r="AC262" s="504"/>
      <c r="AD262" s="504"/>
      <c r="AE262" s="504"/>
      <c r="AF262" s="504"/>
      <c r="AG262" s="504"/>
      <c r="AH262" s="504"/>
      <c r="AI262" s="504"/>
      <c r="AJ262" s="504"/>
      <c r="AK262" s="504"/>
      <c r="AL262" s="504"/>
      <c r="AM262" s="504"/>
      <c r="AN262" s="504"/>
    </row>
    <row r="263" spans="1:40" ht="15.75" customHeight="1">
      <c r="A263" s="517" t="s">
        <v>381</v>
      </c>
      <c r="B263" s="504" t="s">
        <v>99</v>
      </c>
      <c r="C263" s="592" t="s">
        <v>48</v>
      </c>
      <c r="D263" s="577"/>
      <c r="E263" s="504"/>
      <c r="F263" s="526">
        <f t="array" ref="F263">+INDEX('[6]Budget original'!$A$2:$AO$500,MATCH($A263,'[6]Budget original'!$A$2:$A$500,0),MATCH(F$2,'[6]Budget original'!$A$2:$AO$2,0))</f>
        <v>199.45020784310012</v>
      </c>
      <c r="G263" s="578"/>
      <c r="H263" s="504"/>
      <c r="I263" s="526"/>
      <c r="J263" s="525"/>
      <c r="K263" s="504"/>
      <c r="L263" s="528">
        <f>SUMIFS([6]BV_Data_An_Cour!$O:$O,[6]BV_Data_An_Cour!$U:$U,$B263,[6]BV_Data_An_Cour!$V:$V,$C263,[6]BV_Data_An_Cour!$W:$W,$L$2)</f>
        <v>419.85</v>
      </c>
      <c r="M263" s="525"/>
      <c r="N263" s="551">
        <f t="shared" si="52"/>
        <v>220.39979215689991</v>
      </c>
      <c r="O263" s="525"/>
      <c r="P263" s="504"/>
      <c r="Q263" s="528">
        <f>SUMIFS([6]BV_Data_An_Prec!$O:$O,[6]BV_Data_An_Prec!$U:$U,$B263,[6]BV_Data_An_Prec!$V:$V,$C263,[6]BV_Data_An_Prec!$W:$W,$L$2)</f>
        <v>551.04999999999995</v>
      </c>
      <c r="R263" s="525"/>
      <c r="S263" s="551">
        <f t="shared" si="53"/>
        <v>-131.19999999999993</v>
      </c>
      <c r="T263" s="504"/>
      <c r="U263" s="504"/>
      <c r="V263" s="504"/>
      <c r="W263" s="504"/>
      <c r="X263" s="504"/>
      <c r="Y263" s="504"/>
      <c r="Z263" s="504"/>
      <c r="AA263" s="504"/>
      <c r="AB263" s="504"/>
      <c r="AC263" s="504"/>
      <c r="AD263" s="504"/>
      <c r="AE263" s="504"/>
      <c r="AF263" s="504"/>
      <c r="AG263" s="504"/>
      <c r="AH263" s="504"/>
      <c r="AI263" s="504"/>
      <c r="AJ263" s="504"/>
      <c r="AK263" s="504"/>
      <c r="AL263" s="504"/>
      <c r="AM263" s="504"/>
      <c r="AN263" s="504"/>
    </row>
    <row r="264" spans="1:40" ht="15.75" hidden="1" customHeight="1">
      <c r="A264" s="517" t="s">
        <v>377</v>
      </c>
      <c r="B264" s="504" t="s">
        <v>99</v>
      </c>
      <c r="C264" s="525" t="s">
        <v>20</v>
      </c>
      <c r="D264" s="579"/>
      <c r="E264" s="598"/>
      <c r="F264" s="526">
        <f t="array" ref="F264">+INDEX('[6]Budget original'!$A$2:$AO$500,MATCH($A264,'[6]Budget original'!$A$2:$A$500,0),MATCH(F$2,'[6]Budget original'!$A$2:$AO$2,0))</f>
        <v>0</v>
      </c>
      <c r="G264" s="580"/>
      <c r="H264" s="598"/>
      <c r="I264" s="526"/>
      <c r="J264" s="518"/>
      <c r="K264" s="598"/>
      <c r="L264" s="528">
        <f>SUMIFS([6]BV_Data_An_Cour!$O:$O,[6]BV_Data_An_Cour!$U:$U,$B264,[6]BV_Data_An_Cour!$V:$V,$C264,[6]BV_Data_An_Cour!$W:$W,$L$2)</f>
        <v>0</v>
      </c>
      <c r="M264" s="518"/>
      <c r="N264" s="574">
        <f t="shared" si="52"/>
        <v>0</v>
      </c>
      <c r="O264" s="518"/>
      <c r="P264" s="598"/>
      <c r="Q264" s="528">
        <f>SUMIFS([6]BV_Data_An_Prec!$O:$O,[6]BV_Data_An_Prec!$U:$U,$B264,[6]BV_Data_An_Prec!$V:$V,$C264,[6]BV_Data_An_Prec!$W:$W,$L$2)</f>
        <v>0</v>
      </c>
      <c r="R264" s="518"/>
      <c r="S264" s="574">
        <f t="shared" si="53"/>
        <v>0</v>
      </c>
      <c r="T264" s="504"/>
      <c r="U264" s="504"/>
      <c r="V264" s="504"/>
      <c r="W264" s="504"/>
      <c r="X264" s="504"/>
      <c r="Y264" s="504"/>
      <c r="Z264" s="504"/>
      <c r="AA264" s="504"/>
      <c r="AB264" s="504"/>
      <c r="AC264" s="504"/>
      <c r="AD264" s="504"/>
      <c r="AE264" s="504"/>
      <c r="AF264" s="504"/>
      <c r="AG264" s="504"/>
      <c r="AH264" s="504"/>
      <c r="AI264" s="504"/>
      <c r="AJ264" s="504"/>
      <c r="AK264" s="504"/>
      <c r="AL264" s="504"/>
      <c r="AM264" s="504"/>
      <c r="AN264" s="504"/>
    </row>
    <row r="265" spans="1:40" ht="15.75" customHeight="1">
      <c r="A265" s="517" t="s">
        <v>382</v>
      </c>
      <c r="B265" s="504" t="s">
        <v>99</v>
      </c>
      <c r="C265" s="584" t="s">
        <v>49</v>
      </c>
      <c r="D265" s="585" t="s">
        <v>39</v>
      </c>
      <c r="E265" s="586">
        <f>F265/F$249</f>
        <v>0.26174110227419817</v>
      </c>
      <c r="F265" s="587">
        <f>+SUM(F253:F264)</f>
        <v>6733.8990522429676</v>
      </c>
      <c r="G265" s="588"/>
      <c r="H265" s="586"/>
      <c r="I265" s="587"/>
      <c r="J265" s="588" t="s">
        <v>39</v>
      </c>
      <c r="K265" s="586">
        <f>IF(L249=0,0,L265/L$249)</f>
        <v>0.63441304176205882</v>
      </c>
      <c r="L265" s="587">
        <f>+SUM(L253:L264)</f>
        <v>8036.11</v>
      </c>
      <c r="M265" s="637"/>
      <c r="N265" s="600">
        <f t="shared" si="52"/>
        <v>1302.210947757032</v>
      </c>
      <c r="O265" s="588" t="s">
        <v>39</v>
      </c>
      <c r="P265" s="586">
        <f>IF(Q249=0,0,Q265/Q$249)</f>
        <v>0.45386735366365094</v>
      </c>
      <c r="Q265" s="587">
        <f>+SUM(Q253:Q264)</f>
        <v>11514.759999999998</v>
      </c>
      <c r="R265" s="637"/>
      <c r="S265" s="600">
        <f t="shared" si="53"/>
        <v>-3478.6499999999987</v>
      </c>
      <c r="T265" s="504"/>
      <c r="U265" s="504"/>
      <c r="V265" s="504"/>
      <c r="W265" s="504"/>
      <c r="X265" s="504"/>
      <c r="Y265" s="504"/>
      <c r="Z265" s="504"/>
      <c r="AA265" s="504"/>
      <c r="AB265" s="504"/>
      <c r="AC265" s="504"/>
      <c r="AD265" s="504"/>
      <c r="AE265" s="504"/>
      <c r="AF265" s="504"/>
      <c r="AG265" s="504"/>
      <c r="AH265" s="504"/>
      <c r="AI265" s="504"/>
      <c r="AJ265" s="504"/>
      <c r="AK265" s="504"/>
      <c r="AL265" s="504"/>
      <c r="AM265" s="504"/>
      <c r="AN265" s="504"/>
    </row>
    <row r="266" spans="1:40" ht="15.75" customHeight="1">
      <c r="A266" s="517" t="s">
        <v>383</v>
      </c>
      <c r="B266" s="504" t="s">
        <v>99</v>
      </c>
      <c r="C266" s="691" t="s">
        <v>50</v>
      </c>
      <c r="D266" s="577"/>
      <c r="E266" s="504"/>
      <c r="F266" s="526">
        <f t="array" ref="F266">+INDEX('[6]Budget original'!$A$2:$AO$500,MATCH($A266,'[6]Budget original'!$A$2:$A$500,0),MATCH(F$2,'[6]Budget original'!$A$2:$AO$2,0))</f>
        <v>0</v>
      </c>
      <c r="G266" s="578"/>
      <c r="H266" s="504"/>
      <c r="I266" s="526"/>
      <c r="J266" s="525"/>
      <c r="K266" s="504"/>
      <c r="L266" s="528">
        <f>SUMIFS([6]BV_Data_An_Cour!$O:$O,[6]BV_Data_An_Cour!$U:$U,$B266,[6]BV_Data_An_Cour!$V:$V,$C266,[6]BV_Data_An_Cour!$W:$W,$L$2)</f>
        <v>168.82</v>
      </c>
      <c r="M266" s="525"/>
      <c r="N266" s="551">
        <f t="shared" si="52"/>
        <v>168.82</v>
      </c>
      <c r="O266" s="525"/>
      <c r="P266" s="504"/>
      <c r="Q266" s="528">
        <f>SUMIFS([6]BV_Data_An_Prec!$O:$O,[6]BV_Data_An_Prec!$U:$U,$B266,[6]BV_Data_An_Prec!$V:$V,$C266,[6]BV_Data_An_Prec!$W:$W,$L$2)</f>
        <v>60.62</v>
      </c>
      <c r="R266" s="525"/>
      <c r="S266" s="551">
        <f t="shared" si="53"/>
        <v>108.19999999999999</v>
      </c>
      <c r="T266" s="504"/>
      <c r="U266" s="504"/>
      <c r="V266" s="504"/>
      <c r="W266" s="504"/>
      <c r="X266" s="504"/>
      <c r="Y266" s="504"/>
      <c r="Z266" s="504"/>
      <c r="AA266" s="504"/>
      <c r="AB266" s="504"/>
      <c r="AC266" s="504"/>
      <c r="AD266" s="504"/>
      <c r="AE266" s="504"/>
      <c r="AF266" s="504"/>
      <c r="AG266" s="504"/>
      <c r="AH266" s="504"/>
      <c r="AI266" s="504"/>
      <c r="AJ266" s="504"/>
      <c r="AK266" s="504"/>
      <c r="AL266" s="504"/>
      <c r="AM266" s="504"/>
      <c r="AN266" s="504"/>
    </row>
    <row r="267" spans="1:40" ht="15.75" customHeight="1">
      <c r="A267" s="517" t="s">
        <v>384</v>
      </c>
      <c r="B267" s="504" t="s">
        <v>99</v>
      </c>
      <c r="C267" s="592" t="s">
        <v>51</v>
      </c>
      <c r="D267" s="577"/>
      <c r="E267" s="504"/>
      <c r="F267" s="526">
        <f t="array" ref="F267">+INDEX('[6]Budget original'!$A$2:$AO$500,MATCH($A267,'[6]Budget original'!$A$2:$A$500,0),MATCH(F$2,'[6]Budget original'!$A$2:$AO$2,0))</f>
        <v>332.7715445956826</v>
      </c>
      <c r="G267" s="578"/>
      <c r="H267" s="504"/>
      <c r="I267" s="526"/>
      <c r="J267" s="525"/>
      <c r="K267" s="504"/>
      <c r="L267" s="528">
        <f>SUMIFS([6]BV_Data_An_Cour!$O:$O,[6]BV_Data_An_Cour!$U:$U,$B267,[6]BV_Data_An_Cour!$V:$V,$C267,[6]BV_Data_An_Cour!$W:$W,$L$2)</f>
        <v>3855.54</v>
      </c>
      <c r="M267" s="525"/>
      <c r="N267" s="551">
        <f t="shared" si="52"/>
        <v>3522.7684554043171</v>
      </c>
      <c r="O267" s="525"/>
      <c r="P267" s="504"/>
      <c r="Q267" s="528">
        <f>SUMIFS([6]BV_Data_An_Prec!$O:$O,[6]BV_Data_An_Prec!$U:$U,$B267,[6]BV_Data_An_Prec!$V:$V,$C267,[6]BV_Data_An_Prec!$W:$W,$L$2)</f>
        <v>555.83000000000004</v>
      </c>
      <c r="R267" s="525"/>
      <c r="S267" s="551">
        <f t="shared" si="53"/>
        <v>3299.71</v>
      </c>
      <c r="T267" s="504"/>
      <c r="U267" s="504"/>
      <c r="V267" s="504"/>
      <c r="W267" s="504"/>
      <c r="X267" s="504"/>
      <c r="Y267" s="504"/>
      <c r="Z267" s="504"/>
      <c r="AA267" s="504"/>
      <c r="AB267" s="504"/>
      <c r="AC267" s="504"/>
      <c r="AD267" s="504"/>
      <c r="AE267" s="504"/>
      <c r="AF267" s="504"/>
      <c r="AG267" s="504"/>
      <c r="AH267" s="504"/>
      <c r="AI267" s="504"/>
      <c r="AJ267" s="504"/>
      <c r="AK267" s="504"/>
      <c r="AL267" s="504"/>
      <c r="AM267" s="504"/>
      <c r="AN267" s="504"/>
    </row>
    <row r="268" spans="1:40" ht="15.75" customHeight="1">
      <c r="A268" s="517" t="s">
        <v>385</v>
      </c>
      <c r="B268" s="504" t="s">
        <v>99</v>
      </c>
      <c r="C268" s="593" t="s">
        <v>52</v>
      </c>
      <c r="D268" s="579"/>
      <c r="E268" s="598"/>
      <c r="F268" s="520">
        <f t="array" ref="F268">+INDEX('[6]Budget original'!$A$2:$AO$500,MATCH($A268,'[6]Budget original'!$A$2:$A$500,0),MATCH(F$2,'[6]Budget original'!$A$2:$AO$2,0))</f>
        <v>458.33333333333331</v>
      </c>
      <c r="G268" s="580"/>
      <c r="H268" s="598"/>
      <c r="I268" s="520"/>
      <c r="J268" s="518"/>
      <c r="K268" s="598"/>
      <c r="L268" s="528">
        <f>SUMIFS([6]BV_Data_An_Cour!$O:$O,[6]BV_Data_An_Cour!$U:$U,$B268,[6]BV_Data_An_Cour!$V:$V,$C268,[6]BV_Data_An_Cour!$W:$W,$L$2)</f>
        <v>165.8</v>
      </c>
      <c r="M268" s="518"/>
      <c r="N268" s="574">
        <f t="shared" si="52"/>
        <v>-292.5333333333333</v>
      </c>
      <c r="O268" s="518"/>
      <c r="P268" s="598"/>
      <c r="Q268" s="528">
        <f>SUMIFS([6]BV_Data_An_Prec!$O:$O,[6]BV_Data_An_Prec!$U:$U,$B268,[6]BV_Data_An_Prec!$V:$V,$C268,[6]BV_Data_An_Prec!$W:$W,$L$2)</f>
        <v>520.41</v>
      </c>
      <c r="R268" s="518"/>
      <c r="S268" s="574">
        <f t="shared" si="53"/>
        <v>-354.60999999999996</v>
      </c>
      <c r="T268" s="504"/>
      <c r="U268" s="504"/>
      <c r="V268" s="504"/>
      <c r="W268" s="504"/>
      <c r="X268" s="504"/>
      <c r="Y268" s="504"/>
      <c r="Z268" s="504"/>
      <c r="AA268" s="504"/>
      <c r="AB268" s="504"/>
      <c r="AC268" s="504"/>
      <c r="AD268" s="504"/>
      <c r="AE268" s="504"/>
      <c r="AF268" s="504"/>
      <c r="AG268" s="504"/>
      <c r="AH268" s="504"/>
      <c r="AI268" s="504"/>
      <c r="AJ268" s="504"/>
      <c r="AK268" s="504"/>
      <c r="AL268" s="504"/>
      <c r="AM268" s="504"/>
      <c r="AN268" s="504"/>
    </row>
    <row r="269" spans="1:40" ht="15.75" customHeight="1">
      <c r="A269" s="517" t="s">
        <v>386</v>
      </c>
      <c r="B269" s="504" t="s">
        <v>99</v>
      </c>
      <c r="C269" s="592" t="s">
        <v>53</v>
      </c>
      <c r="D269" s="577"/>
      <c r="E269" s="504"/>
      <c r="F269" s="526">
        <f t="array" ref="F269">+INDEX('[6]Budget original'!$A$2:$AO$500,MATCH($A269,'[6]Budget original'!$A$2:$A$500,0),MATCH(F$2,'[6]Budget original'!$A$2:$AO$2,0))</f>
        <v>1324.9767903333334</v>
      </c>
      <c r="G269" s="578"/>
      <c r="H269" s="504"/>
      <c r="I269" s="526"/>
      <c r="J269" s="525"/>
      <c r="K269" s="504"/>
      <c r="L269" s="547">
        <f>SUMIFS([6]BV_Data_An_Cour!$O:$O,[6]BV_Data_An_Cour!$U:$U,$B269,[6]BV_Data_An_Cour!$V:$V,$C269,[6]BV_Data_An_Cour!$W:$W,$L$2)</f>
        <v>1422.13</v>
      </c>
      <c r="M269" s="525"/>
      <c r="N269" s="551">
        <f t="shared" si="52"/>
        <v>97.153209666666726</v>
      </c>
      <c r="O269" s="525"/>
      <c r="P269" s="504"/>
      <c r="Q269" s="547">
        <f>SUMIFS([6]BV_Data_An_Prec!$O:$O,[6]BV_Data_An_Prec!$U:$U,$B269,[6]BV_Data_An_Prec!$V:$V,$C269,[6]BV_Data_An_Prec!$W:$W,$L$2)</f>
        <v>1413.66</v>
      </c>
      <c r="R269" s="525"/>
      <c r="S269" s="551">
        <f t="shared" si="53"/>
        <v>8.4700000000000273</v>
      </c>
      <c r="T269" s="504"/>
      <c r="U269" s="504"/>
      <c r="V269" s="504"/>
      <c r="W269" s="504"/>
      <c r="X269" s="504"/>
      <c r="Y269" s="504"/>
      <c r="Z269" s="504"/>
      <c r="AA269" s="504"/>
      <c r="AB269" s="504"/>
      <c r="AC269" s="504"/>
      <c r="AD269" s="504"/>
      <c r="AE269" s="504"/>
      <c r="AF269" s="504"/>
      <c r="AG269" s="504"/>
      <c r="AH269" s="504"/>
      <c r="AI269" s="504"/>
      <c r="AJ269" s="504"/>
      <c r="AK269" s="504"/>
      <c r="AL269" s="504"/>
      <c r="AM269" s="504"/>
      <c r="AN269" s="504"/>
    </row>
    <row r="270" spans="1:40" ht="15.75" customHeight="1">
      <c r="A270" s="517" t="s">
        <v>387</v>
      </c>
      <c r="B270" s="504" t="s">
        <v>99</v>
      </c>
      <c r="C270" s="592" t="s">
        <v>54</v>
      </c>
      <c r="D270" s="577"/>
      <c r="E270" s="504"/>
      <c r="F270" s="526">
        <f t="array" ref="F270">+INDEX('[6]Budget original'!$A$2:$AO$500,MATCH($A270,'[6]Budget original'!$A$2:$A$500,0),MATCH(F$2,'[6]Budget original'!$A$2:$AO$2,0))</f>
        <v>218.76925977083332</v>
      </c>
      <c r="G270" s="578"/>
      <c r="H270" s="504"/>
      <c r="I270" s="526"/>
      <c r="J270" s="525"/>
      <c r="K270" s="504"/>
      <c r="L270" s="528">
        <f>SUMIFS([6]BV_Data_An_Cour!$O:$O,[6]BV_Data_An_Cour!$U:$U,$B270,[6]BV_Data_An_Cour!$V:$V,$C270,[6]BV_Data_An_Cour!$W:$W,$L$2)</f>
        <v>147.46</v>
      </c>
      <c r="M270" s="525"/>
      <c r="N270" s="551">
        <f t="shared" si="52"/>
        <v>-71.309259770833307</v>
      </c>
      <c r="O270" s="525"/>
      <c r="P270" s="504"/>
      <c r="Q270" s="528">
        <f>SUMIFS([6]BV_Data_An_Prec!$O:$O,[6]BV_Data_An_Prec!$U:$U,$B270,[6]BV_Data_An_Prec!$V:$V,$C270,[6]BV_Data_An_Prec!$W:$W,$L$2)</f>
        <v>490.74</v>
      </c>
      <c r="R270" s="525"/>
      <c r="S270" s="551">
        <f t="shared" si="53"/>
        <v>-343.28</v>
      </c>
      <c r="T270" s="504"/>
      <c r="U270" s="504"/>
      <c r="V270" s="504"/>
      <c r="W270" s="504"/>
      <c r="X270" s="504"/>
      <c r="Y270" s="504"/>
      <c r="Z270" s="504"/>
      <c r="AA270" s="504"/>
      <c r="AB270" s="504"/>
      <c r="AC270" s="504"/>
      <c r="AD270" s="504"/>
      <c r="AE270" s="504"/>
      <c r="AF270" s="504"/>
      <c r="AG270" s="504"/>
      <c r="AH270" s="504"/>
      <c r="AI270" s="504"/>
      <c r="AJ270" s="504"/>
      <c r="AK270" s="504"/>
      <c r="AL270" s="504"/>
      <c r="AM270" s="504"/>
      <c r="AN270" s="504"/>
    </row>
    <row r="271" spans="1:40" ht="15.75" customHeight="1">
      <c r="A271" s="517" t="s">
        <v>388</v>
      </c>
      <c r="B271" s="504" t="s">
        <v>99</v>
      </c>
      <c r="C271" s="592" t="s">
        <v>55</v>
      </c>
      <c r="D271" s="579"/>
      <c r="E271" s="598"/>
      <c r="F271" s="520">
        <f t="array" ref="F271">+INDEX('[6]Budget original'!$A$2:$AO$500,MATCH($A271,'[6]Budget original'!$A$2:$A$500,0),MATCH(F$2,'[6]Budget original'!$A$2:$AO$2,0))</f>
        <v>924.47331588888892</v>
      </c>
      <c r="G271" s="580"/>
      <c r="H271" s="598"/>
      <c r="I271" s="520"/>
      <c r="J271" s="518"/>
      <c r="K271" s="598"/>
      <c r="L271" s="528">
        <f>SUMIFS([6]BV_Data_An_Cour!$O:$O,[6]BV_Data_An_Cour!$U:$U,$B271,[6]BV_Data_An_Cour!$V:$V,$C271,[6]BV_Data_An_Cour!$W:$W,$L$2)</f>
        <v>492.53</v>
      </c>
      <c r="M271" s="518"/>
      <c r="N271" s="574">
        <f t="shared" si="52"/>
        <v>-431.94331588888895</v>
      </c>
      <c r="O271" s="518"/>
      <c r="P271" s="598"/>
      <c r="Q271" s="528">
        <f>SUMIFS([6]BV_Data_An_Prec!$O:$O,[6]BV_Data_An_Prec!$U:$U,$B271,[6]BV_Data_An_Prec!$V:$V,$C271,[6]BV_Data_An_Prec!$W:$W,$L$2)</f>
        <v>737.04</v>
      </c>
      <c r="R271" s="518"/>
      <c r="S271" s="574">
        <f t="shared" si="53"/>
        <v>-244.51</v>
      </c>
      <c r="T271" s="504"/>
      <c r="U271" s="504"/>
      <c r="V271" s="504"/>
      <c r="W271" s="504"/>
      <c r="X271" s="504"/>
      <c r="Y271" s="504"/>
      <c r="Z271" s="504"/>
      <c r="AA271" s="504"/>
      <c r="AB271" s="504"/>
      <c r="AC271" s="504"/>
      <c r="AD271" s="504"/>
      <c r="AE271" s="504"/>
      <c r="AF271" s="504"/>
      <c r="AG271" s="504"/>
      <c r="AH271" s="504"/>
      <c r="AI271" s="504"/>
      <c r="AJ271" s="504"/>
      <c r="AK271" s="504"/>
      <c r="AL271" s="504"/>
      <c r="AM271" s="504"/>
      <c r="AN271" s="504"/>
    </row>
    <row r="272" spans="1:40" ht="15.75" customHeight="1">
      <c r="A272" s="517" t="s">
        <v>389</v>
      </c>
      <c r="B272" s="504" t="s">
        <v>99</v>
      </c>
      <c r="C272" s="691" t="s">
        <v>98</v>
      </c>
      <c r="D272" s="577"/>
      <c r="E272" s="504"/>
      <c r="F272" s="526"/>
      <c r="G272" s="578"/>
      <c r="H272" s="504"/>
      <c r="I272" s="526"/>
      <c r="J272" s="525"/>
      <c r="K272" s="504"/>
      <c r="L272" s="547">
        <f>SUMIFS([6]BV_Data_An_Cour!$O:$O,[6]BV_Data_An_Cour!$U:$U,$B272,[6]BV_Data_An_Cour!$V:$V,$C272,[6]BV_Data_An_Cour!$W:$W,$L$2)</f>
        <v>0</v>
      </c>
      <c r="M272" s="525"/>
      <c r="N272" s="551">
        <f t="shared" si="52"/>
        <v>0</v>
      </c>
      <c r="O272" s="525"/>
      <c r="P272" s="504"/>
      <c r="Q272" s="528">
        <f>SUMIFS([6]BV_Data_An_Prec!$O:$O,[6]BV_Data_An_Prec!$U:$U,$B272,[6]BV_Data_An_Prec!$V:$V,$C272,[6]BV_Data_An_Prec!$W:$W,$L$2)</f>
        <v>0</v>
      </c>
      <c r="R272" s="525"/>
      <c r="S272" s="551">
        <f t="shared" si="53"/>
        <v>0</v>
      </c>
      <c r="T272" s="504"/>
      <c r="U272" s="504"/>
      <c r="V272" s="504"/>
      <c r="W272" s="504"/>
      <c r="X272" s="504"/>
      <c r="Y272" s="504"/>
      <c r="Z272" s="504"/>
      <c r="AA272" s="504"/>
      <c r="AB272" s="504"/>
      <c r="AC272" s="504"/>
      <c r="AD272" s="504"/>
      <c r="AE272" s="504"/>
      <c r="AF272" s="504"/>
      <c r="AG272" s="504"/>
      <c r="AH272" s="504"/>
      <c r="AI272" s="504"/>
      <c r="AJ272" s="504"/>
      <c r="AK272" s="504"/>
      <c r="AL272" s="504"/>
      <c r="AM272" s="504"/>
      <c r="AN272" s="504"/>
    </row>
    <row r="273" spans="1:40" ht="15.75" customHeight="1">
      <c r="A273" s="517" t="s">
        <v>390</v>
      </c>
      <c r="B273" s="504" t="s">
        <v>99</v>
      </c>
      <c r="C273" s="592" t="s">
        <v>56</v>
      </c>
      <c r="D273" s="577"/>
      <c r="E273" s="504"/>
      <c r="F273" s="526">
        <f t="array" ref="F273">+INDEX('[6]Budget original'!$A$2:$AO$500,MATCH($A273,'[6]Budget original'!$A$2:$A$500,0),MATCH(F$2,'[6]Budget original'!$A$2:$AO$2,0))</f>
        <v>119.79021815603429</v>
      </c>
      <c r="G273" s="578"/>
      <c r="H273" s="504"/>
      <c r="I273" s="526"/>
      <c r="J273" s="525"/>
      <c r="K273" s="504"/>
      <c r="L273" s="528">
        <f>SUMIFS([6]BV_Data_An_Cour!$O:$O,[6]BV_Data_An_Cour!$U:$U,$B273,[6]BV_Data_An_Cour!$V:$V,$C273,[6]BV_Data_An_Cour!$W:$W,$L$2)</f>
        <v>0</v>
      </c>
      <c r="M273" s="525"/>
      <c r="N273" s="551">
        <f t="shared" si="52"/>
        <v>-119.79021815603429</v>
      </c>
      <c r="O273" s="525"/>
      <c r="P273" s="504"/>
      <c r="Q273" s="528">
        <f>SUMIFS([6]BV_Data_An_Prec!$O:$O,[6]BV_Data_An_Prec!$U:$U,$B273,[6]BV_Data_An_Prec!$V:$V,$C273,[6]BV_Data_An_Prec!$W:$W,$L$2)</f>
        <v>0</v>
      </c>
      <c r="R273" s="525"/>
      <c r="S273" s="551">
        <f t="shared" si="53"/>
        <v>0</v>
      </c>
      <c r="T273" s="504"/>
      <c r="U273" s="504"/>
      <c r="V273" s="504"/>
      <c r="W273" s="504"/>
      <c r="X273" s="504"/>
      <c r="Y273" s="504"/>
      <c r="Z273" s="504"/>
      <c r="AA273" s="504"/>
      <c r="AB273" s="504"/>
      <c r="AC273" s="504"/>
      <c r="AD273" s="504"/>
      <c r="AE273" s="504"/>
      <c r="AF273" s="504"/>
      <c r="AG273" s="504"/>
      <c r="AH273" s="504"/>
      <c r="AI273" s="504"/>
      <c r="AJ273" s="504"/>
      <c r="AK273" s="504"/>
      <c r="AL273" s="504"/>
      <c r="AM273" s="504"/>
      <c r="AN273" s="504"/>
    </row>
    <row r="274" spans="1:40" ht="15.75" customHeight="1">
      <c r="A274" s="517" t="s">
        <v>391</v>
      </c>
      <c r="B274" s="504" t="s">
        <v>99</v>
      </c>
      <c r="C274" s="592" t="s">
        <v>57</v>
      </c>
      <c r="D274" s="577"/>
      <c r="E274" s="504"/>
      <c r="F274" s="526">
        <f t="array" ref="F274">+INDEX('[6]Budget original'!$A$2:$AO$500,MATCH($A274,'[6]Budget original'!$A$2:$A$500,0),MATCH(F$2,'[6]Budget original'!$A$2:$AO$2,0))</f>
        <v>61.858302861334295</v>
      </c>
      <c r="G274" s="578"/>
      <c r="H274" s="504"/>
      <c r="I274" s="526"/>
      <c r="J274" s="525"/>
      <c r="K274" s="504"/>
      <c r="L274" s="528">
        <f>SUMIFS([6]BV_Data_An_Cour!$O:$O,[6]BV_Data_An_Cour!$U:$U,$B274,[6]BV_Data_An_Cour!$V:$V,$C274,[6]BV_Data_An_Cour!$W:$W,$L$2)</f>
        <v>0</v>
      </c>
      <c r="M274" s="525"/>
      <c r="N274" s="551">
        <f t="shared" si="52"/>
        <v>-61.858302861334295</v>
      </c>
      <c r="O274" s="525"/>
      <c r="P274" s="504"/>
      <c r="Q274" s="528">
        <f>SUMIFS([6]BV_Data_An_Prec!$O:$O,[6]BV_Data_An_Prec!$U:$U,$B274,[6]BV_Data_An_Prec!$V:$V,$C274,[6]BV_Data_An_Prec!$W:$W,$L$2)</f>
        <v>0</v>
      </c>
      <c r="R274" s="525"/>
      <c r="S274" s="551">
        <f t="shared" si="53"/>
        <v>0</v>
      </c>
      <c r="T274" s="504"/>
      <c r="U274" s="504"/>
      <c r="V274" s="504"/>
      <c r="W274" s="504"/>
      <c r="X274" s="504"/>
      <c r="Y274" s="504"/>
      <c r="Z274" s="504"/>
      <c r="AA274" s="504"/>
      <c r="AB274" s="504"/>
      <c r="AC274" s="504"/>
      <c r="AD274" s="504"/>
      <c r="AE274" s="504"/>
      <c r="AF274" s="504"/>
      <c r="AG274" s="504"/>
      <c r="AH274" s="504"/>
      <c r="AI274" s="504"/>
      <c r="AJ274" s="504"/>
      <c r="AK274" s="504"/>
      <c r="AL274" s="504"/>
      <c r="AM274" s="504"/>
      <c r="AN274" s="504"/>
    </row>
    <row r="275" spans="1:40" ht="15.75" customHeight="1">
      <c r="A275" s="517" t="s">
        <v>392</v>
      </c>
      <c r="B275" s="504" t="s">
        <v>99</v>
      </c>
      <c r="C275" s="592" t="s">
        <v>58</v>
      </c>
      <c r="D275" s="577"/>
      <c r="E275" s="504"/>
      <c r="F275" s="526">
        <f t="array" ref="F275">+INDEX('[6]Budget original'!$A$2:$AO$500,MATCH($A275,'[6]Budget original'!$A$2:$A$500,0),MATCH(F$2,'[6]Budget original'!$A$2:$AO$2,0))</f>
        <v>167.00491394999997</v>
      </c>
      <c r="G275" s="578"/>
      <c r="H275" s="504"/>
      <c r="I275" s="526"/>
      <c r="J275" s="525"/>
      <c r="K275" s="504"/>
      <c r="L275" s="528">
        <f>SUMIFS([6]BV_Data_An_Cour!$O:$O,[6]BV_Data_An_Cour!$U:$U,$B275,[6]BV_Data_An_Cour!$V:$V,$C275,[6]BV_Data_An_Cour!$W:$W,$L$2)</f>
        <v>132.52000000000001</v>
      </c>
      <c r="M275" s="525"/>
      <c r="N275" s="551">
        <f t="shared" si="52"/>
        <v>-34.484913949999964</v>
      </c>
      <c r="O275" s="525"/>
      <c r="P275" s="504"/>
      <c r="Q275" s="528">
        <f>SUMIFS([6]BV_Data_An_Prec!$O:$O,[6]BV_Data_An_Prec!$U:$U,$B275,[6]BV_Data_An_Prec!$V:$V,$C275,[6]BV_Data_An_Prec!$W:$W,$L$2)</f>
        <v>103.36</v>
      </c>
      <c r="R275" s="525"/>
      <c r="S275" s="551">
        <f t="shared" si="53"/>
        <v>29.160000000000011</v>
      </c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4"/>
      <c r="AJ275" s="504"/>
      <c r="AK275" s="504"/>
      <c r="AL275" s="504"/>
      <c r="AM275" s="504"/>
      <c r="AN275" s="504"/>
    </row>
    <row r="276" spans="1:40" ht="15.75" customHeight="1">
      <c r="A276" s="517" t="s">
        <v>393</v>
      </c>
      <c r="B276" s="504" t="s">
        <v>99</v>
      </c>
      <c r="C276" s="592" t="s">
        <v>59</v>
      </c>
      <c r="D276" s="577"/>
      <c r="E276" s="504"/>
      <c r="F276" s="526">
        <f t="array" ref="F276">+INDEX('[6]Budget original'!$A$2:$AO$500,MATCH($A276,'[6]Budget original'!$A$2:$A$500,0),MATCH(F$2,'[6]Budget original'!$A$2:$AO$2,0))</f>
        <v>56.595054721527781</v>
      </c>
      <c r="G276" s="578"/>
      <c r="H276" s="504"/>
      <c r="I276" s="526"/>
      <c r="J276" s="525"/>
      <c r="K276" s="504"/>
      <c r="L276" s="528">
        <f>SUMIFS([6]BV_Data_An_Cour!$O:$O,[6]BV_Data_An_Cour!$U:$U,$B276,[6]BV_Data_An_Cour!$V:$V,$C276,[6]BV_Data_An_Cour!$W:$W,$L$2)</f>
        <v>20.98</v>
      </c>
      <c r="M276" s="525"/>
      <c r="N276" s="551">
        <f t="shared" si="52"/>
        <v>-35.615054721527784</v>
      </c>
      <c r="O276" s="525"/>
      <c r="P276" s="504"/>
      <c r="Q276" s="528">
        <f>SUMIFS([6]BV_Data_An_Prec!$O:$O,[6]BV_Data_An_Prec!$U:$U,$B276,[6]BV_Data_An_Prec!$V:$V,$C276,[6]BV_Data_An_Prec!$W:$W,$L$2)</f>
        <v>41</v>
      </c>
      <c r="R276" s="525"/>
      <c r="S276" s="551">
        <f t="shared" si="53"/>
        <v>-20.02</v>
      </c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4"/>
      <c r="AJ276" s="504"/>
      <c r="AK276" s="504"/>
      <c r="AL276" s="504"/>
      <c r="AM276" s="504"/>
      <c r="AN276" s="504"/>
    </row>
    <row r="277" spans="1:40" ht="15.75" customHeight="1">
      <c r="A277" s="517" t="s">
        <v>394</v>
      </c>
      <c r="B277" s="504" t="s">
        <v>99</v>
      </c>
      <c r="C277" s="592" t="s">
        <v>60</v>
      </c>
      <c r="D277" s="577"/>
      <c r="E277" s="504"/>
      <c r="F277" s="526">
        <f t="array" ref="F277">+INDEX('[6]Budget original'!$A$2:$AO$500,MATCH($A277,'[6]Budget original'!$A$2:$A$500,0),MATCH(F$2,'[6]Budget original'!$A$2:$AO$2,0))</f>
        <v>27.069064278472219</v>
      </c>
      <c r="G277" s="578"/>
      <c r="H277" s="504"/>
      <c r="I277" s="526"/>
      <c r="J277" s="525"/>
      <c r="K277" s="504"/>
      <c r="L277" s="528">
        <f>SUMIFS([6]BV_Data_An_Cour!$O:$O,[6]BV_Data_An_Cour!$U:$U,$B277,[6]BV_Data_An_Cour!$V:$V,$C277,[6]BV_Data_An_Cour!$W:$W,$L$2)</f>
        <v>17.91</v>
      </c>
      <c r="M277" s="525"/>
      <c r="N277" s="551">
        <f t="shared" si="52"/>
        <v>-9.1590642784722185</v>
      </c>
      <c r="O277" s="525"/>
      <c r="P277" s="504"/>
      <c r="Q277" s="528">
        <f>SUMIFS([6]BV_Data_An_Prec!$O:$O,[6]BV_Data_An_Prec!$U:$U,$B277,[6]BV_Data_An_Prec!$V:$V,$C277,[6]BV_Data_An_Prec!$W:$W,$L$2)</f>
        <v>24.51</v>
      </c>
      <c r="R277" s="525"/>
      <c r="S277" s="551">
        <f t="shared" si="53"/>
        <v>-6.6000000000000014</v>
      </c>
      <c r="T277" s="504"/>
      <c r="U277" s="504"/>
      <c r="V277" s="504"/>
      <c r="W277" s="504"/>
      <c r="X277" s="504"/>
      <c r="Y277" s="504"/>
      <c r="Z277" s="504"/>
      <c r="AA277" s="504"/>
      <c r="AB277" s="504"/>
      <c r="AC277" s="504"/>
      <c r="AD277" s="504"/>
      <c r="AE277" s="504"/>
      <c r="AF277" s="504"/>
      <c r="AG277" s="504"/>
      <c r="AH277" s="504"/>
      <c r="AI277" s="504"/>
      <c r="AJ277" s="504"/>
      <c r="AK277" s="504"/>
      <c r="AL277" s="504"/>
      <c r="AM277" s="504"/>
      <c r="AN277" s="504"/>
    </row>
    <row r="278" spans="1:40" ht="15.75" customHeight="1">
      <c r="A278" s="517" t="s">
        <v>395</v>
      </c>
      <c r="B278" s="504" t="s">
        <v>99</v>
      </c>
      <c r="C278" s="592" t="s">
        <v>61</v>
      </c>
      <c r="D278" s="577"/>
      <c r="E278" s="504"/>
      <c r="F278" s="526">
        <f t="array" ref="F278">+INDEX('[6]Budget original'!$A$2:$AO$500,MATCH($A278,'[6]Budget original'!$A$2:$A$500,0),MATCH(F$2,'[6]Budget original'!$A$2:$AO$2,0))</f>
        <v>102.85239191597223</v>
      </c>
      <c r="G278" s="578"/>
      <c r="H278" s="504"/>
      <c r="I278" s="526"/>
      <c r="J278" s="525"/>
      <c r="K278" s="504"/>
      <c r="L278" s="528">
        <f>SUMIFS([6]BV_Data_An_Cour!$O:$O,[6]BV_Data_An_Cour!$U:$U,$B278,[6]BV_Data_An_Cour!$V:$V,$C278,[6]BV_Data_An_Cour!$W:$W,$L$2)</f>
        <v>24.36</v>
      </c>
      <c r="M278" s="525"/>
      <c r="N278" s="551">
        <f t="shared" si="52"/>
        <v>-78.492391915972235</v>
      </c>
      <c r="O278" s="525"/>
      <c r="P278" s="504"/>
      <c r="Q278" s="528">
        <f>SUMIFS([6]BV_Data_An_Prec!$O:$O,[6]BV_Data_An_Prec!$U:$U,$B278,[6]BV_Data_An_Prec!$V:$V,$C278,[6]BV_Data_An_Prec!$W:$W,$L$2)</f>
        <v>52.13</v>
      </c>
      <c r="R278" s="525"/>
      <c r="S278" s="551">
        <f t="shared" si="53"/>
        <v>-27.770000000000003</v>
      </c>
      <c r="T278" s="504"/>
      <c r="U278" s="504"/>
      <c r="V278" s="504"/>
      <c r="W278" s="504"/>
      <c r="X278" s="504"/>
      <c r="Y278" s="504"/>
      <c r="Z278" s="504"/>
      <c r="AA278" s="504"/>
      <c r="AB278" s="504"/>
      <c r="AC278" s="504"/>
      <c r="AD278" s="504"/>
      <c r="AE278" s="504"/>
      <c r="AF278" s="504"/>
      <c r="AG278" s="504"/>
      <c r="AH278" s="504"/>
      <c r="AI278" s="504"/>
      <c r="AJ278" s="504"/>
      <c r="AK278" s="504"/>
      <c r="AL278" s="504"/>
      <c r="AM278" s="504"/>
      <c r="AN278" s="504"/>
    </row>
    <row r="279" spans="1:40" ht="15.75" customHeight="1">
      <c r="A279" s="517" t="s">
        <v>396</v>
      </c>
      <c r="B279" s="504" t="s">
        <v>99</v>
      </c>
      <c r="C279" s="592" t="s">
        <v>62</v>
      </c>
      <c r="D279" s="577"/>
      <c r="E279" s="504"/>
      <c r="F279" s="526">
        <f t="array" ref="F279">+INDEX('[6]Budget original'!$A$2:$AO$500,MATCH($A279,'[6]Budget original'!$A$2:$A$500,0),MATCH(F$2,'[6]Budget original'!$A$2:$AO$2,0))</f>
        <v>88.272956943963109</v>
      </c>
      <c r="G279" s="578"/>
      <c r="H279" s="504"/>
      <c r="I279" s="526"/>
      <c r="J279" s="525"/>
      <c r="K279" s="504"/>
      <c r="L279" s="528">
        <f>SUMIFS([6]BV_Data_An_Cour!$O:$O,[6]BV_Data_An_Cour!$U:$U,$B279,[6]BV_Data_An_Cour!$V:$V,$C279,[6]BV_Data_An_Cour!$W:$W,$L$2)</f>
        <v>272.94</v>
      </c>
      <c r="M279" s="525"/>
      <c r="N279" s="551">
        <f t="shared" si="52"/>
        <v>184.6670430560369</v>
      </c>
      <c r="O279" s="525"/>
      <c r="P279" s="504"/>
      <c r="Q279" s="528">
        <f>SUMIFS([6]BV_Data_An_Prec!$O:$O,[6]BV_Data_An_Prec!$U:$U,$B279,[6]BV_Data_An_Prec!$V:$V,$C279,[6]BV_Data_An_Prec!$W:$W,$L$2)</f>
        <v>110.69</v>
      </c>
      <c r="R279" s="525"/>
      <c r="S279" s="551">
        <f t="shared" si="53"/>
        <v>162.25</v>
      </c>
      <c r="T279" s="504"/>
      <c r="X279" s="504"/>
      <c r="Y279" s="504"/>
      <c r="Z279" s="504"/>
      <c r="AA279" s="504"/>
      <c r="AB279" s="504"/>
      <c r="AC279" s="504"/>
      <c r="AD279" s="504"/>
      <c r="AE279" s="504"/>
      <c r="AF279" s="504"/>
      <c r="AG279" s="504"/>
      <c r="AH279" s="504"/>
      <c r="AI279" s="504"/>
      <c r="AJ279" s="504"/>
      <c r="AK279" s="504"/>
      <c r="AL279" s="504"/>
      <c r="AM279" s="504"/>
      <c r="AN279" s="504"/>
    </row>
    <row r="280" spans="1:40" ht="15.75" customHeight="1">
      <c r="A280" s="517" t="s">
        <v>397</v>
      </c>
      <c r="B280" s="504" t="s">
        <v>99</v>
      </c>
      <c r="C280" s="592" t="s">
        <v>63</v>
      </c>
      <c r="D280" s="577"/>
      <c r="E280" s="504"/>
      <c r="F280" s="526">
        <f t="array" ref="F280">+INDEX('[6]Budget original'!$A$2:$AO$500,MATCH($A280,'[6]Budget original'!$A$2:$A$500,0),MATCH(F$2,'[6]Budget original'!$A$2:$AO$2,0))</f>
        <v>173.57940848366096</v>
      </c>
      <c r="G280" s="578"/>
      <c r="H280" s="504"/>
      <c r="I280" s="526"/>
      <c r="J280" s="525"/>
      <c r="K280" s="504"/>
      <c r="L280" s="528">
        <f>SUMIFS([6]BV_Data_An_Cour!$O:$O,[6]BV_Data_An_Cour!$U:$U,$B280,[6]BV_Data_An_Cour!$V:$V,$C280,[6]BV_Data_An_Cour!$W:$W,$L$2)</f>
        <v>196.51</v>
      </c>
      <c r="M280" s="525"/>
      <c r="N280" s="551">
        <f t="shared" si="52"/>
        <v>22.930591516339035</v>
      </c>
      <c r="O280" s="525"/>
      <c r="P280" s="504"/>
      <c r="Q280" s="528">
        <f>AL447*W6</f>
        <v>170.27775</v>
      </c>
      <c r="R280" s="525"/>
      <c r="S280" s="551">
        <f t="shared" si="53"/>
        <v>26.232249999999993</v>
      </c>
      <c r="T280" s="504"/>
      <c r="X280" s="504"/>
      <c r="Y280" s="504"/>
      <c r="Z280" s="504"/>
      <c r="AA280" s="504"/>
      <c r="AB280" s="504"/>
      <c r="AC280" s="504"/>
      <c r="AD280" s="504"/>
      <c r="AE280" s="504"/>
      <c r="AF280" s="504"/>
      <c r="AG280" s="504"/>
      <c r="AH280" s="504"/>
      <c r="AI280" s="504"/>
      <c r="AJ280" s="504"/>
      <c r="AK280" s="504"/>
      <c r="AL280" s="504"/>
      <c r="AM280" s="504"/>
      <c r="AN280" s="504"/>
    </row>
    <row r="281" spans="1:40" ht="15.75" hidden="1" customHeight="1">
      <c r="A281" s="517" t="s">
        <v>377</v>
      </c>
      <c r="B281" s="504" t="s">
        <v>99</v>
      </c>
      <c r="C281" s="592" t="s">
        <v>20</v>
      </c>
      <c r="D281" s="577"/>
      <c r="E281" s="504"/>
      <c r="F281" s="526">
        <f t="array" ref="F281">+INDEX('[6]Budget original'!$A$2:$AO$500,MATCH($A281,'[6]Budget original'!$A$2:$A$500,0),MATCH(F$2,'[6]Budget original'!$A$2:$AO$2,0))</f>
        <v>0</v>
      </c>
      <c r="G281" s="578"/>
      <c r="H281" s="504"/>
      <c r="I281" s="526"/>
      <c r="J281" s="525"/>
      <c r="K281" s="504"/>
      <c r="L281" s="528">
        <f>SUMIFS([6]BV_Data_An_Cour!$O:$O,[6]BV_Data_An_Cour!$U:$U,$B281,[6]BV_Data_An_Cour!$V:$V,$C281,[6]BV_Data_An_Cour!$W:$W,$L$2)</f>
        <v>0</v>
      </c>
      <c r="M281" s="525"/>
      <c r="N281" s="551">
        <f t="shared" si="52"/>
        <v>0</v>
      </c>
      <c r="O281" s="525"/>
      <c r="P281" s="504"/>
      <c r="Q281" s="528">
        <f>SUMIFS([6]BV_Data_An_Prec!$O:$O,[6]BV_Data_An_Prec!$U:$U,$B281,[6]BV_Data_An_Prec!$V:$V,$C281,[6]BV_Data_An_Prec!$W:$W,$L$2)</f>
        <v>0</v>
      </c>
      <c r="R281" s="525"/>
      <c r="S281" s="551">
        <f t="shared" si="53"/>
        <v>0</v>
      </c>
      <c r="T281" s="504"/>
      <c r="X281" s="504"/>
      <c r="Y281" s="504"/>
      <c r="Z281" s="504"/>
      <c r="AA281" s="504"/>
      <c r="AB281" s="504"/>
      <c r="AC281" s="504"/>
      <c r="AD281" s="504"/>
      <c r="AE281" s="504"/>
      <c r="AF281" s="504"/>
      <c r="AG281" s="504"/>
      <c r="AH281" s="504"/>
      <c r="AI281" s="504"/>
      <c r="AJ281" s="504"/>
      <c r="AK281" s="504"/>
      <c r="AL281" s="504"/>
      <c r="AM281" s="504"/>
      <c r="AN281" s="504"/>
    </row>
    <row r="282" spans="1:40" ht="15.75" hidden="1" customHeight="1">
      <c r="A282" s="517" t="s">
        <v>377</v>
      </c>
      <c r="B282" s="504" t="s">
        <v>99</v>
      </c>
      <c r="C282" s="592" t="s">
        <v>20</v>
      </c>
      <c r="D282" s="577"/>
      <c r="E282" s="504"/>
      <c r="F282" s="526">
        <f t="array" ref="F282">+INDEX('[6]Budget original'!$A$2:$AO$500,MATCH($A282,'[6]Budget original'!$A$2:$A$500,0),MATCH(F$2,'[6]Budget original'!$A$2:$AO$2,0))</f>
        <v>0</v>
      </c>
      <c r="G282" s="578"/>
      <c r="H282" s="504"/>
      <c r="I282" s="526"/>
      <c r="J282" s="525"/>
      <c r="K282" s="504"/>
      <c r="L282" s="528">
        <f>SUMIFS([6]BV_Data_An_Cour!$O:$O,[6]BV_Data_An_Cour!$U:$U,$B282,[6]BV_Data_An_Cour!$V:$V,$C282,[6]BV_Data_An_Cour!$W:$W,$L$2)</f>
        <v>0</v>
      </c>
      <c r="M282" s="525"/>
      <c r="N282" s="551">
        <f t="shared" si="52"/>
        <v>0</v>
      </c>
      <c r="O282" s="525"/>
      <c r="P282" s="504"/>
      <c r="Q282" s="528">
        <f>SUMIFS([6]BV_Data_An_Prec!$O:$O,[6]BV_Data_An_Prec!$U:$U,$B282,[6]BV_Data_An_Prec!$V:$V,$C282,[6]BV_Data_An_Prec!$W:$W,$L$2)</f>
        <v>0</v>
      </c>
      <c r="R282" s="525"/>
      <c r="S282" s="551">
        <f t="shared" si="53"/>
        <v>0</v>
      </c>
      <c r="T282" s="504"/>
      <c r="X282" s="504"/>
      <c r="Y282" s="504"/>
      <c r="Z282" s="504"/>
      <c r="AA282" s="504"/>
      <c r="AB282" s="504"/>
      <c r="AC282" s="504"/>
      <c r="AD282" s="504"/>
      <c r="AE282" s="504"/>
      <c r="AF282" s="504"/>
      <c r="AG282" s="504"/>
      <c r="AH282" s="504"/>
      <c r="AI282" s="504"/>
      <c r="AJ282" s="504"/>
      <c r="AK282" s="504"/>
      <c r="AL282" s="504"/>
      <c r="AM282" s="504"/>
      <c r="AN282" s="504"/>
    </row>
    <row r="283" spans="1:40" ht="15.75" hidden="1" customHeight="1">
      <c r="A283" s="517" t="s">
        <v>377</v>
      </c>
      <c r="B283" s="504" t="s">
        <v>99</v>
      </c>
      <c r="C283" s="592" t="s">
        <v>20</v>
      </c>
      <c r="D283" s="577"/>
      <c r="E283" s="504"/>
      <c r="F283" s="526">
        <f t="array" ref="F283">+INDEX('[6]Budget original'!$A$2:$AO$500,MATCH($A283,'[6]Budget original'!$A$2:$A$500,0),MATCH(F$2,'[6]Budget original'!$A$2:$AO$2,0))</f>
        <v>0</v>
      </c>
      <c r="G283" s="578"/>
      <c r="H283" s="504"/>
      <c r="I283" s="526"/>
      <c r="J283" s="525"/>
      <c r="K283" s="504"/>
      <c r="L283" s="528">
        <f>SUMIFS([6]BV_Data_An_Cour!$O:$O,[6]BV_Data_An_Cour!$U:$U,$B283,[6]BV_Data_An_Cour!$V:$V,$C283,[6]BV_Data_An_Cour!$W:$W,$L$2)</f>
        <v>0</v>
      </c>
      <c r="M283" s="525"/>
      <c r="N283" s="551">
        <f t="shared" si="52"/>
        <v>0</v>
      </c>
      <c r="O283" s="525"/>
      <c r="P283" s="504"/>
      <c r="Q283" s="528">
        <f>SUMIFS([6]BV_Data_An_Prec!$O:$O,[6]BV_Data_An_Prec!$U:$U,$B283,[6]BV_Data_An_Prec!$V:$V,$C283,[6]BV_Data_An_Prec!$W:$W,$L$2)</f>
        <v>0</v>
      </c>
      <c r="R283" s="525"/>
      <c r="S283" s="551">
        <f t="shared" si="53"/>
        <v>0</v>
      </c>
      <c r="T283" s="504"/>
      <c r="X283" s="504"/>
      <c r="Y283" s="504"/>
      <c r="Z283" s="504"/>
      <c r="AA283" s="504"/>
      <c r="AB283" s="504"/>
      <c r="AC283" s="504"/>
      <c r="AD283" s="504"/>
      <c r="AE283" s="504"/>
      <c r="AF283" s="504"/>
      <c r="AG283" s="504"/>
      <c r="AH283" s="504"/>
      <c r="AI283" s="504"/>
      <c r="AJ283" s="504"/>
      <c r="AK283" s="504"/>
      <c r="AL283" s="504"/>
      <c r="AM283" s="504"/>
      <c r="AN283" s="504"/>
    </row>
    <row r="284" spans="1:40" ht="15.75" customHeight="1">
      <c r="B284" s="504"/>
      <c r="C284" s="584" t="s">
        <v>64</v>
      </c>
      <c r="D284" s="585" t="s">
        <v>39</v>
      </c>
      <c r="E284" s="586">
        <f>F284/F$249</f>
        <v>0.15766684506789569</v>
      </c>
      <c r="F284" s="587">
        <f>+SUM(F266:F283)</f>
        <v>4056.3465552330363</v>
      </c>
      <c r="G284" s="588"/>
      <c r="H284" s="586"/>
      <c r="I284" s="587"/>
      <c r="J284" s="588" t="s">
        <v>39</v>
      </c>
      <c r="K284" s="586">
        <f>L284/L$249</f>
        <v>0.54610404989342376</v>
      </c>
      <c r="L284" s="587">
        <f>+SUM(L266:L283)</f>
        <v>6917.4999999999991</v>
      </c>
      <c r="M284" s="591"/>
      <c r="N284" s="587">
        <f>+SUM(N266:N283)</f>
        <v>2861.1534447669633</v>
      </c>
      <c r="O284" s="588" t="s">
        <v>39</v>
      </c>
      <c r="P284" s="586">
        <f>Q284/Q$249</f>
        <v>0.16871161853693609</v>
      </c>
      <c r="Q284" s="587">
        <f>+SUM(Q266:Q283)</f>
        <v>4280.2677500000009</v>
      </c>
      <c r="R284" s="591"/>
      <c r="S284" s="587">
        <f t="shared" si="53"/>
        <v>2637.2322499999982</v>
      </c>
      <c r="T284" s="564"/>
      <c r="X284" s="504"/>
      <c r="Y284" s="504"/>
      <c r="Z284" s="504"/>
      <c r="AA284" s="504"/>
      <c r="AB284" s="504"/>
      <c r="AC284" s="504"/>
      <c r="AD284" s="504"/>
      <c r="AE284" s="504"/>
      <c r="AF284" s="504"/>
      <c r="AG284" s="504"/>
      <c r="AH284" s="504"/>
      <c r="AI284" s="504"/>
      <c r="AJ284" s="504"/>
      <c r="AK284" s="504"/>
      <c r="AL284" s="504"/>
      <c r="AM284" s="504"/>
      <c r="AN284" s="504"/>
    </row>
    <row r="285" spans="1:40" ht="15.75" customHeight="1">
      <c r="B285" s="504"/>
      <c r="C285" s="518"/>
      <c r="D285" s="579"/>
      <c r="E285" s="598"/>
      <c r="F285" s="551"/>
      <c r="G285" s="580"/>
      <c r="H285" s="598"/>
      <c r="I285" s="551"/>
      <c r="J285" s="518"/>
      <c r="K285" s="598"/>
      <c r="L285" s="574"/>
      <c r="M285" s="518"/>
      <c r="N285" s="574"/>
      <c r="O285" s="518"/>
      <c r="P285" s="598"/>
      <c r="Q285" s="574"/>
      <c r="R285" s="518"/>
      <c r="S285" s="574"/>
      <c r="T285" s="564"/>
      <c r="U285" s="504"/>
      <c r="V285" s="504"/>
      <c r="W285" s="504"/>
      <c r="X285" s="504"/>
      <c r="Y285" s="504"/>
      <c r="Z285" s="504"/>
      <c r="AA285" s="504"/>
      <c r="AB285" s="504"/>
      <c r="AC285" s="504"/>
      <c r="AD285" s="504"/>
      <c r="AE285" s="504"/>
      <c r="AF285" s="504"/>
      <c r="AG285" s="504"/>
      <c r="AH285" s="504"/>
      <c r="AI285" s="504"/>
      <c r="AJ285" s="504"/>
      <c r="AK285" s="504"/>
      <c r="AL285" s="504"/>
      <c r="AM285" s="504"/>
      <c r="AN285" s="504"/>
    </row>
    <row r="286" spans="1:40" ht="15.75" customHeight="1">
      <c r="B286" s="504"/>
      <c r="C286" s="584" t="s">
        <v>65</v>
      </c>
      <c r="D286" s="585" t="s">
        <v>39</v>
      </c>
      <c r="E286" s="586">
        <f>F286/F$249</f>
        <v>0.41940794734209391</v>
      </c>
      <c r="F286" s="587">
        <f>F265+F284</f>
        <v>10790.245607476005</v>
      </c>
      <c r="G286" s="588"/>
      <c r="H286" s="586"/>
      <c r="I286" s="587"/>
      <c r="J286" s="588" t="s">
        <v>39</v>
      </c>
      <c r="K286" s="586">
        <f>L286/L$249</f>
        <v>1.1805170916554826</v>
      </c>
      <c r="L286" s="587">
        <f>L265+L284</f>
        <v>14953.609999999999</v>
      </c>
      <c r="M286" s="591"/>
      <c r="N286" s="600">
        <f>L286-F286</f>
        <v>4163.364392523994</v>
      </c>
      <c r="O286" s="588" t="s">
        <v>39</v>
      </c>
      <c r="P286" s="586">
        <f>Q286/Q$249</f>
        <v>0.622578972200587</v>
      </c>
      <c r="Q286" s="587">
        <f>Q265+Q284</f>
        <v>15795.027749999999</v>
      </c>
      <c r="R286" s="591"/>
      <c r="S286" s="600">
        <f>L286-Q286</f>
        <v>-841.41775000000052</v>
      </c>
      <c r="T286" s="564"/>
      <c r="U286" s="504"/>
      <c r="V286" s="504"/>
      <c r="W286" s="504"/>
      <c r="X286" s="504"/>
      <c r="Y286" s="504"/>
      <c r="Z286" s="504"/>
      <c r="AA286" s="504"/>
      <c r="AB286" s="504"/>
      <c r="AC286" s="504"/>
      <c r="AD286" s="504"/>
      <c r="AE286" s="504"/>
      <c r="AF286" s="504"/>
      <c r="AG286" s="504"/>
      <c r="AH286" s="504"/>
      <c r="AI286" s="504"/>
      <c r="AJ286" s="504"/>
      <c r="AK286" s="504"/>
      <c r="AL286" s="504"/>
      <c r="AM286" s="504"/>
      <c r="AN286" s="504"/>
    </row>
    <row r="287" spans="1:40" ht="15.75" customHeight="1">
      <c r="B287" s="504"/>
      <c r="C287" s="525"/>
      <c r="D287" s="577"/>
      <c r="E287" s="504"/>
      <c r="F287" s="551"/>
      <c r="G287" s="578"/>
      <c r="H287" s="504"/>
      <c r="I287" s="551"/>
      <c r="J287" s="525"/>
      <c r="K287" s="504"/>
      <c r="L287" s="551"/>
      <c r="M287" s="525"/>
      <c r="N287" s="551">
        <f>L287-F287</f>
        <v>0</v>
      </c>
      <c r="O287" s="525"/>
      <c r="P287" s="504"/>
      <c r="Q287" s="551"/>
      <c r="R287" s="525"/>
      <c r="S287" s="551"/>
      <c r="T287" s="504"/>
      <c r="U287" s="504"/>
      <c r="V287" s="504"/>
      <c r="W287" s="504"/>
      <c r="X287" s="504"/>
      <c r="Y287" s="504"/>
      <c r="Z287" s="504"/>
      <c r="AA287" s="504"/>
      <c r="AB287" s="504"/>
      <c r="AC287" s="504"/>
      <c r="AD287" s="504"/>
      <c r="AE287" s="504"/>
      <c r="AF287" s="504"/>
      <c r="AG287" s="504"/>
      <c r="AH287" s="504"/>
      <c r="AI287" s="504"/>
      <c r="AJ287" s="504"/>
      <c r="AK287" s="504"/>
      <c r="AL287" s="504"/>
      <c r="AM287" s="504"/>
      <c r="AN287" s="504"/>
    </row>
    <row r="288" spans="1:40" ht="29.25" customHeight="1" thickBot="1">
      <c r="B288" s="504"/>
      <c r="C288" s="614" t="s">
        <v>72</v>
      </c>
      <c r="D288" s="642"/>
      <c r="E288" s="615"/>
      <c r="F288" s="617">
        <f>F249-F286</f>
        <v>14937.081868926922</v>
      </c>
      <c r="G288" s="643"/>
      <c r="H288" s="615"/>
      <c r="I288" s="617"/>
      <c r="J288" s="614"/>
      <c r="K288" s="616"/>
      <c r="L288" s="617">
        <f>L249-L286</f>
        <v>-2286.6099999999969</v>
      </c>
      <c r="M288" s="614"/>
      <c r="N288" s="617">
        <f>L288-F288</f>
        <v>-17223.691868926919</v>
      </c>
      <c r="O288" s="614"/>
      <c r="P288" s="616"/>
      <c r="Q288" s="617">
        <f>Q249-Q286</f>
        <v>9575.2922500000041</v>
      </c>
      <c r="R288" s="614"/>
      <c r="S288" s="617">
        <f>L288-Q288</f>
        <v>-11861.902250000001</v>
      </c>
      <c r="T288" s="564"/>
      <c r="U288" s="504"/>
      <c r="V288" s="504"/>
      <c r="W288" s="504"/>
      <c r="X288" s="504"/>
      <c r="Y288" s="504"/>
      <c r="Z288" s="504"/>
      <c r="AA288" s="504"/>
      <c r="AB288" s="504"/>
      <c r="AC288" s="504"/>
      <c r="AD288" s="504"/>
      <c r="AE288" s="504"/>
      <c r="AF288" s="504"/>
      <c r="AG288" s="504"/>
      <c r="AH288" s="504"/>
      <c r="AI288" s="504"/>
      <c r="AJ288" s="504"/>
      <c r="AK288" s="504"/>
      <c r="AL288" s="504"/>
      <c r="AM288" s="504"/>
      <c r="AN288" s="504"/>
    </row>
    <row r="289" spans="1:40" ht="15.75" customHeight="1" thickTop="1">
      <c r="B289" s="504"/>
      <c r="C289" s="504"/>
      <c r="D289" s="504"/>
      <c r="E289" s="504"/>
      <c r="F289" s="504"/>
      <c r="G289" s="504"/>
      <c r="H289" s="504"/>
      <c r="I289" s="504"/>
      <c r="J289" s="504"/>
      <c r="K289" s="504"/>
      <c r="L289" s="569"/>
      <c r="M289" s="504"/>
      <c r="N289" s="504"/>
      <c r="O289" s="504"/>
      <c r="P289" s="504"/>
      <c r="Q289" s="504"/>
      <c r="R289" s="504"/>
      <c r="S289" s="504"/>
      <c r="T289" s="504"/>
      <c r="U289" s="504"/>
      <c r="V289" s="504"/>
      <c r="W289" s="504"/>
      <c r="X289" s="504"/>
      <c r="Y289" s="504"/>
      <c r="Z289" s="504"/>
      <c r="AA289" s="504"/>
      <c r="AB289" s="504"/>
      <c r="AC289" s="504"/>
      <c r="AD289" s="504"/>
      <c r="AE289" s="504"/>
      <c r="AF289" s="504"/>
      <c r="AG289" s="504"/>
      <c r="AH289" s="504"/>
      <c r="AI289" s="504"/>
      <c r="AJ289" s="504"/>
      <c r="AK289" s="504"/>
      <c r="AL289" s="504"/>
      <c r="AM289" s="504"/>
      <c r="AN289" s="504"/>
    </row>
    <row r="290" spans="1:40" ht="36" customHeight="1">
      <c r="B290" s="504"/>
      <c r="C290" s="622" t="str">
        <f>C1</f>
        <v>Volks</v>
      </c>
      <c r="D290" s="492"/>
      <c r="E290" s="492"/>
      <c r="F290" s="492"/>
      <c r="G290" s="492"/>
      <c r="H290" s="490"/>
      <c r="I290" s="490"/>
      <c r="J290" s="490"/>
      <c r="K290" s="494" t="s">
        <v>103</v>
      </c>
      <c r="L290" s="492"/>
      <c r="M290" s="492"/>
      <c r="N290" s="490"/>
      <c r="O290" s="490"/>
      <c r="P290" s="492"/>
      <c r="Q290" s="490"/>
      <c r="R290" s="492"/>
      <c r="S290" s="623" t="str">
        <f>$S$1</f>
        <v>Réalisé, Juin 2023</v>
      </c>
      <c r="T290" s="504"/>
      <c r="U290" s="504"/>
      <c r="V290" s="504"/>
      <c r="W290" s="504"/>
      <c r="X290" s="504"/>
      <c r="Y290" s="504"/>
      <c r="Z290" s="504"/>
      <c r="AA290" s="504"/>
      <c r="AB290" s="504"/>
      <c r="AC290" s="504"/>
      <c r="AD290" s="504"/>
      <c r="AE290" s="504"/>
      <c r="AF290" s="504"/>
      <c r="AG290" s="504"/>
      <c r="AH290" s="504"/>
      <c r="AI290" s="504"/>
      <c r="AJ290" s="504"/>
      <c r="AK290" s="504"/>
      <c r="AL290" s="504"/>
      <c r="AM290" s="504"/>
      <c r="AN290" s="504"/>
    </row>
    <row r="291" spans="1:40" ht="15.75" customHeight="1" thickBot="1">
      <c r="B291" s="504"/>
      <c r="C291" s="499"/>
      <c r="D291" s="501"/>
      <c r="E291" s="501"/>
      <c r="F291" s="501"/>
      <c r="G291" s="501"/>
      <c r="H291" s="501"/>
      <c r="I291" s="501"/>
      <c r="J291" s="501"/>
      <c r="K291" s="501"/>
      <c r="L291" s="501"/>
      <c r="M291" s="501"/>
      <c r="N291" s="501"/>
      <c r="O291" s="501"/>
      <c r="P291" s="501"/>
      <c r="Q291" s="501"/>
      <c r="R291" s="501"/>
      <c r="S291" s="501"/>
      <c r="T291" s="504"/>
      <c r="U291" s="504"/>
      <c r="V291" s="504"/>
      <c r="W291" s="504"/>
      <c r="X291" s="504"/>
      <c r="Y291" s="504"/>
      <c r="Z291" s="504"/>
      <c r="AA291" s="504"/>
      <c r="AB291" s="504"/>
      <c r="AC291" s="504"/>
      <c r="AD291" s="504"/>
      <c r="AE291" s="504"/>
      <c r="AF291" s="504"/>
      <c r="AG291" s="504"/>
      <c r="AH291" s="504"/>
      <c r="AI291" s="504"/>
      <c r="AJ291" s="504"/>
      <c r="AK291" s="504"/>
      <c r="AL291" s="504"/>
      <c r="AM291" s="504"/>
      <c r="AN291" s="504"/>
    </row>
    <row r="292" spans="1:40" ht="15.75" customHeight="1" thickTop="1">
      <c r="B292" s="504"/>
      <c r="C292" s="505"/>
      <c r="D292" s="506" t="s">
        <v>5</v>
      </c>
      <c r="E292" s="507"/>
      <c r="F292" s="508"/>
      <c r="G292" s="509"/>
      <c r="H292" s="507"/>
      <c r="I292" s="508"/>
      <c r="J292" s="509" t="s">
        <v>7</v>
      </c>
      <c r="K292" s="507"/>
      <c r="L292" s="508"/>
      <c r="M292" s="509" t="s">
        <v>472</v>
      </c>
      <c r="N292" s="508"/>
      <c r="O292" s="506" t="s">
        <v>9</v>
      </c>
      <c r="P292" s="507"/>
      <c r="Q292" s="508"/>
      <c r="R292" s="509" t="s">
        <v>473</v>
      </c>
      <c r="S292" s="508"/>
      <c r="T292" s="504"/>
      <c r="U292" s="504"/>
      <c r="V292" s="504"/>
      <c r="W292" s="504"/>
      <c r="X292" s="504"/>
      <c r="Y292" s="504"/>
      <c r="Z292" s="504"/>
      <c r="AA292" s="504"/>
      <c r="AB292" s="504"/>
      <c r="AC292" s="504"/>
      <c r="AD292" s="504"/>
      <c r="AE292" s="504"/>
      <c r="AF292" s="504"/>
      <c r="AG292" s="504"/>
      <c r="AH292" s="504"/>
      <c r="AI292" s="504"/>
      <c r="AJ292" s="504"/>
      <c r="AK292" s="504"/>
      <c r="AL292" s="504"/>
      <c r="AM292" s="504"/>
      <c r="AN292" s="504"/>
    </row>
    <row r="293" spans="1:40" ht="15.75" customHeight="1">
      <c r="A293" s="517" t="s">
        <v>103</v>
      </c>
      <c r="B293" s="504" t="s">
        <v>103</v>
      </c>
      <c r="C293" s="525"/>
      <c r="D293" s="567" t="s">
        <v>84</v>
      </c>
      <c r="E293" s="567" t="s">
        <v>104</v>
      </c>
      <c r="F293" s="645" t="s">
        <v>13</v>
      </c>
      <c r="G293" s="646"/>
      <c r="H293" s="567"/>
      <c r="I293" s="645"/>
      <c r="J293" s="646" t="s">
        <v>84</v>
      </c>
      <c r="K293" s="567" t="s">
        <v>104</v>
      </c>
      <c r="L293" s="645" t="s">
        <v>13</v>
      </c>
      <c r="M293" s="646" t="s">
        <v>40</v>
      </c>
      <c r="N293" s="645" t="s">
        <v>475</v>
      </c>
      <c r="O293" s="567" t="s">
        <v>84</v>
      </c>
      <c r="P293" s="567" t="s">
        <v>104</v>
      </c>
      <c r="Q293" s="645" t="s">
        <v>13</v>
      </c>
      <c r="R293" s="646" t="s">
        <v>85</v>
      </c>
      <c r="S293" s="645" t="s">
        <v>13</v>
      </c>
      <c r="T293" s="504"/>
      <c r="U293" s="504"/>
      <c r="V293" s="504"/>
      <c r="W293" s="504"/>
      <c r="X293" s="504"/>
      <c r="Y293" s="504"/>
      <c r="Z293" s="504"/>
      <c r="AA293" s="504"/>
      <c r="AB293" s="504"/>
      <c r="AC293" s="504"/>
      <c r="AD293" s="504"/>
      <c r="AE293" s="504"/>
      <c r="AF293" s="504"/>
      <c r="AG293" s="504"/>
      <c r="AH293" s="504"/>
      <c r="AI293" s="504"/>
      <c r="AJ293" s="504"/>
      <c r="AK293" s="504"/>
      <c r="AL293" s="504"/>
      <c r="AM293" s="504"/>
      <c r="AN293" s="504"/>
    </row>
    <row r="294" spans="1:40" ht="15.75" customHeight="1">
      <c r="A294" s="517" t="s">
        <v>398</v>
      </c>
      <c r="B294" s="504" t="s">
        <v>103</v>
      </c>
      <c r="C294" s="525" t="s">
        <v>105</v>
      </c>
      <c r="D294" s="569">
        <f t="array" ref="D294">+INDEX('[6]Budget original'!$A$2:$AO$500,MATCH($A294,'[6]Budget original'!$A$2:$A$500,0),MATCH(D$2,'[6]Budget original'!$A$2:$AO$2,0))</f>
        <v>80760.73431396317</v>
      </c>
      <c r="E294" s="635">
        <f t="shared" ref="E294:E302" si="54">IF(D294=0,0,F294/D294)</f>
        <v>0.36099999999999999</v>
      </c>
      <c r="F294" s="551">
        <f t="array" ref="F294">+INDEX('[6]Budget original'!$A$2:$AO$500,MATCH($A294,'[6]Budget original'!$A$2:$A$500,0),MATCH(F$2,'[6]Budget original'!$A$2:$AO$2,0))</f>
        <v>29154.625087340704</v>
      </c>
      <c r="G294" s="569"/>
      <c r="H294" s="635"/>
      <c r="I294" s="551"/>
      <c r="J294" s="526">
        <f>-SUMIFS([6]BV_Data_An_Cour!$O:$O,[6]BV_Data_An_Cour!$X:$X,"Oui",[6]BV_Data_An_Cour!$U:$U,$B294,[6]BV_Data_An_Cour!$V:$V,$C294)</f>
        <v>105150.77</v>
      </c>
      <c r="K294" s="635">
        <f t="shared" ref="K294:K303" si="55">IF(J294&lt;=0,0,L294/J294)</f>
        <v>0.35954544127446714</v>
      </c>
      <c r="L294" s="551">
        <f>-SUMIFS([6]BV_Data_An_Cour!$O:$O,[6]BV_Data_An_Cour!$U:$U,$B294,[6]BV_Data_An_Cour!$V:$V,$C294,[6]BV_Data_An_Cour!$W:$W,$L$2)</f>
        <v>37806.480000000003</v>
      </c>
      <c r="M294" s="570">
        <f t="shared" ref="M294:M300" si="56">(+J294-D294)/D294</f>
        <v>0.30200363943223713</v>
      </c>
      <c r="N294" s="551">
        <f t="shared" ref="N294:N303" si="57">L294-F294</f>
        <v>8651.8549126592989</v>
      </c>
      <c r="O294" s="526">
        <f>-SUMIFS([6]BV_Data_An_Prec!$O:$O,[6]BV_Data_An_Prec!$X:$X,"Oui",[6]BV_Data_An_Prec!$U:$U,$B294,[6]BV_Data_An_Prec!$V:$V,$C294)</f>
        <v>86389.930000000008</v>
      </c>
      <c r="P294" s="635">
        <f t="shared" ref="P294:P303" si="58">IF(O294&lt;=0,0,Q294/O294)</f>
        <v>0.34160497641333898</v>
      </c>
      <c r="Q294" s="551">
        <f>-SUMIFS([6]BV_Data_An_Prec!$O:$O,[6]BV_Data_An_Prec!$U:$U,$B294,[6]BV_Data_An_Prec!$V:$V,$C294,[6]BV_Data_An_Prec!$W:$W,$L$2)</f>
        <v>29511.230000000007</v>
      </c>
      <c r="R294" s="570">
        <f t="shared" ref="R294:R303" si="59">IF(O294=0,0,(J294-O294)/O294)</f>
        <v>0.21716466259435555</v>
      </c>
      <c r="S294" s="551">
        <f t="shared" ref="S294:S303" si="60">L294-Q294</f>
        <v>8295.2499999999964</v>
      </c>
      <c r="T294" s="504"/>
      <c r="U294" s="504"/>
      <c r="V294" s="504"/>
      <c r="W294" s="504"/>
      <c r="X294" s="504"/>
      <c r="Y294" s="504"/>
      <c r="Z294" s="504"/>
      <c r="AA294" s="504"/>
      <c r="AB294" s="504"/>
      <c r="AC294" s="504"/>
      <c r="AD294" s="504"/>
      <c r="AE294" s="504"/>
      <c r="AF294" s="504"/>
      <c r="AG294" s="504"/>
      <c r="AH294" s="504"/>
      <c r="AI294" s="504"/>
      <c r="AJ294" s="504"/>
      <c r="AK294" s="504"/>
      <c r="AL294" s="504"/>
      <c r="AM294" s="504"/>
      <c r="AN294" s="504"/>
    </row>
    <row r="295" spans="1:40" ht="15.75" customHeight="1">
      <c r="A295" s="517" t="s">
        <v>399</v>
      </c>
      <c r="B295" s="504" t="s">
        <v>103</v>
      </c>
      <c r="C295" s="525" t="s">
        <v>106</v>
      </c>
      <c r="D295" s="569">
        <f t="array" ref="D295">+INDEX('[6]Budget original'!$A$2:$AO$500,MATCH($A295,'[6]Budget original'!$A$2:$A$500,0),MATCH(D$2,'[6]Budget original'!$A$2:$AO$2,0))</f>
        <v>66130.940674823782</v>
      </c>
      <c r="E295" s="635">
        <f t="shared" si="54"/>
        <v>0.248</v>
      </c>
      <c r="F295" s="551">
        <f t="array" ref="F295">+INDEX('[6]Budget original'!$A$2:$AO$500,MATCH($A295,'[6]Budget original'!$A$2:$A$500,0),MATCH(F$2,'[6]Budget original'!$A$2:$AO$2,0))</f>
        <v>16400.473287356297</v>
      </c>
      <c r="G295" s="569"/>
      <c r="H295" s="635"/>
      <c r="I295" s="551"/>
      <c r="J295" s="526">
        <f>-SUMIFS([6]BV_Data_An_Cour!$O:$O,[6]BV_Data_An_Cour!$X:$X,"Oui",[6]BV_Data_An_Cour!$U:$U,$B295,[6]BV_Data_An_Cour!$V:$V,$C295)</f>
        <v>37089.939999999995</v>
      </c>
      <c r="K295" s="635">
        <f t="shared" si="55"/>
        <v>0.27931913613233122</v>
      </c>
      <c r="L295" s="551">
        <f>-SUMIFS([6]BV_Data_An_Cour!$O:$O,[6]BV_Data_An_Cour!$U:$U,$B295,[6]BV_Data_An_Cour!$V:$V,$C295,[6]BV_Data_An_Cour!$W:$W,$L$2)</f>
        <v>10359.929999999997</v>
      </c>
      <c r="M295" s="570">
        <f t="shared" si="56"/>
        <v>-0.43914392232257737</v>
      </c>
      <c r="N295" s="551">
        <f t="shared" si="57"/>
        <v>-6040.5432873563004</v>
      </c>
      <c r="O295" s="526">
        <f>-SUMIFS([6]BV_Data_An_Prec!$O:$O,[6]BV_Data_An_Prec!$X:$X,"Oui",[6]BV_Data_An_Prec!$U:$U,$B295,[6]BV_Data_An_Prec!$V:$V,$C295)</f>
        <v>61772.62</v>
      </c>
      <c r="P295" s="635">
        <f t="shared" si="58"/>
        <v>0.23851635239042798</v>
      </c>
      <c r="Q295" s="551">
        <f>-SUMIFS([6]BV_Data_An_Prec!$O:$O,[6]BV_Data_An_Prec!$U:$U,$B295,[6]BV_Data_An_Prec!$V:$V,$C295,[6]BV_Data_An_Prec!$W:$W,$L$2)</f>
        <v>14733.78</v>
      </c>
      <c r="R295" s="570">
        <f t="shared" si="59"/>
        <v>-0.39957314421826379</v>
      </c>
      <c r="S295" s="551">
        <f t="shared" si="60"/>
        <v>-4373.850000000004</v>
      </c>
      <c r="T295" s="504"/>
      <c r="U295" s="504"/>
      <c r="V295" s="504"/>
      <c r="W295" s="504"/>
      <c r="X295" s="504"/>
      <c r="Y295" s="504"/>
      <c r="Z295" s="504"/>
      <c r="AA295" s="504"/>
      <c r="AB295" s="504"/>
      <c r="AC295" s="504"/>
      <c r="AD295" s="504"/>
      <c r="AE295" s="504"/>
      <c r="AF295" s="504"/>
      <c r="AG295" s="504"/>
      <c r="AH295" s="504"/>
      <c r="AI295" s="504"/>
      <c r="AJ295" s="504"/>
      <c r="AK295" s="504"/>
      <c r="AL295" s="504"/>
      <c r="AM295" s="504"/>
      <c r="AN295" s="504"/>
    </row>
    <row r="296" spans="1:40" ht="15.75" customHeight="1">
      <c r="A296" s="517" t="s">
        <v>400</v>
      </c>
      <c r="B296" s="504" t="s">
        <v>103</v>
      </c>
      <c r="C296" s="525" t="s">
        <v>107</v>
      </c>
      <c r="D296" s="569">
        <f t="array" ref="D296">+INDEX('[6]Budget original'!$A$2:$AO$500,MATCH($A296,'[6]Budget original'!$A$2:$A$500,0),MATCH(D$2,'[6]Budget original'!$A$2:$AO$2,0))</f>
        <v>76495.505294539747</v>
      </c>
      <c r="E296" s="635">
        <f t="shared" si="54"/>
        <v>0.24300000000000002</v>
      </c>
      <c r="F296" s="551">
        <f t="array" ref="F296">+INDEX('[6]Budget original'!$A$2:$AO$500,MATCH($A296,'[6]Budget original'!$A$2:$A$500,0),MATCH(F$2,'[6]Budget original'!$A$2:$AO$2,0))</f>
        <v>18588.40778657316</v>
      </c>
      <c r="G296" s="569"/>
      <c r="H296" s="635"/>
      <c r="I296" s="551"/>
      <c r="J296" s="526">
        <f>-SUMIFS([6]BV_Data_An_Cour!$O:$O,[6]BV_Data_An_Cour!$X:$X,"Oui",[6]BV_Data_An_Cour!$U:$U,$B296,[6]BV_Data_An_Cour!$V:$V,$C296)</f>
        <v>21374.01</v>
      </c>
      <c r="K296" s="635">
        <f t="shared" si="55"/>
        <v>0.24063102805697192</v>
      </c>
      <c r="L296" s="551">
        <f>-SUMIFS([6]BV_Data_An_Cour!$O:$O,[6]BV_Data_An_Cour!$U:$U,$B296,[6]BV_Data_An_Cour!$V:$V,$C296,[6]BV_Data_An_Cour!$W:$W,$L$2)</f>
        <v>5143.2499999999982</v>
      </c>
      <c r="M296" s="570">
        <f t="shared" si="56"/>
        <v>-0.72058475961821411</v>
      </c>
      <c r="N296" s="551">
        <f t="shared" si="57"/>
        <v>-13445.157786573162</v>
      </c>
      <c r="O296" s="526">
        <f>-SUMIFS([6]BV_Data_An_Prec!$O:$O,[6]BV_Data_An_Prec!$X:$X,"Oui",[6]BV_Data_An_Prec!$U:$U,$B296,[6]BV_Data_An_Prec!$V:$V,$C296)</f>
        <v>55234.06</v>
      </c>
      <c r="P296" s="635">
        <f t="shared" si="58"/>
        <v>0.2397323318256887</v>
      </c>
      <c r="Q296" s="551">
        <f>-SUMIFS([6]BV_Data_An_Prec!$O:$O,[6]BV_Data_An_Prec!$U:$U,$B296,[6]BV_Data_An_Prec!$V:$V,$C296,[6]BV_Data_An_Prec!$W:$W,$L$2)</f>
        <v>13241.39</v>
      </c>
      <c r="R296" s="570">
        <f t="shared" si="59"/>
        <v>-0.61302844657807165</v>
      </c>
      <c r="S296" s="551">
        <f t="shared" si="60"/>
        <v>-8098.1400000000012</v>
      </c>
      <c r="T296" s="504"/>
      <c r="U296" s="504"/>
      <c r="V296" s="504"/>
      <c r="W296" s="504"/>
      <c r="X296" s="504"/>
      <c r="Y296" s="504"/>
      <c r="Z296" s="504"/>
      <c r="AA296" s="504"/>
      <c r="AB296" s="504"/>
      <c r="AC296" s="504"/>
      <c r="AD296" s="504"/>
      <c r="AE296" s="504"/>
      <c r="AF296" s="504"/>
      <c r="AG296" s="504"/>
      <c r="AH296" s="504"/>
      <c r="AI296" s="504"/>
      <c r="AJ296" s="504"/>
      <c r="AK296" s="504"/>
      <c r="AL296" s="504"/>
      <c r="AM296" s="504"/>
      <c r="AN296" s="504"/>
    </row>
    <row r="297" spans="1:40" ht="15.75" customHeight="1">
      <c r="A297" s="517" t="s">
        <v>401</v>
      </c>
      <c r="B297" s="504" t="s">
        <v>103</v>
      </c>
      <c r="C297" s="525" t="s">
        <v>108</v>
      </c>
      <c r="D297" s="569">
        <f t="array" ref="D297">+INDEX('[6]Budget original'!$A$2:$AO$500,MATCH($A297,'[6]Budget original'!$A$2:$A$500,0),MATCH(D$2,'[6]Budget original'!$A$2:$AO$2,0))</f>
        <v>66007.68962688974</v>
      </c>
      <c r="E297" s="635">
        <f t="shared" si="54"/>
        <v>0.316</v>
      </c>
      <c r="F297" s="551">
        <f t="array" ref="F297">+INDEX('[6]Budget original'!$A$2:$AO$500,MATCH($A297,'[6]Budget original'!$A$2:$A$500,0),MATCH(F$2,'[6]Budget original'!$A$2:$AO$2,0))</f>
        <v>20858.429922097159</v>
      </c>
      <c r="G297" s="569"/>
      <c r="H297" s="635"/>
      <c r="I297" s="551"/>
      <c r="J297" s="526">
        <f>-SUMIFS([6]BV_Data_An_Cour!$O:$O,[6]BV_Data_An_Cour!$X:$X,"Oui",[6]BV_Data_An_Cour!$U:$U,$B297,[6]BV_Data_An_Cour!$V:$V,$C297)</f>
        <v>33715.69</v>
      </c>
      <c r="K297" s="635">
        <f t="shared" si="55"/>
        <v>0.30651308040855763</v>
      </c>
      <c r="L297" s="551">
        <f>-SUMIFS([6]BV_Data_An_Cour!$O:$O,[6]BV_Data_An_Cour!$U:$U,$B297,[6]BV_Data_An_Cour!$V:$V,$C297,[6]BV_Data_An_Cour!$W:$W,$L$2)</f>
        <v>10334.300000000003</v>
      </c>
      <c r="M297" s="570">
        <f t="shared" si="56"/>
        <v>-0.48921572334104019</v>
      </c>
      <c r="N297" s="551">
        <f t="shared" si="57"/>
        <v>-10524.129922097156</v>
      </c>
      <c r="O297" s="526">
        <f>-SUMIFS([6]BV_Data_An_Prec!$O:$O,[6]BV_Data_An_Prec!$X:$X,"Oui",[6]BV_Data_An_Prec!$U:$U,$B297,[6]BV_Data_An_Prec!$V:$V,$C297)</f>
        <v>57029.75</v>
      </c>
      <c r="P297" s="635">
        <f t="shared" si="58"/>
        <v>0.34185736391970861</v>
      </c>
      <c r="Q297" s="551">
        <f>-SUMIFS([6]BV_Data_An_Prec!$O:$O,[6]BV_Data_An_Prec!$U:$U,$B297,[6]BV_Data_An_Prec!$V:$V,$C297,[6]BV_Data_An_Prec!$W:$W,$L$2)</f>
        <v>19496.04</v>
      </c>
      <c r="R297" s="570">
        <f t="shared" si="59"/>
        <v>-0.40880522884985465</v>
      </c>
      <c r="S297" s="551">
        <f t="shared" si="60"/>
        <v>-9161.739999999998</v>
      </c>
      <c r="T297" s="504"/>
      <c r="U297" s="504"/>
      <c r="V297" s="504"/>
      <c r="W297" s="504"/>
      <c r="X297" s="504"/>
      <c r="Y297" s="504"/>
      <c r="Z297" s="504"/>
      <c r="AA297" s="504"/>
      <c r="AB297" s="504"/>
      <c r="AC297" s="504"/>
      <c r="AD297" s="504"/>
      <c r="AE297" s="504"/>
      <c r="AF297" s="504"/>
      <c r="AG297" s="504"/>
      <c r="AH297" s="504"/>
      <c r="AI297" s="504"/>
      <c r="AJ297" s="504"/>
      <c r="AK297" s="504"/>
      <c r="AL297" s="504"/>
      <c r="AM297" s="504"/>
      <c r="AN297" s="504"/>
    </row>
    <row r="298" spans="1:40" ht="15.75" customHeight="1">
      <c r="A298" s="517" t="s">
        <v>402</v>
      </c>
      <c r="B298" s="504" t="s">
        <v>103</v>
      </c>
      <c r="C298" s="525" t="s">
        <v>109</v>
      </c>
      <c r="D298" s="569">
        <f t="array" ref="D298">+INDEX('[6]Budget original'!$A$2:$AO$500,MATCH($A298,'[6]Budget original'!$A$2:$A$500,0),MATCH(D$2,'[6]Budget original'!$A$2:$AO$2,0))</f>
        <v>17575.82906515924</v>
      </c>
      <c r="E298" s="635">
        <f t="shared" si="54"/>
        <v>0.29799999999999999</v>
      </c>
      <c r="F298" s="551">
        <f t="array" ref="F298">+INDEX('[6]Budget original'!$A$2:$AO$500,MATCH($A298,'[6]Budget original'!$A$2:$A$500,0),MATCH(F$2,'[6]Budget original'!$A$2:$AO$2,0))</f>
        <v>5237.597061417453</v>
      </c>
      <c r="G298" s="569"/>
      <c r="H298" s="635"/>
      <c r="I298" s="551"/>
      <c r="J298" s="526">
        <f>-SUMIFS([6]BV_Data_An_Cour!$O:$O,[6]BV_Data_An_Cour!$X:$X,"Oui",[6]BV_Data_An_Cour!$U:$U,$B298,[6]BV_Data_An_Cour!$V:$V,$C298)</f>
        <v>14407.53</v>
      </c>
      <c r="K298" s="635">
        <f t="shared" si="55"/>
        <v>0.28317553390484007</v>
      </c>
      <c r="L298" s="551">
        <f>-SUMIFS([6]BV_Data_An_Cour!$O:$O,[6]BV_Data_An_Cour!$U:$U,$B298,[6]BV_Data_An_Cour!$V:$V,$C298,[6]BV_Data_An_Cour!$W:$W,$L$2)</f>
        <v>4079.8600000000006</v>
      </c>
      <c r="M298" s="570">
        <f t="shared" si="56"/>
        <v>-0.18026455841219993</v>
      </c>
      <c r="N298" s="551">
        <f t="shared" si="57"/>
        <v>-1157.7370614174524</v>
      </c>
      <c r="O298" s="526">
        <f>-SUMIFS([6]BV_Data_An_Prec!$O:$O,[6]BV_Data_An_Prec!$X:$X,"Oui",[6]BV_Data_An_Prec!$U:$U,$B298,[6]BV_Data_An_Prec!$V:$V,$C298)</f>
        <v>21587.59</v>
      </c>
      <c r="P298" s="635">
        <f t="shared" si="58"/>
        <v>0.32324451224059747</v>
      </c>
      <c r="Q298" s="551">
        <f>-SUMIFS([6]BV_Data_An_Prec!$O:$O,[6]BV_Data_An_Prec!$U:$U,$B298,[6]BV_Data_An_Prec!$V:$V,$C298,[6]BV_Data_An_Prec!$W:$W,$L$2)</f>
        <v>6978.07</v>
      </c>
      <c r="R298" s="570">
        <f t="shared" si="59"/>
        <v>-0.33260127693735148</v>
      </c>
      <c r="S298" s="551">
        <f t="shared" si="60"/>
        <v>-2898.2099999999991</v>
      </c>
      <c r="T298" s="504"/>
      <c r="U298" s="504"/>
      <c r="V298" s="504"/>
      <c r="W298" s="504"/>
      <c r="X298" s="504"/>
      <c r="Y298" s="504"/>
      <c r="Z298" s="504"/>
      <c r="AA298" s="504"/>
      <c r="AB298" s="504"/>
      <c r="AC298" s="504"/>
      <c r="AD298" s="504"/>
      <c r="AE298" s="504"/>
      <c r="AF298" s="504"/>
      <c r="AG298" s="504"/>
      <c r="AH298" s="504"/>
      <c r="AI298" s="504"/>
      <c r="AJ298" s="504"/>
      <c r="AK298" s="504"/>
      <c r="AL298" s="504"/>
      <c r="AM298" s="504"/>
      <c r="AN298" s="504"/>
    </row>
    <row r="299" spans="1:40" ht="15.75" customHeight="1">
      <c r="A299" s="517" t="s">
        <v>403</v>
      </c>
      <c r="B299" s="504" t="s">
        <v>103</v>
      </c>
      <c r="C299" s="525" t="s">
        <v>110</v>
      </c>
      <c r="D299" s="569">
        <f t="array" ref="D299">+INDEX('[6]Budget original'!$A$2:$AO$500,MATCH($A299,'[6]Budget original'!$A$2:$A$500,0),MATCH(D$2,'[6]Budget original'!$A$2:$AO$2,0))</f>
        <v>81323.342760073501</v>
      </c>
      <c r="E299" s="635">
        <f t="shared" si="54"/>
        <v>0.17499999999999999</v>
      </c>
      <c r="F299" s="551">
        <f t="array" ref="F299">+INDEX('[6]Budget original'!$A$2:$AO$500,MATCH($A299,'[6]Budget original'!$A$2:$A$500,0),MATCH(F$2,'[6]Budget original'!$A$2:$AO$2,0))</f>
        <v>14231.584983012863</v>
      </c>
      <c r="G299" s="569"/>
      <c r="H299" s="635"/>
      <c r="I299" s="551"/>
      <c r="J299" s="526">
        <f>-SUMIFS([6]BV_Data_An_Cour!$O:$O,[6]BV_Data_An_Cour!$X:$X,"Oui",[6]BV_Data_An_Cour!$U:$U,$B299,[6]BV_Data_An_Cour!$V:$V,$C299)</f>
        <v>105345.60000000001</v>
      </c>
      <c r="K299" s="635">
        <f t="shared" si="55"/>
        <v>0.18486533846691269</v>
      </c>
      <c r="L299" s="551">
        <f>-SUMIFS([6]BV_Data_An_Cour!$O:$O,[6]BV_Data_An_Cour!$U:$U,$B299,[6]BV_Data_An_Cour!$V:$V,$C299,[6]BV_Data_An_Cour!$W:$W,$L$2)</f>
        <v>19474.75</v>
      </c>
      <c r="M299" s="570">
        <f t="shared" si="56"/>
        <v>0.29539190624269895</v>
      </c>
      <c r="N299" s="551">
        <f t="shared" si="57"/>
        <v>5243.1650169871373</v>
      </c>
      <c r="O299" s="526">
        <f>-SUMIFS([6]BV_Data_An_Prec!$O:$O,[6]BV_Data_An_Prec!$X:$X,"Oui",[6]BV_Data_An_Prec!$U:$U,$B299,[6]BV_Data_An_Prec!$V:$V,$C299)</f>
        <v>80494.38</v>
      </c>
      <c r="P299" s="635">
        <f t="shared" si="58"/>
        <v>0.17696974621085357</v>
      </c>
      <c r="Q299" s="551">
        <f>-SUMIFS([6]BV_Data_An_Prec!$O:$O,[6]BV_Data_An_Prec!$U:$U,$B299,[6]BV_Data_An_Prec!$V:$V,$C299,[6]BV_Data_An_Prec!$W:$W,$L$2)</f>
        <v>14245.070000000007</v>
      </c>
      <c r="R299" s="570">
        <f t="shared" si="59"/>
        <v>0.30873236119093034</v>
      </c>
      <c r="S299" s="551">
        <f t="shared" si="60"/>
        <v>5229.679999999993</v>
      </c>
      <c r="T299" s="504"/>
      <c r="U299" s="504"/>
      <c r="V299" s="504"/>
      <c r="W299" s="504"/>
      <c r="X299" s="504"/>
      <c r="Y299" s="504"/>
      <c r="Z299" s="504"/>
      <c r="AA299" s="504"/>
      <c r="AB299" s="504"/>
      <c r="AC299" s="504"/>
      <c r="AD299" s="504"/>
      <c r="AE299" s="504"/>
      <c r="AF299" s="504"/>
      <c r="AG299" s="504"/>
      <c r="AH299" s="504"/>
      <c r="AI299" s="504"/>
      <c r="AJ299" s="504"/>
      <c r="AK299" s="504"/>
      <c r="AL299" s="504"/>
      <c r="AM299" s="504"/>
      <c r="AN299" s="504"/>
    </row>
    <row r="300" spans="1:40" ht="15.75" hidden="1" customHeight="1">
      <c r="A300" s="517" t="s">
        <v>404</v>
      </c>
      <c r="B300" s="504" t="s">
        <v>103</v>
      </c>
      <c r="C300" s="525" t="s">
        <v>20</v>
      </c>
      <c r="D300" s="569">
        <f t="array" ref="D300">+INDEX('[6]Budget original'!$A$2:$AO$500,MATCH($A300,'[6]Budget original'!$A$2:$A$500,0),MATCH(D$2,'[6]Budget original'!$A$2:$AO$2,0))</f>
        <v>0</v>
      </c>
      <c r="E300" s="635">
        <f t="shared" si="54"/>
        <v>0</v>
      </c>
      <c r="F300" s="551">
        <f t="array" ref="F300">+INDEX('[6]Budget original'!$A$2:$AO$500,MATCH($A300,'[6]Budget original'!$A$2:$A$500,0),MATCH(F$2,'[6]Budget original'!$A$2:$AO$2,0))</f>
        <v>0</v>
      </c>
      <c r="G300" s="569"/>
      <c r="H300" s="635"/>
      <c r="I300" s="551"/>
      <c r="J300" s="526">
        <f>-SUMIFS([6]BV_Data_An_Cour!$O:$O,[6]BV_Data_An_Cour!$X:$X,"Oui",[6]BV_Data_An_Cour!$U:$U,$B300,[6]BV_Data_An_Cour!$V:$V,$C300)</f>
        <v>0</v>
      </c>
      <c r="K300" s="635">
        <f t="shared" si="55"/>
        <v>0</v>
      </c>
      <c r="L300" s="551">
        <f>-SUMIFS([6]BV_Data_An_Cour!$O:$O,[6]BV_Data_An_Cour!$U:$U,$B300,[6]BV_Data_An_Cour!$V:$V,$C300,[6]BV_Data_An_Cour!$W:$W,$L$2)</f>
        <v>0</v>
      </c>
      <c r="M300" s="570" t="e">
        <f t="shared" si="56"/>
        <v>#DIV/0!</v>
      </c>
      <c r="N300" s="551">
        <f t="shared" si="57"/>
        <v>0</v>
      </c>
      <c r="O300" s="526">
        <f>-SUMIFS([6]BV_Data_An_Prec!$O:$O,[6]BV_Data_An_Prec!$X:$X,"Oui",[6]BV_Data_An_Prec!$U:$U,$B300,[6]BV_Data_An_Prec!$V:$V,$C300)</f>
        <v>0</v>
      </c>
      <c r="P300" s="635">
        <f t="shared" si="58"/>
        <v>0</v>
      </c>
      <c r="Q300" s="551">
        <f>-SUMIFS([6]BV_Data_An_Prec!$O:$O,[6]BV_Data_An_Prec!$U:$U,$B300,[6]BV_Data_An_Prec!$V:$V,$C300,[6]BV_Data_An_Prec!$W:$W,$L$2)</f>
        <v>0</v>
      </c>
      <c r="R300" s="570">
        <f t="shared" si="59"/>
        <v>0</v>
      </c>
      <c r="S300" s="551">
        <f t="shared" si="60"/>
        <v>0</v>
      </c>
      <c r="T300" s="504"/>
      <c r="U300" s="504"/>
      <c r="V300" s="504"/>
      <c r="W300" s="504"/>
      <c r="X300" s="504"/>
      <c r="Y300" s="504"/>
      <c r="Z300" s="504"/>
      <c r="AA300" s="504"/>
      <c r="AB300" s="504"/>
      <c r="AC300" s="504"/>
      <c r="AD300" s="504"/>
      <c r="AE300" s="504"/>
      <c r="AF300" s="504"/>
      <c r="AG300" s="504"/>
      <c r="AH300" s="504"/>
      <c r="AI300" s="504"/>
      <c r="AJ300" s="504"/>
      <c r="AK300" s="504"/>
      <c r="AL300" s="504"/>
      <c r="AM300" s="504"/>
      <c r="AN300" s="504"/>
    </row>
    <row r="301" spans="1:40" ht="15.75" customHeight="1">
      <c r="A301" s="517" t="s">
        <v>405</v>
      </c>
      <c r="B301" s="504" t="s">
        <v>103</v>
      </c>
      <c r="C301" s="525" t="s">
        <v>111</v>
      </c>
      <c r="D301" s="569">
        <f t="array" ref="D301">+INDEX('[6]Budget original'!$A$2:$AO$500,MATCH($A301,'[6]Budget original'!$A$2:$A$500,0),MATCH(D$2,'[6]Budget original'!$A$2:$AO$2,0))</f>
        <v>0</v>
      </c>
      <c r="E301" s="635">
        <f t="shared" si="54"/>
        <v>0</v>
      </c>
      <c r="F301" s="551">
        <f t="array" ref="F301">+INDEX('[6]Budget original'!$A$2:$AO$500,MATCH($A301,'[6]Budget original'!$A$2:$A$500,0),MATCH(F$2,'[6]Budget original'!$A$2:$AO$2,0))</f>
        <v>6585.9786989678751</v>
      </c>
      <c r="G301" s="569"/>
      <c r="H301" s="635"/>
      <c r="I301" s="551"/>
      <c r="J301" s="526">
        <f>-SUMIFS([6]BV_Data_An_Cour!$O:$O,[6]BV_Data_An_Cour!$X:$X,"Oui",[6]BV_Data_An_Cour!$U:$U,$B301,[6]BV_Data_An_Cour!$V:$V,$C301)</f>
        <v>0</v>
      </c>
      <c r="K301" s="635">
        <f t="shared" si="55"/>
        <v>0</v>
      </c>
      <c r="L301" s="551">
        <f>-SUMIFS([6]BV_Data_An_Cour!$O:$O,[6]BV_Data_An_Cour!$U:$U,$B301,[6]BV_Data_An_Cour!$V:$V,$C301,[6]BV_Data_An_Cour!$W:$W,$L$2)</f>
        <v>7973.1900000000005</v>
      </c>
      <c r="M301" s="570"/>
      <c r="N301" s="551">
        <f t="shared" si="57"/>
        <v>1387.2113010321254</v>
      </c>
      <c r="O301" s="526">
        <f>-SUMIFS([6]BV_Data_An_Prec!$O:$O,[6]BV_Data_An_Prec!$X:$X,"Oui",[6]BV_Data_An_Prec!$U:$U,$B301,[6]BV_Data_An_Prec!$V:$V,$C301)</f>
        <v>0</v>
      </c>
      <c r="P301" s="635">
        <f t="shared" si="58"/>
        <v>0</v>
      </c>
      <c r="Q301" s="551">
        <f>-SUMIFS([6]BV_Data_An_Prec!$O:$O,[6]BV_Data_An_Prec!$U:$U,$B301,[6]BV_Data_An_Prec!$V:$V,$C301,[6]BV_Data_An_Prec!$W:$W,$L$2)</f>
        <v>14248.96</v>
      </c>
      <c r="R301" s="570">
        <f t="shared" si="59"/>
        <v>0</v>
      </c>
      <c r="S301" s="551">
        <f t="shared" si="60"/>
        <v>-6275.7699999999986</v>
      </c>
      <c r="T301" s="504"/>
      <c r="U301" s="504"/>
      <c r="V301" s="504"/>
      <c r="W301" s="504"/>
      <c r="X301" s="504"/>
      <c r="Y301" s="504"/>
      <c r="Z301" s="504"/>
      <c r="AA301" s="504"/>
      <c r="AB301" s="504"/>
      <c r="AC301" s="504"/>
      <c r="AD301" s="504"/>
      <c r="AE301" s="504"/>
      <c r="AF301" s="504"/>
      <c r="AG301" s="504"/>
      <c r="AH301" s="504"/>
      <c r="AI301" s="504"/>
      <c r="AJ301" s="504"/>
      <c r="AK301" s="504"/>
      <c r="AL301" s="504"/>
      <c r="AM301" s="504"/>
      <c r="AN301" s="504"/>
    </row>
    <row r="302" spans="1:40" ht="15.75" customHeight="1">
      <c r="A302" s="517" t="s">
        <v>406</v>
      </c>
      <c r="B302" s="504" t="s">
        <v>103</v>
      </c>
      <c r="C302" s="518" t="s">
        <v>112</v>
      </c>
      <c r="D302" s="569">
        <f t="array" ref="D302">+INDEX('[6]Budget original'!$A$2:$AO$500,MATCH($A302,'[6]Budget original'!$A$2:$A$500,0),MATCH(D$2,'[6]Budget original'!$A$2:$AO$2,0))</f>
        <v>0</v>
      </c>
      <c r="E302" s="635">
        <f t="shared" si="54"/>
        <v>0</v>
      </c>
      <c r="F302" s="551">
        <f t="array" ref="F302">+INDEX('[6]Budget original'!$A$2:$AO$500,MATCH($A302,'[6]Budget original'!$A$2:$A$500,0),MATCH(F$2,'[6]Budget original'!$A$2:$AO$2,0))</f>
        <v>0</v>
      </c>
      <c r="G302" s="569"/>
      <c r="H302" s="635"/>
      <c r="I302" s="551"/>
      <c r="J302" s="526">
        <f>-SUMIFS([6]BV_Data_An_Cour!$O:$O,[6]BV_Data_An_Cour!$X:$X,"Oui",[6]BV_Data_An_Cour!$U:$U,$B302,[6]BV_Data_An_Cour!$V:$V,$C302)</f>
        <v>0</v>
      </c>
      <c r="K302" s="635">
        <f t="shared" si="55"/>
        <v>0</v>
      </c>
      <c r="L302" s="551">
        <f>-SUMIFS([6]BV_Data_An_Cour!$O:$O,[6]BV_Data_An_Cour!$U:$U,$B302,[6]BV_Data_An_Cour!$V:$V,$C302,[6]BV_Data_An_Cour!$W:$W,$L$2)</f>
        <v>0</v>
      </c>
      <c r="M302" s="570"/>
      <c r="N302" s="551">
        <f t="shared" si="57"/>
        <v>0</v>
      </c>
      <c r="O302" s="526">
        <f>-SUMIFS([6]BV_Data_An_Prec!$O:$O,[6]BV_Data_An_Prec!$X:$X,"Oui",[6]BV_Data_An_Prec!$U:$U,$B302,[6]BV_Data_An_Prec!$V:$V,$C302)</f>
        <v>0</v>
      </c>
      <c r="P302" s="635">
        <f t="shared" si="58"/>
        <v>0</v>
      </c>
      <c r="Q302" s="551">
        <f>-SUMIFS([6]BV_Data_An_Prec!$O:$O,[6]BV_Data_An_Prec!$U:$U,$B302,[6]BV_Data_An_Prec!$V:$V,$C302,[6]BV_Data_An_Prec!$W:$W,$L$2)</f>
        <v>0</v>
      </c>
      <c r="R302" s="570">
        <f t="shared" si="59"/>
        <v>0</v>
      </c>
      <c r="S302" s="551">
        <f t="shared" si="60"/>
        <v>0</v>
      </c>
      <c r="T302" s="504"/>
      <c r="U302" s="504"/>
      <c r="V302" s="504"/>
      <c r="W302" s="504"/>
      <c r="X302" s="504"/>
      <c r="Y302" s="504"/>
      <c r="Z302" s="504"/>
      <c r="AA302" s="504"/>
      <c r="AB302" s="504"/>
      <c r="AC302" s="504"/>
      <c r="AD302" s="504"/>
      <c r="AE302" s="504"/>
      <c r="AF302" s="504"/>
      <c r="AG302" s="504"/>
      <c r="AH302" s="504"/>
      <c r="AI302" s="504"/>
      <c r="AJ302" s="504"/>
      <c r="AK302" s="504"/>
      <c r="AL302" s="504"/>
      <c r="AM302" s="504"/>
      <c r="AN302" s="504"/>
    </row>
    <row r="303" spans="1:40" ht="15.75" customHeight="1">
      <c r="A303" s="517" t="s">
        <v>407</v>
      </c>
      <c r="B303" s="504" t="s">
        <v>103</v>
      </c>
      <c r="C303" s="544" t="s">
        <v>113</v>
      </c>
      <c r="D303" s="675">
        <f>SUM(D294:D302)</f>
        <v>388294.04173544917</v>
      </c>
      <c r="E303" s="692">
        <f>IF(D303&lt;=0,0,F303/D303)</f>
        <v>0.28601287913253753</v>
      </c>
      <c r="F303" s="677">
        <f t="shared" ref="F303" si="61">SUM(F294:F302)</f>
        <v>111057.09682676551</v>
      </c>
      <c r="G303" s="675"/>
      <c r="H303" s="692"/>
      <c r="I303" s="677"/>
      <c r="J303" s="675">
        <f t="shared" ref="J303" si="62">SUM(J294:J302)</f>
        <v>317083.54000000004</v>
      </c>
      <c r="K303" s="692">
        <f t="shared" si="55"/>
        <v>0.30014727349139597</v>
      </c>
      <c r="L303" s="677">
        <f>SUM(L294:L302)</f>
        <v>95171.760000000009</v>
      </c>
      <c r="M303" s="693">
        <f>(+J303-D303)/D303</f>
        <v>-0.18339323832315194</v>
      </c>
      <c r="N303" s="677">
        <f t="shared" si="57"/>
        <v>-15885.336826765502</v>
      </c>
      <c r="O303" s="675">
        <f>SUM(O294:O302)</f>
        <v>362508.33</v>
      </c>
      <c r="P303" s="692">
        <f t="shared" si="58"/>
        <v>0.31021229222511937</v>
      </c>
      <c r="Q303" s="677">
        <f>SUM(Q294:Q302)</f>
        <v>112454.54000000001</v>
      </c>
      <c r="R303" s="693">
        <f t="shared" si="59"/>
        <v>-0.1253068860514184</v>
      </c>
      <c r="S303" s="677">
        <f t="shared" si="60"/>
        <v>-17282.78</v>
      </c>
      <c r="T303" s="504"/>
      <c r="U303" s="504"/>
      <c r="V303" s="504"/>
      <c r="W303" s="504"/>
      <c r="X303" s="504"/>
      <c r="Y303" s="504"/>
      <c r="Z303" s="504"/>
      <c r="AA303" s="504"/>
      <c r="AB303" s="504"/>
      <c r="AC303" s="504"/>
      <c r="AD303" s="504"/>
      <c r="AE303" s="504"/>
      <c r="AF303" s="504"/>
      <c r="AG303" s="504"/>
      <c r="AH303" s="504"/>
      <c r="AI303" s="504"/>
      <c r="AJ303" s="504"/>
      <c r="AK303" s="504"/>
      <c r="AL303" s="504"/>
      <c r="AM303" s="504"/>
      <c r="AN303" s="504"/>
    </row>
    <row r="304" spans="1:40" ht="15.75" customHeight="1">
      <c r="A304" s="517" t="s">
        <v>103</v>
      </c>
      <c r="B304" s="504" t="s">
        <v>103</v>
      </c>
      <c r="C304" s="525"/>
      <c r="D304" s="504"/>
      <c r="E304" s="504"/>
      <c r="F304" s="535"/>
      <c r="G304" s="525"/>
      <c r="H304" s="504"/>
      <c r="I304" s="535"/>
      <c r="J304" s="525"/>
      <c r="K304" s="504"/>
      <c r="L304" s="535"/>
      <c r="M304" s="525"/>
      <c r="N304" s="543">
        <f>N303/F303</f>
        <v>-0.14303756608678994</v>
      </c>
      <c r="O304" s="525"/>
      <c r="P304" s="504"/>
      <c r="Q304" s="535"/>
      <c r="R304" s="525"/>
      <c r="S304" s="543">
        <f>IF(Q303=0,0,S303/Q303)</f>
        <v>-0.15368681424511627</v>
      </c>
      <c r="T304" s="504"/>
      <c r="U304" s="504"/>
      <c r="V304" s="504"/>
      <c r="W304" s="504"/>
      <c r="X304" s="504"/>
      <c r="Y304" s="504"/>
      <c r="Z304" s="504"/>
      <c r="AA304" s="504"/>
      <c r="AB304" s="504"/>
      <c r="AC304" s="504"/>
      <c r="AD304" s="504"/>
      <c r="AE304" s="504"/>
      <c r="AF304" s="504"/>
      <c r="AG304" s="504"/>
      <c r="AH304" s="504"/>
      <c r="AI304" s="504"/>
      <c r="AJ304" s="504"/>
      <c r="AK304" s="504"/>
      <c r="AL304" s="504"/>
      <c r="AM304" s="504"/>
      <c r="AN304" s="504"/>
    </row>
    <row r="305" spans="1:40" ht="15.75" customHeight="1">
      <c r="A305" s="517" t="s">
        <v>103</v>
      </c>
      <c r="B305" s="504" t="s">
        <v>103</v>
      </c>
      <c r="C305" s="518"/>
      <c r="D305" s="598"/>
      <c r="E305" s="598"/>
      <c r="F305" s="694"/>
      <c r="G305" s="518"/>
      <c r="H305" s="598"/>
      <c r="I305" s="694"/>
      <c r="J305" s="518"/>
      <c r="K305" s="598"/>
      <c r="L305" s="694"/>
      <c r="M305" s="518"/>
      <c r="N305" s="655"/>
      <c r="O305" s="518"/>
      <c r="P305" s="598"/>
      <c r="Q305" s="694"/>
      <c r="R305" s="518"/>
      <c r="S305" s="655"/>
      <c r="T305" s="504"/>
      <c r="U305" s="504"/>
      <c r="V305" s="504"/>
      <c r="W305" s="504"/>
      <c r="X305" s="504"/>
      <c r="Y305" s="504"/>
      <c r="Z305" s="504"/>
      <c r="AA305" s="504"/>
      <c r="AB305" s="504"/>
      <c r="AC305" s="504"/>
      <c r="AD305" s="504"/>
      <c r="AE305" s="504"/>
      <c r="AF305" s="504"/>
      <c r="AG305" s="504"/>
      <c r="AH305" s="504"/>
      <c r="AI305" s="504"/>
      <c r="AJ305" s="504"/>
      <c r="AK305" s="504"/>
      <c r="AL305" s="504"/>
      <c r="AM305" s="504"/>
      <c r="AN305" s="504"/>
    </row>
    <row r="306" spans="1:40" ht="15.75" customHeight="1">
      <c r="A306" s="517" t="s">
        <v>408</v>
      </c>
      <c r="B306" s="504" t="s">
        <v>103</v>
      </c>
      <c r="C306" s="525" t="s">
        <v>114</v>
      </c>
      <c r="D306" s="569">
        <f t="array" ref="D306">+INDEX('[6]Budget original'!$A$2:$AO$500,MATCH($A306,'[6]Budget original'!$A$2:$A$500,0),MATCH(D$2,'[6]Budget original'!$A$2:$AO$2,0))</f>
        <v>26239.690389460717</v>
      </c>
      <c r="E306" s="635">
        <f t="shared" ref="E306:E307" si="63">IF(D306=0,0,F306/D306)</f>
        <v>0.18</v>
      </c>
      <c r="F306" s="597">
        <f t="array" ref="F306">+INDEX('[6]Budget original'!$A$2:$AO$500,MATCH($A306,'[6]Budget original'!$A$2:$A$500,0),MATCH(F$2,'[6]Budget original'!$A$2:$AO$2,0))</f>
        <v>4723.1442701029291</v>
      </c>
      <c r="G306" s="569"/>
      <c r="H306" s="635"/>
      <c r="I306" s="597"/>
      <c r="J306" s="526">
        <f>-SUMIFS([6]BV_Data_An_Cour!$O:$O,[6]BV_Data_An_Cour!$X:$X,"Oui",[6]BV_Data_An_Cour!$U:$U,$B306,[6]BV_Data_An_Cour!$V:$V,$C306)</f>
        <v>19732.46</v>
      </c>
      <c r="K306" s="635">
        <f t="shared" ref="K306:K308" si="64">IF(J306&lt;=0,0,L306/J306)</f>
        <v>0.19391348063039268</v>
      </c>
      <c r="L306" s="597">
        <f>-SUMIFS([6]BV_Data_An_Cour!$O:$O,[6]BV_Data_An_Cour!$U:$U,$B306,[6]BV_Data_An_Cour!$V:$V,$C306,[6]BV_Data_An_Cour!$W:$W,$L$2)</f>
        <v>3826.3899999999981</v>
      </c>
      <c r="M306" s="570">
        <f>(+J306-D306)/D306</f>
        <v>-0.24799188911445291</v>
      </c>
      <c r="N306" s="551">
        <f>L306-F306</f>
        <v>-896.75427010293106</v>
      </c>
      <c r="O306" s="526">
        <f>-SUMIFS([6]BV_Data_An_Prec!$O:$O,[6]BV_Data_An_Prec!$X:$X,"Oui",[6]BV_Data_An_Prec!$U:$U,$B306,[6]BV_Data_An_Prec!$V:$V,$C306)</f>
        <v>28986.81</v>
      </c>
      <c r="P306" s="635">
        <f t="shared" ref="P306:P308" si="65">IF(O306&lt;=0,0,Q306/O306)</f>
        <v>0.19307126241211089</v>
      </c>
      <c r="Q306" s="597">
        <f>-SUMIFS([6]BV_Data_An_Prec!$O:$O,[6]BV_Data_An_Prec!$U:$U,$B306,[6]BV_Data_An_Prec!$V:$V,$C306,[6]BV_Data_An_Prec!$W:$W,$L$2)</f>
        <v>5596.52</v>
      </c>
      <c r="R306" s="570">
        <f t="shared" ref="R306:R308" si="66">IF(O306=0,0,(J306-O306)/O306)</f>
        <v>-0.3192607258266778</v>
      </c>
      <c r="S306" s="551">
        <f t="shared" ref="S306:S308" si="67">L306-Q306</f>
        <v>-1770.1300000000024</v>
      </c>
      <c r="T306" s="504"/>
      <c r="U306" s="504"/>
      <c r="V306" s="504"/>
      <c r="W306" s="504"/>
      <c r="X306" s="504"/>
      <c r="Y306" s="504"/>
      <c r="Z306" s="504"/>
      <c r="AA306" s="504"/>
      <c r="AB306" s="504"/>
      <c r="AC306" s="504"/>
      <c r="AD306" s="504"/>
      <c r="AE306" s="504"/>
      <c r="AF306" s="504"/>
      <c r="AG306" s="504"/>
      <c r="AH306" s="504"/>
      <c r="AI306" s="504"/>
      <c r="AJ306" s="504"/>
      <c r="AK306" s="504"/>
      <c r="AL306" s="504"/>
      <c r="AM306" s="504"/>
      <c r="AN306" s="504"/>
    </row>
    <row r="307" spans="1:40" ht="15.75" customHeight="1">
      <c r="A307" s="517" t="s">
        <v>409</v>
      </c>
      <c r="B307" s="504" t="s">
        <v>103</v>
      </c>
      <c r="C307" s="518" t="s">
        <v>115</v>
      </c>
      <c r="D307" s="569">
        <f t="array" ref="D307">+INDEX('[6]Budget original'!$A$2:$AO$500,MATCH($A307,'[6]Budget original'!$A$2:$A$500,0),MATCH(D$2,'[6]Budget original'!$A$2:$AO$2,0))</f>
        <v>23446.731382792485</v>
      </c>
      <c r="E307" s="635">
        <f t="shared" si="63"/>
        <v>0.313</v>
      </c>
      <c r="F307" s="574">
        <f t="array" ref="F307">+INDEX('[6]Budget original'!$A$2:$AO$500,MATCH($A307,'[6]Budget original'!$A$2:$A$500,0),MATCH(F$2,'[6]Budget original'!$A$2:$AO$2,0))</f>
        <v>7338.826922814048</v>
      </c>
      <c r="G307" s="569"/>
      <c r="H307" s="635"/>
      <c r="I307" s="574"/>
      <c r="J307" s="526">
        <f>-SUMIFS([6]BV_Data_An_Cour!$O:$O,[6]BV_Data_An_Cour!$X:$X,"Oui",[6]BV_Data_An_Cour!$U:$U,$B307,[6]BV_Data_An_Cour!$V:$V,$C307)</f>
        <v>21141.68</v>
      </c>
      <c r="K307" s="635">
        <f t="shared" si="64"/>
        <v>0.24924603910379872</v>
      </c>
      <c r="L307" s="574">
        <f>-SUMIFS([6]BV_Data_An_Cour!$O:$O,[6]BV_Data_An_Cour!$U:$U,$B307,[6]BV_Data_An_Cour!$V:$V,$C307,[6]BV_Data_An_Cour!$W:$W,$L$2)</f>
        <v>5269.48</v>
      </c>
      <c r="M307" s="570">
        <f>(+J307-D307)/D307</f>
        <v>-9.8310137356039204E-2</v>
      </c>
      <c r="N307" s="551">
        <f>L307-F307</f>
        <v>-2069.3469228140484</v>
      </c>
      <c r="O307" s="526">
        <f>-SUMIFS([6]BV_Data_An_Prec!$O:$O,[6]BV_Data_An_Prec!$X:$X,"Oui",[6]BV_Data_An_Prec!$U:$U,$B307,[6]BV_Data_An_Prec!$V:$V,$C307)</f>
        <v>27718.68</v>
      </c>
      <c r="P307" s="635">
        <f t="shared" si="65"/>
        <v>0.31348173866865231</v>
      </c>
      <c r="Q307" s="574">
        <f>-SUMIFS([6]BV_Data_An_Prec!$O:$O,[6]BV_Data_An_Prec!$U:$U,$B307,[6]BV_Data_An_Prec!$V:$V,$C307,[6]BV_Data_An_Prec!$W:$W,$L$2)</f>
        <v>8689.2999999999993</v>
      </c>
      <c r="R307" s="570">
        <f t="shared" si="66"/>
        <v>-0.23727681116128185</v>
      </c>
      <c r="S307" s="551">
        <f t="shared" si="67"/>
        <v>-3419.8199999999997</v>
      </c>
      <c r="T307" s="504"/>
      <c r="U307" s="504"/>
      <c r="V307" s="504"/>
      <c r="W307" s="504"/>
      <c r="X307" s="504"/>
      <c r="Y307" s="504"/>
      <c r="Z307" s="504"/>
      <c r="AA307" s="504"/>
      <c r="AB307" s="504"/>
      <c r="AC307" s="504"/>
      <c r="AD307" s="504"/>
      <c r="AE307" s="504"/>
      <c r="AF307" s="504"/>
      <c r="AG307" s="504"/>
      <c r="AH307" s="504"/>
      <c r="AI307" s="504"/>
      <c r="AJ307" s="504"/>
      <c r="AK307" s="504"/>
      <c r="AL307" s="504"/>
      <c r="AM307" s="504"/>
      <c r="AN307" s="504"/>
    </row>
    <row r="308" spans="1:40" ht="15.75" customHeight="1">
      <c r="A308" s="517" t="s">
        <v>410</v>
      </c>
      <c r="B308" s="504" t="s">
        <v>103</v>
      </c>
      <c r="C308" s="544" t="s">
        <v>116</v>
      </c>
      <c r="D308" s="675">
        <f>D303+D306+D307</f>
        <v>437980.46350770234</v>
      </c>
      <c r="E308" s="692">
        <f>IF(D308&lt;=0,0,F308/D308)</f>
        <v>0.28110630102914924</v>
      </c>
      <c r="F308" s="677">
        <f t="shared" ref="F308" si="68">F303+F306+F307</f>
        <v>123119.06801968248</v>
      </c>
      <c r="G308" s="678"/>
      <c r="H308" s="692"/>
      <c r="I308" s="677"/>
      <c r="J308" s="678">
        <f t="shared" ref="J308" si="69">J303+J306+J307</f>
        <v>357957.68000000005</v>
      </c>
      <c r="K308" s="692">
        <f t="shared" si="64"/>
        <v>0.29128479657148293</v>
      </c>
      <c r="L308" s="677">
        <f>L303+L306+L307</f>
        <v>104267.63</v>
      </c>
      <c r="M308" s="693">
        <f>(+J308-D308)/D308</f>
        <v>-0.1827085684754407</v>
      </c>
      <c r="N308" s="677">
        <f>L308-F308</f>
        <v>-18851.438019682479</v>
      </c>
      <c r="O308" s="678">
        <f>O303+O306+O307</f>
        <v>419213.82</v>
      </c>
      <c r="P308" s="692">
        <f t="shared" si="65"/>
        <v>0.30232867800016711</v>
      </c>
      <c r="Q308" s="677">
        <f>Q303+Q306+Q307</f>
        <v>126740.36000000002</v>
      </c>
      <c r="R308" s="693">
        <f t="shared" si="66"/>
        <v>-0.1461214708999812</v>
      </c>
      <c r="S308" s="677">
        <f t="shared" si="67"/>
        <v>-22472.73000000001</v>
      </c>
      <c r="T308" s="504"/>
      <c r="U308" s="504"/>
      <c r="V308" s="504"/>
      <c r="W308" s="504"/>
      <c r="X308" s="504"/>
      <c r="Y308" s="504"/>
      <c r="Z308" s="504"/>
      <c r="AA308" s="504"/>
      <c r="AB308" s="504"/>
      <c r="AC308" s="504"/>
      <c r="AD308" s="504"/>
      <c r="AE308" s="504"/>
      <c r="AF308" s="504"/>
      <c r="AG308" s="504"/>
      <c r="AH308" s="504"/>
      <c r="AI308" s="504"/>
      <c r="AJ308" s="504"/>
      <c r="AK308" s="504"/>
      <c r="AL308" s="504"/>
      <c r="AM308" s="504"/>
      <c r="AN308" s="504"/>
    </row>
    <row r="309" spans="1:40" ht="15.75" customHeight="1">
      <c r="A309" s="517" t="s">
        <v>103</v>
      </c>
      <c r="B309" s="504" t="s">
        <v>103</v>
      </c>
      <c r="C309" s="525"/>
      <c r="D309" s="504"/>
      <c r="E309" s="504"/>
      <c r="F309" s="535"/>
      <c r="G309" s="525"/>
      <c r="H309" s="504"/>
      <c r="I309" s="535"/>
      <c r="J309" s="525"/>
      <c r="K309" s="504"/>
      <c r="L309" s="535"/>
      <c r="M309" s="525"/>
      <c r="N309" s="543">
        <f>N308/F308</f>
        <v>-0.15311550292655549</v>
      </c>
      <c r="O309" s="525"/>
      <c r="P309" s="504"/>
      <c r="Q309" s="535"/>
      <c r="R309" s="525"/>
      <c r="S309" s="543">
        <f>IF(Q308=0,0,S308/Q308)</f>
        <v>-0.17731313056077802</v>
      </c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4"/>
      <c r="AJ309" s="504"/>
      <c r="AK309" s="504"/>
      <c r="AL309" s="504"/>
      <c r="AM309" s="504"/>
      <c r="AN309" s="504"/>
    </row>
    <row r="310" spans="1:40" ht="15.75" customHeight="1">
      <c r="A310" s="517" t="s">
        <v>103</v>
      </c>
      <c r="B310" s="504" t="s">
        <v>103</v>
      </c>
      <c r="C310" s="525"/>
      <c r="D310" s="504"/>
      <c r="E310" s="504"/>
      <c r="F310" s="535"/>
      <c r="G310" s="525"/>
      <c r="H310" s="504"/>
      <c r="I310" s="535"/>
      <c r="J310" s="525"/>
      <c r="K310" s="504"/>
      <c r="L310" s="535"/>
      <c r="M310" s="525"/>
      <c r="N310" s="543"/>
      <c r="O310" s="525"/>
      <c r="P310" s="504"/>
      <c r="Q310" s="535"/>
      <c r="R310" s="525"/>
      <c r="S310" s="543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4"/>
      <c r="AJ310" s="504"/>
      <c r="AK310" s="504"/>
      <c r="AL310" s="504"/>
      <c r="AM310" s="504"/>
      <c r="AN310" s="504"/>
    </row>
    <row r="311" spans="1:40" ht="15.75" customHeight="1">
      <c r="A311" s="517" t="s">
        <v>411</v>
      </c>
      <c r="B311" s="504" t="s">
        <v>103</v>
      </c>
      <c r="C311" s="518" t="s">
        <v>117</v>
      </c>
      <c r="D311" s="572">
        <f t="array" ref="D311">+INDEX('[6]Budget original'!$A$2:$AO$500,MATCH($A311,'[6]Budget original'!$A$2:$A$500,0),MATCH(D$2,'[6]Budget original'!$A$2:$AO$2,0))</f>
        <v>0</v>
      </c>
      <c r="E311" s="636">
        <f>IF(D311=0,0,F311/D311)</f>
        <v>0</v>
      </c>
      <c r="F311" s="574">
        <f t="array" ref="F311">+INDEX('[6]Budget original'!$A$2:$AO$500,MATCH($A311,'[6]Budget original'!$A$2:$A$500,0),MATCH(F$2,'[6]Budget original'!$A$2:$AO$2,0))</f>
        <v>0</v>
      </c>
      <c r="G311" s="650"/>
      <c r="H311" s="636"/>
      <c r="I311" s="574"/>
      <c r="J311" s="539">
        <f>-SUMIFS([6]BV_Data_An_Cour!$O:$O,[6]BV_Data_An_Cour!$X:$X,"Oui",[6]BV_Data_An_Cour!$U:$U,$B311,[6]BV_Data_An_Cour!$V:$V,$C311)</f>
        <v>0</v>
      </c>
      <c r="K311" s="636">
        <f>IF(J311&lt;=0,0,L311/J311)</f>
        <v>0</v>
      </c>
      <c r="L311" s="520">
        <f>-SUMIFS([6]BV_Data_An_Cour!$O:$O,[6]BV_Data_An_Cour!$U:$U,$B311,[6]BV_Data_An_Cour!$V:$V,$C311,[6]BV_Data_An_Cour!$W:$W,$L$2)</f>
        <v>0</v>
      </c>
      <c r="M311" s="636">
        <f>IF(F311=0,0,(+L311-F311)/F311)</f>
        <v>0</v>
      </c>
      <c r="N311" s="574">
        <f>L311-F311</f>
        <v>0</v>
      </c>
      <c r="O311" s="539">
        <f>-SUMIFS([6]BV_Data_An_Prec!$O:$O,[6]BV_Data_An_Prec!$X:$X,"Oui",[6]BV_Data_An_Prec!$U:$U,$B311,[6]BV_Data_An_Prec!$V:$V,$C311)</f>
        <v>0</v>
      </c>
      <c r="P311" s="636">
        <f>IF(O311&lt;=0,0,Q311/O311)</f>
        <v>0</v>
      </c>
      <c r="Q311" s="520">
        <f>-SUMIFS([6]BV_Data_An_Prec!$O:$O,[6]BV_Data_An_Prec!$U:$U,$B311,[6]BV_Data_An_Prec!$V:$V,$C311,[6]BV_Data_An_Prec!$W:$W,$L$2)</f>
        <v>0</v>
      </c>
      <c r="R311" s="636">
        <f>IF(S311=0,0,(+O311-K311)/K311)</f>
        <v>0</v>
      </c>
      <c r="S311" s="574">
        <f>L311-Q311</f>
        <v>0</v>
      </c>
      <c r="T311" s="504"/>
      <c r="U311" s="504"/>
      <c r="V311" s="504"/>
      <c r="W311" s="504"/>
      <c r="X311" s="504"/>
      <c r="Y311" s="504"/>
      <c r="Z311" s="504"/>
      <c r="AA311" s="504"/>
      <c r="AB311" s="504"/>
      <c r="AC311" s="504"/>
      <c r="AD311" s="504"/>
      <c r="AE311" s="504"/>
      <c r="AF311" s="504"/>
      <c r="AG311" s="504"/>
      <c r="AH311" s="504"/>
      <c r="AI311" s="504"/>
      <c r="AJ311" s="504"/>
      <c r="AK311" s="504"/>
      <c r="AL311" s="504"/>
      <c r="AM311" s="504"/>
      <c r="AN311" s="504"/>
    </row>
    <row r="312" spans="1:40" ht="15.75" customHeight="1" thickBot="1">
      <c r="A312" s="517" t="s">
        <v>103</v>
      </c>
      <c r="B312" s="504" t="s">
        <v>103</v>
      </c>
      <c r="C312" s="525"/>
      <c r="D312" s="569"/>
      <c r="E312" s="635"/>
      <c r="F312" s="551"/>
      <c r="G312" s="552"/>
      <c r="H312" s="635"/>
      <c r="I312" s="551"/>
      <c r="J312" s="552"/>
      <c r="K312" s="635"/>
      <c r="L312" s="551"/>
      <c r="M312" s="570"/>
      <c r="N312" s="551"/>
      <c r="O312" s="552"/>
      <c r="P312" s="635"/>
      <c r="Q312" s="551"/>
      <c r="R312" s="570"/>
      <c r="S312" s="551"/>
      <c r="T312" s="504"/>
      <c r="U312" s="504"/>
      <c r="V312" s="504"/>
      <c r="W312" s="504"/>
      <c r="X312" s="504"/>
      <c r="Y312" s="504"/>
      <c r="Z312" s="504"/>
      <c r="AA312" s="504"/>
      <c r="AB312" s="504"/>
      <c r="AC312" s="504"/>
      <c r="AD312" s="504"/>
      <c r="AE312" s="504"/>
      <c r="AF312" s="504"/>
      <c r="AG312" s="504"/>
      <c r="AH312" s="504"/>
      <c r="AI312" s="504"/>
      <c r="AJ312" s="504"/>
      <c r="AK312" s="504"/>
      <c r="AL312" s="504"/>
      <c r="AM312" s="504"/>
      <c r="AN312" s="504"/>
    </row>
    <row r="313" spans="1:40" ht="15.75" customHeight="1" thickTop="1">
      <c r="A313" s="517" t="s">
        <v>412</v>
      </c>
      <c r="B313" s="504" t="s">
        <v>103</v>
      </c>
      <c r="C313" s="553" t="s">
        <v>118</v>
      </c>
      <c r="D313" s="554">
        <f>D308+D311</f>
        <v>437980.46350770234</v>
      </c>
      <c r="E313" s="695">
        <f>IF(D313&lt;=0,0,F313/D313)</f>
        <v>0.28110630102914924</v>
      </c>
      <c r="F313" s="556">
        <f t="shared" ref="F313" si="70">F308+F311</f>
        <v>123119.06801968248</v>
      </c>
      <c r="G313" s="557"/>
      <c r="H313" s="695"/>
      <c r="I313" s="556"/>
      <c r="J313" s="557">
        <f t="shared" ref="J313" si="71">J308+J311</f>
        <v>357957.68000000005</v>
      </c>
      <c r="K313" s="695">
        <f>IF(J313&lt;=0,0,L313/J313)</f>
        <v>0.29128479657148293</v>
      </c>
      <c r="L313" s="556">
        <f>L308+L311</f>
        <v>104267.63</v>
      </c>
      <c r="M313" s="696">
        <f>(+J313-D313)/D313</f>
        <v>-0.1827085684754407</v>
      </c>
      <c r="N313" s="697">
        <f>L313-F313</f>
        <v>-18851.438019682479</v>
      </c>
      <c r="O313" s="557">
        <f>O308+O311</f>
        <v>419213.82</v>
      </c>
      <c r="P313" s="695">
        <f>IF(O313&lt;=0,0,Q313/O313)</f>
        <v>0.30232867800016711</v>
      </c>
      <c r="Q313" s="556">
        <f>Q308+Q311</f>
        <v>126740.36000000002</v>
      </c>
      <c r="R313" s="696">
        <f>IF(O313=0,0,(J313-O313)/O313)</f>
        <v>-0.1461214708999812</v>
      </c>
      <c r="S313" s="697">
        <f>L313-Q313</f>
        <v>-22472.73000000001</v>
      </c>
      <c r="T313" s="504"/>
      <c r="U313" s="504"/>
      <c r="V313" s="504"/>
      <c r="W313" s="504"/>
      <c r="X313" s="504"/>
      <c r="Y313" s="504"/>
      <c r="Z313" s="504"/>
      <c r="AA313" s="504"/>
      <c r="AB313" s="504"/>
      <c r="AC313" s="504"/>
      <c r="AD313" s="504"/>
      <c r="AE313" s="504"/>
      <c r="AF313" s="504"/>
      <c r="AG313" s="504"/>
      <c r="AH313" s="504"/>
      <c r="AI313" s="504"/>
      <c r="AJ313" s="504"/>
      <c r="AK313" s="504"/>
      <c r="AL313" s="504"/>
      <c r="AM313" s="504"/>
      <c r="AN313" s="504"/>
    </row>
    <row r="314" spans="1:40" ht="15.75" customHeight="1" thickBot="1">
      <c r="A314" s="517" t="s">
        <v>103</v>
      </c>
      <c r="B314" s="504" t="s">
        <v>103</v>
      </c>
      <c r="C314" s="614"/>
      <c r="D314" s="698"/>
      <c r="E314" s="699"/>
      <c r="F314" s="617"/>
      <c r="G314" s="700"/>
      <c r="H314" s="699"/>
      <c r="I314" s="617"/>
      <c r="J314" s="700"/>
      <c r="K314" s="699"/>
      <c r="L314" s="701">
        <f>L313/F313</f>
        <v>0.84688449707344449</v>
      </c>
      <c r="M314" s="702"/>
      <c r="N314" s="563">
        <f>N313/F313</f>
        <v>-0.15311550292655549</v>
      </c>
      <c r="O314" s="700"/>
      <c r="P314" s="699"/>
      <c r="Q314" s="617"/>
      <c r="R314" s="702"/>
      <c r="S314" s="563">
        <f>IF(Q313=0,0,S313/Q313)</f>
        <v>-0.17731313056077802</v>
      </c>
      <c r="T314" s="504"/>
      <c r="U314" s="504"/>
      <c r="V314" s="504"/>
      <c r="W314" s="504"/>
      <c r="X314" s="504"/>
      <c r="Y314" s="504"/>
      <c r="Z314" s="504"/>
      <c r="AA314" s="504"/>
      <c r="AB314" s="504"/>
      <c r="AC314" s="504"/>
      <c r="AD314" s="504"/>
      <c r="AE314" s="504"/>
      <c r="AF314" s="504"/>
      <c r="AG314" s="504"/>
      <c r="AH314" s="504"/>
      <c r="AI314" s="504"/>
      <c r="AJ314" s="504"/>
      <c r="AK314" s="504"/>
      <c r="AL314" s="504"/>
      <c r="AM314" s="504"/>
      <c r="AN314" s="504"/>
    </row>
    <row r="315" spans="1:40" ht="15.75" customHeight="1" thickTop="1">
      <c r="A315" s="517" t="s">
        <v>103</v>
      </c>
      <c r="B315" s="504" t="s">
        <v>103</v>
      </c>
      <c r="C315" s="544"/>
      <c r="D315" s="599"/>
      <c r="E315" s="657"/>
      <c r="F315" s="659"/>
      <c r="G315" s="658"/>
      <c r="H315" s="657"/>
      <c r="I315" s="659"/>
      <c r="J315" s="658"/>
      <c r="K315" s="657"/>
      <c r="L315" s="659"/>
      <c r="M315" s="525"/>
      <c r="N315" s="543"/>
      <c r="O315" s="658"/>
      <c r="P315" s="657"/>
      <c r="Q315" s="659"/>
      <c r="R315" s="525"/>
      <c r="S315" s="543"/>
      <c r="T315" s="504"/>
      <c r="U315" s="504"/>
      <c r="V315" s="504"/>
      <c r="W315" s="504"/>
      <c r="X315" s="504"/>
      <c r="Y315" s="504"/>
      <c r="Z315" s="504"/>
      <c r="AA315" s="504"/>
      <c r="AB315" s="504"/>
      <c r="AC315" s="504"/>
      <c r="AD315" s="504"/>
      <c r="AE315" s="504"/>
      <c r="AF315" s="504"/>
      <c r="AG315" s="504"/>
      <c r="AH315" s="504"/>
      <c r="AI315" s="504"/>
      <c r="AJ315" s="504"/>
      <c r="AK315" s="504"/>
      <c r="AL315" s="504"/>
      <c r="AM315" s="504"/>
      <c r="AN315" s="504"/>
    </row>
    <row r="316" spans="1:40" ht="15.75" customHeight="1">
      <c r="A316" s="517" t="s">
        <v>413</v>
      </c>
      <c r="B316" s="504" t="s">
        <v>103</v>
      </c>
      <c r="C316" s="566" t="s">
        <v>30</v>
      </c>
      <c r="D316" s="504"/>
      <c r="E316" s="504"/>
      <c r="F316" s="551"/>
      <c r="G316" s="525"/>
      <c r="H316" s="504"/>
      <c r="I316" s="551"/>
      <c r="J316" s="525"/>
      <c r="K316" s="504"/>
      <c r="L316" s="535"/>
      <c r="M316" s="525"/>
      <c r="N316" s="535"/>
      <c r="O316" s="525"/>
      <c r="P316" s="504"/>
      <c r="Q316" s="535"/>
      <c r="R316" s="525"/>
      <c r="S316" s="535"/>
      <c r="T316" s="504"/>
      <c r="U316" s="504"/>
      <c r="V316" s="504"/>
      <c r="W316" s="504"/>
      <c r="X316" s="504"/>
      <c r="Y316" s="504"/>
      <c r="Z316" s="504"/>
      <c r="AA316" s="504"/>
      <c r="AB316" s="504"/>
      <c r="AC316" s="504"/>
      <c r="AD316" s="504"/>
      <c r="AE316" s="504"/>
      <c r="AF316" s="504"/>
      <c r="AG316" s="504"/>
      <c r="AH316" s="504"/>
      <c r="AI316" s="504"/>
      <c r="AJ316" s="504"/>
      <c r="AK316" s="504"/>
      <c r="AL316" s="504"/>
      <c r="AM316" s="504"/>
      <c r="AN316" s="504"/>
    </row>
    <row r="317" spans="1:40" ht="15.75" customHeight="1">
      <c r="A317" s="517" t="s">
        <v>414</v>
      </c>
      <c r="B317" s="504" t="s">
        <v>103</v>
      </c>
      <c r="C317" s="592" t="s">
        <v>41</v>
      </c>
      <c r="D317" s="504"/>
      <c r="E317" s="504"/>
      <c r="F317" s="526">
        <f t="array" ref="F317">+INDEX('[6]Budget original'!$A$2:$AO$500,MATCH($A317,'[6]Budget original'!$A$2:$A$500,0),MATCH(F$2,'[6]Budget original'!$A$2:$AO$2,0))</f>
        <v>2606.4352490421456</v>
      </c>
      <c r="G317" s="525"/>
      <c r="H317" s="504"/>
      <c r="I317" s="526"/>
      <c r="J317" s="525"/>
      <c r="K317" s="504"/>
      <c r="L317" s="528">
        <f>SUMIFS([6]BV_Data_An_Cour!$O:$O,[6]BV_Data_An_Cour!$U:$U,$B317,[6]BV_Data_An_Cour!$V:$V,$C317,[6]BV_Data_An_Cour!$W:$W,$L$2)</f>
        <v>7430.53</v>
      </c>
      <c r="M317" s="525"/>
      <c r="N317" s="551">
        <f t="shared" ref="N317:N347" si="72">L317-F317</f>
        <v>4824.0947509578546</v>
      </c>
      <c r="O317" s="525"/>
      <c r="P317" s="504"/>
      <c r="Q317" s="528">
        <f>SUMIFS([6]BV_Data_An_Prec!$O:$O,[6]BV_Data_An_Prec!$U:$U,$B317,[6]BV_Data_An_Prec!$V:$V,$C317,[6]BV_Data_An_Prec!$W:$W,$L$2)</f>
        <v>-6851</v>
      </c>
      <c r="R317" s="525"/>
      <c r="S317" s="528">
        <f t="shared" ref="S317:S347" si="73">L317-Q317</f>
        <v>14281.529999999999</v>
      </c>
      <c r="T317" s="504"/>
      <c r="U317" s="504"/>
      <c r="V317" s="504"/>
      <c r="W317" s="504"/>
      <c r="X317" s="504"/>
      <c r="Y317" s="504"/>
      <c r="Z317" s="504"/>
      <c r="AA317" s="504"/>
      <c r="AB317" s="504"/>
      <c r="AC317" s="504"/>
      <c r="AD317" s="504"/>
      <c r="AE317" s="504"/>
      <c r="AF317" s="504"/>
      <c r="AG317" s="504"/>
      <c r="AH317" s="504"/>
      <c r="AI317" s="504"/>
      <c r="AJ317" s="504"/>
      <c r="AK317" s="504"/>
      <c r="AL317" s="504"/>
      <c r="AM317" s="504"/>
      <c r="AN317" s="504"/>
    </row>
    <row r="318" spans="1:40" ht="15.75" customHeight="1">
      <c r="A318" s="517" t="s">
        <v>415</v>
      </c>
      <c r="B318" s="504" t="s">
        <v>103</v>
      </c>
      <c r="C318" s="593" t="s">
        <v>42</v>
      </c>
      <c r="D318" s="577"/>
      <c r="E318" s="504"/>
      <c r="F318" s="520">
        <f t="array" ref="F318">+INDEX('[6]Budget original'!$A$2:$AO$500,MATCH($A318,'[6]Budget original'!$A$2:$A$500,0),MATCH(F$2,'[6]Budget original'!$A$2:$AO$2,0))</f>
        <v>28935.964137931038</v>
      </c>
      <c r="G318" s="578"/>
      <c r="H318" s="504"/>
      <c r="I318" s="520"/>
      <c r="J318" s="525"/>
      <c r="K318" s="504"/>
      <c r="L318" s="528">
        <f>SUMIFS([6]BV_Data_An_Cour!$O:$O,[6]BV_Data_An_Cour!$U:$U,$B318,[6]BV_Data_An_Cour!$V:$V,$C318,[6]BV_Data_An_Cour!$W:$W,$L$2)</f>
        <v>24203.71</v>
      </c>
      <c r="M318" s="525"/>
      <c r="N318" s="551">
        <f t="shared" si="72"/>
        <v>-4732.2541379310387</v>
      </c>
      <c r="O318" s="525"/>
      <c r="P318" s="504"/>
      <c r="Q318" s="528">
        <f>SUMIFS([6]BV_Data_An_Prec!$O:$O,[6]BV_Data_An_Prec!$U:$U,$B318,[6]BV_Data_An_Prec!$V:$V,$C318,[6]BV_Data_An_Prec!$W:$W,$L$2)</f>
        <v>3328.54</v>
      </c>
      <c r="R318" s="525"/>
      <c r="S318" s="551">
        <f t="shared" si="73"/>
        <v>20875.169999999998</v>
      </c>
      <c r="T318" s="504"/>
      <c r="U318" s="504"/>
      <c r="V318" s="504"/>
      <c r="W318" s="504"/>
      <c r="X318" s="504"/>
      <c r="Y318" s="504"/>
      <c r="Z318" s="504"/>
      <c r="AA318" s="504"/>
      <c r="AB318" s="504"/>
      <c r="AC318" s="504"/>
      <c r="AD318" s="504"/>
      <c r="AE318" s="504"/>
      <c r="AF318" s="504"/>
      <c r="AG318" s="504"/>
      <c r="AH318" s="504"/>
      <c r="AI318" s="504"/>
      <c r="AJ318" s="504"/>
      <c r="AK318" s="504"/>
      <c r="AL318" s="504"/>
      <c r="AM318" s="504"/>
      <c r="AN318" s="504"/>
    </row>
    <row r="319" spans="1:40" ht="15.75" customHeight="1">
      <c r="A319" s="517" t="s">
        <v>416</v>
      </c>
      <c r="B319" s="504" t="s">
        <v>103</v>
      </c>
      <c r="C319" s="592" t="s">
        <v>43</v>
      </c>
      <c r="D319" s="594"/>
      <c r="E319" s="595"/>
      <c r="F319" s="526">
        <f t="array" ref="F319">+INDEX('[6]Budget original'!$A$2:$AO$500,MATCH($A319,'[6]Budget original'!$A$2:$A$500,0),MATCH(F$2,'[6]Budget original'!$A$2:$AO$2,0))</f>
        <v>2296.0919540229879</v>
      </c>
      <c r="G319" s="596"/>
      <c r="H319" s="595"/>
      <c r="I319" s="526"/>
      <c r="J319" s="512"/>
      <c r="K319" s="595"/>
      <c r="L319" s="547">
        <f>SUMIFS([6]BV_Data_An_Cour!$O:$O,[6]BV_Data_An_Cour!$U:$U,$B319,[6]BV_Data_An_Cour!$V:$V,$C319,[6]BV_Data_An_Cour!$W:$W,$L$2)</f>
        <v>1521.99</v>
      </c>
      <c r="M319" s="512"/>
      <c r="N319" s="597">
        <f t="shared" si="72"/>
        <v>-774.10195402298791</v>
      </c>
      <c r="O319" s="512"/>
      <c r="P319" s="595"/>
      <c r="Q319" s="547">
        <f>SUMIFS([6]BV_Data_An_Prec!$O:$O,[6]BV_Data_An_Prec!$U:$U,$B319,[6]BV_Data_An_Prec!$V:$V,$C319,[6]BV_Data_An_Prec!$W:$W,$L$2)</f>
        <v>28524.34</v>
      </c>
      <c r="R319" s="512"/>
      <c r="S319" s="597">
        <f t="shared" si="73"/>
        <v>-27002.35</v>
      </c>
      <c r="T319" s="504"/>
      <c r="U319" s="703"/>
      <c r="V319" s="703"/>
      <c r="W319" s="504"/>
      <c r="X319" s="504"/>
      <c r="Y319" s="504"/>
      <c r="Z319" s="504"/>
      <c r="AA319" s="504"/>
      <c r="AB319" s="504"/>
      <c r="AC319" s="504"/>
      <c r="AD319" s="504"/>
      <c r="AE319" s="504"/>
      <c r="AF319" s="504"/>
      <c r="AG319" s="504"/>
      <c r="AH319" s="504"/>
      <c r="AI319" s="504"/>
      <c r="AJ319" s="504"/>
      <c r="AK319" s="504"/>
      <c r="AL319" s="504"/>
      <c r="AM319" s="504"/>
      <c r="AN319" s="504"/>
    </row>
    <row r="320" spans="1:40" ht="15.75" customHeight="1">
      <c r="A320" s="517" t="s">
        <v>417</v>
      </c>
      <c r="B320" s="504" t="s">
        <v>103</v>
      </c>
      <c r="C320" s="592" t="s">
        <v>44</v>
      </c>
      <c r="D320" s="577"/>
      <c r="E320" s="504"/>
      <c r="F320" s="526">
        <f t="array" ref="F320">+INDEX('[6]Budget original'!$A$2:$AO$500,MATCH($A320,'[6]Budget original'!$A$2:$A$500,0),MATCH(F$2,'[6]Budget original'!$A$2:$AO$2,0))</f>
        <v>0</v>
      </c>
      <c r="G320" s="578"/>
      <c r="H320" s="504"/>
      <c r="I320" s="526"/>
      <c r="J320" s="525"/>
      <c r="K320" s="504"/>
      <c r="L320" s="528">
        <f>SUMIFS([6]BV_Data_An_Cour!$O:$O,[6]BV_Data_An_Cour!$U:$U,$B320,[6]BV_Data_An_Cour!$V:$V,$C320,[6]BV_Data_An_Cour!$W:$W,$L$2)</f>
        <v>0</v>
      </c>
      <c r="M320" s="525"/>
      <c r="N320" s="551">
        <f t="shared" si="72"/>
        <v>0</v>
      </c>
      <c r="O320" s="525"/>
      <c r="P320" s="504"/>
      <c r="Q320" s="528">
        <f>SUMIFS([6]BV_Data_An_Prec!$O:$O,[6]BV_Data_An_Prec!$U:$U,$B320,[6]BV_Data_An_Prec!$V:$V,$C320,[6]BV_Data_An_Prec!$W:$W,$L$2)</f>
        <v>0</v>
      </c>
      <c r="R320" s="525"/>
      <c r="S320" s="551">
        <f t="shared" si="73"/>
        <v>0</v>
      </c>
      <c r="T320" s="504"/>
      <c r="U320" s="504"/>
      <c r="V320" s="504"/>
      <c r="W320" s="504"/>
      <c r="X320" s="504"/>
      <c r="Y320" s="504"/>
      <c r="Z320" s="504"/>
      <c r="AA320" s="504"/>
      <c r="AB320" s="504"/>
      <c r="AC320" s="504"/>
      <c r="AD320" s="504"/>
      <c r="AE320" s="504"/>
      <c r="AF320" s="504"/>
      <c r="AG320" s="504"/>
      <c r="AH320" s="504"/>
      <c r="AI320" s="504"/>
      <c r="AJ320" s="504"/>
      <c r="AK320" s="504"/>
      <c r="AL320" s="504"/>
      <c r="AM320" s="504"/>
      <c r="AN320" s="504"/>
    </row>
    <row r="321" spans="1:40" ht="15.75" hidden="1" customHeight="1">
      <c r="A321" s="517" t="s">
        <v>404</v>
      </c>
      <c r="B321" s="504" t="s">
        <v>103</v>
      </c>
      <c r="C321" s="525" t="s">
        <v>20</v>
      </c>
      <c r="D321" s="577"/>
      <c r="E321" s="504"/>
      <c r="F321" s="526">
        <f t="array" ref="F321">+INDEX('[6]Budget original'!$A$2:$AO$500,MATCH($A321,'[6]Budget original'!$A$2:$A$500,0),MATCH(F$2,'[6]Budget original'!$A$2:$AO$2,0))</f>
        <v>0</v>
      </c>
      <c r="G321" s="578"/>
      <c r="H321" s="504"/>
      <c r="I321" s="526"/>
      <c r="J321" s="525"/>
      <c r="K321" s="504"/>
      <c r="L321" s="528">
        <f>SUMIFS([6]BV_Data_An_Cour!$O:$O,[6]BV_Data_An_Cour!$U:$U,$B321,[6]BV_Data_An_Cour!$V:$V,$C321,[6]BV_Data_An_Cour!$W:$W,$L$2)</f>
        <v>0</v>
      </c>
      <c r="M321" s="525"/>
      <c r="N321" s="551">
        <f t="shared" si="72"/>
        <v>0</v>
      </c>
      <c r="O321" s="525"/>
      <c r="P321" s="504"/>
      <c r="Q321" s="528">
        <f>SUMIFS([6]BV_Data_An_Prec!$O:$O,[6]BV_Data_An_Prec!$U:$U,$B321,[6]BV_Data_An_Prec!$V:$V,$C321,[6]BV_Data_An_Prec!$W:$W,$L$2)</f>
        <v>0</v>
      </c>
      <c r="R321" s="525"/>
      <c r="S321" s="551">
        <f t="shared" si="73"/>
        <v>0</v>
      </c>
      <c r="T321" s="504"/>
      <c r="U321" s="504"/>
      <c r="V321" s="504"/>
      <c r="W321" s="504"/>
      <c r="X321" s="504"/>
      <c r="Y321" s="504"/>
      <c r="Z321" s="504"/>
      <c r="AA321" s="504"/>
      <c r="AB321" s="504"/>
      <c r="AC321" s="504"/>
      <c r="AD321" s="504"/>
      <c r="AE321" s="504"/>
      <c r="AF321" s="504"/>
      <c r="AG321" s="504"/>
      <c r="AH321" s="504"/>
      <c r="AI321" s="504"/>
      <c r="AJ321" s="504"/>
      <c r="AK321" s="504"/>
      <c r="AL321" s="504"/>
      <c r="AM321" s="504"/>
      <c r="AN321" s="504"/>
    </row>
    <row r="322" spans="1:40" ht="15.75" hidden="1" customHeight="1">
      <c r="A322" s="517" t="s">
        <v>404</v>
      </c>
      <c r="B322" s="504" t="s">
        <v>103</v>
      </c>
      <c r="C322" s="525" t="s">
        <v>20</v>
      </c>
      <c r="D322" s="577"/>
      <c r="E322" s="504"/>
      <c r="F322" s="526">
        <f t="array" ref="F322">+INDEX('[6]Budget original'!$A$2:$AO$500,MATCH($A322,'[6]Budget original'!$A$2:$A$500,0),MATCH(F$2,'[6]Budget original'!$A$2:$AO$2,0))</f>
        <v>0</v>
      </c>
      <c r="G322" s="578"/>
      <c r="H322" s="504"/>
      <c r="I322" s="526"/>
      <c r="J322" s="525"/>
      <c r="K322" s="504"/>
      <c r="L322" s="528">
        <f>SUMIFS([6]BV_Data_An_Cour!$O:$O,[6]BV_Data_An_Cour!$U:$U,$B322,[6]BV_Data_An_Cour!$V:$V,$C322,[6]BV_Data_An_Cour!$W:$W,$L$2)</f>
        <v>0</v>
      </c>
      <c r="M322" s="525"/>
      <c r="N322" s="551">
        <f t="shared" si="72"/>
        <v>0</v>
      </c>
      <c r="O322" s="525"/>
      <c r="P322" s="504"/>
      <c r="Q322" s="528">
        <f>SUMIFS([6]BV_Data_An_Prec!$O:$O,[6]BV_Data_An_Prec!$U:$U,$B322,[6]BV_Data_An_Prec!$V:$V,$C322,[6]BV_Data_An_Prec!$W:$W,$L$2)</f>
        <v>0</v>
      </c>
      <c r="R322" s="525"/>
      <c r="S322" s="551">
        <f t="shared" si="73"/>
        <v>0</v>
      </c>
      <c r="T322" s="504"/>
      <c r="U322" s="504"/>
      <c r="V322" s="504"/>
      <c r="W322" s="504"/>
      <c r="X322" s="504"/>
      <c r="Y322" s="504"/>
      <c r="Z322" s="504"/>
      <c r="AA322" s="504"/>
      <c r="AB322" s="504"/>
      <c r="AC322" s="504"/>
      <c r="AD322" s="504"/>
      <c r="AE322" s="504"/>
      <c r="AF322" s="504"/>
      <c r="AG322" s="504"/>
      <c r="AH322" s="504"/>
      <c r="AI322" s="504"/>
      <c r="AJ322" s="504"/>
      <c r="AK322" s="504"/>
      <c r="AL322" s="504"/>
      <c r="AM322" s="504"/>
      <c r="AN322" s="504"/>
    </row>
    <row r="323" spans="1:40" ht="15.75" hidden="1" customHeight="1">
      <c r="A323" s="517" t="s">
        <v>404</v>
      </c>
      <c r="B323" s="504" t="s">
        <v>103</v>
      </c>
      <c r="C323" s="525" t="s">
        <v>20</v>
      </c>
      <c r="D323" s="577"/>
      <c r="E323" s="504"/>
      <c r="F323" s="526">
        <f t="array" ref="F323">+INDEX('[6]Budget original'!$A$2:$AO$500,MATCH($A323,'[6]Budget original'!$A$2:$A$500,0),MATCH(F$2,'[6]Budget original'!$A$2:$AO$2,0))</f>
        <v>0</v>
      </c>
      <c r="G323" s="578"/>
      <c r="H323" s="504"/>
      <c r="I323" s="526"/>
      <c r="J323" s="525"/>
      <c r="K323" s="504"/>
      <c r="L323" s="528">
        <f>SUMIFS([6]BV_Data_An_Cour!$O:$O,[6]BV_Data_An_Cour!$U:$U,$B323,[6]BV_Data_An_Cour!$V:$V,$C323,[6]BV_Data_An_Cour!$W:$W,$L$2)</f>
        <v>0</v>
      </c>
      <c r="M323" s="525"/>
      <c r="N323" s="551">
        <f t="shared" si="72"/>
        <v>0</v>
      </c>
      <c r="O323" s="525"/>
      <c r="P323" s="504"/>
      <c r="Q323" s="528">
        <f>SUMIFS([6]BV_Data_An_Prec!$O:$O,[6]BV_Data_An_Prec!$U:$U,$B323,[6]BV_Data_An_Prec!$V:$V,$C323,[6]BV_Data_An_Prec!$W:$W,$L$2)</f>
        <v>0</v>
      </c>
      <c r="R323" s="525"/>
      <c r="S323" s="551">
        <f t="shared" si="73"/>
        <v>0</v>
      </c>
      <c r="T323" s="504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  <c r="AE323" s="504"/>
      <c r="AF323" s="504"/>
      <c r="AG323" s="504"/>
      <c r="AH323" s="504"/>
      <c r="AI323" s="504"/>
      <c r="AJ323" s="504"/>
      <c r="AK323" s="504"/>
      <c r="AL323" s="504"/>
      <c r="AM323" s="504"/>
      <c r="AN323" s="504"/>
    </row>
    <row r="324" spans="1:40" ht="15.75" customHeight="1">
      <c r="A324" s="517" t="s">
        <v>418</v>
      </c>
      <c r="B324" s="504" t="s">
        <v>103</v>
      </c>
      <c r="C324" s="593" t="s">
        <v>45</v>
      </c>
      <c r="D324" s="577"/>
      <c r="E324" s="504"/>
      <c r="F324" s="520">
        <f t="array" ref="F324">+INDEX('[6]Budget original'!$A$2:$AO$500,MATCH($A324,'[6]Budget original'!$A$2:$A$500,0),MATCH(F$2,'[6]Budget original'!$A$2:$AO$2,0))</f>
        <v>4173.8952256538423</v>
      </c>
      <c r="G324" s="578"/>
      <c r="H324" s="504"/>
      <c r="I324" s="520"/>
      <c r="J324" s="525"/>
      <c r="K324" s="504"/>
      <c r="L324" s="528">
        <f>SUMIFS([6]BV_Data_An_Cour!$O:$O,[6]BV_Data_An_Cour!$U:$U,$B324,[6]BV_Data_An_Cour!$V:$V,$C324,[6]BV_Data_An_Cour!$W:$W,$L$2)</f>
        <v>4167.74</v>
      </c>
      <c r="M324" s="525"/>
      <c r="N324" s="551">
        <f t="shared" si="72"/>
        <v>-6.1552256538425354</v>
      </c>
      <c r="O324" s="525"/>
      <c r="P324" s="504"/>
      <c r="Q324" s="528">
        <f>SUMIFS([6]BV_Data_An_Prec!$O:$O,[6]BV_Data_An_Prec!$U:$U,$B324,[6]BV_Data_An_Prec!$V:$V,$C324,[6]BV_Data_An_Prec!$W:$W,$L$2)</f>
        <v>3911.29</v>
      </c>
      <c r="R324" s="525"/>
      <c r="S324" s="551">
        <f t="shared" si="73"/>
        <v>256.44999999999982</v>
      </c>
      <c r="T324" s="504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  <c r="AE324" s="504"/>
      <c r="AF324" s="504"/>
      <c r="AG324" s="504"/>
      <c r="AH324" s="504"/>
      <c r="AI324" s="504"/>
      <c r="AJ324" s="504"/>
      <c r="AK324" s="504"/>
      <c r="AL324" s="504"/>
      <c r="AM324" s="504"/>
      <c r="AN324" s="504"/>
    </row>
    <row r="325" spans="1:40" ht="15.75" customHeight="1">
      <c r="A325" s="517" t="s">
        <v>419</v>
      </c>
      <c r="B325" s="504" t="s">
        <v>103</v>
      </c>
      <c r="C325" s="592" t="s">
        <v>46</v>
      </c>
      <c r="D325" s="594"/>
      <c r="E325" s="595"/>
      <c r="F325" s="526">
        <f t="array" ref="F325">+INDEX('[6]Budget original'!$A$2:$AO$500,MATCH($A325,'[6]Budget original'!$A$2:$A$500,0),MATCH(F$2,'[6]Budget original'!$A$2:$AO$2,0))</f>
        <v>4149.2628047292937</v>
      </c>
      <c r="G325" s="596"/>
      <c r="H325" s="595"/>
      <c r="I325" s="526"/>
      <c r="J325" s="512"/>
      <c r="K325" s="595"/>
      <c r="L325" s="547">
        <f>SUMIFS([6]BV_Data_An_Cour!$O:$O,[6]BV_Data_An_Cour!$U:$U,$B325,[6]BV_Data_An_Cour!$V:$V,$C325,[6]BV_Data_An_Cour!$W:$W,$L$2)</f>
        <v>7410.92</v>
      </c>
      <c r="M325" s="512"/>
      <c r="N325" s="597">
        <f t="shared" si="72"/>
        <v>3261.6571952707063</v>
      </c>
      <c r="O325" s="512"/>
      <c r="P325" s="595"/>
      <c r="Q325" s="547">
        <f>SUMIFS([6]BV_Data_An_Prec!$O:$O,[6]BV_Data_An_Prec!$U:$U,$B325,[6]BV_Data_An_Prec!$V:$V,$C325,[6]BV_Data_An_Prec!$W:$W,$L$2)</f>
        <v>6716</v>
      </c>
      <c r="R325" s="512"/>
      <c r="S325" s="597">
        <f t="shared" si="73"/>
        <v>694.92000000000007</v>
      </c>
      <c r="T325" s="504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  <c r="AE325" s="504"/>
      <c r="AF325" s="504"/>
      <c r="AG325" s="504"/>
      <c r="AH325" s="504"/>
      <c r="AI325" s="504"/>
      <c r="AJ325" s="504"/>
      <c r="AK325" s="504"/>
      <c r="AL325" s="504"/>
      <c r="AM325" s="504"/>
      <c r="AN325" s="504"/>
    </row>
    <row r="326" spans="1:40" ht="15.75" customHeight="1">
      <c r="A326" s="517" t="s">
        <v>420</v>
      </c>
      <c r="B326" s="504" t="s">
        <v>103</v>
      </c>
      <c r="C326" s="592" t="s">
        <v>47</v>
      </c>
      <c r="D326" s="577"/>
      <c r="E326" s="504"/>
      <c r="F326" s="526">
        <f t="array" ref="F326">+INDEX('[6]Budget original'!$A$2:$AO$500,MATCH($A326,'[6]Budget original'!$A$2:$A$500,0),MATCH(F$2,'[6]Budget original'!$A$2:$AO$2,0))</f>
        <v>2905.5546138901727</v>
      </c>
      <c r="G326" s="578"/>
      <c r="H326" s="504"/>
      <c r="I326" s="526"/>
      <c r="J326" s="525"/>
      <c r="K326" s="504"/>
      <c r="L326" s="528">
        <f>SUMIFS([6]BV_Data_An_Cour!$O:$O,[6]BV_Data_An_Cour!$U:$U,$B326,[6]BV_Data_An_Cour!$V:$V,$C326,[6]BV_Data_An_Cour!$W:$W,$L$2)</f>
        <v>949.05</v>
      </c>
      <c r="M326" s="525"/>
      <c r="N326" s="551">
        <f t="shared" si="72"/>
        <v>-1956.5046138901728</v>
      </c>
      <c r="O326" s="525"/>
      <c r="P326" s="504"/>
      <c r="Q326" s="528">
        <f>SUMIFS([6]BV_Data_An_Prec!$O:$O,[6]BV_Data_An_Prec!$U:$U,$B326,[6]BV_Data_An_Prec!$V:$V,$C326,[6]BV_Data_An_Prec!$W:$W,$L$2)</f>
        <v>6946.48</v>
      </c>
      <c r="R326" s="525"/>
      <c r="S326" s="551">
        <f t="shared" si="73"/>
        <v>-5997.4299999999994</v>
      </c>
      <c r="T326" s="504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  <c r="AE326" s="504"/>
      <c r="AF326" s="504"/>
      <c r="AG326" s="504"/>
      <c r="AH326" s="504"/>
      <c r="AI326" s="504"/>
      <c r="AJ326" s="504"/>
      <c r="AK326" s="504"/>
      <c r="AL326" s="504"/>
      <c r="AM326" s="504"/>
      <c r="AN326" s="504"/>
    </row>
    <row r="327" spans="1:40" ht="15.75" customHeight="1">
      <c r="A327" s="517" t="s">
        <v>421</v>
      </c>
      <c r="B327" s="504" t="s">
        <v>103</v>
      </c>
      <c r="C327" s="592" t="s">
        <v>48</v>
      </c>
      <c r="D327" s="577"/>
      <c r="E327" s="504"/>
      <c r="F327" s="526">
        <f t="array" ref="F327">+INDEX('[6]Budget original'!$A$2:$AO$500,MATCH($A327,'[6]Budget original'!$A$2:$A$500,0),MATCH(F$2,'[6]Budget original'!$A$2:$AO$2,0))</f>
        <v>1388.0671873915119</v>
      </c>
      <c r="G327" s="578"/>
      <c r="H327" s="504"/>
      <c r="I327" s="526"/>
      <c r="J327" s="525"/>
      <c r="K327" s="504"/>
      <c r="L327" s="528">
        <f>SUMIFS([6]BV_Data_An_Cour!$O:$O,[6]BV_Data_An_Cour!$U:$U,$B327,[6]BV_Data_An_Cour!$V:$V,$C327,[6]BV_Data_An_Cour!$W:$W,$L$2)</f>
        <v>1818.31</v>
      </c>
      <c r="M327" s="525"/>
      <c r="N327" s="551">
        <f t="shared" si="72"/>
        <v>430.24281260848807</v>
      </c>
      <c r="O327" s="525"/>
      <c r="P327" s="504"/>
      <c r="Q327" s="528">
        <f>SUMIFS([6]BV_Data_An_Prec!$O:$O,[6]BV_Data_An_Prec!$U:$U,$B327,[6]BV_Data_An_Prec!$V:$V,$C327,[6]BV_Data_An_Prec!$W:$W,$L$2)</f>
        <v>2058.13</v>
      </c>
      <c r="R327" s="525"/>
      <c r="S327" s="551">
        <f t="shared" si="73"/>
        <v>-239.82000000000016</v>
      </c>
      <c r="T327" s="504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  <c r="AE327" s="504"/>
      <c r="AF327" s="504"/>
      <c r="AG327" s="504"/>
      <c r="AH327" s="504"/>
      <c r="AI327" s="504"/>
      <c r="AJ327" s="504"/>
      <c r="AK327" s="504"/>
      <c r="AL327" s="504"/>
      <c r="AM327" s="504"/>
      <c r="AN327" s="504"/>
    </row>
    <row r="328" spans="1:40" ht="15.75" hidden="1" customHeight="1">
      <c r="A328" s="517" t="s">
        <v>404</v>
      </c>
      <c r="B328" s="504" t="s">
        <v>103</v>
      </c>
      <c r="C328" s="525" t="s">
        <v>20</v>
      </c>
      <c r="D328" s="579"/>
      <c r="E328" s="598"/>
      <c r="F328" s="526">
        <f t="array" ref="F328">+INDEX('[6]Budget original'!$A$2:$AO$500,MATCH($A328,'[6]Budget original'!$A$2:$A$500,0),MATCH(F$2,'[6]Budget original'!$A$2:$AO$2,0))</f>
        <v>0</v>
      </c>
      <c r="G328" s="580"/>
      <c r="H328" s="598"/>
      <c r="I328" s="526"/>
      <c r="J328" s="518"/>
      <c r="K328" s="598"/>
      <c r="L328" s="528">
        <f>SUMIFS([6]BV_Data_An_Cour!$O:$O,[6]BV_Data_An_Cour!$U:$U,$B328,[6]BV_Data_An_Cour!$V:$V,$C328,[6]BV_Data_An_Cour!$W:$W,$L$2)</f>
        <v>0</v>
      </c>
      <c r="M328" s="518"/>
      <c r="N328" s="574">
        <f t="shared" si="72"/>
        <v>0</v>
      </c>
      <c r="O328" s="518"/>
      <c r="P328" s="598"/>
      <c r="Q328" s="528">
        <f>SUMIFS([6]BV_Data_An_Prec!$O:$O,[6]BV_Data_An_Prec!$U:$U,$B328,[6]BV_Data_An_Prec!$V:$V,$C328,[6]BV_Data_An_Prec!$W:$W,$L$2)</f>
        <v>0</v>
      </c>
      <c r="R328" s="518"/>
      <c r="S328" s="574">
        <f t="shared" si="73"/>
        <v>0</v>
      </c>
      <c r="T328" s="504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  <c r="AE328" s="504"/>
      <c r="AF328" s="504"/>
      <c r="AG328" s="504"/>
      <c r="AH328" s="504"/>
      <c r="AI328" s="504"/>
      <c r="AJ328" s="504"/>
      <c r="AK328" s="504"/>
      <c r="AL328" s="504"/>
      <c r="AM328" s="504"/>
      <c r="AN328" s="504"/>
    </row>
    <row r="329" spans="1:40" ht="15.75" customHeight="1">
      <c r="A329" s="517" t="s">
        <v>422</v>
      </c>
      <c r="B329" s="504" t="s">
        <v>103</v>
      </c>
      <c r="C329" s="584" t="s">
        <v>49</v>
      </c>
      <c r="D329" s="585" t="s">
        <v>39</v>
      </c>
      <c r="E329" s="586">
        <f>F329/F$313</f>
        <v>0.37731987351654089</v>
      </c>
      <c r="F329" s="587">
        <f>+SUM(F317:F328)</f>
        <v>46455.271172660992</v>
      </c>
      <c r="G329" s="588"/>
      <c r="H329" s="586"/>
      <c r="I329" s="587"/>
      <c r="J329" s="588" t="s">
        <v>39</v>
      </c>
      <c r="K329" s="586">
        <f>L329/L$313</f>
        <v>0.45558002996711433</v>
      </c>
      <c r="L329" s="587">
        <f>+SUM(L317:L328)</f>
        <v>47502.249999999993</v>
      </c>
      <c r="M329" s="637"/>
      <c r="N329" s="600">
        <f t="shared" si="72"/>
        <v>1046.9788273390004</v>
      </c>
      <c r="O329" s="588" t="s">
        <v>39</v>
      </c>
      <c r="P329" s="586">
        <f>Q329/Q$313</f>
        <v>0.35216706027977185</v>
      </c>
      <c r="Q329" s="587">
        <f>+SUM(Q317:Q328)</f>
        <v>44633.779999999992</v>
      </c>
      <c r="R329" s="637"/>
      <c r="S329" s="600">
        <f t="shared" si="73"/>
        <v>2868.4700000000012</v>
      </c>
      <c r="T329" s="504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  <c r="AE329" s="504"/>
      <c r="AF329" s="504"/>
      <c r="AG329" s="504"/>
      <c r="AH329" s="504"/>
      <c r="AI329" s="504"/>
      <c r="AJ329" s="504"/>
      <c r="AK329" s="504"/>
      <c r="AL329" s="504"/>
      <c r="AM329" s="504"/>
      <c r="AN329" s="504"/>
    </row>
    <row r="330" spans="1:40" ht="15.75" customHeight="1">
      <c r="A330" s="517" t="s">
        <v>423</v>
      </c>
      <c r="B330" s="504" t="s">
        <v>103</v>
      </c>
      <c r="C330" s="691" t="s">
        <v>50</v>
      </c>
      <c r="D330" s="577"/>
      <c r="E330" s="504"/>
      <c r="F330" s="526">
        <f t="array" ref="F330">+INDEX('[6]Budget original'!$A$2:$AO$500,MATCH($A330,'[6]Budget original'!$A$2:$A$500,0),MATCH(F$2,'[6]Budget original'!$A$2:$AO$2,0))</f>
        <v>4539.0119395833326</v>
      </c>
      <c r="G330" s="578"/>
      <c r="H330" s="504"/>
      <c r="I330" s="526"/>
      <c r="J330" s="525"/>
      <c r="K330" s="504"/>
      <c r="L330" s="528">
        <f>SUMIFS([6]BV_Data_An_Cour!$O:$O,[6]BV_Data_An_Cour!$U:$U,$B330,[6]BV_Data_An_Cour!$V:$V,$C330,[6]BV_Data_An_Cour!$W:$W,$L$2)</f>
        <v>4220.76</v>
      </c>
      <c r="M330" s="525"/>
      <c r="N330" s="551">
        <f t="shared" si="72"/>
        <v>-318.25193958333239</v>
      </c>
      <c r="O330" s="525"/>
      <c r="P330" s="504"/>
      <c r="Q330" s="528">
        <f>SUMIFS([6]BV_Data_An_Prec!$O:$O,[6]BV_Data_An_Prec!$U:$U,$B330,[6]BV_Data_An_Prec!$V:$V,$C330,[6]BV_Data_An_Prec!$W:$W,$L$2)</f>
        <v>2308.39</v>
      </c>
      <c r="R330" s="525"/>
      <c r="S330" s="551">
        <f t="shared" si="73"/>
        <v>1912.3700000000003</v>
      </c>
      <c r="T330" s="504"/>
      <c r="U330" s="504"/>
      <c r="V330" s="504"/>
      <c r="W330" s="569"/>
      <c r="X330" s="504"/>
      <c r="Y330" s="504"/>
      <c r="Z330" s="504"/>
      <c r="AA330" s="504"/>
      <c r="AB330" s="504"/>
      <c r="AC330" s="504"/>
      <c r="AD330" s="504"/>
      <c r="AE330" s="504"/>
      <c r="AF330" s="504"/>
      <c r="AG330" s="504"/>
      <c r="AH330" s="504"/>
      <c r="AI330" s="504"/>
      <c r="AJ330" s="504"/>
      <c r="AK330" s="504"/>
      <c r="AL330" s="504"/>
      <c r="AM330" s="504"/>
      <c r="AN330" s="504"/>
    </row>
    <row r="331" spans="1:40" ht="15.75" customHeight="1">
      <c r="A331" s="517" t="s">
        <v>424</v>
      </c>
      <c r="B331" s="504" t="s">
        <v>103</v>
      </c>
      <c r="C331" s="592" t="s">
        <v>51</v>
      </c>
      <c r="D331" s="577"/>
      <c r="E331" s="504"/>
      <c r="F331" s="526">
        <f t="array" ref="F331">+INDEX('[6]Budget original'!$A$2:$AO$500,MATCH($A331,'[6]Budget original'!$A$2:$A$500,0),MATCH(F$2,'[6]Budget original'!$A$2:$AO$2,0))</f>
        <v>951.22352204850517</v>
      </c>
      <c r="G331" s="578"/>
      <c r="H331" s="504"/>
      <c r="I331" s="526"/>
      <c r="J331" s="525"/>
      <c r="K331" s="504"/>
      <c r="L331" s="528">
        <f>SUMIFS([6]BV_Data_An_Cour!$O:$O,[6]BV_Data_An_Cour!$U:$U,$B331,[6]BV_Data_An_Cour!$V:$V,$C331,[6]BV_Data_An_Cour!$W:$W,$L$2)</f>
        <v>3208.48</v>
      </c>
      <c r="M331" s="525"/>
      <c r="N331" s="551">
        <f t="shared" si="72"/>
        <v>2257.2564779514951</v>
      </c>
      <c r="O331" s="525"/>
      <c r="P331" s="504"/>
      <c r="Q331" s="528">
        <f>SUMIFS([6]BV_Data_An_Prec!$O:$O,[6]BV_Data_An_Prec!$U:$U,$B331,[6]BV_Data_An_Prec!$V:$V,$C331,[6]BV_Data_An_Prec!$W:$W,$L$2)</f>
        <v>478.93</v>
      </c>
      <c r="R331" s="525"/>
      <c r="S331" s="551">
        <f t="shared" si="73"/>
        <v>2729.55</v>
      </c>
      <c r="T331" s="504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  <c r="AE331" s="504"/>
      <c r="AF331" s="504"/>
      <c r="AG331" s="504"/>
      <c r="AH331" s="504"/>
      <c r="AI331" s="504"/>
      <c r="AJ331" s="504"/>
      <c r="AK331" s="504"/>
      <c r="AL331" s="504"/>
      <c r="AM331" s="504"/>
      <c r="AN331" s="504"/>
    </row>
    <row r="332" spans="1:40" ht="15.75" customHeight="1">
      <c r="A332" s="517" t="s">
        <v>425</v>
      </c>
      <c r="B332" s="504" t="s">
        <v>103</v>
      </c>
      <c r="C332" s="593" t="s">
        <v>52</v>
      </c>
      <c r="D332" s="579"/>
      <c r="E332" s="598"/>
      <c r="F332" s="520">
        <f t="array" ref="F332">+INDEX('[6]Budget original'!$A$2:$AO$500,MATCH($A332,'[6]Budget original'!$A$2:$A$500,0),MATCH(F$2,'[6]Budget original'!$A$2:$AO$2,0))</f>
        <v>475.83333333333331</v>
      </c>
      <c r="G332" s="580"/>
      <c r="H332" s="598"/>
      <c r="I332" s="520"/>
      <c r="J332" s="518"/>
      <c r="K332" s="598"/>
      <c r="L332" s="528">
        <f>SUMIFS([6]BV_Data_An_Cour!$O:$O,[6]BV_Data_An_Cour!$U:$U,$B332,[6]BV_Data_An_Cour!$V:$V,$C332,[6]BV_Data_An_Cour!$W:$W,$L$2)</f>
        <v>1031</v>
      </c>
      <c r="M332" s="518"/>
      <c r="N332" s="574">
        <f t="shared" si="72"/>
        <v>555.16666666666674</v>
      </c>
      <c r="O332" s="518"/>
      <c r="P332" s="598"/>
      <c r="Q332" s="528">
        <f>SUMIFS([6]BV_Data_An_Prec!$O:$O,[6]BV_Data_An_Prec!$U:$U,$B332,[6]BV_Data_An_Prec!$V:$V,$C332,[6]BV_Data_An_Prec!$W:$W,$L$2)</f>
        <v>728.05</v>
      </c>
      <c r="R332" s="518"/>
      <c r="S332" s="574">
        <f t="shared" si="73"/>
        <v>302.95000000000005</v>
      </c>
      <c r="T332" s="504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  <c r="AE332" s="504"/>
      <c r="AF332" s="504"/>
      <c r="AG332" s="504"/>
      <c r="AH332" s="504"/>
      <c r="AI332" s="504"/>
      <c r="AJ332" s="504"/>
      <c r="AK332" s="504"/>
      <c r="AL332" s="504"/>
      <c r="AM332" s="504"/>
      <c r="AN332" s="504"/>
    </row>
    <row r="333" spans="1:40" ht="15.75" customHeight="1">
      <c r="A333" s="517" t="s">
        <v>426</v>
      </c>
      <c r="B333" s="504" t="s">
        <v>103</v>
      </c>
      <c r="C333" s="592" t="s">
        <v>53</v>
      </c>
      <c r="D333" s="577"/>
      <c r="E333" s="504"/>
      <c r="F333" s="526">
        <f t="array" ref="F333">+INDEX('[6]Budget original'!$A$2:$AO$500,MATCH($A333,'[6]Budget original'!$A$2:$A$500,0),MATCH(F$2,'[6]Budget original'!$A$2:$AO$2,0))</f>
        <v>3511.6571083333338</v>
      </c>
      <c r="G333" s="578"/>
      <c r="H333" s="504"/>
      <c r="I333" s="526"/>
      <c r="J333" s="525"/>
      <c r="K333" s="504"/>
      <c r="L333" s="547">
        <f>SUMIFS([6]BV_Data_An_Cour!$O:$O,[6]BV_Data_An_Cour!$U:$U,$B333,[6]BV_Data_An_Cour!$V:$V,$C333,[6]BV_Data_An_Cour!$W:$W,$L$2)</f>
        <v>3783.42</v>
      </c>
      <c r="M333" s="525"/>
      <c r="N333" s="551">
        <f t="shared" si="72"/>
        <v>271.76289166666629</v>
      </c>
      <c r="O333" s="525"/>
      <c r="P333" s="504"/>
      <c r="Q333" s="547">
        <f>SUMIFS([6]BV_Data_An_Prec!$O:$O,[6]BV_Data_An_Prec!$U:$U,$B333,[6]BV_Data_An_Prec!$V:$V,$C333,[6]BV_Data_An_Prec!$W:$W,$L$2)</f>
        <v>3814.92</v>
      </c>
      <c r="R333" s="525"/>
      <c r="S333" s="551">
        <f t="shared" si="73"/>
        <v>-31.5</v>
      </c>
      <c r="T333" s="504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  <c r="AE333" s="504"/>
      <c r="AF333" s="504"/>
      <c r="AG333" s="504"/>
      <c r="AH333" s="504"/>
      <c r="AI333" s="504"/>
      <c r="AJ333" s="504"/>
      <c r="AK333" s="504"/>
      <c r="AL333" s="504"/>
      <c r="AM333" s="504"/>
      <c r="AN333" s="504"/>
    </row>
    <row r="334" spans="1:40" ht="15.75" customHeight="1">
      <c r="A334" s="517" t="s">
        <v>427</v>
      </c>
      <c r="B334" s="504" t="s">
        <v>103</v>
      </c>
      <c r="C334" s="592" t="s">
        <v>54</v>
      </c>
      <c r="D334" s="577"/>
      <c r="E334" s="504"/>
      <c r="F334" s="526">
        <f t="array" ref="F334">+INDEX('[6]Budget original'!$A$2:$AO$500,MATCH($A334,'[6]Budget original'!$A$2:$A$500,0),MATCH(F$2,'[6]Budget original'!$A$2:$AO$2,0))</f>
        <v>781.31878489583323</v>
      </c>
      <c r="G334" s="578"/>
      <c r="H334" s="504"/>
      <c r="I334" s="526"/>
      <c r="J334" s="525"/>
      <c r="K334" s="504"/>
      <c r="L334" s="528">
        <f>SUMIFS([6]BV_Data_An_Cour!$O:$O,[6]BV_Data_An_Cour!$U:$U,$B334,[6]BV_Data_An_Cour!$V:$V,$C334,[6]BV_Data_An_Cour!$W:$W,$L$2)</f>
        <v>526.75</v>
      </c>
      <c r="M334" s="525"/>
      <c r="N334" s="551">
        <f t="shared" si="72"/>
        <v>-254.56878489583323</v>
      </c>
      <c r="O334" s="525"/>
      <c r="P334" s="504"/>
      <c r="Q334" s="528">
        <f>SUMIFS([6]BV_Data_An_Prec!$O:$O,[6]BV_Data_An_Prec!$U:$U,$B334,[6]BV_Data_An_Prec!$V:$V,$C334,[6]BV_Data_An_Prec!$W:$W,$L$2)</f>
        <v>1752.54</v>
      </c>
      <c r="R334" s="525"/>
      <c r="S334" s="551">
        <f t="shared" si="73"/>
        <v>-1225.79</v>
      </c>
      <c r="T334" s="504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  <c r="AE334" s="504"/>
      <c r="AF334" s="504"/>
      <c r="AG334" s="504"/>
      <c r="AH334" s="504"/>
      <c r="AI334" s="504"/>
      <c r="AJ334" s="504"/>
      <c r="AK334" s="504"/>
      <c r="AL334" s="504"/>
      <c r="AM334" s="504"/>
      <c r="AN334" s="504"/>
    </row>
    <row r="335" spans="1:40" ht="15.75" customHeight="1">
      <c r="A335" s="517" t="s">
        <v>428</v>
      </c>
      <c r="B335" s="504" t="s">
        <v>103</v>
      </c>
      <c r="C335" s="593" t="s">
        <v>55</v>
      </c>
      <c r="D335" s="579"/>
      <c r="E335" s="598"/>
      <c r="F335" s="520">
        <f t="array" ref="F335">+INDEX('[6]Budget original'!$A$2:$AO$500,MATCH($A335,'[6]Budget original'!$A$2:$A$500,0),MATCH(F$2,'[6]Budget original'!$A$2:$AO$2,0))</f>
        <v>8270.5249138888885</v>
      </c>
      <c r="G335" s="580"/>
      <c r="H335" s="598"/>
      <c r="I335" s="520"/>
      <c r="J335" s="518"/>
      <c r="K335" s="598"/>
      <c r="L335" s="520">
        <f>SUMIFS([6]BV_Data_An_Cour!$O:$O,[6]BV_Data_An_Cour!$U:$U,$B335,[6]BV_Data_An_Cour!$V:$V,$C335,[6]BV_Data_An_Cour!$W:$W,$L$2)</f>
        <v>16475.91</v>
      </c>
      <c r="M335" s="518"/>
      <c r="N335" s="574">
        <f t="shared" si="72"/>
        <v>8205.3850861111114</v>
      </c>
      <c r="O335" s="518"/>
      <c r="P335" s="598"/>
      <c r="Q335" s="520">
        <f>SUMIFS([6]BV_Data_An_Prec!$O:$O,[6]BV_Data_An_Prec!$U:$U,$B335,[6]BV_Data_An_Prec!$V:$V,$C335,[6]BV_Data_An_Prec!$W:$W,$L$2)</f>
        <v>10357.98</v>
      </c>
      <c r="R335" s="518"/>
      <c r="S335" s="574">
        <f t="shared" si="73"/>
        <v>6117.93</v>
      </c>
      <c r="T335" s="504"/>
      <c r="U335" s="504"/>
      <c r="V335" s="504"/>
      <c r="W335" s="504"/>
      <c r="X335" s="504"/>
      <c r="Y335" s="504"/>
      <c r="Z335" s="504"/>
      <c r="AA335" s="504"/>
      <c r="AB335" s="504"/>
      <c r="AC335" s="504"/>
      <c r="AD335" s="504"/>
      <c r="AE335" s="504"/>
      <c r="AF335" s="504"/>
      <c r="AG335" s="504"/>
      <c r="AH335" s="504"/>
      <c r="AI335" s="504"/>
      <c r="AJ335" s="504"/>
      <c r="AK335" s="504"/>
      <c r="AL335" s="504"/>
      <c r="AM335" s="504"/>
      <c r="AN335" s="504"/>
    </row>
    <row r="336" spans="1:40" ht="15.75" customHeight="1">
      <c r="A336" s="517" t="s">
        <v>429</v>
      </c>
      <c r="B336" s="504" t="s">
        <v>103</v>
      </c>
      <c r="C336" s="592" t="s">
        <v>98</v>
      </c>
      <c r="D336" s="577"/>
      <c r="E336" s="504"/>
      <c r="F336" s="526"/>
      <c r="G336" s="578"/>
      <c r="H336" s="504"/>
      <c r="I336" s="526"/>
      <c r="J336" s="525"/>
      <c r="K336" s="504"/>
      <c r="L336" s="528">
        <f>SUMIFS([6]BV_Data_An_Cour!$O:$O,[6]BV_Data_An_Cour!$U:$U,$B336,[6]BV_Data_An_Cour!$V:$V,$C336,[6]BV_Data_An_Cour!$W:$W,$L$2)</f>
        <v>0</v>
      </c>
      <c r="M336" s="525"/>
      <c r="N336" s="551">
        <f t="shared" si="72"/>
        <v>0</v>
      </c>
      <c r="O336" s="525"/>
      <c r="P336" s="504"/>
      <c r="Q336" s="528">
        <f>SUMIFS([6]BV_Data_An_Prec!$O:$O,[6]BV_Data_An_Prec!$U:$U,$B336,[6]BV_Data_An_Prec!$V:$V,$C336,[6]BV_Data_An_Prec!$W:$W,$L$2)</f>
        <v>0</v>
      </c>
      <c r="R336" s="525"/>
      <c r="S336" s="551">
        <f t="shared" si="73"/>
        <v>0</v>
      </c>
      <c r="T336" s="504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  <c r="AE336" s="504"/>
      <c r="AF336" s="504"/>
      <c r="AG336" s="504"/>
      <c r="AH336" s="504"/>
      <c r="AI336" s="504"/>
      <c r="AJ336" s="504"/>
      <c r="AK336" s="504"/>
      <c r="AL336" s="504"/>
      <c r="AM336" s="504"/>
      <c r="AN336" s="504"/>
    </row>
    <row r="337" spans="1:40" ht="15.75" customHeight="1">
      <c r="A337" s="517" t="s">
        <v>430</v>
      </c>
      <c r="B337" s="504" t="s">
        <v>103</v>
      </c>
      <c r="C337" s="592" t="s">
        <v>56</v>
      </c>
      <c r="D337" s="577"/>
      <c r="E337" s="504"/>
      <c r="F337" s="526">
        <f t="array" ref="F337">+INDEX('[6]Budget original'!$A$2:$AO$500,MATCH($A337,'[6]Budget original'!$A$2:$A$500,0),MATCH(F$2,'[6]Budget original'!$A$2:$AO$2,0))</f>
        <v>119.79021815603429</v>
      </c>
      <c r="G337" s="578"/>
      <c r="H337" s="504"/>
      <c r="I337" s="526"/>
      <c r="J337" s="525"/>
      <c r="K337" s="504"/>
      <c r="L337" s="528">
        <f>SUMIFS([6]BV_Data_An_Cour!$O:$O,[6]BV_Data_An_Cour!$U:$U,$B337,[6]BV_Data_An_Cour!$V:$V,$C337,[6]BV_Data_An_Cour!$W:$W,$L$2)</f>
        <v>0</v>
      </c>
      <c r="M337" s="525"/>
      <c r="N337" s="551">
        <f t="shared" si="72"/>
        <v>-119.79021815603429</v>
      </c>
      <c r="O337" s="525"/>
      <c r="P337" s="504"/>
      <c r="Q337" s="528">
        <f>SUMIFS([6]BV_Data_An_Prec!$O:$O,[6]BV_Data_An_Prec!$U:$U,$B337,[6]BV_Data_An_Prec!$V:$V,$C337,[6]BV_Data_An_Prec!$W:$W,$L$2)</f>
        <v>0</v>
      </c>
      <c r="R337" s="525"/>
      <c r="S337" s="551">
        <f t="shared" si="73"/>
        <v>0</v>
      </c>
      <c r="T337" s="504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  <c r="AE337" s="504"/>
      <c r="AF337" s="504"/>
      <c r="AG337" s="504"/>
      <c r="AH337" s="504"/>
      <c r="AI337" s="504"/>
      <c r="AJ337" s="504"/>
      <c r="AK337" s="504"/>
      <c r="AL337" s="504"/>
      <c r="AM337" s="504"/>
      <c r="AN337" s="504"/>
    </row>
    <row r="338" spans="1:40" ht="15.75" customHeight="1">
      <c r="A338" s="517" t="s">
        <v>431</v>
      </c>
      <c r="B338" s="504" t="s">
        <v>103</v>
      </c>
      <c r="C338" s="592" t="s">
        <v>57</v>
      </c>
      <c r="D338" s="577"/>
      <c r="E338" s="504"/>
      <c r="F338" s="526">
        <f t="array" ref="F338">+INDEX('[6]Budget original'!$A$2:$AO$500,MATCH($A338,'[6]Budget original'!$A$2:$A$500,0),MATCH(F$2,'[6]Budget original'!$A$2:$AO$2,0))</f>
        <v>61.858302861334295</v>
      </c>
      <c r="G338" s="578"/>
      <c r="H338" s="504"/>
      <c r="I338" s="526"/>
      <c r="J338" s="525"/>
      <c r="K338" s="504"/>
      <c r="L338" s="528">
        <f>SUMIFS([6]BV_Data_An_Cour!$O:$O,[6]BV_Data_An_Cour!$U:$U,$B338,[6]BV_Data_An_Cour!$V:$V,$C338,[6]BV_Data_An_Cour!$W:$W,$L$2)</f>
        <v>0</v>
      </c>
      <c r="M338" s="525"/>
      <c r="N338" s="551">
        <f t="shared" si="72"/>
        <v>-61.858302861334295</v>
      </c>
      <c r="O338" s="525"/>
      <c r="P338" s="504"/>
      <c r="Q338" s="528">
        <f>SUMIFS([6]BV_Data_An_Prec!$O:$O,[6]BV_Data_An_Prec!$U:$U,$B338,[6]BV_Data_An_Prec!$V:$V,$C338,[6]BV_Data_An_Prec!$W:$W,$L$2)</f>
        <v>0</v>
      </c>
      <c r="R338" s="525"/>
      <c r="S338" s="551">
        <f t="shared" si="73"/>
        <v>0</v>
      </c>
      <c r="T338" s="504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  <c r="AE338" s="504"/>
      <c r="AF338" s="504"/>
      <c r="AG338" s="504"/>
      <c r="AH338" s="504"/>
      <c r="AI338" s="504"/>
      <c r="AJ338" s="504"/>
      <c r="AK338" s="504"/>
      <c r="AL338" s="504"/>
      <c r="AM338" s="504"/>
      <c r="AN338" s="504"/>
    </row>
    <row r="339" spans="1:40" ht="15.75" customHeight="1">
      <c r="A339" s="517" t="s">
        <v>432</v>
      </c>
      <c r="B339" s="504" t="s">
        <v>103</v>
      </c>
      <c r="C339" s="592" t="s">
        <v>58</v>
      </c>
      <c r="D339" s="577"/>
      <c r="E339" s="504"/>
      <c r="F339" s="526">
        <f t="array" ref="F339">+INDEX('[6]Budget original'!$A$2:$AO$500,MATCH($A339,'[6]Budget original'!$A$2:$A$500,0),MATCH(F$2,'[6]Budget original'!$A$2:$AO$2,0))</f>
        <v>596.44612124999981</v>
      </c>
      <c r="G339" s="578"/>
      <c r="H339" s="504"/>
      <c r="I339" s="526"/>
      <c r="J339" s="525"/>
      <c r="K339" s="504"/>
      <c r="L339" s="528">
        <f>SUMIFS([6]BV_Data_An_Cour!$O:$O,[6]BV_Data_An_Cour!$U:$U,$B339,[6]BV_Data_An_Cour!$V:$V,$C339,[6]BV_Data_An_Cour!$W:$W,$L$2)</f>
        <v>1123.3800000000001</v>
      </c>
      <c r="M339" s="525"/>
      <c r="N339" s="551">
        <f t="shared" si="72"/>
        <v>526.9338787500003</v>
      </c>
      <c r="O339" s="525"/>
      <c r="P339" s="504"/>
      <c r="Q339" s="528">
        <f>SUMIFS([6]BV_Data_An_Prec!$O:$O,[6]BV_Data_An_Prec!$U:$U,$B339,[6]BV_Data_An_Prec!$V:$V,$C339,[6]BV_Data_An_Prec!$W:$W,$L$2)</f>
        <v>369.16</v>
      </c>
      <c r="R339" s="525"/>
      <c r="S339" s="551">
        <f t="shared" si="73"/>
        <v>754.22</v>
      </c>
      <c r="T339" s="504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  <c r="AE339" s="504"/>
      <c r="AF339" s="504"/>
      <c r="AG339" s="504"/>
      <c r="AH339" s="504"/>
      <c r="AI339" s="504"/>
      <c r="AJ339" s="504"/>
      <c r="AK339" s="504"/>
      <c r="AL339" s="504"/>
      <c r="AM339" s="504"/>
      <c r="AN339" s="504"/>
    </row>
    <row r="340" spans="1:40" ht="15.75" customHeight="1">
      <c r="A340" s="517" t="s">
        <v>433</v>
      </c>
      <c r="B340" s="504" t="s">
        <v>103</v>
      </c>
      <c r="C340" s="592" t="s">
        <v>59</v>
      </c>
      <c r="D340" s="577"/>
      <c r="E340" s="504"/>
      <c r="F340" s="526">
        <f t="array" ref="F340">+INDEX('[6]Budget original'!$A$2:$AO$500,MATCH($A340,'[6]Budget original'!$A$2:$A$500,0),MATCH(F$2,'[6]Budget original'!$A$2:$AO$2,0))</f>
        <v>202.12519543402777</v>
      </c>
      <c r="G340" s="578"/>
      <c r="H340" s="504"/>
      <c r="I340" s="526"/>
      <c r="J340" s="525"/>
      <c r="K340" s="504"/>
      <c r="L340" s="528">
        <f>SUMIFS([6]BV_Data_An_Cour!$O:$O,[6]BV_Data_An_Cour!$U:$U,$B340,[6]BV_Data_An_Cour!$V:$V,$C340,[6]BV_Data_An_Cour!$W:$W,$L$2)</f>
        <v>74.930000000000007</v>
      </c>
      <c r="M340" s="525"/>
      <c r="N340" s="551">
        <f t="shared" si="72"/>
        <v>-127.19519543402777</v>
      </c>
      <c r="O340" s="525"/>
      <c r="P340" s="504"/>
      <c r="Q340" s="528">
        <f>SUMIFS([6]BV_Data_An_Prec!$O:$O,[6]BV_Data_An_Prec!$U:$U,$B340,[6]BV_Data_An_Prec!$V:$V,$C340,[6]BV_Data_An_Prec!$W:$W,$L$2)</f>
        <v>146.4</v>
      </c>
      <c r="R340" s="525"/>
      <c r="S340" s="551">
        <f t="shared" si="73"/>
        <v>-71.47</v>
      </c>
      <c r="T340" s="504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  <c r="AE340" s="504"/>
      <c r="AF340" s="504"/>
      <c r="AG340" s="504"/>
      <c r="AH340" s="504"/>
      <c r="AI340" s="504"/>
      <c r="AJ340" s="504"/>
      <c r="AK340" s="504"/>
      <c r="AL340" s="504"/>
      <c r="AM340" s="504"/>
      <c r="AN340" s="504"/>
    </row>
    <row r="341" spans="1:40" ht="15.75" customHeight="1">
      <c r="A341" s="517" t="s">
        <v>434</v>
      </c>
      <c r="B341" s="504" t="s">
        <v>103</v>
      </c>
      <c r="C341" s="592" t="s">
        <v>60</v>
      </c>
      <c r="D341" s="577"/>
      <c r="E341" s="504"/>
      <c r="F341" s="526">
        <f t="array" ref="F341">+INDEX('[6]Budget original'!$A$2:$AO$500,MATCH($A341,'[6]Budget original'!$A$2:$A$500,0),MATCH(F$2,'[6]Budget original'!$A$2:$AO$2,0))</f>
        <v>96.675229565972202</v>
      </c>
      <c r="G341" s="578"/>
      <c r="H341" s="504"/>
      <c r="I341" s="526"/>
      <c r="J341" s="525"/>
      <c r="K341" s="504"/>
      <c r="L341" s="528">
        <f>SUMIFS([6]BV_Data_An_Cour!$O:$O,[6]BV_Data_An_Cour!$U:$U,$B341,[6]BV_Data_An_Cour!$V:$V,$C341,[6]BV_Data_An_Cour!$W:$W,$L$2)</f>
        <v>814.78</v>
      </c>
      <c r="M341" s="525"/>
      <c r="N341" s="551">
        <f t="shared" si="72"/>
        <v>718.10477043402773</v>
      </c>
      <c r="O341" s="525"/>
      <c r="P341" s="504"/>
      <c r="Q341" s="528">
        <f>SUMIFS([6]BV_Data_An_Prec!$O:$O,[6]BV_Data_An_Prec!$U:$U,$B341,[6]BV_Data_An_Prec!$V:$V,$C341,[6]BV_Data_An_Prec!$W:$W,$L$2)</f>
        <v>83.02</v>
      </c>
      <c r="R341" s="525"/>
      <c r="S341" s="551">
        <f t="shared" si="73"/>
        <v>731.76</v>
      </c>
      <c r="T341" s="504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  <c r="AE341" s="504"/>
      <c r="AF341" s="504"/>
      <c r="AG341" s="504"/>
      <c r="AH341" s="504"/>
      <c r="AI341" s="504"/>
      <c r="AJ341" s="504"/>
      <c r="AK341" s="504"/>
      <c r="AL341" s="504"/>
      <c r="AM341" s="504"/>
      <c r="AN341" s="504"/>
    </row>
    <row r="342" spans="1:40" ht="15.75" customHeight="1">
      <c r="A342" s="517" t="s">
        <v>435</v>
      </c>
      <c r="B342" s="504" t="s">
        <v>103</v>
      </c>
      <c r="C342" s="592" t="s">
        <v>61</v>
      </c>
      <c r="D342" s="577"/>
      <c r="E342" s="504"/>
      <c r="F342" s="526">
        <f t="array" ref="F342">+INDEX('[6]Budget original'!$A$2:$AO$500,MATCH($A342,'[6]Budget original'!$A$2:$A$500,0),MATCH(F$2,'[6]Budget original'!$A$2:$AO$2,0))</f>
        <v>367.32997112847221</v>
      </c>
      <c r="G342" s="578"/>
      <c r="H342" s="504"/>
      <c r="I342" s="526"/>
      <c r="J342" s="525"/>
      <c r="K342" s="504"/>
      <c r="L342" s="528">
        <f>SUMIFS([6]BV_Data_An_Cour!$O:$O,[6]BV_Data_An_Cour!$U:$U,$B342,[6]BV_Data_An_Cour!$V:$V,$C342,[6]BV_Data_An_Cour!$W:$W,$L$2)</f>
        <v>86.99</v>
      </c>
      <c r="M342" s="525"/>
      <c r="N342" s="551">
        <f t="shared" si="72"/>
        <v>-280.3399711284722</v>
      </c>
      <c r="O342" s="525"/>
      <c r="P342" s="504"/>
      <c r="Q342" s="528">
        <f>SUMIFS([6]BV_Data_An_Prec!$O:$O,[6]BV_Data_An_Prec!$U:$U,$B342,[6]BV_Data_An_Prec!$V:$V,$C342,[6]BV_Data_An_Prec!$W:$W,$L$2)</f>
        <v>186.16</v>
      </c>
      <c r="R342" s="525"/>
      <c r="S342" s="551">
        <f t="shared" si="73"/>
        <v>-99.17</v>
      </c>
      <c r="T342" s="504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  <c r="AE342" s="504"/>
      <c r="AF342" s="504"/>
      <c r="AG342" s="504"/>
      <c r="AH342" s="504"/>
      <c r="AI342" s="504"/>
      <c r="AJ342" s="504"/>
      <c r="AK342" s="504"/>
      <c r="AL342" s="504"/>
      <c r="AM342" s="504"/>
      <c r="AN342" s="504"/>
    </row>
    <row r="343" spans="1:40" ht="15.75" customHeight="1">
      <c r="A343" s="517" t="s">
        <v>436</v>
      </c>
      <c r="B343" s="504" t="s">
        <v>103</v>
      </c>
      <c r="C343" s="592" t="s">
        <v>62</v>
      </c>
      <c r="D343" s="577"/>
      <c r="E343" s="504"/>
      <c r="F343" s="526">
        <f t="array" ref="F343">+INDEX('[6]Budget original'!$A$2:$AO$500,MATCH($A343,'[6]Budget original'!$A$2:$A$500,0),MATCH(F$2,'[6]Budget original'!$A$2:$AO$2,0))</f>
        <v>528.75209894982299</v>
      </c>
      <c r="G343" s="578"/>
      <c r="H343" s="504"/>
      <c r="I343" s="526"/>
      <c r="J343" s="525"/>
      <c r="K343" s="504"/>
      <c r="L343" s="528">
        <f>SUMIFS([6]BV_Data_An_Cour!$O:$O,[6]BV_Data_An_Cour!$U:$U,$B343,[6]BV_Data_An_Cour!$V:$V,$C343,[6]BV_Data_An_Cour!$W:$W,$L$2)</f>
        <v>-486.8</v>
      </c>
      <c r="M343" s="525"/>
      <c r="N343" s="551">
        <f t="shared" si="72"/>
        <v>-1015.5520989498229</v>
      </c>
      <c r="O343" s="525"/>
      <c r="P343" s="504"/>
      <c r="Q343" s="528">
        <f>SUMIFS([6]BV_Data_An_Prec!$O:$O,[6]BV_Data_An_Prec!$U:$U,$B343,[6]BV_Data_An_Prec!$V:$V,$C343,[6]BV_Data_An_Prec!$W:$W,$L$2)</f>
        <v>395.32</v>
      </c>
      <c r="R343" s="525"/>
      <c r="S343" s="551">
        <f t="shared" si="73"/>
        <v>-882.12</v>
      </c>
      <c r="T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4"/>
      <c r="AJ343" s="504"/>
      <c r="AK343" s="504"/>
      <c r="AL343" s="504"/>
      <c r="AM343" s="504"/>
      <c r="AN343" s="504"/>
    </row>
    <row r="344" spans="1:40" ht="15.75" customHeight="1">
      <c r="A344" s="517" t="s">
        <v>437</v>
      </c>
      <c r="B344" s="504" t="s">
        <v>103</v>
      </c>
      <c r="C344" s="592" t="s">
        <v>63</v>
      </c>
      <c r="D344" s="577"/>
      <c r="E344" s="504"/>
      <c r="F344" s="526">
        <f t="array" ref="F344">+INDEX('[6]Budget original'!$A$2:$AO$500,MATCH($A344,'[6]Budget original'!$A$2:$A$500,0),MATCH(F$2,'[6]Budget original'!$A$2:$AO$2,0))</f>
        <v>1039.7349284273771</v>
      </c>
      <c r="G344" s="578"/>
      <c r="H344" s="504"/>
      <c r="I344" s="526"/>
      <c r="J344" s="525"/>
      <c r="K344" s="504"/>
      <c r="L344" s="528">
        <f>SUMIFS([6]BV_Data_An_Cour!$O:$O,[6]BV_Data_An_Cour!$U:$U,$B344,[6]BV_Data_An_Cour!$V:$V,$C344,[6]BV_Data_An_Cour!$W:$W,$L$2)</f>
        <v>1572.05</v>
      </c>
      <c r="M344" s="525"/>
      <c r="N344" s="551">
        <f t="shared" si="72"/>
        <v>532.31507157262286</v>
      </c>
      <c r="O344" s="525"/>
      <c r="P344" s="504"/>
      <c r="Q344" s="528">
        <f>AL447*W7</f>
        <v>1362.222</v>
      </c>
      <c r="R344" s="525"/>
      <c r="S344" s="551">
        <f t="shared" si="73"/>
        <v>209.82799999999997</v>
      </c>
      <c r="T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4"/>
      <c r="AJ344" s="504"/>
      <c r="AK344" s="504"/>
      <c r="AL344" s="504"/>
      <c r="AM344" s="504"/>
      <c r="AN344" s="504"/>
    </row>
    <row r="345" spans="1:40" ht="15.75" hidden="1" customHeight="1">
      <c r="A345" s="517" t="s">
        <v>404</v>
      </c>
      <c r="B345" s="504" t="s">
        <v>103</v>
      </c>
      <c r="C345" s="592" t="s">
        <v>20</v>
      </c>
      <c r="D345" s="577"/>
      <c r="E345" s="504"/>
      <c r="F345" s="526">
        <f t="array" ref="F345">+INDEX('[6]Budget original'!$A$2:$AO$500,MATCH($A345,'[6]Budget original'!$A$2:$A$500,0),MATCH(F$2,'[6]Budget original'!$A$2:$AO$2,0))</f>
        <v>0</v>
      </c>
      <c r="G345" s="578"/>
      <c r="H345" s="504"/>
      <c r="I345" s="526"/>
      <c r="J345" s="525"/>
      <c r="K345" s="504"/>
      <c r="L345" s="528">
        <f>SUMIFS([6]BV_Data_An_Cour!$O:$O,[6]BV_Data_An_Cour!$U:$U,$B345,[6]BV_Data_An_Cour!$V:$V,$C345,[6]BV_Data_An_Cour!$W:$W,$L$2)</f>
        <v>0</v>
      </c>
      <c r="M345" s="525"/>
      <c r="N345" s="551">
        <f t="shared" si="72"/>
        <v>0</v>
      </c>
      <c r="O345" s="525"/>
      <c r="P345" s="504"/>
      <c r="Q345" s="528">
        <f>SUMIFS([6]BV_Data_An_Prec!$O:$O,[6]BV_Data_An_Prec!$U:$U,$B345,[6]BV_Data_An_Prec!$V:$V,$C345,[6]BV_Data_An_Prec!$W:$W,$L$2)</f>
        <v>0</v>
      </c>
      <c r="R345" s="525"/>
      <c r="S345" s="551">
        <f t="shared" si="73"/>
        <v>0</v>
      </c>
      <c r="T345" s="504"/>
      <c r="X345" s="504"/>
      <c r="Y345" s="504"/>
      <c r="Z345" s="504"/>
      <c r="AA345" s="504"/>
      <c r="AB345" s="504"/>
      <c r="AC345" s="504"/>
      <c r="AD345" s="504"/>
      <c r="AE345" s="504"/>
      <c r="AF345" s="504"/>
      <c r="AG345" s="504"/>
      <c r="AH345" s="504"/>
      <c r="AI345" s="504"/>
      <c r="AJ345" s="504"/>
      <c r="AK345" s="504"/>
      <c r="AL345" s="504"/>
      <c r="AM345" s="504"/>
      <c r="AN345" s="504"/>
    </row>
    <row r="346" spans="1:40" ht="15.75" hidden="1" customHeight="1">
      <c r="A346" s="517" t="s">
        <v>404</v>
      </c>
      <c r="B346" s="504" t="s">
        <v>103</v>
      </c>
      <c r="C346" s="592" t="s">
        <v>20</v>
      </c>
      <c r="D346" s="577"/>
      <c r="E346" s="504"/>
      <c r="F346" s="526">
        <f t="array" ref="F346">+INDEX('[6]Budget original'!$A$2:$AO$500,MATCH($A346,'[6]Budget original'!$A$2:$A$500,0),MATCH(F$2,'[6]Budget original'!$A$2:$AO$2,0))</f>
        <v>0</v>
      </c>
      <c r="G346" s="578"/>
      <c r="H346" s="504"/>
      <c r="I346" s="526"/>
      <c r="J346" s="525"/>
      <c r="K346" s="504"/>
      <c r="L346" s="528">
        <f>SUMIFS([6]BV_Data_An_Cour!$O:$O,[6]BV_Data_An_Cour!$U:$U,$B346,[6]BV_Data_An_Cour!$V:$V,$C346,[6]BV_Data_An_Cour!$W:$W,$L$2)</f>
        <v>0</v>
      </c>
      <c r="M346" s="525"/>
      <c r="N346" s="551">
        <f t="shared" si="72"/>
        <v>0</v>
      </c>
      <c r="O346" s="525"/>
      <c r="P346" s="504"/>
      <c r="Q346" s="528">
        <f>SUMIFS([6]BV_Data_An_Prec!$O:$O,[6]BV_Data_An_Prec!$U:$U,$B346,[6]BV_Data_An_Prec!$V:$V,$C346,[6]BV_Data_An_Prec!$W:$W,$L$2)</f>
        <v>0</v>
      </c>
      <c r="R346" s="525"/>
      <c r="S346" s="551">
        <f t="shared" si="73"/>
        <v>0</v>
      </c>
      <c r="T346" s="504"/>
      <c r="X346" s="504"/>
      <c r="Y346" s="504"/>
      <c r="Z346" s="504"/>
      <c r="AA346" s="504"/>
      <c r="AB346" s="504"/>
      <c r="AC346" s="504"/>
      <c r="AD346" s="504"/>
      <c r="AE346" s="504"/>
      <c r="AF346" s="504"/>
      <c r="AG346" s="504"/>
      <c r="AH346" s="504"/>
      <c r="AI346" s="504"/>
      <c r="AJ346" s="504"/>
      <c r="AK346" s="504"/>
      <c r="AL346" s="504"/>
      <c r="AM346" s="504"/>
      <c r="AN346" s="504"/>
    </row>
    <row r="347" spans="1:40" ht="15.75" hidden="1" customHeight="1">
      <c r="A347" s="517" t="s">
        <v>404</v>
      </c>
      <c r="B347" s="504" t="s">
        <v>103</v>
      </c>
      <c r="C347" s="592" t="s">
        <v>20</v>
      </c>
      <c r="D347" s="577"/>
      <c r="E347" s="504"/>
      <c r="F347" s="526">
        <f t="array" ref="F347">+INDEX('[6]Budget original'!$A$2:$AO$500,MATCH($A347,'[6]Budget original'!$A$2:$A$500,0),MATCH(F$2,'[6]Budget original'!$A$2:$AO$2,0))</f>
        <v>0</v>
      </c>
      <c r="G347" s="578"/>
      <c r="H347" s="504"/>
      <c r="I347" s="526"/>
      <c r="J347" s="525"/>
      <c r="K347" s="504"/>
      <c r="L347" s="528">
        <f>SUMIFS([6]BV_Data_An_Cour!$O:$O,[6]BV_Data_An_Cour!$U:$U,$B347,[6]BV_Data_An_Cour!$V:$V,$C347,[6]BV_Data_An_Cour!$W:$W,$L$2)</f>
        <v>0</v>
      </c>
      <c r="M347" s="525"/>
      <c r="N347" s="551">
        <f t="shared" si="72"/>
        <v>0</v>
      </c>
      <c r="O347" s="525"/>
      <c r="P347" s="504"/>
      <c r="Q347" s="528">
        <f>SUMIFS([6]BV_Data_An_Prec!$O:$O,[6]BV_Data_An_Prec!$U:$U,$B347,[6]BV_Data_An_Prec!$V:$V,$C347,[6]BV_Data_An_Prec!$W:$W,$L$2)</f>
        <v>0</v>
      </c>
      <c r="R347" s="525"/>
      <c r="S347" s="551">
        <f t="shared" si="73"/>
        <v>0</v>
      </c>
      <c r="T347" s="504"/>
      <c r="X347" s="504"/>
      <c r="Y347" s="504"/>
      <c r="Z347" s="504"/>
      <c r="AA347" s="504"/>
      <c r="AB347" s="504"/>
      <c r="AC347" s="504"/>
      <c r="AD347" s="504"/>
      <c r="AE347" s="504"/>
      <c r="AF347" s="504"/>
      <c r="AG347" s="504"/>
      <c r="AH347" s="504"/>
      <c r="AI347" s="504"/>
      <c r="AJ347" s="504"/>
      <c r="AK347" s="504"/>
      <c r="AL347" s="504"/>
      <c r="AM347" s="504"/>
      <c r="AN347" s="504"/>
    </row>
    <row r="348" spans="1:40" ht="15.75" customHeight="1">
      <c r="B348" s="498"/>
      <c r="C348" s="584" t="s">
        <v>64</v>
      </c>
      <c r="D348" s="585" t="s">
        <v>39</v>
      </c>
      <c r="E348" s="586">
        <f>F348/F$313</f>
        <v>0.17497112359892458</v>
      </c>
      <c r="F348" s="587">
        <f>+SUM(F330:F347)</f>
        <v>21542.281667856267</v>
      </c>
      <c r="G348" s="588"/>
      <c r="H348" s="586"/>
      <c r="I348" s="587"/>
      <c r="J348" s="588" t="s">
        <v>39</v>
      </c>
      <c r="K348" s="586">
        <f>L348/L$313</f>
        <v>0.31104236281192926</v>
      </c>
      <c r="L348" s="587">
        <f>+SUM(L330:L347)</f>
        <v>32431.65</v>
      </c>
      <c r="M348" s="591"/>
      <c r="N348" s="587">
        <f>+SUM(N330:N347)</f>
        <v>10889.368332143731</v>
      </c>
      <c r="O348" s="588" t="s">
        <v>39</v>
      </c>
      <c r="P348" s="586">
        <f>Q348/Q$313</f>
        <v>0.17344981503918719</v>
      </c>
      <c r="Q348" s="587">
        <f>+SUM(Q330:Q347)</f>
        <v>21983.092000000001</v>
      </c>
      <c r="R348" s="591"/>
      <c r="S348" s="587">
        <f>+SUM(S330:S347)</f>
        <v>10448.557999999999</v>
      </c>
      <c r="T348" s="504"/>
      <c r="X348" s="504"/>
      <c r="Y348" s="504"/>
      <c r="Z348" s="504"/>
      <c r="AA348" s="504"/>
      <c r="AB348" s="504"/>
      <c r="AC348" s="504"/>
      <c r="AD348" s="504"/>
      <c r="AE348" s="504"/>
      <c r="AF348" s="504"/>
      <c r="AG348" s="504"/>
      <c r="AH348" s="504"/>
      <c r="AI348" s="504"/>
      <c r="AJ348" s="504"/>
      <c r="AK348" s="504"/>
      <c r="AL348" s="504"/>
      <c r="AM348" s="504"/>
      <c r="AN348" s="504"/>
    </row>
    <row r="349" spans="1:40" ht="15.75" customHeight="1">
      <c r="B349" s="498"/>
      <c r="C349" s="518"/>
      <c r="D349" s="579"/>
      <c r="E349" s="598"/>
      <c r="F349" s="551"/>
      <c r="G349" s="580"/>
      <c r="H349" s="598"/>
      <c r="I349" s="551"/>
      <c r="J349" s="518"/>
      <c r="K349" s="598"/>
      <c r="L349" s="574"/>
      <c r="M349" s="518"/>
      <c r="N349" s="574"/>
      <c r="O349" s="518"/>
      <c r="P349" s="598"/>
      <c r="Q349" s="574"/>
      <c r="R349" s="518"/>
      <c r="S349" s="574"/>
      <c r="T349" s="504"/>
      <c r="U349" s="504"/>
      <c r="V349" s="504"/>
      <c r="W349" s="504"/>
      <c r="X349" s="504"/>
      <c r="Y349" s="504"/>
      <c r="Z349" s="504"/>
      <c r="AA349" s="504"/>
      <c r="AB349" s="504"/>
      <c r="AC349" s="504"/>
      <c r="AD349" s="504"/>
      <c r="AE349" s="504"/>
      <c r="AF349" s="504"/>
      <c r="AG349" s="504"/>
      <c r="AH349" s="504"/>
      <c r="AI349" s="504"/>
      <c r="AJ349" s="504"/>
      <c r="AK349" s="504"/>
      <c r="AL349" s="504"/>
      <c r="AM349" s="504"/>
      <c r="AN349" s="504"/>
    </row>
    <row r="350" spans="1:40" ht="15.75" customHeight="1">
      <c r="B350" s="498"/>
      <c r="C350" s="584" t="s">
        <v>65</v>
      </c>
      <c r="D350" s="585" t="s">
        <v>39</v>
      </c>
      <c r="E350" s="586">
        <f>F350/F$313</f>
        <v>0.55229099711546548</v>
      </c>
      <c r="F350" s="587">
        <f>F329+F348</f>
        <v>67997.552840517252</v>
      </c>
      <c r="G350" s="588"/>
      <c r="H350" s="586"/>
      <c r="I350" s="587"/>
      <c r="J350" s="588" t="s">
        <v>39</v>
      </c>
      <c r="K350" s="586">
        <f>L350/L$313</f>
        <v>0.76662239277904365</v>
      </c>
      <c r="L350" s="587">
        <f>L329+L348</f>
        <v>79933.899999999994</v>
      </c>
      <c r="M350" s="591"/>
      <c r="N350" s="600">
        <f>L350-F350</f>
        <v>11936.347159482742</v>
      </c>
      <c r="O350" s="588" t="s">
        <v>39</v>
      </c>
      <c r="P350" s="586">
        <f>Q350/Q$313</f>
        <v>0.52561687531895906</v>
      </c>
      <c r="Q350" s="587">
        <f>Q329+Q348</f>
        <v>66616.871999999988</v>
      </c>
      <c r="R350" s="591"/>
      <c r="S350" s="600">
        <f>L350-Q350</f>
        <v>13317.028000000006</v>
      </c>
      <c r="T350" s="504"/>
      <c r="U350" s="504"/>
      <c r="V350" s="504"/>
      <c r="W350" s="504"/>
      <c r="X350" s="504"/>
      <c r="Y350" s="504"/>
      <c r="Z350" s="504"/>
      <c r="AA350" s="504"/>
      <c r="AB350" s="504"/>
      <c r="AC350" s="504"/>
      <c r="AD350" s="504"/>
      <c r="AE350" s="504"/>
      <c r="AF350" s="504"/>
      <c r="AG350" s="504"/>
      <c r="AH350" s="504"/>
      <c r="AI350" s="504"/>
      <c r="AJ350" s="504"/>
      <c r="AK350" s="504"/>
      <c r="AL350" s="504"/>
      <c r="AM350" s="504"/>
      <c r="AN350" s="504"/>
    </row>
    <row r="351" spans="1:40" ht="15.75" customHeight="1">
      <c r="B351" s="498"/>
      <c r="C351" s="525"/>
      <c r="D351" s="577"/>
      <c r="E351" s="504"/>
      <c r="F351" s="551"/>
      <c r="G351" s="578"/>
      <c r="H351" s="504"/>
      <c r="I351" s="551"/>
      <c r="J351" s="525"/>
      <c r="K351" s="504"/>
      <c r="L351" s="551"/>
      <c r="M351" s="525"/>
      <c r="N351" s="551">
        <f>L351-F351</f>
        <v>0</v>
      </c>
      <c r="O351" s="525"/>
      <c r="P351" s="504"/>
      <c r="Q351" s="551"/>
      <c r="R351" s="525"/>
      <c r="S351" s="551"/>
      <c r="T351" s="504"/>
      <c r="U351" s="504"/>
      <c r="V351" s="504"/>
      <c r="W351" s="504"/>
      <c r="X351" s="504"/>
      <c r="Y351" s="504"/>
      <c r="Z351" s="504"/>
      <c r="AA351" s="504"/>
      <c r="AB351" s="504"/>
      <c r="AC351" s="504"/>
      <c r="AD351" s="504"/>
      <c r="AE351" s="504"/>
      <c r="AF351" s="504"/>
      <c r="AG351" s="504"/>
      <c r="AH351" s="504"/>
      <c r="AI351" s="504"/>
      <c r="AJ351" s="504"/>
      <c r="AK351" s="504"/>
      <c r="AL351" s="504"/>
      <c r="AM351" s="504"/>
      <c r="AN351" s="504"/>
    </row>
    <row r="352" spans="1:40" ht="24" customHeight="1" thickBot="1">
      <c r="B352" s="498"/>
      <c r="C352" s="614" t="s">
        <v>72</v>
      </c>
      <c r="D352" s="642"/>
      <c r="E352" s="615"/>
      <c r="F352" s="617">
        <f>F313-F350</f>
        <v>55121.515179165232</v>
      </c>
      <c r="G352" s="643"/>
      <c r="H352" s="615"/>
      <c r="I352" s="617"/>
      <c r="J352" s="614"/>
      <c r="K352" s="616"/>
      <c r="L352" s="617">
        <f>L313-L350</f>
        <v>24333.73000000001</v>
      </c>
      <c r="M352" s="614"/>
      <c r="N352" s="617">
        <f>L352-F352</f>
        <v>-30787.785179165221</v>
      </c>
      <c r="O352" s="614"/>
      <c r="P352" s="616"/>
      <c r="Q352" s="617">
        <f>Q313-Q350</f>
        <v>60123.488000000027</v>
      </c>
      <c r="R352" s="614"/>
      <c r="S352" s="617">
        <f>L352-Q352</f>
        <v>-35789.758000000016</v>
      </c>
      <c r="T352" s="504"/>
      <c r="U352" s="504"/>
      <c r="V352" s="504"/>
      <c r="W352" s="504"/>
      <c r="X352" s="504"/>
      <c r="Y352" s="504"/>
      <c r="Z352" s="504"/>
      <c r="AA352" s="504"/>
      <c r="AB352" s="504"/>
      <c r="AC352" s="504"/>
      <c r="AD352" s="504"/>
      <c r="AE352" s="504"/>
      <c r="AF352" s="504"/>
      <c r="AG352" s="504"/>
      <c r="AH352" s="504"/>
      <c r="AI352" s="504"/>
      <c r="AJ352" s="504"/>
      <c r="AK352" s="504"/>
      <c r="AL352" s="504"/>
      <c r="AM352" s="504"/>
      <c r="AN352" s="504"/>
    </row>
    <row r="353" spans="1:40" ht="15.75" customHeight="1" thickTop="1">
      <c r="B353" s="498"/>
      <c r="C353" s="564"/>
      <c r="D353" s="577"/>
      <c r="E353" s="504"/>
      <c r="F353" s="599"/>
      <c r="G353" s="577"/>
      <c r="H353" s="504"/>
      <c r="I353" s="599"/>
      <c r="J353" s="564"/>
      <c r="K353" s="564"/>
      <c r="L353" s="599"/>
      <c r="M353" s="564"/>
      <c r="N353" s="599"/>
      <c r="O353" s="564"/>
      <c r="P353" s="564"/>
      <c r="Q353" s="599"/>
      <c r="R353" s="564"/>
      <c r="S353" s="599"/>
      <c r="T353" s="504"/>
      <c r="U353" s="504"/>
      <c r="V353" s="504"/>
      <c r="W353" s="504"/>
      <c r="X353" s="504"/>
      <c r="Y353" s="504"/>
      <c r="Z353" s="504"/>
      <c r="AA353" s="504"/>
      <c r="AB353" s="504"/>
      <c r="AC353" s="504"/>
      <c r="AD353" s="504"/>
      <c r="AE353" s="504"/>
      <c r="AF353" s="504"/>
      <c r="AG353" s="504"/>
      <c r="AH353" s="504"/>
      <c r="AI353" s="504"/>
      <c r="AJ353" s="504"/>
      <c r="AK353" s="504"/>
      <c r="AL353" s="504"/>
      <c r="AM353" s="504"/>
      <c r="AN353" s="504"/>
    </row>
    <row r="354" spans="1:40" ht="15.75" hidden="1" customHeight="1">
      <c r="B354" s="498"/>
      <c r="C354" s="564"/>
      <c r="D354" s="577"/>
      <c r="E354" s="504"/>
      <c r="F354" s="599"/>
      <c r="G354" s="577"/>
      <c r="H354" s="504"/>
      <c r="I354" s="599"/>
      <c r="J354" s="564"/>
      <c r="K354" s="564"/>
      <c r="L354" s="599"/>
      <c r="M354" s="564"/>
      <c r="N354" s="599"/>
      <c r="O354" s="564"/>
      <c r="P354" s="564"/>
      <c r="Q354" s="599"/>
      <c r="R354" s="564"/>
      <c r="S354" s="599"/>
      <c r="T354" s="504"/>
      <c r="U354" s="504"/>
      <c r="V354" s="504"/>
      <c r="W354" s="504"/>
      <c r="X354" s="504"/>
      <c r="Y354" s="504"/>
      <c r="Z354" s="504"/>
      <c r="AA354" s="504"/>
      <c r="AB354" s="504"/>
      <c r="AC354" s="504"/>
      <c r="AD354" s="504"/>
      <c r="AE354" s="504"/>
      <c r="AF354" s="504"/>
      <c r="AG354" s="504"/>
      <c r="AH354" s="504"/>
      <c r="AI354" s="504"/>
      <c r="AJ354" s="504"/>
      <c r="AK354" s="504"/>
      <c r="AL354" s="504"/>
      <c r="AM354" s="504"/>
      <c r="AN354" s="504"/>
    </row>
    <row r="355" spans="1:40" ht="34.5" hidden="1" customHeight="1">
      <c r="B355" s="498"/>
      <c r="C355" s="622" t="str">
        <f>+C290</f>
        <v>Volks</v>
      </c>
      <c r="D355" s="492"/>
      <c r="E355" s="492"/>
      <c r="F355" s="492"/>
      <c r="G355" s="492"/>
      <c r="H355" s="490"/>
      <c r="I355" s="490"/>
      <c r="J355" s="490"/>
      <c r="K355" s="494" t="s">
        <v>119</v>
      </c>
      <c r="L355" s="492"/>
      <c r="M355" s="492"/>
      <c r="N355" s="490"/>
      <c r="O355" s="490"/>
      <c r="P355" s="492"/>
      <c r="Q355" s="490"/>
      <c r="R355" s="492"/>
      <c r="S355" s="623" t="str">
        <f>$S$1</f>
        <v>Réalisé, Juin 2023</v>
      </c>
      <c r="T355" s="501"/>
      <c r="U355" s="501"/>
      <c r="V355" s="504"/>
      <c r="W355" s="501"/>
      <c r="X355" s="501"/>
      <c r="Y355" s="501"/>
      <c r="Z355" s="501"/>
      <c r="AA355" s="501"/>
      <c r="AB355" s="501"/>
      <c r="AC355" s="501"/>
      <c r="AD355" s="501"/>
      <c r="AE355" s="501"/>
      <c r="AF355" s="501"/>
      <c r="AG355" s="501"/>
      <c r="AH355" s="501"/>
      <c r="AI355" s="501"/>
      <c r="AJ355" s="501"/>
      <c r="AK355" s="501"/>
      <c r="AL355" s="501"/>
      <c r="AM355" s="501"/>
      <c r="AN355" s="501"/>
    </row>
    <row r="356" spans="1:40" ht="15.75" hidden="1" customHeight="1">
      <c r="B356" s="498"/>
      <c r="C356" s="499"/>
      <c r="D356" s="501"/>
      <c r="E356" s="501"/>
      <c r="F356" s="501"/>
      <c r="G356" s="501"/>
      <c r="H356" s="501"/>
      <c r="I356" s="501"/>
      <c r="J356" s="501"/>
      <c r="K356" s="501"/>
      <c r="L356" s="501"/>
      <c r="M356" s="501"/>
      <c r="N356" s="501"/>
      <c r="O356" s="501"/>
      <c r="P356" s="501"/>
      <c r="Q356" s="501"/>
      <c r="R356" s="501"/>
      <c r="S356" s="501"/>
      <c r="T356" s="501"/>
      <c r="U356" s="501"/>
      <c r="V356" s="504"/>
      <c r="W356" s="501"/>
      <c r="X356" s="501"/>
      <c r="Y356" s="501"/>
      <c r="Z356" s="501"/>
      <c r="AA356" s="501"/>
      <c r="AB356" s="501"/>
      <c r="AC356" s="501"/>
      <c r="AD356" s="501"/>
      <c r="AE356" s="501"/>
      <c r="AF356" s="501"/>
      <c r="AG356" s="501"/>
      <c r="AH356" s="501"/>
      <c r="AI356" s="501"/>
      <c r="AJ356" s="501"/>
      <c r="AK356" s="501"/>
      <c r="AL356" s="501"/>
      <c r="AM356" s="501"/>
      <c r="AN356" s="501"/>
    </row>
    <row r="357" spans="1:40" ht="15.75" hidden="1" customHeight="1">
      <c r="B357" s="498"/>
      <c r="C357" s="505"/>
      <c r="D357" s="506" t="s">
        <v>5</v>
      </c>
      <c r="E357" s="507"/>
      <c r="F357" s="508"/>
      <c r="G357" s="509"/>
      <c r="H357" s="507"/>
      <c r="I357" s="508"/>
      <c r="J357" s="509" t="s">
        <v>7</v>
      </c>
      <c r="K357" s="507"/>
      <c r="L357" s="508"/>
      <c r="M357" s="509"/>
      <c r="N357" s="508"/>
      <c r="O357" s="506" t="s">
        <v>9</v>
      </c>
      <c r="P357" s="507"/>
      <c r="Q357" s="508"/>
      <c r="R357" s="509" t="s">
        <v>10</v>
      </c>
      <c r="S357" s="508"/>
      <c r="T357" s="501"/>
      <c r="U357" s="501"/>
      <c r="V357" s="504"/>
      <c r="W357" s="501"/>
      <c r="X357" s="501"/>
      <c r="Y357" s="501"/>
      <c r="Z357" s="501"/>
      <c r="AA357" s="501"/>
      <c r="AB357" s="501"/>
      <c r="AC357" s="501"/>
      <c r="AD357" s="501"/>
      <c r="AE357" s="501"/>
      <c r="AF357" s="501"/>
      <c r="AG357" s="501"/>
      <c r="AH357" s="501"/>
      <c r="AI357" s="501"/>
      <c r="AJ357" s="501"/>
      <c r="AK357" s="501"/>
      <c r="AL357" s="501"/>
      <c r="AM357" s="501"/>
      <c r="AN357" s="501"/>
    </row>
    <row r="358" spans="1:40" ht="15.75" hidden="1" customHeight="1">
      <c r="A358" s="517" t="s">
        <v>119</v>
      </c>
      <c r="B358" s="504" t="s">
        <v>119</v>
      </c>
      <c r="C358" s="525"/>
      <c r="D358" s="704" t="s">
        <v>84</v>
      </c>
      <c r="E358" s="704" t="s">
        <v>104</v>
      </c>
      <c r="F358" s="705" t="s">
        <v>13</v>
      </c>
      <c r="G358" s="706"/>
      <c r="H358" s="704"/>
      <c r="I358" s="705"/>
      <c r="J358" s="646" t="s">
        <v>84</v>
      </c>
      <c r="K358" s="567" t="s">
        <v>104</v>
      </c>
      <c r="L358" s="645" t="s">
        <v>13</v>
      </c>
      <c r="M358" s="646"/>
      <c r="N358" s="645"/>
      <c r="O358" s="646" t="s">
        <v>84</v>
      </c>
      <c r="P358" s="567" t="s">
        <v>104</v>
      </c>
      <c r="Q358" s="645" t="s">
        <v>13</v>
      </c>
      <c r="R358" s="646" t="s">
        <v>85</v>
      </c>
      <c r="S358" s="645" t="s">
        <v>13</v>
      </c>
      <c r="T358" s="501"/>
      <c r="U358" s="501"/>
      <c r="V358" s="504"/>
      <c r="W358" s="501"/>
      <c r="X358" s="501"/>
      <c r="Y358" s="501"/>
      <c r="Z358" s="501"/>
      <c r="AA358" s="501"/>
      <c r="AB358" s="501"/>
      <c r="AC358" s="501"/>
      <c r="AD358" s="501"/>
      <c r="AE358" s="501"/>
      <c r="AF358" s="501"/>
      <c r="AG358" s="501"/>
      <c r="AH358" s="501"/>
      <c r="AI358" s="501"/>
      <c r="AJ358" s="501"/>
      <c r="AK358" s="501"/>
      <c r="AL358" s="501"/>
      <c r="AM358" s="501"/>
      <c r="AN358" s="501"/>
    </row>
    <row r="359" spans="1:40" ht="15.75" hidden="1" customHeight="1">
      <c r="A359" s="517" t="s">
        <v>438</v>
      </c>
      <c r="B359" s="504" t="s">
        <v>119</v>
      </c>
      <c r="C359" s="553" t="s">
        <v>119</v>
      </c>
      <c r="D359" s="707">
        <f t="array" ref="D359">+INDEX('[6]Budget original'!$A$2:$AO$500,MATCH($A359,'[6]Budget original'!$A$2:$A$500,0),MATCH(D$2,'[6]Budget original'!$A$2:$AO$2,0))</f>
        <v>0</v>
      </c>
      <c r="E359" s="708">
        <f>IFERROR(F359/D359,0)</f>
        <v>0</v>
      </c>
      <c r="F359" s="709">
        <f t="array" ref="F359">+INDEX('[6]Budget original'!$A$2:$AO$500,MATCH($A359,'[6]Budget original'!$A$2:$A$500,0),MATCH(F$2,'[6]Budget original'!$A$2:$AO$2,0))</f>
        <v>0</v>
      </c>
      <c r="G359" s="707"/>
      <c r="H359" s="708"/>
      <c r="I359" s="707"/>
      <c r="J359" s="710">
        <f>-SUMIFS([6]BV_Data_An_Cour!$O:$O,[6]BV_Data_An_Cour!$X:$X,"Oui",[6]BV_Data_An_Cour!$U:$U,$B359,[6]BV_Data_An_Cour!$V:$V,$C359)</f>
        <v>0</v>
      </c>
      <c r="K359" s="695">
        <f>IF(J359&lt;=0,0,L359/J359)</f>
        <v>0</v>
      </c>
      <c r="L359" s="711">
        <f>-SUMIFS([6]BV_Data_An_Cour!$O:$O,[6]BV_Data_An_Cour!$X:$X,"Oui",[6]BV_Data_An_Cour!$U:$U,$B359,[6]BV_Data_An_Cour!$V:$V,$C359)</f>
        <v>0</v>
      </c>
      <c r="M359" s="696"/>
      <c r="N359" s="697"/>
      <c r="O359" s="710">
        <f>-SUMIFS([6]BV_Data_An_Prec!$O:$O,[6]BV_Data_An_Prec!$X:$X,"Oui",[6]BV_Data_An_Prec!$U:$U,$B359,[6]BV_Data_An_Prec!$V:$V,$C359)</f>
        <v>0</v>
      </c>
      <c r="P359" s="695">
        <f>IF(O359&lt;=0,0,Q359/O359)</f>
        <v>0</v>
      </c>
      <c r="Q359" s="711">
        <f>-SUMIFS([6]BV_Data_An_Prec!$O:$O,[6]BV_Data_An_Prec!$X:$X,"Oui",[6]BV_Data_An_Prec!$U:$U,$B359,[6]BV_Data_An_Prec!$V:$V,$C359)</f>
        <v>0</v>
      </c>
      <c r="R359" s="696">
        <f>IF(O359=0,0,(J359-O359)/O359)</f>
        <v>0</v>
      </c>
      <c r="S359" s="697">
        <f>L359-Q359</f>
        <v>0</v>
      </c>
      <c r="T359" s="501"/>
      <c r="U359" s="501"/>
      <c r="V359" s="712"/>
      <c r="W359" s="501"/>
      <c r="X359" s="501"/>
      <c r="Y359" s="501"/>
      <c r="Z359" s="501"/>
      <c r="AA359" s="501"/>
      <c r="AB359" s="501"/>
      <c r="AC359" s="501"/>
      <c r="AD359" s="501"/>
      <c r="AE359" s="501"/>
      <c r="AF359" s="501"/>
      <c r="AG359" s="501"/>
      <c r="AH359" s="501"/>
      <c r="AI359" s="501"/>
      <c r="AJ359" s="501"/>
      <c r="AK359" s="501"/>
      <c r="AL359" s="501"/>
      <c r="AM359" s="501"/>
      <c r="AN359" s="501"/>
    </row>
    <row r="360" spans="1:40" ht="15.75" hidden="1" customHeight="1">
      <c r="A360" s="517" t="s">
        <v>119</v>
      </c>
      <c r="B360" s="504" t="s">
        <v>119</v>
      </c>
      <c r="C360" s="614"/>
      <c r="D360" s="698"/>
      <c r="E360" s="699"/>
      <c r="F360" s="617"/>
      <c r="G360" s="700"/>
      <c r="H360" s="699"/>
      <c r="I360" s="617"/>
      <c r="J360" s="700"/>
      <c r="K360" s="699"/>
      <c r="L360" s="617"/>
      <c r="M360" s="702"/>
      <c r="N360" s="563"/>
      <c r="O360" s="700"/>
      <c r="P360" s="699"/>
      <c r="Q360" s="617"/>
      <c r="R360" s="702"/>
      <c r="S360" s="563"/>
      <c r="T360" s="501"/>
      <c r="U360" s="501"/>
      <c r="V360" s="504"/>
      <c r="W360" s="501"/>
      <c r="X360" s="501"/>
      <c r="Y360" s="501"/>
      <c r="Z360" s="501"/>
      <c r="AA360" s="501"/>
      <c r="AB360" s="501"/>
      <c r="AC360" s="501"/>
      <c r="AD360" s="501"/>
      <c r="AE360" s="501"/>
      <c r="AF360" s="501"/>
      <c r="AG360" s="501"/>
      <c r="AH360" s="501"/>
      <c r="AI360" s="501"/>
      <c r="AJ360" s="501"/>
      <c r="AK360" s="501"/>
      <c r="AL360" s="501"/>
      <c r="AM360" s="501"/>
      <c r="AN360" s="501"/>
    </row>
    <row r="361" spans="1:40" ht="15.75" hidden="1" customHeight="1">
      <c r="A361" s="517" t="s">
        <v>439</v>
      </c>
      <c r="B361" s="504" t="s">
        <v>119</v>
      </c>
      <c r="C361" s="544" t="s">
        <v>120</v>
      </c>
      <c r="D361" s="599">
        <f>+D359</f>
        <v>0</v>
      </c>
      <c r="E361" s="657">
        <f>IF(D361&lt;=0,0,F361/D361)</f>
        <v>0</v>
      </c>
      <c r="F361" s="659">
        <f t="shared" ref="F361" si="74">+F359</f>
        <v>0</v>
      </c>
      <c r="G361" s="658"/>
      <c r="H361" s="657"/>
      <c r="I361" s="659"/>
      <c r="J361" s="658">
        <f t="shared" ref="J361" si="75">+J359</f>
        <v>0</v>
      </c>
      <c r="K361" s="657">
        <f>IF(J361&lt;=0,0,L361/J361)</f>
        <v>0</v>
      </c>
      <c r="L361" s="659">
        <f>+L359</f>
        <v>0</v>
      </c>
      <c r="M361" s="635"/>
      <c r="N361" s="713"/>
      <c r="O361" s="658">
        <f>+O359</f>
        <v>0</v>
      </c>
      <c r="P361" s="657">
        <f>IF(O361&lt;=0,0,Q361/O361)</f>
        <v>0</v>
      </c>
      <c r="Q361" s="659">
        <f>+Q359</f>
        <v>0</v>
      </c>
      <c r="R361" s="525">
        <f>IF(O361=0,0,(J361-O361)/O361)</f>
        <v>0</v>
      </c>
      <c r="S361" s="543">
        <f>L361-Q361</f>
        <v>0</v>
      </c>
      <c r="T361" s="501"/>
      <c r="U361" s="501"/>
      <c r="V361" s="504"/>
      <c r="W361" s="501"/>
      <c r="X361" s="501"/>
      <c r="Y361" s="501"/>
      <c r="Z361" s="501"/>
      <c r="AA361" s="501"/>
      <c r="AB361" s="501"/>
      <c r="AC361" s="501"/>
      <c r="AD361" s="501"/>
      <c r="AE361" s="501"/>
      <c r="AF361" s="501"/>
      <c r="AG361" s="501"/>
      <c r="AH361" s="501"/>
      <c r="AI361" s="501"/>
      <c r="AJ361" s="501"/>
      <c r="AK361" s="501"/>
      <c r="AL361" s="501"/>
      <c r="AM361" s="501"/>
      <c r="AN361" s="501"/>
    </row>
    <row r="362" spans="1:40" ht="15.75" hidden="1" customHeight="1">
      <c r="A362" s="517" t="s">
        <v>119</v>
      </c>
      <c r="B362" s="504" t="s">
        <v>119</v>
      </c>
      <c r="C362" s="566"/>
      <c r="D362" s="504"/>
      <c r="E362" s="504"/>
      <c r="F362" s="551"/>
      <c r="G362" s="525"/>
      <c r="H362" s="504"/>
      <c r="I362" s="551"/>
      <c r="J362" s="525"/>
      <c r="K362" s="504"/>
      <c r="L362" s="535"/>
      <c r="M362" s="525"/>
      <c r="N362" s="647"/>
      <c r="O362" s="525"/>
      <c r="P362" s="504"/>
      <c r="Q362" s="535"/>
      <c r="R362" s="525"/>
      <c r="S362" s="535">
        <f>IF(Q361=0,0,S361/Q361)</f>
        <v>0</v>
      </c>
      <c r="T362" s="501"/>
      <c r="U362" s="501"/>
      <c r="V362" s="504"/>
      <c r="W362" s="501"/>
      <c r="X362" s="501"/>
      <c r="Y362" s="501"/>
      <c r="Z362" s="501"/>
      <c r="AA362" s="501"/>
      <c r="AB362" s="501"/>
      <c r="AC362" s="501"/>
      <c r="AD362" s="501"/>
      <c r="AE362" s="501"/>
      <c r="AF362" s="501"/>
      <c r="AG362" s="501"/>
      <c r="AH362" s="501"/>
      <c r="AI362" s="501"/>
      <c r="AJ362" s="501"/>
      <c r="AK362" s="501"/>
      <c r="AL362" s="501"/>
      <c r="AM362" s="501"/>
      <c r="AN362" s="501"/>
    </row>
    <row r="363" spans="1:40" ht="15.75" hidden="1" customHeight="1">
      <c r="A363" s="517" t="s">
        <v>440</v>
      </c>
      <c r="B363" s="504" t="s">
        <v>119</v>
      </c>
      <c r="C363" s="566" t="s">
        <v>30</v>
      </c>
      <c r="D363" s="504"/>
      <c r="E363" s="504"/>
      <c r="F363" s="551"/>
      <c r="G363" s="525"/>
      <c r="H363" s="504"/>
      <c r="I363" s="551"/>
      <c r="J363" s="525"/>
      <c r="K363" s="504"/>
      <c r="L363" s="535"/>
      <c r="M363" s="525"/>
      <c r="N363" s="535"/>
      <c r="O363" s="525"/>
      <c r="P363" s="504"/>
      <c r="Q363" s="535"/>
      <c r="R363" s="525"/>
      <c r="S363" s="535"/>
      <c r="T363" s="501"/>
      <c r="U363" s="501"/>
      <c r="V363" s="504"/>
      <c r="W363" s="501"/>
      <c r="X363" s="501"/>
      <c r="Y363" s="501"/>
      <c r="Z363" s="501"/>
      <c r="AA363" s="501"/>
      <c r="AB363" s="501"/>
      <c r="AC363" s="501"/>
      <c r="AD363" s="501"/>
      <c r="AE363" s="501"/>
      <c r="AF363" s="501"/>
      <c r="AG363" s="501"/>
      <c r="AH363" s="501"/>
      <c r="AI363" s="501"/>
      <c r="AJ363" s="501"/>
      <c r="AK363" s="501"/>
      <c r="AL363" s="501"/>
      <c r="AM363" s="501"/>
      <c r="AN363" s="501"/>
    </row>
    <row r="364" spans="1:40" ht="15.75" hidden="1" customHeight="1">
      <c r="A364" s="517" t="s">
        <v>441</v>
      </c>
      <c r="B364" s="504" t="s">
        <v>119</v>
      </c>
      <c r="C364" s="592" t="s">
        <v>41</v>
      </c>
      <c r="D364" s="504"/>
      <c r="E364" s="504"/>
      <c r="F364" s="526">
        <f t="array" ref="F364">+INDEX('[6]Budget original'!$A$2:$AO$500,MATCH($A364,'[6]Budget original'!$A$2:$A$500,0),MATCH(F$2,'[6]Budget original'!$A$2:$AO$2,0))</f>
        <v>0</v>
      </c>
      <c r="G364" s="525"/>
      <c r="H364" s="504"/>
      <c r="I364" s="526"/>
      <c r="J364" s="525"/>
      <c r="K364" s="504"/>
      <c r="L364" s="528">
        <f>-SUMIFS([6]BV_Data_An_Cour!$O:$O,[6]BV_Data_An_Cour!$U:$U,$B364,[6]BV_Data_An_Cour!$V:$V,$C364,[6]BV_Data_An_Cour!$W:$W,$L$2)</f>
        <v>0</v>
      </c>
      <c r="M364" s="525"/>
      <c r="N364" s="535"/>
      <c r="O364" s="525"/>
      <c r="P364" s="504"/>
      <c r="Q364" s="528">
        <f>-SUMIFS([6]BV_Data_An_Prec!$O:$O,[6]BV_Data_An_Prec!$U:$U,$B364,[6]BV_Data_An_Prec!$V:$V,$C364,[6]BV_Data_An_Prec!$W:$W,$L$2)</f>
        <v>0</v>
      </c>
      <c r="R364" s="525"/>
      <c r="S364" s="528">
        <f t="shared" ref="S364:S393" si="76">L364-Q364</f>
        <v>0</v>
      </c>
      <c r="T364" s="501"/>
      <c r="U364" s="501"/>
      <c r="V364" s="504"/>
      <c r="W364" s="501"/>
      <c r="X364" s="501"/>
      <c r="Y364" s="501"/>
      <c r="Z364" s="501"/>
      <c r="AA364" s="501"/>
      <c r="AB364" s="501"/>
      <c r="AC364" s="501"/>
      <c r="AD364" s="501"/>
      <c r="AE364" s="501"/>
      <c r="AF364" s="501"/>
      <c r="AG364" s="501"/>
      <c r="AH364" s="501"/>
      <c r="AI364" s="501"/>
      <c r="AJ364" s="501"/>
      <c r="AK364" s="501"/>
      <c r="AL364" s="501"/>
      <c r="AM364" s="501"/>
      <c r="AN364" s="501"/>
    </row>
    <row r="365" spans="1:40" ht="15.75" hidden="1" customHeight="1">
      <c r="A365" s="517" t="s">
        <v>442</v>
      </c>
      <c r="B365" s="504" t="s">
        <v>119</v>
      </c>
      <c r="C365" s="593" t="s">
        <v>42</v>
      </c>
      <c r="D365" s="577"/>
      <c r="E365" s="504"/>
      <c r="F365" s="520">
        <f t="array" ref="F365">+INDEX('[6]Budget original'!$A$2:$AO$500,MATCH($A365,'[6]Budget original'!$A$2:$A$500,0),MATCH(F$2,'[6]Budget original'!$A$2:$AO$2,0))</f>
        <v>0</v>
      </c>
      <c r="G365" s="578"/>
      <c r="H365" s="504"/>
      <c r="I365" s="520"/>
      <c r="J365" s="525"/>
      <c r="K365" s="504"/>
      <c r="L365" s="520">
        <f>-SUMIFS([6]BV_Data_An_Cour!$O:$O,[6]BV_Data_An_Cour!$U:$U,$B365,[6]BV_Data_An_Cour!$V:$V,$C365,[6]BV_Data_An_Cour!$W:$W,$L$2)</f>
        <v>0</v>
      </c>
      <c r="M365" s="525"/>
      <c r="N365" s="551"/>
      <c r="O365" s="525"/>
      <c r="P365" s="504"/>
      <c r="Q365" s="520">
        <f>-SUMIFS([6]BV_Data_An_Prec!$O:$O,[6]BV_Data_An_Prec!$U:$U,$B365,[6]BV_Data_An_Prec!$V:$V,$C365,[6]BV_Data_An_Prec!$W:$W,$L$2)</f>
        <v>0</v>
      </c>
      <c r="R365" s="525"/>
      <c r="S365" s="551">
        <f t="shared" si="76"/>
        <v>0</v>
      </c>
      <c r="T365" s="501"/>
      <c r="U365" s="501"/>
      <c r="V365" s="504"/>
      <c r="W365" s="501"/>
      <c r="X365" s="501"/>
      <c r="Y365" s="501"/>
      <c r="Z365" s="501"/>
      <c r="AA365" s="501"/>
      <c r="AB365" s="501"/>
      <c r="AC365" s="501"/>
      <c r="AD365" s="501"/>
      <c r="AE365" s="501"/>
      <c r="AF365" s="501"/>
      <c r="AG365" s="501"/>
      <c r="AH365" s="501"/>
      <c r="AI365" s="501"/>
      <c r="AJ365" s="501"/>
      <c r="AK365" s="501"/>
      <c r="AL365" s="501"/>
      <c r="AM365" s="501"/>
      <c r="AN365" s="501"/>
    </row>
    <row r="366" spans="1:40" ht="15.75" hidden="1" customHeight="1">
      <c r="A366" s="517" t="s">
        <v>443</v>
      </c>
      <c r="B366" s="504" t="s">
        <v>119</v>
      </c>
      <c r="C366" s="592" t="s">
        <v>43</v>
      </c>
      <c r="D366" s="594"/>
      <c r="E366" s="595"/>
      <c r="F366" s="526">
        <f t="array" ref="F366">+INDEX('[6]Budget original'!$A$2:$AO$500,MATCH($A366,'[6]Budget original'!$A$2:$A$500,0),MATCH(F$2,'[6]Budget original'!$A$2:$AO$2,0))</f>
        <v>0</v>
      </c>
      <c r="G366" s="596"/>
      <c r="H366" s="595"/>
      <c r="I366" s="526"/>
      <c r="J366" s="512"/>
      <c r="K366" s="595"/>
      <c r="L366" s="528">
        <f>-SUMIFS([6]BV_Data_An_Cour!$O:$O,[6]BV_Data_An_Cour!$U:$U,$B366,[6]BV_Data_An_Cour!$V:$V,$C366,[6]BV_Data_An_Cour!$W:$W,$L$2)</f>
        <v>0</v>
      </c>
      <c r="M366" s="512"/>
      <c r="N366" s="597"/>
      <c r="O366" s="512"/>
      <c r="P366" s="595"/>
      <c r="Q366" s="528">
        <f>-SUMIFS([6]BV_Data_An_Prec!$O:$O,[6]BV_Data_An_Prec!$U:$U,$B366,[6]BV_Data_An_Prec!$V:$V,$C366,[6]BV_Data_An_Prec!$W:$W,$L$2)</f>
        <v>0</v>
      </c>
      <c r="R366" s="512"/>
      <c r="S366" s="597">
        <f t="shared" si="76"/>
        <v>0</v>
      </c>
      <c r="T366" s="501"/>
      <c r="U366" s="501"/>
      <c r="V366" s="504"/>
      <c r="W366" s="501"/>
      <c r="X366" s="501"/>
      <c r="Y366" s="501"/>
      <c r="Z366" s="501"/>
      <c r="AA366" s="501"/>
      <c r="AB366" s="501"/>
      <c r="AC366" s="501"/>
      <c r="AD366" s="501"/>
      <c r="AE366" s="501"/>
      <c r="AF366" s="501"/>
      <c r="AG366" s="501"/>
      <c r="AH366" s="501"/>
      <c r="AI366" s="501"/>
      <c r="AJ366" s="501"/>
      <c r="AK366" s="501"/>
      <c r="AL366" s="501"/>
      <c r="AM366" s="501"/>
      <c r="AN366" s="501"/>
    </row>
    <row r="367" spans="1:40" ht="15.75" hidden="1" customHeight="1">
      <c r="A367" s="517" t="s">
        <v>444</v>
      </c>
      <c r="B367" s="504" t="s">
        <v>119</v>
      </c>
      <c r="C367" s="592" t="s">
        <v>44</v>
      </c>
      <c r="D367" s="577"/>
      <c r="E367" s="504"/>
      <c r="F367" s="526">
        <f t="array" ref="F367">+INDEX('[6]Budget original'!$A$2:$AO$500,MATCH($A367,'[6]Budget original'!$A$2:$A$500,0),MATCH(F$2,'[6]Budget original'!$A$2:$AO$2,0))</f>
        <v>0</v>
      </c>
      <c r="G367" s="578"/>
      <c r="H367" s="504"/>
      <c r="I367" s="526"/>
      <c r="J367" s="525"/>
      <c r="K367" s="504"/>
      <c r="L367" s="528">
        <f>-SUMIFS([6]BV_Data_An_Cour!$O:$O,[6]BV_Data_An_Cour!$U:$U,$B367,[6]BV_Data_An_Cour!$V:$V,$C367,[6]BV_Data_An_Cour!$W:$W,$L$2)</f>
        <v>0</v>
      </c>
      <c r="M367" s="525"/>
      <c r="N367" s="551"/>
      <c r="O367" s="525"/>
      <c r="P367" s="504"/>
      <c r="Q367" s="528">
        <f>-SUMIFS([6]BV_Data_An_Prec!$O:$O,[6]BV_Data_An_Prec!$U:$U,$B367,[6]BV_Data_An_Prec!$V:$V,$C367,[6]BV_Data_An_Prec!$W:$W,$L$2)</f>
        <v>0</v>
      </c>
      <c r="R367" s="525"/>
      <c r="S367" s="551">
        <f t="shared" si="76"/>
        <v>0</v>
      </c>
      <c r="T367" s="501"/>
      <c r="U367" s="501"/>
      <c r="V367" s="504"/>
      <c r="W367" s="501"/>
      <c r="X367" s="501"/>
      <c r="Y367" s="501"/>
      <c r="Z367" s="501"/>
      <c r="AA367" s="501"/>
      <c r="AB367" s="501"/>
      <c r="AC367" s="501"/>
      <c r="AD367" s="501"/>
      <c r="AE367" s="501"/>
      <c r="AF367" s="501"/>
      <c r="AG367" s="501"/>
      <c r="AH367" s="501"/>
      <c r="AI367" s="501"/>
      <c r="AJ367" s="501"/>
      <c r="AK367" s="501"/>
      <c r="AL367" s="501"/>
      <c r="AM367" s="501"/>
      <c r="AN367" s="501"/>
    </row>
    <row r="368" spans="1:40" ht="15.75" hidden="1" customHeight="1">
      <c r="A368" s="517" t="s">
        <v>445</v>
      </c>
      <c r="B368" s="504" t="s">
        <v>119</v>
      </c>
      <c r="C368" s="525" t="s">
        <v>20</v>
      </c>
      <c r="D368" s="577"/>
      <c r="E368" s="504"/>
      <c r="F368" s="526">
        <f t="array" ref="F368">+INDEX('[6]Budget original'!$A$2:$AO$500,MATCH($A368,'[6]Budget original'!$A$2:$A$500,0),MATCH(F$2,'[6]Budget original'!$A$2:$AO$2,0))</f>
        <v>0</v>
      </c>
      <c r="G368" s="578"/>
      <c r="H368" s="504"/>
      <c r="I368" s="526"/>
      <c r="J368" s="525"/>
      <c r="K368" s="504"/>
      <c r="L368" s="528">
        <f>-SUMIFS([6]BV_Data_An_Cour!$O:$O,[6]BV_Data_An_Cour!$U:$U,$B368,[6]BV_Data_An_Cour!$V:$V,$C368,[6]BV_Data_An_Cour!$W:$W,$L$2)</f>
        <v>0</v>
      </c>
      <c r="M368" s="525"/>
      <c r="N368" s="551"/>
      <c r="O368" s="525"/>
      <c r="P368" s="504"/>
      <c r="Q368" s="528">
        <f>-SUMIFS([6]BV_Data_An_Prec!$O:$O,[6]BV_Data_An_Prec!$U:$U,$B368,[6]BV_Data_An_Prec!$V:$V,$C368,[6]BV_Data_An_Prec!$W:$W,$L$2)</f>
        <v>0</v>
      </c>
      <c r="R368" s="525"/>
      <c r="S368" s="551">
        <f t="shared" si="76"/>
        <v>0</v>
      </c>
      <c r="T368" s="501"/>
      <c r="U368" s="501"/>
      <c r="V368" s="504"/>
      <c r="W368" s="501"/>
      <c r="X368" s="501"/>
      <c r="Y368" s="501"/>
      <c r="Z368" s="501"/>
      <c r="AA368" s="501"/>
      <c r="AB368" s="501"/>
      <c r="AC368" s="501"/>
      <c r="AD368" s="501"/>
      <c r="AE368" s="501"/>
      <c r="AF368" s="501"/>
      <c r="AG368" s="501"/>
      <c r="AH368" s="501"/>
      <c r="AI368" s="501"/>
      <c r="AJ368" s="501"/>
      <c r="AK368" s="501"/>
      <c r="AL368" s="501"/>
      <c r="AM368" s="501"/>
      <c r="AN368" s="501"/>
    </row>
    <row r="369" spans="1:40" ht="15.75" hidden="1" customHeight="1">
      <c r="A369" s="517" t="s">
        <v>445</v>
      </c>
      <c r="B369" s="504" t="s">
        <v>119</v>
      </c>
      <c r="C369" s="525" t="s">
        <v>20</v>
      </c>
      <c r="D369" s="577"/>
      <c r="E369" s="504"/>
      <c r="F369" s="526">
        <f t="array" ref="F369">+INDEX('[6]Budget original'!$A$2:$AO$500,MATCH($A369,'[6]Budget original'!$A$2:$A$500,0),MATCH(F$2,'[6]Budget original'!$A$2:$AO$2,0))</f>
        <v>0</v>
      </c>
      <c r="G369" s="578"/>
      <c r="H369" s="504"/>
      <c r="I369" s="526"/>
      <c r="J369" s="525"/>
      <c r="K369" s="504"/>
      <c r="L369" s="528">
        <f>-SUMIFS([6]BV_Data_An_Cour!$O:$O,[6]BV_Data_An_Cour!$U:$U,$B369,[6]BV_Data_An_Cour!$V:$V,$C369,[6]BV_Data_An_Cour!$W:$W,$L$2)</f>
        <v>0</v>
      </c>
      <c r="M369" s="525"/>
      <c r="N369" s="551"/>
      <c r="O369" s="525"/>
      <c r="P369" s="504"/>
      <c r="Q369" s="528">
        <f>-SUMIFS([6]BV_Data_An_Prec!$O:$O,[6]BV_Data_An_Prec!$U:$U,$B369,[6]BV_Data_An_Prec!$V:$V,$C369,[6]BV_Data_An_Prec!$W:$W,$L$2)</f>
        <v>0</v>
      </c>
      <c r="R369" s="525"/>
      <c r="S369" s="551">
        <f t="shared" si="76"/>
        <v>0</v>
      </c>
      <c r="T369" s="501"/>
      <c r="U369" s="501"/>
      <c r="V369" s="504"/>
      <c r="W369" s="501"/>
      <c r="X369" s="501"/>
      <c r="Y369" s="501"/>
      <c r="Z369" s="501"/>
      <c r="AA369" s="501"/>
      <c r="AB369" s="501"/>
      <c r="AC369" s="501"/>
      <c r="AD369" s="501"/>
      <c r="AE369" s="501"/>
      <c r="AF369" s="501"/>
      <c r="AG369" s="501"/>
      <c r="AH369" s="501"/>
      <c r="AI369" s="501"/>
      <c r="AJ369" s="501"/>
      <c r="AK369" s="501"/>
      <c r="AL369" s="501"/>
      <c r="AM369" s="501"/>
      <c r="AN369" s="501"/>
    </row>
    <row r="370" spans="1:40" ht="15.75" hidden="1" customHeight="1">
      <c r="A370" s="517" t="s">
        <v>445</v>
      </c>
      <c r="B370" s="504" t="s">
        <v>119</v>
      </c>
      <c r="C370" s="525" t="s">
        <v>20</v>
      </c>
      <c r="D370" s="577"/>
      <c r="E370" s="504"/>
      <c r="F370" s="526">
        <f t="array" ref="F370">+INDEX('[6]Budget original'!$A$2:$AO$500,MATCH($A370,'[6]Budget original'!$A$2:$A$500,0),MATCH(F$2,'[6]Budget original'!$A$2:$AO$2,0))</f>
        <v>0</v>
      </c>
      <c r="G370" s="578"/>
      <c r="H370" s="504"/>
      <c r="I370" s="526"/>
      <c r="J370" s="525"/>
      <c r="K370" s="504"/>
      <c r="L370" s="528">
        <f>-SUMIFS([6]BV_Data_An_Cour!$O:$O,[6]BV_Data_An_Cour!$U:$U,$B370,[6]BV_Data_An_Cour!$V:$V,$C370,[6]BV_Data_An_Cour!$W:$W,$L$2)</f>
        <v>0</v>
      </c>
      <c r="M370" s="525"/>
      <c r="N370" s="551"/>
      <c r="O370" s="525"/>
      <c r="P370" s="504"/>
      <c r="Q370" s="528">
        <f>-SUMIFS([6]BV_Data_An_Prec!$O:$O,[6]BV_Data_An_Prec!$U:$U,$B370,[6]BV_Data_An_Prec!$V:$V,$C370,[6]BV_Data_An_Prec!$W:$W,$L$2)</f>
        <v>0</v>
      </c>
      <c r="R370" s="525"/>
      <c r="S370" s="551">
        <f t="shared" si="76"/>
        <v>0</v>
      </c>
      <c r="T370" s="501"/>
      <c r="U370" s="501"/>
      <c r="V370" s="504"/>
      <c r="W370" s="501"/>
      <c r="X370" s="501"/>
      <c r="Y370" s="501"/>
      <c r="Z370" s="501"/>
      <c r="AA370" s="501"/>
      <c r="AB370" s="501"/>
      <c r="AC370" s="501"/>
      <c r="AD370" s="501"/>
      <c r="AE370" s="501"/>
      <c r="AF370" s="501"/>
      <c r="AG370" s="501"/>
      <c r="AH370" s="501"/>
      <c r="AI370" s="501"/>
      <c r="AJ370" s="501"/>
      <c r="AK370" s="501"/>
      <c r="AL370" s="501"/>
      <c r="AM370" s="501"/>
      <c r="AN370" s="501"/>
    </row>
    <row r="371" spans="1:40" ht="15.75" hidden="1" customHeight="1">
      <c r="A371" s="517" t="s">
        <v>446</v>
      </c>
      <c r="B371" s="504" t="s">
        <v>119</v>
      </c>
      <c r="C371" s="593" t="s">
        <v>45</v>
      </c>
      <c r="D371" s="577"/>
      <c r="E371" s="504"/>
      <c r="F371" s="520">
        <f t="array" ref="F371">+INDEX('[6]Budget original'!$A$2:$AO$500,MATCH($A371,'[6]Budget original'!$A$2:$A$500,0),MATCH(F$2,'[6]Budget original'!$A$2:$AO$2,0))</f>
        <v>0</v>
      </c>
      <c r="G371" s="578"/>
      <c r="H371" s="504"/>
      <c r="I371" s="520"/>
      <c r="J371" s="525"/>
      <c r="K371" s="504"/>
      <c r="L371" s="520">
        <f>-SUMIFS([6]BV_Data_An_Cour!$O:$O,[6]BV_Data_An_Cour!$U:$U,$B371,[6]BV_Data_An_Cour!$V:$V,$C371,[6]BV_Data_An_Cour!$W:$W,$L$2)</f>
        <v>0</v>
      </c>
      <c r="M371" s="525"/>
      <c r="N371" s="551"/>
      <c r="O371" s="525"/>
      <c r="P371" s="504"/>
      <c r="Q371" s="520">
        <f>-SUMIFS([6]BV_Data_An_Prec!$O:$O,[6]BV_Data_An_Prec!$U:$U,$B371,[6]BV_Data_An_Prec!$V:$V,$C371,[6]BV_Data_An_Prec!$W:$W,$L$2)</f>
        <v>0</v>
      </c>
      <c r="R371" s="525"/>
      <c r="S371" s="551">
        <f t="shared" si="76"/>
        <v>0</v>
      </c>
      <c r="T371" s="501"/>
      <c r="U371" s="501"/>
      <c r="V371" s="504"/>
      <c r="W371" s="501"/>
      <c r="X371" s="501"/>
      <c r="Y371" s="501"/>
      <c r="Z371" s="501"/>
      <c r="AA371" s="501"/>
      <c r="AB371" s="501"/>
      <c r="AC371" s="501"/>
      <c r="AD371" s="501"/>
      <c r="AE371" s="501"/>
      <c r="AF371" s="501"/>
      <c r="AG371" s="501"/>
      <c r="AH371" s="501"/>
      <c r="AI371" s="501"/>
      <c r="AJ371" s="501"/>
      <c r="AK371" s="501"/>
      <c r="AL371" s="501"/>
      <c r="AM371" s="501"/>
      <c r="AN371" s="501"/>
    </row>
    <row r="372" spans="1:40" ht="15.75" hidden="1" customHeight="1">
      <c r="A372" s="517" t="s">
        <v>447</v>
      </c>
      <c r="B372" s="504" t="s">
        <v>119</v>
      </c>
      <c r="C372" s="592" t="s">
        <v>46</v>
      </c>
      <c r="D372" s="594"/>
      <c r="E372" s="595"/>
      <c r="F372" s="526">
        <f t="array" ref="F372">+INDEX('[6]Budget original'!$A$2:$AO$500,MATCH($A372,'[6]Budget original'!$A$2:$A$500,0),MATCH(F$2,'[6]Budget original'!$A$2:$AO$2,0))</f>
        <v>0</v>
      </c>
      <c r="G372" s="596"/>
      <c r="H372" s="595"/>
      <c r="I372" s="526"/>
      <c r="J372" s="512"/>
      <c r="K372" s="595"/>
      <c r="L372" s="528">
        <f>-SUMIFS([6]BV_Data_An_Cour!$O:$O,[6]BV_Data_An_Cour!$U:$U,$B372,[6]BV_Data_An_Cour!$V:$V,$C372,[6]BV_Data_An_Cour!$W:$W,$L$2)</f>
        <v>0</v>
      </c>
      <c r="M372" s="512"/>
      <c r="N372" s="597"/>
      <c r="O372" s="512"/>
      <c r="P372" s="595"/>
      <c r="Q372" s="528">
        <f>-SUMIFS([6]BV_Data_An_Prec!$O:$O,[6]BV_Data_An_Prec!$U:$U,$B372,[6]BV_Data_An_Prec!$V:$V,$C372,[6]BV_Data_An_Prec!$W:$W,$L$2)</f>
        <v>0</v>
      </c>
      <c r="R372" s="512"/>
      <c r="S372" s="597">
        <f t="shared" si="76"/>
        <v>0</v>
      </c>
      <c r="T372" s="501"/>
      <c r="U372" s="501"/>
      <c r="V372" s="504"/>
      <c r="W372" s="501"/>
      <c r="X372" s="501"/>
      <c r="Y372" s="501"/>
      <c r="Z372" s="501"/>
      <c r="AA372" s="501"/>
      <c r="AB372" s="501"/>
      <c r="AC372" s="501"/>
      <c r="AD372" s="501"/>
      <c r="AE372" s="501"/>
      <c r="AF372" s="501"/>
      <c r="AG372" s="501"/>
      <c r="AH372" s="501"/>
      <c r="AI372" s="501"/>
      <c r="AJ372" s="501"/>
      <c r="AK372" s="501"/>
      <c r="AL372" s="501"/>
      <c r="AM372" s="501"/>
      <c r="AN372" s="501"/>
    </row>
    <row r="373" spans="1:40" ht="15.75" hidden="1" customHeight="1">
      <c r="A373" s="517" t="s">
        <v>448</v>
      </c>
      <c r="B373" s="504" t="s">
        <v>119</v>
      </c>
      <c r="C373" s="592" t="s">
        <v>47</v>
      </c>
      <c r="D373" s="577"/>
      <c r="E373" s="504"/>
      <c r="F373" s="526">
        <f t="array" ref="F373">+INDEX('[6]Budget original'!$A$2:$AO$500,MATCH($A373,'[6]Budget original'!$A$2:$A$500,0),MATCH(F$2,'[6]Budget original'!$A$2:$AO$2,0))</f>
        <v>0</v>
      </c>
      <c r="G373" s="578"/>
      <c r="H373" s="504"/>
      <c r="I373" s="526"/>
      <c r="J373" s="525"/>
      <c r="K373" s="504"/>
      <c r="L373" s="528">
        <f>-SUMIFS([6]BV_Data_An_Cour!$O:$O,[6]BV_Data_An_Cour!$U:$U,$B373,[6]BV_Data_An_Cour!$V:$V,$C373,[6]BV_Data_An_Cour!$W:$W,$L$2)</f>
        <v>0</v>
      </c>
      <c r="M373" s="525"/>
      <c r="N373" s="551"/>
      <c r="O373" s="525"/>
      <c r="P373" s="504"/>
      <c r="Q373" s="528">
        <f>-SUMIFS([6]BV_Data_An_Prec!$O:$O,[6]BV_Data_An_Prec!$U:$U,$B373,[6]BV_Data_An_Prec!$V:$V,$C373,[6]BV_Data_An_Prec!$W:$W,$L$2)</f>
        <v>0</v>
      </c>
      <c r="R373" s="525"/>
      <c r="S373" s="551">
        <f t="shared" si="76"/>
        <v>0</v>
      </c>
      <c r="T373" s="501"/>
      <c r="U373" s="501"/>
      <c r="V373" s="504"/>
      <c r="W373" s="501"/>
      <c r="X373" s="501"/>
      <c r="Y373" s="501"/>
      <c r="Z373" s="501"/>
      <c r="AA373" s="501"/>
      <c r="AB373" s="501"/>
      <c r="AC373" s="501"/>
      <c r="AD373" s="501"/>
      <c r="AE373" s="501"/>
      <c r="AF373" s="501"/>
      <c r="AG373" s="501"/>
      <c r="AH373" s="501"/>
      <c r="AI373" s="501"/>
      <c r="AJ373" s="501"/>
      <c r="AK373" s="501"/>
      <c r="AL373" s="501"/>
      <c r="AM373" s="501"/>
      <c r="AN373" s="501"/>
    </row>
    <row r="374" spans="1:40" ht="15.75" hidden="1" customHeight="1">
      <c r="A374" s="517" t="s">
        <v>449</v>
      </c>
      <c r="B374" s="504" t="s">
        <v>119</v>
      </c>
      <c r="C374" s="592" t="s">
        <v>48</v>
      </c>
      <c r="D374" s="577"/>
      <c r="E374" s="504"/>
      <c r="F374" s="526">
        <f t="array" ref="F374">+INDEX('[6]Budget original'!$A$2:$AO$500,MATCH($A374,'[6]Budget original'!$A$2:$A$500,0),MATCH(F$2,'[6]Budget original'!$A$2:$AO$2,0))</f>
        <v>0</v>
      </c>
      <c r="G374" s="578"/>
      <c r="H374" s="504"/>
      <c r="I374" s="526"/>
      <c r="J374" s="525"/>
      <c r="K374" s="504"/>
      <c r="L374" s="528">
        <f>-SUMIFS([6]BV_Data_An_Cour!$O:$O,[6]BV_Data_An_Cour!$U:$U,$B374,[6]BV_Data_An_Cour!$V:$V,$C374,[6]BV_Data_An_Cour!$W:$W,$L$2)</f>
        <v>0</v>
      </c>
      <c r="M374" s="525"/>
      <c r="N374" s="551"/>
      <c r="O374" s="525"/>
      <c r="P374" s="504"/>
      <c r="Q374" s="528">
        <f>-SUMIFS([6]BV_Data_An_Prec!$O:$O,[6]BV_Data_An_Prec!$U:$U,$B374,[6]BV_Data_An_Prec!$V:$V,$C374,[6]BV_Data_An_Prec!$W:$W,$L$2)</f>
        <v>0</v>
      </c>
      <c r="R374" s="525"/>
      <c r="S374" s="551">
        <f t="shared" si="76"/>
        <v>0</v>
      </c>
      <c r="T374" s="501"/>
      <c r="U374" s="501"/>
      <c r="V374" s="504"/>
      <c r="W374" s="501"/>
      <c r="X374" s="501"/>
      <c r="Y374" s="501"/>
      <c r="Z374" s="501"/>
      <c r="AA374" s="501"/>
      <c r="AB374" s="501"/>
      <c r="AC374" s="501"/>
      <c r="AD374" s="501"/>
      <c r="AE374" s="501"/>
      <c r="AF374" s="501"/>
      <c r="AG374" s="501"/>
      <c r="AH374" s="501"/>
      <c r="AI374" s="501"/>
      <c r="AJ374" s="501"/>
      <c r="AK374" s="501"/>
      <c r="AL374" s="501"/>
      <c r="AM374" s="501"/>
      <c r="AN374" s="501"/>
    </row>
    <row r="375" spans="1:40" ht="15.75" hidden="1" customHeight="1">
      <c r="A375" s="517" t="s">
        <v>445</v>
      </c>
      <c r="B375" s="504" t="s">
        <v>119</v>
      </c>
      <c r="C375" s="525" t="s">
        <v>20</v>
      </c>
      <c r="D375" s="579"/>
      <c r="E375" s="598"/>
      <c r="F375" s="526">
        <f t="array" ref="F375">+INDEX('[6]Budget original'!$A$2:$AO$500,MATCH($A375,'[6]Budget original'!$A$2:$A$500,0),MATCH(F$2,'[6]Budget original'!$A$2:$AO$2,0))</f>
        <v>0</v>
      </c>
      <c r="G375" s="580"/>
      <c r="H375" s="598"/>
      <c r="I375" s="526"/>
      <c r="J375" s="518"/>
      <c r="K375" s="598"/>
      <c r="L375" s="528">
        <f>-SUMIFS([6]BV_Data_An_Cour!$O:$O,[6]BV_Data_An_Cour!$U:$U,$B375,[6]BV_Data_An_Cour!$V:$V,$C375,[6]BV_Data_An_Cour!$W:$W,$L$2)</f>
        <v>0</v>
      </c>
      <c r="M375" s="518"/>
      <c r="N375" s="574"/>
      <c r="O375" s="518"/>
      <c r="P375" s="598"/>
      <c r="Q375" s="528">
        <f>-SUMIFS([6]BV_Data_An_Prec!$O:$O,[6]BV_Data_An_Prec!$U:$U,$B375,[6]BV_Data_An_Prec!$V:$V,$C375,[6]BV_Data_An_Prec!$W:$W,$L$2)</f>
        <v>0</v>
      </c>
      <c r="R375" s="518"/>
      <c r="S375" s="574">
        <f t="shared" si="76"/>
        <v>0</v>
      </c>
      <c r="T375" s="501"/>
      <c r="U375" s="501"/>
      <c r="V375" s="504"/>
      <c r="W375" s="501"/>
      <c r="X375" s="501"/>
      <c r="Y375" s="501"/>
      <c r="Z375" s="501"/>
      <c r="AA375" s="501"/>
      <c r="AB375" s="501"/>
      <c r="AC375" s="501"/>
      <c r="AD375" s="501"/>
      <c r="AE375" s="501"/>
      <c r="AF375" s="501"/>
      <c r="AG375" s="501"/>
      <c r="AH375" s="501"/>
      <c r="AI375" s="501"/>
      <c r="AJ375" s="501"/>
      <c r="AK375" s="501"/>
      <c r="AL375" s="501"/>
      <c r="AM375" s="501"/>
      <c r="AN375" s="501"/>
    </row>
    <row r="376" spans="1:40" ht="15.75" hidden="1" customHeight="1">
      <c r="A376" s="517" t="s">
        <v>450</v>
      </c>
      <c r="B376" s="504" t="s">
        <v>119</v>
      </c>
      <c r="C376" s="584" t="s">
        <v>49</v>
      </c>
      <c r="D376" s="585" t="s">
        <v>39</v>
      </c>
      <c r="E376" s="586">
        <f>IFERROR(F376/F$359,0)</f>
        <v>0</v>
      </c>
      <c r="F376" s="587">
        <f>+SUM(F364:F375)</f>
        <v>0</v>
      </c>
      <c r="G376" s="588"/>
      <c r="H376" s="586"/>
      <c r="I376" s="587"/>
      <c r="J376" s="588" t="s">
        <v>39</v>
      </c>
      <c r="K376" s="586">
        <f>IFERROR(L376/L$359,0)</f>
        <v>0</v>
      </c>
      <c r="L376" s="587">
        <f>+SUM(L364:L375)</f>
        <v>0</v>
      </c>
      <c r="M376" s="637"/>
      <c r="N376" s="600"/>
      <c r="O376" s="588" t="s">
        <v>39</v>
      </c>
      <c r="P376" s="586">
        <f>IFERROR(Q376/Q$359,0)</f>
        <v>0</v>
      </c>
      <c r="Q376" s="587">
        <f>+SUM(Q364:Q375)</f>
        <v>0</v>
      </c>
      <c r="R376" s="637"/>
      <c r="S376" s="600">
        <f t="shared" si="76"/>
        <v>0</v>
      </c>
      <c r="T376" s="501"/>
      <c r="U376" s="501"/>
      <c r="V376" s="504"/>
      <c r="W376" s="501"/>
      <c r="X376" s="501"/>
      <c r="Y376" s="501"/>
      <c r="Z376" s="501"/>
      <c r="AA376" s="501"/>
      <c r="AB376" s="501"/>
      <c r="AC376" s="501"/>
      <c r="AD376" s="501"/>
      <c r="AE376" s="501"/>
      <c r="AF376" s="501"/>
      <c r="AG376" s="501"/>
      <c r="AH376" s="501"/>
      <c r="AI376" s="501"/>
      <c r="AJ376" s="501"/>
      <c r="AK376" s="501"/>
      <c r="AL376" s="501"/>
      <c r="AM376" s="501"/>
      <c r="AN376" s="501"/>
    </row>
    <row r="377" spans="1:40" ht="15.75" hidden="1" customHeight="1">
      <c r="A377" s="517" t="s">
        <v>451</v>
      </c>
      <c r="B377" s="504" t="s">
        <v>119</v>
      </c>
      <c r="C377" s="691" t="s">
        <v>50</v>
      </c>
      <c r="D377" s="577"/>
      <c r="E377" s="504"/>
      <c r="F377" s="526">
        <f t="array" ref="F377">+INDEX('[6]Budget original'!$A$2:$AO$500,MATCH($A377,'[6]Budget original'!$A$2:$A$500,0),MATCH(F$2,'[6]Budget original'!$A$2:$AO$2,0))</f>
        <v>0</v>
      </c>
      <c r="G377" s="578"/>
      <c r="H377" s="504"/>
      <c r="I377" s="526"/>
      <c r="J377" s="525"/>
      <c r="K377" s="504"/>
      <c r="L377" s="528">
        <f>-SUMIFS([6]BV_Data_An_Cour!$O:$O,[6]BV_Data_An_Cour!$U:$U,$B377,[6]BV_Data_An_Cour!$V:$V,$C377,[6]BV_Data_An_Cour!$W:$W,$L$2)</f>
        <v>0</v>
      </c>
      <c r="M377" s="525"/>
      <c r="N377" s="551"/>
      <c r="O377" s="525"/>
      <c r="P377" s="504"/>
      <c r="Q377" s="528">
        <f>-SUMIFS([6]BV_Data_An_Prec!$O:$O,[6]BV_Data_An_Prec!$U:$U,$B377,[6]BV_Data_An_Prec!$V:$V,$C377,[6]BV_Data_An_Prec!$W:$W,$L$2)</f>
        <v>0</v>
      </c>
      <c r="R377" s="525"/>
      <c r="S377" s="551">
        <f t="shared" si="76"/>
        <v>0</v>
      </c>
      <c r="T377" s="501"/>
      <c r="U377" s="501"/>
      <c r="V377" s="504"/>
      <c r="W377" s="501"/>
      <c r="X377" s="501"/>
      <c r="Y377" s="501"/>
      <c r="Z377" s="501"/>
      <c r="AA377" s="501"/>
      <c r="AB377" s="501"/>
      <c r="AC377" s="501"/>
      <c r="AD377" s="501"/>
      <c r="AE377" s="501"/>
      <c r="AF377" s="501"/>
      <c r="AG377" s="501"/>
      <c r="AH377" s="501"/>
      <c r="AI377" s="501"/>
      <c r="AJ377" s="501"/>
      <c r="AK377" s="501"/>
      <c r="AL377" s="501"/>
      <c r="AM377" s="501"/>
      <c r="AN377" s="501"/>
    </row>
    <row r="378" spans="1:40" ht="15.75" hidden="1" customHeight="1">
      <c r="A378" s="517" t="s">
        <v>452</v>
      </c>
      <c r="B378" s="504" t="s">
        <v>119</v>
      </c>
      <c r="C378" s="592" t="s">
        <v>51</v>
      </c>
      <c r="D378" s="577"/>
      <c r="E378" s="504"/>
      <c r="F378" s="526">
        <f t="array" ref="F378">+INDEX('[6]Budget original'!$A$2:$AO$500,MATCH($A378,'[6]Budget original'!$A$2:$A$500,0),MATCH(F$2,'[6]Budget original'!$A$2:$AO$2,0))</f>
        <v>0</v>
      </c>
      <c r="G378" s="578"/>
      <c r="H378" s="504"/>
      <c r="I378" s="526"/>
      <c r="J378" s="525"/>
      <c r="K378" s="504"/>
      <c r="L378" s="528">
        <f>-SUMIFS([6]BV_Data_An_Cour!$O:$O,[6]BV_Data_An_Cour!$U:$U,$B378,[6]BV_Data_An_Cour!$V:$V,$C378,[6]BV_Data_An_Cour!$W:$W,$L$2)</f>
        <v>0</v>
      </c>
      <c r="M378" s="525"/>
      <c r="N378" s="551"/>
      <c r="O378" s="525"/>
      <c r="P378" s="504"/>
      <c r="Q378" s="528">
        <f>-SUMIFS([6]BV_Data_An_Prec!$O:$O,[6]BV_Data_An_Prec!$U:$U,$B378,[6]BV_Data_An_Prec!$V:$V,$C378,[6]BV_Data_An_Prec!$W:$W,$L$2)</f>
        <v>0</v>
      </c>
      <c r="R378" s="525"/>
      <c r="S378" s="551">
        <f t="shared" si="76"/>
        <v>0</v>
      </c>
      <c r="T378" s="501"/>
      <c r="U378" s="501"/>
      <c r="V378" s="504"/>
      <c r="W378" s="501"/>
      <c r="X378" s="501"/>
      <c r="Y378" s="501"/>
      <c r="Z378" s="501"/>
      <c r="AA378" s="501"/>
      <c r="AB378" s="501"/>
      <c r="AC378" s="501"/>
      <c r="AD378" s="501"/>
      <c r="AE378" s="501"/>
      <c r="AF378" s="501"/>
      <c r="AG378" s="501"/>
      <c r="AH378" s="501"/>
      <c r="AI378" s="501"/>
      <c r="AJ378" s="501"/>
      <c r="AK378" s="501"/>
      <c r="AL378" s="501"/>
      <c r="AM378" s="501"/>
      <c r="AN378" s="501"/>
    </row>
    <row r="379" spans="1:40" ht="15.75" hidden="1" customHeight="1">
      <c r="A379" s="517" t="s">
        <v>453</v>
      </c>
      <c r="B379" s="504" t="s">
        <v>119</v>
      </c>
      <c r="C379" s="593" t="s">
        <v>52</v>
      </c>
      <c r="D379" s="579"/>
      <c r="E379" s="598"/>
      <c r="F379" s="520">
        <f t="array" ref="F379">+INDEX('[6]Budget original'!$A$2:$AO$500,MATCH($A379,'[6]Budget original'!$A$2:$A$500,0),MATCH(F$2,'[6]Budget original'!$A$2:$AO$2,0))</f>
        <v>0</v>
      </c>
      <c r="G379" s="580"/>
      <c r="H379" s="598"/>
      <c r="I379" s="520"/>
      <c r="J379" s="518"/>
      <c r="K379" s="598"/>
      <c r="L379" s="520">
        <f>-SUMIFS([6]BV_Data_An_Cour!$O:$O,[6]BV_Data_An_Cour!$U:$U,$B379,[6]BV_Data_An_Cour!$V:$V,$C379,[6]BV_Data_An_Cour!$W:$W,$L$2)</f>
        <v>0</v>
      </c>
      <c r="M379" s="518"/>
      <c r="N379" s="574"/>
      <c r="O379" s="518"/>
      <c r="P379" s="598"/>
      <c r="Q379" s="520">
        <f>-SUMIFS([6]BV_Data_An_Prec!$O:$O,[6]BV_Data_An_Prec!$U:$U,$B379,[6]BV_Data_An_Prec!$V:$V,$C379,[6]BV_Data_An_Prec!$W:$W,$L$2)</f>
        <v>0</v>
      </c>
      <c r="R379" s="518"/>
      <c r="S379" s="574">
        <f t="shared" si="76"/>
        <v>0</v>
      </c>
      <c r="T379" s="501"/>
      <c r="U379" s="501"/>
      <c r="V379" s="504"/>
      <c r="W379" s="501"/>
      <c r="X379" s="501"/>
      <c r="Y379" s="501"/>
      <c r="Z379" s="501"/>
      <c r="AA379" s="501"/>
      <c r="AB379" s="501"/>
      <c r="AC379" s="501"/>
      <c r="AD379" s="501"/>
      <c r="AE379" s="501"/>
      <c r="AF379" s="501"/>
      <c r="AG379" s="501"/>
      <c r="AH379" s="501"/>
      <c r="AI379" s="501"/>
      <c r="AJ379" s="501"/>
      <c r="AK379" s="501"/>
      <c r="AL379" s="501"/>
      <c r="AM379" s="501"/>
      <c r="AN379" s="501"/>
    </row>
    <row r="380" spans="1:40" ht="15.75" hidden="1" customHeight="1">
      <c r="A380" s="517" t="s">
        <v>454</v>
      </c>
      <c r="B380" s="504" t="s">
        <v>119</v>
      </c>
      <c r="C380" s="592" t="s">
        <v>53</v>
      </c>
      <c r="D380" s="577"/>
      <c r="E380" s="504"/>
      <c r="F380" s="526">
        <f t="array" ref="F380">+INDEX('[6]Budget original'!$A$2:$AO$500,MATCH($A380,'[6]Budget original'!$A$2:$A$500,0),MATCH(F$2,'[6]Budget original'!$A$2:$AO$2,0))</f>
        <v>0</v>
      </c>
      <c r="G380" s="578"/>
      <c r="H380" s="504"/>
      <c r="I380" s="526"/>
      <c r="J380" s="525"/>
      <c r="K380" s="504"/>
      <c r="L380" s="528">
        <f>-SUMIFS([6]BV_Data_An_Cour!$O:$O,[6]BV_Data_An_Cour!$U:$U,$B380,[6]BV_Data_An_Cour!$V:$V,$C380,[6]BV_Data_An_Cour!$W:$W,$L$2)</f>
        <v>0</v>
      </c>
      <c r="M380" s="525"/>
      <c r="N380" s="551"/>
      <c r="O380" s="525"/>
      <c r="P380" s="504"/>
      <c r="Q380" s="528">
        <f>-SUMIFS([6]BV_Data_An_Prec!$O:$O,[6]BV_Data_An_Prec!$U:$U,$B380,[6]BV_Data_An_Prec!$V:$V,$C380,[6]BV_Data_An_Prec!$W:$W,$L$2)</f>
        <v>0</v>
      </c>
      <c r="R380" s="525"/>
      <c r="S380" s="551">
        <f t="shared" si="76"/>
        <v>0</v>
      </c>
      <c r="T380" s="501"/>
      <c r="U380" s="501"/>
      <c r="V380" s="504"/>
      <c r="W380" s="501"/>
      <c r="X380" s="501"/>
      <c r="Y380" s="501"/>
      <c r="Z380" s="501"/>
      <c r="AA380" s="501"/>
      <c r="AB380" s="501"/>
      <c r="AC380" s="501"/>
      <c r="AD380" s="501"/>
      <c r="AE380" s="501"/>
      <c r="AF380" s="501"/>
      <c r="AG380" s="501"/>
      <c r="AH380" s="501"/>
      <c r="AI380" s="501"/>
      <c r="AJ380" s="501"/>
      <c r="AK380" s="501"/>
      <c r="AL380" s="501"/>
      <c r="AM380" s="501"/>
      <c r="AN380" s="501"/>
    </row>
    <row r="381" spans="1:40" ht="15.75" hidden="1" customHeight="1">
      <c r="A381" s="517" t="s">
        <v>455</v>
      </c>
      <c r="B381" s="504" t="s">
        <v>119</v>
      </c>
      <c r="C381" s="592" t="s">
        <v>54</v>
      </c>
      <c r="D381" s="577"/>
      <c r="E381" s="504"/>
      <c r="F381" s="526">
        <f t="array" ref="F381">+INDEX('[6]Budget original'!$A$2:$AO$500,MATCH($A381,'[6]Budget original'!$A$2:$A$500,0),MATCH(F$2,'[6]Budget original'!$A$2:$AO$2,0))</f>
        <v>0</v>
      </c>
      <c r="G381" s="578"/>
      <c r="H381" s="504"/>
      <c r="I381" s="526"/>
      <c r="J381" s="525"/>
      <c r="K381" s="504"/>
      <c r="L381" s="528">
        <f>-SUMIFS([6]BV_Data_An_Cour!$O:$O,[6]BV_Data_An_Cour!$U:$U,$B381,[6]BV_Data_An_Cour!$V:$V,$C381,[6]BV_Data_An_Cour!$W:$W,$L$2)</f>
        <v>0</v>
      </c>
      <c r="M381" s="525"/>
      <c r="N381" s="551"/>
      <c r="O381" s="525"/>
      <c r="P381" s="504"/>
      <c r="Q381" s="528">
        <f>-SUMIFS([6]BV_Data_An_Prec!$O:$O,[6]BV_Data_An_Prec!$U:$U,$B381,[6]BV_Data_An_Prec!$V:$V,$C381,[6]BV_Data_An_Prec!$W:$W,$L$2)</f>
        <v>0</v>
      </c>
      <c r="R381" s="525"/>
      <c r="S381" s="551">
        <f t="shared" si="76"/>
        <v>0</v>
      </c>
      <c r="T381" s="501"/>
      <c r="U381" s="501"/>
      <c r="V381" s="504"/>
      <c r="W381" s="501"/>
      <c r="X381" s="501"/>
      <c r="Y381" s="501"/>
      <c r="Z381" s="501"/>
      <c r="AA381" s="501"/>
      <c r="AB381" s="501"/>
      <c r="AC381" s="501"/>
      <c r="AD381" s="501"/>
      <c r="AE381" s="501"/>
      <c r="AF381" s="501"/>
      <c r="AG381" s="501"/>
      <c r="AH381" s="501"/>
      <c r="AI381" s="501"/>
      <c r="AJ381" s="501"/>
      <c r="AK381" s="501"/>
      <c r="AL381" s="501"/>
      <c r="AM381" s="501"/>
      <c r="AN381" s="501"/>
    </row>
    <row r="382" spans="1:40" ht="15.75" hidden="1" customHeight="1">
      <c r="A382" s="517" t="s">
        <v>456</v>
      </c>
      <c r="B382" s="504" t="s">
        <v>119</v>
      </c>
      <c r="C382" s="592" t="s">
        <v>55</v>
      </c>
      <c r="D382" s="579"/>
      <c r="E382" s="598"/>
      <c r="F382" s="520">
        <f t="array" ref="F382">+INDEX('[6]Budget original'!$A$2:$AO$500,MATCH($A382,'[6]Budget original'!$A$2:$A$500,0),MATCH(F$2,'[6]Budget original'!$A$2:$AO$2,0))</f>
        <v>0</v>
      </c>
      <c r="G382" s="580"/>
      <c r="H382" s="598"/>
      <c r="I382" s="520"/>
      <c r="J382" s="518"/>
      <c r="K382" s="598"/>
      <c r="L382" s="520">
        <f>-SUMIFS([6]BV_Data_An_Cour!$O:$O,[6]BV_Data_An_Cour!$U:$U,$B382,[6]BV_Data_An_Cour!$V:$V,$C382,[6]BV_Data_An_Cour!$W:$W,$L$2)</f>
        <v>0</v>
      </c>
      <c r="M382" s="518"/>
      <c r="N382" s="574"/>
      <c r="O382" s="518"/>
      <c r="P382" s="598"/>
      <c r="Q382" s="520">
        <f>-SUMIFS([6]BV_Data_An_Prec!$O:$O,[6]BV_Data_An_Prec!$U:$U,$B382,[6]BV_Data_An_Prec!$V:$V,$C382,[6]BV_Data_An_Prec!$W:$W,$L$2)</f>
        <v>0</v>
      </c>
      <c r="R382" s="518"/>
      <c r="S382" s="574">
        <f t="shared" si="76"/>
        <v>0</v>
      </c>
      <c r="T382" s="501"/>
      <c r="U382" s="501"/>
      <c r="V382" s="504"/>
      <c r="W382" s="501"/>
      <c r="X382" s="501"/>
      <c r="Y382" s="501"/>
      <c r="Z382" s="501"/>
      <c r="AA382" s="501"/>
      <c r="AB382" s="501"/>
      <c r="AC382" s="501"/>
      <c r="AD382" s="501"/>
      <c r="AE382" s="501"/>
      <c r="AF382" s="501"/>
      <c r="AG382" s="501"/>
      <c r="AH382" s="501"/>
      <c r="AI382" s="501"/>
      <c r="AJ382" s="501"/>
      <c r="AK382" s="501"/>
      <c r="AL382" s="501"/>
      <c r="AM382" s="501"/>
      <c r="AN382" s="501"/>
    </row>
    <row r="383" spans="1:40" ht="20.25" hidden="1" customHeight="1">
      <c r="A383" s="517" t="s">
        <v>457</v>
      </c>
      <c r="B383" s="504" t="s">
        <v>119</v>
      </c>
      <c r="C383" s="691" t="s">
        <v>56</v>
      </c>
      <c r="D383" s="577"/>
      <c r="E383" s="504"/>
      <c r="F383" s="526">
        <f t="array" ref="F383">+INDEX('[6]Budget original'!$A$2:$AO$500,MATCH($A383,'[6]Budget original'!$A$2:$A$500,0),MATCH(F$2,'[6]Budget original'!$A$2:$AO$2,0))</f>
        <v>0</v>
      </c>
      <c r="G383" s="578"/>
      <c r="H383" s="504"/>
      <c r="I383" s="526"/>
      <c r="J383" s="525"/>
      <c r="K383" s="504"/>
      <c r="L383" s="528">
        <f>-SUMIFS([6]BV_Data_An_Cour!$O:$O,[6]BV_Data_An_Cour!$U:$U,$B383,[6]BV_Data_An_Cour!$V:$V,$C383,[6]BV_Data_An_Cour!$W:$W,$L$2)</f>
        <v>0</v>
      </c>
      <c r="M383" s="525"/>
      <c r="N383" s="551"/>
      <c r="O383" s="525"/>
      <c r="P383" s="504"/>
      <c r="Q383" s="528">
        <f>-SUMIFS([6]BV_Data_An_Prec!$O:$O,[6]BV_Data_An_Prec!$U:$U,$B383,[6]BV_Data_An_Prec!$V:$V,$C383,[6]BV_Data_An_Prec!$W:$W,$L$2)</f>
        <v>0</v>
      </c>
      <c r="R383" s="525"/>
      <c r="S383" s="551">
        <f t="shared" si="76"/>
        <v>0</v>
      </c>
      <c r="T383" s="501"/>
      <c r="U383" s="501"/>
      <c r="V383" s="504"/>
      <c r="W383" s="501"/>
      <c r="X383" s="501"/>
      <c r="Y383" s="501"/>
      <c r="Z383" s="501"/>
      <c r="AA383" s="501"/>
      <c r="AB383" s="501"/>
      <c r="AC383" s="501"/>
      <c r="AD383" s="501"/>
      <c r="AE383" s="501"/>
      <c r="AF383" s="501"/>
      <c r="AG383" s="501"/>
      <c r="AH383" s="501"/>
      <c r="AI383" s="501"/>
      <c r="AJ383" s="501"/>
      <c r="AK383" s="501"/>
      <c r="AL383" s="501"/>
      <c r="AM383" s="501"/>
      <c r="AN383" s="501"/>
    </row>
    <row r="384" spans="1:40" ht="20.25" hidden="1" customHeight="1">
      <c r="A384" s="517" t="s">
        <v>458</v>
      </c>
      <c r="B384" s="504" t="s">
        <v>119</v>
      </c>
      <c r="C384" s="592" t="s">
        <v>57</v>
      </c>
      <c r="D384" s="577"/>
      <c r="E384" s="504"/>
      <c r="F384" s="526">
        <f t="array" ref="F384">+INDEX('[6]Budget original'!$A$2:$AO$500,MATCH($A384,'[6]Budget original'!$A$2:$A$500,0),MATCH(F$2,'[6]Budget original'!$A$2:$AO$2,0))</f>
        <v>0</v>
      </c>
      <c r="G384" s="578"/>
      <c r="H384" s="504"/>
      <c r="I384" s="526"/>
      <c r="J384" s="525"/>
      <c r="K384" s="504"/>
      <c r="L384" s="528">
        <f>-SUMIFS([6]BV_Data_An_Cour!$O:$O,[6]BV_Data_An_Cour!$U:$U,$B384,[6]BV_Data_An_Cour!$V:$V,$C384,[6]BV_Data_An_Cour!$W:$W,$L$2)</f>
        <v>0</v>
      </c>
      <c r="M384" s="525"/>
      <c r="N384" s="551"/>
      <c r="O384" s="525"/>
      <c r="P384" s="504"/>
      <c r="Q384" s="528">
        <f>-SUMIFS([6]BV_Data_An_Prec!$O:$O,[6]BV_Data_An_Prec!$U:$U,$B384,[6]BV_Data_An_Prec!$V:$V,$C384,[6]BV_Data_An_Prec!$W:$W,$L$2)</f>
        <v>0</v>
      </c>
      <c r="R384" s="525"/>
      <c r="S384" s="551">
        <f t="shared" si="76"/>
        <v>0</v>
      </c>
      <c r="T384" s="501"/>
      <c r="U384" s="501"/>
      <c r="V384" s="504"/>
      <c r="W384" s="501"/>
      <c r="X384" s="501"/>
      <c r="Y384" s="501"/>
      <c r="Z384" s="501"/>
      <c r="AA384" s="501"/>
      <c r="AB384" s="501"/>
      <c r="AC384" s="501"/>
      <c r="AD384" s="501"/>
      <c r="AE384" s="501"/>
      <c r="AF384" s="501"/>
      <c r="AG384" s="501"/>
      <c r="AH384" s="501"/>
      <c r="AI384" s="501"/>
      <c r="AJ384" s="501"/>
      <c r="AK384" s="501"/>
      <c r="AL384" s="501"/>
      <c r="AM384" s="501"/>
      <c r="AN384" s="501"/>
    </row>
    <row r="385" spans="1:40" ht="20.25" hidden="1" customHeight="1">
      <c r="A385" s="517" t="s">
        <v>459</v>
      </c>
      <c r="B385" s="504" t="s">
        <v>119</v>
      </c>
      <c r="C385" s="592" t="s">
        <v>58</v>
      </c>
      <c r="D385" s="577"/>
      <c r="E385" s="504"/>
      <c r="F385" s="526">
        <f t="array" ref="F385">+INDEX('[6]Budget original'!$A$2:$AO$500,MATCH($A385,'[6]Budget original'!$A$2:$A$500,0),MATCH(F$2,'[6]Budget original'!$A$2:$AO$2,0))</f>
        <v>0</v>
      </c>
      <c r="G385" s="578"/>
      <c r="H385" s="504"/>
      <c r="I385" s="526"/>
      <c r="J385" s="525"/>
      <c r="K385" s="504"/>
      <c r="L385" s="528">
        <f>-SUMIFS([6]BV_Data_An_Cour!$O:$O,[6]BV_Data_An_Cour!$U:$U,$B385,[6]BV_Data_An_Cour!$V:$V,$C385,[6]BV_Data_An_Cour!$W:$W,$L$2)</f>
        <v>0</v>
      </c>
      <c r="M385" s="525"/>
      <c r="N385" s="551"/>
      <c r="O385" s="525"/>
      <c r="P385" s="504"/>
      <c r="Q385" s="528">
        <f>-SUMIFS([6]BV_Data_An_Prec!$O:$O,[6]BV_Data_An_Prec!$U:$U,$B385,[6]BV_Data_An_Prec!$V:$V,$C385,[6]BV_Data_An_Prec!$W:$W,$L$2)</f>
        <v>0</v>
      </c>
      <c r="R385" s="525"/>
      <c r="S385" s="551">
        <f t="shared" si="76"/>
        <v>0</v>
      </c>
      <c r="T385" s="501"/>
      <c r="U385" s="501"/>
      <c r="V385" s="504"/>
      <c r="W385" s="501"/>
      <c r="X385" s="501"/>
      <c r="Y385" s="501"/>
      <c r="Z385" s="501"/>
      <c r="AA385" s="501"/>
      <c r="AB385" s="501"/>
      <c r="AC385" s="501"/>
      <c r="AD385" s="501"/>
      <c r="AE385" s="501"/>
      <c r="AF385" s="501"/>
      <c r="AG385" s="501"/>
      <c r="AH385" s="501"/>
      <c r="AI385" s="501"/>
      <c r="AJ385" s="501"/>
      <c r="AK385" s="501"/>
      <c r="AL385" s="501"/>
      <c r="AM385" s="501"/>
      <c r="AN385" s="501"/>
    </row>
    <row r="386" spans="1:40" ht="20.25" hidden="1" customHeight="1">
      <c r="A386" s="517" t="s">
        <v>460</v>
      </c>
      <c r="B386" s="504" t="s">
        <v>119</v>
      </c>
      <c r="C386" s="592" t="s">
        <v>59</v>
      </c>
      <c r="D386" s="577"/>
      <c r="E386" s="504"/>
      <c r="F386" s="526">
        <f t="array" ref="F386">+INDEX('[6]Budget original'!$A$2:$AO$500,MATCH($A386,'[6]Budget original'!$A$2:$A$500,0),MATCH(F$2,'[6]Budget original'!$A$2:$AO$2,0))</f>
        <v>0</v>
      </c>
      <c r="G386" s="578"/>
      <c r="H386" s="504"/>
      <c r="I386" s="526"/>
      <c r="J386" s="525"/>
      <c r="K386" s="504"/>
      <c r="L386" s="528">
        <f>-SUMIFS([6]BV_Data_An_Cour!$O:$O,[6]BV_Data_An_Cour!$U:$U,$B386,[6]BV_Data_An_Cour!$V:$V,$C386,[6]BV_Data_An_Cour!$W:$W,$L$2)</f>
        <v>0</v>
      </c>
      <c r="M386" s="525"/>
      <c r="N386" s="551"/>
      <c r="O386" s="525"/>
      <c r="P386" s="504"/>
      <c r="Q386" s="528">
        <f>-SUMIFS([6]BV_Data_An_Prec!$O:$O,[6]BV_Data_An_Prec!$U:$U,$B386,[6]BV_Data_An_Prec!$V:$V,$C386,[6]BV_Data_An_Prec!$W:$W,$L$2)</f>
        <v>0</v>
      </c>
      <c r="R386" s="525"/>
      <c r="S386" s="551">
        <f t="shared" si="76"/>
        <v>0</v>
      </c>
      <c r="T386" s="501"/>
      <c r="U386" s="501"/>
      <c r="V386" s="504"/>
      <c r="W386" s="501"/>
      <c r="X386" s="501"/>
      <c r="Y386" s="501"/>
      <c r="Z386" s="501"/>
      <c r="AA386" s="501"/>
      <c r="AB386" s="501"/>
      <c r="AC386" s="501"/>
      <c r="AD386" s="501"/>
      <c r="AE386" s="501"/>
      <c r="AF386" s="501"/>
      <c r="AG386" s="501"/>
      <c r="AH386" s="501"/>
      <c r="AI386" s="501"/>
      <c r="AJ386" s="501"/>
      <c r="AK386" s="501"/>
      <c r="AL386" s="501"/>
      <c r="AM386" s="501"/>
      <c r="AN386" s="501"/>
    </row>
    <row r="387" spans="1:40" ht="20.25" hidden="1" customHeight="1">
      <c r="A387" s="517" t="s">
        <v>461</v>
      </c>
      <c r="B387" s="504" t="s">
        <v>119</v>
      </c>
      <c r="C387" s="592" t="s">
        <v>60</v>
      </c>
      <c r="D387" s="577"/>
      <c r="E387" s="504"/>
      <c r="F387" s="526">
        <f t="array" ref="F387">+INDEX('[6]Budget original'!$A$2:$AO$500,MATCH($A387,'[6]Budget original'!$A$2:$A$500,0),MATCH(F$2,'[6]Budget original'!$A$2:$AO$2,0))</f>
        <v>0</v>
      </c>
      <c r="G387" s="578"/>
      <c r="H387" s="504"/>
      <c r="I387" s="526"/>
      <c r="J387" s="525"/>
      <c r="K387" s="504"/>
      <c r="L387" s="528">
        <f>-SUMIFS([6]BV_Data_An_Cour!$O:$O,[6]BV_Data_An_Cour!$U:$U,$B387,[6]BV_Data_An_Cour!$V:$V,$C387,[6]BV_Data_An_Cour!$W:$W,$L$2)</f>
        <v>0</v>
      </c>
      <c r="M387" s="525"/>
      <c r="N387" s="551"/>
      <c r="O387" s="525"/>
      <c r="P387" s="504"/>
      <c r="Q387" s="528">
        <f>-SUMIFS([6]BV_Data_An_Prec!$O:$O,[6]BV_Data_An_Prec!$U:$U,$B387,[6]BV_Data_An_Prec!$V:$V,$C387,[6]BV_Data_An_Prec!$W:$W,$L$2)</f>
        <v>0</v>
      </c>
      <c r="R387" s="525"/>
      <c r="S387" s="551">
        <f t="shared" si="76"/>
        <v>0</v>
      </c>
      <c r="T387" s="501"/>
      <c r="U387" s="501"/>
      <c r="V387" s="504"/>
      <c r="W387" s="501"/>
      <c r="X387" s="501"/>
      <c r="Y387" s="501"/>
      <c r="Z387" s="501"/>
      <c r="AA387" s="501"/>
      <c r="AB387" s="501"/>
      <c r="AC387" s="501"/>
      <c r="AD387" s="501"/>
      <c r="AE387" s="501"/>
      <c r="AF387" s="501"/>
      <c r="AG387" s="501"/>
      <c r="AH387" s="501"/>
      <c r="AI387" s="501"/>
      <c r="AJ387" s="501"/>
      <c r="AK387" s="501"/>
      <c r="AL387" s="501"/>
      <c r="AM387" s="501"/>
      <c r="AN387" s="501"/>
    </row>
    <row r="388" spans="1:40" ht="20.25" hidden="1" customHeight="1">
      <c r="A388" s="517" t="s">
        <v>462</v>
      </c>
      <c r="B388" s="504" t="s">
        <v>119</v>
      </c>
      <c r="C388" s="592" t="s">
        <v>61</v>
      </c>
      <c r="D388" s="577"/>
      <c r="E388" s="504"/>
      <c r="F388" s="526">
        <f t="array" ref="F388">+INDEX('[6]Budget original'!$A$2:$AO$500,MATCH($A388,'[6]Budget original'!$A$2:$A$500,0),MATCH(F$2,'[6]Budget original'!$A$2:$AO$2,0))</f>
        <v>0</v>
      </c>
      <c r="G388" s="578"/>
      <c r="H388" s="504"/>
      <c r="I388" s="526"/>
      <c r="J388" s="525"/>
      <c r="K388" s="504"/>
      <c r="L388" s="528">
        <f>-SUMIFS([6]BV_Data_An_Cour!$O:$O,[6]BV_Data_An_Cour!$U:$U,$B388,[6]BV_Data_An_Cour!$V:$V,$C388,[6]BV_Data_An_Cour!$W:$W,$L$2)</f>
        <v>0</v>
      </c>
      <c r="M388" s="525"/>
      <c r="N388" s="551"/>
      <c r="O388" s="525"/>
      <c r="P388" s="504"/>
      <c r="Q388" s="528">
        <f>-SUMIFS([6]BV_Data_An_Prec!$O:$O,[6]BV_Data_An_Prec!$U:$U,$B388,[6]BV_Data_An_Prec!$V:$V,$C388,[6]BV_Data_An_Prec!$W:$W,$L$2)</f>
        <v>0</v>
      </c>
      <c r="R388" s="525"/>
      <c r="S388" s="551">
        <f t="shared" si="76"/>
        <v>0</v>
      </c>
      <c r="T388" s="501"/>
      <c r="U388" s="501"/>
      <c r="V388" s="504"/>
      <c r="W388" s="501"/>
      <c r="X388" s="501"/>
      <c r="Y388" s="501"/>
      <c r="Z388" s="501"/>
      <c r="AA388" s="501"/>
      <c r="AB388" s="501"/>
      <c r="AC388" s="501"/>
      <c r="AD388" s="501"/>
      <c r="AE388" s="501"/>
      <c r="AF388" s="501"/>
      <c r="AG388" s="501"/>
      <c r="AH388" s="501"/>
      <c r="AI388" s="501"/>
      <c r="AJ388" s="501"/>
      <c r="AK388" s="501"/>
      <c r="AL388" s="501"/>
      <c r="AM388" s="501"/>
      <c r="AN388" s="501"/>
    </row>
    <row r="389" spans="1:40" ht="20.25" hidden="1" customHeight="1">
      <c r="A389" s="517" t="s">
        <v>463</v>
      </c>
      <c r="B389" s="504" t="s">
        <v>119</v>
      </c>
      <c r="C389" s="592" t="s">
        <v>62</v>
      </c>
      <c r="D389" s="577"/>
      <c r="E389" s="504"/>
      <c r="F389" s="526">
        <f t="array" ref="F389">+INDEX('[6]Budget original'!$A$2:$AO$500,MATCH($A389,'[6]Budget original'!$A$2:$A$500,0),MATCH(F$2,'[6]Budget original'!$A$2:$AO$2,0))</f>
        <v>0</v>
      </c>
      <c r="G389" s="578"/>
      <c r="H389" s="504"/>
      <c r="I389" s="526"/>
      <c r="J389" s="525"/>
      <c r="K389" s="504"/>
      <c r="L389" s="528">
        <f>-SUMIFS([6]BV_Data_An_Cour!$O:$O,[6]BV_Data_An_Cour!$U:$U,$B389,[6]BV_Data_An_Cour!$V:$V,$C389,[6]BV_Data_An_Cour!$W:$W,$L$2)</f>
        <v>0</v>
      </c>
      <c r="M389" s="525"/>
      <c r="N389" s="551"/>
      <c r="O389" s="525"/>
      <c r="P389" s="504"/>
      <c r="Q389" s="528">
        <f>-SUMIFS([6]BV_Data_An_Prec!$O:$O,[6]BV_Data_An_Prec!$U:$U,$B389,[6]BV_Data_An_Prec!$V:$V,$C389,[6]BV_Data_An_Prec!$W:$W,$L$2)</f>
        <v>0</v>
      </c>
      <c r="R389" s="525"/>
      <c r="S389" s="551">
        <f t="shared" si="76"/>
        <v>0</v>
      </c>
      <c r="T389" s="501"/>
      <c r="U389" s="501"/>
      <c r="V389" s="504"/>
      <c r="W389" s="501"/>
      <c r="X389" s="501"/>
      <c r="Y389" s="501"/>
      <c r="Z389" s="501"/>
      <c r="AA389" s="501"/>
      <c r="AB389" s="501"/>
      <c r="AC389" s="501"/>
      <c r="AD389" s="501"/>
      <c r="AE389" s="501"/>
      <c r="AF389" s="501"/>
      <c r="AG389" s="501"/>
      <c r="AH389" s="501"/>
      <c r="AI389" s="501"/>
      <c r="AJ389" s="501"/>
      <c r="AK389" s="501"/>
      <c r="AL389" s="501"/>
      <c r="AM389" s="501"/>
      <c r="AN389" s="501"/>
    </row>
    <row r="390" spans="1:40" ht="20.25" hidden="1" customHeight="1">
      <c r="A390" s="517" t="s">
        <v>464</v>
      </c>
      <c r="B390" s="504" t="s">
        <v>119</v>
      </c>
      <c r="C390" s="592" t="s">
        <v>63</v>
      </c>
      <c r="D390" s="577"/>
      <c r="E390" s="504"/>
      <c r="F390" s="526">
        <f t="array" ref="F390">+INDEX('[6]Budget original'!$A$2:$AO$500,MATCH($A390,'[6]Budget original'!$A$2:$A$500,0),MATCH(F$2,'[6]Budget original'!$A$2:$AO$2,0))</f>
        <v>0</v>
      </c>
      <c r="G390" s="578"/>
      <c r="H390" s="504"/>
      <c r="I390" s="526"/>
      <c r="J390" s="525"/>
      <c r="K390" s="504"/>
      <c r="L390" s="528">
        <f>-SUMIFS([6]BV_Data_An_Cour!$O:$O,[6]BV_Data_An_Cour!$U:$U,$B390,[6]BV_Data_An_Cour!$V:$V,$C390,[6]BV_Data_An_Cour!$W:$W,$L$2)</f>
        <v>0</v>
      </c>
      <c r="M390" s="525"/>
      <c r="N390" s="551"/>
      <c r="O390" s="525"/>
      <c r="P390" s="504"/>
      <c r="Q390" s="528">
        <f>-SUMIFS([6]BV_Data_An_Prec!$O:$O,[6]BV_Data_An_Prec!$U:$U,$B390,[6]BV_Data_An_Prec!$V:$V,$C390,[6]BV_Data_An_Prec!$W:$W,$L$2)</f>
        <v>0</v>
      </c>
      <c r="R390" s="525"/>
      <c r="S390" s="551">
        <f t="shared" si="76"/>
        <v>0</v>
      </c>
      <c r="T390" s="501"/>
      <c r="U390" s="501"/>
      <c r="V390" s="504"/>
      <c r="W390" s="501"/>
      <c r="X390" s="501"/>
      <c r="Y390" s="501"/>
      <c r="Z390" s="501"/>
      <c r="AA390" s="501"/>
      <c r="AB390" s="501"/>
      <c r="AC390" s="501"/>
      <c r="AD390" s="501"/>
      <c r="AE390" s="501"/>
      <c r="AF390" s="501"/>
      <c r="AG390" s="501"/>
      <c r="AH390" s="501"/>
      <c r="AI390" s="501"/>
      <c r="AJ390" s="501"/>
      <c r="AK390" s="501"/>
      <c r="AL390" s="501"/>
      <c r="AM390" s="501"/>
      <c r="AN390" s="501"/>
    </row>
    <row r="391" spans="1:40" ht="15.75" hidden="1" customHeight="1">
      <c r="A391" s="517" t="s">
        <v>445</v>
      </c>
      <c r="B391" s="504" t="s">
        <v>119</v>
      </c>
      <c r="C391" s="592" t="s">
        <v>20</v>
      </c>
      <c r="D391" s="577"/>
      <c r="E391" s="504"/>
      <c r="F391" s="526">
        <f t="array" ref="F391">+INDEX('[6]Budget original'!$A$2:$AO$500,MATCH($A391,'[6]Budget original'!$A$2:$A$500,0),MATCH(F$2,'[6]Budget original'!$A$2:$AO$2,0))</f>
        <v>0</v>
      </c>
      <c r="G391" s="578"/>
      <c r="H391" s="504"/>
      <c r="I391" s="526"/>
      <c r="J391" s="525"/>
      <c r="K391" s="504"/>
      <c r="L391" s="528">
        <f>-SUMIFS([6]BV_Data_An_Cour!$O:$O,[6]BV_Data_An_Cour!$U:$U,$B391,[6]BV_Data_An_Cour!$V:$V,$C391,[6]BV_Data_An_Cour!$W:$W,$L$2)</f>
        <v>0</v>
      </c>
      <c r="M391" s="525"/>
      <c r="N391" s="551"/>
      <c r="O391" s="525"/>
      <c r="P391" s="504"/>
      <c r="Q391" s="528">
        <f>-SUMIFS([6]BV_Data_An_Prec!$O:$O,[6]BV_Data_An_Prec!$U:$U,$B391,[6]BV_Data_An_Prec!$V:$V,$C391,[6]BV_Data_An_Prec!$W:$W,$L$2)</f>
        <v>0</v>
      </c>
      <c r="R391" s="525"/>
      <c r="S391" s="551">
        <f t="shared" si="76"/>
        <v>0</v>
      </c>
      <c r="T391" s="501"/>
      <c r="U391" s="501"/>
      <c r="V391" s="504"/>
      <c r="W391" s="501"/>
      <c r="X391" s="501"/>
      <c r="Y391" s="501"/>
      <c r="Z391" s="501"/>
      <c r="AA391" s="501"/>
      <c r="AB391" s="501"/>
      <c r="AC391" s="501"/>
      <c r="AD391" s="501"/>
      <c r="AE391" s="501"/>
      <c r="AF391" s="501"/>
      <c r="AG391" s="501"/>
      <c r="AH391" s="501"/>
      <c r="AI391" s="501"/>
      <c r="AJ391" s="501"/>
      <c r="AK391" s="501"/>
      <c r="AL391" s="501"/>
      <c r="AM391" s="501"/>
      <c r="AN391" s="501"/>
    </row>
    <row r="392" spans="1:40" ht="15.75" hidden="1" customHeight="1">
      <c r="A392" s="517" t="s">
        <v>445</v>
      </c>
      <c r="B392" s="504" t="s">
        <v>119</v>
      </c>
      <c r="C392" s="592" t="s">
        <v>20</v>
      </c>
      <c r="D392" s="577"/>
      <c r="E392" s="504"/>
      <c r="F392" s="526">
        <f t="array" ref="F392">+INDEX('[6]Budget original'!$A$2:$AO$500,MATCH($A392,'[6]Budget original'!$A$2:$A$500,0),MATCH(F$2,'[6]Budget original'!$A$2:$AO$2,0))</f>
        <v>0</v>
      </c>
      <c r="G392" s="578"/>
      <c r="H392" s="504"/>
      <c r="I392" s="526"/>
      <c r="J392" s="525"/>
      <c r="K392" s="504"/>
      <c r="L392" s="528">
        <f>-SUMIFS([6]BV_Data_An_Cour!$O:$O,[6]BV_Data_An_Cour!$U:$U,$B392,[6]BV_Data_An_Cour!$V:$V,$C392,[6]BV_Data_An_Cour!$W:$W,$L$2)</f>
        <v>0</v>
      </c>
      <c r="M392" s="525"/>
      <c r="N392" s="551"/>
      <c r="O392" s="525"/>
      <c r="P392" s="504"/>
      <c r="Q392" s="528">
        <f>-SUMIFS([6]BV_Data_An_Prec!$O:$O,[6]BV_Data_An_Prec!$U:$U,$B392,[6]BV_Data_An_Prec!$V:$V,$C392,[6]BV_Data_An_Prec!$W:$W,$L$2)</f>
        <v>0</v>
      </c>
      <c r="R392" s="525"/>
      <c r="S392" s="551">
        <f t="shared" si="76"/>
        <v>0</v>
      </c>
      <c r="T392" s="501"/>
      <c r="U392" s="501"/>
      <c r="V392" s="504"/>
      <c r="W392" s="501"/>
      <c r="X392" s="501"/>
      <c r="Y392" s="501"/>
      <c r="Z392" s="501"/>
      <c r="AA392" s="501"/>
      <c r="AB392" s="501"/>
      <c r="AC392" s="501"/>
      <c r="AD392" s="501"/>
      <c r="AE392" s="501"/>
      <c r="AF392" s="501"/>
      <c r="AG392" s="501"/>
      <c r="AH392" s="501"/>
      <c r="AI392" s="501"/>
      <c r="AJ392" s="501"/>
      <c r="AK392" s="501"/>
      <c r="AL392" s="501"/>
      <c r="AM392" s="501"/>
      <c r="AN392" s="501"/>
    </row>
    <row r="393" spans="1:40" ht="15.75" hidden="1" customHeight="1">
      <c r="A393" s="517" t="s">
        <v>445</v>
      </c>
      <c r="B393" s="504" t="s">
        <v>119</v>
      </c>
      <c r="C393" s="592" t="s">
        <v>20</v>
      </c>
      <c r="D393" s="579"/>
      <c r="E393" s="598"/>
      <c r="F393" s="526">
        <f t="array" ref="F393">+INDEX('[6]Budget original'!$A$2:$AO$500,MATCH($A393,'[6]Budget original'!$A$2:$A$500,0),MATCH(F$2,'[6]Budget original'!$A$2:$AO$2,0))</f>
        <v>0</v>
      </c>
      <c r="G393" s="580"/>
      <c r="H393" s="598"/>
      <c r="I393" s="526"/>
      <c r="J393" s="518"/>
      <c r="K393" s="598"/>
      <c r="L393" s="528">
        <f>-SUMIFS([6]BV_Data_An_Cour!$O:$O,[6]BV_Data_An_Cour!$U:$U,$B393,[6]BV_Data_An_Cour!$V:$V,$C393,[6]BV_Data_An_Cour!$W:$W,$L$2)</f>
        <v>0</v>
      </c>
      <c r="M393" s="518"/>
      <c r="N393" s="574"/>
      <c r="O393" s="518"/>
      <c r="P393" s="598"/>
      <c r="Q393" s="528">
        <f>-SUMIFS([6]BV_Data_An_Prec!$O:$O,[6]BV_Data_An_Prec!$U:$U,$B393,[6]BV_Data_An_Prec!$V:$V,$C393,[6]BV_Data_An_Prec!$W:$W,$L$2)</f>
        <v>0</v>
      </c>
      <c r="R393" s="518"/>
      <c r="S393" s="574">
        <f t="shared" si="76"/>
        <v>0</v>
      </c>
      <c r="T393" s="501"/>
      <c r="U393" s="501"/>
      <c r="V393" s="504"/>
      <c r="W393" s="501"/>
      <c r="X393" s="501"/>
      <c r="Y393" s="501"/>
      <c r="Z393" s="501"/>
      <c r="AA393" s="501"/>
      <c r="AB393" s="501"/>
      <c r="AC393" s="501"/>
      <c r="AD393" s="501"/>
      <c r="AE393" s="501"/>
      <c r="AF393" s="501"/>
      <c r="AG393" s="501"/>
      <c r="AH393" s="501"/>
      <c r="AI393" s="501"/>
      <c r="AJ393" s="501"/>
      <c r="AK393" s="501"/>
      <c r="AL393" s="501"/>
      <c r="AM393" s="501"/>
      <c r="AN393" s="501"/>
    </row>
    <row r="394" spans="1:40" ht="15.75" hidden="1" customHeight="1">
      <c r="B394" s="498"/>
      <c r="C394" s="584" t="s">
        <v>64</v>
      </c>
      <c r="D394" s="585" t="s">
        <v>39</v>
      </c>
      <c r="E394" s="586">
        <f>IFERROR(F394/F$359,0)</f>
        <v>0</v>
      </c>
      <c r="F394" s="587">
        <f>+SUM(F377:F393)</f>
        <v>0</v>
      </c>
      <c r="G394" s="588"/>
      <c r="H394" s="586"/>
      <c r="I394" s="587"/>
      <c r="J394" s="588" t="s">
        <v>39</v>
      </c>
      <c r="K394" s="586">
        <f>IFERROR(L394/L$359,0)</f>
        <v>0</v>
      </c>
      <c r="L394" s="587">
        <f>+SUM(L377:L393)</f>
        <v>0</v>
      </c>
      <c r="M394" s="637"/>
      <c r="N394" s="587"/>
      <c r="O394" s="588" t="s">
        <v>39</v>
      </c>
      <c r="P394" s="586">
        <f>IFERROR(Q394/Q$359,0)</f>
        <v>0</v>
      </c>
      <c r="Q394" s="587">
        <f>+SUM(Q377:Q393)</f>
        <v>0</v>
      </c>
      <c r="R394" s="637"/>
      <c r="S394" s="600">
        <f>+SUM(S377:S393)</f>
        <v>0</v>
      </c>
      <c r="T394" s="501"/>
      <c r="U394" s="501"/>
      <c r="V394" s="504"/>
      <c r="W394" s="501"/>
      <c r="X394" s="501"/>
      <c r="Y394" s="501"/>
      <c r="Z394" s="501"/>
      <c r="AA394" s="501"/>
      <c r="AB394" s="501"/>
      <c r="AC394" s="501"/>
      <c r="AD394" s="501"/>
      <c r="AE394" s="501"/>
      <c r="AF394" s="501"/>
      <c r="AG394" s="501"/>
      <c r="AH394" s="501"/>
      <c r="AI394" s="501"/>
      <c r="AJ394" s="501"/>
      <c r="AK394" s="501"/>
      <c r="AL394" s="501"/>
      <c r="AM394" s="501"/>
      <c r="AN394" s="501"/>
    </row>
    <row r="395" spans="1:40" ht="15.75" hidden="1" customHeight="1">
      <c r="B395" s="498"/>
      <c r="C395" s="525"/>
      <c r="D395" s="504"/>
      <c r="E395" s="504"/>
      <c r="F395" s="535"/>
      <c r="G395" s="525"/>
      <c r="H395" s="504"/>
      <c r="I395" s="535"/>
      <c r="J395" s="525"/>
      <c r="K395" s="504"/>
      <c r="L395" s="535"/>
      <c r="M395" s="544"/>
      <c r="N395" s="565"/>
      <c r="O395" s="525"/>
      <c r="P395" s="504"/>
      <c r="Q395" s="535"/>
      <c r="R395" s="525"/>
      <c r="S395" s="565"/>
      <c r="T395" s="501"/>
      <c r="U395" s="501"/>
      <c r="V395" s="504"/>
      <c r="W395" s="501"/>
      <c r="X395" s="501"/>
      <c r="Y395" s="501"/>
      <c r="Z395" s="501"/>
      <c r="AA395" s="501"/>
      <c r="AB395" s="501"/>
      <c r="AC395" s="501"/>
      <c r="AD395" s="501"/>
      <c r="AE395" s="501"/>
      <c r="AF395" s="501"/>
      <c r="AG395" s="501"/>
      <c r="AH395" s="501"/>
      <c r="AI395" s="501"/>
      <c r="AJ395" s="501"/>
      <c r="AK395" s="501"/>
      <c r="AL395" s="501"/>
      <c r="AM395" s="501"/>
      <c r="AN395" s="501"/>
    </row>
    <row r="396" spans="1:40" ht="15.75" hidden="1" customHeight="1">
      <c r="B396" s="498"/>
      <c r="C396" s="584" t="s">
        <v>65</v>
      </c>
      <c r="D396" s="585" t="s">
        <v>39</v>
      </c>
      <c r="E396" s="586">
        <f>IFERROR(F396/F$359,0)</f>
        <v>0</v>
      </c>
      <c r="F396" s="587">
        <f>F376+F394</f>
        <v>0</v>
      </c>
      <c r="G396" s="588"/>
      <c r="H396" s="586"/>
      <c r="I396" s="587"/>
      <c r="J396" s="588" t="s">
        <v>39</v>
      </c>
      <c r="K396" s="586">
        <f>IFERROR(L396/L$359,0)</f>
        <v>0</v>
      </c>
      <c r="L396" s="587">
        <f>L376+L394</f>
        <v>0</v>
      </c>
      <c r="M396" s="584"/>
      <c r="N396" s="587"/>
      <c r="O396" s="588" t="s">
        <v>39</v>
      </c>
      <c r="P396" s="586">
        <f>IFERROR(Q396/Q$359,0)</f>
        <v>0</v>
      </c>
      <c r="Q396" s="587">
        <f>Q376+Q394</f>
        <v>0</v>
      </c>
      <c r="R396" s="591"/>
      <c r="S396" s="587">
        <f>L396-Q396</f>
        <v>0</v>
      </c>
      <c r="T396" s="501"/>
      <c r="U396" s="501"/>
      <c r="V396" s="504"/>
      <c r="W396" s="501"/>
      <c r="X396" s="501"/>
      <c r="Y396" s="501"/>
      <c r="Z396" s="501"/>
      <c r="AA396" s="501"/>
      <c r="AB396" s="501"/>
      <c r="AC396" s="501"/>
      <c r="AD396" s="501"/>
      <c r="AE396" s="501"/>
      <c r="AF396" s="501"/>
      <c r="AG396" s="501"/>
      <c r="AH396" s="501"/>
      <c r="AI396" s="501"/>
      <c r="AJ396" s="501"/>
      <c r="AK396" s="501"/>
      <c r="AL396" s="501"/>
      <c r="AM396" s="501"/>
      <c r="AN396" s="501"/>
    </row>
    <row r="397" spans="1:40" ht="15.75" hidden="1" customHeight="1">
      <c r="B397" s="498"/>
      <c r="C397" s="525"/>
      <c r="D397" s="504"/>
      <c r="E397" s="504"/>
      <c r="F397" s="551"/>
      <c r="G397" s="525"/>
      <c r="H397" s="504"/>
      <c r="I397" s="551"/>
      <c r="J397" s="525"/>
      <c r="K397" s="504"/>
      <c r="L397" s="551"/>
      <c r="M397" s="544"/>
      <c r="N397" s="565"/>
      <c r="O397" s="525"/>
      <c r="P397" s="504"/>
      <c r="Q397" s="551"/>
      <c r="R397" s="525"/>
      <c r="S397" s="565"/>
      <c r="T397" s="501"/>
      <c r="U397" s="501"/>
      <c r="V397" s="504"/>
      <c r="W397" s="501"/>
      <c r="X397" s="501"/>
      <c r="Y397" s="501"/>
      <c r="Z397" s="501"/>
      <c r="AA397" s="501"/>
      <c r="AB397" s="501"/>
      <c r="AC397" s="501"/>
      <c r="AD397" s="501"/>
      <c r="AE397" s="501"/>
      <c r="AF397" s="501"/>
      <c r="AG397" s="501"/>
      <c r="AH397" s="501"/>
      <c r="AI397" s="501"/>
      <c r="AJ397" s="501"/>
      <c r="AK397" s="501"/>
      <c r="AL397" s="501"/>
      <c r="AM397" s="501"/>
      <c r="AN397" s="501"/>
    </row>
    <row r="398" spans="1:40" ht="15.75" hidden="1" customHeight="1">
      <c r="B398" s="498"/>
      <c r="C398" s="714" t="s">
        <v>72</v>
      </c>
      <c r="D398" s="715"/>
      <c r="E398" s="715"/>
      <c r="F398" s="716">
        <f>F361-F396</f>
        <v>0</v>
      </c>
      <c r="G398" s="714"/>
      <c r="H398" s="715"/>
      <c r="I398" s="716"/>
      <c r="J398" s="717"/>
      <c r="K398" s="718"/>
      <c r="L398" s="716">
        <f>L361-L396</f>
        <v>0</v>
      </c>
      <c r="M398" s="714"/>
      <c r="N398" s="716"/>
      <c r="O398" s="717"/>
      <c r="P398" s="718"/>
      <c r="Q398" s="716">
        <f>Q361-Q396</f>
        <v>0</v>
      </c>
      <c r="R398" s="717"/>
      <c r="S398" s="716">
        <f>L398-Q398</f>
        <v>0</v>
      </c>
      <c r="T398" s="501"/>
      <c r="U398" s="501"/>
      <c r="V398" s="504"/>
      <c r="W398" s="501"/>
      <c r="X398" s="501"/>
      <c r="Y398" s="501"/>
      <c r="Z398" s="501"/>
      <c r="AA398" s="501"/>
      <c r="AB398" s="501"/>
      <c r="AC398" s="501"/>
      <c r="AD398" s="501"/>
      <c r="AE398" s="501"/>
      <c r="AF398" s="501"/>
      <c r="AG398" s="501"/>
      <c r="AH398" s="501"/>
      <c r="AI398" s="501"/>
      <c r="AJ398" s="501"/>
      <c r="AK398" s="501"/>
      <c r="AL398" s="501"/>
      <c r="AM398" s="501"/>
      <c r="AN398" s="501"/>
    </row>
    <row r="399" spans="1:40" ht="15.75" customHeight="1">
      <c r="B399" s="498"/>
      <c r="C399" s="564"/>
      <c r="D399" s="577"/>
      <c r="E399" s="504"/>
      <c r="F399" s="599"/>
      <c r="G399" s="577"/>
      <c r="H399" s="504"/>
      <c r="I399" s="599"/>
      <c r="J399" s="564"/>
      <c r="K399" s="564"/>
      <c r="L399" s="599"/>
      <c r="M399" s="564"/>
      <c r="N399" s="599"/>
      <c r="O399" s="564"/>
      <c r="P399" s="564"/>
      <c r="Q399" s="599"/>
      <c r="R399" s="564"/>
      <c r="S399" s="599"/>
      <c r="T399" s="504"/>
      <c r="U399" s="504"/>
      <c r="V399" s="504"/>
      <c r="W399" s="504"/>
      <c r="X399" s="504"/>
      <c r="Y399" s="504"/>
      <c r="Z399" s="504"/>
      <c r="AA399" s="504"/>
      <c r="AB399" s="504"/>
      <c r="AC399" s="504"/>
      <c r="AD399" s="504"/>
      <c r="AE399" s="504"/>
      <c r="AF399" s="504"/>
      <c r="AG399" s="504"/>
      <c r="AH399" s="504"/>
      <c r="AI399" s="504"/>
      <c r="AJ399" s="504"/>
      <c r="AK399" s="504"/>
      <c r="AL399" s="504"/>
      <c r="AM399" s="504"/>
      <c r="AN399" s="504"/>
    </row>
    <row r="400" spans="1:40" ht="15.75" customHeight="1">
      <c r="B400" s="498"/>
      <c r="V400" s="504"/>
      <c r="W400" s="501"/>
      <c r="X400" s="501"/>
      <c r="Y400" s="501"/>
      <c r="Z400" s="501"/>
      <c r="AA400" s="501"/>
      <c r="AB400" s="501"/>
      <c r="AC400" s="501"/>
      <c r="AD400" s="501"/>
      <c r="AE400" s="501"/>
      <c r="AF400" s="501"/>
      <c r="AG400" s="501"/>
      <c r="AH400" s="501"/>
      <c r="AI400" s="501"/>
      <c r="AJ400" s="501"/>
      <c r="AK400" s="501"/>
      <c r="AL400" s="501"/>
      <c r="AM400" s="501"/>
      <c r="AN400" s="501"/>
    </row>
    <row r="401" spans="1:61" ht="35.4">
      <c r="B401" s="498"/>
      <c r="C401" s="721" t="s">
        <v>465</v>
      </c>
      <c r="F401" s="720"/>
      <c r="L401" s="720"/>
      <c r="V401" s="722" t="str">
        <f>C1</f>
        <v>Volks</v>
      </c>
      <c r="W401" s="490"/>
      <c r="X401" s="490"/>
      <c r="Y401" s="490"/>
      <c r="Z401" s="490"/>
      <c r="AA401" s="490"/>
      <c r="AB401" s="490"/>
      <c r="AC401" s="490"/>
      <c r="AD401" s="490"/>
      <c r="AE401" s="492" t="s">
        <v>476</v>
      </c>
      <c r="AF401" s="490"/>
      <c r="AG401" s="490"/>
      <c r="AH401" s="490"/>
      <c r="AI401" s="490"/>
      <c r="AJ401" s="723"/>
      <c r="AK401" s="492"/>
      <c r="AL401" s="490"/>
      <c r="AM401" s="490"/>
      <c r="AN401" s="490"/>
      <c r="AO401" s="723" t="str">
        <f>$S$1</f>
        <v>Réalisé, Juin 2023</v>
      </c>
      <c r="AP401" s="501"/>
      <c r="AQ401" s="501"/>
      <c r="AR401" s="501"/>
      <c r="AS401" s="501"/>
      <c r="AT401" s="501"/>
      <c r="AU401" s="501"/>
      <c r="AV401" s="501"/>
      <c r="AW401" s="501"/>
      <c r="AX401" s="501"/>
      <c r="AY401" s="501"/>
      <c r="AZ401" s="501"/>
      <c r="BA401" s="501"/>
      <c r="BB401" s="501"/>
      <c r="BC401" s="501"/>
      <c r="BD401" s="501"/>
      <c r="BE401" s="501"/>
      <c r="BF401" s="501"/>
      <c r="BG401" s="501"/>
      <c r="BH401" s="501"/>
      <c r="BI401" s="501"/>
    </row>
    <row r="402" spans="1:61" ht="15.75" customHeight="1" thickBot="1">
      <c r="B402" s="498"/>
      <c r="C402" s="721" t="s">
        <v>465</v>
      </c>
      <c r="V402" s="724"/>
      <c r="W402" s="500"/>
      <c r="X402" s="500"/>
      <c r="Y402" s="500"/>
      <c r="Z402" s="500"/>
      <c r="AA402" s="500"/>
      <c r="AB402" s="500"/>
      <c r="AC402" s="500"/>
      <c r="AD402" s="500"/>
      <c r="AE402" s="500"/>
      <c r="AF402" s="500"/>
      <c r="AG402" s="500"/>
      <c r="AH402" s="500"/>
      <c r="AI402" s="500"/>
      <c r="AJ402" s="500"/>
      <c r="AK402" s="500"/>
      <c r="AL402" s="501"/>
      <c r="AM402" s="501"/>
      <c r="AN402" s="501"/>
      <c r="AO402" s="501"/>
      <c r="AP402" s="501"/>
      <c r="AQ402" s="501"/>
      <c r="AR402" s="501"/>
      <c r="AS402" s="501"/>
      <c r="AT402" s="501"/>
      <c r="AU402" s="501"/>
      <c r="AV402" s="501"/>
      <c r="AW402" s="501"/>
      <c r="AX402" s="501"/>
      <c r="AY402" s="501"/>
      <c r="AZ402" s="501"/>
      <c r="BA402" s="501"/>
      <c r="BB402" s="501"/>
      <c r="BC402" s="501"/>
      <c r="BD402" s="501"/>
      <c r="BE402" s="501"/>
      <c r="BF402" s="501"/>
      <c r="BG402" s="501"/>
      <c r="BH402" s="501"/>
      <c r="BI402" s="501"/>
    </row>
    <row r="403" spans="1:61" ht="15.75" customHeight="1" thickTop="1" thickBot="1">
      <c r="A403" s="517" t="s">
        <v>466</v>
      </c>
      <c r="B403" s="498"/>
      <c r="C403" s="721" t="s">
        <v>465</v>
      </c>
      <c r="V403" s="725"/>
      <c r="W403" s="726"/>
      <c r="X403" s="727" t="s">
        <v>122</v>
      </c>
      <c r="Y403" s="728"/>
      <c r="Z403" s="729"/>
      <c r="AA403" s="730"/>
      <c r="AB403" s="728"/>
      <c r="AC403" s="729"/>
      <c r="AD403" s="730" t="s">
        <v>7</v>
      </c>
      <c r="AE403" s="728"/>
      <c r="AF403" s="729"/>
      <c r="AG403" s="730" t="s">
        <v>472</v>
      </c>
      <c r="AH403" s="728"/>
      <c r="AI403" s="729"/>
      <c r="AJ403" s="730" t="s">
        <v>123</v>
      </c>
      <c r="AK403" s="728"/>
      <c r="AL403" s="728"/>
      <c r="AM403" s="730" t="s">
        <v>124</v>
      </c>
      <c r="AN403" s="728"/>
      <c r="AO403" s="731"/>
      <c r="AP403" s="501"/>
      <c r="AQ403" s="501"/>
      <c r="AR403" s="501"/>
      <c r="AS403" s="501"/>
      <c r="AT403" s="501"/>
      <c r="AU403" s="501"/>
      <c r="AV403" s="501"/>
      <c r="AW403" s="501"/>
      <c r="AX403" s="501"/>
      <c r="AY403" s="501"/>
      <c r="AZ403" s="501"/>
      <c r="BA403" s="501"/>
      <c r="BB403" s="501"/>
      <c r="BC403" s="501"/>
      <c r="BD403" s="501"/>
      <c r="BE403" s="501"/>
      <c r="BF403" s="501"/>
      <c r="BG403" s="501"/>
      <c r="BH403" s="501"/>
      <c r="BI403" s="501"/>
    </row>
    <row r="404" spans="1:61" ht="15.75" customHeight="1">
      <c r="A404" s="517" t="s">
        <v>466</v>
      </c>
      <c r="B404" s="498"/>
      <c r="C404" s="721" t="s">
        <v>465</v>
      </c>
      <c r="V404" s="518"/>
      <c r="W404" s="686" t="s">
        <v>125</v>
      </c>
      <c r="X404" s="686" t="s">
        <v>126</v>
      </c>
      <c r="Y404" s="686" t="s">
        <v>127</v>
      </c>
      <c r="Z404" s="732" t="s">
        <v>128</v>
      </c>
      <c r="AA404" s="686"/>
      <c r="AB404" s="686"/>
      <c r="AC404" s="732"/>
      <c r="AD404" s="733" t="s">
        <v>126</v>
      </c>
      <c r="AE404" s="686" t="s">
        <v>127</v>
      </c>
      <c r="AF404" s="686" t="s">
        <v>128</v>
      </c>
      <c r="AG404" s="733" t="s">
        <v>129</v>
      </c>
      <c r="AH404" s="686" t="s">
        <v>130</v>
      </c>
      <c r="AI404" s="686" t="s">
        <v>131</v>
      </c>
      <c r="AJ404" s="733" t="s">
        <v>126</v>
      </c>
      <c r="AK404" s="686" t="s">
        <v>127</v>
      </c>
      <c r="AL404" s="686" t="s">
        <v>128</v>
      </c>
      <c r="AM404" s="734" t="s">
        <v>129</v>
      </c>
      <c r="AN404" s="686" t="s">
        <v>130</v>
      </c>
      <c r="AO404" s="625" t="s">
        <v>131</v>
      </c>
      <c r="AP404" s="501"/>
      <c r="AQ404" s="501"/>
      <c r="AR404" s="501"/>
      <c r="AS404" s="501"/>
      <c r="AT404" s="501"/>
      <c r="AU404" s="501"/>
      <c r="AV404" s="501"/>
      <c r="AW404" s="501"/>
      <c r="AX404" s="501"/>
      <c r="AY404" s="501"/>
      <c r="AZ404" s="501"/>
      <c r="BA404" s="501"/>
      <c r="BB404" s="501"/>
      <c r="BC404" s="501"/>
      <c r="BD404" s="501"/>
      <c r="BE404" s="501"/>
      <c r="BF404" s="501"/>
      <c r="BG404" s="501"/>
      <c r="BH404" s="501"/>
      <c r="BI404" s="501"/>
    </row>
    <row r="405" spans="1:61" ht="15.75" customHeight="1">
      <c r="A405" s="517" t="s">
        <v>15</v>
      </c>
      <c r="B405" s="498"/>
      <c r="C405" s="721" t="s">
        <v>465</v>
      </c>
      <c r="V405" s="593" t="s">
        <v>15</v>
      </c>
      <c r="W405" s="735"/>
      <c r="X405" s="735"/>
      <c r="Y405" s="735"/>
      <c r="Z405" s="736">
        <f>F5+F93+E193+E249+D313+D361</f>
        <v>4751999.5885613598</v>
      </c>
      <c r="AA405" s="735"/>
      <c r="AB405" s="735"/>
      <c r="AC405" s="736"/>
      <c r="AD405" s="737"/>
      <c r="AE405" s="738"/>
      <c r="AF405" s="738">
        <f>L5+L93+K193+K249+J313+J361</f>
        <v>5520989.4899999993</v>
      </c>
      <c r="AG405" s="737"/>
      <c r="AH405" s="738"/>
      <c r="AI405" s="739"/>
      <c r="AJ405" s="737"/>
      <c r="AK405" s="738"/>
      <c r="AL405" s="738">
        <f>Q5+Q93+P193+P249+O313+O361</f>
        <v>5523213.8900000006</v>
      </c>
      <c r="AM405" s="740"/>
      <c r="AN405" s="738"/>
      <c r="AO405" s="741"/>
      <c r="AP405" s="501"/>
      <c r="AQ405" s="501"/>
      <c r="AR405" s="501"/>
      <c r="AS405" s="501"/>
      <c r="AT405" s="501"/>
      <c r="AU405" s="501"/>
      <c r="AV405" s="501"/>
      <c r="AW405" s="501"/>
      <c r="AX405" s="501"/>
      <c r="AY405" s="501"/>
      <c r="AZ405" s="501"/>
      <c r="BA405" s="501"/>
      <c r="BB405" s="501"/>
      <c r="BC405" s="501"/>
      <c r="BD405" s="501"/>
      <c r="BE405" s="501"/>
      <c r="BF405" s="501"/>
      <c r="BG405" s="501"/>
      <c r="BH405" s="501"/>
      <c r="BI405" s="501"/>
    </row>
    <row r="406" spans="1:61" ht="15.75" customHeight="1">
      <c r="A406" s="517" t="s">
        <v>132</v>
      </c>
      <c r="B406" s="498"/>
      <c r="C406" s="721" t="s">
        <v>465</v>
      </c>
      <c r="V406" s="742" t="s">
        <v>132</v>
      </c>
      <c r="W406" s="743"/>
      <c r="X406" s="743"/>
      <c r="Y406" s="743"/>
      <c r="Z406" s="744">
        <f>F27+F107+F193+F249+F313+F361</f>
        <v>691334.32512757019</v>
      </c>
      <c r="AA406" s="743"/>
      <c r="AB406" s="743"/>
      <c r="AC406" s="744"/>
      <c r="AD406" s="745"/>
      <c r="AE406" s="746"/>
      <c r="AF406" s="744">
        <f>L27+L107+L193+L249+L313+L361</f>
        <v>675919.49000000034</v>
      </c>
      <c r="AG406" s="745"/>
      <c r="AH406" s="746">
        <f>AF406-Z406</f>
        <v>-15414.835127569851</v>
      </c>
      <c r="AI406" s="747">
        <f>AH406/Z406</f>
        <v>-2.2297222295052963E-2</v>
      </c>
      <c r="AJ406" s="745"/>
      <c r="AK406" s="746"/>
      <c r="AL406" s="746">
        <f>Q27+Q107+Q193+Q249+Q313+Q361</f>
        <v>797861.77000000014</v>
      </c>
      <c r="AM406" s="748"/>
      <c r="AN406" s="746">
        <f>AF406-AL406</f>
        <v>-121942.2799999998</v>
      </c>
      <c r="AO406" s="749">
        <f>IF(AL406=0,0,AN406/AL406)</f>
        <v>-0.1528363490833754</v>
      </c>
      <c r="AP406" s="501"/>
      <c r="AQ406" s="501"/>
      <c r="AR406" s="501"/>
      <c r="AS406" s="501"/>
      <c r="AT406" s="501"/>
      <c r="AU406" s="501"/>
      <c r="AV406" s="501"/>
      <c r="AW406" s="501"/>
      <c r="AX406" s="501"/>
      <c r="AY406" s="501"/>
      <c r="AZ406" s="501"/>
      <c r="BA406" s="501"/>
      <c r="BB406" s="501"/>
      <c r="BC406" s="501"/>
      <c r="BD406" s="501"/>
      <c r="BE406" s="501"/>
      <c r="BF406" s="501"/>
      <c r="BG406" s="501"/>
      <c r="BH406" s="501"/>
      <c r="BI406" s="501"/>
    </row>
    <row r="407" spans="1:61" ht="15.75" customHeight="1">
      <c r="A407" s="517" t="s">
        <v>133</v>
      </c>
      <c r="B407" s="498"/>
      <c r="C407" s="721" t="s">
        <v>465</v>
      </c>
      <c r="V407" s="750" t="s">
        <v>133</v>
      </c>
      <c r="W407" s="751"/>
      <c r="X407" s="751"/>
      <c r="Y407" s="751"/>
      <c r="Z407" s="752"/>
      <c r="AA407" s="751"/>
      <c r="AB407" s="751"/>
      <c r="AC407" s="752"/>
      <c r="AD407" s="753"/>
      <c r="AE407" s="751"/>
      <c r="AF407" s="754"/>
      <c r="AG407" s="753"/>
      <c r="AH407" s="754"/>
      <c r="AI407" s="755"/>
      <c r="AJ407" s="753"/>
      <c r="AK407" s="751"/>
      <c r="AL407" s="754"/>
      <c r="AM407" s="756"/>
      <c r="AN407" s="754"/>
      <c r="AO407" s="757"/>
      <c r="AP407" s="501"/>
      <c r="AQ407" s="501"/>
      <c r="AR407" s="501"/>
      <c r="AS407" s="501"/>
      <c r="AT407" s="501"/>
      <c r="AU407" s="501"/>
      <c r="AV407" s="501"/>
      <c r="AW407" s="501"/>
      <c r="AX407" s="501"/>
      <c r="AY407" s="501"/>
      <c r="AZ407" s="501"/>
      <c r="BA407" s="501"/>
      <c r="BB407" s="501"/>
      <c r="BC407" s="501"/>
      <c r="BD407" s="501"/>
      <c r="BE407" s="501"/>
      <c r="BF407" s="501"/>
      <c r="BG407" s="501"/>
      <c r="BH407" s="501"/>
      <c r="BI407" s="501"/>
    </row>
    <row r="408" spans="1:61" ht="15.75" customHeight="1">
      <c r="A408" s="517" t="s">
        <v>31</v>
      </c>
      <c r="B408" s="498"/>
      <c r="C408" s="721" t="s">
        <v>465</v>
      </c>
      <c r="V408" s="592" t="s">
        <v>31</v>
      </c>
      <c r="W408" s="758" t="s">
        <v>134</v>
      </c>
      <c r="X408" s="751"/>
      <c r="Y408" s="759">
        <f t="shared" ref="Y408:Y417" si="77">Z408/(D$13+D$96)</f>
        <v>710.58546905404637</v>
      </c>
      <c r="Z408" s="752">
        <f t="shared" ref="Z408:Z414" si="78">+SUMIF($C:$C,$V408,F:F)</f>
        <v>62845.48538588571</v>
      </c>
      <c r="AA408" s="751"/>
      <c r="AB408" s="759"/>
      <c r="AC408" s="752"/>
      <c r="AD408" s="760"/>
      <c r="AE408" s="759">
        <f t="shared" ref="AE408:AE413" si="79">IF(AF408=0,0,AF408/(J$13+J$96))</f>
        <v>853.46062500000005</v>
      </c>
      <c r="AF408" s="752">
        <f t="shared" ref="AF408:AF414" si="80">+SUMIF($C:$C,$V408,L:L)</f>
        <v>68276.850000000006</v>
      </c>
      <c r="AG408" s="753">
        <f t="shared" ref="AG408:AH423" si="81">AE408-Y408</f>
        <v>142.87515594595368</v>
      </c>
      <c r="AH408" s="754">
        <f t="shared" si="81"/>
        <v>5431.3646141142963</v>
      </c>
      <c r="AI408" s="755">
        <f t="shared" ref="AI408:AI417" si="82">IF(Z408=0,0,AH408/Z408)</f>
        <v>8.6424101600369077E-2</v>
      </c>
      <c r="AJ408" s="760"/>
      <c r="AK408" s="754">
        <f t="shared" ref="AK408:AK417" si="83">AL408/(O$13+O$96)</f>
        <v>932.84636363636355</v>
      </c>
      <c r="AL408" s="752">
        <f t="shared" ref="AL408:AL414" si="84">+SUMIF($C:$C,$V408,Q:Q)</f>
        <v>82090.48</v>
      </c>
      <c r="AM408" s="756">
        <f t="shared" ref="AM408:AM417" si="85">AE408-Y408</f>
        <v>142.87515594595368</v>
      </c>
      <c r="AN408" s="754">
        <f t="shared" ref="AN408:AN430" si="86">AF408-AL408</f>
        <v>-13813.62999999999</v>
      </c>
      <c r="AO408" s="761">
        <f t="shared" ref="AO408:AO430" si="87">IF(AL408=0,0,AN408/AL408)</f>
        <v>-0.1682732272974892</v>
      </c>
      <c r="AP408" s="501"/>
      <c r="AQ408" s="501"/>
      <c r="AR408" s="498"/>
      <c r="AS408" s="501"/>
      <c r="AT408" s="501"/>
      <c r="AU408" s="501"/>
      <c r="AV408" s="501"/>
      <c r="AW408" s="501"/>
      <c r="AX408" s="501"/>
      <c r="AY408" s="501"/>
      <c r="AZ408" s="501"/>
      <c r="BA408" s="501"/>
      <c r="BB408" s="501"/>
      <c r="BC408" s="501"/>
      <c r="BD408" s="501"/>
      <c r="BE408" s="501"/>
      <c r="BF408" s="501"/>
      <c r="BG408" s="501"/>
      <c r="BH408" s="501"/>
      <c r="BI408" s="501"/>
    </row>
    <row r="409" spans="1:61" ht="15.75" customHeight="1">
      <c r="A409" s="517" t="s">
        <v>32</v>
      </c>
      <c r="B409" s="498"/>
      <c r="C409" s="721" t="s">
        <v>465</v>
      </c>
      <c r="V409" s="593" t="s">
        <v>32</v>
      </c>
      <c r="W409" s="762" t="s">
        <v>135</v>
      </c>
      <c r="X409" s="735"/>
      <c r="Y409" s="763">
        <f t="shared" si="77"/>
        <v>482.40949134445077</v>
      </c>
      <c r="Z409" s="736">
        <f t="shared" si="78"/>
        <v>42665.182386377142</v>
      </c>
      <c r="AA409" s="735"/>
      <c r="AB409" s="763"/>
      <c r="AC409" s="736"/>
      <c r="AD409" s="764"/>
      <c r="AE409" s="763">
        <f t="shared" si="79"/>
        <v>443.94837500000006</v>
      </c>
      <c r="AF409" s="736">
        <f t="shared" si="80"/>
        <v>35515.870000000003</v>
      </c>
      <c r="AG409" s="737">
        <f t="shared" si="81"/>
        <v>-38.461116344450716</v>
      </c>
      <c r="AH409" s="738">
        <f t="shared" si="81"/>
        <v>-7149.3123863771398</v>
      </c>
      <c r="AI409" s="765">
        <f t="shared" si="82"/>
        <v>-0.16756783837539371</v>
      </c>
      <c r="AJ409" s="764"/>
      <c r="AK409" s="738">
        <f t="shared" si="83"/>
        <v>562.55465909090901</v>
      </c>
      <c r="AL409" s="736">
        <f t="shared" si="84"/>
        <v>49504.81</v>
      </c>
      <c r="AM409" s="740">
        <f t="shared" si="85"/>
        <v>-38.461116344450716</v>
      </c>
      <c r="AN409" s="738">
        <f t="shared" si="86"/>
        <v>-13988.939999999995</v>
      </c>
      <c r="AO409" s="741">
        <f t="shared" si="87"/>
        <v>-0.28257738995463261</v>
      </c>
      <c r="AP409" s="501"/>
      <c r="AQ409" s="501"/>
      <c r="AR409" s="504"/>
      <c r="AS409" s="501"/>
      <c r="AT409" s="501"/>
      <c r="AU409" s="501"/>
      <c r="AV409" s="501"/>
      <c r="AW409" s="501"/>
      <c r="AX409" s="501"/>
      <c r="AY409" s="501"/>
      <c r="AZ409" s="501"/>
      <c r="BA409" s="501"/>
      <c r="BB409" s="501"/>
      <c r="BC409" s="501"/>
      <c r="BD409" s="501"/>
      <c r="BE409" s="501"/>
      <c r="BF409" s="501"/>
      <c r="BG409" s="501"/>
      <c r="BH409" s="501"/>
      <c r="BI409" s="501"/>
    </row>
    <row r="410" spans="1:61" ht="15.75" customHeight="1">
      <c r="A410" s="517" t="s">
        <v>33</v>
      </c>
      <c r="B410" s="498"/>
      <c r="C410" s="721" t="s">
        <v>465</v>
      </c>
      <c r="V410" s="592" t="s">
        <v>33</v>
      </c>
      <c r="W410" s="758" t="s">
        <v>136</v>
      </c>
      <c r="X410" s="751"/>
      <c r="Y410" s="759">
        <f t="shared" si="77"/>
        <v>84.734957851448641</v>
      </c>
      <c r="Z410" s="752">
        <f t="shared" si="78"/>
        <v>7494.1154684966232</v>
      </c>
      <c r="AA410" s="751"/>
      <c r="AB410" s="759"/>
      <c r="AC410" s="752"/>
      <c r="AD410" s="760"/>
      <c r="AE410" s="759">
        <f t="shared" si="79"/>
        <v>69.216750000000005</v>
      </c>
      <c r="AF410" s="752">
        <f t="shared" si="80"/>
        <v>5537.34</v>
      </c>
      <c r="AG410" s="753">
        <f t="shared" si="81"/>
        <v>-15.518207851448636</v>
      </c>
      <c r="AH410" s="754">
        <f t="shared" si="81"/>
        <v>-1956.775468496623</v>
      </c>
      <c r="AI410" s="755">
        <f t="shared" si="82"/>
        <v>-0.26110826243903168</v>
      </c>
      <c r="AJ410" s="760"/>
      <c r="AK410" s="754">
        <f t="shared" si="83"/>
        <v>54.646363636363638</v>
      </c>
      <c r="AL410" s="752">
        <f t="shared" si="84"/>
        <v>4808.88</v>
      </c>
      <c r="AM410" s="756">
        <f t="shared" si="85"/>
        <v>-15.518207851448636</v>
      </c>
      <c r="AN410" s="754">
        <f t="shared" si="86"/>
        <v>728.46</v>
      </c>
      <c r="AO410" s="761">
        <f t="shared" si="87"/>
        <v>0.15148225782302741</v>
      </c>
      <c r="AP410" s="501"/>
      <c r="AQ410" s="501"/>
      <c r="AR410" s="504"/>
      <c r="AS410" s="501"/>
      <c r="AT410" s="501"/>
      <c r="AU410" s="501"/>
      <c r="AV410" s="501"/>
      <c r="AW410" s="501"/>
      <c r="AX410" s="501"/>
      <c r="AY410" s="501"/>
      <c r="AZ410" s="501"/>
      <c r="BA410" s="501"/>
      <c r="BB410" s="501"/>
      <c r="BC410" s="501"/>
      <c r="BD410" s="501"/>
      <c r="BE410" s="501"/>
      <c r="BF410" s="501"/>
      <c r="BG410" s="501"/>
      <c r="BH410" s="501"/>
      <c r="BI410" s="501"/>
    </row>
    <row r="411" spans="1:61" ht="15.75" customHeight="1">
      <c r="A411" s="517" t="s">
        <v>34</v>
      </c>
      <c r="B411" s="498"/>
      <c r="C411" s="721" t="s">
        <v>465</v>
      </c>
      <c r="V411" s="592" t="s">
        <v>34</v>
      </c>
      <c r="W411" s="758" t="s">
        <v>137</v>
      </c>
      <c r="X411" s="751"/>
      <c r="Y411" s="759">
        <f t="shared" si="77"/>
        <v>10.052048079571316</v>
      </c>
      <c r="Z411" s="752">
        <f t="shared" si="78"/>
        <v>889.02161414008765</v>
      </c>
      <c r="AA411" s="751"/>
      <c r="AB411" s="759"/>
      <c r="AC411" s="752"/>
      <c r="AD411" s="760"/>
      <c r="AE411" s="759">
        <f t="shared" si="79"/>
        <v>0</v>
      </c>
      <c r="AF411" s="752">
        <f t="shared" si="80"/>
        <v>0</v>
      </c>
      <c r="AG411" s="753">
        <f t="shared" si="81"/>
        <v>-10.052048079571316</v>
      </c>
      <c r="AH411" s="754">
        <f t="shared" si="81"/>
        <v>-889.02161414008765</v>
      </c>
      <c r="AI411" s="755">
        <f t="shared" si="82"/>
        <v>-1</v>
      </c>
      <c r="AJ411" s="760"/>
      <c r="AK411" s="754">
        <f t="shared" si="83"/>
        <v>6.5939772727272725</v>
      </c>
      <c r="AL411" s="752">
        <f t="shared" si="84"/>
        <v>580.27</v>
      </c>
      <c r="AM411" s="756">
        <f t="shared" si="85"/>
        <v>-10.052048079571316</v>
      </c>
      <c r="AN411" s="754">
        <f t="shared" si="86"/>
        <v>-580.27</v>
      </c>
      <c r="AO411" s="761">
        <f t="shared" si="87"/>
        <v>-1</v>
      </c>
      <c r="AP411" s="501"/>
      <c r="AQ411" s="501"/>
      <c r="AR411" s="504"/>
      <c r="AS411" s="501"/>
      <c r="AT411" s="501"/>
      <c r="AU411" s="501"/>
      <c r="AV411" s="501"/>
      <c r="AW411" s="501"/>
      <c r="AX411" s="501"/>
      <c r="AY411" s="501"/>
      <c r="AZ411" s="501"/>
      <c r="BA411" s="501"/>
      <c r="BB411" s="501"/>
      <c r="BC411" s="501"/>
      <c r="BD411" s="501"/>
      <c r="BE411" s="501"/>
      <c r="BF411" s="501"/>
      <c r="BG411" s="501"/>
      <c r="BH411" s="501"/>
      <c r="BI411" s="501"/>
    </row>
    <row r="412" spans="1:61" ht="15.75" customHeight="1">
      <c r="A412" s="517" t="s">
        <v>35</v>
      </c>
      <c r="B412" s="498"/>
      <c r="C412" s="721" t="s">
        <v>465</v>
      </c>
      <c r="V412" s="593" t="s">
        <v>35</v>
      </c>
      <c r="W412" s="762"/>
      <c r="X412" s="735"/>
      <c r="Y412" s="763">
        <f t="shared" si="77"/>
        <v>116.9910752794837</v>
      </c>
      <c r="Z412" s="736">
        <f t="shared" si="78"/>
        <v>10346.905800851149</v>
      </c>
      <c r="AA412" s="735"/>
      <c r="AB412" s="763"/>
      <c r="AC412" s="736"/>
      <c r="AD412" s="764"/>
      <c r="AE412" s="763">
        <f t="shared" si="79"/>
        <v>101.99487500000001</v>
      </c>
      <c r="AF412" s="736">
        <f t="shared" si="80"/>
        <v>8159.59</v>
      </c>
      <c r="AG412" s="737">
        <f t="shared" si="81"/>
        <v>-14.996200279483688</v>
      </c>
      <c r="AH412" s="738">
        <f t="shared" si="81"/>
        <v>-2187.3158008511491</v>
      </c>
      <c r="AI412" s="765">
        <f t="shared" si="82"/>
        <v>-0.21139805879659385</v>
      </c>
      <c r="AJ412" s="764"/>
      <c r="AK412" s="738">
        <f t="shared" si="83"/>
        <v>104.83363636363637</v>
      </c>
      <c r="AL412" s="736">
        <f t="shared" si="84"/>
        <v>9225.36</v>
      </c>
      <c r="AM412" s="740">
        <f t="shared" si="85"/>
        <v>-14.996200279483688</v>
      </c>
      <c r="AN412" s="738">
        <f t="shared" si="86"/>
        <v>-1065.7700000000004</v>
      </c>
      <c r="AO412" s="741">
        <f t="shared" si="87"/>
        <v>-0.11552611497003915</v>
      </c>
      <c r="AP412" s="501"/>
      <c r="AQ412" s="501"/>
      <c r="AR412" s="504"/>
      <c r="AS412" s="501"/>
      <c r="AT412" s="501"/>
      <c r="AU412" s="501"/>
      <c r="AV412" s="501"/>
      <c r="AW412" s="501"/>
      <c r="AX412" s="501"/>
      <c r="AY412" s="501"/>
      <c r="AZ412" s="501"/>
      <c r="BA412" s="501"/>
      <c r="BB412" s="501"/>
      <c r="BC412" s="501"/>
      <c r="BD412" s="501"/>
      <c r="BE412" s="501"/>
      <c r="BF412" s="501"/>
      <c r="BG412" s="501"/>
      <c r="BH412" s="501"/>
      <c r="BI412" s="501"/>
    </row>
    <row r="413" spans="1:61" ht="15.75" customHeight="1">
      <c r="A413" s="517" t="s">
        <v>36</v>
      </c>
      <c r="B413" s="498"/>
      <c r="C413" s="721" t="s">
        <v>465</v>
      </c>
      <c r="V413" s="592" t="s">
        <v>36</v>
      </c>
      <c r="W413" s="758" t="s">
        <v>138</v>
      </c>
      <c r="X413" s="755"/>
      <c r="Y413" s="759">
        <f t="shared" si="77"/>
        <v>203.81124361886177</v>
      </c>
      <c r="Z413" s="752">
        <f t="shared" si="78"/>
        <v>18025.441118827832</v>
      </c>
      <c r="AA413" s="755"/>
      <c r="AB413" s="759"/>
      <c r="AC413" s="752"/>
      <c r="AD413" s="760"/>
      <c r="AE413" s="759">
        <f t="shared" si="79"/>
        <v>261.49475000000001</v>
      </c>
      <c r="AF413" s="752">
        <f t="shared" si="80"/>
        <v>20919.580000000002</v>
      </c>
      <c r="AG413" s="753">
        <f t="shared" si="81"/>
        <v>57.683506381138244</v>
      </c>
      <c r="AH413" s="754">
        <f t="shared" si="81"/>
        <v>2894.1388811721699</v>
      </c>
      <c r="AI413" s="755">
        <f t="shared" si="82"/>
        <v>0.16055856065287635</v>
      </c>
      <c r="AJ413" s="760"/>
      <c r="AK413" s="754">
        <f t="shared" si="83"/>
        <v>156.64750000000001</v>
      </c>
      <c r="AL413" s="752">
        <f t="shared" si="84"/>
        <v>13784.98</v>
      </c>
      <c r="AM413" s="756">
        <f t="shared" si="85"/>
        <v>57.683506381138244</v>
      </c>
      <c r="AN413" s="754">
        <f t="shared" si="86"/>
        <v>7134.6000000000022</v>
      </c>
      <c r="AO413" s="761">
        <f t="shared" si="87"/>
        <v>0.51756331891667617</v>
      </c>
      <c r="AP413" s="501"/>
      <c r="AQ413" s="501"/>
      <c r="AR413" s="504"/>
      <c r="AS413" s="501"/>
      <c r="AT413" s="501"/>
      <c r="AU413" s="501"/>
      <c r="AV413" s="501"/>
      <c r="AW413" s="501"/>
      <c r="AX413" s="501"/>
      <c r="AY413" s="501"/>
      <c r="AZ413" s="501"/>
      <c r="BA413" s="501"/>
      <c r="BB413" s="501"/>
      <c r="BC413" s="501"/>
      <c r="BD413" s="501"/>
      <c r="BE413" s="501"/>
      <c r="BF413" s="501"/>
      <c r="BG413" s="501"/>
      <c r="BH413" s="501"/>
      <c r="BI413" s="501"/>
    </row>
    <row r="414" spans="1:61" ht="15.75" customHeight="1">
      <c r="A414" s="517" t="s">
        <v>37</v>
      </c>
      <c r="B414" s="498"/>
      <c r="C414" s="721" t="s">
        <v>465</v>
      </c>
      <c r="V414" s="592" t="s">
        <v>37</v>
      </c>
      <c r="W414" s="758" t="s">
        <v>139</v>
      </c>
      <c r="X414" s="751"/>
      <c r="Y414" s="759">
        <f t="shared" si="77"/>
        <v>99.414155970357911</v>
      </c>
      <c r="Z414" s="752">
        <f t="shared" si="78"/>
        <v>8792.3707397260259</v>
      </c>
      <c r="AA414" s="751"/>
      <c r="AB414" s="759"/>
      <c r="AC414" s="752"/>
      <c r="AD414" s="760"/>
      <c r="AE414" s="759">
        <f t="shared" ref="AE414:AE417" si="88">IF(AF414=0,0,AF414/(J$13+J$13))</f>
        <v>57.249909090909092</v>
      </c>
      <c r="AF414" s="752">
        <f t="shared" si="80"/>
        <v>6297.49</v>
      </c>
      <c r="AG414" s="753">
        <f t="shared" si="81"/>
        <v>-42.164246879448818</v>
      </c>
      <c r="AH414" s="754">
        <f t="shared" si="81"/>
        <v>-2494.8807397260261</v>
      </c>
      <c r="AI414" s="755">
        <f t="shared" si="82"/>
        <v>-0.28375517975528042</v>
      </c>
      <c r="AJ414" s="760"/>
      <c r="AK414" s="754">
        <f t="shared" si="83"/>
        <v>44.589204545454542</v>
      </c>
      <c r="AL414" s="752">
        <f t="shared" si="84"/>
        <v>3923.85</v>
      </c>
      <c r="AM414" s="756">
        <f t="shared" si="85"/>
        <v>-42.164246879448818</v>
      </c>
      <c r="AN414" s="754">
        <f t="shared" si="86"/>
        <v>2373.64</v>
      </c>
      <c r="AO414" s="761">
        <f t="shared" si="87"/>
        <v>0.60492628413420491</v>
      </c>
      <c r="AP414" s="501"/>
      <c r="AQ414" s="501"/>
      <c r="AR414" s="504"/>
      <c r="AS414" s="501"/>
      <c r="AT414" s="501"/>
      <c r="AU414" s="501"/>
      <c r="AV414" s="501"/>
      <c r="AW414" s="501"/>
      <c r="AX414" s="501"/>
      <c r="AY414" s="501"/>
      <c r="AZ414" s="501"/>
      <c r="BA414" s="501"/>
      <c r="BB414" s="501"/>
      <c r="BC414" s="501"/>
      <c r="BD414" s="501"/>
      <c r="BE414" s="501"/>
      <c r="BF414" s="501"/>
      <c r="BG414" s="501"/>
      <c r="BH414" s="501"/>
      <c r="BI414" s="501"/>
    </row>
    <row r="415" spans="1:61" ht="15.75" hidden="1" customHeight="1">
      <c r="A415" s="517" t="s">
        <v>20</v>
      </c>
      <c r="B415" s="498"/>
      <c r="C415" s="721" t="s">
        <v>465</v>
      </c>
      <c r="V415" s="592" t="s">
        <v>20</v>
      </c>
      <c r="W415" s="758"/>
      <c r="X415" s="755"/>
      <c r="Y415" s="759">
        <f t="shared" si="77"/>
        <v>0</v>
      </c>
      <c r="Z415" s="752">
        <f t="shared" ref="Z415:Z417" si="89">IFERROR(SUMIF($C:$C,$V415,F:F),0)</f>
        <v>0</v>
      </c>
      <c r="AA415" s="751"/>
      <c r="AB415" s="759"/>
      <c r="AC415" s="752"/>
      <c r="AD415" s="760"/>
      <c r="AE415" s="759">
        <f t="shared" si="88"/>
        <v>0</v>
      </c>
      <c r="AF415" s="752">
        <f t="shared" ref="AF415:AF417" si="90">IFERROR(SUMIF($C:$C,$V415,L:L),0)</f>
        <v>0</v>
      </c>
      <c r="AG415" s="753">
        <f t="shared" si="81"/>
        <v>0</v>
      </c>
      <c r="AH415" s="754">
        <f t="shared" si="81"/>
        <v>0</v>
      </c>
      <c r="AI415" s="755">
        <f t="shared" si="82"/>
        <v>0</v>
      </c>
      <c r="AJ415" s="760"/>
      <c r="AK415" s="754">
        <f t="shared" si="83"/>
        <v>0</v>
      </c>
      <c r="AL415" s="752">
        <f t="shared" ref="AL415:AL417" si="91">IFERROR(SUMIF($C:$C,$V415,Q:Q),0)</f>
        <v>0</v>
      </c>
      <c r="AM415" s="756">
        <f t="shared" si="85"/>
        <v>0</v>
      </c>
      <c r="AN415" s="754">
        <f t="shared" si="86"/>
        <v>0</v>
      </c>
      <c r="AO415" s="761">
        <f t="shared" si="87"/>
        <v>0</v>
      </c>
      <c r="AP415" s="501"/>
      <c r="AQ415" s="501"/>
      <c r="AR415" s="504"/>
      <c r="AS415" s="501"/>
      <c r="AT415" s="501"/>
      <c r="AU415" s="501"/>
      <c r="AV415" s="501"/>
      <c r="AW415" s="501"/>
      <c r="AX415" s="501"/>
      <c r="AY415" s="501"/>
      <c r="AZ415" s="501"/>
      <c r="BA415" s="501"/>
      <c r="BB415" s="501"/>
      <c r="BC415" s="501"/>
      <c r="BD415" s="501"/>
      <c r="BE415" s="501"/>
      <c r="BF415" s="501"/>
      <c r="BG415" s="501"/>
      <c r="BH415" s="501"/>
      <c r="BI415" s="501"/>
    </row>
    <row r="416" spans="1:61" ht="15.75" hidden="1" customHeight="1">
      <c r="A416" s="517" t="s">
        <v>20</v>
      </c>
      <c r="B416" s="498"/>
      <c r="C416" s="721" t="s">
        <v>465</v>
      </c>
      <c r="V416" s="592" t="s">
        <v>20</v>
      </c>
      <c r="W416" s="758"/>
      <c r="X416" s="755"/>
      <c r="Y416" s="759">
        <f t="shared" si="77"/>
        <v>0</v>
      </c>
      <c r="Z416" s="752">
        <f t="shared" si="89"/>
        <v>0</v>
      </c>
      <c r="AA416" s="751"/>
      <c r="AB416" s="759"/>
      <c r="AC416" s="752"/>
      <c r="AD416" s="760"/>
      <c r="AE416" s="759">
        <f t="shared" si="88"/>
        <v>0</v>
      </c>
      <c r="AF416" s="752">
        <f t="shared" si="90"/>
        <v>0</v>
      </c>
      <c r="AG416" s="753">
        <f t="shared" si="81"/>
        <v>0</v>
      </c>
      <c r="AH416" s="754">
        <f t="shared" si="81"/>
        <v>0</v>
      </c>
      <c r="AI416" s="755">
        <f t="shared" si="82"/>
        <v>0</v>
      </c>
      <c r="AJ416" s="760"/>
      <c r="AK416" s="754">
        <f t="shared" si="83"/>
        <v>0</v>
      </c>
      <c r="AL416" s="752">
        <f t="shared" si="91"/>
        <v>0</v>
      </c>
      <c r="AM416" s="756">
        <f t="shared" si="85"/>
        <v>0</v>
      </c>
      <c r="AN416" s="754">
        <f t="shared" si="86"/>
        <v>0</v>
      </c>
      <c r="AO416" s="761">
        <f t="shared" si="87"/>
        <v>0</v>
      </c>
      <c r="AP416" s="501"/>
      <c r="AQ416" s="501"/>
      <c r="AR416" s="504"/>
      <c r="AS416" s="501"/>
      <c r="AT416" s="501"/>
      <c r="AU416" s="501"/>
      <c r="AV416" s="501"/>
      <c r="AW416" s="501"/>
      <c r="AX416" s="501"/>
      <c r="AY416" s="501"/>
      <c r="AZ416" s="501"/>
      <c r="BA416" s="501"/>
      <c r="BB416" s="501"/>
      <c r="BC416" s="501"/>
      <c r="BD416" s="501"/>
      <c r="BE416" s="501"/>
      <c r="BF416" s="501"/>
      <c r="BG416" s="501"/>
      <c r="BH416" s="501"/>
      <c r="BI416" s="501"/>
    </row>
    <row r="417" spans="1:61" ht="15.75" hidden="1" customHeight="1">
      <c r="A417" s="517" t="s">
        <v>20</v>
      </c>
      <c r="B417" s="498"/>
      <c r="C417" s="721" t="s">
        <v>465</v>
      </c>
      <c r="V417" s="592" t="s">
        <v>20</v>
      </c>
      <c r="W417" s="758" t="s">
        <v>139</v>
      </c>
      <c r="X417" s="751"/>
      <c r="Y417" s="759">
        <f t="shared" si="77"/>
        <v>0</v>
      </c>
      <c r="Z417" s="752">
        <f t="shared" si="89"/>
        <v>0</v>
      </c>
      <c r="AA417" s="751"/>
      <c r="AB417" s="759"/>
      <c r="AC417" s="752"/>
      <c r="AD417" s="760"/>
      <c r="AE417" s="759">
        <f t="shared" si="88"/>
        <v>0</v>
      </c>
      <c r="AF417" s="752">
        <f t="shared" si="90"/>
        <v>0</v>
      </c>
      <c r="AG417" s="753">
        <f t="shared" si="81"/>
        <v>0</v>
      </c>
      <c r="AH417" s="754">
        <f t="shared" si="81"/>
        <v>0</v>
      </c>
      <c r="AI417" s="755">
        <f t="shared" si="82"/>
        <v>0</v>
      </c>
      <c r="AJ417" s="760"/>
      <c r="AK417" s="754">
        <f t="shared" si="83"/>
        <v>0</v>
      </c>
      <c r="AL417" s="752">
        <f t="shared" si="91"/>
        <v>0</v>
      </c>
      <c r="AM417" s="756">
        <f t="shared" si="85"/>
        <v>0</v>
      </c>
      <c r="AN417" s="754">
        <f t="shared" si="86"/>
        <v>0</v>
      </c>
      <c r="AO417" s="761">
        <f t="shared" si="87"/>
        <v>0</v>
      </c>
      <c r="AP417" s="501"/>
      <c r="AQ417" s="501"/>
      <c r="AR417" s="504"/>
      <c r="AS417" s="501"/>
      <c r="AT417" s="501"/>
      <c r="AU417" s="501"/>
      <c r="AV417" s="501"/>
      <c r="AW417" s="501"/>
      <c r="AX417" s="501"/>
      <c r="AY417" s="501"/>
      <c r="AZ417" s="501"/>
      <c r="BA417" s="501"/>
      <c r="BB417" s="501"/>
      <c r="BC417" s="501"/>
      <c r="BD417" s="501"/>
      <c r="BE417" s="501"/>
      <c r="BF417" s="501"/>
      <c r="BG417" s="501"/>
      <c r="BH417" s="501"/>
      <c r="BI417" s="501"/>
    </row>
    <row r="418" spans="1:61" ht="15.75" customHeight="1">
      <c r="A418" s="517" t="s">
        <v>38</v>
      </c>
      <c r="B418" s="498"/>
      <c r="C418" s="721" t="s">
        <v>465</v>
      </c>
      <c r="V418" s="766" t="s">
        <v>38</v>
      </c>
      <c r="W418" s="767"/>
      <c r="X418" s="768">
        <f>Z418/Z406</f>
        <v>0.21850285314045434</v>
      </c>
      <c r="Y418" s="767"/>
      <c r="Z418" s="769">
        <f>SUM(Z408:Z417)</f>
        <v>151058.52251430458</v>
      </c>
      <c r="AA418" s="768"/>
      <c r="AB418" s="767"/>
      <c r="AC418" s="769"/>
      <c r="AD418" s="770">
        <f>AF418/AF406</f>
        <v>0.21408869272285652</v>
      </c>
      <c r="AE418" s="767"/>
      <c r="AF418" s="769">
        <f>SUM(AF408:AF417)</f>
        <v>144706.71999999997</v>
      </c>
      <c r="AG418" s="771"/>
      <c r="AH418" s="772">
        <f t="shared" si="81"/>
        <v>-6351.8025143046107</v>
      </c>
      <c r="AI418" s="768">
        <f>AH418/Z418</f>
        <v>-4.204862068410025E-2</v>
      </c>
      <c r="AJ418" s="770">
        <f>IF($AL$406=0,0,AL418/$AL$406)</f>
        <v>0.20544740475533749</v>
      </c>
      <c r="AK418" s="767"/>
      <c r="AL418" s="769">
        <f>SUM(AL408:AL417)</f>
        <v>163918.63</v>
      </c>
      <c r="AM418" s="773"/>
      <c r="AN418" s="772">
        <f t="shared" si="86"/>
        <v>-19211.910000000033</v>
      </c>
      <c r="AO418" s="749">
        <f t="shared" si="87"/>
        <v>-0.11720394442047272</v>
      </c>
      <c r="AP418" s="501"/>
      <c r="AQ418" s="501"/>
      <c r="AR418" s="504"/>
      <c r="AS418" s="501"/>
      <c r="AT418" s="501"/>
      <c r="AU418" s="501"/>
      <c r="AV418" s="501"/>
      <c r="AW418" s="501"/>
      <c r="AX418" s="501"/>
      <c r="AY418" s="501"/>
      <c r="AZ418" s="501"/>
      <c r="BA418" s="501"/>
      <c r="BB418" s="501"/>
      <c r="BC418" s="501"/>
      <c r="BD418" s="501"/>
      <c r="BE418" s="501"/>
      <c r="BF418" s="501"/>
      <c r="BG418" s="501"/>
      <c r="BH418" s="501"/>
      <c r="BI418" s="501"/>
    </row>
    <row r="419" spans="1:61" ht="15.75" customHeight="1">
      <c r="A419" s="517" t="s">
        <v>140</v>
      </c>
      <c r="B419" s="498"/>
      <c r="C419" s="721" t="s">
        <v>465</v>
      </c>
      <c r="V419" s="592" t="s">
        <v>140</v>
      </c>
      <c r="W419" s="758" t="s">
        <v>141</v>
      </c>
      <c r="X419" s="751"/>
      <c r="Y419" s="751"/>
      <c r="Z419" s="752">
        <f t="array" ref="Z419">+INDEX('[6]Budget original'!$A$2:$AO$500,MATCH($A419,'[6]Budget original'!$A$2:$A$500,0),MATCH(F$2,'[6]Budget original'!$A$2:$AO$2,0))</f>
        <v>15725.739386973182</v>
      </c>
      <c r="AA419" s="751"/>
      <c r="AB419" s="751"/>
      <c r="AC419" s="752"/>
      <c r="AD419" s="760"/>
      <c r="AE419" s="759"/>
      <c r="AF419" s="752">
        <f>SUMIFS([6]BV_Data_An_Cour!$O:$O,[6]BV_Data_An_Cour!$V:$V,$V419)</f>
        <v>19731.150000000001</v>
      </c>
      <c r="AG419" s="753"/>
      <c r="AH419" s="754">
        <f t="shared" si="81"/>
        <v>4005.4106130268192</v>
      </c>
      <c r="AI419" s="755">
        <f t="shared" ref="AI419:AI431" si="92">IF(Z419=0,0,AH419/Z419)</f>
        <v>0.25470412007112386</v>
      </c>
      <c r="AJ419" s="760"/>
      <c r="AK419" s="751"/>
      <c r="AL419" s="752">
        <f>SUMIFS([6]BV_Data_An_Prec!$O:$O,[6]BV_Data_An_Prec!$V:$V,$V419)</f>
        <v>17488.079999999998</v>
      </c>
      <c r="AM419" s="756"/>
      <c r="AN419" s="754">
        <f t="shared" si="86"/>
        <v>2243.0700000000033</v>
      </c>
      <c r="AO419" s="761">
        <f t="shared" si="87"/>
        <v>0.12826279385730185</v>
      </c>
      <c r="AP419" s="501"/>
      <c r="AQ419" s="501"/>
      <c r="AR419" s="501"/>
      <c r="AS419" s="501"/>
      <c r="AT419" s="501"/>
      <c r="AU419" s="501"/>
      <c r="AV419" s="501"/>
      <c r="AW419" s="501"/>
      <c r="AX419" s="501"/>
      <c r="AY419" s="501"/>
      <c r="AZ419" s="501"/>
      <c r="BA419" s="501"/>
      <c r="BB419" s="501"/>
      <c r="BC419" s="501"/>
      <c r="BD419" s="501"/>
      <c r="BE419" s="501"/>
      <c r="BF419" s="501"/>
      <c r="BG419" s="501"/>
      <c r="BH419" s="501"/>
      <c r="BI419" s="501"/>
    </row>
    <row r="420" spans="1:61" ht="15.75" customHeight="1">
      <c r="A420" s="517" t="s">
        <v>41</v>
      </c>
      <c r="B420" s="498"/>
      <c r="C420" s="721" t="s">
        <v>465</v>
      </c>
      <c r="V420" s="592" t="s">
        <v>41</v>
      </c>
      <c r="W420" s="758" t="s">
        <v>142</v>
      </c>
      <c r="X420" s="751"/>
      <c r="Y420" s="751"/>
      <c r="Z420" s="752">
        <f t="shared" ref="Z420:Z423" si="93">+SUMIF($C:$C,$V420,F:F)</f>
        <v>43004.043103448275</v>
      </c>
      <c r="AA420" s="751"/>
      <c r="AB420" s="751"/>
      <c r="AC420" s="752"/>
      <c r="AD420" s="760"/>
      <c r="AE420" s="759"/>
      <c r="AF420" s="752">
        <f t="shared" ref="AF420:AF423" si="94">+SUMIF($C:$C,$V420,L:L)</f>
        <v>37891.840000000004</v>
      </c>
      <c r="AG420" s="753"/>
      <c r="AH420" s="754">
        <f t="shared" si="81"/>
        <v>-5112.2031034482716</v>
      </c>
      <c r="AI420" s="755">
        <f t="shared" si="92"/>
        <v>-0.11887726675258471</v>
      </c>
      <c r="AJ420" s="760"/>
      <c r="AK420" s="751"/>
      <c r="AL420" s="752">
        <f t="shared" ref="AL420:AL423" si="95">+SUMIF($C:$C,$V420,Q:Q)</f>
        <v>28740.82</v>
      </c>
      <c r="AM420" s="756"/>
      <c r="AN420" s="754">
        <f t="shared" si="86"/>
        <v>9151.0200000000041</v>
      </c>
      <c r="AO420" s="761">
        <f t="shared" si="87"/>
        <v>0.31839801369619947</v>
      </c>
      <c r="AP420" s="501"/>
      <c r="AQ420" s="501"/>
      <c r="AR420" s="501"/>
      <c r="AS420" s="501"/>
      <c r="AT420" s="501"/>
      <c r="AU420" s="501"/>
      <c r="AV420" s="501"/>
      <c r="AW420" s="501"/>
      <c r="AX420" s="501"/>
      <c r="AY420" s="501"/>
      <c r="AZ420" s="501"/>
      <c r="BA420" s="501"/>
      <c r="BB420" s="501"/>
      <c r="BC420" s="501"/>
      <c r="BD420" s="501"/>
      <c r="BE420" s="501"/>
      <c r="BF420" s="501"/>
      <c r="BG420" s="501"/>
      <c r="BH420" s="501"/>
      <c r="BI420" s="501"/>
    </row>
    <row r="421" spans="1:61" ht="15.75" customHeight="1">
      <c r="A421" s="517" t="s">
        <v>42</v>
      </c>
      <c r="B421" s="498"/>
      <c r="C421" s="721" t="s">
        <v>465</v>
      </c>
      <c r="V421" s="593" t="s">
        <v>42</v>
      </c>
      <c r="W421" s="762" t="s">
        <v>143</v>
      </c>
      <c r="X421" s="735"/>
      <c r="Y421" s="735"/>
      <c r="Z421" s="736">
        <f t="shared" si="93"/>
        <v>52087.070344827589</v>
      </c>
      <c r="AA421" s="735"/>
      <c r="AB421" s="735"/>
      <c r="AC421" s="736"/>
      <c r="AD421" s="764"/>
      <c r="AE421" s="763"/>
      <c r="AF421" s="736">
        <f t="shared" si="94"/>
        <v>50801</v>
      </c>
      <c r="AG421" s="737"/>
      <c r="AH421" s="738">
        <f t="shared" si="81"/>
        <v>-1286.070344827589</v>
      </c>
      <c r="AI421" s="765">
        <f t="shared" si="92"/>
        <v>-2.4690779041968137E-2</v>
      </c>
      <c r="AJ421" s="764"/>
      <c r="AK421" s="735"/>
      <c r="AL421" s="736">
        <f t="shared" si="95"/>
        <v>21010.74</v>
      </c>
      <c r="AM421" s="740"/>
      <c r="AN421" s="738">
        <f t="shared" si="86"/>
        <v>29790.26</v>
      </c>
      <c r="AO421" s="741">
        <f t="shared" si="87"/>
        <v>1.4178586760866108</v>
      </c>
      <c r="AP421" s="501"/>
      <c r="AQ421" s="501"/>
      <c r="AR421" s="501"/>
      <c r="AS421" s="501"/>
      <c r="AT421" s="501"/>
      <c r="AU421" s="501"/>
      <c r="AV421" s="501"/>
      <c r="AW421" s="501"/>
      <c r="AX421" s="501"/>
      <c r="AY421" s="501"/>
      <c r="AZ421" s="501"/>
      <c r="BA421" s="501"/>
      <c r="BB421" s="501"/>
      <c r="BC421" s="501"/>
      <c r="BD421" s="501"/>
      <c r="BE421" s="501"/>
      <c r="BF421" s="501"/>
      <c r="BG421" s="501"/>
      <c r="BH421" s="501"/>
      <c r="BI421" s="501"/>
    </row>
    <row r="422" spans="1:61" ht="15.75" customHeight="1">
      <c r="A422" s="517" t="s">
        <v>43</v>
      </c>
      <c r="B422" s="498"/>
      <c r="C422" s="721" t="s">
        <v>465</v>
      </c>
      <c r="V422" s="592" t="s">
        <v>43</v>
      </c>
      <c r="W422" s="758" t="s">
        <v>144</v>
      </c>
      <c r="X422" s="751"/>
      <c r="Y422" s="751"/>
      <c r="Z422" s="752">
        <f t="shared" si="93"/>
        <v>31637.251340996168</v>
      </c>
      <c r="AA422" s="751"/>
      <c r="AB422" s="751"/>
      <c r="AC422" s="752"/>
      <c r="AD422" s="760"/>
      <c r="AE422" s="759"/>
      <c r="AF422" s="752">
        <f t="shared" si="94"/>
        <v>30665.710000000003</v>
      </c>
      <c r="AG422" s="753"/>
      <c r="AH422" s="754">
        <f t="shared" si="81"/>
        <v>-971.54134099616567</v>
      </c>
      <c r="AI422" s="755">
        <f t="shared" si="92"/>
        <v>-3.0708778412024164E-2</v>
      </c>
      <c r="AJ422" s="760"/>
      <c r="AK422" s="751"/>
      <c r="AL422" s="752">
        <f t="shared" si="95"/>
        <v>61159.64</v>
      </c>
      <c r="AM422" s="756"/>
      <c r="AN422" s="754">
        <f t="shared" si="86"/>
        <v>-30493.929999999997</v>
      </c>
      <c r="AO422" s="761">
        <f t="shared" si="87"/>
        <v>-0.49859564248579613</v>
      </c>
      <c r="AP422" s="501"/>
      <c r="AQ422" s="501"/>
      <c r="AR422" s="501"/>
      <c r="AS422" s="501"/>
      <c r="AT422" s="501"/>
      <c r="AU422" s="501"/>
      <c r="AV422" s="501"/>
      <c r="AW422" s="501"/>
      <c r="AX422" s="501"/>
      <c r="AY422" s="501"/>
      <c r="AZ422" s="501"/>
      <c r="BA422" s="501"/>
      <c r="BB422" s="501"/>
      <c r="BC422" s="501"/>
      <c r="BD422" s="501"/>
      <c r="BE422" s="501"/>
      <c r="BF422" s="501"/>
      <c r="BG422" s="501"/>
      <c r="BH422" s="501"/>
      <c r="BI422" s="501"/>
    </row>
    <row r="423" spans="1:61" ht="15.75" customHeight="1">
      <c r="A423" s="517" t="s">
        <v>44</v>
      </c>
      <c r="B423" s="498"/>
      <c r="C423" s="721" t="s">
        <v>465</v>
      </c>
      <c r="V423" s="592" t="s">
        <v>44</v>
      </c>
      <c r="W423" s="758" t="s">
        <v>145</v>
      </c>
      <c r="X423" s="751"/>
      <c r="Y423" s="751"/>
      <c r="Z423" s="752">
        <f t="shared" si="93"/>
        <v>35197.138670401589</v>
      </c>
      <c r="AA423" s="751"/>
      <c r="AB423" s="751"/>
      <c r="AC423" s="752"/>
      <c r="AD423" s="760"/>
      <c r="AE423" s="759"/>
      <c r="AF423" s="752">
        <f t="shared" si="94"/>
        <v>38627.79</v>
      </c>
      <c r="AG423" s="753"/>
      <c r="AH423" s="754">
        <f t="shared" si="81"/>
        <v>3430.6513295984114</v>
      </c>
      <c r="AI423" s="755">
        <f t="shared" si="92"/>
        <v>9.7469608587341133E-2</v>
      </c>
      <c r="AJ423" s="760"/>
      <c r="AK423" s="751"/>
      <c r="AL423" s="752">
        <f t="shared" si="95"/>
        <v>51272.01</v>
      </c>
      <c r="AM423" s="756"/>
      <c r="AN423" s="754">
        <f t="shared" si="86"/>
        <v>-12644.220000000001</v>
      </c>
      <c r="AO423" s="761">
        <f t="shared" si="87"/>
        <v>-0.24661057758414387</v>
      </c>
      <c r="AP423" s="501"/>
      <c r="AQ423" s="501"/>
      <c r="AR423" s="501"/>
      <c r="AS423" s="501"/>
      <c r="AT423" s="501"/>
      <c r="AU423" s="501"/>
      <c r="AV423" s="501"/>
      <c r="AW423" s="501"/>
      <c r="AX423" s="501"/>
      <c r="AY423" s="501"/>
      <c r="AZ423" s="501"/>
      <c r="BA423" s="501"/>
      <c r="BB423" s="501"/>
      <c r="BC423" s="501"/>
      <c r="BD423" s="501"/>
      <c r="BE423" s="501"/>
      <c r="BF423" s="501"/>
      <c r="BG423" s="501"/>
      <c r="BH423" s="501"/>
      <c r="BI423" s="501"/>
    </row>
    <row r="424" spans="1:61" ht="15.75" hidden="1" customHeight="1">
      <c r="A424" s="517" t="s">
        <v>20</v>
      </c>
      <c r="B424" s="498"/>
      <c r="C424" s="721" t="s">
        <v>465</v>
      </c>
      <c r="V424" s="592" t="s">
        <v>20</v>
      </c>
      <c r="W424" s="758"/>
      <c r="X424" s="751"/>
      <c r="Y424" s="751"/>
      <c r="Z424" s="752">
        <f t="shared" ref="Z424:Z426" si="96">IFERROR(SUMIF($C:$C,$V424,F:F),0)</f>
        <v>0</v>
      </c>
      <c r="AA424" s="751"/>
      <c r="AB424" s="751"/>
      <c r="AC424" s="752"/>
      <c r="AD424" s="760"/>
      <c r="AE424" s="759"/>
      <c r="AF424" s="752">
        <f t="shared" ref="AF424:AF426" si="97">IFERROR(SUMIF($C:$C,$V424,L:L),0)</f>
        <v>0</v>
      </c>
      <c r="AG424" s="753"/>
      <c r="AH424" s="754">
        <f t="shared" ref="AH424:AH456" si="98">AF424-Z424</f>
        <v>0</v>
      </c>
      <c r="AI424" s="755">
        <f t="shared" si="92"/>
        <v>0</v>
      </c>
      <c r="AJ424" s="760"/>
      <c r="AK424" s="751"/>
      <c r="AL424" s="752">
        <f t="shared" ref="AL424:AL426" si="99">IFERROR(SUMIF($C:$C,$V424,Q:Q),0)</f>
        <v>0</v>
      </c>
      <c r="AM424" s="756"/>
      <c r="AN424" s="754">
        <f t="shared" si="86"/>
        <v>0</v>
      </c>
      <c r="AO424" s="761">
        <f t="shared" si="87"/>
        <v>0</v>
      </c>
      <c r="AP424" s="501"/>
      <c r="AQ424" s="501"/>
      <c r="AR424" s="501"/>
      <c r="AS424" s="501"/>
      <c r="AT424" s="501"/>
      <c r="AU424" s="501"/>
      <c r="AV424" s="501"/>
      <c r="AW424" s="501"/>
      <c r="AX424" s="501"/>
      <c r="AY424" s="501"/>
      <c r="AZ424" s="501"/>
      <c r="BA424" s="501"/>
      <c r="BB424" s="501"/>
      <c r="BC424" s="501"/>
      <c r="BD424" s="501"/>
      <c r="BE424" s="501"/>
      <c r="BF424" s="501"/>
      <c r="BG424" s="501"/>
      <c r="BH424" s="501"/>
      <c r="BI424" s="501"/>
    </row>
    <row r="425" spans="1:61" ht="15.75" hidden="1" customHeight="1">
      <c r="A425" s="517" t="s">
        <v>20</v>
      </c>
      <c r="B425" s="498"/>
      <c r="C425" s="721" t="s">
        <v>465</v>
      </c>
      <c r="V425" s="592" t="s">
        <v>20</v>
      </c>
      <c r="W425" s="758"/>
      <c r="X425" s="751"/>
      <c r="Y425" s="751"/>
      <c r="Z425" s="752">
        <f t="shared" si="96"/>
        <v>0</v>
      </c>
      <c r="AA425" s="751"/>
      <c r="AB425" s="751"/>
      <c r="AC425" s="752"/>
      <c r="AD425" s="760"/>
      <c r="AE425" s="759"/>
      <c r="AF425" s="752">
        <f t="shared" si="97"/>
        <v>0</v>
      </c>
      <c r="AG425" s="753"/>
      <c r="AH425" s="754">
        <f t="shared" si="98"/>
        <v>0</v>
      </c>
      <c r="AI425" s="755">
        <f t="shared" si="92"/>
        <v>0</v>
      </c>
      <c r="AJ425" s="760"/>
      <c r="AK425" s="751"/>
      <c r="AL425" s="752">
        <f t="shared" si="99"/>
        <v>0</v>
      </c>
      <c r="AM425" s="756"/>
      <c r="AN425" s="754">
        <f t="shared" si="86"/>
        <v>0</v>
      </c>
      <c r="AO425" s="761">
        <f t="shared" si="87"/>
        <v>0</v>
      </c>
      <c r="AP425" s="501"/>
      <c r="AQ425" s="501"/>
      <c r="AR425" s="501"/>
      <c r="AS425" s="501"/>
      <c r="AT425" s="501"/>
      <c r="AU425" s="501"/>
      <c r="AV425" s="501"/>
      <c r="AW425" s="501"/>
      <c r="AX425" s="501"/>
      <c r="AY425" s="501"/>
      <c r="AZ425" s="501"/>
      <c r="BA425" s="501"/>
      <c r="BB425" s="501"/>
      <c r="BC425" s="501"/>
      <c r="BD425" s="501"/>
      <c r="BE425" s="501"/>
      <c r="BF425" s="501"/>
      <c r="BG425" s="501"/>
      <c r="BH425" s="501"/>
      <c r="BI425" s="501"/>
    </row>
    <row r="426" spans="1:61" ht="15.75" hidden="1" customHeight="1">
      <c r="A426" s="517" t="s">
        <v>20</v>
      </c>
      <c r="B426" s="498"/>
      <c r="C426" s="721" t="s">
        <v>465</v>
      </c>
      <c r="V426" s="592" t="s">
        <v>20</v>
      </c>
      <c r="W426" s="758"/>
      <c r="X426" s="751"/>
      <c r="Y426" s="751"/>
      <c r="Z426" s="752">
        <f t="shared" si="96"/>
        <v>0</v>
      </c>
      <c r="AA426" s="751"/>
      <c r="AB426" s="751"/>
      <c r="AC426" s="752"/>
      <c r="AD426" s="760"/>
      <c r="AE426" s="759"/>
      <c r="AF426" s="752">
        <f t="shared" si="97"/>
        <v>0</v>
      </c>
      <c r="AG426" s="753"/>
      <c r="AH426" s="754">
        <f t="shared" si="98"/>
        <v>0</v>
      </c>
      <c r="AI426" s="755">
        <f t="shared" si="92"/>
        <v>0</v>
      </c>
      <c r="AJ426" s="760"/>
      <c r="AK426" s="751"/>
      <c r="AL426" s="752">
        <f t="shared" si="99"/>
        <v>0</v>
      </c>
      <c r="AM426" s="756"/>
      <c r="AN426" s="754">
        <f t="shared" si="86"/>
        <v>0</v>
      </c>
      <c r="AO426" s="761">
        <f t="shared" si="87"/>
        <v>0</v>
      </c>
      <c r="AP426" s="501"/>
      <c r="AQ426" s="501"/>
      <c r="AR426" s="501"/>
      <c r="AS426" s="501"/>
      <c r="AT426" s="501"/>
      <c r="AU426" s="501"/>
      <c r="AV426" s="501"/>
      <c r="AW426" s="501"/>
      <c r="AX426" s="501"/>
      <c r="AY426" s="501"/>
      <c r="AZ426" s="501"/>
      <c r="BA426" s="501"/>
      <c r="BB426" s="501"/>
      <c r="BC426" s="501"/>
      <c r="BD426" s="501"/>
      <c r="BE426" s="501"/>
      <c r="BF426" s="501"/>
      <c r="BG426" s="501"/>
      <c r="BH426" s="501"/>
      <c r="BI426" s="501"/>
    </row>
    <row r="427" spans="1:61" ht="15.75" customHeight="1">
      <c r="A427" s="517" t="s">
        <v>45</v>
      </c>
      <c r="B427" s="498"/>
      <c r="C427" s="721" t="s">
        <v>465</v>
      </c>
      <c r="V427" s="593" t="s">
        <v>45</v>
      </c>
      <c r="W427" s="762" t="s">
        <v>146</v>
      </c>
      <c r="X427" s="735"/>
      <c r="Y427" s="735"/>
      <c r="Z427" s="736">
        <f t="shared" ref="Z427:Z430" si="100">+SUMIF($C:$C,$V427,F:F)</f>
        <v>39059.381083422966</v>
      </c>
      <c r="AA427" s="735"/>
      <c r="AB427" s="735"/>
      <c r="AC427" s="736"/>
      <c r="AD427" s="764"/>
      <c r="AE427" s="763"/>
      <c r="AF427" s="736">
        <f t="shared" ref="AF427:AF430" si="101">+SUMIF($C:$C,$V427,L:L)</f>
        <v>43881.119999999995</v>
      </c>
      <c r="AG427" s="737"/>
      <c r="AH427" s="738">
        <f t="shared" si="98"/>
        <v>4821.7389165770292</v>
      </c>
      <c r="AI427" s="765">
        <f t="shared" si="92"/>
        <v>0.12344637274919351</v>
      </c>
      <c r="AJ427" s="764"/>
      <c r="AK427" s="735"/>
      <c r="AL427" s="736">
        <f t="shared" ref="AL427:AL430" si="102">+SUMIF($C:$C,$V427,Q:Q)</f>
        <v>46794.73</v>
      </c>
      <c r="AM427" s="740"/>
      <c r="AN427" s="738">
        <f t="shared" si="86"/>
        <v>-2913.6100000000079</v>
      </c>
      <c r="AO427" s="741">
        <f t="shared" si="87"/>
        <v>-6.2263635242686681E-2</v>
      </c>
      <c r="AP427" s="501"/>
      <c r="AQ427" s="501"/>
      <c r="AR427" s="501"/>
      <c r="AS427" s="501"/>
      <c r="AT427" s="501"/>
      <c r="AU427" s="501"/>
      <c r="AV427" s="501"/>
      <c r="AW427" s="501"/>
      <c r="AX427" s="501"/>
      <c r="AY427" s="501"/>
      <c r="AZ427" s="501"/>
      <c r="BA427" s="501"/>
      <c r="BB427" s="501"/>
      <c r="BC427" s="501"/>
      <c r="BD427" s="501"/>
      <c r="BE427" s="501"/>
      <c r="BF427" s="501"/>
      <c r="BG427" s="501"/>
      <c r="BH427" s="501"/>
      <c r="BI427" s="501"/>
    </row>
    <row r="428" spans="1:61" ht="15.75" customHeight="1">
      <c r="A428" s="517" t="s">
        <v>46</v>
      </c>
      <c r="B428" s="498"/>
      <c r="C428" s="721" t="s">
        <v>465</v>
      </c>
      <c r="V428" s="592" t="s">
        <v>46</v>
      </c>
      <c r="W428" s="758" t="s">
        <v>147</v>
      </c>
      <c r="X428" s="751"/>
      <c r="Y428" s="751"/>
      <c r="Z428" s="752">
        <f t="shared" si="100"/>
        <v>38828.870477889381</v>
      </c>
      <c r="AA428" s="751"/>
      <c r="AB428" s="751"/>
      <c r="AC428" s="752"/>
      <c r="AD428" s="760"/>
      <c r="AE428" s="759"/>
      <c r="AF428" s="752">
        <f t="shared" si="101"/>
        <v>46194.979999999996</v>
      </c>
      <c r="AG428" s="753"/>
      <c r="AH428" s="754">
        <f t="shared" si="98"/>
        <v>7366.1095221106152</v>
      </c>
      <c r="AI428" s="755">
        <f t="shared" si="92"/>
        <v>0.18970702550580643</v>
      </c>
      <c r="AJ428" s="760"/>
      <c r="AK428" s="751"/>
      <c r="AL428" s="752">
        <f t="shared" si="102"/>
        <v>52236.44</v>
      </c>
      <c r="AM428" s="756"/>
      <c r="AN428" s="754">
        <f t="shared" si="86"/>
        <v>-6041.4600000000064</v>
      </c>
      <c r="AO428" s="761">
        <f t="shared" si="87"/>
        <v>-0.11565604394173887</v>
      </c>
      <c r="AP428" s="501"/>
      <c r="AQ428" s="501"/>
      <c r="AR428" s="501"/>
      <c r="AS428" s="501"/>
      <c r="AT428" s="501"/>
      <c r="AU428" s="501"/>
      <c r="AV428" s="501"/>
      <c r="AW428" s="501"/>
      <c r="AX428" s="501"/>
      <c r="AY428" s="501"/>
      <c r="AZ428" s="501"/>
      <c r="BA428" s="501"/>
      <c r="BB428" s="501"/>
      <c r="BC428" s="501"/>
      <c r="BD428" s="501"/>
      <c r="BE428" s="501"/>
      <c r="BF428" s="501"/>
      <c r="BG428" s="501"/>
      <c r="BH428" s="501"/>
      <c r="BI428" s="501"/>
    </row>
    <row r="429" spans="1:61" ht="15.75" customHeight="1">
      <c r="A429" s="517" t="s">
        <v>47</v>
      </c>
      <c r="B429" s="498"/>
      <c r="C429" s="721" t="s">
        <v>465</v>
      </c>
      <c r="V429" s="592" t="s">
        <v>47</v>
      </c>
      <c r="W429" s="758" t="s">
        <v>148</v>
      </c>
      <c r="X429" s="751"/>
      <c r="Y429" s="751"/>
      <c r="Z429" s="752">
        <f t="shared" si="100"/>
        <v>27190.228500490455</v>
      </c>
      <c r="AA429" s="751"/>
      <c r="AB429" s="751"/>
      <c r="AC429" s="752"/>
      <c r="AD429" s="760"/>
      <c r="AE429" s="759"/>
      <c r="AF429" s="752">
        <f t="shared" si="101"/>
        <v>21671.140000000003</v>
      </c>
      <c r="AG429" s="753"/>
      <c r="AH429" s="754">
        <f t="shared" si="98"/>
        <v>-5519.0885004904521</v>
      </c>
      <c r="AI429" s="755">
        <f t="shared" si="92"/>
        <v>-0.20298058548463097</v>
      </c>
      <c r="AJ429" s="760"/>
      <c r="AK429" s="751"/>
      <c r="AL429" s="752">
        <f t="shared" si="102"/>
        <v>28138.219999999998</v>
      </c>
      <c r="AM429" s="756"/>
      <c r="AN429" s="754">
        <f t="shared" si="86"/>
        <v>-6467.0799999999945</v>
      </c>
      <c r="AO429" s="761">
        <f t="shared" si="87"/>
        <v>-0.22983259068981601</v>
      </c>
      <c r="AP429" s="501"/>
      <c r="AQ429" s="501"/>
      <c r="AR429" s="501"/>
      <c r="AS429" s="501"/>
      <c r="AT429" s="501"/>
      <c r="AU429" s="501"/>
      <c r="AV429" s="501"/>
      <c r="AW429" s="501"/>
      <c r="AX429" s="501"/>
      <c r="AY429" s="501"/>
      <c r="AZ429" s="501"/>
      <c r="BA429" s="501"/>
      <c r="BB429" s="501"/>
      <c r="BC429" s="501"/>
      <c r="BD429" s="501"/>
      <c r="BE429" s="501"/>
      <c r="BF429" s="501"/>
      <c r="BG429" s="501"/>
      <c r="BH429" s="501"/>
      <c r="BI429" s="501"/>
    </row>
    <row r="430" spans="1:61" ht="15.75" customHeight="1">
      <c r="A430" s="517" t="s">
        <v>48</v>
      </c>
      <c r="B430" s="498"/>
      <c r="C430" s="721" t="s">
        <v>465</v>
      </c>
      <c r="V430" s="592" t="s">
        <v>48</v>
      </c>
      <c r="W430" s="758"/>
      <c r="X430" s="751"/>
      <c r="Y430" s="751"/>
      <c r="Z430" s="752">
        <f t="shared" si="100"/>
        <v>12989.555873009971</v>
      </c>
      <c r="AA430" s="751"/>
      <c r="AB430" s="751"/>
      <c r="AC430" s="752"/>
      <c r="AD430" s="760"/>
      <c r="AE430" s="759"/>
      <c r="AF430" s="752">
        <f t="shared" si="101"/>
        <v>13049.16</v>
      </c>
      <c r="AG430" s="753"/>
      <c r="AH430" s="754">
        <f t="shared" si="98"/>
        <v>59.604126990028817</v>
      </c>
      <c r="AI430" s="774">
        <f t="shared" si="92"/>
        <v>4.5886193163752259E-3</v>
      </c>
      <c r="AJ430" s="760"/>
      <c r="AK430" s="751"/>
      <c r="AL430" s="752">
        <f t="shared" si="102"/>
        <v>19776.670000000002</v>
      </c>
      <c r="AM430" s="756"/>
      <c r="AN430" s="754">
        <f t="shared" si="86"/>
        <v>-6727.510000000002</v>
      </c>
      <c r="AO430" s="761">
        <f t="shared" si="87"/>
        <v>-0.34017405356918035</v>
      </c>
      <c r="AP430" s="501"/>
      <c r="AQ430" s="501"/>
      <c r="AR430" s="501"/>
      <c r="AS430" s="501"/>
      <c r="AT430" s="501"/>
      <c r="AU430" s="501"/>
      <c r="AV430" s="501"/>
      <c r="AW430" s="501"/>
      <c r="AX430" s="501"/>
      <c r="AY430" s="501"/>
      <c r="AZ430" s="501"/>
      <c r="BA430" s="501"/>
      <c r="BB430" s="501"/>
      <c r="BC430" s="501"/>
      <c r="BD430" s="501"/>
      <c r="BE430" s="501"/>
      <c r="BF430" s="501"/>
      <c r="BG430" s="501"/>
      <c r="BH430" s="501"/>
      <c r="BI430" s="501"/>
    </row>
    <row r="431" spans="1:61" ht="15.75" hidden="1" customHeight="1">
      <c r="A431" s="517" t="s">
        <v>20</v>
      </c>
      <c r="B431" s="498"/>
      <c r="C431" s="721" t="s">
        <v>465</v>
      </c>
      <c r="V431" s="525" t="s">
        <v>20</v>
      </c>
      <c r="W431" s="758"/>
      <c r="X431" s="751"/>
      <c r="Y431" s="759"/>
      <c r="Z431" s="752">
        <f>IFERROR(SUMIF($C:$C,$V431,F:F),0)</f>
        <v>0</v>
      </c>
      <c r="AA431" s="751"/>
      <c r="AB431" s="751"/>
      <c r="AC431" s="752"/>
      <c r="AD431" s="760"/>
      <c r="AE431" s="759"/>
      <c r="AF431" s="752">
        <f>IFERROR(SUMIF($C:$C,$V431,L:L),0)</f>
        <v>0</v>
      </c>
      <c r="AG431" s="753"/>
      <c r="AH431" s="754">
        <f t="shared" si="98"/>
        <v>0</v>
      </c>
      <c r="AI431" s="755">
        <f t="shared" si="92"/>
        <v>0</v>
      </c>
      <c r="AJ431" s="760"/>
      <c r="AK431" s="751"/>
      <c r="AL431" s="752">
        <f>IFERROR(SUMIF($C:$C,$V431,Q:Q),0)</f>
        <v>0</v>
      </c>
      <c r="AM431" s="756"/>
      <c r="AN431" s="754"/>
      <c r="AO431" s="741"/>
      <c r="AP431" s="501"/>
      <c r="AQ431" s="501"/>
      <c r="AR431" s="501"/>
      <c r="AS431" s="501"/>
      <c r="AT431" s="501"/>
      <c r="AU431" s="501"/>
      <c r="AV431" s="501"/>
      <c r="AW431" s="501"/>
      <c r="AX431" s="501"/>
      <c r="AY431" s="501"/>
      <c r="AZ431" s="501"/>
      <c r="BA431" s="501"/>
      <c r="BB431" s="501"/>
      <c r="BC431" s="501"/>
      <c r="BD431" s="501"/>
      <c r="BE431" s="501"/>
      <c r="BF431" s="501"/>
      <c r="BG431" s="501"/>
      <c r="BH431" s="501"/>
      <c r="BI431" s="501"/>
    </row>
    <row r="432" spans="1:61" ht="15.75" customHeight="1">
      <c r="A432" s="517" t="s">
        <v>49</v>
      </c>
      <c r="B432" s="498"/>
      <c r="C432" s="721" t="s">
        <v>465</v>
      </c>
      <c r="V432" s="766" t="s">
        <v>49</v>
      </c>
      <c r="W432" s="767"/>
      <c r="X432" s="768">
        <f>Z432/Z406</f>
        <v>0.42775147715526957</v>
      </c>
      <c r="Y432" s="767"/>
      <c r="Z432" s="769">
        <f>SUM(Z419:Z431)</f>
        <v>295719.27878145955</v>
      </c>
      <c r="AA432" s="768"/>
      <c r="AB432" s="767"/>
      <c r="AC432" s="769"/>
      <c r="AD432" s="770">
        <f>AF432/AF406</f>
        <v>0.44755905766232584</v>
      </c>
      <c r="AE432" s="775"/>
      <c r="AF432" s="769">
        <f>SUM(AF419:AF431)</f>
        <v>302513.89</v>
      </c>
      <c r="AG432" s="776"/>
      <c r="AH432" s="772">
        <f t="shared" si="98"/>
        <v>6794.6112185404636</v>
      </c>
      <c r="AI432" s="768">
        <f>AH432/Z432</f>
        <v>2.2976558195794097E-2</v>
      </c>
      <c r="AJ432" s="770">
        <f>IF($AL$406=0,0,AL432/$AL$406)</f>
        <v>0.40936583538775134</v>
      </c>
      <c r="AK432" s="767"/>
      <c r="AL432" s="769">
        <f>SUM(AL419:AL431)</f>
        <v>326617.34999999998</v>
      </c>
      <c r="AM432" s="777"/>
      <c r="AN432" s="772">
        <f t="shared" ref="AN432:AN450" si="103">AF432-AL432</f>
        <v>-24103.459999999963</v>
      </c>
      <c r="AO432" s="749">
        <f t="shared" ref="AO432:AO460" si="104">IF(AL432=0,0,AN432/AL432)</f>
        <v>-7.3797243165434914E-2</v>
      </c>
      <c r="AP432" s="501"/>
      <c r="AQ432" s="501"/>
      <c r="AR432" s="501"/>
      <c r="AS432" s="501"/>
      <c r="AT432" s="501"/>
      <c r="AU432" s="501"/>
      <c r="AV432" s="501"/>
      <c r="AW432" s="501"/>
      <c r="AX432" s="501"/>
      <c r="AY432" s="501"/>
      <c r="AZ432" s="501"/>
      <c r="BA432" s="501"/>
      <c r="BB432" s="501"/>
      <c r="BC432" s="501"/>
      <c r="BD432" s="501"/>
      <c r="BE432" s="501"/>
      <c r="BF432" s="501"/>
      <c r="BG432" s="501"/>
      <c r="BH432" s="501"/>
      <c r="BI432" s="501"/>
    </row>
    <row r="433" spans="1:62" ht="15.75" customHeight="1">
      <c r="A433" s="517" t="s">
        <v>50</v>
      </c>
      <c r="B433" s="498"/>
      <c r="C433" s="721" t="s">
        <v>465</v>
      </c>
      <c r="V433" s="691" t="s">
        <v>50</v>
      </c>
      <c r="W433" s="778" t="s">
        <v>138</v>
      </c>
      <c r="X433" s="779"/>
      <c r="Y433" s="779"/>
      <c r="Z433" s="780">
        <f t="shared" ref="Z433:Z447" si="105">+SUMIF($C:$C,$V433,F:F)</f>
        <v>12968.605541666668</v>
      </c>
      <c r="AA433" s="779"/>
      <c r="AB433" s="779"/>
      <c r="AC433" s="780"/>
      <c r="AD433" s="781"/>
      <c r="AE433" s="782"/>
      <c r="AF433" s="780">
        <f t="shared" ref="AF433:AF447" si="106">+SUMIF($C:$C,$V433,L:L)</f>
        <v>15432.61</v>
      </c>
      <c r="AG433" s="781"/>
      <c r="AH433" s="783">
        <f t="shared" si="98"/>
        <v>2464.0044583333329</v>
      </c>
      <c r="AI433" s="784">
        <f t="shared" ref="AI433:AI450" si="107">IF(Z433=0,0,AH433/Z433)</f>
        <v>0.18999764087332013</v>
      </c>
      <c r="AJ433" s="781"/>
      <c r="AK433" s="779"/>
      <c r="AL433" s="780">
        <f t="shared" ref="AL433:AL446" si="108">+SUMIF($C:$C,$V433,Q:Q)</f>
        <v>12737.25</v>
      </c>
      <c r="AM433" s="785"/>
      <c r="AN433" s="783">
        <f t="shared" si="103"/>
        <v>2695.3600000000006</v>
      </c>
      <c r="AO433" s="757">
        <f t="shared" si="104"/>
        <v>0.21161239671043597</v>
      </c>
      <c r="AP433" s="501"/>
      <c r="AQ433" s="501"/>
      <c r="AR433" s="501"/>
      <c r="AS433" s="501"/>
      <c r="AT433" s="501"/>
      <c r="AU433" s="501"/>
      <c r="AV433" s="501"/>
      <c r="AW433" s="501"/>
      <c r="AX433" s="501"/>
      <c r="AY433" s="501"/>
      <c r="AZ433" s="501"/>
      <c r="BA433" s="501"/>
      <c r="BB433" s="501"/>
      <c r="BC433" s="501"/>
      <c r="BD433" s="501"/>
      <c r="BE433" s="501"/>
      <c r="BF433" s="501"/>
      <c r="BG433" s="501"/>
      <c r="BH433" s="501"/>
      <c r="BI433" s="501"/>
    </row>
    <row r="434" spans="1:62" ht="15.75" customHeight="1">
      <c r="A434" s="517" t="s">
        <v>51</v>
      </c>
      <c r="B434" s="498"/>
      <c r="C434" s="721" t="s">
        <v>465</v>
      </c>
      <c r="V434" s="592" t="s">
        <v>51</v>
      </c>
      <c r="W434" s="758" t="s">
        <v>149</v>
      </c>
      <c r="X434" s="751"/>
      <c r="Y434" s="751"/>
      <c r="Z434" s="752">
        <f t="shared" si="105"/>
        <v>3795.7770150154147</v>
      </c>
      <c r="AA434" s="751"/>
      <c r="AB434" s="751"/>
      <c r="AC434" s="752"/>
      <c r="AD434" s="760"/>
      <c r="AE434" s="759"/>
      <c r="AF434" s="752">
        <f t="shared" si="106"/>
        <v>11922.65</v>
      </c>
      <c r="AG434" s="753"/>
      <c r="AH434" s="754">
        <f t="shared" si="98"/>
        <v>8126.8729849845849</v>
      </c>
      <c r="AI434" s="755">
        <f t="shared" si="107"/>
        <v>2.1410301376598597</v>
      </c>
      <c r="AJ434" s="760"/>
      <c r="AK434" s="751"/>
      <c r="AL434" s="752">
        <f t="shared" si="108"/>
        <v>5971.58</v>
      </c>
      <c r="AM434" s="756"/>
      <c r="AN434" s="754">
        <f t="shared" si="103"/>
        <v>5951.07</v>
      </c>
      <c r="AO434" s="761">
        <f t="shared" si="104"/>
        <v>0.99656539810234479</v>
      </c>
      <c r="AP434" s="501"/>
      <c r="AQ434" s="501"/>
      <c r="AR434" s="501"/>
      <c r="AS434" s="501"/>
      <c r="AT434" s="501"/>
      <c r="AU434" s="501"/>
      <c r="AV434" s="501"/>
      <c r="AW434" s="501"/>
      <c r="AX434" s="501"/>
      <c r="AY434" s="501"/>
      <c r="AZ434" s="501"/>
      <c r="BA434" s="501"/>
      <c r="BB434" s="501"/>
      <c r="BC434" s="501"/>
      <c r="BD434" s="501"/>
      <c r="BE434" s="501"/>
      <c r="BF434" s="501"/>
      <c r="BG434" s="501"/>
      <c r="BH434" s="501"/>
      <c r="BI434" s="501"/>
    </row>
    <row r="435" spans="1:62" ht="15.75" customHeight="1">
      <c r="A435" s="517" t="s">
        <v>52</v>
      </c>
      <c r="B435" s="498"/>
      <c r="C435" s="721" t="s">
        <v>465</v>
      </c>
      <c r="U435" s="786"/>
      <c r="V435" s="593" t="s">
        <v>52</v>
      </c>
      <c r="W435" s="762" t="s">
        <v>150</v>
      </c>
      <c r="X435" s="735"/>
      <c r="Y435" s="735"/>
      <c r="Z435" s="736">
        <f t="shared" si="105"/>
        <v>22291.666666666664</v>
      </c>
      <c r="AA435" s="735"/>
      <c r="AB435" s="735"/>
      <c r="AC435" s="736"/>
      <c r="AD435" s="764"/>
      <c r="AE435" s="763"/>
      <c r="AF435" s="736">
        <f t="shared" si="106"/>
        <v>22933.759999999998</v>
      </c>
      <c r="AG435" s="737"/>
      <c r="AH435" s="738">
        <f t="shared" si="98"/>
        <v>642.09333333333416</v>
      </c>
      <c r="AI435" s="765">
        <f t="shared" si="107"/>
        <v>2.8804186915887892E-2</v>
      </c>
      <c r="AJ435" s="764"/>
      <c r="AK435" s="735"/>
      <c r="AL435" s="736">
        <f t="shared" si="108"/>
        <v>27469.190000000002</v>
      </c>
      <c r="AM435" s="740"/>
      <c r="AN435" s="738">
        <f t="shared" si="103"/>
        <v>-4535.4300000000039</v>
      </c>
      <c r="AO435" s="741">
        <f t="shared" si="104"/>
        <v>-0.16510971018803261</v>
      </c>
      <c r="AP435" s="501"/>
      <c r="AQ435" s="501"/>
      <c r="AR435" s="501"/>
      <c r="AS435" s="501"/>
      <c r="AT435" s="501"/>
      <c r="AU435" s="501"/>
      <c r="AV435" s="501"/>
      <c r="AW435" s="501"/>
      <c r="AX435" s="501"/>
      <c r="AY435" s="501"/>
      <c r="AZ435" s="501"/>
      <c r="BA435" s="501"/>
      <c r="BB435" s="501"/>
      <c r="BC435" s="501"/>
      <c r="BD435" s="501"/>
      <c r="BE435" s="501"/>
      <c r="BF435" s="501"/>
      <c r="BG435" s="501"/>
      <c r="BH435" s="501"/>
      <c r="BI435" s="501"/>
    </row>
    <row r="436" spans="1:62" ht="15.75" customHeight="1">
      <c r="A436" s="517" t="s">
        <v>53</v>
      </c>
      <c r="B436" s="498"/>
      <c r="C436" s="721" t="s">
        <v>465</v>
      </c>
      <c r="U436" s="786"/>
      <c r="V436" s="592" t="s">
        <v>53</v>
      </c>
      <c r="W436" s="758" t="s">
        <v>151</v>
      </c>
      <c r="X436" s="751"/>
      <c r="Y436" s="751"/>
      <c r="Z436" s="752">
        <f t="shared" si="105"/>
        <v>19854.870533333335</v>
      </c>
      <c r="AA436" s="751"/>
      <c r="AB436" s="751"/>
      <c r="AC436" s="752"/>
      <c r="AD436" s="760"/>
      <c r="AE436" s="759"/>
      <c r="AF436" s="752">
        <f t="shared" si="106"/>
        <v>19595.53</v>
      </c>
      <c r="AG436" s="753"/>
      <c r="AH436" s="754">
        <f t="shared" si="98"/>
        <v>-259.34053333333577</v>
      </c>
      <c r="AI436" s="755">
        <f t="shared" si="107"/>
        <v>-1.3061809337811703E-2</v>
      </c>
      <c r="AJ436" s="760"/>
      <c r="AK436" s="751"/>
      <c r="AL436" s="752">
        <f t="shared" si="108"/>
        <v>18976.449999999997</v>
      </c>
      <c r="AM436" s="756"/>
      <c r="AN436" s="754">
        <f t="shared" si="103"/>
        <v>619.08000000000175</v>
      </c>
      <c r="AO436" s="761">
        <f t="shared" si="104"/>
        <v>3.2623593980960708E-2</v>
      </c>
      <c r="AP436" s="501"/>
      <c r="AQ436" s="501"/>
      <c r="AR436" s="501"/>
      <c r="AS436" s="501"/>
      <c r="AT436" s="501"/>
      <c r="AU436" s="501"/>
      <c r="AV436" s="501"/>
      <c r="AW436" s="501"/>
      <c r="AX436" s="501"/>
      <c r="AY436" s="501"/>
      <c r="AZ436" s="501"/>
      <c r="BA436" s="501"/>
      <c r="BB436" s="501"/>
      <c r="BC436" s="501"/>
      <c r="BD436" s="501"/>
      <c r="BE436" s="501"/>
      <c r="BF436" s="501"/>
      <c r="BG436" s="501"/>
      <c r="BH436" s="501"/>
      <c r="BI436" s="501"/>
    </row>
    <row r="437" spans="1:62" ht="15.75" customHeight="1">
      <c r="A437" s="517" t="s">
        <v>54</v>
      </c>
      <c r="B437" s="498"/>
      <c r="C437" s="721" t="s">
        <v>465</v>
      </c>
      <c r="U437" s="786"/>
      <c r="V437" s="592" t="s">
        <v>54</v>
      </c>
      <c r="W437" s="758" t="s">
        <v>152</v>
      </c>
      <c r="X437" s="751"/>
      <c r="Y437" s="751"/>
      <c r="Z437" s="752">
        <f t="shared" si="105"/>
        <v>3125.2751395833329</v>
      </c>
      <c r="AA437" s="751"/>
      <c r="AB437" s="751"/>
      <c r="AC437" s="752"/>
      <c r="AD437" s="760"/>
      <c r="AE437" s="759"/>
      <c r="AF437" s="752">
        <f t="shared" si="106"/>
        <v>3288.06</v>
      </c>
      <c r="AG437" s="753"/>
      <c r="AH437" s="754">
        <f t="shared" si="98"/>
        <v>162.78486041666702</v>
      </c>
      <c r="AI437" s="755">
        <f t="shared" si="107"/>
        <v>5.2086569388693812E-2</v>
      </c>
      <c r="AJ437" s="760"/>
      <c r="AK437" s="751"/>
      <c r="AL437" s="752">
        <f t="shared" si="108"/>
        <v>7680.53</v>
      </c>
      <c r="AM437" s="756"/>
      <c r="AN437" s="754">
        <f t="shared" si="103"/>
        <v>-4392.4699999999993</v>
      </c>
      <c r="AO437" s="761">
        <f t="shared" si="104"/>
        <v>-0.57189673108496408</v>
      </c>
      <c r="AP437" s="501"/>
      <c r="AQ437" s="501"/>
      <c r="AR437" s="501"/>
      <c r="AS437" s="501"/>
      <c r="AT437" s="501"/>
      <c r="AU437" s="501"/>
      <c r="AV437" s="501"/>
      <c r="AW437" s="501"/>
      <c r="AX437" s="501"/>
      <c r="AY437" s="501"/>
      <c r="AZ437" s="501"/>
      <c r="BA437" s="501"/>
      <c r="BB437" s="501"/>
      <c r="BC437" s="501"/>
      <c r="BD437" s="501"/>
      <c r="BE437" s="501"/>
      <c r="BF437" s="501"/>
      <c r="BG437" s="501"/>
      <c r="BH437" s="501"/>
      <c r="BI437" s="501"/>
    </row>
    <row r="438" spans="1:62" ht="15.75" customHeight="1">
      <c r="A438" s="517" t="s">
        <v>55</v>
      </c>
      <c r="B438" s="498"/>
      <c r="C438" s="721" t="s">
        <v>465</v>
      </c>
      <c r="V438" s="592" t="s">
        <v>55</v>
      </c>
      <c r="W438" s="758" t="s">
        <v>153</v>
      </c>
      <c r="X438" s="751"/>
      <c r="Y438" s="751"/>
      <c r="Z438" s="752">
        <f t="shared" si="105"/>
        <v>20850.596155555555</v>
      </c>
      <c r="AA438" s="751"/>
      <c r="AB438" s="751"/>
      <c r="AC438" s="752"/>
      <c r="AD438" s="760"/>
      <c r="AE438" s="759"/>
      <c r="AF438" s="752">
        <f t="shared" si="106"/>
        <v>28389.370000000003</v>
      </c>
      <c r="AG438" s="753"/>
      <c r="AH438" s="754">
        <f t="shared" si="98"/>
        <v>7538.7738444444476</v>
      </c>
      <c r="AI438" s="755">
        <f t="shared" si="107"/>
        <v>0.36156154904164561</v>
      </c>
      <c r="AJ438" s="760"/>
      <c r="AK438" s="751"/>
      <c r="AL438" s="752">
        <f t="shared" si="108"/>
        <v>22178.86</v>
      </c>
      <c r="AM438" s="756"/>
      <c r="AN438" s="754">
        <f t="shared" si="103"/>
        <v>6210.510000000002</v>
      </c>
      <c r="AO438" s="761">
        <f t="shared" si="104"/>
        <v>0.2800193517610915</v>
      </c>
      <c r="AP438" s="787"/>
      <c r="AQ438" s="787" t="s">
        <v>477</v>
      </c>
      <c r="AR438" s="501"/>
      <c r="AS438" s="501"/>
      <c r="AT438" s="501"/>
      <c r="AU438" s="501"/>
      <c r="AV438" s="501"/>
      <c r="AW438" s="501"/>
      <c r="AX438" s="501"/>
      <c r="AY438" s="501"/>
      <c r="AZ438" s="501"/>
      <c r="BA438" s="501"/>
      <c r="BB438" s="501"/>
      <c r="BC438" s="501"/>
      <c r="BD438" s="501"/>
      <c r="BE438" s="501"/>
      <c r="BF438" s="501"/>
      <c r="BG438" s="501"/>
      <c r="BH438" s="501"/>
      <c r="BI438" s="501"/>
    </row>
    <row r="439" spans="1:62" ht="15.75" customHeight="1">
      <c r="B439" s="498"/>
      <c r="C439" s="721" t="s">
        <v>465</v>
      </c>
      <c r="V439" s="691" t="s">
        <v>98</v>
      </c>
      <c r="W439" s="778"/>
      <c r="X439" s="779"/>
      <c r="Y439" s="779"/>
      <c r="Z439" s="780">
        <f t="shared" si="105"/>
        <v>0</v>
      </c>
      <c r="AA439" s="779"/>
      <c r="AB439" s="779"/>
      <c r="AC439" s="780"/>
      <c r="AD439" s="781"/>
      <c r="AE439" s="782"/>
      <c r="AF439" s="780">
        <f t="shared" si="106"/>
        <v>0</v>
      </c>
      <c r="AG439" s="788"/>
      <c r="AH439" s="783">
        <f t="shared" si="98"/>
        <v>0</v>
      </c>
      <c r="AI439" s="784">
        <f t="shared" si="107"/>
        <v>0</v>
      </c>
      <c r="AJ439" s="781"/>
      <c r="AK439" s="779"/>
      <c r="AL439" s="780">
        <f t="shared" si="108"/>
        <v>0</v>
      </c>
      <c r="AM439" s="785"/>
      <c r="AN439" s="783">
        <f t="shared" si="103"/>
        <v>0</v>
      </c>
      <c r="AO439" s="757">
        <f t="shared" si="104"/>
        <v>0</v>
      </c>
      <c r="AP439" s="501"/>
      <c r="AQ439" s="501"/>
      <c r="AR439" s="501"/>
      <c r="AS439" s="501"/>
      <c r="AT439" s="501"/>
      <c r="AU439" s="501"/>
      <c r="AV439" s="501"/>
      <c r="AW439" s="501"/>
      <c r="AX439" s="501"/>
      <c r="AY439" s="501"/>
      <c r="AZ439" s="501"/>
      <c r="BA439" s="501"/>
      <c r="BB439" s="501"/>
      <c r="BC439" s="501"/>
      <c r="BD439" s="501"/>
      <c r="BE439" s="501"/>
      <c r="BF439" s="501"/>
      <c r="BG439" s="501"/>
      <c r="BH439" s="501"/>
      <c r="BI439" s="501"/>
    </row>
    <row r="440" spans="1:62" ht="15.75" customHeight="1">
      <c r="A440" s="517" t="s">
        <v>56</v>
      </c>
      <c r="B440" s="498"/>
      <c r="C440" s="721" t="s">
        <v>465</v>
      </c>
      <c r="V440" s="592" t="s">
        <v>56</v>
      </c>
      <c r="W440" s="758" t="s">
        <v>154</v>
      </c>
      <c r="X440" s="751"/>
      <c r="Y440" s="759"/>
      <c r="Z440" s="752">
        <f t="shared" si="105"/>
        <v>2083.3081418440747</v>
      </c>
      <c r="AA440" s="751"/>
      <c r="AB440" s="759"/>
      <c r="AC440" s="752"/>
      <c r="AD440" s="760"/>
      <c r="AE440" s="759"/>
      <c r="AF440" s="752">
        <f t="shared" si="106"/>
        <v>4394.93</v>
      </c>
      <c r="AG440" s="753"/>
      <c r="AH440" s="754">
        <f t="shared" si="98"/>
        <v>2311.6218581559256</v>
      </c>
      <c r="AI440" s="755">
        <f t="shared" si="107"/>
        <v>1.1095919090057198</v>
      </c>
      <c r="AJ440" s="760"/>
      <c r="AK440" s="751"/>
      <c r="AL440" s="752">
        <f t="shared" si="108"/>
        <v>1317.58</v>
      </c>
      <c r="AM440" s="756"/>
      <c r="AN440" s="754">
        <f t="shared" si="103"/>
        <v>3077.3500000000004</v>
      </c>
      <c r="AO440" s="761">
        <f t="shared" si="104"/>
        <v>2.3356077050349886</v>
      </c>
      <c r="AP440" s="501"/>
      <c r="AQ440" s="501"/>
      <c r="AR440" s="501"/>
      <c r="AS440" s="501"/>
      <c r="AT440" s="501"/>
      <c r="AU440" s="501"/>
      <c r="AV440" s="501"/>
      <c r="AW440" s="501"/>
      <c r="AX440" s="501"/>
      <c r="AY440" s="501"/>
      <c r="AZ440" s="501"/>
      <c r="BA440" s="501"/>
      <c r="BB440" s="501"/>
      <c r="BC440" s="501"/>
      <c r="BD440" s="501"/>
      <c r="BE440" s="501"/>
      <c r="BF440" s="501"/>
      <c r="BG440" s="501"/>
      <c r="BH440" s="501"/>
      <c r="BI440" s="501"/>
      <c r="BJ440" s="501"/>
    </row>
    <row r="441" spans="1:62" ht="15.75" customHeight="1">
      <c r="A441" s="517" t="s">
        <v>57</v>
      </c>
      <c r="B441" s="498"/>
      <c r="C441" s="721" t="s">
        <v>465</v>
      </c>
      <c r="U441" s="501"/>
      <c r="V441" s="592" t="s">
        <v>57</v>
      </c>
      <c r="W441" s="758" t="s">
        <v>155</v>
      </c>
      <c r="X441" s="751"/>
      <c r="Y441" s="751"/>
      <c r="Z441" s="752">
        <f t="shared" si="105"/>
        <v>1075.7965715014661</v>
      </c>
      <c r="AA441" s="751"/>
      <c r="AB441" s="751"/>
      <c r="AC441" s="752"/>
      <c r="AD441" s="760"/>
      <c r="AE441" s="759"/>
      <c r="AF441" s="752">
        <f t="shared" si="106"/>
        <v>788.71</v>
      </c>
      <c r="AG441" s="753"/>
      <c r="AH441" s="754">
        <f t="shared" si="98"/>
        <v>-287.0865715014661</v>
      </c>
      <c r="AI441" s="774">
        <f t="shared" si="107"/>
        <v>-0.26685953376927529</v>
      </c>
      <c r="AJ441" s="760"/>
      <c r="AK441" s="751"/>
      <c r="AL441" s="752">
        <f t="shared" si="108"/>
        <v>512.22</v>
      </c>
      <c r="AM441" s="756"/>
      <c r="AN441" s="754">
        <f t="shared" si="103"/>
        <v>276.49</v>
      </c>
      <c r="AO441" s="761">
        <f t="shared" si="104"/>
        <v>0.53978759126937648</v>
      </c>
      <c r="AP441" s="501"/>
      <c r="AQ441" s="501"/>
      <c r="AR441" s="501"/>
      <c r="AS441" s="501"/>
      <c r="AT441" s="501"/>
      <c r="AU441" s="501"/>
      <c r="AV441" s="501"/>
      <c r="AW441" s="501"/>
      <c r="AX441" s="501"/>
      <c r="AY441" s="501"/>
      <c r="AZ441" s="501"/>
      <c r="BA441" s="501"/>
      <c r="BB441" s="501"/>
      <c r="BC441" s="501"/>
      <c r="BD441" s="501"/>
      <c r="BE441" s="501"/>
      <c r="BF441" s="501"/>
      <c r="BG441" s="501"/>
      <c r="BH441" s="501"/>
      <c r="BI441" s="501"/>
      <c r="BJ441" s="501"/>
    </row>
    <row r="442" spans="1:62" ht="15.75" customHeight="1">
      <c r="A442" s="517" t="s">
        <v>58</v>
      </c>
      <c r="B442" s="498"/>
      <c r="C442" s="721" t="s">
        <v>465</v>
      </c>
      <c r="T442" s="501"/>
      <c r="U442" s="501"/>
      <c r="V442" s="592" t="s">
        <v>58</v>
      </c>
      <c r="W442" s="758" t="s">
        <v>156</v>
      </c>
      <c r="X442" s="751"/>
      <c r="Y442" s="751"/>
      <c r="Z442" s="752">
        <f t="shared" si="105"/>
        <v>2385.7844849999992</v>
      </c>
      <c r="AA442" s="751"/>
      <c r="AB442" s="751"/>
      <c r="AC442" s="752"/>
      <c r="AD442" s="760"/>
      <c r="AE442" s="759"/>
      <c r="AF442" s="752">
        <f t="shared" si="106"/>
        <v>3259.74</v>
      </c>
      <c r="AG442" s="753"/>
      <c r="AH442" s="754">
        <f t="shared" si="98"/>
        <v>873.95551500000056</v>
      </c>
      <c r="AI442" s="755">
        <f t="shared" si="107"/>
        <v>0.36631788013325139</v>
      </c>
      <c r="AJ442" s="760"/>
      <c r="AK442" s="751"/>
      <c r="AL442" s="752">
        <f t="shared" si="108"/>
        <v>2195.4899999999998</v>
      </c>
      <c r="AM442" s="756"/>
      <c r="AN442" s="754">
        <f t="shared" si="103"/>
        <v>1064.25</v>
      </c>
      <c r="AO442" s="761">
        <f t="shared" si="104"/>
        <v>0.4847437246355028</v>
      </c>
      <c r="AP442" s="501"/>
      <c r="AQ442" s="501"/>
      <c r="AR442" s="501"/>
      <c r="AS442" s="501"/>
      <c r="AT442" s="501"/>
      <c r="AU442" s="501"/>
      <c r="AV442" s="501"/>
      <c r="AW442" s="501"/>
      <c r="AX442" s="501"/>
      <c r="AY442" s="501"/>
      <c r="AZ442" s="501"/>
      <c r="BA442" s="501"/>
      <c r="BB442" s="501"/>
      <c r="BC442" s="501"/>
      <c r="BD442" s="501"/>
      <c r="BE442" s="501"/>
      <c r="BF442" s="501"/>
      <c r="BG442" s="501"/>
      <c r="BH442" s="501"/>
      <c r="BI442" s="501"/>
      <c r="BJ442" s="501"/>
    </row>
    <row r="443" spans="1:62" ht="15.75" customHeight="1">
      <c r="A443" s="517" t="s">
        <v>59</v>
      </c>
      <c r="B443" s="498"/>
      <c r="C443" s="721" t="s">
        <v>465</v>
      </c>
      <c r="T443" s="501"/>
      <c r="U443" s="501"/>
      <c r="V443" s="592" t="s">
        <v>59</v>
      </c>
      <c r="W443" s="758" t="s">
        <v>157</v>
      </c>
      <c r="X443" s="751"/>
      <c r="Y443" s="751"/>
      <c r="Z443" s="752">
        <f t="shared" si="105"/>
        <v>808.50078173611109</v>
      </c>
      <c r="AA443" s="751"/>
      <c r="AB443" s="751"/>
      <c r="AC443" s="752"/>
      <c r="AD443" s="760"/>
      <c r="AE443" s="759"/>
      <c r="AF443" s="752">
        <f t="shared" si="106"/>
        <v>542.27</v>
      </c>
      <c r="AG443" s="753"/>
      <c r="AH443" s="754">
        <f t="shared" si="98"/>
        <v>-266.23078173611111</v>
      </c>
      <c r="AI443" s="774">
        <f t="shared" si="107"/>
        <v>-0.32928945493958339</v>
      </c>
      <c r="AJ443" s="760"/>
      <c r="AK443" s="751"/>
      <c r="AL443" s="752">
        <f t="shared" si="108"/>
        <v>1004.16</v>
      </c>
      <c r="AM443" s="756"/>
      <c r="AN443" s="754">
        <f t="shared" si="103"/>
        <v>-461.89</v>
      </c>
      <c r="AO443" s="761">
        <f t="shared" si="104"/>
        <v>-0.45997649776927979</v>
      </c>
      <c r="AP443" s="501"/>
      <c r="AQ443" s="501"/>
      <c r="AR443" s="501"/>
      <c r="AS443" s="501"/>
      <c r="AT443" s="501"/>
      <c r="AU443" s="501"/>
      <c r="AV443" s="501"/>
      <c r="AW443" s="501"/>
      <c r="AX443" s="501"/>
      <c r="AY443" s="501"/>
      <c r="AZ443" s="501"/>
      <c r="BA443" s="501"/>
      <c r="BB443" s="501"/>
      <c r="BC443" s="501"/>
      <c r="BD443" s="501"/>
      <c r="BE443" s="501"/>
      <c r="BF443" s="501"/>
      <c r="BG443" s="501"/>
      <c r="BH443" s="501"/>
      <c r="BI443" s="501"/>
      <c r="BJ443" s="501"/>
    </row>
    <row r="444" spans="1:62" ht="15.75" customHeight="1">
      <c r="A444" s="517" t="s">
        <v>60</v>
      </c>
      <c r="B444" s="498"/>
      <c r="C444" s="721" t="s">
        <v>465</v>
      </c>
      <c r="T444" s="501"/>
      <c r="U444" s="501"/>
      <c r="V444" s="592" t="s">
        <v>60</v>
      </c>
      <c r="W444" s="758" t="s">
        <v>158</v>
      </c>
      <c r="X444" s="751"/>
      <c r="Y444" s="751"/>
      <c r="Z444" s="752">
        <f t="shared" si="105"/>
        <v>386.70091826388881</v>
      </c>
      <c r="AA444" s="751"/>
      <c r="AB444" s="751"/>
      <c r="AC444" s="752"/>
      <c r="AD444" s="760"/>
      <c r="AE444" s="759"/>
      <c r="AF444" s="752">
        <f t="shared" si="106"/>
        <v>929.61</v>
      </c>
      <c r="AG444" s="753"/>
      <c r="AH444" s="754">
        <f t="shared" si="98"/>
        <v>542.90908173611115</v>
      </c>
      <c r="AI444" s="755">
        <f t="shared" si="107"/>
        <v>1.4039508470099475</v>
      </c>
      <c r="AJ444" s="760"/>
      <c r="AK444" s="751"/>
      <c r="AL444" s="752">
        <f t="shared" si="108"/>
        <v>345.58</v>
      </c>
      <c r="AM444" s="756"/>
      <c r="AN444" s="754">
        <f t="shared" si="103"/>
        <v>584.03</v>
      </c>
      <c r="AO444" s="761">
        <f t="shared" si="104"/>
        <v>1.6899994212628047</v>
      </c>
      <c r="AP444" s="501"/>
      <c r="AQ444" s="501"/>
      <c r="AR444" s="501"/>
      <c r="AS444" s="501"/>
      <c r="AT444" s="501"/>
      <c r="AU444" s="501"/>
      <c r="AV444" s="501"/>
      <c r="AW444" s="501"/>
      <c r="AX444" s="501"/>
      <c r="AY444" s="501"/>
      <c r="AZ444" s="501"/>
      <c r="BA444" s="501"/>
      <c r="BB444" s="501"/>
      <c r="BC444" s="501"/>
      <c r="BD444" s="501"/>
      <c r="BE444" s="501"/>
      <c r="BF444" s="501"/>
      <c r="BG444" s="501"/>
      <c r="BH444" s="501"/>
      <c r="BI444" s="501"/>
      <c r="BJ444" s="501"/>
    </row>
    <row r="445" spans="1:62" ht="15.75" customHeight="1">
      <c r="A445" s="517" t="s">
        <v>61</v>
      </c>
      <c r="B445" s="498"/>
      <c r="C445" s="721" t="s">
        <v>465</v>
      </c>
      <c r="T445" s="501"/>
      <c r="U445" s="501"/>
      <c r="V445" s="592" t="s">
        <v>61</v>
      </c>
      <c r="W445" s="758" t="s">
        <v>159</v>
      </c>
      <c r="X445" s="751"/>
      <c r="Y445" s="759"/>
      <c r="Z445" s="752">
        <f t="shared" si="105"/>
        <v>1469.3198845138888</v>
      </c>
      <c r="AA445" s="751"/>
      <c r="AB445" s="759"/>
      <c r="AC445" s="752"/>
      <c r="AD445" s="760"/>
      <c r="AE445" s="759"/>
      <c r="AF445" s="752">
        <f t="shared" si="106"/>
        <v>347.95000000000005</v>
      </c>
      <c r="AG445" s="753"/>
      <c r="AH445" s="754">
        <f t="shared" si="98"/>
        <v>-1121.3698845138888</v>
      </c>
      <c r="AI445" s="774">
        <f t="shared" si="107"/>
        <v>-0.76318975624894902</v>
      </c>
      <c r="AJ445" s="760"/>
      <c r="AK445" s="751"/>
      <c r="AL445" s="752">
        <f t="shared" si="108"/>
        <v>744.67</v>
      </c>
      <c r="AM445" s="756"/>
      <c r="AN445" s="754">
        <f t="shared" si="103"/>
        <v>-396.71999999999991</v>
      </c>
      <c r="AO445" s="761">
        <f t="shared" si="104"/>
        <v>-0.5327460485852793</v>
      </c>
      <c r="AP445" s="501"/>
      <c r="AQ445" s="501"/>
      <c r="AR445" s="501"/>
      <c r="AS445" s="501"/>
      <c r="AT445" s="501"/>
      <c r="AU445" s="501"/>
      <c r="AV445" s="501"/>
      <c r="AW445" s="501"/>
      <c r="AX445" s="501"/>
      <c r="AY445" s="501"/>
      <c r="AZ445" s="501"/>
      <c r="BA445" s="501"/>
      <c r="BB445" s="501"/>
      <c r="BC445" s="501"/>
      <c r="BD445" s="501"/>
      <c r="BE445" s="501"/>
      <c r="BF445" s="501"/>
      <c r="BG445" s="501"/>
      <c r="BH445" s="501"/>
      <c r="BI445" s="501"/>
      <c r="BJ445" s="501"/>
    </row>
    <row r="446" spans="1:62" ht="15.75" customHeight="1">
      <c r="A446" s="517" t="s">
        <v>62</v>
      </c>
      <c r="B446" s="498"/>
      <c r="C446" s="721" t="s">
        <v>465</v>
      </c>
      <c r="T446" s="501"/>
      <c r="U446" s="501"/>
      <c r="V446" s="592" t="s">
        <v>62</v>
      </c>
      <c r="W446" s="758" t="s">
        <v>160</v>
      </c>
      <c r="X446" s="751"/>
      <c r="Y446" s="759"/>
      <c r="Z446" s="752">
        <f t="shared" si="105"/>
        <v>3513.3333333333339</v>
      </c>
      <c r="AA446" s="751"/>
      <c r="AB446" s="759"/>
      <c r="AC446" s="752"/>
      <c r="AD446" s="760"/>
      <c r="AE446" s="759"/>
      <c r="AF446" s="752">
        <f t="shared" si="106"/>
        <v>3572.32</v>
      </c>
      <c r="AG446" s="753"/>
      <c r="AH446" s="789">
        <f t="shared" si="98"/>
        <v>58.986666666666224</v>
      </c>
      <c r="AI446" s="755">
        <f t="shared" si="107"/>
        <v>1.6789373814041615E-2</v>
      </c>
      <c r="AJ446" s="760"/>
      <c r="AK446" s="751"/>
      <c r="AL446" s="752">
        <f t="shared" si="108"/>
        <v>4225.72</v>
      </c>
      <c r="AM446" s="756"/>
      <c r="AN446" s="754">
        <f t="shared" si="103"/>
        <v>-653.40000000000009</v>
      </c>
      <c r="AO446" s="761">
        <f t="shared" si="104"/>
        <v>-0.15462453735694748</v>
      </c>
      <c r="AQ446" s="501"/>
      <c r="AR446" s="501"/>
      <c r="AS446" s="501"/>
      <c r="AT446" s="501"/>
      <c r="AU446" s="501"/>
      <c r="AV446" s="501"/>
      <c r="AW446" s="501"/>
      <c r="AX446" s="501"/>
      <c r="AY446" s="501"/>
      <c r="AZ446" s="501"/>
      <c r="BA446" s="501"/>
      <c r="BB446" s="501"/>
      <c r="BC446" s="501"/>
      <c r="BD446" s="501"/>
      <c r="BE446" s="501"/>
      <c r="BF446" s="501"/>
      <c r="BG446" s="501"/>
      <c r="BH446" s="501"/>
      <c r="BI446" s="501"/>
      <c r="BJ446" s="501"/>
    </row>
    <row r="447" spans="1:62" ht="15.75" customHeight="1">
      <c r="A447" s="517" t="s">
        <v>63</v>
      </c>
      <c r="B447" s="498"/>
      <c r="C447" s="721" t="s">
        <v>465</v>
      </c>
      <c r="T447" s="501"/>
      <c r="U447" s="501"/>
      <c r="V447" s="592" t="s">
        <v>63</v>
      </c>
      <c r="W447" s="758" t="s">
        <v>161</v>
      </c>
      <c r="X447" s="751"/>
      <c r="Y447" s="759"/>
      <c r="Z447" s="752">
        <f t="shared" si="105"/>
        <v>6908.5974110175694</v>
      </c>
      <c r="AA447" s="751"/>
      <c r="AB447" s="759"/>
      <c r="AC447" s="752"/>
      <c r="AD447" s="760"/>
      <c r="AE447" s="759"/>
      <c r="AF447" s="752">
        <f t="shared" si="106"/>
        <v>7860.3200000000006</v>
      </c>
      <c r="AG447" s="753"/>
      <c r="AH447" s="754">
        <f t="shared" si="98"/>
        <v>951.72258898243126</v>
      </c>
      <c r="AI447" s="755">
        <f t="shared" si="107"/>
        <v>0.13775916186180717</v>
      </c>
      <c r="AJ447" s="760"/>
      <c r="AK447" s="751"/>
      <c r="AL447" s="752">
        <f>SUMIFS([6]BV_Data_An_Prec!$O:$O,[6]BV_Data_An_Prec!$V:$V,$V447)</f>
        <v>6811.11</v>
      </c>
      <c r="AM447" s="756"/>
      <c r="AN447" s="754">
        <f t="shared" si="103"/>
        <v>1049.2100000000009</v>
      </c>
      <c r="AO447" s="761">
        <f t="shared" si="104"/>
        <v>0.15404390767437334</v>
      </c>
      <c r="AQ447" s="501"/>
      <c r="AR447" s="501"/>
      <c r="AS447" s="501"/>
      <c r="AT447" s="501"/>
      <c r="AU447" s="501"/>
      <c r="AV447" s="501"/>
      <c r="AW447" s="501"/>
      <c r="AX447" s="501"/>
      <c r="AY447" s="501"/>
      <c r="AZ447" s="501"/>
      <c r="BA447" s="501"/>
      <c r="BB447" s="501"/>
      <c r="BC447" s="501"/>
      <c r="BD447" s="501"/>
      <c r="BE447" s="501"/>
      <c r="BF447" s="501"/>
      <c r="BG447" s="501"/>
      <c r="BH447" s="501"/>
      <c r="BI447" s="501"/>
      <c r="BJ447" s="501"/>
    </row>
    <row r="448" spans="1:62" ht="15.75" hidden="1" customHeight="1">
      <c r="A448" s="517" t="s">
        <v>20</v>
      </c>
      <c r="B448" s="498"/>
      <c r="C448" s="721" t="s">
        <v>465</v>
      </c>
      <c r="T448" s="501"/>
      <c r="U448" s="501"/>
      <c r="V448" s="592" t="s">
        <v>20</v>
      </c>
      <c r="W448" s="758"/>
      <c r="X448" s="751"/>
      <c r="Y448" s="759"/>
      <c r="Z448" s="752">
        <f t="shared" ref="Z448:Z450" si="109">IFERROR(SUMIF($C:$C,$V448,F:F),0)</f>
        <v>0</v>
      </c>
      <c r="AA448" s="751"/>
      <c r="AB448" s="751"/>
      <c r="AC448" s="752"/>
      <c r="AD448" s="760"/>
      <c r="AE448" s="759"/>
      <c r="AF448" s="752">
        <f t="shared" ref="AF448:AF450" si="110">IFERROR(SUMIF($C:$C,$V448,L:L),0)</f>
        <v>0</v>
      </c>
      <c r="AG448" s="753"/>
      <c r="AH448" s="754">
        <f t="shared" si="98"/>
        <v>0</v>
      </c>
      <c r="AI448" s="755">
        <f t="shared" si="107"/>
        <v>0</v>
      </c>
      <c r="AJ448" s="760"/>
      <c r="AK448" s="751"/>
      <c r="AL448" s="752">
        <f t="shared" ref="AL448:AL450" si="111">IFERROR(SUMIF($C:$C,$V448,Q:Q),0)</f>
        <v>0</v>
      </c>
      <c r="AM448" s="756"/>
      <c r="AN448" s="754">
        <f t="shared" si="103"/>
        <v>0</v>
      </c>
      <c r="AO448" s="761">
        <f t="shared" si="104"/>
        <v>0</v>
      </c>
      <c r="AP448" s="501"/>
      <c r="AQ448" s="501"/>
      <c r="AR448" s="501"/>
      <c r="AS448" s="501"/>
      <c r="AT448" s="501"/>
      <c r="AU448" s="501"/>
      <c r="AV448" s="501"/>
      <c r="AW448" s="501"/>
      <c r="AX448" s="501"/>
      <c r="AY448" s="501"/>
      <c r="AZ448" s="501"/>
      <c r="BA448" s="501"/>
      <c r="BB448" s="501"/>
      <c r="BC448" s="501"/>
      <c r="BD448" s="501"/>
      <c r="BE448" s="501"/>
      <c r="BF448" s="501"/>
      <c r="BG448" s="501"/>
      <c r="BH448" s="501"/>
      <c r="BI448" s="501"/>
      <c r="BJ448" s="501"/>
    </row>
    <row r="449" spans="1:62" ht="15.75" hidden="1" customHeight="1">
      <c r="A449" s="517" t="s">
        <v>20</v>
      </c>
      <c r="B449" s="498"/>
      <c r="C449" s="721" t="s">
        <v>465</v>
      </c>
      <c r="T449" s="501"/>
      <c r="U449" s="501"/>
      <c r="V449" s="592" t="s">
        <v>20</v>
      </c>
      <c r="W449" s="758"/>
      <c r="X449" s="751"/>
      <c r="Y449" s="759"/>
      <c r="Z449" s="752">
        <f t="shared" si="109"/>
        <v>0</v>
      </c>
      <c r="AA449" s="751"/>
      <c r="AB449" s="751"/>
      <c r="AC449" s="752"/>
      <c r="AD449" s="760"/>
      <c r="AE449" s="759"/>
      <c r="AF449" s="752">
        <f t="shared" si="110"/>
        <v>0</v>
      </c>
      <c r="AG449" s="753"/>
      <c r="AH449" s="754">
        <f t="shared" si="98"/>
        <v>0</v>
      </c>
      <c r="AI449" s="755">
        <f t="shared" si="107"/>
        <v>0</v>
      </c>
      <c r="AJ449" s="760"/>
      <c r="AK449" s="751"/>
      <c r="AL449" s="752">
        <f t="shared" si="111"/>
        <v>0</v>
      </c>
      <c r="AM449" s="756"/>
      <c r="AN449" s="754">
        <f t="shared" si="103"/>
        <v>0</v>
      </c>
      <c r="AO449" s="761">
        <f t="shared" si="104"/>
        <v>0</v>
      </c>
      <c r="AP449" s="501"/>
      <c r="AQ449" s="501"/>
      <c r="AR449" s="501"/>
      <c r="AS449" s="501"/>
      <c r="AT449" s="501"/>
      <c r="AU449" s="501"/>
      <c r="AV449" s="501"/>
      <c r="AW449" s="501"/>
      <c r="AX449" s="501"/>
      <c r="AY449" s="501"/>
      <c r="AZ449" s="501"/>
      <c r="BA449" s="501"/>
      <c r="BB449" s="501"/>
      <c r="BC449" s="501"/>
      <c r="BD449" s="501"/>
      <c r="BE449" s="501"/>
      <c r="BF449" s="501"/>
      <c r="BG449" s="501"/>
      <c r="BH449" s="501"/>
      <c r="BI449" s="501"/>
      <c r="BJ449" s="501"/>
    </row>
    <row r="450" spans="1:62" ht="15.75" hidden="1" customHeight="1">
      <c r="A450" s="517" t="s">
        <v>20</v>
      </c>
      <c r="B450" s="498"/>
      <c r="C450" s="721" t="s">
        <v>465</v>
      </c>
      <c r="T450" s="501"/>
      <c r="U450" s="501"/>
      <c r="V450" s="592" t="s">
        <v>20</v>
      </c>
      <c r="W450" s="758"/>
      <c r="X450" s="751"/>
      <c r="Y450" s="759"/>
      <c r="Z450" s="752">
        <f t="shared" si="109"/>
        <v>0</v>
      </c>
      <c r="AA450" s="751"/>
      <c r="AB450" s="751"/>
      <c r="AC450" s="752"/>
      <c r="AD450" s="760"/>
      <c r="AE450" s="759"/>
      <c r="AF450" s="752">
        <f t="shared" si="110"/>
        <v>0</v>
      </c>
      <c r="AG450" s="753"/>
      <c r="AH450" s="754">
        <f t="shared" si="98"/>
        <v>0</v>
      </c>
      <c r="AI450" s="755">
        <f t="shared" si="107"/>
        <v>0</v>
      </c>
      <c r="AJ450" s="760"/>
      <c r="AK450" s="751"/>
      <c r="AL450" s="752">
        <f t="shared" si="111"/>
        <v>0</v>
      </c>
      <c r="AM450" s="756"/>
      <c r="AN450" s="754">
        <f t="shared" si="103"/>
        <v>0</v>
      </c>
      <c r="AO450" s="761">
        <f t="shared" si="104"/>
        <v>0</v>
      </c>
      <c r="AP450" s="501"/>
      <c r="AQ450" s="501"/>
      <c r="AR450" s="501"/>
      <c r="AS450" s="501"/>
      <c r="AT450" s="501"/>
      <c r="AU450" s="501"/>
      <c r="AV450" s="501"/>
      <c r="AW450" s="501"/>
      <c r="AX450" s="501"/>
      <c r="AY450" s="501"/>
      <c r="AZ450" s="501"/>
      <c r="BA450" s="501"/>
      <c r="BB450" s="501"/>
      <c r="BC450" s="501"/>
      <c r="BD450" s="501"/>
      <c r="BE450" s="501"/>
      <c r="BF450" s="501"/>
      <c r="BG450" s="501"/>
      <c r="BH450" s="501"/>
      <c r="BI450" s="501"/>
      <c r="BJ450" s="501"/>
    </row>
    <row r="451" spans="1:62" ht="15.75" customHeight="1">
      <c r="A451" s="517" t="s">
        <v>64</v>
      </c>
      <c r="B451" s="498"/>
      <c r="C451" s="721" t="s">
        <v>465</v>
      </c>
      <c r="T451" s="501"/>
      <c r="U451" s="501"/>
      <c r="V451" s="766" t="s">
        <v>64</v>
      </c>
      <c r="W451" s="790"/>
      <c r="X451" s="768">
        <f>Z451/+Z406</f>
        <v>0.14684376124431317</v>
      </c>
      <c r="Y451" s="767"/>
      <c r="Z451" s="769">
        <f>+SUM(Z433:Z450)</f>
        <v>101518.13257903128</v>
      </c>
      <c r="AA451" s="768"/>
      <c r="AB451" s="767"/>
      <c r="AC451" s="769"/>
      <c r="AD451" s="770">
        <f>AF451/AF406</f>
        <v>0.18235578618986112</v>
      </c>
      <c r="AE451" s="767"/>
      <c r="AF451" s="769">
        <f>+SUM(AF433:AF450)</f>
        <v>123257.83000000003</v>
      </c>
      <c r="AG451" s="776"/>
      <c r="AH451" s="791">
        <f>+SUM(AH433:AH450)</f>
        <v>21739.697420968696</v>
      </c>
      <c r="AI451" s="768">
        <f>AH451/Z451</f>
        <v>0.21414595470463826</v>
      </c>
      <c r="AJ451" s="770">
        <f>IF($AL$406=0,0,AL451/$AL$406)</f>
        <v>0.14058875135726831</v>
      </c>
      <c r="AK451" s="768"/>
      <c r="AL451" s="769">
        <f>+SUM(AL433:AL450)</f>
        <v>112170.39000000001</v>
      </c>
      <c r="AM451" s="777"/>
      <c r="AN451" s="772">
        <f>+SUM(AN433:AN450)</f>
        <v>11087.440000000004</v>
      </c>
      <c r="AO451" s="792">
        <f t="shared" si="104"/>
        <v>9.8844623790645667E-2</v>
      </c>
      <c r="AP451" s="501"/>
      <c r="AQ451" s="501"/>
      <c r="AR451" s="501"/>
      <c r="AS451" s="501"/>
      <c r="AT451" s="501"/>
      <c r="AU451" s="501"/>
      <c r="AV451" s="501"/>
      <c r="AW451" s="501"/>
      <c r="AX451" s="501"/>
      <c r="AY451" s="501"/>
      <c r="AZ451" s="501"/>
      <c r="BA451" s="501"/>
      <c r="BB451" s="501"/>
      <c r="BC451" s="501"/>
      <c r="BD451" s="501"/>
      <c r="BE451" s="501"/>
      <c r="BF451" s="501"/>
      <c r="BG451" s="501"/>
      <c r="BH451" s="501"/>
      <c r="BI451" s="501"/>
      <c r="BJ451" s="501"/>
    </row>
    <row r="452" spans="1:62" ht="15.75" customHeight="1">
      <c r="A452" s="517" t="s">
        <v>162</v>
      </c>
      <c r="B452" s="498"/>
      <c r="C452" s="721" t="s">
        <v>465</v>
      </c>
      <c r="D452" s="501"/>
      <c r="E452" s="501"/>
      <c r="F452" s="501"/>
      <c r="G452" s="501"/>
      <c r="H452" s="501"/>
      <c r="I452" s="501"/>
      <c r="J452" s="501"/>
      <c r="K452" s="501"/>
      <c r="L452" s="501"/>
      <c r="M452" s="501"/>
      <c r="N452" s="501"/>
      <c r="O452" s="501"/>
      <c r="P452" s="501"/>
      <c r="Q452" s="501"/>
      <c r="R452" s="501"/>
      <c r="S452" s="501"/>
      <c r="T452" s="501"/>
      <c r="U452" s="501"/>
      <c r="V452" s="592" t="s">
        <v>162</v>
      </c>
      <c r="W452" s="758" t="s">
        <v>163</v>
      </c>
      <c r="X452" s="751"/>
      <c r="Y452" s="759"/>
      <c r="Z452" s="752">
        <f t="array" ref="Z452">+INDEX('[6]Budget original'!$A$2:$AO$500,MATCH($A452,'[6]Budget original'!$A$2:$A$500,0),MATCH(F$2,'[6]Budget original'!$A$2:$AO$2,0))</f>
        <v>26000.000000000004</v>
      </c>
      <c r="AA452" s="751"/>
      <c r="AB452" s="759"/>
      <c r="AC452" s="752"/>
      <c r="AD452" s="760"/>
      <c r="AE452" s="759"/>
      <c r="AF452" s="752">
        <f>SUMIFS([6]BV_Data_An_Cour!$O:$O,[6]BV_Data_An_Cour!$V:$V,$V452)</f>
        <v>26000</v>
      </c>
      <c r="AG452" s="753"/>
      <c r="AH452" s="754">
        <f t="shared" ref="AH452:AH460" si="112">AF452-Z452</f>
        <v>0</v>
      </c>
      <c r="AI452" s="755">
        <f t="shared" ref="AI452:AI460" si="113">IF(Z452=0,0,AH452/Z452)</f>
        <v>0</v>
      </c>
      <c r="AJ452" s="760"/>
      <c r="AK452" s="751"/>
      <c r="AL452" s="752">
        <f>SUMIFS([6]BV_Data_An_Prec!$O:$O,[6]BV_Data_An_Prec!$V:$V,$V452)</f>
        <v>26000</v>
      </c>
      <c r="AM452" s="756"/>
      <c r="AN452" s="754">
        <f t="shared" ref="AN452:AN460" si="114">AF452-AL452</f>
        <v>0</v>
      </c>
      <c r="AO452" s="761">
        <f t="shared" si="104"/>
        <v>0</v>
      </c>
      <c r="AP452" s="501"/>
      <c r="AQ452" s="501"/>
      <c r="AR452" s="501"/>
      <c r="AS452" s="501"/>
      <c r="AT452" s="501"/>
      <c r="AU452" s="501"/>
      <c r="AV452" s="501"/>
      <c r="AW452" s="501"/>
      <c r="AX452" s="501"/>
      <c r="AY452" s="501"/>
      <c r="AZ452" s="501"/>
      <c r="BA452" s="501"/>
      <c r="BB452" s="501"/>
      <c r="BC452" s="501"/>
      <c r="BD452" s="501"/>
      <c r="BE452" s="501"/>
      <c r="BF452" s="501"/>
      <c r="BG452" s="501"/>
      <c r="BH452" s="501"/>
      <c r="BI452" s="501"/>
      <c r="BJ452" s="501"/>
    </row>
    <row r="453" spans="1:62" ht="15.75" customHeight="1">
      <c r="A453" s="517" t="s">
        <v>164</v>
      </c>
      <c r="B453" s="498"/>
      <c r="C453" s="721" t="s">
        <v>465</v>
      </c>
      <c r="D453" s="501"/>
      <c r="E453" s="501"/>
      <c r="F453" s="501"/>
      <c r="G453" s="501"/>
      <c r="H453" s="501"/>
      <c r="I453" s="501"/>
      <c r="J453" s="501"/>
      <c r="K453" s="501"/>
      <c r="L453" s="501"/>
      <c r="M453" s="501"/>
      <c r="N453" s="501"/>
      <c r="O453" s="501"/>
      <c r="P453" s="501"/>
      <c r="Q453" s="501"/>
      <c r="R453" s="501"/>
      <c r="S453" s="501"/>
      <c r="T453" s="501"/>
      <c r="U453" s="501"/>
      <c r="V453" s="592" t="s">
        <v>164</v>
      </c>
      <c r="W453" s="758" t="s">
        <v>165</v>
      </c>
      <c r="X453" s="751"/>
      <c r="Y453" s="759"/>
      <c r="Z453" s="752">
        <f t="array" ref="Z453">+INDEX('[6]Budget original'!$A$2:$AO$500,MATCH($A453,'[6]Budget original'!$A$2:$A$500,0),MATCH(F$2,'[6]Budget original'!$A$2:$AO$2,0))</f>
        <v>5281.6050000000005</v>
      </c>
      <c r="AA453" s="751"/>
      <c r="AB453" s="759"/>
      <c r="AC453" s="752"/>
      <c r="AD453" s="760"/>
      <c r="AE453" s="759"/>
      <c r="AF453" s="752">
        <f>SUMIFS([6]BV_Data_An_Cour!$O:$O,[6]BV_Data_An_Cour!$V:$V,$V453)</f>
        <v>4937.75</v>
      </c>
      <c r="AG453" s="753"/>
      <c r="AH453" s="754">
        <f t="shared" si="112"/>
        <v>-343.85500000000047</v>
      </c>
      <c r="AI453" s="755">
        <f t="shared" si="113"/>
        <v>-6.5104262814049976E-2</v>
      </c>
      <c r="AJ453" s="760"/>
      <c r="AK453" s="751"/>
      <c r="AL453" s="752">
        <f>SUMIFS([6]BV_Data_An_Prec!$O:$O,[6]BV_Data_An_Prec!$V:$V,$V453)</f>
        <v>4930</v>
      </c>
      <c r="AM453" s="756"/>
      <c r="AN453" s="754">
        <f t="shared" si="114"/>
        <v>7.75</v>
      </c>
      <c r="AO453" s="761">
        <f t="shared" si="104"/>
        <v>1.5720081135902637E-3</v>
      </c>
      <c r="AP453" s="501"/>
      <c r="AQ453" s="501"/>
      <c r="AR453" s="501"/>
      <c r="AS453" s="501"/>
      <c r="AT453" s="501"/>
      <c r="AU453" s="501"/>
      <c r="AV453" s="501"/>
      <c r="AW453" s="501"/>
      <c r="AX453" s="501"/>
      <c r="AY453" s="501"/>
      <c r="AZ453" s="501"/>
      <c r="BA453" s="501"/>
      <c r="BB453" s="501"/>
      <c r="BC453" s="501"/>
      <c r="BD453" s="501"/>
      <c r="BE453" s="501"/>
      <c r="BF453" s="501"/>
      <c r="BG453" s="501"/>
      <c r="BH453" s="501"/>
      <c r="BI453" s="501"/>
      <c r="BJ453" s="501"/>
    </row>
    <row r="454" spans="1:62" ht="15.75" customHeight="1">
      <c r="A454" s="517" t="s">
        <v>166</v>
      </c>
      <c r="B454" s="498"/>
      <c r="C454" s="721" t="s">
        <v>465</v>
      </c>
      <c r="D454" s="501"/>
      <c r="E454" s="501"/>
      <c r="F454" s="501"/>
      <c r="G454" s="501"/>
      <c r="H454" s="501"/>
      <c r="I454" s="501"/>
      <c r="J454" s="501"/>
      <c r="K454" s="501"/>
      <c r="L454" s="501"/>
      <c r="M454" s="501"/>
      <c r="N454" s="501"/>
      <c r="O454" s="501"/>
      <c r="P454" s="501"/>
      <c r="Q454" s="501"/>
      <c r="R454" s="501"/>
      <c r="S454" s="501"/>
      <c r="T454" s="501"/>
      <c r="U454" s="501"/>
      <c r="V454" s="593" t="s">
        <v>166</v>
      </c>
      <c r="W454" s="762" t="s">
        <v>167</v>
      </c>
      <c r="X454" s="735"/>
      <c r="Y454" s="763"/>
      <c r="Z454" s="736">
        <f t="array" ref="Z454">+INDEX('[6]Budget original'!$A$2:$AO$500,MATCH($A454,'[6]Budget original'!$A$2:$A$500,0),MATCH(F$2,'[6]Budget original'!$A$2:$AO$2,0))</f>
        <v>3513.8249999999998</v>
      </c>
      <c r="AA454" s="735"/>
      <c r="AB454" s="763"/>
      <c r="AC454" s="736"/>
      <c r="AD454" s="764"/>
      <c r="AE454" s="763"/>
      <c r="AF454" s="736">
        <f>SUMIFS([6]BV_Data_An_Cour!$O:$O,[6]BV_Data_An_Cour!$V:$V,$V454)</f>
        <v>3279.9999999999995</v>
      </c>
      <c r="AG454" s="737"/>
      <c r="AH454" s="738">
        <f t="shared" si="112"/>
        <v>-233.82500000000027</v>
      </c>
      <c r="AI454" s="765">
        <f t="shared" si="113"/>
        <v>-6.6544292900187194E-2</v>
      </c>
      <c r="AJ454" s="764"/>
      <c r="AK454" s="735"/>
      <c r="AL454" s="736">
        <f>SUMIFS([6]BV_Data_An_Prec!$O:$O,[6]BV_Data_An_Prec!$V:$V,$V454)</f>
        <v>3279.9999999999995</v>
      </c>
      <c r="AM454" s="740"/>
      <c r="AN454" s="738">
        <f t="shared" si="114"/>
        <v>0</v>
      </c>
      <c r="AO454" s="741">
        <f t="shared" si="104"/>
        <v>0</v>
      </c>
      <c r="AP454" s="501"/>
      <c r="AQ454" s="501"/>
      <c r="AR454" s="501"/>
      <c r="AS454" s="501"/>
      <c r="AT454" s="501"/>
      <c r="AU454" s="501"/>
      <c r="AV454" s="501"/>
      <c r="AW454" s="501"/>
      <c r="AX454" s="501"/>
      <c r="AY454" s="501"/>
      <c r="AZ454" s="501"/>
      <c r="BA454" s="501"/>
      <c r="BB454" s="501"/>
      <c r="BC454" s="501"/>
      <c r="BD454" s="501"/>
      <c r="BE454" s="501"/>
      <c r="BF454" s="501"/>
      <c r="BG454" s="501"/>
      <c r="BH454" s="501"/>
      <c r="BI454" s="501"/>
      <c r="BJ454" s="501"/>
    </row>
    <row r="455" spans="1:62" ht="15.75" customHeight="1">
      <c r="A455" s="517" t="s">
        <v>168</v>
      </c>
      <c r="B455" s="498"/>
      <c r="C455" s="721" t="s">
        <v>465</v>
      </c>
      <c r="D455" s="501"/>
      <c r="E455" s="501"/>
      <c r="F455" s="501"/>
      <c r="G455" s="501"/>
      <c r="H455" s="501"/>
      <c r="I455" s="501"/>
      <c r="J455" s="501"/>
      <c r="K455" s="501"/>
      <c r="L455" s="501"/>
      <c r="M455" s="501"/>
      <c r="N455" s="501"/>
      <c r="O455" s="501"/>
      <c r="P455" s="501"/>
      <c r="Q455" s="501"/>
      <c r="R455" s="501"/>
      <c r="S455" s="501"/>
      <c r="T455" s="501"/>
      <c r="U455" s="501"/>
      <c r="V455" s="592" t="s">
        <v>168</v>
      </c>
      <c r="W455" s="758"/>
      <c r="X455" s="751"/>
      <c r="Y455" s="759"/>
      <c r="Z455" s="752">
        <f t="array" ref="Z455">+INDEX('[6]Budget original'!$A$2:$AO$500,MATCH($A455,'[6]Budget original'!$A$2:$A$500,0),MATCH(F$2,'[6]Budget original'!$A$2:$AO$2,0))</f>
        <v>0</v>
      </c>
      <c r="AA455" s="751"/>
      <c r="AB455" s="759"/>
      <c r="AC455" s="752"/>
      <c r="AD455" s="760"/>
      <c r="AE455" s="759"/>
      <c r="AF455" s="752">
        <f>SUMIFS([6]BV_Data_An_Cour!$O:$O,[6]BV_Data_An_Cour!$V:$V,$V455)</f>
        <v>0</v>
      </c>
      <c r="AG455" s="753"/>
      <c r="AH455" s="754">
        <f t="shared" si="112"/>
        <v>0</v>
      </c>
      <c r="AI455" s="755">
        <f t="shared" si="113"/>
        <v>0</v>
      </c>
      <c r="AJ455" s="760"/>
      <c r="AK455" s="751"/>
      <c r="AL455" s="752">
        <f>SUMIFS([6]BV_Data_An_Prec!$O:$O,[6]BV_Data_An_Prec!$V:$V,$V455)</f>
        <v>0</v>
      </c>
      <c r="AM455" s="756"/>
      <c r="AN455" s="754">
        <f t="shared" si="114"/>
        <v>0</v>
      </c>
      <c r="AO455" s="761">
        <f t="shared" si="104"/>
        <v>0</v>
      </c>
      <c r="AP455" s="501"/>
      <c r="AQ455" s="501"/>
      <c r="AR455" s="501"/>
      <c r="AS455" s="501"/>
      <c r="AT455" s="501"/>
      <c r="AU455" s="501"/>
      <c r="AV455" s="501"/>
      <c r="AW455" s="501"/>
      <c r="AX455" s="501"/>
      <c r="AY455" s="501"/>
      <c r="AZ455" s="501"/>
      <c r="BA455" s="501"/>
      <c r="BB455" s="501"/>
      <c r="BC455" s="501"/>
      <c r="BD455" s="501"/>
      <c r="BE455" s="501"/>
      <c r="BF455" s="501"/>
      <c r="BG455" s="501"/>
      <c r="BH455" s="501"/>
      <c r="BI455" s="501"/>
      <c r="BJ455" s="501"/>
    </row>
    <row r="456" spans="1:62" ht="15.75" customHeight="1">
      <c r="A456" s="517" t="s">
        <v>169</v>
      </c>
      <c r="B456" s="498"/>
      <c r="C456" s="721" t="s">
        <v>465</v>
      </c>
      <c r="D456" s="501"/>
      <c r="E456" s="501"/>
      <c r="F456" s="501"/>
      <c r="G456" s="501"/>
      <c r="H456" s="501"/>
      <c r="I456" s="501"/>
      <c r="J456" s="501"/>
      <c r="K456" s="501"/>
      <c r="L456" s="501"/>
      <c r="M456" s="501"/>
      <c r="N456" s="501"/>
      <c r="O456" s="501"/>
      <c r="P456" s="501"/>
      <c r="Q456" s="501"/>
      <c r="R456" s="501"/>
      <c r="S456" s="501"/>
      <c r="T456" s="501"/>
      <c r="U456" s="501"/>
      <c r="V456" s="593" t="s">
        <v>169</v>
      </c>
      <c r="W456" s="762" t="s">
        <v>170</v>
      </c>
      <c r="X456" s="735"/>
      <c r="Y456" s="763"/>
      <c r="Z456" s="736">
        <f t="array" ref="Z456">+INDEX('[6]Budget original'!$A$2:$AO$500,MATCH($A456,'[6]Budget original'!$A$2:$A$500,0),MATCH(F$2,'[6]Budget original'!$A$2:$AO$2,0))</f>
        <v>4356.2783333333327</v>
      </c>
      <c r="AA456" s="735"/>
      <c r="AB456" s="763"/>
      <c r="AC456" s="736"/>
      <c r="AD456" s="764"/>
      <c r="AE456" s="763"/>
      <c r="AF456" s="736">
        <f>SUMIF([6]BV_Data_An_Cour!$V:$V,'Juin 2023'!$V456,[6]BV_Data_An_Cour!$O:$O)</f>
        <v>4271</v>
      </c>
      <c r="AG456" s="737"/>
      <c r="AH456" s="738">
        <f t="shared" si="112"/>
        <v>-85.278333333332739</v>
      </c>
      <c r="AI456" s="765">
        <f t="shared" si="113"/>
        <v>-1.9575960672852496E-2</v>
      </c>
      <c r="AJ456" s="764"/>
      <c r="AK456" s="735"/>
      <c r="AL456" s="736">
        <f>SUMIF([6]BV_Data_An_Prec!$V:$V,'Juin 2023'!$V456,[6]BV_Data_An_Prec!$O:$O)</f>
        <v>4271</v>
      </c>
      <c r="AM456" s="740"/>
      <c r="AN456" s="738">
        <f t="shared" si="114"/>
        <v>0</v>
      </c>
      <c r="AO456" s="741">
        <f t="shared" si="104"/>
        <v>0</v>
      </c>
      <c r="AP456" s="501"/>
      <c r="AQ456" s="501"/>
      <c r="AR456" s="501"/>
      <c r="AS456" s="501"/>
      <c r="AT456" s="501"/>
      <c r="AU456" s="501"/>
      <c r="AV456" s="501"/>
      <c r="AW456" s="501"/>
      <c r="AX456" s="501"/>
      <c r="AY456" s="501"/>
      <c r="AZ456" s="501"/>
      <c r="BA456" s="501"/>
      <c r="BB456" s="501"/>
      <c r="BC456" s="501"/>
      <c r="BD456" s="501"/>
      <c r="BE456" s="501"/>
      <c r="BF456" s="501"/>
      <c r="BG456" s="501"/>
      <c r="BH456" s="501"/>
      <c r="BI456" s="501"/>
      <c r="BJ456" s="501"/>
    </row>
    <row r="457" spans="1:62" ht="15.75" customHeight="1">
      <c r="A457" s="517" t="s">
        <v>171</v>
      </c>
      <c r="B457" s="498"/>
      <c r="C457" s="721" t="s">
        <v>465</v>
      </c>
      <c r="D457" s="501"/>
      <c r="E457" s="501"/>
      <c r="F457" s="501"/>
      <c r="G457" s="501"/>
      <c r="H457" s="501"/>
      <c r="I457" s="501"/>
      <c r="J457" s="501"/>
      <c r="K457" s="501"/>
      <c r="L457" s="501"/>
      <c r="M457" s="501"/>
      <c r="N457" s="501"/>
      <c r="O457" s="501"/>
      <c r="P457" s="501"/>
      <c r="Q457" s="501"/>
      <c r="R457" s="501"/>
      <c r="S457" s="501"/>
      <c r="T457" s="501"/>
      <c r="U457" s="501"/>
      <c r="V457" s="592" t="s">
        <v>171</v>
      </c>
      <c r="W457" s="758" t="s">
        <v>172</v>
      </c>
      <c r="X457" s="793"/>
      <c r="Y457" s="794"/>
      <c r="Z457" s="752">
        <f t="array" ref="Z457">+INDEX('[6]Budget original'!$A$2:$AO$500,MATCH($A457,'[6]Budget original'!$A$2:$A$500,0),MATCH(F$2,'[6]Budget original'!$A$2:$AO$2,0))</f>
        <v>2510.948249791667</v>
      </c>
      <c r="AA457" s="793"/>
      <c r="AB457" s="794"/>
      <c r="AC457" s="752"/>
      <c r="AD457" s="760"/>
      <c r="AE457" s="759"/>
      <c r="AF457" s="795">
        <f>SUMIFS([6]BV_Data_An_Cour!$O:$O,[6]BV_Data_An_Cour!$V:$V,$V457)</f>
        <v>-898.86</v>
      </c>
      <c r="AG457" s="753"/>
      <c r="AH457" s="754">
        <f t="shared" si="112"/>
        <v>-3409.8082497916671</v>
      </c>
      <c r="AI457" s="755">
        <f t="shared" si="113"/>
        <v>-1.3579763143563706</v>
      </c>
      <c r="AJ457" s="760"/>
      <c r="AK457" s="751"/>
      <c r="AL457" s="752">
        <f>SUMIFS([6]BV_Data_An_Prec!$O:$O,[6]BV_Data_An_Prec!$V:$V,$V457)</f>
        <v>0</v>
      </c>
      <c r="AM457" s="756"/>
      <c r="AN457" s="754">
        <f t="shared" si="114"/>
        <v>-898.86</v>
      </c>
      <c r="AO457" s="761">
        <f t="shared" si="104"/>
        <v>0</v>
      </c>
      <c r="AP457" s="501"/>
      <c r="AQ457" s="501"/>
      <c r="AR457" s="501"/>
      <c r="AS457" s="501"/>
      <c r="AT457" s="501"/>
      <c r="AU457" s="501"/>
      <c r="AV457" s="501"/>
      <c r="AW457" s="501"/>
      <c r="AX457" s="501"/>
      <c r="AY457" s="501"/>
      <c r="AZ457" s="501"/>
      <c r="BA457" s="501"/>
      <c r="BB457" s="501"/>
      <c r="BC457" s="501"/>
      <c r="BD457" s="501"/>
      <c r="BE457" s="501"/>
      <c r="BF457" s="501"/>
      <c r="BG457" s="501"/>
      <c r="BH457" s="501"/>
      <c r="BI457" s="501"/>
      <c r="BJ457" s="501"/>
    </row>
    <row r="458" spans="1:62" ht="15.75" customHeight="1">
      <c r="A458" s="517" t="s">
        <v>173</v>
      </c>
      <c r="B458" s="498"/>
      <c r="C458" s="721" t="s">
        <v>465</v>
      </c>
      <c r="D458" s="501"/>
      <c r="E458" s="501"/>
      <c r="F458" s="501"/>
      <c r="G458" s="501"/>
      <c r="H458" s="501"/>
      <c r="I458" s="501"/>
      <c r="J458" s="501"/>
      <c r="K458" s="501"/>
      <c r="L458" s="501"/>
      <c r="M458" s="501"/>
      <c r="N458" s="501"/>
      <c r="O458" s="501"/>
      <c r="P458" s="501"/>
      <c r="Q458" s="501"/>
      <c r="R458" s="501"/>
      <c r="S458" s="501"/>
      <c r="T458" s="501"/>
      <c r="U458" s="501"/>
      <c r="V458" s="592" t="s">
        <v>173</v>
      </c>
      <c r="W458" s="758" t="s">
        <v>174</v>
      </c>
      <c r="X458" s="751"/>
      <c r="Y458" s="759"/>
      <c r="Z458" s="752">
        <f t="array" ref="Z458">+INDEX('[6]Budget original'!$A$2:$AO$500,MATCH($A458,'[6]Budget original'!$A$2:$A$500,0),MATCH(F$2,'[6]Budget original'!$A$2:$AO$2,0))</f>
        <v>6306.8593777777805</v>
      </c>
      <c r="AA458" s="751"/>
      <c r="AB458" s="759"/>
      <c r="AC458" s="752"/>
      <c r="AD458" s="760"/>
      <c r="AE458" s="759"/>
      <c r="AF458" s="752">
        <f>SUMIFS([6]BV_Data_An_Cour!$O:$O,[6]BV_Data_An_Cour!$V:$V,$V458)</f>
        <v>6550.12</v>
      </c>
      <c r="AG458" s="753"/>
      <c r="AH458" s="754">
        <f t="shared" si="112"/>
        <v>243.26062222221935</v>
      </c>
      <c r="AI458" s="755">
        <f t="shared" si="113"/>
        <v>3.8570801670217696E-2</v>
      </c>
      <c r="AJ458" s="760"/>
      <c r="AK458" s="751"/>
      <c r="AL458" s="752">
        <f>SUMIFS([6]BV_Data_An_Prec!$O:$O,[6]BV_Data_An_Prec!$V:$V,$V458)</f>
        <v>6123.33</v>
      </c>
      <c r="AM458" s="756"/>
      <c r="AN458" s="754">
        <f t="shared" si="114"/>
        <v>426.78999999999996</v>
      </c>
      <c r="AO458" s="761">
        <f t="shared" si="104"/>
        <v>6.9699003646708571E-2</v>
      </c>
      <c r="AP458" s="501"/>
      <c r="AQ458" s="501"/>
      <c r="AR458" s="501"/>
      <c r="AS458" s="501"/>
      <c r="AT458" s="501"/>
      <c r="AU458" s="501"/>
      <c r="AV458" s="501"/>
      <c r="AW458" s="501"/>
      <c r="AX458" s="501"/>
      <c r="AY458" s="501"/>
      <c r="AZ458" s="501"/>
      <c r="BA458" s="501"/>
      <c r="BB458" s="501"/>
      <c r="BC458" s="501"/>
      <c r="BD458" s="501"/>
      <c r="BE458" s="501"/>
      <c r="BF458" s="501"/>
      <c r="BG458" s="501"/>
      <c r="BH458" s="501"/>
      <c r="BI458" s="501"/>
      <c r="BJ458" s="501"/>
    </row>
    <row r="459" spans="1:62" ht="15.75" customHeight="1">
      <c r="A459" s="517" t="s">
        <v>175</v>
      </c>
      <c r="B459" s="498"/>
      <c r="C459" s="721" t="s">
        <v>465</v>
      </c>
      <c r="D459" s="501"/>
      <c r="E459" s="501"/>
      <c r="F459" s="501"/>
      <c r="G459" s="501"/>
      <c r="H459" s="501"/>
      <c r="I459" s="501"/>
      <c r="J459" s="501"/>
      <c r="K459" s="501"/>
      <c r="L459" s="501"/>
      <c r="M459" s="501"/>
      <c r="N459" s="501"/>
      <c r="O459" s="501"/>
      <c r="P459" s="501"/>
      <c r="Q459" s="501"/>
      <c r="R459" s="501"/>
      <c r="S459" s="501"/>
      <c r="T459" s="501"/>
      <c r="U459" s="501"/>
      <c r="V459" s="593" t="s">
        <v>175</v>
      </c>
      <c r="W459" s="762" t="s">
        <v>176</v>
      </c>
      <c r="X459" s="735"/>
      <c r="Y459" s="763"/>
      <c r="Z459" s="736">
        <f t="array" ref="Z459">+INDEX('[6]Budget original'!$A$2:$AO$500,MATCH($A459,'[6]Budget original'!$A$2:$A$500,0),MATCH(F$2,'[6]Budget original'!$A$2:$AO$2,0))</f>
        <v>1518.181195972222</v>
      </c>
      <c r="AA459" s="735"/>
      <c r="AB459" s="763"/>
      <c r="AC459" s="736"/>
      <c r="AD459" s="764"/>
      <c r="AE459" s="763"/>
      <c r="AF459" s="736">
        <f>SUMIFS([6]BV_Data_An_Cour!$O:$O,[6]BV_Data_An_Cour!$V:$V,$V459)</f>
        <v>0</v>
      </c>
      <c r="AG459" s="737"/>
      <c r="AH459" s="738">
        <f t="shared" si="112"/>
        <v>-1518.181195972222</v>
      </c>
      <c r="AI459" s="765">
        <f t="shared" si="113"/>
        <v>-1</v>
      </c>
      <c r="AJ459" s="764"/>
      <c r="AK459" s="735"/>
      <c r="AL459" s="736">
        <f>SUMIFS([6]BV_Data_An_Prec!$O:$O,[6]BV_Data_An_Prec!$V:$V,$V459)</f>
        <v>1544.4</v>
      </c>
      <c r="AM459" s="740"/>
      <c r="AN459" s="738">
        <f t="shared" si="114"/>
        <v>-1544.4</v>
      </c>
      <c r="AO459" s="741">
        <f t="shared" si="104"/>
        <v>-1</v>
      </c>
      <c r="AP459" s="501"/>
      <c r="AQ459" s="501"/>
      <c r="AR459" s="501"/>
      <c r="AS459" s="501"/>
      <c r="AT459" s="501"/>
      <c r="AU459" s="501"/>
      <c r="AV459" s="501"/>
      <c r="AW459" s="501"/>
      <c r="AX459" s="501"/>
      <c r="AY459" s="501"/>
      <c r="AZ459" s="501"/>
      <c r="BA459" s="501"/>
      <c r="BB459" s="501"/>
      <c r="BC459" s="501"/>
      <c r="BD459" s="501"/>
      <c r="BE459" s="501"/>
      <c r="BF459" s="501"/>
      <c r="BG459" s="501"/>
      <c r="BH459" s="501"/>
      <c r="BI459" s="501"/>
      <c r="BJ459" s="501"/>
    </row>
    <row r="460" spans="1:62" ht="15.75" customHeight="1">
      <c r="A460" s="517" t="s">
        <v>177</v>
      </c>
      <c r="B460" s="498"/>
      <c r="C460" s="721" t="s">
        <v>465</v>
      </c>
      <c r="D460" s="501"/>
      <c r="E460" s="501"/>
      <c r="F460" s="501"/>
      <c r="G460" s="501"/>
      <c r="H460" s="501"/>
      <c r="I460" s="501"/>
      <c r="J460" s="501"/>
      <c r="K460" s="501"/>
      <c r="L460" s="501"/>
      <c r="M460" s="501"/>
      <c r="N460" s="501"/>
      <c r="O460" s="501"/>
      <c r="P460" s="501"/>
      <c r="Q460" s="501"/>
      <c r="R460" s="501"/>
      <c r="S460" s="501"/>
      <c r="T460" s="501"/>
      <c r="U460" s="796"/>
      <c r="V460" s="592" t="s">
        <v>177</v>
      </c>
      <c r="W460" s="758" t="s">
        <v>178</v>
      </c>
      <c r="X460" s="751"/>
      <c r="Y460" s="759"/>
      <c r="Z460" s="752">
        <f t="array" ref="Z460">+INDEX('[6]Budget original'!$A$2:$AO$500,MATCH($A460,'[6]Budget original'!$A$2:$A$500,0),MATCH(F$2,'[6]Budget original'!$A$2:$AO$2,0))</f>
        <v>80.334374999999994</v>
      </c>
      <c r="AA460" s="751"/>
      <c r="AB460" s="759"/>
      <c r="AC460" s="752"/>
      <c r="AD460" s="760"/>
      <c r="AE460" s="759"/>
      <c r="AF460" s="752">
        <f>SUMIFS([6]BV_Data_An_Cour!$O:$O,[6]BV_Data_An_Cour!$V:$V,$V460)</f>
        <v>0</v>
      </c>
      <c r="AG460" s="753"/>
      <c r="AH460" s="754">
        <f t="shared" si="112"/>
        <v>-80.334374999999994</v>
      </c>
      <c r="AI460" s="797">
        <f t="shared" si="113"/>
        <v>-1</v>
      </c>
      <c r="AJ460" s="751"/>
      <c r="AK460" s="751"/>
      <c r="AL460" s="752">
        <f>SUMIFS([6]BV_Data_An_Prec!$O:$O,[6]BV_Data_An_Prec!$V:$V,$V460)</f>
        <v>0</v>
      </c>
      <c r="AM460" s="756"/>
      <c r="AN460" s="754">
        <f t="shared" si="114"/>
        <v>0</v>
      </c>
      <c r="AO460" s="761">
        <f t="shared" si="104"/>
        <v>0</v>
      </c>
      <c r="AP460" s="501"/>
      <c r="AQ460" s="501"/>
      <c r="AR460" s="501"/>
      <c r="AS460" s="501"/>
      <c r="AT460" s="501"/>
      <c r="AU460" s="501"/>
      <c r="AV460" s="501"/>
      <c r="AW460" s="501"/>
      <c r="AX460" s="501"/>
      <c r="AY460" s="501"/>
      <c r="AZ460" s="501"/>
      <c r="BA460" s="501"/>
      <c r="BB460" s="501"/>
      <c r="BC460" s="501"/>
      <c r="BD460" s="501"/>
      <c r="BE460" s="501"/>
      <c r="BF460" s="501"/>
      <c r="BG460" s="501"/>
      <c r="BH460" s="501"/>
      <c r="BI460" s="501"/>
      <c r="BJ460" s="501"/>
    </row>
    <row r="461" spans="1:62" ht="15.75" customHeight="1">
      <c r="A461" s="517" t="s">
        <v>179</v>
      </c>
      <c r="B461" s="498"/>
      <c r="C461" s="721" t="s">
        <v>465</v>
      </c>
      <c r="D461" s="501"/>
      <c r="E461" s="501"/>
      <c r="F461" s="501"/>
      <c r="G461" s="501"/>
      <c r="H461" s="501"/>
      <c r="I461" s="501"/>
      <c r="J461" s="501"/>
      <c r="K461" s="501"/>
      <c r="L461" s="501"/>
      <c r="M461" s="501"/>
      <c r="N461" s="501"/>
      <c r="O461" s="501"/>
      <c r="P461" s="501"/>
      <c r="Q461" s="501"/>
      <c r="R461" s="501"/>
      <c r="S461" s="501"/>
      <c r="T461" s="501"/>
      <c r="U461" s="796"/>
      <c r="V461" s="592" t="s">
        <v>179</v>
      </c>
      <c r="W461" s="758" t="s">
        <v>180</v>
      </c>
      <c r="X461" s="751"/>
      <c r="Y461" s="759"/>
      <c r="Z461" s="752">
        <v>0</v>
      </c>
      <c r="AA461" s="751"/>
      <c r="AB461" s="759"/>
      <c r="AC461" s="752"/>
      <c r="AD461" s="760"/>
      <c r="AE461" s="759"/>
      <c r="AF461" s="752">
        <f>SUMIFS([6]BV_Data_An_Cour!$O:$O,[6]BV_Data_An_Cour!$V:$V,$V461)</f>
        <v>0</v>
      </c>
      <c r="AG461" s="753"/>
      <c r="AH461" s="754">
        <v>0</v>
      </c>
      <c r="AI461" s="774">
        <v>0</v>
      </c>
      <c r="AJ461" s="751"/>
      <c r="AK461" s="751"/>
      <c r="AL461" s="752">
        <v>0</v>
      </c>
      <c r="AM461" s="756"/>
      <c r="AN461" s="754">
        <v>0</v>
      </c>
      <c r="AO461" s="761">
        <v>0</v>
      </c>
      <c r="AP461" s="501"/>
      <c r="AQ461" s="501"/>
      <c r="AR461" s="501"/>
      <c r="AS461" s="501"/>
      <c r="AT461" s="501"/>
      <c r="AU461" s="501"/>
      <c r="AV461" s="501"/>
      <c r="AW461" s="501"/>
      <c r="AX461" s="501"/>
      <c r="AY461" s="501"/>
      <c r="AZ461" s="501"/>
      <c r="BA461" s="501"/>
      <c r="BB461" s="501"/>
      <c r="BC461" s="501"/>
      <c r="BD461" s="501"/>
      <c r="BE461" s="501"/>
      <c r="BF461" s="501"/>
      <c r="BG461" s="501"/>
      <c r="BH461" s="501"/>
      <c r="BI461" s="501"/>
      <c r="BJ461" s="501"/>
    </row>
    <row r="462" spans="1:62" ht="15.75" hidden="1" customHeight="1">
      <c r="A462" s="517" t="s">
        <v>20</v>
      </c>
      <c r="B462" s="498"/>
      <c r="C462" s="721" t="s">
        <v>465</v>
      </c>
      <c r="D462" s="501"/>
      <c r="E462" s="501"/>
      <c r="F462" s="501"/>
      <c r="G462" s="501"/>
      <c r="H462" s="501"/>
      <c r="I462" s="501"/>
      <c r="J462" s="501"/>
      <c r="K462" s="501"/>
      <c r="L462" s="501"/>
      <c r="M462" s="501"/>
      <c r="N462" s="501"/>
      <c r="O462" s="501"/>
      <c r="P462" s="501"/>
      <c r="Q462" s="501"/>
      <c r="R462" s="501"/>
      <c r="S462" s="501"/>
      <c r="T462" s="501"/>
      <c r="U462" s="796"/>
      <c r="V462" s="592" t="s">
        <v>20</v>
      </c>
      <c r="W462" s="758"/>
      <c r="X462" s="751"/>
      <c r="Y462" s="759"/>
      <c r="Z462" s="752">
        <f t="shared" ref="Z462:Z464" si="115">IFERROR(SUMIF($C:$C,$V462,F:F),0)</f>
        <v>0</v>
      </c>
      <c r="AA462" s="751"/>
      <c r="AB462" s="751"/>
      <c r="AC462" s="752"/>
      <c r="AD462" s="760"/>
      <c r="AE462" s="759"/>
      <c r="AF462" s="752">
        <f t="shared" ref="AF462:AF464" si="116">IFERROR(SUMIF($C:$C,$V462,L:L),0)</f>
        <v>0</v>
      </c>
      <c r="AG462" s="753"/>
      <c r="AH462" s="754">
        <f>AF462-Z462</f>
        <v>0</v>
      </c>
      <c r="AI462" s="755">
        <f>IF(Z462=0,0,AH462/Z462)</f>
        <v>0</v>
      </c>
      <c r="AJ462" s="760"/>
      <c r="AK462" s="751"/>
      <c r="AL462" s="752">
        <f t="shared" ref="AL462:AL464" si="117">IFERROR(SUMIF($C:$C,$V462,Q:Q),0)</f>
        <v>0</v>
      </c>
      <c r="AM462" s="756"/>
      <c r="AN462" s="754">
        <v>0</v>
      </c>
      <c r="AO462" s="761">
        <v>1</v>
      </c>
      <c r="AP462" s="501"/>
      <c r="AQ462" s="501"/>
      <c r="AR462" s="501"/>
      <c r="AS462" s="501"/>
      <c r="AT462" s="501"/>
      <c r="AU462" s="501"/>
      <c r="AV462" s="501"/>
      <c r="AW462" s="501"/>
      <c r="AX462" s="501"/>
      <c r="AY462" s="501"/>
      <c r="AZ462" s="501"/>
      <c r="BA462" s="501"/>
      <c r="BB462" s="501"/>
      <c r="BC462" s="501"/>
      <c r="BD462" s="501"/>
      <c r="BE462" s="501"/>
      <c r="BF462" s="501"/>
      <c r="BG462" s="501"/>
      <c r="BH462" s="501"/>
      <c r="BI462" s="501"/>
      <c r="BJ462" s="501"/>
    </row>
    <row r="463" spans="1:62" ht="15.75" hidden="1" customHeight="1">
      <c r="A463" s="517" t="s">
        <v>20</v>
      </c>
      <c r="B463" s="498"/>
      <c r="C463" s="721" t="s">
        <v>465</v>
      </c>
      <c r="D463" s="501"/>
      <c r="E463" s="501"/>
      <c r="F463" s="501"/>
      <c r="G463" s="501"/>
      <c r="H463" s="501"/>
      <c r="I463" s="501"/>
      <c r="J463" s="501"/>
      <c r="K463" s="501"/>
      <c r="L463" s="501"/>
      <c r="M463" s="501"/>
      <c r="N463" s="501"/>
      <c r="O463" s="501"/>
      <c r="P463" s="501"/>
      <c r="Q463" s="501"/>
      <c r="R463" s="501"/>
      <c r="S463" s="501"/>
      <c r="T463" s="501"/>
      <c r="U463" s="796"/>
      <c r="V463" s="592" t="s">
        <v>20</v>
      </c>
      <c r="W463" s="758"/>
      <c r="X463" s="751"/>
      <c r="Y463" s="759"/>
      <c r="Z463" s="752">
        <f t="shared" si="115"/>
        <v>0</v>
      </c>
      <c r="AA463" s="751"/>
      <c r="AB463" s="751"/>
      <c r="AC463" s="752"/>
      <c r="AD463" s="760"/>
      <c r="AE463" s="759"/>
      <c r="AF463" s="752">
        <f t="shared" si="116"/>
        <v>0</v>
      </c>
      <c r="AG463" s="753"/>
      <c r="AH463" s="754">
        <f>AF463-Z463</f>
        <v>0</v>
      </c>
      <c r="AI463" s="755">
        <f>IF(Z463=0,0,AH463/Z463)</f>
        <v>0</v>
      </c>
      <c r="AJ463" s="760"/>
      <c r="AK463" s="751"/>
      <c r="AL463" s="752">
        <f t="shared" si="117"/>
        <v>0</v>
      </c>
      <c r="AM463" s="756"/>
      <c r="AN463" s="754">
        <v>0</v>
      </c>
      <c r="AO463" s="761">
        <v>2</v>
      </c>
      <c r="AP463" s="501"/>
      <c r="AQ463" s="501"/>
      <c r="AR463" s="501"/>
      <c r="AS463" s="501"/>
      <c r="AT463" s="501"/>
      <c r="AU463" s="501"/>
      <c r="AV463" s="501"/>
      <c r="AW463" s="501"/>
      <c r="AX463" s="501"/>
      <c r="AY463" s="501"/>
      <c r="AZ463" s="501"/>
      <c r="BA463" s="501"/>
      <c r="BB463" s="501"/>
      <c r="BC463" s="501"/>
      <c r="BD463" s="501"/>
      <c r="BE463" s="501"/>
      <c r="BF463" s="501"/>
      <c r="BG463" s="501"/>
      <c r="BH463" s="501"/>
      <c r="BI463" s="501"/>
      <c r="BJ463" s="501"/>
    </row>
    <row r="464" spans="1:62" ht="15.75" hidden="1" customHeight="1">
      <c r="A464" s="517" t="s">
        <v>20</v>
      </c>
      <c r="B464" s="498"/>
      <c r="C464" s="721" t="s">
        <v>465</v>
      </c>
      <c r="D464" s="501"/>
      <c r="E464" s="501"/>
      <c r="F464" s="501"/>
      <c r="G464" s="501"/>
      <c r="H464" s="501"/>
      <c r="I464" s="501"/>
      <c r="J464" s="501"/>
      <c r="K464" s="501"/>
      <c r="L464" s="501"/>
      <c r="M464" s="501"/>
      <c r="N464" s="501"/>
      <c r="O464" s="501"/>
      <c r="P464" s="501"/>
      <c r="Q464" s="501"/>
      <c r="R464" s="501"/>
      <c r="S464" s="501"/>
      <c r="T464" s="501"/>
      <c r="U464" s="501"/>
      <c r="V464" s="592" t="s">
        <v>20</v>
      </c>
      <c r="W464" s="758"/>
      <c r="X464" s="751"/>
      <c r="Y464" s="759"/>
      <c r="Z464" s="752">
        <f t="shared" si="115"/>
        <v>0</v>
      </c>
      <c r="AA464" s="751"/>
      <c r="AB464" s="751"/>
      <c r="AC464" s="752"/>
      <c r="AD464" s="760"/>
      <c r="AE464" s="759"/>
      <c r="AF464" s="752">
        <f t="shared" si="116"/>
        <v>0</v>
      </c>
      <c r="AG464" s="753"/>
      <c r="AH464" s="754">
        <f>AF464-Z464</f>
        <v>0</v>
      </c>
      <c r="AI464" s="755">
        <f>IF(Z464=0,0,AH464/Z464)</f>
        <v>0</v>
      </c>
      <c r="AJ464" s="760"/>
      <c r="AK464" s="751"/>
      <c r="AL464" s="752">
        <f t="shared" si="117"/>
        <v>0</v>
      </c>
      <c r="AM464" s="756"/>
      <c r="AN464" s="754">
        <v>0</v>
      </c>
      <c r="AO464" s="761">
        <v>3</v>
      </c>
      <c r="AP464" s="501"/>
      <c r="AQ464" s="501"/>
      <c r="AR464" s="501"/>
      <c r="AS464" s="501"/>
      <c r="AT464" s="501"/>
      <c r="AU464" s="501"/>
      <c r="AV464" s="501"/>
      <c r="AW464" s="501"/>
      <c r="AX464" s="501"/>
      <c r="AY464" s="501"/>
      <c r="AZ464" s="501"/>
      <c r="BA464" s="501"/>
      <c r="BB464" s="501"/>
      <c r="BC464" s="501"/>
      <c r="BD464" s="501"/>
      <c r="BE464" s="501"/>
      <c r="BF464" s="501"/>
      <c r="BG464" s="501"/>
      <c r="BH464" s="501"/>
      <c r="BI464" s="501"/>
      <c r="BJ464" s="501"/>
    </row>
    <row r="465" spans="1:62" ht="15.75" customHeight="1">
      <c r="A465" s="517" t="s">
        <v>181</v>
      </c>
      <c r="B465" s="498"/>
      <c r="C465" s="721" t="s">
        <v>465</v>
      </c>
      <c r="D465" s="501"/>
      <c r="E465" s="501"/>
      <c r="F465" s="501"/>
      <c r="G465" s="501"/>
      <c r="H465" s="501"/>
      <c r="I465" s="501"/>
      <c r="J465" s="501"/>
      <c r="K465" s="501"/>
      <c r="L465" s="501"/>
      <c r="M465" s="501"/>
      <c r="N465" s="501"/>
      <c r="O465" s="501"/>
      <c r="P465" s="501"/>
      <c r="Q465" s="501"/>
      <c r="R465" s="501"/>
      <c r="S465" s="501"/>
      <c r="T465" s="501"/>
      <c r="U465" s="501"/>
      <c r="V465" s="766" t="s">
        <v>181</v>
      </c>
      <c r="W465" s="767"/>
      <c r="X465" s="768">
        <f>Z465/+Z406</f>
        <v>7.1699074861830914E-2</v>
      </c>
      <c r="Y465" s="767"/>
      <c r="Z465" s="769">
        <f>SUM(Z452:Z464)</f>
        <v>49568.031531875007</v>
      </c>
      <c r="AA465" s="768"/>
      <c r="AB465" s="767"/>
      <c r="AC465" s="769"/>
      <c r="AD465" s="770">
        <f>AF465/AF406</f>
        <v>6.530365029124989E-2</v>
      </c>
      <c r="AE465" s="767"/>
      <c r="AF465" s="769">
        <f>SUM(AF452:AF464)</f>
        <v>44140.01</v>
      </c>
      <c r="AG465" s="776"/>
      <c r="AH465" s="798">
        <f>SUM(AH452:AH464)</f>
        <v>-5428.0215318750033</v>
      </c>
      <c r="AI465" s="799">
        <f>IF(Z465=0,0,AH465/Z465)</f>
        <v>-0.10950649771888728</v>
      </c>
      <c r="AJ465" s="770">
        <f>IF($AL$406=0,0,AL465/$AL$406)</f>
        <v>5.784050788647261E-2</v>
      </c>
      <c r="AK465" s="768"/>
      <c r="AL465" s="769">
        <f>SUM(AL452:AL464)</f>
        <v>46148.73</v>
      </c>
      <c r="AM465" s="777"/>
      <c r="AN465" s="772">
        <f>SUM(AN452:AN464)</f>
        <v>-2008.7200000000003</v>
      </c>
      <c r="AO465" s="792">
        <f t="shared" ref="AO465:AO482" si="118">IF(AL465=0,0,AN465/AL465)</f>
        <v>-4.3527091644775494E-2</v>
      </c>
      <c r="AP465" s="501"/>
      <c r="AQ465" s="501"/>
      <c r="AR465" s="501"/>
      <c r="AS465" s="501"/>
      <c r="AT465" s="501"/>
      <c r="AU465" s="501"/>
      <c r="AV465" s="501"/>
      <c r="AW465" s="501"/>
      <c r="AX465" s="501"/>
      <c r="AY465" s="501"/>
      <c r="AZ465" s="501"/>
      <c r="BA465" s="501"/>
      <c r="BB465" s="501"/>
      <c r="BC465" s="501"/>
      <c r="BD465" s="501"/>
      <c r="BE465" s="501"/>
      <c r="BF465" s="501"/>
      <c r="BG465" s="501"/>
      <c r="BH465" s="501"/>
      <c r="BI465" s="501"/>
      <c r="BJ465" s="501"/>
    </row>
    <row r="466" spans="1:62" ht="15.75" customHeight="1">
      <c r="A466" s="517" t="s">
        <v>466</v>
      </c>
      <c r="B466" s="498"/>
      <c r="C466" s="721" t="s">
        <v>465</v>
      </c>
      <c r="D466" s="501"/>
      <c r="E466" s="501"/>
      <c r="F466" s="501"/>
      <c r="G466" s="501"/>
      <c r="H466" s="501"/>
      <c r="I466" s="501"/>
      <c r="J466" s="501"/>
      <c r="K466" s="501"/>
      <c r="L466" s="501"/>
      <c r="M466" s="501"/>
      <c r="N466" s="501"/>
      <c r="O466" s="501"/>
      <c r="P466" s="501"/>
      <c r="Q466" s="501"/>
      <c r="R466" s="501"/>
      <c r="S466" s="501"/>
      <c r="T466" s="501"/>
      <c r="U466" s="501"/>
      <c r="V466" s="592"/>
      <c r="W466" s="751"/>
      <c r="X466" s="751"/>
      <c r="Y466" s="751"/>
      <c r="Z466" s="800"/>
      <c r="AA466" s="751"/>
      <c r="AB466" s="751"/>
      <c r="AC466" s="800"/>
      <c r="AD466" s="760"/>
      <c r="AE466" s="751"/>
      <c r="AF466" s="800"/>
      <c r="AG466" s="760"/>
      <c r="AH466" s="754">
        <f t="shared" ref="AH466:AH480" si="119">AF466-Z466</f>
        <v>0</v>
      </c>
      <c r="AI466" s="755"/>
      <c r="AJ466" s="760"/>
      <c r="AK466" s="751"/>
      <c r="AL466" s="800"/>
      <c r="AM466" s="801"/>
      <c r="AN466" s="754">
        <f t="shared" ref="AN466:AN482" si="120">AF466-AL466</f>
        <v>0</v>
      </c>
      <c r="AO466" s="802">
        <f t="shared" si="118"/>
        <v>0</v>
      </c>
      <c r="AP466" s="501"/>
      <c r="AQ466" s="501"/>
      <c r="AR466" s="501"/>
      <c r="AS466" s="501"/>
      <c r="AT466" s="501"/>
      <c r="AU466" s="501"/>
      <c r="AV466" s="501"/>
      <c r="AW466" s="501"/>
      <c r="AX466" s="501"/>
      <c r="AY466" s="501"/>
      <c r="AZ466" s="501"/>
      <c r="BA466" s="501"/>
      <c r="BB466" s="501"/>
      <c r="BC466" s="501"/>
      <c r="BD466" s="501"/>
      <c r="BE466" s="501"/>
      <c r="BF466" s="501"/>
      <c r="BG466" s="501"/>
      <c r="BH466" s="501"/>
      <c r="BI466" s="501"/>
      <c r="BJ466" s="501"/>
    </row>
    <row r="467" spans="1:62" ht="15.75" customHeight="1">
      <c r="A467" s="517" t="s">
        <v>65</v>
      </c>
      <c r="B467" s="498"/>
      <c r="C467" s="721" t="s">
        <v>465</v>
      </c>
      <c r="D467" s="501"/>
      <c r="E467" s="501"/>
      <c r="F467" s="501"/>
      <c r="G467" s="501"/>
      <c r="H467" s="501"/>
      <c r="I467" s="501"/>
      <c r="J467" s="501"/>
      <c r="K467" s="501"/>
      <c r="L467" s="501"/>
      <c r="M467" s="501"/>
      <c r="N467" s="501"/>
      <c r="O467" s="501"/>
      <c r="P467" s="501"/>
      <c r="Q467" s="501"/>
      <c r="R467" s="501"/>
      <c r="S467" s="501"/>
      <c r="T467" s="501"/>
      <c r="U467" s="501"/>
      <c r="V467" s="766" t="s">
        <v>65</v>
      </c>
      <c r="W467" s="767"/>
      <c r="X467" s="768">
        <f>Z467/+Z406</f>
        <v>0.8647971664018681</v>
      </c>
      <c r="Y467" s="767"/>
      <c r="Z467" s="769">
        <f>Z418+Z432+Z451+Z465</f>
        <v>597863.96540667047</v>
      </c>
      <c r="AA467" s="768"/>
      <c r="AB467" s="767"/>
      <c r="AC467" s="769"/>
      <c r="AD467" s="770">
        <f>AF467/AF406</f>
        <v>0.90930718686629342</v>
      </c>
      <c r="AE467" s="767"/>
      <c r="AF467" s="769">
        <f>AF418+AF432+AF451+AF465</f>
        <v>614618.45000000007</v>
      </c>
      <c r="AG467" s="776"/>
      <c r="AH467" s="772">
        <f t="shared" si="119"/>
        <v>16754.484593329602</v>
      </c>
      <c r="AI467" s="768">
        <f>AH467/Z467</f>
        <v>2.8023907716085726E-2</v>
      </c>
      <c r="AJ467" s="770">
        <f>IF($AL$406=0,0,AL467/$AL$406)</f>
        <v>0.81324249938682969</v>
      </c>
      <c r="AK467" s="768"/>
      <c r="AL467" s="769">
        <f>AL418+AL432+AL451+AL465</f>
        <v>648855.1</v>
      </c>
      <c r="AM467" s="777"/>
      <c r="AN467" s="772">
        <f t="shared" si="120"/>
        <v>-34236.649999999907</v>
      </c>
      <c r="AO467" s="749">
        <f t="shared" si="118"/>
        <v>-5.2764708175985532E-2</v>
      </c>
      <c r="AP467" s="501"/>
      <c r="AQ467" s="501"/>
      <c r="AR467" s="501"/>
      <c r="AS467" s="501"/>
      <c r="AT467" s="501"/>
      <c r="AU467" s="501"/>
      <c r="AV467" s="501"/>
      <c r="AW467" s="501"/>
      <c r="AX467" s="501"/>
      <c r="AY467" s="501"/>
      <c r="AZ467" s="501"/>
      <c r="BA467" s="501"/>
      <c r="BB467" s="501"/>
      <c r="BC467" s="501"/>
      <c r="BD467" s="501"/>
      <c r="BE467" s="501"/>
      <c r="BF467" s="501"/>
      <c r="BG467" s="501"/>
      <c r="BH467" s="501"/>
      <c r="BI467" s="501"/>
      <c r="BJ467" s="501"/>
    </row>
    <row r="468" spans="1:62" ht="15.75" customHeight="1">
      <c r="A468" s="517" t="s">
        <v>182</v>
      </c>
      <c r="B468" s="498"/>
      <c r="C468" s="721" t="s">
        <v>465</v>
      </c>
      <c r="D468" s="501"/>
      <c r="E468" s="501"/>
      <c r="F468" s="501"/>
      <c r="G468" s="501"/>
      <c r="H468" s="501"/>
      <c r="I468" s="501"/>
      <c r="J468" s="501"/>
      <c r="K468" s="501"/>
      <c r="L468" s="501"/>
      <c r="M468" s="501"/>
      <c r="N468" s="501"/>
      <c r="O468" s="501"/>
      <c r="P468" s="501"/>
      <c r="Q468" s="501"/>
      <c r="R468" s="501"/>
      <c r="S468" s="501"/>
      <c r="T468" s="501"/>
      <c r="U468" s="501"/>
      <c r="V468" s="592" t="s">
        <v>182</v>
      </c>
      <c r="W468" s="794"/>
      <c r="X468" s="794"/>
      <c r="Y468" s="751"/>
      <c r="Z468" s="780">
        <f t="array" ref="Z468">+INDEX('[6]Budget original'!$A$2:$AO$500,MATCH($A468,'[6]Budget original'!$A$2:$A$500,0),MATCH(F$2,'[6]Budget original'!$A$2:$AO$2,0))</f>
        <v>1758.03</v>
      </c>
      <c r="AA468" s="803"/>
      <c r="AB468" s="804"/>
      <c r="AC468" s="780"/>
      <c r="AD468" s="805"/>
      <c r="AE468" s="804"/>
      <c r="AF468" s="752">
        <f>-SUMIFS([6]BV_Data_An_Cour!$O:$O,[6]BV_Data_An_Cour!$V:$V,$V468)</f>
        <v>46212.49</v>
      </c>
      <c r="AG468" s="806"/>
      <c r="AH468" s="754">
        <f t="shared" si="119"/>
        <v>44454.46</v>
      </c>
      <c r="AI468" s="797">
        <f>IF(AH468=0,0,AH468/Z468)</f>
        <v>25.286519570200735</v>
      </c>
      <c r="AJ468" s="805"/>
      <c r="AK468" s="803"/>
      <c r="AL468" s="807">
        <f>-SUMIFS([6]BV_Data_An_Prec!$O:$O,[6]BV_Data_An_Prec!$V:$V,$V468)</f>
        <v>16.47</v>
      </c>
      <c r="AM468" s="808"/>
      <c r="AN468" s="754">
        <f t="shared" si="120"/>
        <v>46196.02</v>
      </c>
      <c r="AO468" s="761">
        <f t="shared" si="118"/>
        <v>2804.8585306618093</v>
      </c>
      <c r="AP468" s="501"/>
      <c r="AQ468" s="501"/>
      <c r="AR468" s="501"/>
      <c r="AS468" s="501"/>
      <c r="AT468" s="501"/>
      <c r="AU468" s="501"/>
      <c r="AV468" s="501"/>
      <c r="AW468" s="501"/>
      <c r="AX468" s="501"/>
      <c r="AY468" s="501"/>
      <c r="AZ468" s="501"/>
      <c r="BA468" s="501"/>
      <c r="BB468" s="501"/>
      <c r="BC468" s="501"/>
      <c r="BD468" s="501"/>
      <c r="BE468" s="501"/>
      <c r="BF468" s="501"/>
      <c r="BG468" s="501"/>
      <c r="BH468" s="501"/>
      <c r="BI468" s="501"/>
      <c r="BJ468" s="501"/>
    </row>
    <row r="469" spans="1:62" ht="15.75" customHeight="1">
      <c r="A469" s="517" t="s">
        <v>69</v>
      </c>
      <c r="B469" s="498"/>
      <c r="C469" s="721" t="s">
        <v>465</v>
      </c>
      <c r="D469" s="501"/>
      <c r="E469" s="501"/>
      <c r="F469" s="501"/>
      <c r="G469" s="501"/>
      <c r="H469" s="501"/>
      <c r="I469" s="501"/>
      <c r="J469" s="501"/>
      <c r="K469" s="501"/>
      <c r="L469" s="501"/>
      <c r="M469" s="501"/>
      <c r="N469" s="501"/>
      <c r="O469" s="501"/>
      <c r="P469" s="501"/>
      <c r="Q469" s="501"/>
      <c r="R469" s="501"/>
      <c r="S469" s="501"/>
      <c r="T469" s="501"/>
      <c r="U469" s="501"/>
      <c r="V469" s="592" t="s">
        <v>69</v>
      </c>
      <c r="W469" s="751"/>
      <c r="X469" s="751"/>
      <c r="Y469" s="751"/>
      <c r="Z469" s="752">
        <f t="shared" ref="Z469:Z475" si="121">+SUMIF($C:$C,$V469,F:F)</f>
        <v>59960.327068086131</v>
      </c>
      <c r="AA469" s="793"/>
      <c r="AB469" s="754"/>
      <c r="AC469" s="752"/>
      <c r="AD469" s="809"/>
      <c r="AE469" s="810"/>
      <c r="AF469" s="752">
        <f t="shared" ref="AF469:AF475" si="122">+SUMIF($C:$C,$V469,L:L)</f>
        <v>63469.55</v>
      </c>
      <c r="AG469" s="811"/>
      <c r="AH469" s="754">
        <f t="shared" si="119"/>
        <v>3509.2229319138714</v>
      </c>
      <c r="AI469" s="774">
        <f>IF(Z469=0,0,AH469/Z469)</f>
        <v>5.8525746998162299E-2</v>
      </c>
      <c r="AJ469" s="812"/>
      <c r="AK469" s="793"/>
      <c r="AL469" s="813">
        <f t="shared" ref="AL469:AL475" si="123">+SUMIF($C:$C,$V469,Q:Q)</f>
        <v>66097</v>
      </c>
      <c r="AM469" s="809"/>
      <c r="AN469" s="754">
        <f t="shared" si="120"/>
        <v>-2627.4499999999971</v>
      </c>
      <c r="AO469" s="761">
        <f t="shared" si="118"/>
        <v>-3.9751425934611208E-2</v>
      </c>
      <c r="AP469" s="501"/>
      <c r="AQ469" s="501"/>
      <c r="AR469" s="501"/>
      <c r="AS469" s="501"/>
      <c r="AT469" s="501"/>
      <c r="AU469" s="501"/>
      <c r="AV469" s="501"/>
      <c r="AW469" s="501"/>
      <c r="AX469" s="501"/>
      <c r="AY469" s="501"/>
      <c r="AZ469" s="501"/>
      <c r="BA469" s="501"/>
      <c r="BB469" s="501"/>
      <c r="BC469" s="501"/>
      <c r="BD469" s="501"/>
      <c r="BE469" s="501"/>
      <c r="BF469" s="501"/>
      <c r="BG469" s="501"/>
      <c r="BH469" s="501"/>
      <c r="BI469" s="501"/>
      <c r="BJ469" s="501"/>
    </row>
    <row r="470" spans="1:62" ht="15.75" customHeight="1">
      <c r="A470" s="517" t="s">
        <v>198</v>
      </c>
      <c r="B470" s="498"/>
      <c r="C470" s="721" t="s">
        <v>465</v>
      </c>
      <c r="D470" s="501"/>
      <c r="E470" s="501"/>
      <c r="F470" s="501"/>
      <c r="G470" s="501"/>
      <c r="H470" s="501"/>
      <c r="I470" s="501"/>
      <c r="J470" s="501"/>
      <c r="K470" s="501"/>
      <c r="L470" s="501"/>
      <c r="M470" s="501"/>
      <c r="N470" s="501"/>
      <c r="O470" s="501"/>
      <c r="P470" s="501"/>
      <c r="Q470" s="501"/>
      <c r="R470" s="501"/>
      <c r="S470" s="501"/>
      <c r="T470" s="501"/>
      <c r="U470" s="501"/>
      <c r="V470" s="592" t="s">
        <v>198</v>
      </c>
      <c r="W470" s="751"/>
      <c r="X470" s="751"/>
      <c r="Y470" s="751"/>
      <c r="Z470" s="752">
        <f t="shared" si="121"/>
        <v>16584.689512713256</v>
      </c>
      <c r="AA470" s="793"/>
      <c r="AB470" s="794"/>
      <c r="AC470" s="752"/>
      <c r="AD470" s="812"/>
      <c r="AF470" s="752">
        <f t="shared" si="122"/>
        <v>0</v>
      </c>
      <c r="AG470" s="811"/>
      <c r="AH470" s="754">
        <f t="shared" si="119"/>
        <v>-16584.689512713256</v>
      </c>
      <c r="AI470" s="774">
        <f t="shared" ref="AI470:AI479" si="124">IF(AH470=0,0,AH470/Z470)</f>
        <v>-1</v>
      </c>
      <c r="AJ470" s="812"/>
      <c r="AK470" s="793"/>
      <c r="AL470" s="813">
        <f t="shared" si="123"/>
        <v>22000</v>
      </c>
      <c r="AM470" s="809"/>
      <c r="AN470" s="754">
        <f t="shared" si="120"/>
        <v>-22000</v>
      </c>
      <c r="AO470" s="761">
        <f t="shared" si="118"/>
        <v>-1</v>
      </c>
      <c r="AP470" s="501"/>
      <c r="AQ470" s="501"/>
      <c r="AR470" s="501"/>
      <c r="AS470" s="501"/>
      <c r="AT470" s="501"/>
      <c r="AU470" s="501"/>
      <c r="AV470" s="501"/>
      <c r="AW470" s="501"/>
      <c r="AX470" s="501"/>
      <c r="AY470" s="501"/>
      <c r="AZ470" s="501"/>
      <c r="BA470" s="501"/>
      <c r="BB470" s="501"/>
      <c r="BC470" s="501"/>
      <c r="BD470" s="501"/>
      <c r="BE470" s="501"/>
      <c r="BF470" s="501"/>
      <c r="BG470" s="501"/>
      <c r="BH470" s="501"/>
      <c r="BI470" s="501"/>
      <c r="BJ470" s="501"/>
    </row>
    <row r="471" spans="1:62" ht="15.75" customHeight="1">
      <c r="A471" s="517" t="s">
        <v>195</v>
      </c>
      <c r="B471" s="498"/>
      <c r="C471" s="721" t="s">
        <v>465</v>
      </c>
      <c r="D471" s="501"/>
      <c r="E471" s="501"/>
      <c r="F471" s="501"/>
      <c r="G471" s="501"/>
      <c r="H471" s="501"/>
      <c r="I471" s="501"/>
      <c r="J471" s="501"/>
      <c r="K471" s="501"/>
      <c r="L471" s="501"/>
      <c r="M471" s="501"/>
      <c r="N471" s="501"/>
      <c r="O471" s="501"/>
      <c r="P471" s="501"/>
      <c r="Q471" s="501"/>
      <c r="R471" s="501"/>
      <c r="S471" s="501"/>
      <c r="T471" s="501"/>
      <c r="U471" s="501"/>
      <c r="V471" s="592" t="s">
        <v>195</v>
      </c>
      <c r="W471" s="751"/>
      <c r="X471" s="751"/>
      <c r="Y471" s="751"/>
      <c r="Z471" s="752">
        <f t="shared" si="121"/>
        <v>0</v>
      </c>
      <c r="AA471" s="793"/>
      <c r="AB471" s="794"/>
      <c r="AC471" s="752"/>
      <c r="AD471" s="812"/>
      <c r="AE471" s="794"/>
      <c r="AF471" s="752">
        <f t="shared" si="122"/>
        <v>0</v>
      </c>
      <c r="AG471" s="811"/>
      <c r="AH471" s="754">
        <f t="shared" si="119"/>
        <v>0</v>
      </c>
      <c r="AI471" s="774">
        <f t="shared" si="124"/>
        <v>0</v>
      </c>
      <c r="AJ471" s="812"/>
      <c r="AK471" s="793"/>
      <c r="AL471" s="813">
        <f t="shared" si="123"/>
        <v>0</v>
      </c>
      <c r="AM471" s="809"/>
      <c r="AN471" s="754">
        <f t="shared" si="120"/>
        <v>0</v>
      </c>
      <c r="AO471" s="761">
        <f t="shared" si="118"/>
        <v>0</v>
      </c>
      <c r="AP471" s="501"/>
      <c r="AQ471" s="501"/>
      <c r="AR471" s="501"/>
      <c r="AS471" s="501"/>
      <c r="AT471" s="501"/>
      <c r="AU471" s="501"/>
      <c r="AV471" s="501"/>
      <c r="AW471" s="501"/>
      <c r="AX471" s="501"/>
      <c r="AY471" s="501"/>
      <c r="AZ471" s="501"/>
      <c r="BA471" s="501"/>
      <c r="BB471" s="501"/>
      <c r="BC471" s="501"/>
      <c r="BD471" s="501"/>
      <c r="BE471" s="501"/>
      <c r="BF471" s="501"/>
      <c r="BG471" s="501"/>
      <c r="BH471" s="501"/>
      <c r="BI471" s="501"/>
      <c r="BJ471" s="501"/>
    </row>
    <row r="472" spans="1:62" ht="15.75" customHeight="1">
      <c r="A472" s="517" t="s">
        <v>68</v>
      </c>
      <c r="B472" s="498"/>
      <c r="C472" s="721" t="s">
        <v>465</v>
      </c>
      <c r="D472" s="501"/>
      <c r="E472" s="501"/>
      <c r="F472" s="501"/>
      <c r="G472" s="501"/>
      <c r="H472" s="501"/>
      <c r="I472" s="501"/>
      <c r="J472" s="501"/>
      <c r="K472" s="501"/>
      <c r="L472" s="501"/>
      <c r="M472" s="501"/>
      <c r="N472" s="501"/>
      <c r="O472" s="501"/>
      <c r="P472" s="501"/>
      <c r="Q472" s="501"/>
      <c r="R472" s="501"/>
      <c r="S472" s="501"/>
      <c r="T472" s="501"/>
      <c r="U472" s="501"/>
      <c r="V472" s="592" t="s">
        <v>68</v>
      </c>
      <c r="W472" s="751"/>
      <c r="X472" s="751"/>
      <c r="Y472" s="751"/>
      <c r="Z472" s="752">
        <f t="shared" si="121"/>
        <v>0</v>
      </c>
      <c r="AA472" s="793"/>
      <c r="AB472" s="794"/>
      <c r="AC472" s="752"/>
      <c r="AD472" s="812"/>
      <c r="AE472" s="794"/>
      <c r="AF472" s="752">
        <f t="shared" si="122"/>
        <v>0</v>
      </c>
      <c r="AG472" s="811"/>
      <c r="AH472" s="754">
        <f t="shared" si="119"/>
        <v>0</v>
      </c>
      <c r="AI472" s="774">
        <f t="shared" si="124"/>
        <v>0</v>
      </c>
      <c r="AJ472" s="812"/>
      <c r="AK472" s="793"/>
      <c r="AL472" s="813">
        <f t="shared" si="123"/>
        <v>0</v>
      </c>
      <c r="AM472" s="809"/>
      <c r="AN472" s="754">
        <f t="shared" si="120"/>
        <v>0</v>
      </c>
      <c r="AO472" s="761">
        <f t="shared" si="118"/>
        <v>0</v>
      </c>
      <c r="AP472" s="501"/>
      <c r="AQ472" s="501"/>
      <c r="AR472" s="501"/>
      <c r="AS472" s="501"/>
      <c r="AT472" s="501"/>
      <c r="AU472" s="501"/>
      <c r="AV472" s="501"/>
      <c r="AW472" s="501"/>
      <c r="AX472" s="501"/>
      <c r="AY472" s="501"/>
      <c r="AZ472" s="501"/>
      <c r="BA472" s="501"/>
      <c r="BB472" s="501"/>
      <c r="BC472" s="501"/>
      <c r="BD472" s="501"/>
      <c r="BE472" s="501"/>
      <c r="BF472" s="501"/>
      <c r="BG472" s="501"/>
      <c r="BH472" s="501"/>
      <c r="BI472" s="501"/>
      <c r="BJ472" s="501"/>
    </row>
    <row r="473" spans="1:62" ht="15.75" customHeight="1">
      <c r="A473" s="517" t="s">
        <v>211</v>
      </c>
      <c r="B473" s="498"/>
      <c r="C473" s="721" t="s">
        <v>465</v>
      </c>
      <c r="D473" s="501"/>
      <c r="E473" s="501"/>
      <c r="F473" s="501"/>
      <c r="G473" s="501"/>
      <c r="H473" s="501"/>
      <c r="I473" s="501"/>
      <c r="J473" s="501"/>
      <c r="K473" s="501"/>
      <c r="L473" s="501"/>
      <c r="M473" s="501"/>
      <c r="N473" s="501"/>
      <c r="O473" s="501"/>
      <c r="P473" s="501"/>
      <c r="Q473" s="501"/>
      <c r="R473" s="501"/>
      <c r="S473" s="501"/>
      <c r="T473" s="501"/>
      <c r="U473" s="501"/>
      <c r="V473" s="592" t="s">
        <v>211</v>
      </c>
      <c r="W473" s="751"/>
      <c r="X473" s="751"/>
      <c r="Y473" s="751"/>
      <c r="Z473" s="752">
        <f t="shared" si="121"/>
        <v>0</v>
      </c>
      <c r="AA473" s="793"/>
      <c r="AB473" s="794"/>
      <c r="AC473" s="752"/>
      <c r="AD473" s="812"/>
      <c r="AE473" s="794"/>
      <c r="AF473" s="752">
        <f t="shared" si="122"/>
        <v>0</v>
      </c>
      <c r="AG473" s="811"/>
      <c r="AH473" s="754">
        <f t="shared" si="119"/>
        <v>0</v>
      </c>
      <c r="AI473" s="774">
        <f t="shared" si="124"/>
        <v>0</v>
      </c>
      <c r="AJ473" s="812"/>
      <c r="AK473" s="793"/>
      <c r="AL473" s="813">
        <f t="shared" si="123"/>
        <v>0</v>
      </c>
      <c r="AM473" s="809"/>
      <c r="AN473" s="754">
        <f t="shared" si="120"/>
        <v>0</v>
      </c>
      <c r="AO473" s="761">
        <f t="shared" si="118"/>
        <v>0</v>
      </c>
      <c r="AP473" s="501"/>
      <c r="AQ473" s="501"/>
      <c r="AR473" s="501"/>
      <c r="AS473" s="501"/>
      <c r="AT473" s="501"/>
      <c r="AU473" s="501"/>
      <c r="AV473" s="501"/>
      <c r="AW473" s="501"/>
      <c r="AX473" s="501"/>
      <c r="AY473" s="501"/>
      <c r="AZ473" s="501"/>
      <c r="BA473" s="501"/>
      <c r="BB473" s="501"/>
      <c r="BC473" s="501"/>
      <c r="BD473" s="501"/>
      <c r="BE473" s="501"/>
      <c r="BF473" s="501"/>
      <c r="BG473" s="501"/>
      <c r="BH473" s="501"/>
      <c r="BI473" s="501"/>
      <c r="BJ473" s="501"/>
    </row>
    <row r="474" spans="1:62" ht="15.75" customHeight="1">
      <c r="A474" s="517" t="s">
        <v>81</v>
      </c>
      <c r="B474" s="498"/>
      <c r="C474" s="721" t="s">
        <v>465</v>
      </c>
      <c r="D474" s="501"/>
      <c r="E474" s="501"/>
      <c r="F474" s="501"/>
      <c r="G474" s="501"/>
      <c r="H474" s="501"/>
      <c r="I474" s="501"/>
      <c r="J474" s="501"/>
      <c r="K474" s="501"/>
      <c r="L474" s="501"/>
      <c r="M474" s="501"/>
      <c r="N474" s="501"/>
      <c r="O474" s="501"/>
      <c r="P474" s="501"/>
      <c r="Q474" s="501"/>
      <c r="R474" s="501"/>
      <c r="S474" s="501"/>
      <c r="T474" s="501"/>
      <c r="U474" s="501"/>
      <c r="V474" s="592" t="s">
        <v>81</v>
      </c>
      <c r="W474" s="751"/>
      <c r="X474" s="751"/>
      <c r="Y474" s="751"/>
      <c r="Z474" s="752">
        <f t="shared" si="121"/>
        <v>0</v>
      </c>
      <c r="AA474" s="793"/>
      <c r="AB474" s="794"/>
      <c r="AC474" s="752"/>
      <c r="AD474" s="812"/>
      <c r="AE474" s="794"/>
      <c r="AF474" s="752">
        <f t="shared" si="122"/>
        <v>0</v>
      </c>
      <c r="AG474" s="811"/>
      <c r="AH474" s="754">
        <f t="shared" si="119"/>
        <v>0</v>
      </c>
      <c r="AI474" s="774">
        <f t="shared" si="124"/>
        <v>0</v>
      </c>
      <c r="AJ474" s="812"/>
      <c r="AK474" s="793"/>
      <c r="AL474" s="813">
        <f t="shared" si="123"/>
        <v>0</v>
      </c>
      <c r="AM474" s="809"/>
      <c r="AN474" s="754">
        <f t="shared" si="120"/>
        <v>0</v>
      </c>
      <c r="AO474" s="761">
        <f t="shared" si="118"/>
        <v>0</v>
      </c>
      <c r="AP474" s="501"/>
      <c r="AQ474" s="501"/>
      <c r="AR474" s="501"/>
      <c r="AS474" s="501"/>
      <c r="AT474" s="501"/>
      <c r="AU474" s="501"/>
      <c r="AV474" s="501"/>
      <c r="AW474" s="501"/>
      <c r="AX474" s="501"/>
      <c r="AY474" s="501"/>
      <c r="AZ474" s="501"/>
      <c r="BA474" s="501"/>
      <c r="BB474" s="501"/>
      <c r="BC474" s="501"/>
      <c r="BD474" s="501"/>
      <c r="BE474" s="501"/>
      <c r="BF474" s="501"/>
      <c r="BG474" s="501"/>
      <c r="BH474" s="501"/>
      <c r="BI474" s="501"/>
      <c r="BJ474" s="501"/>
    </row>
    <row r="475" spans="1:62" ht="15.75" customHeight="1">
      <c r="A475" s="517" t="s">
        <v>82</v>
      </c>
      <c r="B475" s="498"/>
      <c r="C475" s="721" t="s">
        <v>465</v>
      </c>
      <c r="D475" s="501"/>
      <c r="E475" s="501"/>
      <c r="F475" s="501"/>
      <c r="G475" s="501"/>
      <c r="H475" s="501"/>
      <c r="I475" s="501"/>
      <c r="J475" s="501"/>
      <c r="K475" s="501"/>
      <c r="L475" s="501"/>
      <c r="M475" s="501"/>
      <c r="N475" s="501"/>
      <c r="O475" s="501"/>
      <c r="P475" s="501"/>
      <c r="Q475" s="501"/>
      <c r="R475" s="501"/>
      <c r="S475" s="501"/>
      <c r="T475" s="501"/>
      <c r="U475" s="501"/>
      <c r="V475" s="592" t="s">
        <v>82</v>
      </c>
      <c r="W475" s="751"/>
      <c r="X475" s="751"/>
      <c r="Y475" s="751"/>
      <c r="Z475" s="752">
        <f t="shared" si="121"/>
        <v>0</v>
      </c>
      <c r="AA475" s="793"/>
      <c r="AB475" s="794"/>
      <c r="AC475" s="752"/>
      <c r="AD475" s="812"/>
      <c r="AE475" s="794"/>
      <c r="AF475" s="752">
        <f t="shared" si="122"/>
        <v>0</v>
      </c>
      <c r="AG475" s="811"/>
      <c r="AH475" s="754">
        <f t="shared" si="119"/>
        <v>0</v>
      </c>
      <c r="AI475" s="774">
        <f t="shared" si="124"/>
        <v>0</v>
      </c>
      <c r="AJ475" s="812"/>
      <c r="AK475" s="793"/>
      <c r="AL475" s="813">
        <f t="shared" si="123"/>
        <v>0</v>
      </c>
      <c r="AM475" s="809"/>
      <c r="AN475" s="754">
        <f t="shared" si="120"/>
        <v>0</v>
      </c>
      <c r="AO475" s="761">
        <f t="shared" si="118"/>
        <v>0</v>
      </c>
      <c r="AP475" s="501"/>
      <c r="AQ475" s="501"/>
      <c r="AR475" s="501"/>
      <c r="AS475" s="501"/>
      <c r="AT475" s="501"/>
      <c r="AU475" s="501"/>
      <c r="AV475" s="501"/>
      <c r="AW475" s="501"/>
      <c r="AX475" s="501"/>
      <c r="AY475" s="501"/>
      <c r="AZ475" s="501"/>
      <c r="BA475" s="501"/>
      <c r="BB475" s="501"/>
      <c r="BC475" s="501"/>
      <c r="BD475" s="501"/>
      <c r="BE475" s="501"/>
      <c r="BF475" s="501"/>
      <c r="BG475" s="501"/>
      <c r="BH475" s="501"/>
      <c r="BI475" s="501"/>
      <c r="BJ475" s="501"/>
    </row>
    <row r="476" spans="1:62" ht="15.75" hidden="1" customHeight="1">
      <c r="A476" s="517" t="s">
        <v>20</v>
      </c>
      <c r="B476" s="498"/>
      <c r="C476" s="721" t="s">
        <v>465</v>
      </c>
      <c r="D476" s="501"/>
      <c r="E476" s="501"/>
      <c r="F476" s="501"/>
      <c r="G476" s="501"/>
      <c r="H476" s="501"/>
      <c r="I476" s="501"/>
      <c r="J476" s="501"/>
      <c r="K476" s="501"/>
      <c r="L476" s="501"/>
      <c r="M476" s="501"/>
      <c r="N476" s="501"/>
      <c r="O476" s="501"/>
      <c r="P476" s="501"/>
      <c r="Q476" s="501"/>
      <c r="R476" s="501"/>
      <c r="S476" s="501"/>
      <c r="T476" s="501"/>
      <c r="U476" s="501"/>
      <c r="V476" s="592" t="s">
        <v>20</v>
      </c>
      <c r="W476" s="751"/>
      <c r="X476" s="751"/>
      <c r="Y476" s="751"/>
      <c r="Z476" s="752">
        <f t="shared" ref="Z476:Z478" si="125">IFERROR(SUMIF($C:$C,$V476,F:F),0)</f>
        <v>0</v>
      </c>
      <c r="AA476" s="751"/>
      <c r="AB476" s="751"/>
      <c r="AC476" s="752"/>
      <c r="AD476" s="760"/>
      <c r="AE476" s="759"/>
      <c r="AF476" s="752">
        <f t="shared" ref="AF476:AF478" si="126">IFERROR(SUMIF($C:$C,$V476,L:L),0)</f>
        <v>0</v>
      </c>
      <c r="AG476" s="753"/>
      <c r="AH476" s="754">
        <f t="shared" si="119"/>
        <v>0</v>
      </c>
      <c r="AI476" s="755">
        <f t="shared" si="124"/>
        <v>0</v>
      </c>
      <c r="AJ476" s="760"/>
      <c r="AK476" s="751"/>
      <c r="AL476" s="752">
        <f t="shared" ref="AL476:AL478" si="127">IFERROR(SUMIF($C:$C,$V476,Q:Q),0)</f>
        <v>0</v>
      </c>
      <c r="AM476" s="809"/>
      <c r="AN476" s="754">
        <f t="shared" si="120"/>
        <v>0</v>
      </c>
      <c r="AO476" s="761">
        <f t="shared" si="118"/>
        <v>0</v>
      </c>
      <c r="AP476" s="501"/>
      <c r="AQ476" s="501"/>
      <c r="AR476" s="501"/>
      <c r="AS476" s="501"/>
      <c r="AT476" s="501"/>
      <c r="AU476" s="501"/>
      <c r="AV476" s="501"/>
      <c r="AW476" s="501"/>
      <c r="AX476" s="501"/>
      <c r="AY476" s="501"/>
      <c r="AZ476" s="501"/>
      <c r="BA476" s="501"/>
      <c r="BB476" s="501"/>
      <c r="BC476" s="501"/>
      <c r="BD476" s="501"/>
      <c r="BE476" s="501"/>
      <c r="BF476" s="501"/>
      <c r="BG476" s="501"/>
      <c r="BH476" s="501"/>
      <c r="BI476" s="501"/>
      <c r="BJ476" s="501"/>
    </row>
    <row r="477" spans="1:62" ht="15.75" hidden="1" customHeight="1">
      <c r="A477" s="517" t="s">
        <v>20</v>
      </c>
      <c r="B477" s="498"/>
      <c r="C477" s="721" t="s">
        <v>465</v>
      </c>
      <c r="D477" s="501"/>
      <c r="E477" s="501"/>
      <c r="F477" s="501"/>
      <c r="G477" s="501"/>
      <c r="H477" s="501"/>
      <c r="I477" s="501"/>
      <c r="J477" s="501"/>
      <c r="K477" s="501"/>
      <c r="L477" s="501"/>
      <c r="M477" s="501"/>
      <c r="N477" s="501"/>
      <c r="O477" s="501"/>
      <c r="P477" s="501"/>
      <c r="Q477" s="501"/>
      <c r="R477" s="501"/>
      <c r="S477" s="501"/>
      <c r="T477" s="501"/>
      <c r="U477" s="501"/>
      <c r="V477" s="592" t="s">
        <v>20</v>
      </c>
      <c r="W477" s="751"/>
      <c r="X477" s="751"/>
      <c r="Y477" s="751"/>
      <c r="Z477" s="752">
        <f t="shared" si="125"/>
        <v>0</v>
      </c>
      <c r="AA477" s="751"/>
      <c r="AB477" s="751"/>
      <c r="AC477" s="752"/>
      <c r="AD477" s="760"/>
      <c r="AE477" s="759"/>
      <c r="AF477" s="752">
        <f t="shared" si="126"/>
        <v>0</v>
      </c>
      <c r="AG477" s="753"/>
      <c r="AH477" s="754">
        <f t="shared" si="119"/>
        <v>0</v>
      </c>
      <c r="AI477" s="755">
        <f t="shared" si="124"/>
        <v>0</v>
      </c>
      <c r="AJ477" s="760"/>
      <c r="AK477" s="751"/>
      <c r="AL477" s="752">
        <f t="shared" si="127"/>
        <v>0</v>
      </c>
      <c r="AM477" s="809"/>
      <c r="AN477" s="754">
        <f t="shared" si="120"/>
        <v>0</v>
      </c>
      <c r="AO477" s="761">
        <f t="shared" si="118"/>
        <v>0</v>
      </c>
      <c r="AP477" s="501"/>
      <c r="AQ477" s="501"/>
      <c r="AR477" s="501"/>
      <c r="AS477" s="501"/>
      <c r="AT477" s="501"/>
      <c r="AU477" s="501"/>
      <c r="AV477" s="501"/>
      <c r="AW477" s="501"/>
      <c r="AX477" s="501"/>
      <c r="AY477" s="501"/>
      <c r="AZ477" s="501"/>
      <c r="BA477" s="501"/>
      <c r="BB477" s="501"/>
      <c r="BC477" s="501"/>
      <c r="BD477" s="501"/>
      <c r="BE477" s="501"/>
      <c r="BF477" s="501"/>
      <c r="BG477" s="501"/>
      <c r="BH477" s="501"/>
      <c r="BI477" s="501"/>
      <c r="BJ477" s="501"/>
    </row>
    <row r="478" spans="1:62" ht="15.75" hidden="1" customHeight="1">
      <c r="A478" s="517" t="s">
        <v>20</v>
      </c>
      <c r="B478" s="498"/>
      <c r="C478" s="721" t="s">
        <v>465</v>
      </c>
      <c r="D478" s="501"/>
      <c r="E478" s="501"/>
      <c r="F478" s="501"/>
      <c r="G478" s="501"/>
      <c r="H478" s="501"/>
      <c r="I478" s="501"/>
      <c r="J478" s="501"/>
      <c r="K478" s="501"/>
      <c r="L478" s="501"/>
      <c r="M478" s="501"/>
      <c r="N478" s="501"/>
      <c r="O478" s="501"/>
      <c r="P478" s="501"/>
      <c r="Q478" s="501"/>
      <c r="R478" s="501"/>
      <c r="S478" s="501"/>
      <c r="T478" s="501"/>
      <c r="U478" s="501"/>
      <c r="V478" s="592" t="s">
        <v>20</v>
      </c>
      <c r="W478" s="751"/>
      <c r="X478" s="751"/>
      <c r="Y478" s="751"/>
      <c r="Z478" s="752">
        <f t="shared" si="125"/>
        <v>0</v>
      </c>
      <c r="AA478" s="751"/>
      <c r="AB478" s="751"/>
      <c r="AC478" s="752"/>
      <c r="AD478" s="760"/>
      <c r="AE478" s="759"/>
      <c r="AF478" s="752">
        <f t="shared" si="126"/>
        <v>0</v>
      </c>
      <c r="AG478" s="753"/>
      <c r="AH478" s="754">
        <f t="shared" si="119"/>
        <v>0</v>
      </c>
      <c r="AI478" s="755">
        <f t="shared" si="124"/>
        <v>0</v>
      </c>
      <c r="AJ478" s="760"/>
      <c r="AK478" s="751"/>
      <c r="AL478" s="752">
        <f t="shared" si="127"/>
        <v>0</v>
      </c>
      <c r="AM478" s="809"/>
      <c r="AN478" s="754">
        <f t="shared" si="120"/>
        <v>0</v>
      </c>
      <c r="AO478" s="761">
        <f t="shared" si="118"/>
        <v>0</v>
      </c>
      <c r="AP478" s="501"/>
      <c r="AQ478" s="501"/>
      <c r="AR478" s="501"/>
      <c r="AS478" s="501"/>
      <c r="AT478" s="501"/>
      <c r="AU478" s="501"/>
      <c r="AV478" s="501"/>
      <c r="AW478" s="501"/>
      <c r="AX478" s="501"/>
      <c r="AY478" s="501"/>
      <c r="AZ478" s="501"/>
      <c r="BA478" s="501"/>
      <c r="BB478" s="501"/>
      <c r="BC478" s="501"/>
      <c r="BD478" s="501"/>
      <c r="BE478" s="501"/>
      <c r="BF478" s="501"/>
      <c r="BG478" s="501"/>
      <c r="BH478" s="501"/>
      <c r="BI478" s="501"/>
      <c r="BJ478" s="501"/>
    </row>
    <row r="479" spans="1:62" ht="15.75" customHeight="1">
      <c r="A479" s="517" t="s">
        <v>70</v>
      </c>
      <c r="B479" s="498"/>
      <c r="C479" s="721" t="s">
        <v>465</v>
      </c>
      <c r="D479" s="501"/>
      <c r="E479" s="501"/>
      <c r="F479" s="501"/>
      <c r="G479" s="501"/>
      <c r="H479" s="501"/>
      <c r="I479" s="501"/>
      <c r="J479" s="501"/>
      <c r="K479" s="501"/>
      <c r="L479" s="501"/>
      <c r="M479" s="501"/>
      <c r="N479" s="501"/>
      <c r="O479" s="501"/>
      <c r="P479" s="501"/>
      <c r="Q479" s="501"/>
      <c r="R479" s="501"/>
      <c r="S479" s="501"/>
      <c r="T479" s="501"/>
      <c r="U479" s="501"/>
      <c r="V479" s="593" t="s">
        <v>70</v>
      </c>
      <c r="W479" s="751"/>
      <c r="X479" s="751"/>
      <c r="Y479" s="751"/>
      <c r="Z479" s="752">
        <f>+SUMIF($C:$C,$V479,F:F)</f>
        <v>33255.372251520006</v>
      </c>
      <c r="AA479" s="793"/>
      <c r="AB479" s="794"/>
      <c r="AC479" s="752"/>
      <c r="AD479" s="814">
        <f>AF479/399</f>
        <v>87.563909774436084</v>
      </c>
      <c r="AE479" s="793">
        <f>(AF479/399)/(J13+J15+J96)</f>
        <v>1.0678525582248304</v>
      </c>
      <c r="AF479" s="752">
        <f>+SUMIF($C:$C,$V479,L:L)</f>
        <v>34938</v>
      </c>
      <c r="AG479" s="811"/>
      <c r="AH479" s="754">
        <f t="shared" si="119"/>
        <v>1682.6277484799939</v>
      </c>
      <c r="AI479" s="774">
        <f t="shared" si="124"/>
        <v>5.0597170759472884E-2</v>
      </c>
      <c r="AJ479" s="812"/>
      <c r="AK479" s="793"/>
      <c r="AL479" s="813">
        <f>+SUMIF($C:$C,$V479,Q:Q)</f>
        <v>31039.489999999998</v>
      </c>
      <c r="AM479" s="809"/>
      <c r="AN479" s="754">
        <f t="shared" si="120"/>
        <v>3898.510000000002</v>
      </c>
      <c r="AO479" s="761">
        <f t="shared" si="118"/>
        <v>0.1255983909529442</v>
      </c>
      <c r="AP479" s="501"/>
      <c r="AQ479" s="501"/>
      <c r="AR479" s="501"/>
      <c r="AS479" s="501"/>
      <c r="AT479" s="501"/>
      <c r="AU479" s="501"/>
      <c r="AV479" s="501"/>
      <c r="AW479" s="501"/>
      <c r="AX479" s="501"/>
      <c r="AY479" s="501"/>
      <c r="AZ479" s="501"/>
      <c r="BA479" s="501"/>
      <c r="BB479" s="501"/>
      <c r="BC479" s="501"/>
      <c r="BD479" s="501"/>
      <c r="BE479" s="501"/>
      <c r="BF479" s="501"/>
      <c r="BG479" s="501"/>
      <c r="BH479" s="501"/>
      <c r="BI479" s="501"/>
      <c r="BJ479" s="501"/>
    </row>
    <row r="480" spans="1:62" ht="15.75" customHeight="1">
      <c r="A480" s="517" t="s">
        <v>183</v>
      </c>
      <c r="B480" s="498"/>
      <c r="C480" s="721" t="s">
        <v>465</v>
      </c>
      <c r="D480" s="501"/>
      <c r="E480" s="501"/>
      <c r="F480" s="501"/>
      <c r="G480" s="501"/>
      <c r="H480" s="501"/>
      <c r="I480" s="501"/>
      <c r="J480" s="501"/>
      <c r="K480" s="501"/>
      <c r="L480" s="501"/>
      <c r="M480" s="501"/>
      <c r="N480" s="501"/>
      <c r="O480" s="501"/>
      <c r="P480" s="501"/>
      <c r="Q480" s="501"/>
      <c r="R480" s="501"/>
      <c r="S480" s="501"/>
      <c r="T480" s="501"/>
      <c r="U480" s="501"/>
      <c r="V480" s="766" t="s">
        <v>183</v>
      </c>
      <c r="W480" s="767"/>
      <c r="X480" s="768">
        <f>Z480/+Z406</f>
        <v>0.16136681599273087</v>
      </c>
      <c r="Y480" s="790"/>
      <c r="Z480" s="769">
        <f>SUM(Z468:Z479)</f>
        <v>111558.4188323194</v>
      </c>
      <c r="AA480" s="768"/>
      <c r="AB480" s="790"/>
      <c r="AC480" s="769"/>
      <c r="AD480" s="768">
        <f>AF480/+AF406</f>
        <v>0.2139604525976902</v>
      </c>
      <c r="AE480" s="790"/>
      <c r="AF480" s="769">
        <f>SUM(AF468:AF479)</f>
        <v>144620.04</v>
      </c>
      <c r="AG480" s="776"/>
      <c r="AH480" s="772">
        <f t="shared" si="119"/>
        <v>33061.621167680612</v>
      </c>
      <c r="AI480" s="768">
        <f>AH480/Z480</f>
        <v>0.2963615073943876</v>
      </c>
      <c r="AJ480" s="815"/>
      <c r="AK480" s="816"/>
      <c r="AL480" s="769">
        <f>SUM(AL468:AL479)</f>
        <v>119152.95999999999</v>
      </c>
      <c r="AM480" s="817"/>
      <c r="AN480" s="772">
        <f t="shared" si="120"/>
        <v>25467.080000000016</v>
      </c>
      <c r="AO480" s="792">
        <f t="shared" si="118"/>
        <v>0.21373434617150944</v>
      </c>
      <c r="AP480" s="501"/>
      <c r="AQ480" s="501"/>
      <c r="AR480" s="501"/>
      <c r="AS480" s="501"/>
      <c r="AT480" s="501"/>
      <c r="AU480" s="501"/>
      <c r="AV480" s="501"/>
      <c r="AW480" s="501"/>
      <c r="AX480" s="501"/>
      <c r="AY480" s="501"/>
      <c r="AZ480" s="501"/>
      <c r="BA480" s="501"/>
      <c r="BB480" s="501"/>
      <c r="BC480" s="501"/>
      <c r="BD480" s="501"/>
      <c r="BE480" s="501"/>
      <c r="BF480" s="501"/>
      <c r="BG480" s="501"/>
      <c r="BH480" s="501"/>
      <c r="BI480" s="501"/>
      <c r="BJ480" s="501"/>
    </row>
    <row r="481" spans="1:62" ht="6" customHeight="1" thickBot="1">
      <c r="A481" s="517" t="s">
        <v>466</v>
      </c>
      <c r="B481" s="498"/>
      <c r="C481" s="721" t="s">
        <v>465</v>
      </c>
      <c r="D481" s="501"/>
      <c r="E481" s="501"/>
      <c r="F481" s="501"/>
      <c r="G481" s="501"/>
      <c r="H481" s="501"/>
      <c r="I481" s="501"/>
      <c r="J481" s="501"/>
      <c r="K481" s="501"/>
      <c r="L481" s="501"/>
      <c r="M481" s="501"/>
      <c r="N481" s="501"/>
      <c r="O481" s="501"/>
      <c r="P481" s="501"/>
      <c r="Q481" s="501"/>
      <c r="R481" s="501"/>
      <c r="S481" s="501"/>
      <c r="T481" s="501"/>
      <c r="U481" s="501"/>
      <c r="V481" s="818"/>
      <c r="W481" s="819"/>
      <c r="X481" s="819"/>
      <c r="Y481" s="820"/>
      <c r="Z481" s="821"/>
      <c r="AA481" s="819"/>
      <c r="AB481" s="822"/>
      <c r="AC481" s="821"/>
      <c r="AD481" s="819"/>
      <c r="AE481" s="822"/>
      <c r="AF481" s="823"/>
      <c r="AG481" s="824"/>
      <c r="AH481" s="825"/>
      <c r="AI481" s="826"/>
      <c r="AJ481" s="827"/>
      <c r="AK481" s="828"/>
      <c r="AL481" s="823"/>
      <c r="AM481" s="829"/>
      <c r="AN481" s="825">
        <f t="shared" si="120"/>
        <v>0</v>
      </c>
      <c r="AO481" s="830">
        <f t="shared" si="118"/>
        <v>0</v>
      </c>
      <c r="AP481" s="501"/>
      <c r="AQ481" s="501"/>
      <c r="AR481" s="501"/>
      <c r="AS481" s="501"/>
      <c r="AT481" s="501"/>
      <c r="AU481" s="501"/>
      <c r="AV481" s="501"/>
      <c r="AW481" s="501"/>
      <c r="AX481" s="501"/>
      <c r="AY481" s="501"/>
      <c r="AZ481" s="501"/>
      <c r="BA481" s="501"/>
      <c r="BB481" s="501"/>
      <c r="BC481" s="501"/>
      <c r="BD481" s="501"/>
      <c r="BE481" s="501"/>
      <c r="BF481" s="501"/>
      <c r="BG481" s="501"/>
      <c r="BH481" s="501"/>
      <c r="BI481" s="501"/>
      <c r="BJ481" s="501"/>
    </row>
    <row r="482" spans="1:62" ht="15.75" customHeight="1" thickTop="1" thickBot="1">
      <c r="A482" s="517" t="s">
        <v>184</v>
      </c>
      <c r="B482" s="498"/>
      <c r="C482" s="721" t="s">
        <v>465</v>
      </c>
      <c r="D482" s="501"/>
      <c r="E482" s="501"/>
      <c r="F482" s="501"/>
      <c r="G482" s="501"/>
      <c r="H482" s="501"/>
      <c r="I482" s="501"/>
      <c r="J482" s="501"/>
      <c r="K482" s="501"/>
      <c r="L482" s="501"/>
      <c r="M482" s="501"/>
      <c r="N482" s="501"/>
      <c r="O482" s="501"/>
      <c r="P482" s="501"/>
      <c r="Q482" s="501"/>
      <c r="R482" s="501"/>
      <c r="S482" s="501"/>
      <c r="T482" s="501"/>
      <c r="U482" s="501"/>
      <c r="V482" s="831" t="s">
        <v>184</v>
      </c>
      <c r="W482" s="832"/>
      <c r="X482" s="833" t="s">
        <v>185</v>
      </c>
      <c r="Y482" s="834">
        <f>Z482/Z405</f>
        <v>4.3145790468237473E-2</v>
      </c>
      <c r="Z482" s="835">
        <f>Z406-Z467+Z480</f>
        <v>205028.7785532191</v>
      </c>
      <c r="AA482" s="833"/>
      <c r="AB482" s="834"/>
      <c r="AC482" s="835"/>
      <c r="AD482" s="833" t="s">
        <v>185</v>
      </c>
      <c r="AE482" s="834">
        <f>AF482/AF405</f>
        <v>3.7297857634574182E-2</v>
      </c>
      <c r="AF482" s="836">
        <f>AF406-AF467+AF480</f>
        <v>205921.08000000028</v>
      </c>
      <c r="AG482" s="837"/>
      <c r="AH482" s="837">
        <f>AF482-Z482</f>
        <v>892.30144678117358</v>
      </c>
      <c r="AI482" s="838">
        <f>AH482/Z482</f>
        <v>4.3520790255771819E-3</v>
      </c>
      <c r="AJ482" s="839" t="s">
        <v>185</v>
      </c>
      <c r="AK482" s="834">
        <f>IF($AL$405=0,0,AL482/$AL$405)</f>
        <v>4.8551375221139607E-2</v>
      </c>
      <c r="AL482" s="836">
        <f>AL406-AL467+AL480</f>
        <v>268159.63000000012</v>
      </c>
      <c r="AM482" s="840"/>
      <c r="AN482" s="836">
        <f t="shared" si="120"/>
        <v>-62238.549999999843</v>
      </c>
      <c r="AO482" s="841">
        <f t="shared" si="118"/>
        <v>-0.2320951516825997</v>
      </c>
      <c r="AP482" s="501"/>
      <c r="AQ482" s="501"/>
      <c r="AR482" s="501"/>
      <c r="AS482" s="501"/>
      <c r="AT482" s="501"/>
      <c r="AU482" s="501"/>
      <c r="AV482" s="501"/>
      <c r="AW482" s="501"/>
      <c r="AX482" s="501"/>
      <c r="AY482" s="501"/>
      <c r="AZ482" s="501"/>
      <c r="BA482" s="501"/>
      <c r="BB482" s="501"/>
      <c r="BC482" s="501"/>
      <c r="BD482" s="501"/>
      <c r="BE482" s="501"/>
      <c r="BF482" s="501"/>
      <c r="BG482" s="501"/>
      <c r="BH482" s="501"/>
      <c r="BI482" s="501"/>
      <c r="BJ482" s="501"/>
    </row>
    <row r="483" spans="1:62" ht="8.25" customHeight="1" thickTop="1">
      <c r="A483" s="517" t="s">
        <v>466</v>
      </c>
      <c r="B483" s="498"/>
      <c r="C483" s="721" t="s">
        <v>465</v>
      </c>
      <c r="D483" s="501"/>
      <c r="E483" s="501"/>
      <c r="F483" s="501"/>
      <c r="G483" s="501"/>
      <c r="H483" s="501"/>
      <c r="I483" s="501"/>
      <c r="J483" s="501"/>
      <c r="K483" s="501"/>
      <c r="L483" s="501"/>
      <c r="M483" s="501"/>
      <c r="N483" s="501"/>
      <c r="O483" s="501"/>
      <c r="P483" s="501"/>
      <c r="Q483" s="501"/>
      <c r="R483" s="501"/>
      <c r="S483" s="501"/>
      <c r="T483" s="501"/>
      <c r="U483" s="501"/>
      <c r="V483" s="490"/>
      <c r="W483" s="490"/>
      <c r="X483" s="490"/>
      <c r="Y483" s="490"/>
      <c r="Z483" s="569"/>
      <c r="AA483" s="504"/>
      <c r="AB483" s="504"/>
      <c r="AC483" s="569"/>
      <c r="AD483" s="504"/>
      <c r="AE483" s="504"/>
      <c r="AF483" s="842"/>
      <c r="AG483" s="504"/>
      <c r="AH483" s="504"/>
      <c r="AI483" s="504"/>
      <c r="AJ483" s="504"/>
      <c r="AK483" s="504"/>
      <c r="AL483" s="569"/>
      <c r="AM483" s="504"/>
      <c r="AN483" s="504"/>
      <c r="AO483" s="504"/>
      <c r="AP483" s="501"/>
      <c r="AQ483" s="501"/>
      <c r="AR483" s="501"/>
      <c r="AS483" s="501"/>
      <c r="AT483" s="501"/>
      <c r="AU483" s="501"/>
      <c r="AV483" s="501"/>
      <c r="AW483" s="501"/>
      <c r="AX483" s="501"/>
      <c r="AY483" s="501"/>
      <c r="AZ483" s="501"/>
      <c r="BA483" s="501"/>
      <c r="BB483" s="501"/>
      <c r="BC483" s="501"/>
      <c r="BD483" s="501"/>
      <c r="BE483" s="501"/>
      <c r="BF483" s="501"/>
      <c r="BG483" s="501"/>
      <c r="BH483" s="501"/>
      <c r="BI483" s="501"/>
      <c r="BJ483" s="501"/>
    </row>
    <row r="484" spans="1:62" ht="18" customHeight="1">
      <c r="A484" s="517" t="s">
        <v>223</v>
      </c>
      <c r="B484" s="498"/>
      <c r="C484" s="721" t="s">
        <v>465</v>
      </c>
      <c r="D484" s="501"/>
      <c r="E484" s="501"/>
      <c r="F484" s="501"/>
      <c r="G484" s="501"/>
      <c r="H484" s="501"/>
      <c r="I484" s="501"/>
      <c r="J484" s="501"/>
      <c r="K484" s="501"/>
      <c r="L484" s="501"/>
      <c r="M484" s="501"/>
      <c r="N484" s="501"/>
      <c r="O484" s="501"/>
      <c r="P484" s="501"/>
      <c r="Q484" s="501"/>
      <c r="R484" s="501"/>
      <c r="S484" s="501"/>
      <c r="T484" s="501"/>
      <c r="U484" s="501"/>
      <c r="V484" s="843" t="str">
        <f>C1</f>
        <v>Volks</v>
      </c>
      <c r="W484" s="843"/>
      <c r="X484" s="843"/>
      <c r="Y484" s="843"/>
      <c r="Z484" s="843"/>
      <c r="AA484" s="843"/>
      <c r="AB484" s="843"/>
      <c r="AC484" s="843"/>
      <c r="AD484" s="843"/>
      <c r="AE484" s="844" t="s">
        <v>186</v>
      </c>
      <c r="AF484" s="843"/>
      <c r="AG484" s="843"/>
      <c r="AH484" s="843"/>
      <c r="AI484" s="843"/>
      <c r="AJ484" s="845"/>
      <c r="AK484" s="846"/>
      <c r="AL484" s="843"/>
      <c r="AM484" s="843"/>
      <c r="AN484" s="843"/>
      <c r="AO484" s="847" t="str">
        <f>$S$1</f>
        <v>Réalisé, Juin 2023</v>
      </c>
      <c r="AP484" s="501"/>
      <c r="AQ484" s="501"/>
      <c r="AR484" s="501"/>
      <c r="AS484" s="501"/>
      <c r="AT484" s="501"/>
      <c r="AU484" s="501"/>
      <c r="AV484" s="501"/>
      <c r="AW484" s="501"/>
      <c r="AX484" s="501"/>
      <c r="AY484" s="501"/>
      <c r="AZ484" s="501"/>
      <c r="BA484" s="501"/>
      <c r="BB484" s="501"/>
      <c r="BC484" s="501"/>
      <c r="BD484" s="501"/>
      <c r="BE484" s="501"/>
      <c r="BF484" s="501"/>
      <c r="BG484" s="501"/>
      <c r="BH484" s="501"/>
      <c r="BI484" s="501"/>
      <c r="BJ484" s="501"/>
    </row>
    <row r="485" spans="1:62" ht="3" customHeight="1">
      <c r="A485" s="517" t="s">
        <v>466</v>
      </c>
      <c r="B485" s="498"/>
      <c r="C485" s="721" t="s">
        <v>465</v>
      </c>
      <c r="D485" s="501"/>
      <c r="E485" s="501"/>
      <c r="F485" s="501"/>
      <c r="G485" s="501"/>
      <c r="H485" s="501"/>
      <c r="I485" s="501"/>
      <c r="J485" s="501"/>
      <c r="K485" s="501"/>
      <c r="L485" s="501"/>
      <c r="M485" s="501"/>
      <c r="N485" s="501"/>
      <c r="O485" s="501"/>
      <c r="P485" s="501"/>
      <c r="Q485" s="501"/>
      <c r="R485" s="501"/>
      <c r="S485" s="501"/>
      <c r="T485" s="501"/>
      <c r="U485" s="501"/>
      <c r="V485" s="490"/>
      <c r="W485" s="490"/>
      <c r="X485" s="490"/>
      <c r="Y485" s="490"/>
      <c r="Z485" s="569"/>
      <c r="AA485" s="504"/>
      <c r="AB485" s="504"/>
      <c r="AC485" s="569"/>
      <c r="AD485" s="504"/>
      <c r="AE485" s="504"/>
      <c r="AF485" s="842"/>
      <c r="AG485" s="504"/>
      <c r="AH485" s="504"/>
      <c r="AI485" s="504"/>
      <c r="AJ485" s="504"/>
      <c r="AK485" s="504"/>
      <c r="AL485" s="569"/>
      <c r="AM485" s="504"/>
      <c r="AN485" s="504"/>
      <c r="AO485" s="504"/>
      <c r="AP485" s="501"/>
      <c r="AQ485" s="501"/>
      <c r="AR485" s="501"/>
      <c r="AS485" s="501"/>
      <c r="AT485" s="501"/>
      <c r="AU485" s="501"/>
      <c r="AV485" s="501"/>
      <c r="AW485" s="501"/>
      <c r="AX485" s="501"/>
      <c r="AY485" s="501"/>
      <c r="AZ485" s="501"/>
      <c r="BA485" s="501"/>
      <c r="BB485" s="501"/>
      <c r="BC485" s="501"/>
      <c r="BD485" s="501"/>
      <c r="BE485" s="501"/>
      <c r="BF485" s="501"/>
      <c r="BG485" s="501"/>
      <c r="BH485" s="501"/>
      <c r="BI485" s="501"/>
      <c r="BJ485" s="501"/>
    </row>
    <row r="486" spans="1:62" ht="3" customHeight="1">
      <c r="A486" s="517" t="s">
        <v>466</v>
      </c>
      <c r="B486" s="498"/>
      <c r="C486" s="721" t="s">
        <v>465</v>
      </c>
      <c r="D486" s="501"/>
      <c r="E486" s="501"/>
      <c r="F486" s="501"/>
      <c r="G486" s="501"/>
      <c r="H486" s="501"/>
      <c r="I486" s="501"/>
      <c r="J486" s="501"/>
      <c r="K486" s="501"/>
      <c r="L486" s="501"/>
      <c r="M486" s="501"/>
      <c r="N486" s="501"/>
      <c r="O486" s="501"/>
      <c r="P486" s="501"/>
      <c r="Q486" s="501"/>
      <c r="R486" s="501"/>
      <c r="S486" s="501"/>
      <c r="T486" s="501"/>
      <c r="U486" s="501"/>
      <c r="V486" s="490"/>
      <c r="W486" s="490"/>
      <c r="X486" s="490"/>
      <c r="Y486" s="490"/>
      <c r="Z486" s="569"/>
      <c r="AA486" s="504"/>
      <c r="AB486" s="504"/>
      <c r="AC486" s="569"/>
      <c r="AD486" s="504"/>
      <c r="AE486" s="504"/>
      <c r="AF486" s="842"/>
      <c r="AG486" s="504"/>
      <c r="AH486" s="504"/>
      <c r="AI486" s="504"/>
      <c r="AJ486" s="504"/>
      <c r="AK486" s="504"/>
      <c r="AL486" s="569"/>
      <c r="AM486" s="504"/>
      <c r="AN486" s="504"/>
      <c r="AO486" s="504"/>
      <c r="AP486" s="501"/>
      <c r="AQ486" s="501"/>
      <c r="AR486" s="501"/>
      <c r="AS486" s="501"/>
      <c r="AT486" s="501"/>
      <c r="AU486" s="501"/>
      <c r="AV486" s="501"/>
      <c r="AW486" s="501"/>
      <c r="AX486" s="501"/>
      <c r="AY486" s="501"/>
      <c r="AZ486" s="501"/>
      <c r="BA486" s="501"/>
      <c r="BB486" s="501"/>
      <c r="BC486" s="501"/>
      <c r="BD486" s="501"/>
      <c r="BE486" s="501"/>
      <c r="BF486" s="501"/>
      <c r="BG486" s="501"/>
      <c r="BH486" s="501"/>
      <c r="BI486" s="501"/>
      <c r="BJ486" s="501"/>
    </row>
    <row r="487" spans="1:62" ht="3" customHeight="1" thickBot="1">
      <c r="A487" s="517" t="s">
        <v>466</v>
      </c>
      <c r="B487" s="498"/>
      <c r="C487" s="721" t="s">
        <v>465</v>
      </c>
      <c r="D487" s="501"/>
      <c r="E487" s="501"/>
      <c r="F487" s="501"/>
      <c r="G487" s="501"/>
      <c r="H487" s="501"/>
      <c r="I487" s="501"/>
      <c r="J487" s="501"/>
      <c r="K487" s="501"/>
      <c r="L487" s="501"/>
      <c r="M487" s="501"/>
      <c r="N487" s="501"/>
      <c r="O487" s="501"/>
      <c r="P487" s="501"/>
      <c r="Q487" s="501"/>
      <c r="R487" s="501"/>
      <c r="S487" s="501"/>
      <c r="T487" s="501"/>
      <c r="U487" s="501"/>
      <c r="V487" s="490"/>
      <c r="W487" s="490"/>
      <c r="X487" s="490"/>
      <c r="Y487" s="490"/>
      <c r="Z487" s="569"/>
      <c r="AA487" s="504"/>
      <c r="AB487" s="504"/>
      <c r="AC487" s="569"/>
      <c r="AD487" s="504"/>
      <c r="AE487" s="504"/>
      <c r="AF487" s="842"/>
      <c r="AG487" s="504"/>
      <c r="AH487" s="504"/>
      <c r="AI487" s="504"/>
      <c r="AJ487" s="504"/>
      <c r="AK487" s="504"/>
      <c r="AL487" s="569"/>
      <c r="AM487" s="504"/>
      <c r="AN487" s="504"/>
      <c r="AO487" s="504"/>
      <c r="AP487" s="501"/>
      <c r="AQ487" s="501"/>
      <c r="AR487" s="501"/>
      <c r="AS487" s="501"/>
      <c r="AT487" s="501"/>
      <c r="AU487" s="501"/>
      <c r="AV487" s="501"/>
      <c r="AW487" s="501"/>
      <c r="AX487" s="501"/>
      <c r="AY487" s="501"/>
      <c r="AZ487" s="501"/>
      <c r="BA487" s="501"/>
      <c r="BB487" s="501"/>
      <c r="BC487" s="501"/>
      <c r="BD487" s="501"/>
      <c r="BE487" s="501"/>
      <c r="BF487" s="501"/>
      <c r="BG487" s="501"/>
      <c r="BH487" s="501"/>
      <c r="BI487" s="501"/>
      <c r="BJ487" s="501"/>
    </row>
    <row r="488" spans="1:62" ht="15.75" customHeight="1" thickTop="1" thickBot="1">
      <c r="A488" s="517" t="s">
        <v>184</v>
      </c>
      <c r="B488" s="498"/>
      <c r="C488" s="721" t="s">
        <v>465</v>
      </c>
      <c r="D488" s="501"/>
      <c r="E488" s="501"/>
      <c r="F488" s="501"/>
      <c r="G488" s="501"/>
      <c r="H488" s="501"/>
      <c r="I488" s="501"/>
      <c r="J488" s="501"/>
      <c r="K488" s="501"/>
      <c r="L488" s="501"/>
      <c r="M488" s="501"/>
      <c r="N488" s="501"/>
      <c r="O488" s="501"/>
      <c r="P488" s="501"/>
      <c r="Q488" s="501"/>
      <c r="R488" s="501"/>
      <c r="S488" s="501"/>
      <c r="T488" s="501"/>
      <c r="U488" s="501"/>
      <c r="V488" s="831" t="s">
        <v>184</v>
      </c>
      <c r="W488" s="832"/>
      <c r="X488" s="833" t="s">
        <v>185</v>
      </c>
      <c r="Y488" s="834">
        <f>Z488/Z405</f>
        <v>4.3145790468237473E-2</v>
      </c>
      <c r="Z488" s="835">
        <f>Z482</f>
        <v>205028.7785532191</v>
      </c>
      <c r="AA488" s="833"/>
      <c r="AB488" s="834"/>
      <c r="AC488" s="835"/>
      <c r="AD488" s="833" t="s">
        <v>185</v>
      </c>
      <c r="AE488" s="834">
        <f>AF488/AF405</f>
        <v>3.7297857634574182E-2</v>
      </c>
      <c r="AF488" s="835">
        <f>AF482</f>
        <v>205921.08000000028</v>
      </c>
      <c r="AG488" s="836"/>
      <c r="AH488" s="837">
        <f>AF488-Z488</f>
        <v>892.30144678117358</v>
      </c>
      <c r="AI488" s="838">
        <f>AH488/Z488</f>
        <v>4.3520790255771819E-3</v>
      </c>
      <c r="AJ488" s="833" t="s">
        <v>185</v>
      </c>
      <c r="AK488" s="834">
        <f>IF($AL$405=0,0,AL488/$AL$405)</f>
        <v>4.8551375221139607E-2</v>
      </c>
      <c r="AL488" s="848">
        <f>AL482</f>
        <v>268159.63000000012</v>
      </c>
      <c r="AM488" s="849"/>
      <c r="AN488" s="850">
        <f>AF488-AL488</f>
        <v>-62238.549999999843</v>
      </c>
      <c r="AO488" s="851">
        <f>IF(AL488=0,0,AN488/AL488)</f>
        <v>-0.2320951516825997</v>
      </c>
      <c r="AP488" s="501"/>
      <c r="AQ488" s="501"/>
      <c r="AR488" s="501"/>
      <c r="AS488" s="501"/>
      <c r="AT488" s="501"/>
      <c r="AU488" s="501"/>
      <c r="AV488" s="501"/>
      <c r="AW488" s="501"/>
      <c r="AX488" s="501"/>
      <c r="AY488" s="501"/>
      <c r="AZ488" s="501"/>
      <c r="BA488" s="501"/>
      <c r="BB488" s="501"/>
      <c r="BC488" s="501"/>
      <c r="BD488" s="501"/>
      <c r="BE488" s="501"/>
      <c r="BF488" s="501"/>
      <c r="BG488" s="501"/>
      <c r="BH488" s="501"/>
      <c r="BI488" s="501"/>
      <c r="BJ488" s="501"/>
    </row>
    <row r="489" spans="1:62" ht="15.75" customHeight="1" thickTop="1">
      <c r="A489" s="517" t="s">
        <v>466</v>
      </c>
      <c r="B489" s="498"/>
      <c r="C489" s="721" t="s">
        <v>465</v>
      </c>
      <c r="D489" s="501"/>
      <c r="E489" s="501"/>
      <c r="F489" s="644"/>
      <c r="G489" s="501"/>
      <c r="H489" s="501"/>
      <c r="I489" s="644"/>
      <c r="J489" s="501"/>
      <c r="K489" s="501"/>
      <c r="L489" s="501"/>
      <c r="M489" s="644"/>
      <c r="N489" s="501"/>
      <c r="O489" s="501"/>
      <c r="P489" s="501"/>
      <c r="Q489" s="644"/>
      <c r="R489" s="644"/>
      <c r="S489" s="644"/>
      <c r="T489" s="796"/>
      <c r="U489" s="796"/>
      <c r="V489" s="852"/>
      <c r="W489" s="501"/>
      <c r="X489" s="501"/>
      <c r="Y489" s="501"/>
      <c r="Z489" s="853"/>
      <c r="AA489" s="501"/>
      <c r="AB489" s="501"/>
      <c r="AC489" s="854"/>
      <c r="AD489" s="501"/>
      <c r="AE489" s="501"/>
      <c r="AF489" s="854"/>
      <c r="AG489" s="501"/>
      <c r="AH489" s="501"/>
      <c r="AI489" s="854"/>
      <c r="AJ489" s="501"/>
      <c r="AK489" s="501"/>
      <c r="AL489" s="855"/>
      <c r="AM489" s="856"/>
      <c r="AN489" s="501"/>
      <c r="AO489" s="857"/>
      <c r="AP489" s="501"/>
      <c r="AQ489" s="501"/>
      <c r="AR489" s="501"/>
      <c r="AS489" s="501"/>
      <c r="AT489" s="501"/>
      <c r="AU489" s="501"/>
      <c r="AV489" s="501"/>
      <c r="AW489" s="501"/>
      <c r="AX489" s="501"/>
      <c r="AY489" s="501"/>
      <c r="AZ489" s="501"/>
      <c r="BA489" s="501"/>
      <c r="BB489" s="501"/>
      <c r="BC489" s="501"/>
      <c r="BD489" s="501"/>
      <c r="BE489" s="501"/>
      <c r="BF489" s="501"/>
      <c r="BG489" s="501"/>
      <c r="BH489" s="501"/>
      <c r="BI489" s="501"/>
      <c r="BJ489" s="501"/>
    </row>
    <row r="490" spans="1:62" ht="15.75" customHeight="1">
      <c r="A490" s="517" t="s">
        <v>187</v>
      </c>
      <c r="B490" s="498"/>
      <c r="C490" s="721" t="s">
        <v>465</v>
      </c>
      <c r="D490" s="501"/>
      <c r="E490" s="501"/>
      <c r="F490" s="501"/>
      <c r="G490" s="501"/>
      <c r="H490" s="501"/>
      <c r="I490" s="501"/>
      <c r="J490" s="501"/>
      <c r="K490" s="501"/>
      <c r="L490" s="501"/>
      <c r="M490" s="501"/>
      <c r="N490" s="501"/>
      <c r="O490" s="501"/>
      <c r="P490" s="501"/>
      <c r="Q490" s="501"/>
      <c r="R490" s="501"/>
      <c r="S490" s="501"/>
      <c r="T490" s="501"/>
      <c r="U490" s="501"/>
      <c r="V490" s="592" t="s">
        <v>187</v>
      </c>
      <c r="W490" s="758"/>
      <c r="X490" s="751"/>
      <c r="Y490" s="759"/>
      <c r="Z490" s="752">
        <f t="array" ref="Z490">+INDEX('[6]Budget original'!$A$2:$AO$500,MATCH($A490,'[6]Budget original'!$A$2:$A$500,0),MATCH(F$2,'[6]Budget original'!$A$2:$AO$2,0))</f>
        <v>4664.0375000000004</v>
      </c>
      <c r="AA490" s="751"/>
      <c r="AB490" s="759"/>
      <c r="AC490" s="752"/>
      <c r="AD490" s="751"/>
      <c r="AE490" s="759"/>
      <c r="AF490" s="752">
        <f>SUMIFS([6]BV_Data_An_Cour!$O:$O,[6]BV_Data_An_Cour!$V:$V,$V490)</f>
        <v>4314.5</v>
      </c>
      <c r="AG490" s="751"/>
      <c r="AH490" s="754">
        <f t="shared" ref="AH490:AH497" si="128">AF490-Z490</f>
        <v>-349.53750000000036</v>
      </c>
      <c r="AI490" s="774">
        <f t="shared" ref="AI490:AI496" si="129">IF(Z490=0,0,AH490/Z490)</f>
        <v>-7.4943115272979755E-2</v>
      </c>
      <c r="AJ490" s="751"/>
      <c r="AK490" s="751"/>
      <c r="AL490" s="752">
        <f>SUMIFS([6]BV_Data_An_Prec!$O:$O,[6]BV_Data_An_Prec!$V:$V,$V490)</f>
        <v>4314.5</v>
      </c>
      <c r="AM490" s="756"/>
      <c r="AN490" s="754">
        <f t="shared" ref="AN490:AN497" si="130">AF490-AL490</f>
        <v>0</v>
      </c>
      <c r="AO490" s="761">
        <f t="shared" ref="AO490:AO497" si="131">IF(AL490=0,0,AN490/AL490)</f>
        <v>0</v>
      </c>
      <c r="AP490" s="501"/>
      <c r="AQ490" s="501"/>
      <c r="AR490" s="501"/>
      <c r="AS490" s="501"/>
      <c r="AT490" s="501"/>
      <c r="AU490" s="501"/>
      <c r="AV490" s="501"/>
      <c r="AW490" s="501"/>
      <c r="AX490" s="501"/>
      <c r="AY490" s="501"/>
      <c r="AZ490" s="501"/>
      <c r="BA490" s="501"/>
      <c r="BB490" s="501"/>
      <c r="BC490" s="501"/>
      <c r="BD490" s="501"/>
      <c r="BE490" s="501"/>
      <c r="BF490" s="501"/>
      <c r="BG490" s="501"/>
      <c r="BH490" s="501"/>
      <c r="BI490" s="501"/>
      <c r="BJ490" s="501"/>
    </row>
    <row r="491" spans="1:62" ht="15.75" customHeight="1">
      <c r="A491" s="517" t="s">
        <v>188</v>
      </c>
      <c r="B491" s="498"/>
      <c r="C491" s="721" t="s">
        <v>465</v>
      </c>
      <c r="D491" s="501"/>
      <c r="E491" s="501"/>
      <c r="F491" s="644"/>
      <c r="G491" s="501"/>
      <c r="H491" s="501"/>
      <c r="I491" s="644"/>
      <c r="J491" s="501"/>
      <c r="K491" s="501"/>
      <c r="L491" s="501"/>
      <c r="M491" s="644"/>
      <c r="N491" s="501"/>
      <c r="O491" s="501"/>
      <c r="P491" s="501"/>
      <c r="Q491" s="644"/>
      <c r="R491" s="644"/>
      <c r="S491" s="644"/>
      <c r="T491" s="501"/>
      <c r="U491" s="501"/>
      <c r="V491" s="592" t="s">
        <v>188</v>
      </c>
      <c r="W491" s="501"/>
      <c r="X491" s="501"/>
      <c r="Y491" s="501"/>
      <c r="Z491" s="752">
        <f t="array" ref="Z491">+INDEX('[6]Budget original'!$A$2:$AO$500,MATCH($A491,'[6]Budget original'!$A$2:$A$500,0),MATCH(F$2,'[6]Budget original'!$A$2:$AO$2,0))</f>
        <v>0</v>
      </c>
      <c r="AA491" s="501"/>
      <c r="AB491" s="501"/>
      <c r="AC491" s="752"/>
      <c r="AD491" s="501"/>
      <c r="AE491" s="504"/>
      <c r="AF491" s="752">
        <f>SUMIFS([6]BV_Data_An_Cour!$O:$O,[6]BV_Data_An_Cour!$V:$V,$V491)</f>
        <v>0</v>
      </c>
      <c r="AG491" s="501"/>
      <c r="AH491" s="754">
        <f t="shared" si="128"/>
        <v>0</v>
      </c>
      <c r="AI491" s="774">
        <f t="shared" si="129"/>
        <v>0</v>
      </c>
      <c r="AJ491" s="501"/>
      <c r="AK491" s="501"/>
      <c r="AL491" s="752">
        <f>SUMIFS([6]BV_Data_An_Prec!$O:$O,[6]BV_Data_An_Prec!$V:$V,$V491)</f>
        <v>0</v>
      </c>
      <c r="AM491" s="856"/>
      <c r="AN491" s="754">
        <f t="shared" si="130"/>
        <v>0</v>
      </c>
      <c r="AO491" s="761">
        <f t="shared" si="131"/>
        <v>0</v>
      </c>
      <c r="AP491" s="501"/>
      <c r="AQ491" s="501"/>
      <c r="AR491" s="501"/>
      <c r="AS491" s="501"/>
      <c r="AT491" s="501"/>
      <c r="AU491" s="501"/>
      <c r="AV491" s="501"/>
      <c r="AW491" s="501"/>
      <c r="AX491" s="501"/>
      <c r="AY491" s="501"/>
      <c r="AZ491" s="501"/>
      <c r="BA491" s="501"/>
      <c r="BB491" s="501"/>
      <c r="BC491" s="501"/>
      <c r="BD491" s="501"/>
      <c r="BE491" s="501"/>
      <c r="BF491" s="501"/>
      <c r="BG491" s="501"/>
      <c r="BH491" s="501"/>
      <c r="BI491" s="501"/>
      <c r="BJ491" s="501"/>
    </row>
    <row r="492" spans="1:62" ht="15.75" customHeight="1">
      <c r="A492" s="517" t="s">
        <v>189</v>
      </c>
      <c r="B492" s="498"/>
      <c r="C492" s="721" t="s">
        <v>465</v>
      </c>
      <c r="D492" s="501"/>
      <c r="E492" s="501"/>
      <c r="F492" s="644"/>
      <c r="G492" s="501"/>
      <c r="H492" s="501"/>
      <c r="I492" s="644"/>
      <c r="J492" s="501"/>
      <c r="K492" s="501"/>
      <c r="L492" s="501"/>
      <c r="M492" s="644"/>
      <c r="N492" s="501"/>
      <c r="O492" s="501"/>
      <c r="P492" s="501"/>
      <c r="Q492" s="644"/>
      <c r="R492" s="644"/>
      <c r="S492" s="644"/>
      <c r="T492" s="501"/>
      <c r="U492" s="501"/>
      <c r="V492" s="592" t="s">
        <v>189</v>
      </c>
      <c r="W492" s="504"/>
      <c r="X492" s="504"/>
      <c r="Y492" s="504"/>
      <c r="Z492" s="752">
        <f t="array" ref="Z492">+INDEX('[6]Budget original'!$A$2:$AO$500,MATCH($A492,'[6]Budget original'!$A$2:$A$500,0),MATCH(F$2,'[6]Budget original'!$A$2:$AO$2,0))</f>
        <v>427.02</v>
      </c>
      <c r="AA492" s="501"/>
      <c r="AB492" s="501"/>
      <c r="AC492" s="752"/>
      <c r="AD492" s="501"/>
      <c r="AE492" s="504"/>
      <c r="AF492" s="752">
        <f>SUMIFS([6]BV_Data_An_Cour!$O:$O,[6]BV_Data_An_Cour!$V:$V,$V492)</f>
        <v>0</v>
      </c>
      <c r="AG492" s="501"/>
      <c r="AH492" s="754">
        <f t="shared" si="128"/>
        <v>-427.02</v>
      </c>
      <c r="AI492" s="774">
        <f t="shared" si="129"/>
        <v>-1</v>
      </c>
      <c r="AJ492" s="501"/>
      <c r="AK492" s="501"/>
      <c r="AL492" s="752">
        <f>SUMIFS([6]BV_Data_An_Prec!$O:$O,[6]BV_Data_An_Prec!$V:$V,$V492)</f>
        <v>426.79</v>
      </c>
      <c r="AM492" s="856"/>
      <c r="AN492" s="754">
        <f t="shared" si="130"/>
        <v>-426.79</v>
      </c>
      <c r="AO492" s="761">
        <f t="shared" si="131"/>
        <v>-1</v>
      </c>
      <c r="AP492" s="501"/>
      <c r="AQ492" s="501"/>
      <c r="AR492" s="501"/>
      <c r="AS492" s="501"/>
      <c r="AT492" s="501"/>
      <c r="AU492" s="501"/>
      <c r="AV492" s="501"/>
      <c r="AW492" s="501"/>
      <c r="AX492" s="501"/>
      <c r="AY492" s="501"/>
      <c r="AZ492" s="501"/>
      <c r="BA492" s="501"/>
      <c r="BB492" s="501"/>
      <c r="BC492" s="501"/>
      <c r="BD492" s="501"/>
      <c r="BE492" s="501"/>
      <c r="BF492" s="501"/>
      <c r="BG492" s="501"/>
      <c r="BH492" s="501"/>
      <c r="BI492" s="501"/>
      <c r="BJ492" s="501"/>
    </row>
    <row r="493" spans="1:62" ht="15.75" customHeight="1" thickBot="1">
      <c r="A493" s="517" t="s">
        <v>190</v>
      </c>
      <c r="B493" s="498"/>
      <c r="C493" s="721" t="s">
        <v>465</v>
      </c>
      <c r="D493" s="501"/>
      <c r="E493" s="501"/>
      <c r="F493" s="644"/>
      <c r="G493" s="501"/>
      <c r="H493" s="501"/>
      <c r="I493" s="644"/>
      <c r="J493" s="501"/>
      <c r="K493" s="501"/>
      <c r="L493" s="501"/>
      <c r="M493" s="644"/>
      <c r="N493" s="501"/>
      <c r="O493" s="501"/>
      <c r="P493" s="501"/>
      <c r="Q493" s="644"/>
      <c r="R493" s="644"/>
      <c r="S493" s="644"/>
      <c r="T493" s="501"/>
      <c r="U493" s="501"/>
      <c r="V493" s="592" t="s">
        <v>190</v>
      </c>
      <c r="W493" s="504"/>
      <c r="X493" s="504"/>
      <c r="Y493" s="504"/>
      <c r="Z493" s="752">
        <f t="array" ref="Z493">+INDEX('[6]Budget original'!$A$2:$AO$500,MATCH($A493,'[6]Budget original'!$A$2:$A$500,0),MATCH(F$2,'[6]Budget original'!$A$2:$AO$2,0))</f>
        <v>0</v>
      </c>
      <c r="AA493" s="501"/>
      <c r="AB493" s="501"/>
      <c r="AC493" s="752"/>
      <c r="AD493" s="501"/>
      <c r="AE493" s="504"/>
      <c r="AF493" s="752">
        <f>SUMIFS([6]BV_Data_An_Cour!$O:$O,[6]BV_Data_An_Cour!$V:$V,$V493)</f>
        <v>0</v>
      </c>
      <c r="AG493" s="501"/>
      <c r="AH493" s="754">
        <f t="shared" si="128"/>
        <v>0</v>
      </c>
      <c r="AI493" s="774">
        <f t="shared" si="129"/>
        <v>0</v>
      </c>
      <c r="AJ493" s="501"/>
      <c r="AK493" s="501"/>
      <c r="AL493" s="752">
        <f>SUMIFS([6]BV_Data_An_Prec!$O:$O,[6]BV_Data_An_Prec!$V:$V,$V493)</f>
        <v>0</v>
      </c>
      <c r="AM493" s="856"/>
      <c r="AN493" s="754">
        <f t="shared" si="130"/>
        <v>0</v>
      </c>
      <c r="AO493" s="761">
        <f t="shared" si="131"/>
        <v>0</v>
      </c>
      <c r="AP493" s="501"/>
      <c r="AQ493" s="501"/>
      <c r="AR493" s="501"/>
      <c r="AS493" s="501"/>
      <c r="AT493" s="501"/>
      <c r="AU493" s="501"/>
      <c r="AV493" s="501"/>
      <c r="AW493" s="501"/>
      <c r="AX493" s="501"/>
      <c r="AY493" s="501"/>
      <c r="AZ493" s="501"/>
      <c r="BA493" s="501"/>
      <c r="BB493" s="501"/>
      <c r="BC493" s="501"/>
      <c r="BD493" s="501"/>
      <c r="BE493" s="501"/>
      <c r="BF493" s="501"/>
      <c r="BG493" s="501"/>
      <c r="BH493" s="501"/>
      <c r="BI493" s="501"/>
      <c r="BJ493" s="501"/>
    </row>
    <row r="494" spans="1:62" ht="15.75" hidden="1" customHeight="1">
      <c r="A494" s="517" t="s">
        <v>20</v>
      </c>
      <c r="B494" s="498"/>
      <c r="C494" s="721" t="s">
        <v>465</v>
      </c>
      <c r="D494" s="501"/>
      <c r="E494" s="501"/>
      <c r="F494" s="644"/>
      <c r="G494" s="501"/>
      <c r="H494" s="501"/>
      <c r="I494" s="644"/>
      <c r="J494" s="501"/>
      <c r="K494" s="501"/>
      <c r="L494" s="501"/>
      <c r="M494" s="644"/>
      <c r="N494" s="501"/>
      <c r="O494" s="501"/>
      <c r="P494" s="501"/>
      <c r="Q494" s="644"/>
      <c r="R494" s="644"/>
      <c r="S494" s="644"/>
      <c r="T494" s="501"/>
      <c r="U494" s="501"/>
      <c r="V494" s="592" t="s">
        <v>20</v>
      </c>
      <c r="W494" s="504"/>
      <c r="X494" s="504"/>
      <c r="Y494" s="504"/>
      <c r="Z494" s="752">
        <f t="shared" ref="Z494:Z496" si="132">IFERROR(SUMIF($C:$C,$V494,F:F),0)</f>
        <v>0</v>
      </c>
      <c r="AA494" s="751"/>
      <c r="AB494" s="751"/>
      <c r="AC494" s="752"/>
      <c r="AD494" s="760"/>
      <c r="AE494" s="759"/>
      <c r="AF494" s="752">
        <f t="shared" ref="AF494:AF496" si="133">IFERROR(SUMIF($C:$C,$V494,L:L),0)</f>
        <v>0</v>
      </c>
      <c r="AG494" s="753"/>
      <c r="AH494" s="754">
        <f t="shared" si="128"/>
        <v>0</v>
      </c>
      <c r="AI494" s="755">
        <f t="shared" si="129"/>
        <v>0</v>
      </c>
      <c r="AJ494" s="760"/>
      <c r="AK494" s="751"/>
      <c r="AL494" s="752">
        <f t="shared" ref="AL494:AL496" si="134">IFERROR(SUMIF($C:$C,$V494,Q:Q),0)</f>
        <v>0</v>
      </c>
      <c r="AM494" s="856"/>
      <c r="AN494" s="754">
        <f t="shared" si="130"/>
        <v>0</v>
      </c>
      <c r="AO494" s="761">
        <f t="shared" si="131"/>
        <v>0</v>
      </c>
      <c r="AP494" s="501"/>
      <c r="AQ494" s="501"/>
      <c r="AR494" s="501"/>
      <c r="AS494" s="501"/>
      <c r="AT494" s="501"/>
      <c r="AU494" s="501"/>
      <c r="AV494" s="501"/>
      <c r="AW494" s="501"/>
      <c r="AX494" s="501"/>
      <c r="AY494" s="501"/>
      <c r="AZ494" s="501"/>
      <c r="BA494" s="501"/>
      <c r="BB494" s="501"/>
      <c r="BC494" s="501"/>
      <c r="BD494" s="501"/>
      <c r="BE494" s="501"/>
      <c r="BF494" s="501"/>
      <c r="BG494" s="501"/>
      <c r="BH494" s="501"/>
      <c r="BI494" s="501"/>
      <c r="BJ494" s="501"/>
    </row>
    <row r="495" spans="1:62" ht="15.75" hidden="1" customHeight="1">
      <c r="A495" s="517" t="s">
        <v>20</v>
      </c>
      <c r="B495" s="498"/>
      <c r="C495" s="721" t="s">
        <v>465</v>
      </c>
      <c r="D495" s="501"/>
      <c r="E495" s="501"/>
      <c r="F495" s="644"/>
      <c r="G495" s="501"/>
      <c r="H495" s="501"/>
      <c r="I495" s="644"/>
      <c r="J495" s="501"/>
      <c r="K495" s="501"/>
      <c r="L495" s="501"/>
      <c r="M495" s="644"/>
      <c r="N495" s="501"/>
      <c r="O495" s="501"/>
      <c r="P495" s="501"/>
      <c r="Q495" s="644"/>
      <c r="R495" s="644"/>
      <c r="S495" s="644"/>
      <c r="T495" s="501"/>
      <c r="U495" s="501"/>
      <c r="V495" s="592" t="s">
        <v>20</v>
      </c>
      <c r="W495" s="504"/>
      <c r="X495" s="504"/>
      <c r="Y495" s="504"/>
      <c r="Z495" s="752">
        <f t="shared" si="132"/>
        <v>0</v>
      </c>
      <c r="AA495" s="751"/>
      <c r="AB495" s="751"/>
      <c r="AC495" s="752"/>
      <c r="AD495" s="760"/>
      <c r="AE495" s="759"/>
      <c r="AF495" s="752">
        <f t="shared" si="133"/>
        <v>0</v>
      </c>
      <c r="AG495" s="753"/>
      <c r="AH495" s="754">
        <f t="shared" si="128"/>
        <v>0</v>
      </c>
      <c r="AI495" s="755">
        <f t="shared" si="129"/>
        <v>0</v>
      </c>
      <c r="AJ495" s="760"/>
      <c r="AK495" s="751"/>
      <c r="AL495" s="752">
        <f t="shared" si="134"/>
        <v>0</v>
      </c>
      <c r="AM495" s="856"/>
      <c r="AN495" s="754">
        <f t="shared" si="130"/>
        <v>0</v>
      </c>
      <c r="AO495" s="761">
        <f t="shared" si="131"/>
        <v>0</v>
      </c>
      <c r="AP495" s="501"/>
      <c r="AQ495" s="501"/>
      <c r="AR495" s="501"/>
      <c r="AS495" s="501"/>
      <c r="AT495" s="501"/>
      <c r="AU495" s="501"/>
      <c r="AV495" s="501"/>
      <c r="AW495" s="501"/>
      <c r="AX495" s="501"/>
      <c r="AY495" s="501"/>
      <c r="AZ495" s="501"/>
      <c r="BA495" s="501"/>
      <c r="BB495" s="501"/>
      <c r="BC495" s="501"/>
      <c r="BD495" s="501"/>
      <c r="BE495" s="501"/>
      <c r="BF495" s="501"/>
      <c r="BG495" s="501"/>
      <c r="BH495" s="501"/>
      <c r="BI495" s="501"/>
      <c r="BJ495" s="501"/>
    </row>
    <row r="496" spans="1:62" ht="15.75" hidden="1" customHeight="1">
      <c r="A496" s="517" t="s">
        <v>20</v>
      </c>
      <c r="B496" s="498"/>
      <c r="C496" s="721" t="s">
        <v>465</v>
      </c>
      <c r="D496" s="501"/>
      <c r="E496" s="501"/>
      <c r="F496" s="644"/>
      <c r="G496" s="501"/>
      <c r="H496" s="501"/>
      <c r="I496" s="644"/>
      <c r="J496" s="501"/>
      <c r="K496" s="501"/>
      <c r="L496" s="501"/>
      <c r="M496" s="644"/>
      <c r="N496" s="501"/>
      <c r="O496" s="501"/>
      <c r="P496" s="501"/>
      <c r="Q496" s="644"/>
      <c r="R496" s="644"/>
      <c r="S496" s="644"/>
      <c r="T496" s="501"/>
      <c r="U496" s="501"/>
      <c r="V496" s="592" t="s">
        <v>20</v>
      </c>
      <c r="W496" s="504"/>
      <c r="X496" s="501"/>
      <c r="Y496" s="504"/>
      <c r="Z496" s="752">
        <f t="shared" si="132"/>
        <v>0</v>
      </c>
      <c r="AA496" s="751"/>
      <c r="AB496" s="751"/>
      <c r="AC496" s="752"/>
      <c r="AD496" s="760"/>
      <c r="AE496" s="759"/>
      <c r="AF496" s="752">
        <f t="shared" si="133"/>
        <v>0</v>
      </c>
      <c r="AG496" s="753"/>
      <c r="AH496" s="754">
        <f t="shared" si="128"/>
        <v>0</v>
      </c>
      <c r="AI496" s="755">
        <f t="shared" si="129"/>
        <v>0</v>
      </c>
      <c r="AJ496" s="760"/>
      <c r="AK496" s="751"/>
      <c r="AL496" s="752">
        <f t="shared" si="134"/>
        <v>0</v>
      </c>
      <c r="AM496" s="856"/>
      <c r="AN496" s="754">
        <f t="shared" si="130"/>
        <v>0</v>
      </c>
      <c r="AO496" s="761">
        <f t="shared" si="131"/>
        <v>0</v>
      </c>
      <c r="AP496" s="501"/>
      <c r="AQ496" s="501"/>
      <c r="AR496" s="501"/>
      <c r="AS496" s="501"/>
      <c r="AT496" s="501"/>
      <c r="AU496" s="501"/>
      <c r="AV496" s="501"/>
      <c r="AW496" s="501"/>
      <c r="AX496" s="501"/>
      <c r="AY496" s="501"/>
      <c r="AZ496" s="501"/>
      <c r="BA496" s="501"/>
      <c r="BB496" s="501"/>
      <c r="BC496" s="501"/>
      <c r="BD496" s="501"/>
      <c r="BE496" s="501"/>
      <c r="BF496" s="501"/>
      <c r="BG496" s="501"/>
      <c r="BH496" s="501"/>
      <c r="BI496" s="501"/>
      <c r="BJ496" s="501"/>
    </row>
    <row r="497" spans="1:62" ht="15.75" customHeight="1" thickTop="1" thickBot="1">
      <c r="A497" s="517" t="s">
        <v>192</v>
      </c>
      <c r="B497" s="498"/>
      <c r="C497" s="721" t="s">
        <v>465</v>
      </c>
      <c r="D497" s="501"/>
      <c r="E497" s="501"/>
      <c r="F497" s="644"/>
      <c r="G497" s="501"/>
      <c r="H497" s="501"/>
      <c r="I497" s="644"/>
      <c r="J497" s="501"/>
      <c r="K497" s="501"/>
      <c r="L497" s="501"/>
      <c r="M497" s="644"/>
      <c r="N497" s="501"/>
      <c r="O497" s="501"/>
      <c r="P497" s="501"/>
      <c r="Q497" s="644"/>
      <c r="R497" s="644"/>
      <c r="S497" s="644"/>
      <c r="T497" s="501"/>
      <c r="U497" s="501"/>
      <c r="V497" s="831" t="s">
        <v>192</v>
      </c>
      <c r="W497" s="832"/>
      <c r="X497" s="833" t="s">
        <v>185</v>
      </c>
      <c r="Y497" s="834">
        <f>Z497/Z405</f>
        <v>4.207443989147084E-2</v>
      </c>
      <c r="Z497" s="835">
        <f>Z488-Z490-Z491-Z492-Z496</f>
        <v>199937.72105321911</v>
      </c>
      <c r="AA497" s="833"/>
      <c r="AB497" s="834"/>
      <c r="AC497" s="835"/>
      <c r="AD497" s="833" t="s">
        <v>185</v>
      </c>
      <c r="AE497" s="834">
        <f>AF497/AF405</f>
        <v>3.6516385398878977E-2</v>
      </c>
      <c r="AF497" s="836">
        <f>AF488-AF490-AF491-AF492-AF496</f>
        <v>201606.58000000028</v>
      </c>
      <c r="AG497" s="837"/>
      <c r="AH497" s="837">
        <f t="shared" si="128"/>
        <v>1668.8589467811689</v>
      </c>
      <c r="AI497" s="838">
        <f>AH497/Z497</f>
        <v>8.3468939127147226E-3</v>
      </c>
      <c r="AJ497" s="839" t="s">
        <v>185</v>
      </c>
      <c r="AK497" s="834">
        <f>IF($AL$405=0,0,AL497/$AL$405)</f>
        <v>4.769294567370088E-2</v>
      </c>
      <c r="AL497" s="836">
        <f>AL488-AL490-AL491-AL492-AL496</f>
        <v>263418.34000000014</v>
      </c>
      <c r="AM497" s="840"/>
      <c r="AN497" s="836">
        <f t="shared" si="130"/>
        <v>-61811.759999999864</v>
      </c>
      <c r="AO497" s="858">
        <f t="shared" si="131"/>
        <v>-0.23465245434315557</v>
      </c>
      <c r="AP497" s="501"/>
      <c r="AQ497" s="501"/>
      <c r="AR497" s="501"/>
      <c r="AS497" s="501"/>
      <c r="AT497" s="501"/>
      <c r="AU497" s="501"/>
      <c r="AV497" s="501"/>
      <c r="AW497" s="501"/>
      <c r="AX497" s="501"/>
      <c r="AY497" s="501"/>
      <c r="AZ497" s="501"/>
      <c r="BA497" s="501"/>
      <c r="BB497" s="501"/>
      <c r="BC497" s="501"/>
      <c r="BD497" s="501"/>
      <c r="BE497" s="501"/>
      <c r="BF497" s="501"/>
      <c r="BG497" s="501"/>
      <c r="BH497" s="501"/>
      <c r="BI497" s="501"/>
      <c r="BJ497" s="501"/>
    </row>
    <row r="498" spans="1:62" ht="15.75" customHeight="1" thickTop="1">
      <c r="A498" s="517" t="s">
        <v>466</v>
      </c>
      <c r="B498" s="498"/>
      <c r="C498" s="501"/>
      <c r="D498" s="501"/>
      <c r="E498" s="501"/>
      <c r="F498" s="644"/>
      <c r="G498" s="501"/>
      <c r="H498" s="501"/>
      <c r="I498" s="644"/>
      <c r="J498" s="501"/>
      <c r="K498" s="501"/>
      <c r="L498" s="501"/>
      <c r="M498" s="644"/>
      <c r="N498" s="501"/>
      <c r="O498" s="501"/>
      <c r="P498" s="501"/>
      <c r="Q498" s="644"/>
      <c r="R498" s="644"/>
      <c r="S498" s="644"/>
      <c r="T498" s="501"/>
      <c r="U498" s="501"/>
      <c r="V498" s="501"/>
      <c r="W498" s="501"/>
      <c r="X498" s="501"/>
      <c r="Y498" s="501"/>
      <c r="Z498" s="501"/>
      <c r="AA498" s="501"/>
      <c r="AB498" s="501"/>
      <c r="AC498" s="501"/>
      <c r="AD498" s="501"/>
      <c r="AE498" s="859"/>
      <c r="AF498" s="860"/>
      <c r="AG498" s="501"/>
      <c r="AH498" s="501"/>
      <c r="AI498" s="501"/>
      <c r="AJ498" s="501"/>
      <c r="AK498" s="501"/>
      <c r="AL498" s="501"/>
      <c r="AM498" s="501"/>
      <c r="AN498" s="501"/>
      <c r="AO498" s="501"/>
      <c r="AP498" s="501"/>
      <c r="AQ498" s="501"/>
      <c r="AR498" s="501"/>
      <c r="AS498" s="501"/>
      <c r="AT498" s="501"/>
      <c r="AU498" s="501"/>
      <c r="AV498" s="501"/>
      <c r="AW498" s="501"/>
      <c r="AX498" s="501"/>
      <c r="AY498" s="501"/>
      <c r="AZ498" s="501"/>
      <c r="BA498" s="501"/>
      <c r="BB498" s="501"/>
      <c r="BC498" s="501"/>
      <c r="BD498" s="501"/>
      <c r="BE498" s="501"/>
      <c r="BF498" s="501"/>
      <c r="BG498" s="501"/>
      <c r="BH498" s="501"/>
      <c r="BI498" s="501"/>
      <c r="BJ498" s="501"/>
    </row>
    <row r="499" spans="1:62" ht="15.75" customHeight="1">
      <c r="B499" s="498"/>
      <c r="T499" s="501"/>
      <c r="U499" s="501"/>
      <c r="V499" s="501"/>
      <c r="W499" s="501"/>
      <c r="X499" s="501"/>
      <c r="Y499" s="501"/>
      <c r="Z499" s="644"/>
      <c r="AA499" s="501"/>
      <c r="AB499" s="501"/>
      <c r="AC499" s="644"/>
      <c r="AE499" s="501" t="s">
        <v>478</v>
      </c>
      <c r="AF499" s="861">
        <v>165818</v>
      </c>
      <c r="AG499" s="501"/>
      <c r="AH499" s="501"/>
      <c r="AI499" s="501"/>
      <c r="AJ499" s="862" t="s">
        <v>479</v>
      </c>
      <c r="AK499" s="863">
        <v>3.9E-2</v>
      </c>
      <c r="AL499" s="864">
        <v>148007.13</v>
      </c>
      <c r="AM499" s="501"/>
      <c r="AN499" s="501"/>
      <c r="AO499" s="501"/>
      <c r="AP499" s="501"/>
      <c r="AQ499" s="501"/>
      <c r="AR499" s="501"/>
      <c r="AS499" s="501"/>
      <c r="AT499" s="501"/>
      <c r="AU499" s="501"/>
      <c r="AV499" s="501"/>
      <c r="AW499" s="501"/>
      <c r="AX499" s="501"/>
      <c r="AY499" s="501"/>
      <c r="AZ499" s="501"/>
      <c r="BA499" s="501"/>
      <c r="BB499" s="501"/>
      <c r="BC499" s="501"/>
      <c r="BD499" s="501"/>
      <c r="BE499" s="501"/>
      <c r="BF499" s="501"/>
      <c r="BG499" s="501"/>
      <c r="BH499" s="501"/>
      <c r="BI499" s="501"/>
      <c r="BJ499" s="501"/>
    </row>
    <row r="500" spans="1:62" ht="15.75" customHeight="1">
      <c r="B500" s="498"/>
      <c r="C500" s="501"/>
      <c r="S500" s="644"/>
      <c r="W500" s="501"/>
      <c r="X500" s="501"/>
      <c r="Y500" s="501"/>
      <c r="Z500" s="644"/>
      <c r="AA500" s="501"/>
      <c r="AB500" s="501"/>
      <c r="AC500" s="644"/>
      <c r="AD500" s="501"/>
      <c r="AE500" s="501"/>
      <c r="AF500" s="865"/>
      <c r="AG500" s="501"/>
      <c r="AH500" s="501"/>
      <c r="AI500" s="501"/>
      <c r="AJ500" s="501"/>
      <c r="AL500" s="864">
        <f>AL497-AL499</f>
        <v>115411.21000000014</v>
      </c>
      <c r="AM500" s="501"/>
      <c r="AN500" s="501"/>
      <c r="AO500" s="501"/>
      <c r="AP500" s="501"/>
      <c r="AQ500" s="501"/>
      <c r="AR500" s="501"/>
      <c r="AS500" s="501"/>
      <c r="AT500" s="501"/>
      <c r="AU500" s="501"/>
      <c r="AV500" s="501"/>
      <c r="AW500" s="501"/>
      <c r="AX500" s="501"/>
      <c r="AY500" s="501"/>
      <c r="AZ500" s="501"/>
      <c r="BA500" s="501"/>
      <c r="BB500" s="501"/>
      <c r="BC500" s="501"/>
      <c r="BD500" s="501"/>
      <c r="BE500" s="501"/>
      <c r="BF500" s="501"/>
      <c r="BG500" s="501"/>
      <c r="BH500" s="501"/>
      <c r="BI500" s="501"/>
      <c r="BJ500" s="501"/>
    </row>
    <row r="501" spans="1:62" ht="15.75" customHeight="1">
      <c r="B501" s="498"/>
      <c r="C501" s="751"/>
      <c r="W501" s="501"/>
      <c r="X501" s="501"/>
      <c r="Y501" s="501"/>
      <c r="AE501" s="501"/>
      <c r="AF501" s="865"/>
      <c r="AM501" s="501"/>
      <c r="AN501" s="501"/>
      <c r="AO501" s="501"/>
      <c r="AP501" s="501"/>
      <c r="AQ501" s="501"/>
      <c r="AR501" s="501"/>
      <c r="AS501" s="501"/>
      <c r="AT501" s="501"/>
      <c r="AU501" s="501"/>
      <c r="AV501" s="501"/>
      <c r="AW501" s="501"/>
      <c r="AX501" s="501"/>
      <c r="AY501" s="501"/>
      <c r="AZ501" s="501"/>
      <c r="BA501" s="501"/>
      <c r="BB501" s="501"/>
      <c r="BC501" s="501"/>
      <c r="BD501" s="501"/>
      <c r="BE501" s="501"/>
      <c r="BF501" s="501"/>
      <c r="BG501" s="501"/>
      <c r="BH501" s="501"/>
      <c r="BI501" s="501"/>
      <c r="BJ501" s="501"/>
    </row>
    <row r="502" spans="1:62" ht="15.75" customHeight="1">
      <c r="B502" s="498"/>
      <c r="C502" s="751"/>
      <c r="W502" s="501"/>
      <c r="X502" s="501"/>
      <c r="Y502" s="501"/>
      <c r="Z502" s="501"/>
      <c r="AA502" s="501"/>
      <c r="AB502" s="501"/>
      <c r="AC502" s="501"/>
      <c r="AD502" s="501"/>
      <c r="AE502" s="501"/>
      <c r="AF502" s="865"/>
      <c r="AG502" s="501"/>
      <c r="AH502" s="501"/>
      <c r="AI502" s="501"/>
      <c r="AJ502" s="866" t="s">
        <v>480</v>
      </c>
      <c r="AK502" s="863">
        <v>4.2000000000000003E-2</v>
      </c>
      <c r="AL502" s="864">
        <v>227808.43999999983</v>
      </c>
      <c r="AM502" s="501"/>
      <c r="AN502" s="501"/>
      <c r="AO502" s="501"/>
      <c r="AP502" s="501"/>
      <c r="AQ502" s="501"/>
      <c r="AR502" s="501"/>
      <c r="AS502" s="501"/>
      <c r="AT502" s="501"/>
      <c r="AU502" s="501"/>
      <c r="AV502" s="501"/>
      <c r="AW502" s="501"/>
      <c r="AX502" s="501"/>
      <c r="AY502" s="501"/>
      <c r="AZ502" s="501"/>
      <c r="BA502" s="501"/>
      <c r="BB502" s="501"/>
      <c r="BC502" s="501"/>
      <c r="BD502" s="501"/>
      <c r="BE502" s="501"/>
      <c r="BF502" s="501"/>
      <c r="BG502" s="501"/>
      <c r="BH502" s="501"/>
      <c r="BI502" s="501"/>
      <c r="BJ502" s="501"/>
    </row>
    <row r="503" spans="1:62" ht="15.75" customHeight="1">
      <c r="B503" s="498"/>
      <c r="C503" s="751"/>
      <c r="W503" s="501"/>
      <c r="X503" s="501"/>
      <c r="Y503" s="501"/>
      <c r="Z503" s="501"/>
      <c r="AA503" s="501"/>
      <c r="AB503" s="501"/>
      <c r="AC503" s="501"/>
      <c r="AD503" s="501"/>
      <c r="AE503" s="501"/>
      <c r="AF503" s="865"/>
      <c r="AG503" s="501"/>
      <c r="AH503" s="501"/>
      <c r="AI503" s="501"/>
      <c r="AJ503" s="501"/>
      <c r="AK503" s="501"/>
      <c r="AL503" s="501"/>
      <c r="AM503" s="501"/>
      <c r="AN503" s="501"/>
      <c r="AO503" s="501"/>
      <c r="AP503" s="501"/>
      <c r="AQ503" s="501"/>
      <c r="AR503" s="501"/>
      <c r="AS503" s="501"/>
      <c r="AT503" s="501"/>
      <c r="AU503" s="501"/>
      <c r="AV503" s="501"/>
      <c r="AW503" s="501"/>
      <c r="AX503" s="501"/>
      <c r="AY503" s="501"/>
      <c r="AZ503" s="501"/>
      <c r="BA503" s="501"/>
      <c r="BB503" s="501"/>
      <c r="BC503" s="501"/>
      <c r="BD503" s="501"/>
      <c r="BE503" s="501"/>
      <c r="BF503" s="501"/>
      <c r="BG503" s="501"/>
      <c r="BH503" s="501"/>
      <c r="BI503" s="501"/>
      <c r="BJ503" s="501"/>
    </row>
    <row r="504" spans="1:62" ht="15.75" customHeight="1">
      <c r="B504" s="498"/>
      <c r="C504" s="751"/>
      <c r="W504" s="501"/>
      <c r="X504" s="501"/>
      <c r="Y504" s="501"/>
      <c r="Z504" s="501"/>
      <c r="AA504" s="501"/>
      <c r="AB504" s="501"/>
      <c r="AC504" s="501"/>
      <c r="AD504" s="501"/>
      <c r="AE504" s="501"/>
      <c r="AF504" s="501"/>
      <c r="AG504" s="501"/>
      <c r="AH504" s="501"/>
      <c r="AI504" s="501"/>
      <c r="AJ504" s="501"/>
      <c r="AK504" s="501"/>
      <c r="AL504" s="501"/>
      <c r="AM504" s="501"/>
      <c r="AN504" s="501"/>
      <c r="AO504" s="501"/>
      <c r="AP504" s="501"/>
      <c r="AQ504" s="501"/>
      <c r="AR504" s="501"/>
      <c r="AS504" s="501"/>
      <c r="AT504" s="501"/>
      <c r="AU504" s="501"/>
      <c r="AV504" s="501"/>
      <c r="AW504" s="501"/>
      <c r="AX504" s="501"/>
      <c r="AY504" s="501"/>
      <c r="AZ504" s="501"/>
      <c r="BA504" s="501"/>
      <c r="BB504" s="501"/>
      <c r="BC504" s="501"/>
      <c r="BD504" s="501"/>
      <c r="BE504" s="501"/>
      <c r="BF504" s="501"/>
      <c r="BG504" s="501"/>
      <c r="BH504" s="501"/>
      <c r="BI504" s="501"/>
      <c r="BJ504" s="501"/>
    </row>
    <row r="505" spans="1:62" ht="15.75" customHeight="1">
      <c r="B505" s="498"/>
      <c r="C505" s="751"/>
      <c r="W505" s="501"/>
      <c r="X505" s="501"/>
      <c r="Y505" s="501"/>
      <c r="Z505" s="501"/>
      <c r="AA505" s="501"/>
      <c r="AB505" s="501"/>
      <c r="AC505" s="501"/>
      <c r="AD505" s="501"/>
      <c r="AE505" s="501"/>
      <c r="AF505" s="867"/>
      <c r="AG505" s="501"/>
      <c r="AH505" s="501"/>
      <c r="AI505" s="501"/>
      <c r="AJ505" s="501"/>
      <c r="AK505" s="501"/>
      <c r="AL505" s="501"/>
      <c r="AM505" s="501"/>
      <c r="AN505" s="501"/>
      <c r="AO505" s="501"/>
      <c r="AP505" s="501"/>
      <c r="AQ505" s="501"/>
      <c r="AR505" s="501"/>
      <c r="AS505" s="501"/>
      <c r="AT505" s="501"/>
      <c r="AU505" s="501"/>
      <c r="AV505" s="501"/>
      <c r="AW505" s="501"/>
      <c r="AX505" s="501"/>
      <c r="AY505" s="501"/>
      <c r="AZ505" s="501"/>
      <c r="BA505" s="501"/>
      <c r="BB505" s="501"/>
      <c r="BC505" s="501"/>
      <c r="BD505" s="501"/>
      <c r="BE505" s="501"/>
      <c r="BF505" s="501"/>
      <c r="BG505" s="501"/>
      <c r="BH505" s="501"/>
      <c r="BI505" s="501"/>
      <c r="BJ505" s="501"/>
    </row>
    <row r="506" spans="1:62" ht="15.75" customHeight="1">
      <c r="B506" s="498"/>
      <c r="C506" s="751"/>
      <c r="W506" s="501"/>
      <c r="X506" s="501"/>
      <c r="Y506" s="501"/>
      <c r="Z506" s="501"/>
      <c r="AA506" s="501"/>
      <c r="AB506" s="501"/>
      <c r="AC506" s="501"/>
      <c r="AD506" s="501"/>
      <c r="AE506" s="501"/>
      <c r="AF506" s="644"/>
      <c r="AG506" s="501"/>
      <c r="AH506" s="501"/>
      <c r="AI506" s="501"/>
      <c r="AJ506" s="501"/>
      <c r="AK506" s="501"/>
      <c r="AL506" s="501"/>
      <c r="AM506" s="501"/>
      <c r="AN506" s="501"/>
      <c r="AO506" s="501"/>
      <c r="AP506" s="501"/>
      <c r="AQ506" s="501"/>
      <c r="AR506" s="501"/>
      <c r="AS506" s="501"/>
      <c r="AT506" s="501"/>
      <c r="AU506" s="501"/>
      <c r="AV506" s="501"/>
      <c r="AW506" s="501"/>
      <c r="AX506" s="501"/>
      <c r="AY506" s="501"/>
      <c r="AZ506" s="501"/>
      <c r="BA506" s="501"/>
      <c r="BB506" s="501"/>
      <c r="BC506" s="501"/>
      <c r="BD506" s="501"/>
      <c r="BE506" s="501"/>
      <c r="BF506" s="501"/>
      <c r="BG506" s="501"/>
      <c r="BH506" s="501"/>
      <c r="BI506" s="501"/>
      <c r="BJ506" s="501"/>
    </row>
    <row r="507" spans="1:62" ht="15.75" customHeight="1">
      <c r="B507" s="498"/>
      <c r="C507" s="751"/>
      <c r="W507" s="501"/>
      <c r="X507" s="501"/>
      <c r="Y507" s="501"/>
      <c r="Z507" s="501"/>
      <c r="AA507" s="501"/>
      <c r="AB507" s="501"/>
      <c r="AC507" s="501"/>
      <c r="AD507" s="501"/>
      <c r="AE507" s="501"/>
      <c r="AF507" s="644"/>
      <c r="AG507" s="501"/>
      <c r="AH507" s="501"/>
      <c r="AI507" s="501"/>
      <c r="AJ507" s="501"/>
      <c r="AK507" s="501"/>
      <c r="AL507" s="501"/>
      <c r="AM507" s="501"/>
      <c r="AN507" s="501"/>
      <c r="AO507" s="501"/>
      <c r="AP507" s="501"/>
      <c r="AQ507" s="501"/>
      <c r="AR507" s="501"/>
      <c r="AS507" s="501"/>
      <c r="AT507" s="501"/>
      <c r="AU507" s="501"/>
      <c r="AV507" s="501"/>
      <c r="AW507" s="501"/>
      <c r="AX507" s="501"/>
      <c r="AY507" s="501"/>
      <c r="AZ507" s="501"/>
      <c r="BA507" s="501"/>
      <c r="BB507" s="501"/>
      <c r="BC507" s="501"/>
      <c r="BD507" s="501"/>
      <c r="BE507" s="501"/>
      <c r="BF507" s="501"/>
      <c r="BG507" s="501"/>
      <c r="BH507" s="501"/>
      <c r="BI507" s="501"/>
      <c r="BJ507" s="501"/>
    </row>
    <row r="508" spans="1:62" ht="15.75" customHeight="1">
      <c r="B508" s="498"/>
      <c r="C508" s="751"/>
      <c r="W508" s="501"/>
      <c r="X508" s="501"/>
      <c r="Y508" s="501"/>
      <c r="Z508" s="501"/>
      <c r="AA508" s="501"/>
      <c r="AB508" s="501"/>
      <c r="AC508" s="501"/>
      <c r="AD508" s="501"/>
      <c r="AE508" s="501"/>
      <c r="AF508" s="501"/>
      <c r="AG508" s="501"/>
      <c r="AH508" s="501"/>
      <c r="AI508" s="501"/>
      <c r="AJ508" s="501"/>
      <c r="AK508" s="501"/>
      <c r="AL508" s="501"/>
      <c r="AM508" s="501"/>
      <c r="AN508" s="501"/>
      <c r="AO508" s="501"/>
      <c r="AP508" s="501"/>
      <c r="AQ508" s="501"/>
      <c r="AR508" s="501"/>
      <c r="AS508" s="501"/>
      <c r="AT508" s="501"/>
      <c r="AU508" s="501"/>
      <c r="AV508" s="501"/>
      <c r="AW508" s="501"/>
      <c r="AX508" s="501"/>
      <c r="AY508" s="501"/>
      <c r="AZ508" s="501"/>
      <c r="BA508" s="501"/>
      <c r="BB508" s="501"/>
      <c r="BC508" s="501"/>
      <c r="BD508" s="501"/>
      <c r="BE508" s="501"/>
      <c r="BF508" s="501"/>
      <c r="BG508" s="501"/>
      <c r="BH508" s="501"/>
      <c r="BI508" s="501"/>
      <c r="BJ508" s="501"/>
    </row>
    <row r="509" spans="1:62" ht="15.75" customHeight="1">
      <c r="B509" s="498"/>
      <c r="C509" s="751"/>
      <c r="W509" s="796"/>
      <c r="X509" s="796"/>
      <c r="Y509" s="501"/>
      <c r="Z509" s="501"/>
      <c r="AA509" s="501"/>
      <c r="AB509" s="501"/>
      <c r="AC509" s="501"/>
      <c r="AD509" s="501"/>
      <c r="AE509" s="501"/>
      <c r="AF509" s="501"/>
      <c r="AG509" s="501"/>
      <c r="AH509" s="501"/>
      <c r="AI509" s="501"/>
      <c r="AJ509" s="501"/>
      <c r="AK509" s="501"/>
      <c r="AL509" s="501"/>
      <c r="AM509" s="501"/>
      <c r="AN509" s="501"/>
      <c r="AO509" s="501"/>
      <c r="AP509" s="501"/>
      <c r="AQ509" s="501"/>
      <c r="AR509" s="501"/>
      <c r="AS509" s="501"/>
      <c r="AT509" s="501"/>
      <c r="AU509" s="501"/>
      <c r="AV509" s="501"/>
      <c r="AW509" s="501"/>
      <c r="AX509" s="501"/>
      <c r="AY509" s="501"/>
      <c r="AZ509" s="501"/>
      <c r="BA509" s="501"/>
      <c r="BB509" s="501"/>
      <c r="BC509" s="501"/>
      <c r="BD509" s="501"/>
      <c r="BE509" s="501"/>
      <c r="BF509" s="501"/>
      <c r="BG509" s="501"/>
      <c r="BH509" s="501"/>
      <c r="BI509" s="501"/>
      <c r="BJ509" s="501"/>
    </row>
    <row r="510" spans="1:62" ht="15.75" customHeight="1">
      <c r="B510" s="498"/>
      <c r="C510" s="751"/>
      <c r="W510" s="796"/>
      <c r="X510" s="796"/>
      <c r="Y510" s="501"/>
      <c r="Z510" s="501"/>
      <c r="AA510" s="501"/>
      <c r="AB510" s="501"/>
      <c r="AC510" s="501"/>
      <c r="AD510" s="501"/>
      <c r="AE510" s="501"/>
      <c r="AF510" s="501"/>
      <c r="AG510" s="501"/>
      <c r="AH510" s="501"/>
      <c r="AI510" s="501"/>
      <c r="AJ510" s="501"/>
      <c r="AK510" s="501"/>
      <c r="AL510" s="501"/>
      <c r="AM510" s="501"/>
      <c r="AN510" s="501"/>
      <c r="AO510" s="501"/>
      <c r="AP510" s="501"/>
      <c r="AQ510" s="501"/>
      <c r="AR510" s="501"/>
      <c r="AS510" s="501"/>
      <c r="AT510" s="501"/>
      <c r="AU510" s="501"/>
      <c r="AV510" s="501"/>
      <c r="AW510" s="501"/>
      <c r="AX510" s="501"/>
      <c r="AY510" s="501"/>
      <c r="AZ510" s="501"/>
      <c r="BA510" s="501"/>
      <c r="BB510" s="501"/>
      <c r="BC510" s="501"/>
      <c r="BD510" s="501"/>
      <c r="BE510" s="501"/>
      <c r="BF510" s="501"/>
      <c r="BG510" s="501"/>
      <c r="BH510" s="501"/>
      <c r="BI510" s="501"/>
      <c r="BJ510" s="501"/>
    </row>
    <row r="511" spans="1:62" ht="15.75" customHeight="1">
      <c r="B511" s="498"/>
      <c r="C511" s="751"/>
      <c r="W511" s="796"/>
      <c r="X511" s="796"/>
      <c r="Y511" s="501"/>
      <c r="Z511" s="501"/>
      <c r="AA511" s="501"/>
      <c r="AB511" s="501"/>
      <c r="AC511" s="501"/>
      <c r="AD511" s="501"/>
      <c r="AE511" s="501"/>
      <c r="AF511" s="501"/>
      <c r="AG511" s="501"/>
      <c r="AH511" s="501"/>
      <c r="AI511" s="501"/>
      <c r="AJ511" s="501"/>
      <c r="AK511" s="501"/>
      <c r="AL511" s="501"/>
      <c r="AM511" s="501"/>
      <c r="AN511" s="501"/>
      <c r="AO511" s="501"/>
      <c r="AP511" s="501"/>
      <c r="AQ511" s="501"/>
      <c r="AR511" s="501"/>
      <c r="AS511" s="501"/>
      <c r="AT511" s="501"/>
      <c r="AU511" s="501"/>
      <c r="AV511" s="501"/>
      <c r="AW511" s="501"/>
      <c r="AX511" s="501"/>
      <c r="AY511" s="501"/>
      <c r="AZ511" s="501"/>
      <c r="BA511" s="501"/>
      <c r="BB511" s="501"/>
      <c r="BC511" s="501"/>
      <c r="BD511" s="501"/>
      <c r="BE511" s="501"/>
      <c r="BF511" s="501"/>
      <c r="BG511" s="501"/>
      <c r="BH511" s="501"/>
      <c r="BI511" s="501"/>
      <c r="BJ511" s="501"/>
    </row>
    <row r="512" spans="1:62" ht="15.75" customHeight="1">
      <c r="B512" s="498"/>
      <c r="C512" s="751"/>
      <c r="W512" s="796"/>
      <c r="X512" s="796"/>
      <c r="Y512" s="501"/>
      <c r="Z512" s="501"/>
      <c r="AA512" s="501"/>
      <c r="AB512" s="501"/>
      <c r="AC512" s="501"/>
      <c r="AD512" s="501"/>
      <c r="AE512" s="501"/>
      <c r="AF512" s="501"/>
      <c r="AG512" s="501"/>
      <c r="AH512" s="501"/>
      <c r="AI512" s="501"/>
      <c r="AJ512" s="501"/>
      <c r="AK512" s="501"/>
      <c r="AL512" s="501"/>
      <c r="AM512" s="501"/>
      <c r="AN512" s="501"/>
      <c r="AO512" s="501"/>
      <c r="AP512" s="501"/>
      <c r="AQ512" s="501"/>
      <c r="AR512" s="501"/>
      <c r="AS512" s="501"/>
      <c r="AT512" s="501"/>
      <c r="AU512" s="501"/>
      <c r="AV512" s="501"/>
      <c r="AW512" s="501"/>
      <c r="AX512" s="501"/>
      <c r="AY512" s="501"/>
      <c r="AZ512" s="501"/>
      <c r="BA512" s="501"/>
      <c r="BB512" s="501"/>
      <c r="BC512" s="501"/>
      <c r="BD512" s="501"/>
      <c r="BE512" s="501"/>
      <c r="BF512" s="501"/>
      <c r="BG512" s="501"/>
      <c r="BH512" s="501"/>
      <c r="BI512" s="501"/>
      <c r="BJ512" s="501"/>
    </row>
    <row r="513" spans="2:62" ht="15.75" customHeight="1">
      <c r="B513" s="498"/>
      <c r="C513" s="751"/>
      <c r="W513" s="796"/>
      <c r="X513" s="796"/>
      <c r="Y513" s="501"/>
      <c r="Z513" s="501"/>
      <c r="AA513" s="501"/>
      <c r="AB513" s="501"/>
      <c r="AC513" s="501"/>
      <c r="AD513" s="501"/>
      <c r="AE513" s="501"/>
      <c r="AF513" s="501"/>
      <c r="AG513" s="501"/>
      <c r="AH513" s="501"/>
      <c r="AI513" s="501"/>
      <c r="AJ513" s="501"/>
      <c r="AK513" s="501"/>
      <c r="AL513" s="501"/>
      <c r="AM513" s="501"/>
      <c r="AN513" s="501"/>
      <c r="AO513" s="501"/>
      <c r="AP513" s="501"/>
      <c r="AQ513" s="501"/>
      <c r="AR513" s="501"/>
      <c r="AS513" s="501"/>
      <c r="AT513" s="501"/>
      <c r="AU513" s="501"/>
      <c r="AV513" s="501"/>
      <c r="AW513" s="501"/>
      <c r="AX513" s="501"/>
      <c r="AY513" s="501"/>
      <c r="AZ513" s="501"/>
      <c r="BA513" s="501"/>
      <c r="BB513" s="501"/>
      <c r="BC513" s="501"/>
      <c r="BD513" s="501"/>
      <c r="BE513" s="501"/>
      <c r="BF513" s="501"/>
      <c r="BG513" s="501"/>
      <c r="BH513" s="501"/>
      <c r="BI513" s="501"/>
      <c r="BJ513" s="501"/>
    </row>
    <row r="514" spans="2:62" ht="15.75" customHeight="1">
      <c r="B514" s="498"/>
      <c r="C514" s="751"/>
      <c r="W514" s="796"/>
      <c r="X514" s="796"/>
      <c r="Y514" s="501"/>
      <c r="Z514" s="501"/>
      <c r="AA514" s="501"/>
      <c r="AB514" s="501"/>
      <c r="AC514" s="501"/>
      <c r="AD514" s="501"/>
      <c r="AE514" s="501"/>
      <c r="AF514" s="501"/>
      <c r="AG514" s="501"/>
      <c r="AH514" s="501"/>
      <c r="AI514" s="501"/>
      <c r="AJ514" s="501"/>
      <c r="AK514" s="501"/>
      <c r="AL514" s="501"/>
      <c r="AM514" s="501"/>
      <c r="AN514" s="501"/>
      <c r="AO514" s="501"/>
      <c r="AP514" s="501"/>
      <c r="AQ514" s="501"/>
      <c r="AR514" s="501"/>
      <c r="AS514" s="501"/>
      <c r="AT514" s="501"/>
      <c r="AU514" s="501"/>
      <c r="AV514" s="501"/>
      <c r="AW514" s="501"/>
      <c r="AX514" s="501"/>
      <c r="AY514" s="501"/>
      <c r="AZ514" s="501"/>
      <c r="BA514" s="501"/>
      <c r="BB514" s="501"/>
      <c r="BC514" s="501"/>
      <c r="BD514" s="501"/>
      <c r="BE514" s="501"/>
      <c r="BF514" s="501"/>
      <c r="BG514" s="501"/>
      <c r="BH514" s="501"/>
      <c r="BI514" s="501"/>
      <c r="BJ514" s="501"/>
    </row>
    <row r="515" spans="2:62" ht="15.75" customHeight="1">
      <c r="B515" s="498"/>
      <c r="W515" s="796"/>
      <c r="X515" s="796"/>
      <c r="Y515" s="501"/>
      <c r="Z515" s="501"/>
      <c r="AA515" s="501"/>
      <c r="AB515" s="501"/>
      <c r="AC515" s="501"/>
      <c r="AD515" s="501"/>
      <c r="AE515" s="501"/>
      <c r="AF515" s="501"/>
      <c r="AG515" s="501"/>
      <c r="AH515" s="501"/>
      <c r="AI515" s="501"/>
      <c r="AJ515" s="501"/>
      <c r="AK515" s="501"/>
      <c r="AL515" s="501"/>
      <c r="AM515" s="501"/>
      <c r="AN515" s="501"/>
      <c r="AO515" s="501"/>
      <c r="AP515" s="501"/>
      <c r="AQ515" s="501"/>
      <c r="AR515" s="501"/>
      <c r="AS515" s="501"/>
      <c r="AT515" s="501"/>
      <c r="AU515" s="501"/>
      <c r="AV515" s="501"/>
      <c r="AW515" s="501"/>
      <c r="AX515" s="501"/>
      <c r="AY515" s="501"/>
      <c r="AZ515" s="501"/>
      <c r="BA515" s="501"/>
      <c r="BB515" s="501"/>
      <c r="BC515" s="501"/>
      <c r="BD515" s="501"/>
      <c r="BE515" s="501"/>
      <c r="BF515" s="501"/>
      <c r="BG515" s="501"/>
      <c r="BH515" s="501"/>
      <c r="BI515" s="501"/>
      <c r="BJ515" s="501"/>
    </row>
    <row r="516" spans="2:62" ht="15.75" customHeight="1">
      <c r="B516" s="498"/>
      <c r="W516" s="796"/>
      <c r="X516" s="796"/>
      <c r="Y516" s="501"/>
      <c r="Z516" s="501"/>
      <c r="AA516" s="501"/>
      <c r="AB516" s="501"/>
      <c r="AC516" s="501"/>
      <c r="AD516" s="501"/>
      <c r="AE516" s="501"/>
      <c r="AF516" s="501"/>
      <c r="AG516" s="501"/>
      <c r="AH516" s="501"/>
      <c r="AI516" s="501"/>
      <c r="AJ516" s="501"/>
      <c r="AK516" s="501"/>
      <c r="AL516" s="501"/>
      <c r="AM516" s="501"/>
      <c r="AN516" s="501"/>
      <c r="AO516" s="501"/>
      <c r="AP516" s="501"/>
      <c r="AQ516" s="501"/>
      <c r="AR516" s="501"/>
      <c r="AS516" s="501"/>
      <c r="AT516" s="501"/>
      <c r="AU516" s="501"/>
      <c r="AV516" s="501"/>
      <c r="AW516" s="501"/>
      <c r="AX516" s="501"/>
      <c r="AY516" s="501"/>
      <c r="AZ516" s="501"/>
      <c r="BA516" s="501"/>
      <c r="BB516" s="501"/>
      <c r="BC516" s="501"/>
      <c r="BD516" s="501"/>
      <c r="BE516" s="501"/>
      <c r="BF516" s="501"/>
      <c r="BG516" s="501"/>
      <c r="BH516" s="501"/>
      <c r="BI516" s="501"/>
      <c r="BJ516" s="501"/>
    </row>
    <row r="517" spans="2:62" ht="15.75" customHeight="1">
      <c r="B517" s="498"/>
      <c r="W517" s="796"/>
      <c r="X517" s="796"/>
      <c r="Y517" s="501"/>
      <c r="Z517" s="501"/>
      <c r="AA517" s="501"/>
      <c r="AB517" s="501"/>
      <c r="AC517" s="501"/>
      <c r="AD517" s="501"/>
      <c r="AE517" s="501"/>
      <c r="AF517" s="501"/>
      <c r="AG517" s="501"/>
      <c r="AH517" s="501"/>
      <c r="AI517" s="501"/>
      <c r="AJ517" s="501"/>
      <c r="AK517" s="501"/>
      <c r="AL517" s="501"/>
      <c r="AM517" s="501"/>
      <c r="AN517" s="501"/>
      <c r="AO517" s="501"/>
      <c r="AP517" s="501"/>
      <c r="AQ517" s="501"/>
      <c r="AR517" s="501"/>
      <c r="AS517" s="501"/>
      <c r="AT517" s="501"/>
      <c r="AU517" s="501"/>
      <c r="AV517" s="501"/>
      <c r="AW517" s="501"/>
      <c r="AX517" s="501"/>
      <c r="AY517" s="501"/>
      <c r="AZ517" s="501"/>
      <c r="BA517" s="501"/>
      <c r="BB517" s="501"/>
      <c r="BC517" s="501"/>
      <c r="BD517" s="501"/>
      <c r="BE517" s="501"/>
      <c r="BF517" s="501"/>
      <c r="BG517" s="501"/>
      <c r="BH517" s="501"/>
      <c r="BI517" s="501"/>
      <c r="BJ517" s="501"/>
    </row>
    <row r="518" spans="2:62" ht="15.75" customHeight="1">
      <c r="B518" s="498"/>
      <c r="W518" s="796"/>
      <c r="X518" s="796"/>
      <c r="Y518" s="501"/>
      <c r="Z518" s="501"/>
      <c r="AA518" s="501"/>
      <c r="AB518" s="501"/>
      <c r="AC518" s="501"/>
      <c r="AD518" s="501"/>
      <c r="AE518" s="501"/>
      <c r="AF518" s="501"/>
      <c r="AG518" s="501"/>
      <c r="AH518" s="501"/>
      <c r="AI518" s="501"/>
      <c r="AJ518" s="501"/>
      <c r="AK518" s="501"/>
      <c r="AL518" s="501"/>
      <c r="AM518" s="501"/>
      <c r="AN518" s="501"/>
      <c r="AO518" s="501"/>
      <c r="AP518" s="501"/>
      <c r="AQ518" s="501"/>
      <c r="AR518" s="501"/>
      <c r="AS518" s="501"/>
      <c r="AT518" s="501"/>
      <c r="AU518" s="501"/>
      <c r="AV518" s="501"/>
      <c r="AW518" s="501"/>
      <c r="AX518" s="501"/>
      <c r="AY518" s="501"/>
      <c r="AZ518" s="501"/>
      <c r="BA518" s="501"/>
      <c r="BB518" s="501"/>
      <c r="BC518" s="501"/>
      <c r="BD518" s="501"/>
      <c r="BE518" s="501"/>
      <c r="BF518" s="501"/>
      <c r="BG518" s="501"/>
      <c r="BH518" s="501"/>
      <c r="BI518" s="501"/>
      <c r="BJ518" s="501"/>
    </row>
    <row r="519" spans="2:62" ht="15.75" customHeight="1">
      <c r="B519" s="498"/>
      <c r="W519" s="796"/>
      <c r="X519" s="796"/>
      <c r="Y519" s="501"/>
      <c r="Z519" s="501"/>
      <c r="AA519" s="501"/>
      <c r="AB519" s="501"/>
      <c r="AC519" s="501"/>
      <c r="AD519" s="501"/>
      <c r="AE519" s="501"/>
      <c r="AF519" s="501"/>
      <c r="AG519" s="501"/>
      <c r="AH519" s="501"/>
      <c r="AI519" s="501"/>
      <c r="AJ519" s="501"/>
      <c r="AK519" s="501"/>
      <c r="AL519" s="501"/>
      <c r="AM519" s="501"/>
      <c r="AN519" s="501"/>
      <c r="AO519" s="501"/>
      <c r="AP519" s="501"/>
      <c r="AQ519" s="501"/>
      <c r="AR519" s="501"/>
      <c r="AS519" s="501"/>
      <c r="AT519" s="501"/>
      <c r="AU519" s="501"/>
      <c r="AV519" s="501"/>
      <c r="AW519" s="501"/>
      <c r="AX519" s="501"/>
      <c r="AY519" s="501"/>
      <c r="AZ519" s="501"/>
      <c r="BA519" s="501"/>
      <c r="BB519" s="501"/>
      <c r="BC519" s="501"/>
      <c r="BD519" s="501"/>
      <c r="BE519" s="501"/>
      <c r="BF519" s="501"/>
      <c r="BG519" s="501"/>
      <c r="BH519" s="501"/>
      <c r="BI519" s="501"/>
      <c r="BJ519" s="501"/>
    </row>
    <row r="520" spans="2:62" ht="15.75" customHeight="1">
      <c r="B520" s="498"/>
      <c r="W520" s="796"/>
      <c r="X520" s="796"/>
      <c r="Y520" s="501"/>
      <c r="Z520" s="501"/>
      <c r="AA520" s="501"/>
      <c r="AB520" s="501"/>
      <c r="AC520" s="501"/>
      <c r="AD520" s="501"/>
      <c r="AE520" s="501"/>
      <c r="AF520" s="501"/>
      <c r="AG520" s="501"/>
      <c r="AH520" s="501"/>
      <c r="AI520" s="501"/>
      <c r="AJ520" s="501"/>
      <c r="AK520" s="501"/>
      <c r="AL520" s="501"/>
      <c r="AM520" s="501"/>
      <c r="AN520" s="501"/>
      <c r="AO520" s="501"/>
      <c r="AP520" s="501"/>
      <c r="AQ520" s="501"/>
      <c r="AR520" s="501"/>
      <c r="AS520" s="501"/>
      <c r="AT520" s="501"/>
      <c r="AU520" s="501"/>
      <c r="AV520" s="501"/>
      <c r="AW520" s="501"/>
      <c r="AX520" s="501"/>
      <c r="AY520" s="501"/>
      <c r="AZ520" s="501"/>
      <c r="BA520" s="501"/>
      <c r="BB520" s="501"/>
      <c r="BC520" s="501"/>
      <c r="BD520" s="501"/>
      <c r="BE520" s="501"/>
      <c r="BF520" s="501"/>
      <c r="BG520" s="501"/>
      <c r="BH520" s="501"/>
      <c r="BI520" s="501"/>
      <c r="BJ520" s="501"/>
    </row>
    <row r="521" spans="2:62" ht="15.75" customHeight="1">
      <c r="B521" s="498"/>
      <c r="W521" s="796"/>
      <c r="X521" s="796"/>
      <c r="Y521" s="501"/>
      <c r="Z521" s="501"/>
      <c r="AA521" s="501"/>
      <c r="AB521" s="501"/>
      <c r="AC521" s="501"/>
      <c r="AD521" s="501"/>
      <c r="AE521" s="501"/>
      <c r="AF521" s="501"/>
      <c r="AG521" s="501"/>
      <c r="AH521" s="501"/>
      <c r="AI521" s="501"/>
      <c r="AJ521" s="501"/>
      <c r="AK521" s="501"/>
      <c r="AL521" s="501"/>
      <c r="AM521" s="501"/>
      <c r="AN521" s="501"/>
      <c r="AO521" s="501"/>
      <c r="AP521" s="501"/>
      <c r="AQ521" s="501"/>
      <c r="AR521" s="501"/>
      <c r="AS521" s="501"/>
      <c r="AT521" s="501"/>
      <c r="AU521" s="501"/>
      <c r="AV521" s="501"/>
      <c r="AW521" s="501"/>
      <c r="AX521" s="501"/>
      <c r="AY521" s="501"/>
      <c r="AZ521" s="501"/>
      <c r="BA521" s="501"/>
      <c r="BB521" s="501"/>
      <c r="BC521" s="501"/>
      <c r="BD521" s="501"/>
      <c r="BE521" s="501"/>
      <c r="BF521" s="501"/>
      <c r="BG521" s="501"/>
      <c r="BH521" s="501"/>
      <c r="BI521" s="501"/>
      <c r="BJ521" s="501"/>
    </row>
    <row r="522" spans="2:62" ht="15.75" customHeight="1">
      <c r="B522" s="498"/>
      <c r="W522" s="796"/>
      <c r="X522" s="796"/>
      <c r="Y522" s="501"/>
      <c r="Z522" s="501"/>
      <c r="AA522" s="501"/>
      <c r="AB522" s="501"/>
      <c r="AC522" s="501"/>
      <c r="AD522" s="501"/>
      <c r="AE522" s="501"/>
      <c r="AF522" s="501"/>
      <c r="AG522" s="501"/>
      <c r="AH522" s="501"/>
      <c r="AI522" s="501"/>
      <c r="AJ522" s="501"/>
      <c r="AK522" s="501"/>
      <c r="AL522" s="501"/>
      <c r="AM522" s="501"/>
      <c r="AN522" s="501"/>
      <c r="AO522" s="501"/>
      <c r="AP522" s="501"/>
      <c r="AQ522" s="501"/>
      <c r="AR522" s="501"/>
      <c r="AS522" s="501"/>
      <c r="AT522" s="501"/>
      <c r="AU522" s="501"/>
      <c r="AV522" s="501"/>
      <c r="AW522" s="501"/>
      <c r="AX522" s="501"/>
      <c r="AY522" s="501"/>
      <c r="AZ522" s="501"/>
      <c r="BA522" s="501"/>
      <c r="BB522" s="501"/>
      <c r="BC522" s="501"/>
      <c r="BD522" s="501"/>
      <c r="BE522" s="501"/>
      <c r="BF522" s="501"/>
      <c r="BG522" s="501"/>
      <c r="BH522" s="501"/>
      <c r="BI522" s="501"/>
      <c r="BJ522" s="501"/>
    </row>
    <row r="523" spans="2:62" ht="15.75" customHeight="1">
      <c r="B523" s="498"/>
      <c r="W523" s="796"/>
      <c r="X523" s="796"/>
      <c r="Y523" s="501"/>
      <c r="Z523" s="501"/>
      <c r="AA523" s="501"/>
      <c r="AB523" s="501"/>
      <c r="AC523" s="501"/>
      <c r="AD523" s="501"/>
      <c r="AE523" s="501"/>
      <c r="AF523" s="501"/>
      <c r="AG523" s="501"/>
      <c r="AH523" s="501"/>
      <c r="AI523" s="501"/>
      <c r="AJ523" s="501"/>
      <c r="AK523" s="501"/>
      <c r="AL523" s="501"/>
      <c r="AM523" s="501"/>
      <c r="AN523" s="501"/>
      <c r="AO523" s="501"/>
      <c r="AP523" s="501"/>
      <c r="AQ523" s="501"/>
      <c r="AR523" s="501"/>
      <c r="AS523" s="501"/>
      <c r="AT523" s="501"/>
      <c r="AU523" s="501"/>
      <c r="AV523" s="501"/>
      <c r="AW523" s="501"/>
      <c r="AX523" s="501"/>
      <c r="AY523" s="501"/>
      <c r="AZ523" s="501"/>
      <c r="BA523" s="501"/>
      <c r="BB523" s="501"/>
      <c r="BC523" s="501"/>
      <c r="BD523" s="501"/>
      <c r="BE523" s="501"/>
      <c r="BF523" s="501"/>
      <c r="BG523" s="501"/>
      <c r="BH523" s="501"/>
      <c r="BI523" s="501"/>
      <c r="BJ523" s="501"/>
    </row>
    <row r="524" spans="2:62" ht="15.75" customHeight="1">
      <c r="B524" s="498"/>
      <c r="C524" s="751"/>
      <c r="W524" s="796"/>
      <c r="X524" s="796"/>
      <c r="Y524" s="501"/>
      <c r="Z524" s="501"/>
      <c r="AA524" s="501"/>
      <c r="AB524" s="501"/>
      <c r="AC524" s="501"/>
      <c r="AD524" s="501"/>
      <c r="AE524" s="501"/>
      <c r="AF524" s="501"/>
      <c r="AG524" s="501"/>
      <c r="AH524" s="501"/>
      <c r="AI524" s="501"/>
      <c r="AJ524" s="501"/>
      <c r="AK524" s="501"/>
      <c r="AL524" s="501"/>
      <c r="AM524" s="501"/>
      <c r="AN524" s="501"/>
      <c r="AO524" s="501"/>
      <c r="AP524" s="501"/>
      <c r="AQ524" s="501"/>
      <c r="AR524" s="501"/>
      <c r="AS524" s="501"/>
      <c r="AT524" s="501"/>
      <c r="AU524" s="501"/>
      <c r="AV524" s="501"/>
      <c r="AW524" s="501"/>
      <c r="AX524" s="501"/>
      <c r="AY524" s="501"/>
      <c r="AZ524" s="501"/>
      <c r="BA524" s="501"/>
      <c r="BB524" s="501"/>
      <c r="BC524" s="501"/>
      <c r="BD524" s="501"/>
      <c r="BE524" s="501"/>
      <c r="BF524" s="501"/>
      <c r="BG524" s="501"/>
      <c r="BH524" s="501"/>
      <c r="BI524" s="501"/>
      <c r="BJ524" s="501"/>
    </row>
    <row r="525" spans="2:62" ht="15.75" customHeight="1">
      <c r="B525" s="498"/>
      <c r="C525" s="751"/>
      <c r="W525" s="796"/>
      <c r="X525" s="796"/>
      <c r="Y525" s="501"/>
      <c r="Z525" s="501"/>
      <c r="AA525" s="501"/>
      <c r="AB525" s="501"/>
      <c r="AC525" s="501"/>
      <c r="AD525" s="501"/>
      <c r="AE525" s="501"/>
      <c r="AF525" s="501"/>
      <c r="AG525" s="501"/>
      <c r="AH525" s="501"/>
      <c r="AI525" s="501"/>
      <c r="AJ525" s="501"/>
      <c r="AK525" s="501"/>
      <c r="AL525" s="501"/>
      <c r="AM525" s="501"/>
      <c r="AN525" s="501"/>
      <c r="AO525" s="501"/>
      <c r="AP525" s="501"/>
      <c r="AQ525" s="501"/>
      <c r="AR525" s="501"/>
      <c r="AS525" s="501"/>
      <c r="AT525" s="501"/>
      <c r="AU525" s="501"/>
      <c r="AV525" s="501"/>
      <c r="AW525" s="501"/>
      <c r="AX525" s="501"/>
      <c r="AY525" s="501"/>
      <c r="AZ525" s="501"/>
      <c r="BA525" s="501"/>
      <c r="BB525" s="501"/>
      <c r="BC525" s="501"/>
      <c r="BD525" s="501"/>
      <c r="BE525" s="501"/>
      <c r="BF525" s="501"/>
      <c r="BG525" s="501"/>
      <c r="BH525" s="501"/>
      <c r="BI525" s="501"/>
      <c r="BJ525" s="501"/>
    </row>
    <row r="526" spans="2:62" ht="15.75" customHeight="1">
      <c r="B526" s="498"/>
      <c r="C526" s="751"/>
      <c r="W526" s="796"/>
      <c r="X526" s="796"/>
      <c r="Y526" s="501"/>
      <c r="Z526" s="501"/>
      <c r="AA526" s="501"/>
      <c r="AB526" s="501"/>
      <c r="AC526" s="501"/>
      <c r="AD526" s="501"/>
      <c r="AE526" s="501"/>
      <c r="AF526" s="501"/>
      <c r="AG526" s="501"/>
      <c r="AH526" s="501"/>
      <c r="AI526" s="501"/>
      <c r="AJ526" s="501"/>
      <c r="AK526" s="501"/>
      <c r="AL526" s="501"/>
      <c r="AM526" s="501"/>
      <c r="AN526" s="501"/>
      <c r="AO526" s="501"/>
      <c r="AP526" s="501"/>
      <c r="AQ526" s="501"/>
      <c r="AR526" s="501"/>
      <c r="AS526" s="501"/>
      <c r="AT526" s="501"/>
      <c r="AU526" s="501"/>
      <c r="AV526" s="501"/>
      <c r="AW526" s="501"/>
      <c r="AX526" s="501"/>
      <c r="AY526" s="501"/>
      <c r="AZ526" s="501"/>
      <c r="BA526" s="501"/>
      <c r="BB526" s="501"/>
      <c r="BC526" s="501"/>
      <c r="BD526" s="501"/>
      <c r="BE526" s="501"/>
      <c r="BF526" s="501"/>
      <c r="BG526" s="501"/>
      <c r="BH526" s="501"/>
      <c r="BI526" s="501"/>
      <c r="BJ526" s="501"/>
    </row>
    <row r="527" spans="2:62" ht="15.75" customHeight="1">
      <c r="B527" s="498"/>
      <c r="C527" s="751"/>
      <c r="W527" s="796"/>
      <c r="X527" s="796"/>
      <c r="Y527" s="501"/>
      <c r="Z527" s="501"/>
      <c r="AA527" s="501"/>
      <c r="AB527" s="501"/>
      <c r="AC527" s="501"/>
      <c r="AD527" s="501"/>
      <c r="AE527" s="501"/>
      <c r="AF527" s="501"/>
      <c r="AG527" s="501"/>
      <c r="AH527" s="501"/>
      <c r="AI527" s="501"/>
      <c r="AJ527" s="501"/>
      <c r="AK527" s="501"/>
      <c r="AL527" s="501"/>
      <c r="AM527" s="501"/>
      <c r="AN527" s="501"/>
      <c r="AO527" s="501"/>
      <c r="AP527" s="501"/>
      <c r="AQ527" s="501"/>
      <c r="AR527" s="501"/>
      <c r="AS527" s="501"/>
      <c r="AT527" s="501"/>
      <c r="AU527" s="501"/>
      <c r="AV527" s="501"/>
      <c r="AW527" s="501"/>
      <c r="AX527" s="501"/>
      <c r="AY527" s="501"/>
      <c r="AZ527" s="501"/>
      <c r="BA527" s="501"/>
      <c r="BB527" s="501"/>
      <c r="BC527" s="501"/>
      <c r="BD527" s="501"/>
      <c r="BE527" s="501"/>
      <c r="BF527" s="501"/>
      <c r="BG527" s="501"/>
      <c r="BH527" s="501"/>
      <c r="BI527" s="501"/>
      <c r="BJ527" s="501"/>
    </row>
    <row r="528" spans="2:62" ht="15.75" customHeight="1">
      <c r="B528" s="498"/>
      <c r="C528" s="751"/>
      <c r="W528" s="796"/>
      <c r="X528" s="796"/>
      <c r="Y528" s="501"/>
      <c r="Z528" s="501"/>
      <c r="AA528" s="501"/>
      <c r="AB528" s="501"/>
      <c r="AC528" s="501"/>
      <c r="AD528" s="501"/>
      <c r="AE528" s="501"/>
      <c r="AF528" s="501"/>
      <c r="AG528" s="501"/>
      <c r="AH528" s="501"/>
      <c r="AI528" s="501"/>
      <c r="AJ528" s="501"/>
      <c r="AK528" s="501"/>
      <c r="AL528" s="501"/>
      <c r="AM528" s="501"/>
      <c r="AN528" s="501"/>
      <c r="AO528" s="501"/>
      <c r="AP528" s="501"/>
      <c r="AQ528" s="501"/>
      <c r="AR528" s="501"/>
      <c r="AS528" s="501"/>
      <c r="AT528" s="501"/>
      <c r="AU528" s="501"/>
      <c r="AV528" s="501"/>
      <c r="AW528" s="501"/>
      <c r="AX528" s="501"/>
      <c r="AY528" s="501"/>
      <c r="AZ528" s="501"/>
      <c r="BA528" s="501"/>
      <c r="BB528" s="501"/>
      <c r="BC528" s="501"/>
      <c r="BD528" s="501"/>
      <c r="BE528" s="501"/>
      <c r="BF528" s="501"/>
      <c r="BG528" s="501"/>
      <c r="BH528" s="501"/>
      <c r="BI528" s="501"/>
      <c r="BJ528" s="501"/>
    </row>
    <row r="529" spans="2:62" ht="15.75" customHeight="1">
      <c r="B529" s="498"/>
      <c r="C529" s="751"/>
      <c r="W529" s="796"/>
      <c r="X529" s="796"/>
      <c r="Y529" s="501"/>
      <c r="Z529" s="501"/>
      <c r="AA529" s="501"/>
      <c r="AB529" s="501"/>
      <c r="AC529" s="501"/>
      <c r="AD529" s="501"/>
      <c r="AE529" s="501"/>
      <c r="AF529" s="501"/>
      <c r="AG529" s="501"/>
      <c r="AH529" s="501"/>
      <c r="AI529" s="501"/>
      <c r="AJ529" s="501"/>
      <c r="AK529" s="501"/>
      <c r="AL529" s="501"/>
      <c r="AM529" s="501"/>
      <c r="AN529" s="501"/>
      <c r="AO529" s="501"/>
      <c r="AP529" s="501"/>
      <c r="AQ529" s="501"/>
      <c r="AR529" s="501"/>
      <c r="AS529" s="501"/>
      <c r="AT529" s="501"/>
      <c r="AU529" s="501"/>
      <c r="AV529" s="501"/>
      <c r="AW529" s="501"/>
      <c r="AX529" s="501"/>
      <c r="AY529" s="501"/>
      <c r="AZ529" s="501"/>
      <c r="BA529" s="501"/>
      <c r="BB529" s="501"/>
      <c r="BC529" s="501"/>
      <c r="BD529" s="501"/>
      <c r="BE529" s="501"/>
      <c r="BF529" s="501"/>
      <c r="BG529" s="501"/>
      <c r="BH529" s="501"/>
      <c r="BI529" s="501"/>
      <c r="BJ529" s="501"/>
    </row>
    <row r="530" spans="2:62" ht="15.75" customHeight="1">
      <c r="B530" s="498"/>
      <c r="C530" s="751"/>
      <c r="W530" s="796"/>
      <c r="X530" s="796"/>
      <c r="Y530" s="501"/>
      <c r="Z530" s="501"/>
      <c r="AA530" s="501"/>
      <c r="AB530" s="501"/>
      <c r="AC530" s="501"/>
      <c r="AD530" s="501"/>
      <c r="AE530" s="501"/>
      <c r="AF530" s="501"/>
      <c r="AG530" s="501"/>
      <c r="AH530" s="501"/>
      <c r="AI530" s="501"/>
      <c r="AJ530" s="501"/>
      <c r="AK530" s="501"/>
      <c r="AL530" s="501"/>
      <c r="AM530" s="501"/>
      <c r="AN530" s="501"/>
      <c r="AO530" s="501"/>
      <c r="AP530" s="501"/>
      <c r="AQ530" s="501"/>
      <c r="AR530" s="501"/>
      <c r="AS530" s="501"/>
      <c r="AT530" s="501"/>
      <c r="AU530" s="501"/>
      <c r="AV530" s="501"/>
      <c r="AW530" s="501"/>
      <c r="AX530" s="501"/>
      <c r="AY530" s="501"/>
      <c r="AZ530" s="501"/>
      <c r="BA530" s="501"/>
      <c r="BB530" s="501"/>
      <c r="BC530" s="501"/>
      <c r="BD530" s="501"/>
      <c r="BE530" s="501"/>
      <c r="BF530" s="501"/>
      <c r="BG530" s="501"/>
      <c r="BH530" s="501"/>
      <c r="BI530" s="501"/>
      <c r="BJ530" s="501"/>
    </row>
    <row r="531" spans="2:62" ht="15.75" customHeight="1">
      <c r="B531" s="498"/>
      <c r="C531" s="751"/>
      <c r="W531" s="796"/>
      <c r="X531" s="796"/>
      <c r="Y531" s="501"/>
      <c r="Z531" s="501"/>
      <c r="AA531" s="501"/>
      <c r="AB531" s="501"/>
      <c r="AC531" s="501"/>
      <c r="AD531" s="501"/>
      <c r="AE531" s="501"/>
      <c r="AF531" s="501"/>
      <c r="AG531" s="501"/>
      <c r="AH531" s="501"/>
      <c r="AI531" s="501"/>
      <c r="AJ531" s="501"/>
      <c r="AK531" s="501"/>
      <c r="AL531" s="501"/>
      <c r="AM531" s="501"/>
      <c r="AN531" s="501"/>
      <c r="AO531" s="501"/>
      <c r="AP531" s="501"/>
      <c r="AQ531" s="501"/>
      <c r="AR531" s="501"/>
      <c r="AS531" s="501"/>
      <c r="AT531" s="501"/>
      <c r="AU531" s="501"/>
      <c r="AV531" s="501"/>
      <c r="AW531" s="501"/>
      <c r="AX531" s="501"/>
      <c r="AY531" s="501"/>
      <c r="AZ531" s="501"/>
      <c r="BA531" s="501"/>
      <c r="BB531" s="501"/>
      <c r="BC531" s="501"/>
      <c r="BD531" s="501"/>
      <c r="BE531" s="501"/>
      <c r="BF531" s="501"/>
      <c r="BG531" s="501"/>
      <c r="BH531" s="501"/>
      <c r="BI531" s="501"/>
      <c r="BJ531" s="501"/>
    </row>
    <row r="532" spans="2:62" ht="15.75" customHeight="1">
      <c r="B532" s="498"/>
      <c r="C532" s="751"/>
      <c r="W532" s="796"/>
      <c r="X532" s="796"/>
      <c r="Y532" s="501"/>
      <c r="Z532" s="501"/>
      <c r="AA532" s="501"/>
      <c r="AB532" s="501"/>
      <c r="AC532" s="501"/>
      <c r="AD532" s="501"/>
      <c r="AE532" s="501"/>
      <c r="AF532" s="501"/>
      <c r="AG532" s="501"/>
      <c r="AH532" s="501"/>
      <c r="AI532" s="501"/>
      <c r="AJ532" s="501"/>
      <c r="AK532" s="501"/>
      <c r="AL532" s="501"/>
      <c r="AM532" s="501"/>
      <c r="AN532" s="501"/>
      <c r="AO532" s="501"/>
      <c r="AP532" s="501"/>
      <c r="AQ532" s="501"/>
      <c r="AR532" s="501"/>
      <c r="AS532" s="501"/>
      <c r="AT532" s="501"/>
      <c r="AU532" s="501"/>
      <c r="AV532" s="501"/>
      <c r="AW532" s="501"/>
      <c r="AX532" s="501"/>
      <c r="AY532" s="501"/>
      <c r="AZ532" s="501"/>
      <c r="BA532" s="501"/>
      <c r="BB532" s="501"/>
      <c r="BC532" s="501"/>
      <c r="BD532" s="501"/>
      <c r="BE532" s="501"/>
      <c r="BF532" s="501"/>
      <c r="BG532" s="501"/>
      <c r="BH532" s="501"/>
      <c r="BI532" s="501"/>
      <c r="BJ532" s="501"/>
    </row>
    <row r="533" spans="2:62" ht="15.75" customHeight="1">
      <c r="B533" s="498"/>
      <c r="C533" s="751"/>
      <c r="W533" s="796"/>
      <c r="X533" s="796"/>
      <c r="Y533" s="501"/>
      <c r="Z533" s="501"/>
      <c r="AA533" s="501"/>
      <c r="AB533" s="501"/>
      <c r="AC533" s="501"/>
      <c r="AD533" s="501"/>
      <c r="AE533" s="501"/>
      <c r="AF533" s="501"/>
      <c r="AG533" s="501"/>
      <c r="AH533" s="501"/>
      <c r="AI533" s="501"/>
      <c r="AJ533" s="501"/>
      <c r="AK533" s="501"/>
      <c r="AL533" s="501"/>
      <c r="AM533" s="501"/>
      <c r="AN533" s="501"/>
      <c r="AO533" s="501"/>
      <c r="AP533" s="501"/>
      <c r="AQ533" s="501"/>
      <c r="AR533" s="501"/>
      <c r="AS533" s="501"/>
      <c r="AT533" s="501"/>
      <c r="AU533" s="501"/>
      <c r="AV533" s="501"/>
      <c r="AW533" s="501"/>
      <c r="AX533" s="501"/>
      <c r="AY533" s="501"/>
      <c r="AZ533" s="501"/>
      <c r="BA533" s="501"/>
      <c r="BB533" s="501"/>
      <c r="BC533" s="501"/>
      <c r="BD533" s="501"/>
      <c r="BE533" s="501"/>
      <c r="BF533" s="501"/>
      <c r="BG533" s="501"/>
      <c r="BH533" s="501"/>
      <c r="BI533" s="501"/>
      <c r="BJ533" s="501"/>
    </row>
    <row r="534" spans="2:62" ht="15.75" customHeight="1">
      <c r="B534" s="498"/>
      <c r="W534" s="796"/>
      <c r="X534" s="796"/>
      <c r="Y534" s="501"/>
      <c r="Z534" s="501"/>
      <c r="AA534" s="501"/>
      <c r="AB534" s="501"/>
      <c r="AC534" s="501"/>
      <c r="AD534" s="501"/>
      <c r="AE534" s="501"/>
      <c r="AF534" s="501"/>
      <c r="AG534" s="501"/>
      <c r="AH534" s="501"/>
      <c r="AI534" s="501"/>
      <c r="AJ534" s="501"/>
      <c r="AK534" s="501"/>
      <c r="AL534" s="501"/>
      <c r="AM534" s="501"/>
      <c r="AN534" s="501"/>
      <c r="AO534" s="501"/>
      <c r="AP534" s="501"/>
      <c r="AQ534" s="501"/>
      <c r="AR534" s="501"/>
      <c r="AS534" s="501"/>
      <c r="AT534" s="501"/>
      <c r="AU534" s="501"/>
      <c r="AV534" s="501"/>
      <c r="AW534" s="501"/>
      <c r="AX534" s="501"/>
      <c r="AY534" s="501"/>
      <c r="AZ534" s="501"/>
      <c r="BA534" s="501"/>
      <c r="BB534" s="501"/>
      <c r="BC534" s="501"/>
      <c r="BD534" s="501"/>
      <c r="BE534" s="501"/>
      <c r="BF534" s="501"/>
      <c r="BG534" s="501"/>
      <c r="BH534" s="501"/>
      <c r="BI534" s="501"/>
      <c r="BJ534" s="501"/>
    </row>
    <row r="535" spans="2:62" ht="15.75" customHeight="1">
      <c r="B535" s="498"/>
      <c r="W535" s="796"/>
      <c r="X535" s="796"/>
      <c r="Y535" s="501"/>
      <c r="Z535" s="501"/>
      <c r="AA535" s="501"/>
      <c r="AB535" s="501"/>
      <c r="AC535" s="501"/>
      <c r="AD535" s="501"/>
      <c r="AE535" s="501"/>
      <c r="AF535" s="501"/>
      <c r="AG535" s="501"/>
      <c r="AH535" s="501"/>
      <c r="AI535" s="501"/>
      <c r="AJ535" s="501"/>
      <c r="AK535" s="501"/>
      <c r="AL535" s="501"/>
      <c r="AM535" s="501"/>
      <c r="AN535" s="501"/>
      <c r="AO535" s="501"/>
      <c r="AP535" s="501"/>
      <c r="AQ535" s="501"/>
      <c r="AR535" s="501"/>
      <c r="AS535" s="501"/>
      <c r="AT535" s="501"/>
      <c r="AU535" s="501"/>
      <c r="AV535" s="501"/>
      <c r="AW535" s="501"/>
      <c r="AX535" s="501"/>
      <c r="AY535" s="501"/>
      <c r="AZ535" s="501"/>
      <c r="BA535" s="501"/>
      <c r="BB535" s="501"/>
      <c r="BC535" s="501"/>
      <c r="BD535" s="501"/>
      <c r="BE535" s="501"/>
      <c r="BF535" s="501"/>
      <c r="BG535" s="501"/>
      <c r="BH535" s="501"/>
      <c r="BI535" s="501"/>
      <c r="BJ535" s="501"/>
    </row>
    <row r="536" spans="2:62" ht="15.75" customHeight="1">
      <c r="B536" s="498"/>
      <c r="W536" s="796"/>
      <c r="X536" s="796"/>
      <c r="Y536" s="501"/>
      <c r="Z536" s="501"/>
      <c r="AA536" s="501"/>
      <c r="AB536" s="501"/>
      <c r="AC536" s="501"/>
      <c r="AD536" s="501"/>
      <c r="AE536" s="501"/>
      <c r="AF536" s="501"/>
      <c r="AG536" s="501"/>
      <c r="AH536" s="501"/>
      <c r="AI536" s="501"/>
      <c r="AJ536" s="501"/>
      <c r="AK536" s="501"/>
      <c r="AL536" s="501"/>
      <c r="AM536" s="501"/>
      <c r="AN536" s="501"/>
      <c r="AO536" s="501"/>
      <c r="AP536" s="501"/>
      <c r="AQ536" s="501"/>
      <c r="AR536" s="501"/>
      <c r="AS536" s="501"/>
      <c r="AT536" s="501"/>
      <c r="AU536" s="501"/>
      <c r="AV536" s="501"/>
      <c r="AW536" s="501"/>
      <c r="AX536" s="501"/>
      <c r="AY536" s="501"/>
      <c r="AZ536" s="501"/>
      <c r="BA536" s="501"/>
      <c r="BB536" s="501"/>
      <c r="BC536" s="501"/>
      <c r="BD536" s="501"/>
      <c r="BE536" s="501"/>
      <c r="BF536" s="501"/>
      <c r="BG536" s="501"/>
      <c r="BH536" s="501"/>
      <c r="BI536" s="501"/>
      <c r="BJ536" s="501"/>
    </row>
    <row r="537" spans="2:62" ht="15.75" customHeight="1">
      <c r="B537" s="498"/>
      <c r="W537" s="796"/>
      <c r="X537" s="796"/>
      <c r="Y537" s="501"/>
      <c r="Z537" s="501"/>
      <c r="AA537" s="501"/>
      <c r="AB537" s="501"/>
      <c r="AC537" s="501"/>
      <c r="AD537" s="501"/>
      <c r="AE537" s="501"/>
      <c r="AF537" s="501"/>
      <c r="AG537" s="501"/>
      <c r="AH537" s="501"/>
      <c r="AI537" s="501"/>
      <c r="AJ537" s="501"/>
      <c r="AK537" s="501"/>
      <c r="AL537" s="501"/>
      <c r="AM537" s="501"/>
      <c r="AN537" s="501"/>
      <c r="AO537" s="501"/>
      <c r="AP537" s="501"/>
      <c r="AQ537" s="501"/>
      <c r="AR537" s="501"/>
      <c r="AS537" s="501"/>
      <c r="AT537" s="501"/>
      <c r="AU537" s="501"/>
      <c r="AV537" s="501"/>
      <c r="AW537" s="501"/>
      <c r="AX537" s="501"/>
      <c r="AY537" s="501"/>
      <c r="AZ537" s="501"/>
      <c r="BA537" s="501"/>
      <c r="BB537" s="501"/>
      <c r="BC537" s="501"/>
      <c r="BD537" s="501"/>
      <c r="BE537" s="501"/>
      <c r="BF537" s="501"/>
      <c r="BG537" s="501"/>
      <c r="BH537" s="501"/>
      <c r="BI537" s="501"/>
      <c r="BJ537" s="501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X403:Z403"/>
    <mergeCell ref="AA403:AC403"/>
    <mergeCell ref="AD403:AF403"/>
    <mergeCell ref="AG403:AI403"/>
    <mergeCell ref="AJ403:AL403"/>
    <mergeCell ref="AM403:AO403"/>
    <mergeCell ref="D357:F357"/>
    <mergeCell ref="G357:I357"/>
    <mergeCell ref="J357:L357"/>
    <mergeCell ref="M357:N357"/>
    <mergeCell ref="O357:Q357"/>
    <mergeCell ref="R357:S357"/>
    <mergeCell ref="D292:F292"/>
    <mergeCell ref="G292:I292"/>
    <mergeCell ref="J292:L292"/>
    <mergeCell ref="M292:N292"/>
    <mergeCell ref="O292:Q292"/>
    <mergeCell ref="R292:S292"/>
    <mergeCell ref="D237:F237"/>
    <mergeCell ref="G237:I237"/>
    <mergeCell ref="J237:L237"/>
    <mergeCell ref="M237:N237"/>
    <mergeCell ref="O237:Q237"/>
    <mergeCell ref="R237:S237"/>
    <mergeCell ref="D169:F169"/>
    <mergeCell ref="G169:I169"/>
    <mergeCell ref="J169:L169"/>
    <mergeCell ref="M169:N169"/>
    <mergeCell ref="O169:Q169"/>
    <mergeCell ref="R169:S169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1:D112">
    <cfRule type="expression" dxfId="58" priority="59" stopIfTrue="1">
      <formula>"esterreur(reference)"</formula>
    </cfRule>
  </conditionalFormatting>
  <conditionalFormatting sqref="D171:D180">
    <cfRule type="expression" dxfId="57" priority="56" stopIfTrue="1">
      <formula>"esterreur(reference)"</formula>
    </cfRule>
  </conditionalFormatting>
  <conditionalFormatting sqref="E185">
    <cfRule type="expression" dxfId="56" priority="57" stopIfTrue="1">
      <formula>"esterreur(reference)"</formula>
    </cfRule>
  </conditionalFormatting>
  <conditionalFormatting sqref="F5">
    <cfRule type="expression" dxfId="55" priority="54" stopIfTrue="1">
      <formula>"esterreur(reference)"</formula>
    </cfRule>
  </conditionalFormatting>
  <conditionalFormatting sqref="F83:F85">
    <cfRule type="expression" dxfId="54" priority="53" stopIfTrue="1">
      <formula>"esterreur(reference)"</formula>
    </cfRule>
  </conditionalFormatting>
  <conditionalFormatting sqref="F100">
    <cfRule type="expression" dxfId="53" priority="58" stopIfTrue="1">
      <formula>"esterreur(reference)"</formula>
    </cfRule>
  </conditionalFormatting>
  <conditionalFormatting sqref="F183">
    <cfRule type="expression" dxfId="52" priority="22" stopIfTrue="1">
      <formula>"esterreur(reference)"</formula>
    </cfRule>
  </conditionalFormatting>
  <conditionalFormatting sqref="G31:G32">
    <cfRule type="expression" dxfId="51" priority="51" stopIfTrue="1">
      <formula>"esterreur(reference)"</formula>
    </cfRule>
  </conditionalFormatting>
  <conditionalFormatting sqref="G111:G112">
    <cfRule type="expression" dxfId="50" priority="48" stopIfTrue="1">
      <formula>"esterreur(reference)"</formula>
    </cfRule>
  </conditionalFormatting>
  <conditionalFormatting sqref="G171:G180">
    <cfRule type="expression" dxfId="49" priority="55" stopIfTrue="1">
      <formula>"esterreur(reference)"</formula>
    </cfRule>
  </conditionalFormatting>
  <conditionalFormatting sqref="H25:H26 H28:H72">
    <cfRule type="expression" dxfId="48" priority="50" stopIfTrue="1">
      <formula>"esterreur(reference)"</formula>
    </cfRule>
  </conditionalFormatting>
  <conditionalFormatting sqref="H359 J359:L359">
    <cfRule type="expression" dxfId="47" priority="10" stopIfTrue="1">
      <formula>"esterreur(reference)"</formula>
    </cfRule>
  </conditionalFormatting>
  <conditionalFormatting sqref="H196:L196">
    <cfRule type="expression" dxfId="46" priority="12" stopIfTrue="1">
      <formula>"esterreur(reference)"</formula>
    </cfRule>
  </conditionalFormatting>
  <conditionalFormatting sqref="H395:L398">
    <cfRule type="expression" dxfId="45" priority="8" stopIfTrue="1">
      <formula>"esterreur(reference)"</formula>
    </cfRule>
  </conditionalFormatting>
  <conditionalFormatting sqref="I16:I18 I20 I24:I30">
    <cfRule type="expression" dxfId="44" priority="52" stopIfTrue="1">
      <formula>"esterreur(reference)"</formula>
    </cfRule>
  </conditionalFormatting>
  <conditionalFormatting sqref="I376:L376 J377:L393 H377:H394">
    <cfRule type="expression" dxfId="43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42" priority="1" stopIfTrue="1">
      <formula>"esterreur(reference)"</formula>
    </cfRule>
  </conditionalFormatting>
  <conditionalFormatting sqref="K394">
    <cfRule type="expression" dxfId="41" priority="11" stopIfTrue="1">
      <formula>"esterreur(reference)"</formula>
    </cfRule>
  </conditionalFormatting>
  <conditionalFormatting sqref="K5:L5">
    <cfRule type="expression" dxfId="40" priority="21" stopIfTrue="1">
      <formula>"esterreur(reference)"</formula>
    </cfRule>
  </conditionalFormatting>
  <conditionalFormatting sqref="K243:L243">
    <cfRule type="expression" dxfId="39" priority="18" stopIfTrue="1">
      <formula>"esterreur(reference)"</formula>
    </cfRule>
  </conditionalFormatting>
  <conditionalFormatting sqref="K246:L246">
    <cfRule type="expression" dxfId="38" priority="19" stopIfTrue="1">
      <formula>"esterreur(reference)"</formula>
    </cfRule>
  </conditionalFormatting>
  <conditionalFormatting sqref="L42:L48">
    <cfRule type="expression" dxfId="37" priority="14" stopIfTrue="1">
      <formula>"esterreur(reference)"</formula>
    </cfRule>
  </conditionalFormatting>
  <conditionalFormatting sqref="L75:L82">
    <cfRule type="expression" dxfId="36" priority="3" stopIfTrue="1">
      <formula>"esterreur(reference)"</formula>
    </cfRule>
  </conditionalFormatting>
  <conditionalFormatting sqref="L155:L161">
    <cfRule type="expression" dxfId="35" priority="17" stopIfTrue="1">
      <formula>"esterreur(reference)"</formula>
    </cfRule>
  </conditionalFormatting>
  <conditionalFormatting sqref="L197:L208">
    <cfRule type="expression" dxfId="34" priority="15" stopIfTrue="1">
      <formula>"esterreur(reference)"</formula>
    </cfRule>
  </conditionalFormatting>
  <conditionalFormatting sqref="L210:L227">
    <cfRule type="expression" dxfId="33" priority="16" stopIfTrue="1">
      <formula>"esterreur(reference)"</formula>
    </cfRule>
  </conditionalFormatting>
  <conditionalFormatting sqref="L253:L264">
    <cfRule type="expression" dxfId="32" priority="20" stopIfTrue="1">
      <formula>"esterreur(reference)"</formula>
    </cfRule>
  </conditionalFormatting>
  <conditionalFormatting sqref="L330:L347">
    <cfRule type="expression" dxfId="31" priority="13" stopIfTrue="1">
      <formula>"esterreur(reference)"</formula>
    </cfRule>
  </conditionalFormatting>
  <conditionalFormatting sqref="L355:L356 H356:I356 K356 J356:J357 H358:L358">
    <cfRule type="expression" dxfId="30" priority="7" stopIfTrue="1">
      <formula>"esterreur(reference)"</formula>
    </cfRule>
  </conditionalFormatting>
  <conditionalFormatting sqref="M95:M96">
    <cfRule type="expression" dxfId="29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28" priority="43" stopIfTrue="1">
      <formula>"esterreur(reference)"</formula>
    </cfRule>
  </conditionalFormatting>
  <conditionalFormatting sqref="O196:Q196">
    <cfRule type="expression" dxfId="27" priority="32" stopIfTrue="1">
      <formula>"esterreur(reference)"</formula>
    </cfRule>
  </conditionalFormatting>
  <conditionalFormatting sqref="O242:Q242 O251:Q252 O253:P283 Q266:Q284 O284 O287:Q287 O288:P288">
    <cfRule type="expression" dxfId="26" priority="38" stopIfTrue="1">
      <formula>"esterreur(reference)"</formula>
    </cfRule>
  </conditionalFormatting>
  <conditionalFormatting sqref="O358:Q393">
    <cfRule type="expression" dxfId="25" priority="45" stopIfTrue="1">
      <formula>"esterreur(reference)"</formula>
    </cfRule>
  </conditionalFormatting>
  <conditionalFormatting sqref="O395:Q398">
    <cfRule type="expression" dxfId="24" priority="46" stopIfTrue="1">
      <formula>"esterreur(reference)"</formula>
    </cfRule>
  </conditionalFormatting>
  <conditionalFormatting sqref="P5">
    <cfRule type="expression" dxfId="23" priority="26" stopIfTrue="1">
      <formula>"esterreur(reference)"</formula>
    </cfRule>
  </conditionalFormatting>
  <conditionalFormatting sqref="P174">
    <cfRule type="expression" dxfId="22" priority="35" stopIfTrue="1">
      <formula>"esterreur(reference)"</formula>
    </cfRule>
  </conditionalFormatting>
  <conditionalFormatting sqref="P177">
    <cfRule type="expression" dxfId="21" priority="36" stopIfTrue="1">
      <formula>"esterreur(reference)"</formula>
    </cfRule>
  </conditionalFormatting>
  <conditionalFormatting sqref="P180">
    <cfRule type="expression" dxfId="20" priority="37" stopIfTrue="1">
      <formula>"esterreur(reference)"</formula>
    </cfRule>
  </conditionalFormatting>
  <conditionalFormatting sqref="P394">
    <cfRule type="expression" dxfId="19" priority="47" stopIfTrue="1">
      <formula>"esterreur(reference)"</formula>
    </cfRule>
  </conditionalFormatting>
  <conditionalFormatting sqref="P93:Q95 O96:Q97 O155:P156 O163:Q163 O164:P164">
    <cfRule type="expression" dxfId="18" priority="29" stopIfTrue="1">
      <formula>"esterreur(reference)"</formula>
    </cfRule>
  </conditionalFormatting>
  <conditionalFormatting sqref="P98:Q99">
    <cfRule type="expression" dxfId="17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6" priority="31" stopIfTrue="1">
      <formula>"esterreur(reference)"</formula>
    </cfRule>
  </conditionalFormatting>
  <conditionalFormatting sqref="P240:Q240">
    <cfRule type="expression" dxfId="15" priority="42" stopIfTrue="1">
      <formula>"esterreur(reference)"</formula>
    </cfRule>
  </conditionalFormatting>
  <conditionalFormatting sqref="P243:Q243">
    <cfRule type="expression" dxfId="14" priority="39" stopIfTrue="1">
      <formula>"esterreur(reference)"</formula>
    </cfRule>
  </conditionalFormatting>
  <conditionalFormatting sqref="P246:Q246">
    <cfRule type="expression" dxfId="13" priority="40" stopIfTrue="1">
      <formula>"esterreur(reference)"</formula>
    </cfRule>
  </conditionalFormatting>
  <conditionalFormatting sqref="Q5:Q14 O13:O14 O16 Q16:Q24 O18:O24 O25:Q26 O27 Q27 O28:Q72 O83:Q85">
    <cfRule type="expression" dxfId="12" priority="25" stopIfTrue="1">
      <formula>"esterreur(reference)"</formula>
    </cfRule>
  </conditionalFormatting>
  <conditionalFormatting sqref="Q75:Q82">
    <cfRule type="expression" dxfId="11" priority="27" stopIfTrue="1">
      <formula>"esterreur(reference)"</formula>
    </cfRule>
  </conditionalFormatting>
  <conditionalFormatting sqref="Q155:Q161">
    <cfRule type="expression" dxfId="10" priority="30" stopIfTrue="1">
      <formula>"esterreur(reference)"</formula>
    </cfRule>
  </conditionalFormatting>
  <conditionalFormatting sqref="Q197:Q208">
    <cfRule type="expression" dxfId="9" priority="33" stopIfTrue="1">
      <formula>"esterreur(reference)"</formula>
    </cfRule>
  </conditionalFormatting>
  <conditionalFormatting sqref="Q210:Q227">
    <cfRule type="expression" dxfId="8" priority="34" stopIfTrue="1">
      <formula>"esterreur(reference)"</formula>
    </cfRule>
  </conditionalFormatting>
  <conditionalFormatting sqref="Q253:Q264">
    <cfRule type="expression" dxfId="7" priority="41" stopIfTrue="1">
      <formula>"esterreur(reference)"</formula>
    </cfRule>
  </conditionalFormatting>
  <conditionalFormatting sqref="Q330:Q347">
    <cfRule type="expression" dxfId="6" priority="44" stopIfTrue="1">
      <formula>"esterreur(reference)"</formula>
    </cfRule>
  </conditionalFormatting>
  <conditionalFormatting sqref="R311">
    <cfRule type="expression" dxfId="5" priority="4" stopIfTrue="1">
      <formula>"esterreur(reference)"</formula>
    </cfRule>
  </conditionalFormatting>
  <conditionalFormatting sqref="S185">
    <cfRule type="expression" dxfId="4" priority="23" stopIfTrue="1">
      <formula>"esterreur(reference)"</formula>
    </cfRule>
  </conditionalFormatting>
  <conditionalFormatting sqref="AG408:AI417 AH419:AI450 AH452:AI459 AH460:AH461 AH462:AI467 AH490:AI496">
    <cfRule type="cellIs" dxfId="3" priority="5" operator="greaterThan">
      <formula>0</formula>
    </cfRule>
  </conditionalFormatting>
  <conditionalFormatting sqref="AH468:AI475 AH479:AI479">
    <cfRule type="cellIs" dxfId="2" priority="6" operator="lessThan">
      <formula>0</formula>
    </cfRule>
  </conditionalFormatting>
  <conditionalFormatting sqref="AH476:AI478">
    <cfRule type="cellIs" dxfId="1" priority="49" operator="greaterThan">
      <formula>0</formula>
    </cfRule>
  </conditionalFormatting>
  <conditionalFormatting sqref="AO408:AO417">
    <cfRule type="cellIs" dxfId="0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activeCell="E35" sqref="E35"/>
    </sheetView>
  </sheetViews>
  <sheetFormatPr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Paramètre</vt:lpstr>
      <vt:lpstr>Conso</vt:lpstr>
      <vt:lpstr>START</vt:lpstr>
      <vt:lpstr>Juillet 2023</vt:lpstr>
      <vt:lpstr>Juin 2023</vt:lpstr>
      <vt:lpstr>END</vt:lpstr>
      <vt:lpstr>Conso!Print_Area</vt:lpstr>
      <vt:lpstr>'Juillet 2023'!Print_Area</vt:lpstr>
      <vt:lpstr>'Juin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2023-07-11T21:25:50Z</cp:lastPrinted>
  <dcterms:created xsi:type="dcterms:W3CDTF">2021-02-12T03:12:48Z</dcterms:created>
  <dcterms:modified xsi:type="dcterms:W3CDTF">2023-08-15T20:18:35Z</dcterms:modified>
</cp:coreProperties>
</file>