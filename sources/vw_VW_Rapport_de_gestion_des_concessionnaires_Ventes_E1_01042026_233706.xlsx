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wnar-my.sharepoint.com/personal/lauren_bliss_vw_ca/Documents/Documents/LB2025/REPORTS/Sales/Month End/"/>
    </mc:Choice>
  </mc:AlternateContent>
  <xr:revisionPtr revIDLastSave="0" documentId="8_{2C9F8705-1105-42FD-9396-01657660DB5A}" xr6:coauthVersionLast="47" xr6:coauthVersionMax="47" xr10:uidLastSave="{00000000-0000-0000-0000-000000000000}"/>
  <bookViews>
    <workbookView xWindow="-28920" yWindow="2145" windowWidth="29040" windowHeight="17520" xr2:uid="{00000000-000D-0000-FFFF-FFFF00000000}"/>
  </bookViews>
  <sheets>
    <sheet name="Données" sheetId="1" r:id="rId1"/>
    <sheet name="Filtres" sheetId="2" r:id="rId2"/>
  </sheets>
  <calcPr calcId="0"/>
</workbook>
</file>

<file path=xl/sharedStrings.xml><?xml version="1.0" encoding="utf-8"?>
<sst xmlns="http://schemas.openxmlformats.org/spreadsheetml/2006/main" count="200" uniqueCount="88">
  <si>
    <t xml:space="preserve">Exporté le 1-4-2026 11:37 </t>
  </si>
  <si>
    <t>National</t>
  </si>
  <si>
    <t>Zone</t>
  </si>
  <si>
    <t>Code du concessionnaire</t>
  </si>
  <si>
    <t>Nom du concessionnaire</t>
  </si>
  <si>
    <t>Q1: Satisfaction globale des ventes</t>
  </si>
  <si>
    <t>Q2: Processus d'achat</t>
  </si>
  <si>
    <t>D1: A entièrement compris les besoins du client</t>
  </si>
  <si>
    <t>Q3: Conseils donnés</t>
  </si>
  <si>
    <t>D2: Calendrier d'entretien passé en revue à la livraison</t>
  </si>
  <si>
    <t>D3: Véhicule livré sans aucun problème</t>
  </si>
  <si>
    <t>D4: Service après-vente présenté</t>
  </si>
  <si>
    <t>Q4: Présentation du service</t>
  </si>
  <si>
    <t>D5: Contacté après la livraison</t>
  </si>
  <si>
    <t>Q5: Suivie des ventes</t>
  </si>
  <si>
    <t>Q6: Interaction du personnel</t>
  </si>
  <si>
    <t>Q7: Établissement</t>
  </si>
  <si>
    <t>Score moyen du sondage</t>
  </si>
  <si>
    <t>Moyenne des 3 meilleurs ICP (D2, D4, D5)</t>
  </si>
  <si>
    <t>Moyenne des 5 ICP</t>
  </si>
  <si>
    <t>P1: Produit global</t>
  </si>
  <si>
    <t>P3: Évaluation NPS</t>
  </si>
  <si>
    <t>Total taux de capture</t>
  </si>
  <si>
    <t>Total taux de réponse</t>
  </si>
  <si>
    <t>Taux de réponse par courriel</t>
  </si>
  <si>
    <t>Taux de réponse SMS</t>
  </si>
  <si>
    <t>Produits / NPS taux de réponse</t>
  </si>
  <si>
    <t>Taux de réponse par courriel produits / NPS %</t>
  </si>
  <si>
    <t>Taux de réponse SMS produits / NPS %</t>
  </si>
  <si>
    <t>Délai de réponse moy. au sondage (en jours)</t>
  </si>
  <si>
    <t>Délai de réponse par courriel moy. au sondage (en jours)</t>
  </si>
  <si>
    <t>Délai de réponse SMS moy. au sondage (en jours)</t>
  </si>
  <si>
    <t>Total des invitations envoyées</t>
  </si>
  <si>
    <t>Total des invitations par courriel envoyées</t>
  </si>
  <si>
    <t>Total des invitations SMS envoyées</t>
  </si>
  <si>
    <t>Total des sondages complétés</t>
  </si>
  <si>
    <t>Total des sondages par courriel complétés</t>
  </si>
  <si>
    <t>Total des sondages SMS complétés</t>
  </si>
  <si>
    <t>Total des sondages sur produits/NPS complétés</t>
  </si>
  <si>
    <t>Total des sondages par courriel sur produits/NPS complétés</t>
  </si>
  <si>
    <t>Total des sondages SMS sur produits/NPS complétés</t>
  </si>
  <si>
    <t>Répartition de 1 étoile pour Q1: Satisfaction globale des ventes</t>
  </si>
  <si>
    <t>Répartition de 2 étoiles pour Q1: Satisfaction globale des ventes</t>
  </si>
  <si>
    <t>Répartition de 3 étoiles pour Q1: Satisfaction globale des ventes</t>
  </si>
  <si>
    <t>Répartition de 4 étoiles pour Q1: Satisfaction globale des ventes</t>
  </si>
  <si>
    <t>Répartition de 5 étoiles pour Q1: Satisfaction globale des ventes</t>
  </si>
  <si>
    <t>% de 1 à 3 étoiles Q1 : Satisfaction globale des ventes</t>
  </si>
  <si>
    <t>Catégorie</t>
  </si>
  <si>
    <t>Type</t>
  </si>
  <si>
    <t>Prov. du concess.</t>
  </si>
  <si>
    <t/>
  </si>
  <si>
    <t>E1</t>
  </si>
  <si>
    <t>Les Automobiles Popular</t>
  </si>
  <si>
    <t>Metro</t>
  </si>
  <si>
    <t>Consultatif</t>
  </si>
  <si>
    <t>QC</t>
  </si>
  <si>
    <t>Volkswagen Lachine</t>
  </si>
  <si>
    <t>Volkswagen St-Hyacinthe</t>
  </si>
  <si>
    <t>Périphérie</t>
  </si>
  <si>
    <t>Volkswagen Gabriel</t>
  </si>
  <si>
    <t>Multi-investisseurs</t>
  </si>
  <si>
    <t>Volkswagen Chateauguay</t>
  </si>
  <si>
    <t>St. Bruno Volkswagen</t>
  </si>
  <si>
    <t>Centre-Ville Volkswagen</t>
  </si>
  <si>
    <t>Volkswagen Sorel-Tracy</t>
  </si>
  <si>
    <t>Sélecte</t>
  </si>
  <si>
    <t>Volkswagen de l'Estrie</t>
  </si>
  <si>
    <t>Drummondville Volkswagen</t>
  </si>
  <si>
    <t>Rimar Volkswagen</t>
  </si>
  <si>
    <t>Granby Volkswagen</t>
  </si>
  <si>
    <t>Park Avenue Volkswagen</t>
  </si>
  <si>
    <t>Volkswagen de Boucherville</t>
  </si>
  <si>
    <t>Haut-Richelieu Volkswagen</t>
  </si>
  <si>
    <t>Paramètres</t>
  </si>
  <si>
    <t>Exporté</t>
  </si>
  <si>
    <t>Jan  4 2026 11:37:07:953PM</t>
  </si>
  <si>
    <t>Type de période</t>
  </si>
  <si>
    <t>Cumulatif annuel</t>
  </si>
  <si>
    <t>Période</t>
  </si>
  <si>
    <t>01/01/2025 - 12/31/2025</t>
  </si>
  <si>
    <t>Vue</t>
  </si>
  <si>
    <t>Année-modèle</t>
  </si>
  <si>
    <t>Tous AM</t>
  </si>
  <si>
    <t>Nom du modèle</t>
  </si>
  <si>
    <t>Tous modèles</t>
  </si>
  <si>
    <t>Type de sondage</t>
  </si>
  <si>
    <t>Ventes</t>
  </si>
  <si>
    <t>Rapport 5-etoiles / questions diagnostiques - Janv-Dec.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</si>
</sst>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-#,##0.00"/>
    <numFmt numFmtId="165" formatCode="#,##0.0%"/>
    <numFmt numFmtId="166" formatCode="#,##0;\-#,##0"/>
  </numFmts>
  <fonts count="9" x14ac:knownFonts="1">
    <font>
      <sz val="11"/>
      <name val="Calibri"/>
    </font>
    <font>
      <b/>
      <sz val="10"/>
      <name val="Arial"/>
    </font>
    <font>
      <sz val="22"/>
      <name val="Calibri"/>
    </font>
    <font>
      <b/>
      <sz val="11"/>
      <name val="Calibri"/>
    </font>
    <font>
      <sz val="11"/>
      <color rgb="FFFF0000"/>
      <name val="Calibri"/>
      <family val="2"/>
    </font>
    <font>
      <b/>
      <sz val="11"/>
      <name val="Calibri"/>
      <family val="2"/>
    </font>
    <font>
      <b/>
      <sz val="11"/>
      <color rgb="FFFF0000"/>
      <name val="Calibri"/>
      <family val="2"/>
    </font>
    <font>
      <sz val="11"/>
      <name val="Calibri"/>
      <family val="2"/>
    </font>
    <font>
      <b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7799C2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5" xfId="0" applyBorder="1"/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4" xfId="0" applyFont="1" applyBorder="1"/>
    <xf numFmtId="0" fontId="0" fillId="0" borderId="4" xfId="0" applyBorder="1"/>
    <xf numFmtId="0" fontId="1" fillId="0" borderId="4" xfId="0" applyFont="1" applyBorder="1" applyAlignment="1">
      <alignment horizontal="center" wrapText="1"/>
    </xf>
    <xf numFmtId="0" fontId="0" fillId="0" borderId="0" xfId="0" applyAlignment="1">
      <alignment wrapText="1"/>
    </xf>
    <xf numFmtId="0" fontId="1" fillId="3" borderId="4" xfId="0" applyFont="1" applyFill="1" applyBorder="1" applyAlignment="1">
      <alignment horizontal="center" wrapText="1"/>
    </xf>
    <xf numFmtId="165" fontId="4" fillId="0" borderId="0" xfId="0" applyNumberFormat="1" applyFont="1"/>
    <xf numFmtId="165" fontId="5" fillId="4" borderId="0" xfId="0" applyNumberFormat="1" applyFont="1" applyFill="1"/>
    <xf numFmtId="165" fontId="5" fillId="0" borderId="0" xfId="0" applyNumberFormat="1" applyFont="1"/>
    <xf numFmtId="164" fontId="5" fillId="0" borderId="0" xfId="0" applyNumberFormat="1" applyFont="1"/>
    <xf numFmtId="165" fontId="6" fillId="0" borderId="0" xfId="0" applyNumberFormat="1" applyFont="1"/>
    <xf numFmtId="165" fontId="0" fillId="5" borderId="0" xfId="0" applyNumberFormat="1" applyFill="1"/>
    <xf numFmtId="0" fontId="0" fillId="6" borderId="0" xfId="0" applyFill="1"/>
    <xf numFmtId="0" fontId="7" fillId="7" borderId="0" xfId="0" applyFont="1" applyFill="1"/>
    <xf numFmtId="0" fontId="0" fillId="8" borderId="0" xfId="0" applyFill="1"/>
    <xf numFmtId="0" fontId="0" fillId="4" borderId="0" xfId="0" applyFill="1"/>
    <xf numFmtId="0" fontId="0" fillId="7" borderId="0" xfId="0" applyFill="1"/>
    <xf numFmtId="164" fontId="0" fillId="0" borderId="0" xfId="0" applyNumberFormat="1" applyFill="1"/>
    <xf numFmtId="0" fontId="0" fillId="0" borderId="0" xfId="0" applyFill="1"/>
    <xf numFmtId="0" fontId="8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9"/>
  <sheetViews>
    <sheetView tabSelected="1" workbookViewId="0">
      <selection sqref="A1:AV19"/>
    </sheetView>
  </sheetViews>
  <sheetFormatPr defaultRowHeight="15" x14ac:dyDescent="0.25"/>
  <cols>
    <col min="1" max="1" width="8" customWidth="1"/>
    <col min="2" max="2" width="9.140625" customWidth="1"/>
    <col min="3" max="3" width="26.5703125" bestFit="1" customWidth="1"/>
    <col min="4" max="4" width="12.42578125" customWidth="1"/>
    <col min="5" max="5" width="19.85546875" hidden="1" customWidth="1"/>
    <col min="6" max="6" width="19.140625" hidden="1" customWidth="1"/>
    <col min="7" max="7" width="18.42578125" hidden="1" customWidth="1"/>
    <col min="8" max="8" width="16" customWidth="1"/>
    <col min="9" max="9" width="35.140625" hidden="1" customWidth="1"/>
    <col min="10" max="10" width="11" customWidth="1"/>
    <col min="11" max="11" width="14.140625" hidden="1" customWidth="1"/>
    <col min="12" max="12" width="11.85546875" customWidth="1"/>
    <col min="13" max="13" width="19.28515625" hidden="1" customWidth="1"/>
    <col min="14" max="14" width="26" hidden="1" customWidth="1"/>
    <col min="15" max="15" width="16.7109375" hidden="1" customWidth="1"/>
    <col min="16" max="16" width="22.7109375" hidden="1" customWidth="1"/>
    <col min="17" max="17" width="12" customWidth="1"/>
    <col min="18" max="18" width="17.42578125" hidden="1" customWidth="1"/>
    <col min="19" max="19" width="16.28515625" hidden="1" customWidth="1"/>
    <col min="20" max="20" width="17.140625" hidden="1" customWidth="1"/>
    <col min="21" max="21" width="10" customWidth="1"/>
    <col min="22" max="22" width="9.85546875" customWidth="1"/>
    <col min="23" max="23" width="25.85546875" hidden="1" customWidth="1"/>
    <col min="24" max="24" width="19.42578125" hidden="1" customWidth="1"/>
    <col min="25" max="25" width="28" hidden="1" customWidth="1"/>
    <col min="26" max="26" width="41" hidden="1" customWidth="1"/>
    <col min="27" max="27" width="34.7109375" hidden="1" customWidth="1"/>
    <col min="28" max="28" width="39.7109375" hidden="1" customWidth="1"/>
    <col min="29" max="29" width="50.42578125" hidden="1" customWidth="1"/>
    <col min="30" max="30" width="44" hidden="1" customWidth="1"/>
    <col min="31" max="31" width="27.140625" hidden="1" customWidth="1"/>
    <col min="32" max="32" width="37.7109375" hidden="1" customWidth="1"/>
    <col min="33" max="33" width="31.42578125" hidden="1" customWidth="1"/>
    <col min="34" max="34" width="27" hidden="1" customWidth="1"/>
    <col min="35" max="35" width="37.5703125" hidden="1" customWidth="1"/>
    <col min="36" max="36" width="31.28515625" hidden="1" customWidth="1"/>
    <col min="37" max="37" width="42.42578125" hidden="1" customWidth="1"/>
    <col min="38" max="38" width="53" hidden="1" customWidth="1"/>
    <col min="39" max="39" width="46.7109375" hidden="1" customWidth="1"/>
    <col min="40" max="40" width="56" hidden="1" customWidth="1"/>
    <col min="41" max="44" width="56.85546875" hidden="1" customWidth="1"/>
    <col min="45" max="45" width="47.42578125" hidden="1" customWidth="1"/>
    <col min="46" max="47" width="9.140625" hidden="1" customWidth="1"/>
    <col min="48" max="48" width="15.85546875" hidden="1" customWidth="1"/>
  </cols>
  <sheetData>
    <row r="1" spans="1:48" x14ac:dyDescent="0.25">
      <c r="A1" s="27" t="s">
        <v>87</v>
      </c>
      <c r="B1" s="5" t="s">
        <v>0</v>
      </c>
      <c r="C1" s="5" t="s">
        <v>0</v>
      </c>
      <c r="D1" s="5" t="s">
        <v>0</v>
      </c>
      <c r="E1" s="5" t="s">
        <v>0</v>
      </c>
      <c r="F1" s="5" t="s">
        <v>0</v>
      </c>
      <c r="G1" s="5" t="s">
        <v>0</v>
      </c>
      <c r="H1" s="5" t="s">
        <v>0</v>
      </c>
      <c r="I1" s="5" t="s">
        <v>0</v>
      </c>
      <c r="J1" s="5" t="s">
        <v>0</v>
      </c>
      <c r="K1" s="5" t="s">
        <v>0</v>
      </c>
      <c r="L1" s="5" t="s">
        <v>0</v>
      </c>
      <c r="M1" s="5" t="s">
        <v>0</v>
      </c>
      <c r="N1" s="5" t="s">
        <v>0</v>
      </c>
      <c r="O1" s="5" t="s">
        <v>0</v>
      </c>
      <c r="P1" s="5" t="s">
        <v>0</v>
      </c>
      <c r="Q1" s="5" t="s">
        <v>0</v>
      </c>
      <c r="R1" s="5" t="s">
        <v>0</v>
      </c>
      <c r="S1" s="5" t="s">
        <v>0</v>
      </c>
      <c r="T1" s="5" t="s">
        <v>0</v>
      </c>
      <c r="U1" s="5" t="s">
        <v>0</v>
      </c>
      <c r="V1" s="5" t="s">
        <v>0</v>
      </c>
      <c r="W1" s="5" t="s">
        <v>0</v>
      </c>
      <c r="X1" s="5" t="s">
        <v>0</v>
      </c>
      <c r="Y1" s="5" t="s">
        <v>0</v>
      </c>
      <c r="Z1" s="5" t="s">
        <v>0</v>
      </c>
      <c r="AA1" s="5" t="s">
        <v>0</v>
      </c>
      <c r="AB1" s="5" t="s">
        <v>0</v>
      </c>
      <c r="AC1" s="5" t="s">
        <v>0</v>
      </c>
      <c r="AD1" s="5" t="s">
        <v>0</v>
      </c>
      <c r="AE1" s="5" t="s">
        <v>0</v>
      </c>
      <c r="AF1" s="5" t="s">
        <v>0</v>
      </c>
      <c r="AG1" s="5" t="s">
        <v>0</v>
      </c>
      <c r="AH1" s="5" t="s">
        <v>0</v>
      </c>
      <c r="AI1" s="5" t="s">
        <v>0</v>
      </c>
      <c r="AJ1" s="5" t="s">
        <v>0</v>
      </c>
      <c r="AK1" s="5" t="s">
        <v>0</v>
      </c>
      <c r="AL1" s="5" t="s">
        <v>0</v>
      </c>
      <c r="AM1" s="5" t="s">
        <v>0</v>
      </c>
      <c r="AN1" s="5" t="s">
        <v>0</v>
      </c>
      <c r="AO1" s="5" t="s">
        <v>0</v>
      </c>
      <c r="AP1" s="5" t="s">
        <v>0</v>
      </c>
      <c r="AQ1" s="5" t="s">
        <v>0</v>
      </c>
      <c r="AR1" s="5" t="s">
        <v>0</v>
      </c>
      <c r="AS1" s="5" t="s">
        <v>0</v>
      </c>
      <c r="AT1" s="5" t="s">
        <v>0</v>
      </c>
      <c r="AU1" s="5" t="s">
        <v>0</v>
      </c>
      <c r="AV1" s="6" t="s">
        <v>0</v>
      </c>
    </row>
    <row r="2" spans="1:48" s="12" customFormat="1" ht="64.5" x14ac:dyDescent="0.25">
      <c r="A2" s="11" t="s">
        <v>2</v>
      </c>
      <c r="B2" s="11" t="s">
        <v>3</v>
      </c>
      <c r="C2" s="11" t="s">
        <v>4</v>
      </c>
      <c r="D2" s="11" t="s">
        <v>5</v>
      </c>
      <c r="E2" s="11" t="s">
        <v>6</v>
      </c>
      <c r="F2" s="11" t="s">
        <v>7</v>
      </c>
      <c r="G2" s="11" t="s">
        <v>8</v>
      </c>
      <c r="H2" s="13" t="s">
        <v>9</v>
      </c>
      <c r="I2" s="13" t="s">
        <v>10</v>
      </c>
      <c r="J2" s="13" t="s">
        <v>11</v>
      </c>
      <c r="K2" s="13" t="s">
        <v>12</v>
      </c>
      <c r="L2" s="13" t="s">
        <v>13</v>
      </c>
      <c r="M2" s="13" t="s">
        <v>14</v>
      </c>
      <c r="N2" s="13" t="s">
        <v>15</v>
      </c>
      <c r="O2" s="13" t="s">
        <v>16</v>
      </c>
      <c r="P2" s="13" t="s">
        <v>17</v>
      </c>
      <c r="Q2" s="13" t="s">
        <v>18</v>
      </c>
      <c r="R2" s="11" t="s">
        <v>19</v>
      </c>
      <c r="S2" s="11" t="s">
        <v>20</v>
      </c>
      <c r="T2" s="11" t="s">
        <v>21</v>
      </c>
      <c r="U2" s="13" t="s">
        <v>22</v>
      </c>
      <c r="V2" s="11" t="s">
        <v>23</v>
      </c>
      <c r="W2" s="11" t="s">
        <v>24</v>
      </c>
      <c r="X2" s="11" t="s">
        <v>25</v>
      </c>
      <c r="Y2" s="11" t="s">
        <v>26</v>
      </c>
      <c r="Z2" s="11" t="s">
        <v>27</v>
      </c>
      <c r="AA2" s="11" t="s">
        <v>28</v>
      </c>
      <c r="AB2" s="11" t="s">
        <v>29</v>
      </c>
      <c r="AC2" s="11" t="s">
        <v>30</v>
      </c>
      <c r="AD2" s="11" t="s">
        <v>31</v>
      </c>
      <c r="AE2" s="11" t="s">
        <v>32</v>
      </c>
      <c r="AF2" s="11" t="s">
        <v>33</v>
      </c>
      <c r="AG2" s="11" t="s">
        <v>34</v>
      </c>
      <c r="AH2" s="11" t="s">
        <v>35</v>
      </c>
      <c r="AI2" s="11" t="s">
        <v>36</v>
      </c>
      <c r="AJ2" s="11" t="s">
        <v>37</v>
      </c>
      <c r="AK2" s="11" t="s">
        <v>38</v>
      </c>
      <c r="AL2" s="11" t="s">
        <v>39</v>
      </c>
      <c r="AM2" s="11" t="s">
        <v>40</v>
      </c>
      <c r="AN2" s="11" t="s">
        <v>41</v>
      </c>
      <c r="AO2" s="11" t="s">
        <v>42</v>
      </c>
      <c r="AP2" s="11" t="s">
        <v>43</v>
      </c>
      <c r="AQ2" s="11" t="s">
        <v>44</v>
      </c>
      <c r="AR2" s="11" t="s">
        <v>45</v>
      </c>
      <c r="AS2" s="11" t="s">
        <v>46</v>
      </c>
      <c r="AT2" s="11" t="s">
        <v>47</v>
      </c>
      <c r="AU2" s="11" t="s">
        <v>48</v>
      </c>
      <c r="AV2" s="11" t="s">
        <v>49</v>
      </c>
    </row>
    <row r="3" spans="1:48" x14ac:dyDescent="0.25">
      <c r="A3" s="23" t="s">
        <v>1</v>
      </c>
      <c r="B3" s="26" t="s">
        <v>50</v>
      </c>
      <c r="C3" s="26" t="s">
        <v>50</v>
      </c>
      <c r="D3" s="25">
        <v>4.8499999999999996</v>
      </c>
      <c r="E3" s="1">
        <v>4.87</v>
      </c>
      <c r="F3" s="2">
        <v>0.98799999999999999</v>
      </c>
      <c r="G3" s="1">
        <v>4.87</v>
      </c>
      <c r="H3" s="19">
        <v>0.90300000000000002</v>
      </c>
      <c r="I3" s="2">
        <v>0.92500000000000004</v>
      </c>
      <c r="J3" s="19">
        <v>0.85399999999999998</v>
      </c>
      <c r="K3" s="1">
        <v>4.8899999999999997</v>
      </c>
      <c r="L3" s="19">
        <v>0.86699999999999999</v>
      </c>
      <c r="M3" s="1">
        <v>4.92</v>
      </c>
      <c r="N3" s="1">
        <v>4.87</v>
      </c>
      <c r="O3" s="1">
        <v>4.8899999999999997</v>
      </c>
      <c r="P3" s="1">
        <v>4.88</v>
      </c>
      <c r="Q3" s="15">
        <v>0.875</v>
      </c>
      <c r="R3" s="16">
        <v>0.90700000000000003</v>
      </c>
      <c r="S3" s="17">
        <v>4.84</v>
      </c>
      <c r="T3" s="17">
        <v>9.4700000000000006</v>
      </c>
      <c r="U3" s="15">
        <v>0.96899999999999997</v>
      </c>
      <c r="V3" s="2">
        <v>0.33400000000000002</v>
      </c>
      <c r="W3" s="2">
        <v>0.34699999999999998</v>
      </c>
      <c r="X3" s="2">
        <v>0.28100000000000003</v>
      </c>
      <c r="Y3" s="2">
        <v>0.76</v>
      </c>
      <c r="Z3" s="2">
        <v>0.76600000000000001</v>
      </c>
      <c r="AA3" s="2">
        <v>0.72699999999999998</v>
      </c>
      <c r="AB3" s="3">
        <v>4</v>
      </c>
      <c r="AC3" s="3">
        <v>4</v>
      </c>
      <c r="AD3" s="3">
        <v>3</v>
      </c>
      <c r="AE3" s="3">
        <v>56297</v>
      </c>
      <c r="AF3" s="3">
        <v>45244</v>
      </c>
      <c r="AG3" s="3">
        <v>11053</v>
      </c>
      <c r="AH3" s="3">
        <v>18795</v>
      </c>
      <c r="AI3" s="3">
        <v>15687</v>
      </c>
      <c r="AJ3" s="3">
        <v>3108</v>
      </c>
      <c r="AK3" s="3">
        <v>14278</v>
      </c>
      <c r="AL3" s="3">
        <v>12017</v>
      </c>
      <c r="AM3" s="3">
        <v>2261</v>
      </c>
      <c r="AN3" s="3">
        <v>190</v>
      </c>
      <c r="AO3" s="3">
        <v>146</v>
      </c>
      <c r="AP3" s="3">
        <v>271</v>
      </c>
      <c r="AQ3" s="3">
        <v>1059</v>
      </c>
      <c r="AR3" s="3">
        <v>17522</v>
      </c>
      <c r="AS3" s="2">
        <v>3.2000000000000001E-2</v>
      </c>
      <c r="AT3" t="s">
        <v>50</v>
      </c>
      <c r="AU3" t="s">
        <v>50</v>
      </c>
      <c r="AV3" s="4" t="s">
        <v>50</v>
      </c>
    </row>
    <row r="4" spans="1:48" x14ac:dyDescent="0.25">
      <c r="A4" s="20" t="s">
        <v>51</v>
      </c>
      <c r="B4" s="26" t="s">
        <v>50</v>
      </c>
      <c r="C4" s="26" t="s">
        <v>50</v>
      </c>
      <c r="D4" s="25">
        <v>4.8</v>
      </c>
      <c r="E4" s="1">
        <v>4.84</v>
      </c>
      <c r="F4" s="2">
        <v>0.98699999999999999</v>
      </c>
      <c r="G4" s="1">
        <v>4.8499999999999996</v>
      </c>
      <c r="H4" s="19">
        <v>0.85899999999999999</v>
      </c>
      <c r="I4" s="2">
        <v>0.91500000000000004</v>
      </c>
      <c r="J4" s="14">
        <v>0.79100000000000004</v>
      </c>
      <c r="K4" s="1">
        <v>4.88</v>
      </c>
      <c r="L4" s="19">
        <v>0.81699999999999995</v>
      </c>
      <c r="M4" s="1">
        <v>4.9000000000000004</v>
      </c>
      <c r="N4" s="1">
        <v>4.83</v>
      </c>
      <c r="O4" s="1">
        <v>4.88</v>
      </c>
      <c r="P4" s="1">
        <v>4.8520000000000003</v>
      </c>
      <c r="Q4" s="15">
        <v>0.82199999999999995</v>
      </c>
      <c r="R4" s="16">
        <v>0.874</v>
      </c>
      <c r="S4" s="17">
        <v>4.79</v>
      </c>
      <c r="T4" s="17">
        <v>9.36</v>
      </c>
      <c r="U4" s="15">
        <v>0.96599999999999997</v>
      </c>
      <c r="V4" s="2">
        <v>0.35399999999999998</v>
      </c>
      <c r="W4" s="2">
        <v>0.379</v>
      </c>
      <c r="X4" s="2">
        <v>0.27300000000000002</v>
      </c>
      <c r="Y4" s="2">
        <v>0.70599999999999996</v>
      </c>
      <c r="Z4" s="2">
        <v>0.71699999999999997</v>
      </c>
      <c r="AA4" s="2">
        <v>0.65400000000000003</v>
      </c>
      <c r="AB4" s="3">
        <v>4</v>
      </c>
      <c r="AC4" s="3">
        <v>4</v>
      </c>
      <c r="AD4" s="3">
        <v>3</v>
      </c>
      <c r="AE4" s="3">
        <v>4923</v>
      </c>
      <c r="AF4" s="3">
        <v>3768</v>
      </c>
      <c r="AG4" s="3">
        <v>1155</v>
      </c>
      <c r="AH4" s="3">
        <v>1742</v>
      </c>
      <c r="AI4" s="3">
        <v>1427</v>
      </c>
      <c r="AJ4" s="3">
        <v>315</v>
      </c>
      <c r="AK4" s="3">
        <v>1229</v>
      </c>
      <c r="AL4" s="3">
        <v>1023</v>
      </c>
      <c r="AM4" s="3">
        <v>206</v>
      </c>
      <c r="AN4" s="3">
        <v>21</v>
      </c>
      <c r="AO4" s="3">
        <v>17</v>
      </c>
      <c r="AP4" s="3">
        <v>44</v>
      </c>
      <c r="AQ4" s="3">
        <v>136</v>
      </c>
      <c r="AR4" s="3">
        <v>1592</v>
      </c>
      <c r="AS4" s="2">
        <v>4.4999999999999998E-2</v>
      </c>
      <c r="AT4" t="s">
        <v>50</v>
      </c>
      <c r="AU4" t="s">
        <v>50</v>
      </c>
      <c r="AV4" s="4" t="s">
        <v>50</v>
      </c>
    </row>
    <row r="5" spans="1:48" x14ac:dyDescent="0.25">
      <c r="A5" t="s">
        <v>51</v>
      </c>
      <c r="B5">
        <v>4994706</v>
      </c>
      <c r="C5" s="24" t="s">
        <v>52</v>
      </c>
      <c r="D5" s="1">
        <v>4.72</v>
      </c>
      <c r="E5" s="1">
        <v>4.78</v>
      </c>
      <c r="F5" s="2">
        <v>0.97699999999999998</v>
      </c>
      <c r="G5" s="1">
        <v>4.75</v>
      </c>
      <c r="H5" s="19">
        <v>0.85199999999999998</v>
      </c>
      <c r="I5" s="2">
        <v>0.90900000000000003</v>
      </c>
      <c r="J5" s="14">
        <v>0.73899999999999999</v>
      </c>
      <c r="K5" s="1">
        <v>4.78</v>
      </c>
      <c r="L5" s="19">
        <v>0.80700000000000005</v>
      </c>
      <c r="M5" s="1">
        <v>4.8600000000000003</v>
      </c>
      <c r="N5" s="1">
        <v>4.7699999999999996</v>
      </c>
      <c r="O5" s="1">
        <v>4.76</v>
      </c>
      <c r="P5" s="1">
        <v>4.7729999999999997</v>
      </c>
      <c r="Q5" s="18">
        <v>0.79900000000000004</v>
      </c>
      <c r="R5" s="16">
        <v>0.85699999999999998</v>
      </c>
      <c r="S5" s="17">
        <v>4.7300000000000004</v>
      </c>
      <c r="T5" s="17">
        <v>9.0299999999999994</v>
      </c>
      <c r="U5" s="15">
        <v>0.99299999999999999</v>
      </c>
      <c r="V5" s="2">
        <v>0.311</v>
      </c>
      <c r="W5" s="2">
        <v>0.315</v>
      </c>
      <c r="X5" s="2">
        <v>0.25</v>
      </c>
      <c r="Y5" s="2">
        <v>0.68200000000000005</v>
      </c>
      <c r="Z5" s="2">
        <v>0.69</v>
      </c>
      <c r="AA5" s="2">
        <v>0.5</v>
      </c>
      <c r="AB5" s="3">
        <v>4</v>
      </c>
      <c r="AC5" s="3">
        <v>4</v>
      </c>
      <c r="AD5" s="3">
        <v>3</v>
      </c>
      <c r="AE5" s="3">
        <v>283</v>
      </c>
      <c r="AF5" s="3">
        <v>267</v>
      </c>
      <c r="AG5" s="3">
        <v>16</v>
      </c>
      <c r="AH5" s="3">
        <v>88</v>
      </c>
      <c r="AI5" s="3">
        <v>84</v>
      </c>
      <c r="AJ5" s="3">
        <v>4</v>
      </c>
      <c r="AK5" s="3">
        <v>60</v>
      </c>
      <c r="AL5" s="3">
        <v>58</v>
      </c>
      <c r="AM5" s="3">
        <v>2</v>
      </c>
      <c r="AN5" s="3">
        <v>2</v>
      </c>
      <c r="AO5" s="3">
        <v>2</v>
      </c>
      <c r="AP5" s="3">
        <v>2</v>
      </c>
      <c r="AQ5" s="3">
        <v>7</v>
      </c>
      <c r="AR5" s="3">
        <v>75</v>
      </c>
      <c r="AS5" s="2">
        <v>6.8000000000000005E-2</v>
      </c>
      <c r="AT5" t="s">
        <v>53</v>
      </c>
      <c r="AU5" t="s">
        <v>54</v>
      </c>
      <c r="AV5" s="4" t="s">
        <v>55</v>
      </c>
    </row>
    <row r="6" spans="1:48" x14ac:dyDescent="0.25">
      <c r="A6" t="s">
        <v>51</v>
      </c>
      <c r="B6">
        <v>4994709</v>
      </c>
      <c r="C6" s="22" t="s">
        <v>56</v>
      </c>
      <c r="D6" s="1">
        <v>4.8</v>
      </c>
      <c r="E6" s="1">
        <v>4.8</v>
      </c>
      <c r="F6" s="2">
        <v>0.98399999999999999</v>
      </c>
      <c r="G6" s="1">
        <v>4.82</v>
      </c>
      <c r="H6" s="19">
        <v>0.86899999999999999</v>
      </c>
      <c r="I6" s="2">
        <v>0.91800000000000004</v>
      </c>
      <c r="J6" s="14">
        <v>0.73799999999999999</v>
      </c>
      <c r="K6" s="1">
        <v>4.91</v>
      </c>
      <c r="L6" s="19">
        <v>0.82799999999999996</v>
      </c>
      <c r="M6" s="1">
        <v>4.8499999999999996</v>
      </c>
      <c r="N6" s="1">
        <v>4.8099999999999996</v>
      </c>
      <c r="O6" s="1">
        <v>4.91</v>
      </c>
      <c r="P6" s="1">
        <v>4.8390000000000004</v>
      </c>
      <c r="Q6" s="15">
        <v>0.81100000000000005</v>
      </c>
      <c r="R6" s="16">
        <v>0.86699999999999999</v>
      </c>
      <c r="S6" s="17">
        <v>4.78</v>
      </c>
      <c r="T6" s="17">
        <v>9.2100000000000009</v>
      </c>
      <c r="U6" s="15">
        <v>0.99299999999999999</v>
      </c>
      <c r="V6" s="2">
        <v>0.3</v>
      </c>
      <c r="W6" s="2">
        <v>0.312</v>
      </c>
      <c r="X6" s="2">
        <v>0.23</v>
      </c>
      <c r="Y6" s="2">
        <v>0.81100000000000005</v>
      </c>
      <c r="Z6" s="2">
        <v>0.79600000000000004</v>
      </c>
      <c r="AA6" s="2">
        <v>0.92900000000000005</v>
      </c>
      <c r="AB6" s="3">
        <v>4</v>
      </c>
      <c r="AC6" s="3">
        <v>4</v>
      </c>
      <c r="AD6" s="3">
        <v>3</v>
      </c>
      <c r="AE6" s="3">
        <v>407</v>
      </c>
      <c r="AF6" s="3">
        <v>346</v>
      </c>
      <c r="AG6" s="3">
        <v>61</v>
      </c>
      <c r="AH6" s="3">
        <v>122</v>
      </c>
      <c r="AI6" s="3">
        <v>108</v>
      </c>
      <c r="AJ6" s="3">
        <v>14</v>
      </c>
      <c r="AK6" s="3">
        <v>99</v>
      </c>
      <c r="AL6" s="3">
        <v>86</v>
      </c>
      <c r="AM6" s="3">
        <v>13</v>
      </c>
      <c r="AN6" s="3">
        <v>2</v>
      </c>
      <c r="AO6" s="3">
        <v>0</v>
      </c>
      <c r="AP6" s="3">
        <v>2</v>
      </c>
      <c r="AQ6" s="3">
        <v>13</v>
      </c>
      <c r="AR6" s="3">
        <v>105</v>
      </c>
      <c r="AS6" s="2">
        <v>3.3000000000000002E-2</v>
      </c>
      <c r="AT6" t="s">
        <v>53</v>
      </c>
      <c r="AU6" t="s">
        <v>54</v>
      </c>
      <c r="AV6" s="4" t="s">
        <v>55</v>
      </c>
    </row>
    <row r="7" spans="1:48" x14ac:dyDescent="0.25">
      <c r="A7" t="s">
        <v>51</v>
      </c>
      <c r="B7">
        <v>4994711</v>
      </c>
      <c r="C7" s="22" t="s">
        <v>57</v>
      </c>
      <c r="D7" s="1">
        <v>4.6900000000000004</v>
      </c>
      <c r="E7" s="1">
        <v>4.79</v>
      </c>
      <c r="F7" s="2">
        <v>1</v>
      </c>
      <c r="G7" s="1">
        <v>4.8099999999999996</v>
      </c>
      <c r="H7" s="14">
        <v>0.79200000000000004</v>
      </c>
      <c r="I7" s="2">
        <v>0.87</v>
      </c>
      <c r="J7" s="14">
        <v>0.77900000000000003</v>
      </c>
      <c r="K7" s="1">
        <v>4.87</v>
      </c>
      <c r="L7" s="19">
        <v>0.89600000000000002</v>
      </c>
      <c r="M7" s="1">
        <v>4.74</v>
      </c>
      <c r="N7" s="1">
        <v>4.8600000000000003</v>
      </c>
      <c r="O7" s="1">
        <v>4.92</v>
      </c>
      <c r="P7" s="1">
        <v>4.8090000000000002</v>
      </c>
      <c r="Q7" s="15">
        <v>0.82299999999999995</v>
      </c>
      <c r="R7" s="16">
        <v>0.86799999999999999</v>
      </c>
      <c r="S7" s="17">
        <v>4.66</v>
      </c>
      <c r="T7" s="17">
        <v>9.02</v>
      </c>
      <c r="U7" s="15">
        <v>0.97699999999999998</v>
      </c>
      <c r="V7" s="2">
        <v>0.34699999999999998</v>
      </c>
      <c r="W7" s="2">
        <v>0.38</v>
      </c>
      <c r="X7" s="2">
        <v>0.245</v>
      </c>
      <c r="Y7" s="2">
        <v>0.65300000000000002</v>
      </c>
      <c r="Z7" s="2">
        <v>0.629</v>
      </c>
      <c r="AA7" s="2">
        <v>0.76900000000000002</v>
      </c>
      <c r="AB7" s="3">
        <v>3</v>
      </c>
      <c r="AC7" s="3">
        <v>3</v>
      </c>
      <c r="AD7" s="3">
        <v>3</v>
      </c>
      <c r="AE7" s="3">
        <v>216</v>
      </c>
      <c r="AF7" s="3">
        <v>163</v>
      </c>
      <c r="AG7" s="3">
        <v>53</v>
      </c>
      <c r="AH7" s="3">
        <v>75</v>
      </c>
      <c r="AI7" s="3">
        <v>62</v>
      </c>
      <c r="AJ7" s="3">
        <v>13</v>
      </c>
      <c r="AK7" s="3">
        <v>49</v>
      </c>
      <c r="AL7" s="3">
        <v>39</v>
      </c>
      <c r="AM7" s="3">
        <v>10</v>
      </c>
      <c r="AN7" s="3">
        <v>0</v>
      </c>
      <c r="AO7" s="3">
        <v>2</v>
      </c>
      <c r="AP7" s="3">
        <v>3</v>
      </c>
      <c r="AQ7" s="3">
        <v>12</v>
      </c>
      <c r="AR7" s="3">
        <v>60</v>
      </c>
      <c r="AS7" s="2">
        <v>6.5000000000000002E-2</v>
      </c>
      <c r="AT7" t="s">
        <v>58</v>
      </c>
      <c r="AU7" t="s">
        <v>54</v>
      </c>
      <c r="AV7" s="4" t="s">
        <v>55</v>
      </c>
    </row>
    <row r="8" spans="1:48" x14ac:dyDescent="0.25">
      <c r="A8" t="s">
        <v>51</v>
      </c>
      <c r="B8">
        <v>4994758</v>
      </c>
      <c r="C8" s="24" t="s">
        <v>59</v>
      </c>
      <c r="D8" s="1">
        <v>4.76</v>
      </c>
      <c r="E8" s="1">
        <v>4.8</v>
      </c>
      <c r="F8" s="2">
        <v>0.99</v>
      </c>
      <c r="G8" s="1">
        <v>4.83</v>
      </c>
      <c r="H8" s="19">
        <v>0.82799999999999996</v>
      </c>
      <c r="I8" s="2">
        <v>0.879</v>
      </c>
      <c r="J8" s="14">
        <v>0.72699999999999998</v>
      </c>
      <c r="K8" s="1">
        <v>4.92</v>
      </c>
      <c r="L8" s="14">
        <v>0.76800000000000002</v>
      </c>
      <c r="M8" s="1">
        <v>4.8600000000000003</v>
      </c>
      <c r="N8" s="1">
        <v>4.74</v>
      </c>
      <c r="O8" s="1">
        <v>4.6900000000000004</v>
      </c>
      <c r="P8" s="1">
        <v>4.79</v>
      </c>
      <c r="Q8" s="18">
        <v>0.77400000000000002</v>
      </c>
      <c r="R8" s="16">
        <v>0.83799999999999997</v>
      </c>
      <c r="S8" s="17">
        <v>4.71</v>
      </c>
      <c r="T8" s="17">
        <v>9.36</v>
      </c>
      <c r="U8" s="15">
        <v>0.97299999999999998</v>
      </c>
      <c r="V8" s="2">
        <v>0.315</v>
      </c>
      <c r="W8" s="2">
        <v>0.35799999999999998</v>
      </c>
      <c r="X8" s="2">
        <v>0.23200000000000001</v>
      </c>
      <c r="Y8" s="2">
        <v>0.68500000000000005</v>
      </c>
      <c r="Z8" s="2">
        <v>0.71</v>
      </c>
      <c r="AA8" s="2">
        <v>0.60899999999999999</v>
      </c>
      <c r="AB8" s="3">
        <v>4</v>
      </c>
      <c r="AC8" s="3">
        <v>4</v>
      </c>
      <c r="AD8" s="3">
        <v>3</v>
      </c>
      <c r="AE8" s="3">
        <v>292</v>
      </c>
      <c r="AF8" s="3">
        <v>193</v>
      </c>
      <c r="AG8" s="3">
        <v>99</v>
      </c>
      <c r="AH8" s="3">
        <v>92</v>
      </c>
      <c r="AI8" s="3">
        <v>69</v>
      </c>
      <c r="AJ8" s="3">
        <v>23</v>
      </c>
      <c r="AK8" s="3">
        <v>63</v>
      </c>
      <c r="AL8" s="3">
        <v>49</v>
      </c>
      <c r="AM8" s="3">
        <v>14</v>
      </c>
      <c r="AN8" s="3">
        <v>1</v>
      </c>
      <c r="AO8" s="3">
        <v>1</v>
      </c>
      <c r="AP8" s="3">
        <v>4</v>
      </c>
      <c r="AQ8" s="3">
        <v>9</v>
      </c>
      <c r="AR8" s="3">
        <v>84</v>
      </c>
      <c r="AS8" s="2">
        <v>6.0999999999999999E-2</v>
      </c>
      <c r="AT8" t="s">
        <v>53</v>
      </c>
      <c r="AU8" t="s">
        <v>60</v>
      </c>
      <c r="AV8" s="4" t="s">
        <v>55</v>
      </c>
    </row>
    <row r="9" spans="1:48" x14ac:dyDescent="0.25">
      <c r="A9" t="s">
        <v>51</v>
      </c>
      <c r="B9">
        <v>4994760</v>
      </c>
      <c r="C9" s="22" t="s">
        <v>61</v>
      </c>
      <c r="D9" s="1">
        <v>4.8600000000000003</v>
      </c>
      <c r="E9" s="1">
        <v>4.9000000000000004</v>
      </c>
      <c r="F9" s="2">
        <v>0.98599999999999999</v>
      </c>
      <c r="G9" s="1">
        <v>4.8600000000000003</v>
      </c>
      <c r="H9" s="19">
        <v>0.877</v>
      </c>
      <c r="I9" s="2">
        <v>0.94499999999999995</v>
      </c>
      <c r="J9" s="14">
        <v>0.79500000000000004</v>
      </c>
      <c r="K9" s="1">
        <v>4.91</v>
      </c>
      <c r="L9" s="14">
        <v>0.79500000000000004</v>
      </c>
      <c r="M9" s="1">
        <v>5</v>
      </c>
      <c r="N9" s="1">
        <v>4.8499999999999996</v>
      </c>
      <c r="O9" s="1">
        <v>4.92</v>
      </c>
      <c r="P9" s="1">
        <v>4.8979999999999997</v>
      </c>
      <c r="Q9" s="15">
        <v>0.82199999999999995</v>
      </c>
      <c r="R9" s="16">
        <v>0.879</v>
      </c>
      <c r="S9" s="17">
        <v>4.88</v>
      </c>
      <c r="T9" s="17">
        <v>9.59</v>
      </c>
      <c r="U9" s="15">
        <v>0.89600000000000002</v>
      </c>
      <c r="V9" s="2">
        <v>0.38400000000000001</v>
      </c>
      <c r="W9" s="2">
        <v>0.437</v>
      </c>
      <c r="X9" s="2">
        <v>0.28100000000000003</v>
      </c>
      <c r="Y9" s="2">
        <v>0.56200000000000006</v>
      </c>
      <c r="Z9" s="2">
        <v>0.58199999999999996</v>
      </c>
      <c r="AA9" s="2">
        <v>0.5</v>
      </c>
      <c r="AB9" s="3">
        <v>4</v>
      </c>
      <c r="AC9" s="3">
        <v>5</v>
      </c>
      <c r="AD9" s="3">
        <v>4</v>
      </c>
      <c r="AE9" s="3">
        <v>190</v>
      </c>
      <c r="AF9" s="3">
        <v>126</v>
      </c>
      <c r="AG9" s="3">
        <v>64</v>
      </c>
      <c r="AH9" s="3">
        <v>73</v>
      </c>
      <c r="AI9" s="3">
        <v>55</v>
      </c>
      <c r="AJ9" s="3">
        <v>18</v>
      </c>
      <c r="AK9" s="3">
        <v>41</v>
      </c>
      <c r="AL9" s="3">
        <v>32</v>
      </c>
      <c r="AM9" s="3">
        <v>9</v>
      </c>
      <c r="AN9" s="3">
        <v>0</v>
      </c>
      <c r="AO9" s="3">
        <v>1</v>
      </c>
      <c r="AP9" s="3">
        <v>2</v>
      </c>
      <c r="AQ9" s="3">
        <v>3</v>
      </c>
      <c r="AR9" s="3">
        <v>67</v>
      </c>
      <c r="AS9" s="2">
        <v>4.1000000000000002E-2</v>
      </c>
      <c r="AT9" t="s">
        <v>53</v>
      </c>
      <c r="AU9" t="s">
        <v>60</v>
      </c>
      <c r="AV9" s="4" t="s">
        <v>55</v>
      </c>
    </row>
    <row r="10" spans="1:48" x14ac:dyDescent="0.25">
      <c r="A10" t="s">
        <v>51</v>
      </c>
      <c r="B10">
        <v>4994761</v>
      </c>
      <c r="C10" s="21" t="s">
        <v>62</v>
      </c>
      <c r="D10" s="1">
        <v>4.5999999999999996</v>
      </c>
      <c r="E10" s="1">
        <v>4.7</v>
      </c>
      <c r="F10" s="2">
        <v>0.97199999999999998</v>
      </c>
      <c r="G10" s="1">
        <v>4.6900000000000004</v>
      </c>
      <c r="H10" s="14">
        <v>0.78</v>
      </c>
      <c r="I10" s="2">
        <v>0.82299999999999995</v>
      </c>
      <c r="J10" s="14">
        <v>0.73</v>
      </c>
      <c r="K10" s="1">
        <v>4.79</v>
      </c>
      <c r="L10" s="14">
        <v>0.66700000000000004</v>
      </c>
      <c r="M10" s="1">
        <v>4.8099999999999996</v>
      </c>
      <c r="N10" s="1">
        <v>4.6900000000000004</v>
      </c>
      <c r="O10" s="1">
        <v>4.71</v>
      </c>
      <c r="P10" s="1">
        <v>4.7030000000000003</v>
      </c>
      <c r="Q10" s="18">
        <v>0.72599999999999998</v>
      </c>
      <c r="R10" s="16">
        <v>0.79400000000000004</v>
      </c>
      <c r="S10" s="17">
        <v>4.75</v>
      </c>
      <c r="T10" s="17">
        <v>9.2100000000000009</v>
      </c>
      <c r="U10" s="15">
        <v>0.96599999999999997</v>
      </c>
      <c r="V10" s="2">
        <v>0.255</v>
      </c>
      <c r="W10" s="2">
        <v>0.27600000000000002</v>
      </c>
      <c r="X10" s="2">
        <v>0.17</v>
      </c>
      <c r="Y10" s="2">
        <v>0.77300000000000002</v>
      </c>
      <c r="Z10" s="2">
        <v>0.8</v>
      </c>
      <c r="AA10" s="2">
        <v>0.58799999999999997</v>
      </c>
      <c r="AB10" s="3">
        <v>3</v>
      </c>
      <c r="AC10" s="3">
        <v>3</v>
      </c>
      <c r="AD10" s="3">
        <v>2</v>
      </c>
      <c r="AE10" s="3">
        <v>517</v>
      </c>
      <c r="AF10" s="3">
        <v>417</v>
      </c>
      <c r="AG10" s="3">
        <v>100</v>
      </c>
      <c r="AH10" s="3">
        <v>132</v>
      </c>
      <c r="AI10" s="3">
        <v>115</v>
      </c>
      <c r="AJ10" s="3">
        <v>17</v>
      </c>
      <c r="AK10" s="3">
        <v>102</v>
      </c>
      <c r="AL10" s="3">
        <v>92</v>
      </c>
      <c r="AM10" s="3">
        <v>10</v>
      </c>
      <c r="AN10" s="3">
        <v>4</v>
      </c>
      <c r="AO10" s="3">
        <v>3</v>
      </c>
      <c r="AP10" s="3">
        <v>8</v>
      </c>
      <c r="AQ10" s="3">
        <v>16</v>
      </c>
      <c r="AR10" s="3">
        <v>110</v>
      </c>
      <c r="AS10" s="2">
        <v>0.106</v>
      </c>
      <c r="AT10" t="s">
        <v>53</v>
      </c>
      <c r="AU10" t="s">
        <v>60</v>
      </c>
      <c r="AV10" s="4" t="s">
        <v>55</v>
      </c>
    </row>
    <row r="11" spans="1:48" x14ac:dyDescent="0.25">
      <c r="A11" t="s">
        <v>51</v>
      </c>
      <c r="B11">
        <v>4994770</v>
      </c>
      <c r="C11" s="20" t="s">
        <v>63</v>
      </c>
      <c r="D11" s="1">
        <v>4.8600000000000003</v>
      </c>
      <c r="E11" s="1">
        <v>4.8600000000000003</v>
      </c>
      <c r="F11" s="2">
        <v>0.98799999999999999</v>
      </c>
      <c r="G11" s="1">
        <v>4.8600000000000003</v>
      </c>
      <c r="H11" s="19">
        <v>0.90100000000000002</v>
      </c>
      <c r="I11" s="2">
        <v>0.98799999999999999</v>
      </c>
      <c r="J11" s="14">
        <v>0.77800000000000002</v>
      </c>
      <c r="K11" s="1">
        <v>4.75</v>
      </c>
      <c r="L11" s="19">
        <v>0.81499999999999995</v>
      </c>
      <c r="M11" s="1">
        <v>4.9400000000000004</v>
      </c>
      <c r="N11" s="1">
        <v>4.8099999999999996</v>
      </c>
      <c r="O11" s="1">
        <v>4.72</v>
      </c>
      <c r="P11" s="1">
        <v>4.83</v>
      </c>
      <c r="Q11" s="15">
        <v>0.83099999999999996</v>
      </c>
      <c r="R11" s="16">
        <v>0.89400000000000002</v>
      </c>
      <c r="S11" s="17">
        <v>4.82</v>
      </c>
      <c r="T11" s="17">
        <v>9.2899999999999991</v>
      </c>
      <c r="U11" s="15">
        <v>0.89900000000000002</v>
      </c>
      <c r="V11" s="2">
        <v>0.27300000000000002</v>
      </c>
      <c r="W11" s="2">
        <v>0.31</v>
      </c>
      <c r="X11" s="2">
        <v>8.6999999999999994E-2</v>
      </c>
      <c r="Y11" s="2">
        <v>0.78700000000000003</v>
      </c>
      <c r="Z11" s="2">
        <v>0.78900000000000003</v>
      </c>
      <c r="AA11" s="2">
        <v>0.75</v>
      </c>
      <c r="AB11" s="3">
        <v>4</v>
      </c>
      <c r="AC11" s="3">
        <v>4</v>
      </c>
      <c r="AD11" s="3">
        <v>4</v>
      </c>
      <c r="AE11" s="3">
        <v>275</v>
      </c>
      <c r="AF11" s="3">
        <v>229</v>
      </c>
      <c r="AG11" s="3">
        <v>46</v>
      </c>
      <c r="AH11" s="3">
        <v>75</v>
      </c>
      <c r="AI11" s="3">
        <v>71</v>
      </c>
      <c r="AJ11" s="3">
        <v>4</v>
      </c>
      <c r="AK11" s="3">
        <v>59</v>
      </c>
      <c r="AL11" s="3">
        <v>56</v>
      </c>
      <c r="AM11" s="3">
        <v>3</v>
      </c>
      <c r="AN11" s="3">
        <v>1</v>
      </c>
      <c r="AO11" s="3">
        <v>0</v>
      </c>
      <c r="AP11" s="3">
        <v>1</v>
      </c>
      <c r="AQ11" s="3">
        <v>5</v>
      </c>
      <c r="AR11" s="3">
        <v>74</v>
      </c>
      <c r="AS11" s="2">
        <v>2.5000000000000001E-2</v>
      </c>
      <c r="AT11" t="s">
        <v>53</v>
      </c>
      <c r="AU11" t="s">
        <v>54</v>
      </c>
      <c r="AV11" s="4" t="s">
        <v>55</v>
      </c>
    </row>
    <row r="12" spans="1:48" x14ac:dyDescent="0.25">
      <c r="A12" t="s">
        <v>51</v>
      </c>
      <c r="B12">
        <v>4994773</v>
      </c>
      <c r="C12" s="20" t="s">
        <v>64</v>
      </c>
      <c r="D12" s="1">
        <v>4.88</v>
      </c>
      <c r="E12" s="1">
        <v>4.82</v>
      </c>
      <c r="F12" s="2">
        <v>1</v>
      </c>
      <c r="G12" s="1">
        <v>4.82</v>
      </c>
      <c r="H12" s="19">
        <v>0.89800000000000002</v>
      </c>
      <c r="I12" s="2">
        <v>0.98</v>
      </c>
      <c r="J12" s="19">
        <v>0.83699999999999997</v>
      </c>
      <c r="K12" s="1">
        <v>4.88</v>
      </c>
      <c r="L12" s="14">
        <v>0.73499999999999999</v>
      </c>
      <c r="M12" s="1">
        <v>4.9400000000000004</v>
      </c>
      <c r="N12" s="1">
        <v>4.92</v>
      </c>
      <c r="O12" s="1">
        <v>4.8600000000000003</v>
      </c>
      <c r="P12" s="1">
        <v>4.87</v>
      </c>
      <c r="Q12" s="15">
        <v>0.82299999999999995</v>
      </c>
      <c r="R12" s="16">
        <v>0.89</v>
      </c>
      <c r="S12" s="17">
        <v>4.8600000000000003</v>
      </c>
      <c r="T12" s="17">
        <v>9.7100000000000009</v>
      </c>
      <c r="U12" s="15">
        <v>0.99199999999999999</v>
      </c>
      <c r="V12" s="2">
        <v>0.39500000000000002</v>
      </c>
      <c r="W12" s="2">
        <v>0.40799999999999997</v>
      </c>
      <c r="X12" s="2">
        <v>0</v>
      </c>
      <c r="Y12" s="2">
        <v>0.57099999999999995</v>
      </c>
      <c r="Z12" s="2">
        <v>0.57099999999999995</v>
      </c>
      <c r="AA12" s="2" t="s">
        <v>50</v>
      </c>
      <c r="AB12" s="3">
        <v>3</v>
      </c>
      <c r="AC12" s="3">
        <v>3</v>
      </c>
      <c r="AD12" s="3">
        <v>0</v>
      </c>
      <c r="AE12" s="3">
        <v>124</v>
      </c>
      <c r="AF12" s="3">
        <v>120</v>
      </c>
      <c r="AG12" s="3">
        <v>4</v>
      </c>
      <c r="AH12" s="3">
        <v>49</v>
      </c>
      <c r="AI12" s="3">
        <v>49</v>
      </c>
      <c r="AJ12" s="3">
        <v>0</v>
      </c>
      <c r="AK12" s="3">
        <v>28</v>
      </c>
      <c r="AL12" s="3">
        <v>28</v>
      </c>
      <c r="AM12" s="3">
        <v>0</v>
      </c>
      <c r="AN12" s="3">
        <v>0</v>
      </c>
      <c r="AO12" s="3">
        <v>0</v>
      </c>
      <c r="AP12" s="3">
        <v>0</v>
      </c>
      <c r="AQ12" s="3">
        <v>6</v>
      </c>
      <c r="AR12" s="3">
        <v>43</v>
      </c>
      <c r="AS12" s="2">
        <v>0</v>
      </c>
      <c r="AT12" t="s">
        <v>58</v>
      </c>
      <c r="AU12" t="s">
        <v>65</v>
      </c>
      <c r="AV12" s="4" t="s">
        <v>55</v>
      </c>
    </row>
    <row r="13" spans="1:48" x14ac:dyDescent="0.25">
      <c r="A13" t="s">
        <v>51</v>
      </c>
      <c r="B13">
        <v>4994774</v>
      </c>
      <c r="C13" s="20" t="s">
        <v>66</v>
      </c>
      <c r="D13" s="1">
        <v>4.7699999999999996</v>
      </c>
      <c r="E13" s="1">
        <v>4.87</v>
      </c>
      <c r="F13" s="2">
        <v>0.99</v>
      </c>
      <c r="G13" s="1">
        <v>4.8499999999999996</v>
      </c>
      <c r="H13" s="19">
        <v>0.83299999999999996</v>
      </c>
      <c r="I13" s="2">
        <v>0.92700000000000005</v>
      </c>
      <c r="J13" s="14">
        <v>0.78600000000000003</v>
      </c>
      <c r="K13" s="1">
        <v>4.84</v>
      </c>
      <c r="L13" s="19">
        <v>0.90100000000000002</v>
      </c>
      <c r="M13" s="1">
        <v>4.8600000000000003</v>
      </c>
      <c r="N13" s="1">
        <v>4.8099999999999996</v>
      </c>
      <c r="O13" s="1">
        <v>4.92</v>
      </c>
      <c r="P13" s="1">
        <v>4.8470000000000004</v>
      </c>
      <c r="Q13" s="15">
        <v>0.84</v>
      </c>
      <c r="R13" s="16">
        <v>0.88800000000000001</v>
      </c>
      <c r="S13" s="17">
        <v>4.7699999999999996</v>
      </c>
      <c r="T13" s="17">
        <v>9.35</v>
      </c>
      <c r="U13" s="15">
        <v>0.98699999999999999</v>
      </c>
      <c r="V13" s="2">
        <v>0.39200000000000002</v>
      </c>
      <c r="W13" s="2">
        <v>0.39200000000000002</v>
      </c>
      <c r="X13" s="2">
        <v>0.4</v>
      </c>
      <c r="Y13" s="2">
        <v>0.70699999999999996</v>
      </c>
      <c r="Z13" s="2">
        <v>0.71099999999999997</v>
      </c>
      <c r="AA13" s="2">
        <v>0.66700000000000004</v>
      </c>
      <c r="AB13" s="3">
        <v>4</v>
      </c>
      <c r="AC13" s="3">
        <v>4</v>
      </c>
      <c r="AD13" s="3">
        <v>4</v>
      </c>
      <c r="AE13" s="3">
        <v>469</v>
      </c>
      <c r="AF13" s="3">
        <v>424</v>
      </c>
      <c r="AG13" s="3">
        <v>45</v>
      </c>
      <c r="AH13" s="3">
        <v>184</v>
      </c>
      <c r="AI13" s="3">
        <v>166</v>
      </c>
      <c r="AJ13" s="3">
        <v>18</v>
      </c>
      <c r="AK13" s="3">
        <v>130</v>
      </c>
      <c r="AL13" s="3">
        <v>118</v>
      </c>
      <c r="AM13" s="3">
        <v>12</v>
      </c>
      <c r="AN13" s="3">
        <v>1</v>
      </c>
      <c r="AO13" s="3">
        <v>4</v>
      </c>
      <c r="AP13" s="3">
        <v>7</v>
      </c>
      <c r="AQ13" s="3">
        <v>14</v>
      </c>
      <c r="AR13" s="3">
        <v>166</v>
      </c>
      <c r="AS13" s="2">
        <v>6.3E-2</v>
      </c>
      <c r="AT13" t="s">
        <v>58</v>
      </c>
      <c r="AU13" t="s">
        <v>60</v>
      </c>
      <c r="AV13" s="4" t="s">
        <v>55</v>
      </c>
    </row>
    <row r="14" spans="1:48" x14ac:dyDescent="0.25">
      <c r="A14" t="s">
        <v>51</v>
      </c>
      <c r="B14">
        <v>4994785</v>
      </c>
      <c r="C14" s="21" t="s">
        <v>67</v>
      </c>
      <c r="D14" s="1">
        <v>4.6900000000000004</v>
      </c>
      <c r="E14" s="1">
        <v>4.7300000000000004</v>
      </c>
      <c r="F14" s="2">
        <v>0.96199999999999997</v>
      </c>
      <c r="G14" s="1">
        <v>4.79</v>
      </c>
      <c r="H14" s="14">
        <v>0.77900000000000003</v>
      </c>
      <c r="I14" s="2">
        <v>0.93300000000000005</v>
      </c>
      <c r="J14" s="14">
        <v>0.78800000000000003</v>
      </c>
      <c r="K14" s="1">
        <v>4.8600000000000003</v>
      </c>
      <c r="L14" s="14">
        <v>0.67300000000000004</v>
      </c>
      <c r="M14" s="1">
        <v>4.96</v>
      </c>
      <c r="N14" s="1">
        <v>4.7699999999999996</v>
      </c>
      <c r="O14" s="1">
        <v>4.91</v>
      </c>
      <c r="P14" s="1">
        <v>4.8070000000000004</v>
      </c>
      <c r="Q14" s="18">
        <v>0.747</v>
      </c>
      <c r="R14" s="16">
        <v>0.82699999999999996</v>
      </c>
      <c r="S14" s="17">
        <v>4.8</v>
      </c>
      <c r="T14" s="17">
        <v>9.41</v>
      </c>
      <c r="U14" s="15">
        <v>0.98699999999999999</v>
      </c>
      <c r="V14" s="2">
        <v>0.32600000000000001</v>
      </c>
      <c r="W14" s="2">
        <v>0.32700000000000001</v>
      </c>
      <c r="X14" s="2">
        <v>0.313</v>
      </c>
      <c r="Y14" s="2">
        <v>0.72299999999999998</v>
      </c>
      <c r="Z14" s="2">
        <v>0.72899999999999998</v>
      </c>
      <c r="AA14" s="2">
        <v>0.6</v>
      </c>
      <c r="AB14" s="3">
        <v>4</v>
      </c>
      <c r="AC14" s="3">
        <v>4</v>
      </c>
      <c r="AD14" s="3">
        <v>5</v>
      </c>
      <c r="AE14" s="3">
        <v>310</v>
      </c>
      <c r="AF14" s="3">
        <v>294</v>
      </c>
      <c r="AG14" s="3">
        <v>16</v>
      </c>
      <c r="AH14" s="3">
        <v>101</v>
      </c>
      <c r="AI14" s="3">
        <v>96</v>
      </c>
      <c r="AJ14" s="3">
        <v>5</v>
      </c>
      <c r="AK14" s="3">
        <v>73</v>
      </c>
      <c r="AL14" s="3">
        <v>70</v>
      </c>
      <c r="AM14" s="3">
        <v>3</v>
      </c>
      <c r="AN14" s="3">
        <v>2</v>
      </c>
      <c r="AO14" s="3">
        <v>3</v>
      </c>
      <c r="AP14" s="3">
        <v>3</v>
      </c>
      <c r="AQ14" s="3">
        <v>9</v>
      </c>
      <c r="AR14" s="3">
        <v>87</v>
      </c>
      <c r="AS14" s="2">
        <v>7.6999999999999999E-2</v>
      </c>
      <c r="AT14" t="s">
        <v>58</v>
      </c>
      <c r="AU14" t="s">
        <v>54</v>
      </c>
      <c r="AV14" s="4" t="s">
        <v>55</v>
      </c>
    </row>
    <row r="15" spans="1:48" x14ac:dyDescent="0.25">
      <c r="A15" t="s">
        <v>51</v>
      </c>
      <c r="B15">
        <v>4994800</v>
      </c>
      <c r="C15" s="20" t="s">
        <v>68</v>
      </c>
      <c r="D15" s="1">
        <v>4.8899999999999997</v>
      </c>
      <c r="E15" s="1">
        <v>4.92</v>
      </c>
      <c r="F15" s="2">
        <v>1</v>
      </c>
      <c r="G15" s="1">
        <v>4.92</v>
      </c>
      <c r="H15" s="19">
        <v>0.89100000000000001</v>
      </c>
      <c r="I15" s="2">
        <v>0.96599999999999997</v>
      </c>
      <c r="J15" s="19">
        <v>0.88200000000000001</v>
      </c>
      <c r="K15" s="1">
        <v>4.9000000000000004</v>
      </c>
      <c r="L15" s="14">
        <v>0.79800000000000004</v>
      </c>
      <c r="M15" s="1">
        <v>4.97</v>
      </c>
      <c r="N15" s="1">
        <v>4.8899999999999997</v>
      </c>
      <c r="O15" s="1">
        <v>4.92</v>
      </c>
      <c r="P15" s="1">
        <v>4.9169999999999998</v>
      </c>
      <c r="Q15" s="15">
        <v>0.85699999999999998</v>
      </c>
      <c r="R15" s="16">
        <v>0.90800000000000003</v>
      </c>
      <c r="S15" s="17">
        <v>4.87</v>
      </c>
      <c r="T15" s="17">
        <v>9.58</v>
      </c>
      <c r="U15" s="15">
        <v>0.95</v>
      </c>
      <c r="V15" s="2">
        <v>0.27900000000000003</v>
      </c>
      <c r="W15" s="2">
        <v>0.19400000000000001</v>
      </c>
      <c r="X15" s="2">
        <v>0.28599999999999998</v>
      </c>
      <c r="Y15" s="2">
        <v>0.65</v>
      </c>
      <c r="Z15" s="2">
        <v>0.83299999999999996</v>
      </c>
      <c r="AA15" s="2">
        <v>0.64</v>
      </c>
      <c r="AB15" s="3">
        <v>3</v>
      </c>
      <c r="AC15" s="3">
        <v>2</v>
      </c>
      <c r="AD15" s="3">
        <v>3</v>
      </c>
      <c r="AE15" s="3">
        <v>419</v>
      </c>
      <c r="AF15" s="3">
        <v>31</v>
      </c>
      <c r="AG15" s="3">
        <v>388</v>
      </c>
      <c r="AH15" s="3">
        <v>117</v>
      </c>
      <c r="AI15" s="3">
        <v>6</v>
      </c>
      <c r="AJ15" s="3">
        <v>111</v>
      </c>
      <c r="AK15" s="3">
        <v>76</v>
      </c>
      <c r="AL15" s="3">
        <v>5</v>
      </c>
      <c r="AM15" s="3">
        <v>71</v>
      </c>
      <c r="AN15" s="3">
        <v>1</v>
      </c>
      <c r="AO15" s="3">
        <v>0</v>
      </c>
      <c r="AP15" s="3">
        <v>2</v>
      </c>
      <c r="AQ15" s="3">
        <v>5</v>
      </c>
      <c r="AR15" s="3">
        <v>111</v>
      </c>
      <c r="AS15" s="2">
        <v>2.5000000000000001E-2</v>
      </c>
      <c r="AT15" t="s">
        <v>53</v>
      </c>
      <c r="AU15" t="s">
        <v>54</v>
      </c>
      <c r="AV15" s="4" t="s">
        <v>55</v>
      </c>
    </row>
    <row r="16" spans="1:48" x14ac:dyDescent="0.25">
      <c r="A16" t="s">
        <v>51</v>
      </c>
      <c r="B16">
        <v>4994803</v>
      </c>
      <c r="C16" s="23" t="s">
        <v>69</v>
      </c>
      <c r="D16" s="1">
        <v>4.93</v>
      </c>
      <c r="E16" s="1">
        <v>4.96</v>
      </c>
      <c r="F16" s="2">
        <v>1</v>
      </c>
      <c r="G16" s="1">
        <v>4.95</v>
      </c>
      <c r="H16" s="19">
        <v>0.92400000000000004</v>
      </c>
      <c r="I16" s="2">
        <v>0.90800000000000003</v>
      </c>
      <c r="J16" s="19">
        <v>0.89300000000000002</v>
      </c>
      <c r="K16" s="1">
        <v>4.9000000000000004</v>
      </c>
      <c r="L16" s="19">
        <v>0.878</v>
      </c>
      <c r="M16" s="1">
        <v>4.93</v>
      </c>
      <c r="N16" s="1">
        <v>4.91</v>
      </c>
      <c r="O16" s="1">
        <v>4.97</v>
      </c>
      <c r="P16" s="1">
        <v>4.9370000000000003</v>
      </c>
      <c r="Q16" s="15">
        <v>0.89800000000000002</v>
      </c>
      <c r="R16" s="16">
        <v>0.92100000000000004</v>
      </c>
      <c r="S16" s="17">
        <v>4.88</v>
      </c>
      <c r="T16" s="17">
        <v>9.6999999999999993</v>
      </c>
      <c r="U16" s="15">
        <v>0.94599999999999995</v>
      </c>
      <c r="V16" s="2">
        <v>0.49</v>
      </c>
      <c r="W16" s="2">
        <v>0.51700000000000002</v>
      </c>
      <c r="X16" s="2">
        <v>0.28999999999999998</v>
      </c>
      <c r="Y16" s="2">
        <v>0.70299999999999996</v>
      </c>
      <c r="Z16" s="2">
        <v>0.70599999999999996</v>
      </c>
      <c r="AA16" s="2">
        <v>0.66700000000000004</v>
      </c>
      <c r="AB16" s="3">
        <v>4</v>
      </c>
      <c r="AC16" s="3">
        <v>3</v>
      </c>
      <c r="AD16" s="3">
        <v>6</v>
      </c>
      <c r="AE16" s="3">
        <v>261</v>
      </c>
      <c r="AF16" s="3">
        <v>230</v>
      </c>
      <c r="AG16" s="3">
        <v>31</v>
      </c>
      <c r="AH16" s="3">
        <v>128</v>
      </c>
      <c r="AI16" s="3">
        <v>119</v>
      </c>
      <c r="AJ16" s="3">
        <v>9</v>
      </c>
      <c r="AK16" s="3">
        <v>90</v>
      </c>
      <c r="AL16" s="3">
        <v>84</v>
      </c>
      <c r="AM16" s="3">
        <v>6</v>
      </c>
      <c r="AN16" s="3">
        <v>0</v>
      </c>
      <c r="AO16" s="3">
        <v>0</v>
      </c>
      <c r="AP16" s="3">
        <v>1</v>
      </c>
      <c r="AQ16" s="3">
        <v>7</v>
      </c>
      <c r="AR16" s="3">
        <v>123</v>
      </c>
      <c r="AS16" s="2">
        <v>8.0000000000000002E-3</v>
      </c>
      <c r="AT16" t="s">
        <v>58</v>
      </c>
      <c r="AU16" t="s">
        <v>60</v>
      </c>
      <c r="AV16" s="4" t="s">
        <v>55</v>
      </c>
    </row>
    <row r="17" spans="1:48" x14ac:dyDescent="0.25">
      <c r="A17" t="s">
        <v>51</v>
      </c>
      <c r="B17">
        <v>4994825</v>
      </c>
      <c r="C17" s="23" t="s">
        <v>70</v>
      </c>
      <c r="D17" s="1">
        <v>4.88</v>
      </c>
      <c r="E17" s="1">
        <v>4.92</v>
      </c>
      <c r="F17" s="2">
        <v>0.99</v>
      </c>
      <c r="G17" s="1">
        <v>4.92</v>
      </c>
      <c r="H17" s="19">
        <v>0.93600000000000005</v>
      </c>
      <c r="I17" s="2">
        <v>0.93200000000000005</v>
      </c>
      <c r="J17" s="19">
        <v>0.84099999999999997</v>
      </c>
      <c r="K17" s="1">
        <v>4.9400000000000004</v>
      </c>
      <c r="L17" s="19">
        <v>0.871</v>
      </c>
      <c r="M17" s="1">
        <v>4.95</v>
      </c>
      <c r="N17" s="1">
        <v>4.91</v>
      </c>
      <c r="O17" s="1">
        <v>4.9400000000000004</v>
      </c>
      <c r="P17" s="1">
        <v>4.9210000000000003</v>
      </c>
      <c r="Q17" s="15">
        <v>0.88200000000000001</v>
      </c>
      <c r="R17" s="16">
        <v>0.91400000000000003</v>
      </c>
      <c r="S17" s="17">
        <v>4.82</v>
      </c>
      <c r="T17" s="17">
        <v>9.41</v>
      </c>
      <c r="U17" s="15">
        <v>0.998</v>
      </c>
      <c r="V17" s="2">
        <v>0.47399999999999998</v>
      </c>
      <c r="W17" s="2">
        <v>0.48799999999999999</v>
      </c>
      <c r="X17" s="2">
        <v>0.24199999999999999</v>
      </c>
      <c r="Y17" s="2">
        <v>0.71299999999999997</v>
      </c>
      <c r="Z17" s="2">
        <v>0.71599999999999997</v>
      </c>
      <c r="AA17" s="2">
        <v>0.625</v>
      </c>
      <c r="AB17" s="3">
        <v>4</v>
      </c>
      <c r="AC17" s="3">
        <v>4</v>
      </c>
      <c r="AD17" s="3">
        <v>2</v>
      </c>
      <c r="AE17" s="3">
        <v>603</v>
      </c>
      <c r="AF17" s="3">
        <v>570</v>
      </c>
      <c r="AG17" s="3">
        <v>33</v>
      </c>
      <c r="AH17" s="3">
        <v>286</v>
      </c>
      <c r="AI17" s="3">
        <v>278</v>
      </c>
      <c r="AJ17" s="3">
        <v>8</v>
      </c>
      <c r="AK17" s="3">
        <v>204</v>
      </c>
      <c r="AL17" s="3">
        <v>199</v>
      </c>
      <c r="AM17" s="3">
        <v>5</v>
      </c>
      <c r="AN17" s="3">
        <v>5</v>
      </c>
      <c r="AO17" s="3">
        <v>1</v>
      </c>
      <c r="AP17" s="3">
        <v>3</v>
      </c>
      <c r="AQ17" s="3">
        <v>6</v>
      </c>
      <c r="AR17" s="3">
        <v>280</v>
      </c>
      <c r="AS17" s="2">
        <v>3.1E-2</v>
      </c>
      <c r="AT17" t="s">
        <v>53</v>
      </c>
      <c r="AU17" t="s">
        <v>54</v>
      </c>
      <c r="AV17" s="4" t="s">
        <v>55</v>
      </c>
    </row>
    <row r="18" spans="1:48" x14ac:dyDescent="0.25">
      <c r="A18" t="s">
        <v>51</v>
      </c>
      <c r="B18">
        <v>4994847</v>
      </c>
      <c r="C18" s="24" t="s">
        <v>71</v>
      </c>
      <c r="D18" s="1">
        <v>4.83</v>
      </c>
      <c r="E18" s="1">
        <v>4.83</v>
      </c>
      <c r="F18" s="2">
        <v>0.99299999999999999</v>
      </c>
      <c r="G18" s="1">
        <v>4.88</v>
      </c>
      <c r="H18" s="14">
        <v>0.79300000000000004</v>
      </c>
      <c r="I18" s="2">
        <v>0.9</v>
      </c>
      <c r="J18" s="14">
        <v>0.7</v>
      </c>
      <c r="K18" s="1">
        <v>4.93</v>
      </c>
      <c r="L18" s="19">
        <v>0.84699999999999998</v>
      </c>
      <c r="M18" s="1">
        <v>4.96</v>
      </c>
      <c r="N18" s="1">
        <v>4.83</v>
      </c>
      <c r="O18" s="1">
        <v>4.93</v>
      </c>
      <c r="P18" s="1">
        <v>4.8810000000000002</v>
      </c>
      <c r="Q18" s="18">
        <v>0.78</v>
      </c>
      <c r="R18" s="16">
        <v>0.84699999999999998</v>
      </c>
      <c r="S18" s="17">
        <v>4.79</v>
      </c>
      <c r="T18" s="17">
        <v>9.3699999999999992</v>
      </c>
      <c r="U18" s="15">
        <v>0.92200000000000004</v>
      </c>
      <c r="V18" s="2">
        <v>0.39500000000000002</v>
      </c>
      <c r="W18" s="2">
        <v>0.434</v>
      </c>
      <c r="X18" s="2">
        <v>0.36</v>
      </c>
      <c r="Y18" s="2">
        <v>0.69099999999999995</v>
      </c>
      <c r="Z18" s="2">
        <v>0.70799999999999996</v>
      </c>
      <c r="AA18" s="2">
        <v>0.67200000000000004</v>
      </c>
      <c r="AB18" s="3">
        <v>4</v>
      </c>
      <c r="AC18" s="3">
        <v>4</v>
      </c>
      <c r="AD18" s="3">
        <v>4</v>
      </c>
      <c r="AE18" s="3">
        <v>344</v>
      </c>
      <c r="AF18" s="3">
        <v>166</v>
      </c>
      <c r="AG18" s="3">
        <v>178</v>
      </c>
      <c r="AH18" s="3">
        <v>136</v>
      </c>
      <c r="AI18" s="3">
        <v>72</v>
      </c>
      <c r="AJ18" s="3">
        <v>64</v>
      </c>
      <c r="AK18" s="3">
        <v>94</v>
      </c>
      <c r="AL18" s="3">
        <v>51</v>
      </c>
      <c r="AM18" s="3">
        <v>43</v>
      </c>
      <c r="AN18" s="3">
        <v>1</v>
      </c>
      <c r="AO18" s="3">
        <v>0</v>
      </c>
      <c r="AP18" s="3">
        <v>4</v>
      </c>
      <c r="AQ18" s="3">
        <v>13</v>
      </c>
      <c r="AR18" s="3">
        <v>132</v>
      </c>
      <c r="AS18" s="2">
        <v>3.3000000000000002E-2</v>
      </c>
      <c r="AT18" t="s">
        <v>53</v>
      </c>
      <c r="AU18" t="s">
        <v>54</v>
      </c>
      <c r="AV18" s="4" t="s">
        <v>55</v>
      </c>
    </row>
    <row r="19" spans="1:48" x14ac:dyDescent="0.25">
      <c r="A19" t="s">
        <v>51</v>
      </c>
      <c r="B19">
        <v>4994849</v>
      </c>
      <c r="C19" s="22" t="s">
        <v>72</v>
      </c>
      <c r="D19" s="1">
        <v>4.79</v>
      </c>
      <c r="E19" s="1">
        <v>4.78</v>
      </c>
      <c r="F19" s="2">
        <v>0.97799999999999998</v>
      </c>
      <c r="G19" s="1">
        <v>4.82</v>
      </c>
      <c r="H19" s="19">
        <v>0.85399999999999998</v>
      </c>
      <c r="I19" s="2">
        <v>0.88800000000000001</v>
      </c>
      <c r="J19" s="14">
        <v>0.79800000000000004</v>
      </c>
      <c r="K19" s="1">
        <v>4.8899999999999997</v>
      </c>
      <c r="L19" s="14">
        <v>0.79800000000000004</v>
      </c>
      <c r="M19" s="1">
        <v>4.8499999999999996</v>
      </c>
      <c r="N19" s="1">
        <v>4.78</v>
      </c>
      <c r="O19" s="1">
        <v>4.8499999999999996</v>
      </c>
      <c r="P19" s="1">
        <v>4.8179999999999996</v>
      </c>
      <c r="Q19" s="15">
        <v>0.81599999999999995</v>
      </c>
      <c r="R19" s="16">
        <v>0.86299999999999999</v>
      </c>
      <c r="S19" s="17">
        <v>4.71</v>
      </c>
      <c r="T19" s="17">
        <v>9.32</v>
      </c>
      <c r="U19" s="15">
        <v>0.97699999999999998</v>
      </c>
      <c r="V19" s="2">
        <v>0.39400000000000002</v>
      </c>
      <c r="W19" s="2">
        <v>0.40100000000000002</v>
      </c>
      <c r="X19" s="2">
        <v>0.33300000000000002</v>
      </c>
      <c r="Y19" s="2">
        <v>0.72599999999999998</v>
      </c>
      <c r="Z19" s="2">
        <v>0.72699999999999998</v>
      </c>
      <c r="AA19" s="2">
        <v>0.71399999999999997</v>
      </c>
      <c r="AB19" s="3">
        <v>3</v>
      </c>
      <c r="AC19" s="3">
        <v>3</v>
      </c>
      <c r="AD19" s="3">
        <v>3</v>
      </c>
      <c r="AE19" s="3">
        <v>213</v>
      </c>
      <c r="AF19" s="3">
        <v>192</v>
      </c>
      <c r="AG19" s="3">
        <v>21</v>
      </c>
      <c r="AH19" s="3">
        <v>84</v>
      </c>
      <c r="AI19" s="3">
        <v>77</v>
      </c>
      <c r="AJ19" s="3">
        <v>7</v>
      </c>
      <c r="AK19" s="3">
        <v>61</v>
      </c>
      <c r="AL19" s="3">
        <v>56</v>
      </c>
      <c r="AM19" s="3">
        <v>5</v>
      </c>
      <c r="AN19" s="3">
        <v>1</v>
      </c>
      <c r="AO19" s="3">
        <v>0</v>
      </c>
      <c r="AP19" s="3">
        <v>2</v>
      </c>
      <c r="AQ19" s="3">
        <v>11</v>
      </c>
      <c r="AR19" s="3">
        <v>75</v>
      </c>
      <c r="AS19" s="2">
        <v>3.4000000000000002E-2</v>
      </c>
      <c r="AT19" t="s">
        <v>58</v>
      </c>
      <c r="AU19" t="s">
        <v>54</v>
      </c>
      <c r="AV19" s="4" t="s">
        <v>55</v>
      </c>
    </row>
  </sheetData>
  <mergeCells count="1">
    <mergeCell ref="A1:AV1"/>
  </mergeCells>
  <conditionalFormatting sqref="V3:V1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:D1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headerFooter>
    <oddFooter>&amp;L_x000D_&amp;1#&amp;"Aptos"&amp;8&amp;K000000 Public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5" x14ac:dyDescent="0.25"/>
  <cols>
    <col min="1" max="2" width="44" customWidth="1"/>
  </cols>
  <sheetData>
    <row r="1" spans="1:2" ht="24.95" customHeight="1" x14ac:dyDescent="0.45">
      <c r="A1" s="7" t="s">
        <v>73</v>
      </c>
      <c r="B1" s="8" t="s">
        <v>73</v>
      </c>
    </row>
    <row r="2" spans="1:2" x14ac:dyDescent="0.25">
      <c r="A2" s="9" t="s">
        <v>74</v>
      </c>
      <c r="B2" s="10" t="s">
        <v>75</v>
      </c>
    </row>
    <row r="3" spans="1:2" x14ac:dyDescent="0.25">
      <c r="A3" s="9" t="s">
        <v>76</v>
      </c>
      <c r="B3" s="10" t="s">
        <v>77</v>
      </c>
    </row>
    <row r="4" spans="1:2" x14ac:dyDescent="0.25">
      <c r="A4" s="9" t="s">
        <v>78</v>
      </c>
      <c r="B4" s="10" t="s">
        <v>79</v>
      </c>
    </row>
    <row r="5" spans="1:2" x14ac:dyDescent="0.25">
      <c r="A5" s="9" t="s">
        <v>80</v>
      </c>
      <c r="B5" s="10" t="s">
        <v>51</v>
      </c>
    </row>
    <row r="6" spans="1:2" x14ac:dyDescent="0.25">
      <c r="A6" s="9" t="s">
        <v>81</v>
      </c>
      <c r="B6" s="10" t="s">
        <v>82</v>
      </c>
    </row>
    <row r="7" spans="1:2" x14ac:dyDescent="0.25">
      <c r="A7" s="9" t="s">
        <v>83</v>
      </c>
      <c r="B7" s="10" t="s">
        <v>84</v>
      </c>
    </row>
    <row r="8" spans="1:2" x14ac:dyDescent="0.25">
      <c r="A8" s="9" t="s">
        <v>85</v>
      </c>
      <c r="B8" s="10" t="s">
        <v>86</v>
      </c>
    </row>
  </sheetData>
  <mergeCells count="15">
    <mergeCell ref="A7"/>
    <mergeCell ref="B7"/>
    <mergeCell ref="A8"/>
    <mergeCell ref="B8"/>
    <mergeCell ref="A4"/>
    <mergeCell ref="B4"/>
    <mergeCell ref="A5"/>
    <mergeCell ref="B5"/>
    <mergeCell ref="A6"/>
    <mergeCell ref="B6"/>
    <mergeCell ref="A1:B1"/>
    <mergeCell ref="A2"/>
    <mergeCell ref="B2"/>
    <mergeCell ref="A3"/>
    <mergeCell ref="B3"/>
  </mergeCells>
  <pageMargins left="0.7" right="0.7" top="0.75" bottom="0.75" header="0.3" footer="0.3"/>
  <headerFooter>
    <oddFooter>&amp;L_x000D_&amp;1#&amp;"Aptos"&amp;8&amp;K000000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Données</vt:lpstr>
      <vt:lpstr>Filtres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Bliss, Lauren</dc:creator>
  <cp:lastModifiedBy>Bliss, Lauren</cp:lastModifiedBy>
  <dcterms:created xsi:type="dcterms:W3CDTF">2026-01-05T04:50:35Z</dcterms:created>
  <dcterms:modified xsi:type="dcterms:W3CDTF">2026-01-05T04:50:35Z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7806285-441b-4b18-8285-1e926cc49120_Enabled">
    <vt:lpwstr>true</vt:lpwstr>
  </property>
  <property fmtid="{D5CDD505-2E9C-101B-9397-08002B2CF9AE}" pid="3" name="MSIP_Label_47806285-441b-4b18-8285-1e926cc49120_SetDate">
    <vt:lpwstr>2026-01-05T04:37:17Z</vt:lpwstr>
  </property>
  <property fmtid="{D5CDD505-2E9C-101B-9397-08002B2CF9AE}" pid="4" name="MSIP_Label_47806285-441b-4b18-8285-1e926cc49120_Method">
    <vt:lpwstr>Privileged</vt:lpwstr>
  </property>
  <property fmtid="{D5CDD505-2E9C-101B-9397-08002B2CF9AE}" pid="5" name="MSIP_Label_47806285-441b-4b18-8285-1e926cc49120_Name">
    <vt:lpwstr>Public</vt:lpwstr>
  </property>
  <property fmtid="{D5CDD505-2E9C-101B-9397-08002B2CF9AE}" pid="6" name="MSIP_Label_47806285-441b-4b18-8285-1e926cc49120_SiteId">
    <vt:lpwstr>11590e71-96da-476f-972d-10da30c8e6b2</vt:lpwstr>
  </property>
  <property fmtid="{D5CDD505-2E9C-101B-9397-08002B2CF9AE}" pid="7" name="MSIP_Label_47806285-441b-4b18-8285-1e926cc49120_ActionId">
    <vt:lpwstr>0fcaaabd-db6f-4876-8d73-e17ca51acb60</vt:lpwstr>
  </property>
  <property fmtid="{D5CDD505-2E9C-101B-9397-08002B2CF9AE}" pid="8" name="MSIP_Label_47806285-441b-4b18-8285-1e926cc49120_ContentBits">
    <vt:lpwstr>2</vt:lpwstr>
  </property>
  <property fmtid="{D5CDD505-2E9C-101B-9397-08002B2CF9AE}" pid="9" name="MSIP_Label_47806285-441b-4b18-8285-1e926cc49120_Tag">
    <vt:lpwstr>10, 0, 1, 1</vt:lpwstr>
  </property>
</Properties>
</file>