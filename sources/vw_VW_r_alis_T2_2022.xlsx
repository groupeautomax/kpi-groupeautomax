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0By2Fs2Dk-bu8dmlhN2wwWlRYbHc\PARK AVENUE VOLKSWAGEN\5 Réalisé\2022\"/>
    </mc:Choice>
  </mc:AlternateContent>
  <xr:revisionPtr revIDLastSave="0" documentId="13_ncr:1_{1A24B48E-4877-42C6-947F-BF63FAE13506}" xr6:coauthVersionLast="47" xr6:coauthVersionMax="47" xr10:uidLastSave="{00000000-0000-0000-0000-000000000000}"/>
  <bookViews>
    <workbookView xWindow="-108" yWindow="-108" windowWidth="23256" windowHeight="12576" firstSheet="1" activeTab="1" xr2:uid="{508BF4A0-C9FC-49F5-A5A9-A2907877ABE5}"/>
  </bookViews>
  <sheets>
    <sheet name="Paramètre" sheetId="2" r:id="rId1"/>
    <sheet name="Conso" sheetId="1" r:id="rId2"/>
    <sheet name="START" sheetId="3" r:id="rId3"/>
    <sheet name="VW 2022-04" sheetId="15" r:id="rId4"/>
    <sheet name="VW 2022-05" sheetId="5" r:id="rId5"/>
    <sheet name="VW 2022-06" sheetId="6" r:id="rId6"/>
    <sheet name="END" sheetId="4" r:id="rId7"/>
  </sheets>
  <externalReferences>
    <externalReference r:id="rId8"/>
    <externalReference r:id="rId9"/>
    <externalReference r:id="rId10"/>
    <externalReference r:id="rId11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localSheetId="3" hidden="1">OFFSET([2]!DateRangePriceMain,5,0,COUNTA([2]!DateRangePriceMain)-COUNTA(#REF!),1)</definedName>
    <definedName name="DateRangePr" hidden="1">OFFSET([2]!DateRangePriceMain,5,0,COUNTA([2]!DateRangePriceMain)-COUNTA(#REF!),1)</definedName>
    <definedName name="DateRangePrice" localSheetId="3" hidden="1">OFFSET([3]!DateRangePriceMain,5,0,COUNTA([3]!DateRangePriceMain)-COUNTA(#REF!),1)</definedName>
    <definedName name="DateRangePrice" hidden="1">OFFSET([3]!DateRangePriceMain,5,0,COUNTA([3]!DateRangePriceMain)-COUNTA(#REF!),1)</definedName>
    <definedName name="DateRangePrice1" localSheetId="3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localSheetId="3" hidden="1">OFFSET([2]!DateRangePriceMain,5,0,COUNTA([2]!DateRangePriceMain)-COUNTA(#REF!),1)</definedName>
    <definedName name="DateRangePrice2" hidden="1">OFFSET([2]!DateRangePriceMain,5,0,COUNTA([2]!DateRangePriceMain)-COUNTA(#REF!),1)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OFFSET([3]!PriceRangeMain,5,0,COUNTA([3]!PriceRangeMain)-COUNTA(#REF!),1)</definedName>
    <definedName name="PriceRange" hidden="1">OFFSET([3]!PriceRangeMain,5,0,COUNTA([3]!PriceRangeMain)-COUNTA(#REF!),1)</definedName>
    <definedName name="PriceRange2" localSheetId="3" hidden="1">OFFSET([2]!PriceRangeMain,5,0,COUNTA([2]!PriceRangeMain)-COUNTA(#REF!),1)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OFFSET([2]!DateRangePriceMain,5,0,COUNTA([2]!DateRangePriceMain)-COUNTA(#REF!),1)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localSheetId="3" hidden="1">OFFSET([3]!DateRangePriceMain,5,0,COUNTA([3]!DateRangePriceMain)-COUNTA(#REF!),1)</definedName>
    <definedName name="value" hidden="1">OFFSET([3]!DateRangePriceMain,5,0,COUNTA([3]!DateRangePriceMain)-COUNTA(#REF!),1)</definedName>
    <definedName name="value2" localSheetId="3" hidden="1">OFFSET([2]!DateRangePriceMain,5,0,COUNTA([2]!DateRangePriceMain)-COUNTA(#REF!),1)</definedName>
    <definedName name="value2" hidden="1">OFFSET([2]!DateRangePriceMain,5,0,COUNTA([2]!DateRangePriceMain)-COUNTA(#REF!),1)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Conso!$C$1:$S$398,Conso!$V$401:$AO$497</definedName>
    <definedName name="_xlnm.Print_Area" localSheetId="3">'VW 2022-04'!#REF!,'VW 2022-04'!#REF!,'VW 2022-04'!#REF!,'VW 2022-04'!#REF!,'VW 2022-04'!#REF!,'VW 2022-04'!#REF!</definedName>
    <definedName name="_xlnm.Print_Area" localSheetId="4">'VW 2022-05'!#REF!,'VW 2022-05'!#REF!,'VW 2022-05'!#REF!,'VW 2022-05'!#REF!,'VW 2022-05'!#REF!,'VW 2022-05'!#REF!</definedName>
    <definedName name="_xlnm.Print_Area" localSheetId="5">'VW 2022-06'!$C$1:$T$697,'VW 2022-06'!$U$401:$AO$497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54" i="1" l="1"/>
  <c r="L354" i="1"/>
  <c r="I354" i="1"/>
  <c r="N166" i="1"/>
  <c r="L166" i="1"/>
  <c r="I166" i="1"/>
  <c r="Z419" i="1" l="1"/>
  <c r="AC419" i="1"/>
  <c r="Z425" i="1" l="1"/>
  <c r="Z448" i="1"/>
  <c r="Z436" i="1"/>
  <c r="Z429" i="1"/>
  <c r="Z439" i="1"/>
  <c r="Z444" i="1"/>
  <c r="Z447" i="1"/>
  <c r="AC436" i="1"/>
  <c r="Z434" i="1"/>
  <c r="Z441" i="1"/>
  <c r="Z427" i="1"/>
  <c r="Z423" i="1"/>
  <c r="Z435" i="1"/>
  <c r="Z442" i="1"/>
  <c r="Z421" i="1"/>
  <c r="Z445" i="1"/>
  <c r="AF419" i="1"/>
  <c r="Z449" i="1" l="1"/>
  <c r="Z424" i="1"/>
  <c r="AC412" i="1"/>
  <c r="Z426" i="1"/>
  <c r="AC410" i="1"/>
  <c r="Z450" i="1"/>
  <c r="AC430" i="1"/>
  <c r="Z446" i="1"/>
  <c r="Z430" i="1"/>
  <c r="AC445" i="1"/>
  <c r="Z428" i="1"/>
  <c r="Z437" i="1"/>
  <c r="Z440" i="1"/>
  <c r="Z443" i="1"/>
  <c r="AC411" i="1"/>
  <c r="Z433" i="1"/>
  <c r="Z438" i="1"/>
  <c r="Z422" i="1"/>
  <c r="AC449" i="1"/>
  <c r="Z408" i="1"/>
  <c r="AC414" i="1"/>
  <c r="AC446" i="1"/>
  <c r="AC437" i="1"/>
  <c r="AC444" i="1"/>
  <c r="AC450" i="1"/>
  <c r="Z412" i="1"/>
  <c r="AC438" i="1"/>
  <c r="AC413" i="1"/>
  <c r="AC440" i="1"/>
  <c r="AC421" i="1"/>
  <c r="AC426" i="1"/>
  <c r="AC435" i="1"/>
  <c r="AC448" i="1"/>
  <c r="AC434" i="1"/>
  <c r="AC427" i="1"/>
  <c r="AC408" i="1"/>
  <c r="AC423" i="1"/>
  <c r="AC428" i="1"/>
  <c r="Z414" i="1"/>
  <c r="AC443" i="1"/>
  <c r="Z411" i="1"/>
  <c r="AC447" i="1"/>
  <c r="AC433" i="1"/>
  <c r="AC439" i="1"/>
  <c r="AC429" i="1"/>
  <c r="AC441" i="1"/>
  <c r="Z410" i="1"/>
  <c r="AF436" i="1"/>
  <c r="AF412" i="1"/>
  <c r="AF437" i="1"/>
  <c r="AF449" i="1"/>
  <c r="AF434" i="1"/>
  <c r="AF438" i="1"/>
  <c r="AF450" i="1"/>
  <c r="AF423" i="1"/>
  <c r="AF433" i="1"/>
  <c r="AF446" i="1"/>
  <c r="AF421" i="1"/>
  <c r="AF430" i="1"/>
  <c r="AF424" i="1"/>
  <c r="AF439" i="1"/>
  <c r="AF447" i="1"/>
  <c r="AF441" i="1"/>
  <c r="AF425" i="1"/>
  <c r="AF428" i="1"/>
  <c r="AF448" i="1"/>
  <c r="AF410" i="1"/>
  <c r="AF442" i="1"/>
  <c r="AF426" i="1"/>
  <c r="AF445" i="1"/>
  <c r="AF429" i="1"/>
  <c r="AF443" i="1"/>
  <c r="AF427" i="1"/>
  <c r="AF411" i="1"/>
  <c r="AF413" i="1"/>
  <c r="AF444" i="1"/>
  <c r="AF409" i="1"/>
  <c r="AC425" i="1" l="1"/>
  <c r="AC422" i="1"/>
  <c r="AC424" i="1"/>
  <c r="Z420" i="1"/>
  <c r="AC420" i="1"/>
  <c r="Z409" i="1"/>
  <c r="AC409" i="1"/>
  <c r="Z413" i="1"/>
  <c r="AC442" i="1"/>
  <c r="AC451" i="1"/>
  <c r="AF420" i="1"/>
  <c r="AF435" i="1"/>
  <c r="AF408" i="1"/>
  <c r="AF440" i="1"/>
  <c r="AF422" i="1"/>
  <c r="AF414" i="1"/>
  <c r="G240" i="1" l="1"/>
  <c r="W240" i="1" s="1"/>
  <c r="D240" i="1"/>
  <c r="V240" i="1" s="1"/>
  <c r="Q11" i="2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L419" i="1" l="1"/>
  <c r="Q310" i="1"/>
  <c r="O310" i="1"/>
  <c r="L310" i="1"/>
  <c r="J310" i="1"/>
  <c r="I310" i="1"/>
  <c r="G310" i="1"/>
  <c r="F310" i="1"/>
  <c r="D310" i="1"/>
  <c r="E310" i="1" l="1"/>
  <c r="S310" i="1"/>
  <c r="P310" i="1"/>
  <c r="M310" i="1"/>
  <c r="H310" i="1"/>
  <c r="K310" i="1"/>
  <c r="N310" i="1"/>
  <c r="R310" i="1" l="1"/>
  <c r="AL496" i="1" l="1"/>
  <c r="AL495" i="1"/>
  <c r="AL494" i="1"/>
  <c r="AL493" i="1"/>
  <c r="AL492" i="1"/>
  <c r="AL491" i="1"/>
  <c r="AL490" i="1"/>
  <c r="AF496" i="1"/>
  <c r="AF495" i="1"/>
  <c r="AF494" i="1"/>
  <c r="AF493" i="1"/>
  <c r="AF492" i="1"/>
  <c r="AF491" i="1"/>
  <c r="AF490" i="1"/>
  <c r="AF489" i="1"/>
  <c r="AC496" i="1"/>
  <c r="AC495" i="1"/>
  <c r="AC494" i="1"/>
  <c r="AC493" i="1"/>
  <c r="AC492" i="1"/>
  <c r="AC491" i="1"/>
  <c r="AC490" i="1"/>
  <c r="Z496" i="1"/>
  <c r="Z495" i="1"/>
  <c r="Z494" i="1"/>
  <c r="Z493" i="1"/>
  <c r="Z492" i="1"/>
  <c r="Z491" i="1"/>
  <c r="Z490" i="1"/>
  <c r="AL468" i="1"/>
  <c r="AF468" i="1"/>
  <c r="AC468" i="1"/>
  <c r="Z468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59" i="1"/>
  <c r="O359" i="1"/>
  <c r="O361" i="1" s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59" i="1"/>
  <c r="J359" i="1"/>
  <c r="J361" i="1" s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59" i="1"/>
  <c r="I361" i="1" s="1"/>
  <c r="G359" i="1"/>
  <c r="G361" i="1" s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59" i="1"/>
  <c r="D359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1" i="1"/>
  <c r="O311" i="1"/>
  <c r="Q307" i="1"/>
  <c r="O307" i="1"/>
  <c r="Q306" i="1"/>
  <c r="O306" i="1"/>
  <c r="Q302" i="1"/>
  <c r="O302" i="1"/>
  <c r="P302" i="1" s="1"/>
  <c r="Q301" i="1"/>
  <c r="O301" i="1"/>
  <c r="P301" i="1" s="1"/>
  <c r="Q300" i="1"/>
  <c r="O300" i="1"/>
  <c r="P300" i="1" s="1"/>
  <c r="Q299" i="1"/>
  <c r="O299" i="1"/>
  <c r="Q298" i="1"/>
  <c r="O298" i="1"/>
  <c r="Q297" i="1"/>
  <c r="O297" i="1"/>
  <c r="Q296" i="1"/>
  <c r="O296" i="1"/>
  <c r="Q295" i="1"/>
  <c r="O295" i="1"/>
  <c r="Q294" i="1"/>
  <c r="O294" i="1"/>
  <c r="L347" i="1"/>
  <c r="L346" i="1"/>
  <c r="L345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1" i="1"/>
  <c r="J311" i="1"/>
  <c r="L307" i="1"/>
  <c r="J307" i="1"/>
  <c r="L306" i="1"/>
  <c r="J306" i="1"/>
  <c r="L302" i="1"/>
  <c r="J302" i="1"/>
  <c r="K302" i="1" s="1"/>
  <c r="L301" i="1"/>
  <c r="J301" i="1"/>
  <c r="K301" i="1" s="1"/>
  <c r="L300" i="1"/>
  <c r="J300" i="1"/>
  <c r="K300" i="1" s="1"/>
  <c r="L299" i="1"/>
  <c r="J299" i="1"/>
  <c r="L298" i="1"/>
  <c r="J298" i="1"/>
  <c r="L297" i="1"/>
  <c r="J297" i="1"/>
  <c r="L296" i="1"/>
  <c r="J296" i="1"/>
  <c r="L295" i="1"/>
  <c r="J295" i="1"/>
  <c r="L294" i="1"/>
  <c r="J294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1" i="1"/>
  <c r="G311" i="1"/>
  <c r="I307" i="1"/>
  <c r="G307" i="1"/>
  <c r="I306" i="1"/>
  <c r="G306" i="1"/>
  <c r="I302" i="1"/>
  <c r="G302" i="1"/>
  <c r="H302" i="1" s="1"/>
  <c r="I301" i="1"/>
  <c r="G301" i="1"/>
  <c r="I300" i="1"/>
  <c r="G300" i="1"/>
  <c r="H300" i="1" s="1"/>
  <c r="I299" i="1"/>
  <c r="G299" i="1"/>
  <c r="I298" i="1"/>
  <c r="G298" i="1"/>
  <c r="I297" i="1"/>
  <c r="G297" i="1"/>
  <c r="I296" i="1"/>
  <c r="G296" i="1"/>
  <c r="I295" i="1"/>
  <c r="G295" i="1"/>
  <c r="I294" i="1"/>
  <c r="G294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1" i="1"/>
  <c r="D311" i="1"/>
  <c r="F307" i="1"/>
  <c r="F306" i="1"/>
  <c r="D307" i="1"/>
  <c r="D306" i="1"/>
  <c r="F302" i="1"/>
  <c r="F301" i="1"/>
  <c r="F300" i="1"/>
  <c r="F299" i="1"/>
  <c r="F298" i="1"/>
  <c r="F297" i="1"/>
  <c r="F296" i="1"/>
  <c r="F295" i="1"/>
  <c r="F294" i="1"/>
  <c r="D302" i="1"/>
  <c r="D301" i="1"/>
  <c r="D300" i="1"/>
  <c r="D299" i="1"/>
  <c r="D298" i="1"/>
  <c r="D297" i="1"/>
  <c r="D296" i="1"/>
  <c r="D295" i="1"/>
  <c r="D29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46" i="1"/>
  <c r="P246" i="1"/>
  <c r="O246" i="1"/>
  <c r="Y246" i="1" s="1"/>
  <c r="Q243" i="1"/>
  <c r="P243" i="1"/>
  <c r="O243" i="1"/>
  <c r="Y243" i="1" s="1"/>
  <c r="Q240" i="1"/>
  <c r="P240" i="1"/>
  <c r="O240" i="1"/>
  <c r="Y240" i="1" s="1"/>
  <c r="L283" i="1"/>
  <c r="L282" i="1"/>
  <c r="L281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46" i="1"/>
  <c r="K246" i="1"/>
  <c r="J246" i="1"/>
  <c r="X246" i="1" s="1"/>
  <c r="L243" i="1"/>
  <c r="K243" i="1"/>
  <c r="J243" i="1"/>
  <c r="X243" i="1" s="1"/>
  <c r="L240" i="1"/>
  <c r="K240" i="1"/>
  <c r="J240" i="1"/>
  <c r="X240" i="1" s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46" i="1"/>
  <c r="H246" i="1"/>
  <c r="G246" i="1"/>
  <c r="W246" i="1" s="1"/>
  <c r="I243" i="1"/>
  <c r="H243" i="1"/>
  <c r="G243" i="1"/>
  <c r="W243" i="1" s="1"/>
  <c r="I240" i="1"/>
  <c r="H240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46" i="1"/>
  <c r="E246" i="1"/>
  <c r="D246" i="1"/>
  <c r="V246" i="1" s="1"/>
  <c r="F243" i="1"/>
  <c r="E243" i="1"/>
  <c r="D243" i="1"/>
  <c r="V243" i="1" s="1"/>
  <c r="F240" i="1"/>
  <c r="E240" i="1"/>
  <c r="F93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0" i="1"/>
  <c r="P190" i="1"/>
  <c r="Q187" i="1"/>
  <c r="P187" i="1"/>
  <c r="Q183" i="1"/>
  <c r="Q180" i="1"/>
  <c r="P180" i="1"/>
  <c r="O180" i="1"/>
  <c r="Y180" i="1" s="1"/>
  <c r="Q177" i="1"/>
  <c r="P177" i="1"/>
  <c r="O177" i="1"/>
  <c r="Y177" i="1" s="1"/>
  <c r="Q174" i="1"/>
  <c r="P174" i="1"/>
  <c r="O174" i="1"/>
  <c r="Y174" i="1" s="1"/>
  <c r="Q171" i="1"/>
  <c r="P171" i="1"/>
  <c r="O171" i="1"/>
  <c r="Y171" i="1" s="1"/>
  <c r="L227" i="1"/>
  <c r="L226" i="1"/>
  <c r="L225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0" i="1"/>
  <c r="K190" i="1"/>
  <c r="L187" i="1"/>
  <c r="K187" i="1"/>
  <c r="L183" i="1"/>
  <c r="L180" i="1"/>
  <c r="K180" i="1"/>
  <c r="J180" i="1"/>
  <c r="X180" i="1" s="1"/>
  <c r="L177" i="1"/>
  <c r="K177" i="1"/>
  <c r="J177" i="1"/>
  <c r="X177" i="1" s="1"/>
  <c r="L174" i="1"/>
  <c r="K174" i="1"/>
  <c r="J174" i="1"/>
  <c r="X174" i="1" s="1"/>
  <c r="L171" i="1"/>
  <c r="K171" i="1"/>
  <c r="J171" i="1"/>
  <c r="X171" i="1" s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0" i="1"/>
  <c r="H190" i="1"/>
  <c r="I187" i="1"/>
  <c r="H187" i="1"/>
  <c r="I183" i="1"/>
  <c r="I180" i="1"/>
  <c r="H180" i="1"/>
  <c r="G180" i="1"/>
  <c r="W180" i="1" s="1"/>
  <c r="I177" i="1"/>
  <c r="H177" i="1"/>
  <c r="G177" i="1"/>
  <c r="W177" i="1" s="1"/>
  <c r="I174" i="1"/>
  <c r="H174" i="1"/>
  <c r="G174" i="1"/>
  <c r="W174" i="1" s="1"/>
  <c r="I171" i="1"/>
  <c r="H171" i="1"/>
  <c r="G171" i="1"/>
  <c r="W171" i="1" s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83" i="1"/>
  <c r="F190" i="1"/>
  <c r="E190" i="1"/>
  <c r="F187" i="1"/>
  <c r="E187" i="1"/>
  <c r="F180" i="1"/>
  <c r="E180" i="1"/>
  <c r="D180" i="1"/>
  <c r="V180" i="1" s="1"/>
  <c r="F177" i="1"/>
  <c r="E177" i="1"/>
  <c r="D177" i="1"/>
  <c r="V177" i="1" s="1"/>
  <c r="F174" i="1"/>
  <c r="E174" i="1"/>
  <c r="D174" i="1"/>
  <c r="V174" i="1" s="1"/>
  <c r="F171" i="1"/>
  <c r="E171" i="1"/>
  <c r="D171" i="1"/>
  <c r="V171" i="1" s="1"/>
  <c r="F161" i="1"/>
  <c r="F160" i="1"/>
  <c r="F159" i="1"/>
  <c r="F158" i="1"/>
  <c r="F157" i="1"/>
  <c r="F156" i="1"/>
  <c r="F155" i="1"/>
  <c r="I161" i="1"/>
  <c r="I160" i="1"/>
  <c r="I159" i="1"/>
  <c r="I158" i="1"/>
  <c r="I157" i="1"/>
  <c r="I156" i="1"/>
  <c r="I155" i="1"/>
  <c r="L161" i="1"/>
  <c r="L160" i="1"/>
  <c r="L159" i="1"/>
  <c r="L158" i="1"/>
  <c r="L157" i="1"/>
  <c r="L156" i="1"/>
  <c r="L155" i="1"/>
  <c r="Q161" i="1"/>
  <c r="Q160" i="1"/>
  <c r="Q159" i="1"/>
  <c r="Q158" i="1"/>
  <c r="Q157" i="1"/>
  <c r="Q156" i="1"/>
  <c r="Q155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L151" i="1"/>
  <c r="L150" i="1"/>
  <c r="L149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Q120" i="1"/>
  <c r="Q119" i="1"/>
  <c r="Q118" i="1"/>
  <c r="Q117" i="1"/>
  <c r="Q116" i="1"/>
  <c r="Q115" i="1"/>
  <c r="Q114" i="1"/>
  <c r="Q113" i="1"/>
  <c r="Q112" i="1"/>
  <c r="Q111" i="1"/>
  <c r="L120" i="1"/>
  <c r="L119" i="1"/>
  <c r="L118" i="1"/>
  <c r="L117" i="1"/>
  <c r="L116" i="1"/>
  <c r="L115" i="1"/>
  <c r="L114" i="1"/>
  <c r="L113" i="1"/>
  <c r="L112" i="1"/>
  <c r="L111" i="1"/>
  <c r="I120" i="1"/>
  <c r="I119" i="1"/>
  <c r="I118" i="1"/>
  <c r="I117" i="1"/>
  <c r="I116" i="1"/>
  <c r="I115" i="1"/>
  <c r="I114" i="1"/>
  <c r="I113" i="1"/>
  <c r="I112" i="1"/>
  <c r="I111" i="1"/>
  <c r="F120" i="1"/>
  <c r="F119" i="1"/>
  <c r="F118" i="1"/>
  <c r="F117" i="1"/>
  <c r="F116" i="1"/>
  <c r="F115" i="1"/>
  <c r="F114" i="1"/>
  <c r="F113" i="1"/>
  <c r="F112" i="1"/>
  <c r="F111" i="1"/>
  <c r="I103" i="1"/>
  <c r="I102" i="1"/>
  <c r="Q103" i="1"/>
  <c r="Q102" i="1"/>
  <c r="Q101" i="1"/>
  <c r="L103" i="1"/>
  <c r="L102" i="1"/>
  <c r="L101" i="1"/>
  <c r="I101" i="1"/>
  <c r="F103" i="1"/>
  <c r="F102" i="1"/>
  <c r="F101" i="1"/>
  <c r="Q175" i="1" l="1"/>
  <c r="H298" i="1"/>
  <c r="K295" i="1"/>
  <c r="K299" i="1"/>
  <c r="K306" i="1"/>
  <c r="I247" i="1"/>
  <c r="L175" i="1"/>
  <c r="Q241" i="1"/>
  <c r="Q178" i="1"/>
  <c r="Q191" i="1"/>
  <c r="H306" i="1"/>
  <c r="K307" i="1"/>
  <c r="P297" i="1"/>
  <c r="H296" i="1"/>
  <c r="H297" i="1"/>
  <c r="H301" i="1"/>
  <c r="I188" i="1"/>
  <c r="H361" i="1"/>
  <c r="Q247" i="1"/>
  <c r="I181" i="1"/>
  <c r="K311" i="1"/>
  <c r="L178" i="1"/>
  <c r="L191" i="1"/>
  <c r="P173" i="1"/>
  <c r="I303" i="1"/>
  <c r="I308" i="1" s="1"/>
  <c r="I313" i="1" s="1"/>
  <c r="Q181" i="1"/>
  <c r="P311" i="1"/>
  <c r="H307" i="1"/>
  <c r="I175" i="1"/>
  <c r="I241" i="1"/>
  <c r="Q172" i="1"/>
  <c r="I244" i="1"/>
  <c r="I329" i="1"/>
  <c r="I348" i="1"/>
  <c r="P296" i="1"/>
  <c r="P307" i="1"/>
  <c r="Q329" i="1"/>
  <c r="H249" i="1"/>
  <c r="K296" i="1"/>
  <c r="Q188" i="1"/>
  <c r="P298" i="1"/>
  <c r="F209" i="1"/>
  <c r="P249" i="1"/>
  <c r="Q303" i="1"/>
  <c r="Q308" i="1" s="1"/>
  <c r="Q313" i="1" s="1"/>
  <c r="H294" i="1"/>
  <c r="P295" i="1"/>
  <c r="P299" i="1"/>
  <c r="P306" i="1"/>
  <c r="I178" i="1"/>
  <c r="I191" i="1"/>
  <c r="K173" i="1"/>
  <c r="L209" i="1"/>
  <c r="Q209" i="1"/>
  <c r="Q284" i="1"/>
  <c r="L329" i="1"/>
  <c r="P359" i="1"/>
  <c r="H173" i="1"/>
  <c r="I209" i="1"/>
  <c r="L184" i="1"/>
  <c r="L193" i="1" s="1"/>
  <c r="L181" i="1"/>
  <c r="Q265" i="1"/>
  <c r="P265" i="1" s="1"/>
  <c r="L303" i="1"/>
  <c r="L308" i="1" s="1"/>
  <c r="L313" i="1" s="1"/>
  <c r="H359" i="1"/>
  <c r="I394" i="1"/>
  <c r="H394" i="1" s="1"/>
  <c r="K359" i="1"/>
  <c r="Q376" i="1"/>
  <c r="P376" i="1" s="1"/>
  <c r="I184" i="1"/>
  <c r="I193" i="1" s="1"/>
  <c r="L376" i="1"/>
  <c r="Q249" i="1"/>
  <c r="I376" i="1"/>
  <c r="H295" i="1"/>
  <c r="K297" i="1"/>
  <c r="L188" i="1"/>
  <c r="H311" i="1"/>
  <c r="J303" i="1"/>
  <c r="Q394" i="1"/>
  <c r="P394" i="1" s="1"/>
  <c r="I265" i="1"/>
  <c r="I284" i="1"/>
  <c r="H299" i="1"/>
  <c r="K298" i="1"/>
  <c r="P294" i="1"/>
  <c r="Q348" i="1"/>
  <c r="L394" i="1"/>
  <c r="K394" i="1" s="1"/>
  <c r="Q361" i="1"/>
  <c r="L361" i="1"/>
  <c r="K361" i="1" s="1"/>
  <c r="O303" i="1"/>
  <c r="K294" i="1"/>
  <c r="G303" i="1"/>
  <c r="Q244" i="1"/>
  <c r="I249" i="1"/>
  <c r="P184" i="1"/>
  <c r="P193" i="1" s="1"/>
  <c r="Q184" i="1"/>
  <c r="K184" i="1"/>
  <c r="K193" i="1" s="1"/>
  <c r="L172" i="1"/>
  <c r="H184" i="1"/>
  <c r="H193" i="1" s="1"/>
  <c r="I172" i="1"/>
  <c r="D98" i="1"/>
  <c r="F98" i="1"/>
  <c r="G98" i="1"/>
  <c r="I98" i="1"/>
  <c r="J98" i="1"/>
  <c r="L98" i="1"/>
  <c r="O98" i="1"/>
  <c r="Q98" i="1"/>
  <c r="Q99" i="1"/>
  <c r="O99" i="1"/>
  <c r="Y99" i="1" s="1"/>
  <c r="L99" i="1"/>
  <c r="J99" i="1"/>
  <c r="X99" i="1" s="1"/>
  <c r="I99" i="1"/>
  <c r="G99" i="1"/>
  <c r="W99" i="1" s="1"/>
  <c r="F99" i="1"/>
  <c r="D99" i="1"/>
  <c r="V99" i="1" s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H98" i="1" l="1"/>
  <c r="W98" i="1"/>
  <c r="E98" i="1"/>
  <c r="V98" i="1"/>
  <c r="P98" i="1"/>
  <c r="Y98" i="1"/>
  <c r="K98" i="1"/>
  <c r="X98" i="1"/>
  <c r="I396" i="1"/>
  <c r="H396" i="1" s="1"/>
  <c r="H94" i="1"/>
  <c r="P94" i="1"/>
  <c r="H329" i="1"/>
  <c r="H348" i="1"/>
  <c r="I286" i="1"/>
  <c r="I288" i="1" s="1"/>
  <c r="P348" i="1"/>
  <c r="H95" i="1"/>
  <c r="P95" i="1"/>
  <c r="P99" i="1"/>
  <c r="P329" i="1"/>
  <c r="K95" i="1"/>
  <c r="Q396" i="1"/>
  <c r="P396" i="1" s="1"/>
  <c r="Q350" i="1"/>
  <c r="P350" i="1" s="1"/>
  <c r="H265" i="1"/>
  <c r="H99" i="1"/>
  <c r="Q286" i="1"/>
  <c r="Q288" i="1" s="1"/>
  <c r="K303" i="1"/>
  <c r="L396" i="1"/>
  <c r="K396" i="1" s="1"/>
  <c r="K99" i="1"/>
  <c r="H376" i="1"/>
  <c r="Q83" i="1"/>
  <c r="J308" i="1"/>
  <c r="J313" i="1" s="1"/>
  <c r="K313" i="1" s="1"/>
  <c r="K94" i="1"/>
  <c r="K329" i="1"/>
  <c r="P284" i="1"/>
  <c r="E99" i="1"/>
  <c r="I194" i="1"/>
  <c r="K376" i="1"/>
  <c r="Q250" i="1"/>
  <c r="P361" i="1"/>
  <c r="O308" i="1"/>
  <c r="O313" i="1" s="1"/>
  <c r="P303" i="1"/>
  <c r="G308" i="1"/>
  <c r="G313" i="1" s="1"/>
  <c r="H303" i="1"/>
  <c r="I250" i="1"/>
  <c r="H284" i="1"/>
  <c r="Q193" i="1"/>
  <c r="Q185" i="1"/>
  <c r="L185" i="1"/>
  <c r="L194" i="1"/>
  <c r="K209" i="1"/>
  <c r="H209" i="1"/>
  <c r="I185" i="1"/>
  <c r="N98" i="1"/>
  <c r="M98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Y17" i="1" s="1"/>
  <c r="L17" i="1"/>
  <c r="J17" i="1"/>
  <c r="X17" i="1" s="1"/>
  <c r="I17" i="1"/>
  <c r="G17" i="1"/>
  <c r="W17" i="1" s="1"/>
  <c r="F17" i="1"/>
  <c r="D17" i="1"/>
  <c r="V17" i="1" s="1"/>
  <c r="Q15" i="1"/>
  <c r="O15" i="1"/>
  <c r="L15" i="1"/>
  <c r="J15" i="1"/>
  <c r="I15" i="1"/>
  <c r="G15" i="1"/>
  <c r="W15" i="1" s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Y15" i="1" l="1"/>
  <c r="V15" i="1"/>
  <c r="X15" i="1"/>
  <c r="L398" i="1"/>
  <c r="I398" i="1"/>
  <c r="H286" i="1"/>
  <c r="P286" i="1"/>
  <c r="K308" i="1"/>
  <c r="Q398" i="1"/>
  <c r="Q352" i="1"/>
  <c r="P313" i="1"/>
  <c r="P308" i="1"/>
  <c r="H313" i="1"/>
  <c r="H308" i="1"/>
  <c r="Q194" i="1"/>
  <c r="P209" i="1"/>
  <c r="AL476" i="1" l="1"/>
  <c r="AF476" i="1"/>
  <c r="AL471" i="1" l="1"/>
  <c r="Z476" i="1"/>
  <c r="AC476" i="1" l="1"/>
  <c r="AF477" i="1" l="1"/>
  <c r="AC479" i="1"/>
  <c r="AL479" i="1"/>
  <c r="AC469" i="1"/>
  <c r="AC475" i="1"/>
  <c r="AL426" i="1" l="1"/>
  <c r="Z470" i="1"/>
  <c r="AL472" i="1"/>
  <c r="AL423" i="1"/>
  <c r="AL430" i="1"/>
  <c r="AL428" i="1"/>
  <c r="AF473" i="1"/>
  <c r="AL431" i="1"/>
  <c r="Z473" i="1"/>
  <c r="AF475" i="1"/>
  <c r="Z471" i="1"/>
  <c r="AL429" i="1"/>
  <c r="AC470" i="1"/>
  <c r="AF469" i="1"/>
  <c r="AF471" i="1"/>
  <c r="Z475" i="1"/>
  <c r="AC473" i="1"/>
  <c r="AF431" i="1"/>
  <c r="AF470" i="1"/>
  <c r="Z474" i="1"/>
  <c r="AL470" i="1"/>
  <c r="AF472" i="1"/>
  <c r="Z479" i="1"/>
  <c r="AL427" i="1"/>
  <c r="AC471" i="1"/>
  <c r="AL469" i="1"/>
  <c r="AC472" i="1"/>
  <c r="AC474" i="1"/>
  <c r="AL420" i="1"/>
  <c r="Z472" i="1"/>
  <c r="AF474" i="1"/>
  <c r="AL421" i="1"/>
  <c r="AL473" i="1"/>
  <c r="AL474" i="1"/>
  <c r="AF478" i="1"/>
  <c r="Z469" i="1"/>
  <c r="AL422" i="1"/>
  <c r="AL475" i="1" l="1"/>
  <c r="AL478" i="1"/>
  <c r="AL425" i="1"/>
  <c r="AL477" i="1"/>
  <c r="AL424" i="1"/>
  <c r="Z478" i="1"/>
  <c r="Z431" i="1"/>
  <c r="AC431" i="1"/>
  <c r="O13" i="2"/>
  <c r="O10" i="2" l="1"/>
  <c r="AC478" i="1"/>
  <c r="Z481" i="1"/>
  <c r="Z477" i="1"/>
  <c r="AC477" i="1"/>
  <c r="N13" i="2"/>
  <c r="J13" i="2"/>
  <c r="J10" i="2" l="1"/>
  <c r="N10" i="2"/>
  <c r="K13" i="2"/>
  <c r="C13" i="2"/>
  <c r="F13" i="2"/>
  <c r="L13" i="2"/>
  <c r="G13" i="2"/>
  <c r="B13" i="2"/>
  <c r="F10" i="2" l="1"/>
  <c r="G10" i="2"/>
  <c r="K10" i="2"/>
  <c r="P13" i="2"/>
  <c r="P10" i="2" l="1"/>
  <c r="D13" i="2"/>
  <c r="Z483" i="1"/>
  <c r="H13" i="2"/>
  <c r="Q13" i="2"/>
  <c r="M13" i="2"/>
  <c r="H10" i="2" l="1"/>
  <c r="Q10" i="2"/>
  <c r="I13" i="2"/>
  <c r="E13" i="2"/>
  <c r="S1" i="1"/>
  <c r="A498" i="1"/>
  <c r="A497" i="1"/>
  <c r="AO496" i="1"/>
  <c r="AN496" i="1"/>
  <c r="A496" i="1"/>
  <c r="AO495" i="1"/>
  <c r="AH495" i="1"/>
  <c r="AI495" i="1"/>
  <c r="A495" i="1"/>
  <c r="AN494" i="1"/>
  <c r="A494" i="1"/>
  <c r="AH493" i="1"/>
  <c r="A493" i="1"/>
  <c r="A492" i="1"/>
  <c r="AH492" i="1" s="1"/>
  <c r="AH491" i="1"/>
  <c r="A491" i="1"/>
  <c r="AN490" i="1"/>
  <c r="AO490" i="1" s="1"/>
  <c r="A490" i="1"/>
  <c r="A489" i="1"/>
  <c r="A488" i="1"/>
  <c r="A487" i="1"/>
  <c r="A486" i="1"/>
  <c r="A485" i="1"/>
  <c r="A483" i="1"/>
  <c r="A482" i="1"/>
  <c r="AO481" i="1"/>
  <c r="AN481" i="1"/>
  <c r="A481" i="1"/>
  <c r="A480" i="1"/>
  <c r="A479" i="1"/>
  <c r="A478" i="1"/>
  <c r="A477" i="1"/>
  <c r="AN476" i="1"/>
  <c r="AO476" i="1" s="1"/>
  <c r="A476" i="1"/>
  <c r="A475" i="1"/>
  <c r="A474" i="1"/>
  <c r="A473" i="1"/>
  <c r="A472" i="1"/>
  <c r="A471" i="1"/>
  <c r="AN470" i="1"/>
  <c r="AO470" i="1" s="1"/>
  <c r="A470" i="1"/>
  <c r="A469" i="1"/>
  <c r="AN468" i="1"/>
  <c r="AO468" i="1" s="1"/>
  <c r="A468" i="1"/>
  <c r="A467" i="1"/>
  <c r="AO466" i="1"/>
  <c r="AN466" i="1"/>
  <c r="AH466" i="1"/>
  <c r="A466" i="1"/>
  <c r="A465" i="1"/>
  <c r="A464" i="1"/>
  <c r="A463" i="1"/>
  <c r="A462" i="1"/>
  <c r="A461" i="1"/>
  <c r="AN460" i="1"/>
  <c r="A460" i="1"/>
  <c r="AN459" i="1"/>
  <c r="A459" i="1"/>
  <c r="AN458" i="1"/>
  <c r="AO458" i="1" s="1"/>
  <c r="A458" i="1"/>
  <c r="AH457" i="1"/>
  <c r="A457" i="1"/>
  <c r="AN456" i="1"/>
  <c r="AO456" i="1" s="1"/>
  <c r="A456" i="1"/>
  <c r="A455" i="1"/>
  <c r="AN454" i="1"/>
  <c r="AO454" i="1" s="1"/>
  <c r="A454" i="1"/>
  <c r="AH453" i="1"/>
  <c r="AI453" i="1" s="1"/>
  <c r="AN453" i="1"/>
  <c r="AO453" i="1" s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N419" i="1"/>
  <c r="AO419" i="1" s="1"/>
  <c r="A419" i="1"/>
  <c r="AH419" i="1" s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S392" i="1"/>
  <c r="A392" i="1"/>
  <c r="S391" i="1"/>
  <c r="A391" i="1"/>
  <c r="N391" i="1" s="1"/>
  <c r="S390" i="1"/>
  <c r="A390" i="1"/>
  <c r="S389" i="1"/>
  <c r="N389" i="1"/>
  <c r="A389" i="1"/>
  <c r="S388" i="1"/>
  <c r="A388" i="1"/>
  <c r="N388" i="1" s="1"/>
  <c r="S387" i="1"/>
  <c r="A387" i="1"/>
  <c r="N387" i="1" s="1"/>
  <c r="S386" i="1"/>
  <c r="A386" i="1"/>
  <c r="A385" i="1"/>
  <c r="S384" i="1"/>
  <c r="A384" i="1"/>
  <c r="S383" i="1"/>
  <c r="N383" i="1"/>
  <c r="A383" i="1"/>
  <c r="A382" i="1"/>
  <c r="S381" i="1"/>
  <c r="A381" i="1"/>
  <c r="S380" i="1"/>
  <c r="A380" i="1"/>
  <c r="N380" i="1" s="1"/>
  <c r="S379" i="1"/>
  <c r="A379" i="1"/>
  <c r="S378" i="1"/>
  <c r="A378" i="1"/>
  <c r="A377" i="1"/>
  <c r="A376" i="1"/>
  <c r="S375" i="1"/>
  <c r="A375" i="1"/>
  <c r="N374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N368" i="1"/>
  <c r="A368" i="1"/>
  <c r="S367" i="1"/>
  <c r="A367" i="1"/>
  <c r="N366" i="1"/>
  <c r="A366" i="1"/>
  <c r="S365" i="1"/>
  <c r="N365" i="1"/>
  <c r="A365" i="1"/>
  <c r="S364" i="1"/>
  <c r="A364" i="1"/>
  <c r="A363" i="1"/>
  <c r="N362" i="1"/>
  <c r="A362" i="1"/>
  <c r="R361" i="1"/>
  <c r="A361" i="1"/>
  <c r="A360" i="1"/>
  <c r="R359" i="1"/>
  <c r="M359" i="1"/>
  <c r="F361" i="1"/>
  <c r="D361" i="1"/>
  <c r="A359" i="1"/>
  <c r="A358" i="1"/>
  <c r="N351" i="1"/>
  <c r="S347" i="1"/>
  <c r="N347" i="1"/>
  <c r="A347" i="1"/>
  <c r="S346" i="1"/>
  <c r="A346" i="1"/>
  <c r="S345" i="1"/>
  <c r="N345" i="1"/>
  <c r="A345" i="1"/>
  <c r="A344" i="1"/>
  <c r="S343" i="1"/>
  <c r="A343" i="1"/>
  <c r="S342" i="1"/>
  <c r="N342" i="1"/>
  <c r="A342" i="1"/>
  <c r="N341" i="1"/>
  <c r="S341" i="1"/>
  <c r="A341" i="1"/>
  <c r="S340" i="1"/>
  <c r="A340" i="1"/>
  <c r="S339" i="1"/>
  <c r="N339" i="1"/>
  <c r="A339" i="1"/>
  <c r="S338" i="1"/>
  <c r="N338" i="1"/>
  <c r="A338" i="1"/>
  <c r="A337" i="1"/>
  <c r="S336" i="1"/>
  <c r="N336" i="1"/>
  <c r="A336" i="1"/>
  <c r="N335" i="1"/>
  <c r="S335" i="1"/>
  <c r="A335" i="1"/>
  <c r="S334" i="1"/>
  <c r="A334" i="1"/>
  <c r="S333" i="1"/>
  <c r="N333" i="1"/>
  <c r="A333" i="1"/>
  <c r="S332" i="1"/>
  <c r="A332" i="1"/>
  <c r="N332" i="1" s="1"/>
  <c r="A331" i="1"/>
  <c r="S330" i="1"/>
  <c r="N330" i="1"/>
  <c r="A330" i="1"/>
  <c r="A329" i="1"/>
  <c r="S328" i="1"/>
  <c r="A328" i="1"/>
  <c r="N328" i="1" s="1"/>
  <c r="N327" i="1"/>
  <c r="A327" i="1"/>
  <c r="S326" i="1"/>
  <c r="N326" i="1"/>
  <c r="A326" i="1"/>
  <c r="S325" i="1"/>
  <c r="A325" i="1"/>
  <c r="S324" i="1"/>
  <c r="A324" i="1"/>
  <c r="S323" i="1"/>
  <c r="A323" i="1"/>
  <c r="N323" i="1" s="1"/>
  <c r="S322" i="1"/>
  <c r="A322" i="1"/>
  <c r="S321" i="1"/>
  <c r="N321" i="1"/>
  <c r="A321" i="1"/>
  <c r="S320" i="1"/>
  <c r="A320" i="1"/>
  <c r="N320" i="1" s="1"/>
  <c r="N319" i="1"/>
  <c r="A319" i="1"/>
  <c r="S318" i="1"/>
  <c r="N318" i="1"/>
  <c r="A318" i="1"/>
  <c r="A317" i="1"/>
  <c r="A316" i="1"/>
  <c r="A315" i="1"/>
  <c r="A314" i="1"/>
  <c r="A313" i="1"/>
  <c r="A312" i="1"/>
  <c r="S311" i="1"/>
  <c r="R311" i="1" s="1"/>
  <c r="M311" i="1"/>
  <c r="E311" i="1"/>
  <c r="A311" i="1"/>
  <c r="A310" i="1"/>
  <c r="A309" i="1"/>
  <c r="A308" i="1"/>
  <c r="R307" i="1"/>
  <c r="E307" i="1"/>
  <c r="A307" i="1"/>
  <c r="A306" i="1"/>
  <c r="A305" i="1"/>
  <c r="A304" i="1"/>
  <c r="A303" i="1"/>
  <c r="S302" i="1"/>
  <c r="R302" i="1"/>
  <c r="N302" i="1"/>
  <c r="E302" i="1"/>
  <c r="A302" i="1"/>
  <c r="A301" i="1"/>
  <c r="A300" i="1"/>
  <c r="E299" i="1"/>
  <c r="A299" i="1"/>
  <c r="M298" i="1"/>
  <c r="E298" i="1"/>
  <c r="A298" i="1"/>
  <c r="R297" i="1"/>
  <c r="A297" i="1"/>
  <c r="R296" i="1"/>
  <c r="E296" i="1"/>
  <c r="A296" i="1"/>
  <c r="A295" i="1"/>
  <c r="A294" i="1"/>
  <c r="A293" i="1"/>
  <c r="N287" i="1"/>
  <c r="S283" i="1"/>
  <c r="A283" i="1"/>
  <c r="N282" i="1"/>
  <c r="A282" i="1"/>
  <c r="S281" i="1"/>
  <c r="A281" i="1"/>
  <c r="A280" i="1"/>
  <c r="S279" i="1"/>
  <c r="N279" i="1"/>
  <c r="A279" i="1"/>
  <c r="S278" i="1"/>
  <c r="A278" i="1"/>
  <c r="S277" i="1"/>
  <c r="N277" i="1"/>
  <c r="A277" i="1"/>
  <c r="S276" i="1"/>
  <c r="N276" i="1"/>
  <c r="A276" i="1"/>
  <c r="S275" i="1"/>
  <c r="A275" i="1"/>
  <c r="N274" i="1"/>
  <c r="A274" i="1"/>
  <c r="S273" i="1"/>
  <c r="A273" i="1"/>
  <c r="A272" i="1"/>
  <c r="S271" i="1"/>
  <c r="N271" i="1"/>
  <c r="A271" i="1"/>
  <c r="S270" i="1"/>
  <c r="N270" i="1"/>
  <c r="A270" i="1"/>
  <c r="A269" i="1"/>
  <c r="N268" i="1"/>
  <c r="A268" i="1"/>
  <c r="S267" i="1"/>
  <c r="A267" i="1"/>
  <c r="A266" i="1"/>
  <c r="A265" i="1"/>
  <c r="N264" i="1"/>
  <c r="A264" i="1"/>
  <c r="S263" i="1"/>
  <c r="A263" i="1"/>
  <c r="A262" i="1"/>
  <c r="S261" i="1"/>
  <c r="N261" i="1"/>
  <c r="A261" i="1"/>
  <c r="S260" i="1"/>
  <c r="A260" i="1"/>
  <c r="S259" i="1"/>
  <c r="A259" i="1"/>
  <c r="S258" i="1"/>
  <c r="A258" i="1"/>
  <c r="S257" i="1"/>
  <c r="N257" i="1"/>
  <c r="A257" i="1"/>
  <c r="A256" i="1"/>
  <c r="S255" i="1"/>
  <c r="A255" i="1"/>
  <c r="A254" i="1"/>
  <c r="L265" i="1"/>
  <c r="A253" i="1"/>
  <c r="A252" i="1"/>
  <c r="A251" i="1"/>
  <c r="A250" i="1"/>
  <c r="A249" i="1"/>
  <c r="A248" i="1"/>
  <c r="F247" i="1"/>
  <c r="A247" i="1"/>
  <c r="R246" i="1"/>
  <c r="N246" i="1"/>
  <c r="N247" i="1" s="1"/>
  <c r="L247" i="1"/>
  <c r="A246" i="1"/>
  <c r="A245" i="1"/>
  <c r="A244" i="1"/>
  <c r="R243" i="1"/>
  <c r="M243" i="1"/>
  <c r="K249" i="1"/>
  <c r="A243" i="1"/>
  <c r="A242" i="1"/>
  <c r="A241" i="1"/>
  <c r="R240" i="1"/>
  <c r="M240" i="1"/>
  <c r="A240" i="1"/>
  <c r="A239" i="1"/>
  <c r="A238" i="1"/>
  <c r="S227" i="1"/>
  <c r="A227" i="1"/>
  <c r="N227" i="1" s="1"/>
  <c r="S226" i="1"/>
  <c r="S225" i="1"/>
  <c r="A225" i="1"/>
  <c r="A224" i="1"/>
  <c r="S223" i="1"/>
  <c r="A223" i="1"/>
  <c r="S222" i="1"/>
  <c r="N222" i="1"/>
  <c r="A222" i="1"/>
  <c r="N221" i="1"/>
  <c r="A221" i="1"/>
  <c r="S220" i="1"/>
  <c r="A220" i="1"/>
  <c r="N220" i="1" s="1"/>
  <c r="S219" i="1"/>
  <c r="A219" i="1"/>
  <c r="S218" i="1"/>
  <c r="N218" i="1"/>
  <c r="A218" i="1"/>
  <c r="S217" i="1"/>
  <c r="A217" i="1"/>
  <c r="S216" i="1"/>
  <c r="N216" i="1"/>
  <c r="A216" i="1"/>
  <c r="N215" i="1"/>
  <c r="A215" i="1"/>
  <c r="S214" i="1"/>
  <c r="A214" i="1"/>
  <c r="S213" i="1"/>
  <c r="A213" i="1"/>
  <c r="S212" i="1"/>
  <c r="N212" i="1"/>
  <c r="A212" i="1"/>
  <c r="A211" i="1"/>
  <c r="S210" i="1"/>
  <c r="N210" i="1"/>
  <c r="A210" i="1"/>
  <c r="A209" i="1"/>
  <c r="S208" i="1"/>
  <c r="N208" i="1"/>
  <c r="A208" i="1"/>
  <c r="S207" i="1"/>
  <c r="A207" i="1"/>
  <c r="S206" i="1"/>
  <c r="N206" i="1"/>
  <c r="A206" i="1"/>
  <c r="A205" i="1"/>
  <c r="S204" i="1"/>
  <c r="N204" i="1"/>
  <c r="A204" i="1"/>
  <c r="N203" i="1"/>
  <c r="A203" i="1"/>
  <c r="S202" i="1"/>
  <c r="A202" i="1"/>
  <c r="S201" i="1"/>
  <c r="A201" i="1"/>
  <c r="S200" i="1"/>
  <c r="N200" i="1"/>
  <c r="A200" i="1"/>
  <c r="A199" i="1"/>
  <c r="S198" i="1"/>
  <c r="N198" i="1"/>
  <c r="A198" i="1"/>
  <c r="S197" i="1"/>
  <c r="A197" i="1"/>
  <c r="A196" i="1"/>
  <c r="A195" i="1"/>
  <c r="A194" i="1"/>
  <c r="A193" i="1"/>
  <c r="A192" i="1"/>
  <c r="A191" i="1"/>
  <c r="F191" i="1"/>
  <c r="A190" i="1"/>
  <c r="A189" i="1"/>
  <c r="A188" i="1"/>
  <c r="R187" i="1"/>
  <c r="A187" i="1"/>
  <c r="A186" i="1"/>
  <c r="A185" i="1"/>
  <c r="A184" i="1"/>
  <c r="S183" i="1"/>
  <c r="A183" i="1"/>
  <c r="A182" i="1"/>
  <c r="M181" i="1"/>
  <c r="A181" i="1"/>
  <c r="R180" i="1"/>
  <c r="A180" i="1"/>
  <c r="A179" i="1"/>
  <c r="R178" i="1"/>
  <c r="A178" i="1"/>
  <c r="R177" i="1"/>
  <c r="F178" i="1"/>
  <c r="A177" i="1"/>
  <c r="A176" i="1"/>
  <c r="A175" i="1"/>
  <c r="R174" i="1"/>
  <c r="A174" i="1"/>
  <c r="E173" i="1"/>
  <c r="A173" i="1"/>
  <c r="A172" i="1"/>
  <c r="R171" i="1"/>
  <c r="A171" i="1"/>
  <c r="A170" i="1"/>
  <c r="L162" i="1"/>
  <c r="A161" i="1"/>
  <c r="S160" i="1"/>
  <c r="A160" i="1"/>
  <c r="N159" i="1"/>
  <c r="A159" i="1"/>
  <c r="S158" i="1"/>
  <c r="A158" i="1"/>
  <c r="S157" i="1"/>
  <c r="A157" i="1"/>
  <c r="S156" i="1"/>
  <c r="N156" i="1"/>
  <c r="A156" i="1"/>
  <c r="Q162" i="1"/>
  <c r="A155" i="1"/>
  <c r="A154" i="1"/>
  <c r="A153" i="1"/>
  <c r="A152" i="1"/>
  <c r="A151" i="1"/>
  <c r="S150" i="1"/>
  <c r="N150" i="1"/>
  <c r="A150" i="1"/>
  <c r="S149" i="1"/>
  <c r="N149" i="1"/>
  <c r="A149" i="1"/>
  <c r="A148" i="1"/>
  <c r="A147" i="1"/>
  <c r="S146" i="1"/>
  <c r="A146" i="1"/>
  <c r="A145" i="1"/>
  <c r="S144" i="1"/>
  <c r="N144" i="1"/>
  <c r="A144" i="1"/>
  <c r="S143" i="1"/>
  <c r="A143" i="1"/>
  <c r="S142" i="1"/>
  <c r="A142" i="1"/>
  <c r="N141" i="1"/>
  <c r="A141" i="1"/>
  <c r="S140" i="1"/>
  <c r="N140" i="1"/>
  <c r="A140" i="1"/>
  <c r="S139" i="1"/>
  <c r="A139" i="1"/>
  <c r="S138" i="1"/>
  <c r="A138" i="1"/>
  <c r="N137" i="1"/>
  <c r="A137" i="1"/>
  <c r="S136" i="1"/>
  <c r="N136" i="1"/>
  <c r="A136" i="1"/>
  <c r="Q152" i="1"/>
  <c r="A135" i="1"/>
  <c r="A134" i="1"/>
  <c r="S133" i="1"/>
  <c r="A133" i="1"/>
  <c r="S132" i="1"/>
  <c r="N132" i="1"/>
  <c r="A132" i="1"/>
  <c r="A131" i="1"/>
  <c r="A130" i="1"/>
  <c r="S129" i="1"/>
  <c r="A129" i="1"/>
  <c r="S128" i="1"/>
  <c r="N128" i="1"/>
  <c r="A128" i="1"/>
  <c r="A127" i="1"/>
  <c r="A126" i="1"/>
  <c r="S125" i="1"/>
  <c r="A125" i="1"/>
  <c r="S124" i="1"/>
  <c r="N124" i="1"/>
  <c r="A124" i="1"/>
  <c r="S123" i="1"/>
  <c r="A123" i="1"/>
  <c r="A122" i="1"/>
  <c r="A121" i="1"/>
  <c r="A120" i="1"/>
  <c r="A119" i="1"/>
  <c r="S118" i="1"/>
  <c r="A118" i="1"/>
  <c r="S117" i="1"/>
  <c r="A117" i="1"/>
  <c r="N117" i="1" s="1"/>
  <c r="S116" i="1"/>
  <c r="N116" i="1"/>
  <c r="A116" i="1"/>
  <c r="S115" i="1"/>
  <c r="N115" i="1"/>
  <c r="A115" i="1"/>
  <c r="S114" i="1"/>
  <c r="N114" i="1"/>
  <c r="A114" i="1"/>
  <c r="S113" i="1"/>
  <c r="A113" i="1"/>
  <c r="N112" i="1"/>
  <c r="S112" i="1"/>
  <c r="A112" i="1"/>
  <c r="Q121" i="1"/>
  <c r="A111" i="1"/>
  <c r="A110" i="1"/>
  <c r="A109" i="1"/>
  <c r="A108" i="1"/>
  <c r="A107" i="1"/>
  <c r="A106" i="1"/>
  <c r="A105" i="1"/>
  <c r="L104" i="1"/>
  <c r="A104" i="1"/>
  <c r="S103" i="1"/>
  <c r="E103" i="1"/>
  <c r="A103" i="1"/>
  <c r="H103" i="1" s="1"/>
  <c r="S102" i="1"/>
  <c r="A102" i="1"/>
  <c r="S101" i="1"/>
  <c r="H101" i="1"/>
  <c r="F104" i="1"/>
  <c r="E101" i="1"/>
  <c r="A101" i="1"/>
  <c r="A100" i="1"/>
  <c r="S99" i="1"/>
  <c r="R99" i="1"/>
  <c r="M99" i="1"/>
  <c r="A99" i="1"/>
  <c r="A98" i="1"/>
  <c r="H97" i="1"/>
  <c r="E97" i="1"/>
  <c r="A97" i="1"/>
  <c r="O96" i="1"/>
  <c r="O107" i="1" s="1"/>
  <c r="J96" i="1"/>
  <c r="J107" i="1" s="1"/>
  <c r="I96" i="1"/>
  <c r="A96" i="1"/>
  <c r="S95" i="1"/>
  <c r="R95" i="1"/>
  <c r="A95" i="1"/>
  <c r="S94" i="1"/>
  <c r="R94" i="1"/>
  <c r="Q96" i="1"/>
  <c r="L96" i="1"/>
  <c r="G96" i="1"/>
  <c r="W96" i="1" s="1"/>
  <c r="F96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N75" i="1"/>
  <c r="B75" i="1"/>
  <c r="A75" i="1" s="1"/>
  <c r="B74" i="1"/>
  <c r="A74" i="1" s="1"/>
  <c r="B73" i="1"/>
  <c r="A73" i="1" s="1"/>
  <c r="B72" i="1"/>
  <c r="A72" i="1"/>
  <c r="N71" i="1"/>
  <c r="B71" i="1"/>
  <c r="A71" i="1" s="1"/>
  <c r="N70" i="1"/>
  <c r="B70" i="1"/>
  <c r="A70" i="1" s="1"/>
  <c r="S69" i="1"/>
  <c r="B69" i="1"/>
  <c r="A69" i="1" s="1"/>
  <c r="B68" i="1"/>
  <c r="A68" i="1" s="1"/>
  <c r="N67" i="1"/>
  <c r="B67" i="1"/>
  <c r="A67" i="1" s="1"/>
  <c r="N66" i="1"/>
  <c r="S66" i="1"/>
  <c r="B66" i="1"/>
  <c r="A66" i="1"/>
  <c r="S65" i="1"/>
  <c r="B65" i="1"/>
  <c r="A65" i="1" s="1"/>
  <c r="B64" i="1"/>
  <c r="A64" i="1" s="1"/>
  <c r="B63" i="1"/>
  <c r="A63" i="1" s="1"/>
  <c r="S62" i="1"/>
  <c r="B62" i="1"/>
  <c r="A62" i="1" s="1"/>
  <c r="S61" i="1"/>
  <c r="B61" i="1"/>
  <c r="A61" i="1" s="1"/>
  <c r="B60" i="1"/>
  <c r="A60" i="1" s="1"/>
  <c r="B59" i="1"/>
  <c r="A59" i="1" s="1"/>
  <c r="S58" i="1"/>
  <c r="B58" i="1"/>
  <c r="A58" i="1" s="1"/>
  <c r="S57" i="1"/>
  <c r="B57" i="1"/>
  <c r="A57" i="1" s="1"/>
  <c r="B56" i="1"/>
  <c r="A56" i="1" s="1"/>
  <c r="I72" i="1" s="1"/>
  <c r="Q72" i="1"/>
  <c r="B55" i="1"/>
  <c r="A55" i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/>
  <c r="B46" i="1"/>
  <c r="B45" i="1"/>
  <c r="A45" i="1" s="1"/>
  <c r="B44" i="1"/>
  <c r="B43" i="1"/>
  <c r="A43" i="1" s="1"/>
  <c r="B42" i="1"/>
  <c r="B41" i="1"/>
  <c r="A41" i="1"/>
  <c r="K40" i="1"/>
  <c r="N40" i="1"/>
  <c r="B40" i="1"/>
  <c r="A40" i="1" s="1"/>
  <c r="K39" i="1"/>
  <c r="B39" i="1"/>
  <c r="S38" i="1"/>
  <c r="B38" i="1"/>
  <c r="A38" i="1"/>
  <c r="B37" i="1"/>
  <c r="A37" i="1" s="1"/>
  <c r="N37" i="1" s="1"/>
  <c r="B36" i="1"/>
  <c r="A36" i="1"/>
  <c r="B35" i="1"/>
  <c r="S34" i="1"/>
  <c r="B34" i="1"/>
  <c r="A34" i="1" s="1"/>
  <c r="N33" i="1"/>
  <c r="B33" i="1"/>
  <c r="S33" i="1" s="1"/>
  <c r="B32" i="1"/>
  <c r="S31" i="1"/>
  <c r="B31" i="1"/>
  <c r="A31" i="1" s="1"/>
  <c r="B30" i="1"/>
  <c r="A30" i="1" s="1"/>
  <c r="B29" i="1"/>
  <c r="A29" i="1" s="1"/>
  <c r="B28" i="1"/>
  <c r="A28" i="1"/>
  <c r="B27" i="1"/>
  <c r="A27" i="1" s="1"/>
  <c r="B26" i="1"/>
  <c r="A26" i="1" s="1"/>
  <c r="B25" i="1"/>
  <c r="A25" i="1" s="1"/>
  <c r="B24" i="1"/>
  <c r="A24" i="1" s="1"/>
  <c r="B23" i="1"/>
  <c r="S23" i="1" s="1"/>
  <c r="B22" i="1"/>
  <c r="A22" i="1" s="1"/>
  <c r="E22" i="1" s="1"/>
  <c r="H21" i="1"/>
  <c r="B21" i="1"/>
  <c r="N21" i="1" s="1"/>
  <c r="B20" i="1"/>
  <c r="A20" i="1" s="1"/>
  <c r="R19" i="1"/>
  <c r="B19" i="1"/>
  <c r="B18" i="1"/>
  <c r="A18" i="1" s="1"/>
  <c r="R17" i="1"/>
  <c r="P17" i="1"/>
  <c r="N17" i="1"/>
  <c r="K17" i="1"/>
  <c r="M17" i="1"/>
  <c r="E17" i="1"/>
  <c r="B17" i="1"/>
  <c r="A17" i="1" s="1"/>
  <c r="B16" i="1"/>
  <c r="A16" i="1" s="1"/>
  <c r="R15" i="1"/>
  <c r="K15" i="1"/>
  <c r="B15" i="1"/>
  <c r="P15" i="1" s="1"/>
  <c r="B14" i="1"/>
  <c r="A14" i="1" s="1"/>
  <c r="O13" i="1"/>
  <c r="J13" i="1"/>
  <c r="B13" i="1"/>
  <c r="A13" i="1" s="1"/>
  <c r="R12" i="1"/>
  <c r="P12" i="1"/>
  <c r="S12" i="1"/>
  <c r="K12" i="1"/>
  <c r="B12" i="1"/>
  <c r="A12" i="1" s="1"/>
  <c r="R11" i="1"/>
  <c r="P11" i="1"/>
  <c r="K11" i="1"/>
  <c r="B11" i="1"/>
  <c r="R10" i="1"/>
  <c r="P10" i="1"/>
  <c r="K10" i="1"/>
  <c r="B10" i="1"/>
  <c r="A10" i="1" s="1"/>
  <c r="R9" i="1"/>
  <c r="P9" i="1"/>
  <c r="S9" i="1"/>
  <c r="K9" i="1"/>
  <c r="B9" i="1"/>
  <c r="R8" i="1"/>
  <c r="P8" i="1"/>
  <c r="K8" i="1"/>
  <c r="B8" i="1"/>
  <c r="A8" i="1" s="1"/>
  <c r="R7" i="1"/>
  <c r="K7" i="1"/>
  <c r="B7" i="1"/>
  <c r="P7" i="1" s="1"/>
  <c r="R6" i="1"/>
  <c r="K6" i="1"/>
  <c r="B6" i="1"/>
  <c r="A6" i="1" s="1"/>
  <c r="B5" i="1"/>
  <c r="A5" i="1" s="1"/>
  <c r="A7" i="1" l="1"/>
  <c r="I10" i="2"/>
  <c r="L107" i="1"/>
  <c r="A21" i="1"/>
  <c r="J111" i="1"/>
  <c r="Y96" i="1"/>
  <c r="K114" i="1"/>
  <c r="X96" i="1"/>
  <c r="K22" i="1"/>
  <c r="R22" i="1" s="1"/>
  <c r="X13" i="1"/>
  <c r="A23" i="1"/>
  <c r="O24" i="1"/>
  <c r="Y13" i="1"/>
  <c r="A33" i="1"/>
  <c r="A15" i="1"/>
  <c r="S96" i="1"/>
  <c r="S97" i="1" s="1"/>
  <c r="E361" i="1"/>
  <c r="AI491" i="1"/>
  <c r="R96" i="1"/>
  <c r="R97" i="1" s="1"/>
  <c r="K96" i="1"/>
  <c r="K23" i="1"/>
  <c r="R23" i="1" s="1"/>
  <c r="K21" i="1"/>
  <c r="R21" i="1" s="1"/>
  <c r="R13" i="1"/>
  <c r="R14" i="1" s="1"/>
  <c r="P6" i="1"/>
  <c r="N10" i="1"/>
  <c r="S15" i="1"/>
  <c r="N48" i="1"/>
  <c r="H114" i="1"/>
  <c r="G104" i="1"/>
  <c r="W104" i="1" s="1"/>
  <c r="H116" i="1"/>
  <c r="H96" i="1"/>
  <c r="G107" i="1"/>
  <c r="W107" i="1" s="1"/>
  <c r="S7" i="1"/>
  <c r="M6" i="1"/>
  <c r="H6" i="1"/>
  <c r="N8" i="1"/>
  <c r="S8" i="1"/>
  <c r="N15" i="1"/>
  <c r="H22" i="1"/>
  <c r="N23" i="1"/>
  <c r="A32" i="1"/>
  <c r="S37" i="1"/>
  <c r="N38" i="1"/>
  <c r="A44" i="1"/>
  <c r="S45" i="1"/>
  <c r="N45" i="1"/>
  <c r="A52" i="1"/>
  <c r="S53" i="1"/>
  <c r="N53" i="1"/>
  <c r="N58" i="1"/>
  <c r="N62" i="1"/>
  <c r="A76" i="1"/>
  <c r="D96" i="1"/>
  <c r="E95" i="1"/>
  <c r="S130" i="1"/>
  <c r="V484" i="1"/>
  <c r="A484" i="1" s="1"/>
  <c r="V401" i="1"/>
  <c r="C290" i="1"/>
  <c r="C355" i="1" s="1"/>
  <c r="C235" i="1"/>
  <c r="C167" i="1"/>
  <c r="C89" i="1"/>
  <c r="A81" i="1"/>
  <c r="N96" i="1"/>
  <c r="N97" i="1" s="1"/>
  <c r="M96" i="1"/>
  <c r="M97" i="1" s="1"/>
  <c r="K101" i="1"/>
  <c r="R101" i="1" s="1"/>
  <c r="S111" i="1"/>
  <c r="K117" i="1"/>
  <c r="N123" i="1"/>
  <c r="P21" i="1"/>
  <c r="A9" i="1"/>
  <c r="H17" i="1"/>
  <c r="S17" i="1"/>
  <c r="E21" i="1"/>
  <c r="I24" i="1"/>
  <c r="E23" i="1"/>
  <c r="J24" i="1"/>
  <c r="N34" i="1"/>
  <c r="A39" i="1"/>
  <c r="P39" i="1"/>
  <c r="S40" i="1"/>
  <c r="Q54" i="1"/>
  <c r="A46" i="1"/>
  <c r="N57" i="1"/>
  <c r="N61" i="1"/>
  <c r="F72" i="1"/>
  <c r="N65" i="1"/>
  <c r="N69" i="1"/>
  <c r="S78" i="1"/>
  <c r="A78" i="1"/>
  <c r="N94" i="1"/>
  <c r="P102" i="1"/>
  <c r="O104" i="1"/>
  <c r="Y104" i="1" s="1"/>
  <c r="P103" i="1"/>
  <c r="P96" i="1"/>
  <c r="P101" i="1"/>
  <c r="K102" i="1"/>
  <c r="R102" i="1" s="1"/>
  <c r="Y107" i="1"/>
  <c r="I121" i="1"/>
  <c r="G111" i="1"/>
  <c r="N119" i="1"/>
  <c r="H119" i="1"/>
  <c r="E12" i="1"/>
  <c r="N12" i="1"/>
  <c r="S60" i="1"/>
  <c r="S64" i="1"/>
  <c r="N101" i="1"/>
  <c r="K103" i="1"/>
  <c r="R103" i="1" s="1"/>
  <c r="S48" i="1"/>
  <c r="AO484" i="1"/>
  <c r="AO401" i="1"/>
  <c r="S355" i="1"/>
  <c r="S235" i="1"/>
  <c r="S167" i="1"/>
  <c r="S290" i="1"/>
  <c r="S56" i="1"/>
  <c r="A11" i="1"/>
  <c r="A19" i="1"/>
  <c r="F24" i="1"/>
  <c r="S21" i="1"/>
  <c r="H23" i="1"/>
  <c r="J27" i="1"/>
  <c r="X27" i="1" s="1"/>
  <c r="L41" i="1"/>
  <c r="N31" i="1"/>
  <c r="A35" i="1"/>
  <c r="S36" i="1"/>
  <c r="S49" i="1"/>
  <c r="N49" i="1"/>
  <c r="N56" i="1"/>
  <c r="N60" i="1"/>
  <c r="N64" i="1"/>
  <c r="S80" i="1"/>
  <c r="A80" i="1"/>
  <c r="E94" i="1"/>
  <c r="N99" i="1"/>
  <c r="Q104" i="1"/>
  <c r="Q107" i="1" s="1"/>
  <c r="P107" i="1" s="1"/>
  <c r="J104" i="1"/>
  <c r="X104" i="1" s="1"/>
  <c r="H111" i="1"/>
  <c r="H115" i="1"/>
  <c r="S119" i="1"/>
  <c r="S59" i="1"/>
  <c r="S63" i="1"/>
  <c r="S67" i="1"/>
  <c r="S71" i="1"/>
  <c r="A77" i="1"/>
  <c r="F107" i="1"/>
  <c r="H113" i="1"/>
  <c r="Q24" i="1"/>
  <c r="S46" i="1"/>
  <c r="S55" i="1"/>
  <c r="N7" i="1"/>
  <c r="K38" i="1"/>
  <c r="A42" i="1"/>
  <c r="S43" i="1"/>
  <c r="N43" i="1"/>
  <c r="S51" i="1"/>
  <c r="N51" i="1"/>
  <c r="N55" i="1"/>
  <c r="N59" i="1"/>
  <c r="N63" i="1"/>
  <c r="A82" i="1"/>
  <c r="S89" i="1"/>
  <c r="M94" i="1"/>
  <c r="N102" i="1"/>
  <c r="H102" i="1"/>
  <c r="N111" i="1"/>
  <c r="L121" i="1"/>
  <c r="H112" i="1"/>
  <c r="N113" i="1"/>
  <c r="E10" i="1"/>
  <c r="O27" i="1"/>
  <c r="Y27" i="1" s="1"/>
  <c r="P23" i="1"/>
  <c r="S70" i="1"/>
  <c r="S79" i="1"/>
  <c r="A79" i="1"/>
  <c r="K119" i="1"/>
  <c r="P118" i="1"/>
  <c r="P119" i="1"/>
  <c r="K116" i="1"/>
  <c r="P115" i="1"/>
  <c r="K120" i="1"/>
  <c r="K113" i="1"/>
  <c r="P112" i="1"/>
  <c r="K111" i="1"/>
  <c r="X107" i="1"/>
  <c r="K118" i="1"/>
  <c r="P117" i="1"/>
  <c r="K115" i="1"/>
  <c r="P114" i="1"/>
  <c r="P120" i="1"/>
  <c r="P116" i="1"/>
  <c r="E102" i="1"/>
  <c r="P111" i="1"/>
  <c r="K112" i="1"/>
  <c r="P113" i="1"/>
  <c r="H117" i="1"/>
  <c r="N118" i="1"/>
  <c r="H118" i="1"/>
  <c r="N122" i="1"/>
  <c r="L134" i="1"/>
  <c r="S126" i="1"/>
  <c r="S135" i="1"/>
  <c r="N158" i="1"/>
  <c r="S161" i="1"/>
  <c r="N161" i="1"/>
  <c r="S174" i="1"/>
  <c r="E184" i="1"/>
  <c r="E193" i="1" s="1"/>
  <c r="M180" i="1"/>
  <c r="S240" i="1"/>
  <c r="S241" i="1" s="1"/>
  <c r="L241" i="1"/>
  <c r="N240" i="1"/>
  <c r="N241" i="1" s="1"/>
  <c r="N103" i="1"/>
  <c r="J112" i="1"/>
  <c r="Q134" i="1"/>
  <c r="N135" i="1"/>
  <c r="I152" i="1"/>
  <c r="N139" i="1"/>
  <c r="N143" i="1"/>
  <c r="N146" i="1"/>
  <c r="S199" i="1"/>
  <c r="F172" i="1"/>
  <c r="M177" i="1"/>
  <c r="S180" i="1"/>
  <c r="M187" i="1"/>
  <c r="N265" i="1"/>
  <c r="N125" i="1"/>
  <c r="N129" i="1"/>
  <c r="N133" i="1"/>
  <c r="N138" i="1"/>
  <c r="N142" i="1"/>
  <c r="S151" i="1"/>
  <c r="N151" i="1"/>
  <c r="N160" i="1"/>
  <c r="S211" i="1"/>
  <c r="S145" i="1"/>
  <c r="N145" i="1"/>
  <c r="M171" i="1"/>
  <c r="N174" i="1"/>
  <c r="S187" i="1"/>
  <c r="F134" i="1"/>
  <c r="S155" i="1"/>
  <c r="N155" i="1"/>
  <c r="N183" i="1"/>
  <c r="N202" i="1"/>
  <c r="S205" i="1"/>
  <c r="N205" i="1"/>
  <c r="F249" i="1"/>
  <c r="F244" i="1"/>
  <c r="S131" i="1"/>
  <c r="S147" i="1"/>
  <c r="S171" i="1"/>
  <c r="N171" i="1"/>
  <c r="Q228" i="1"/>
  <c r="S127" i="1"/>
  <c r="S120" i="1"/>
  <c r="N126" i="1"/>
  <c r="N127" i="1"/>
  <c r="N130" i="1"/>
  <c r="N131" i="1"/>
  <c r="S137" i="1"/>
  <c r="S141" i="1"/>
  <c r="N147" i="1"/>
  <c r="N214" i="1"/>
  <c r="F228" i="1"/>
  <c r="R184" i="1"/>
  <c r="S185" i="1" s="1"/>
  <c r="S253" i="1"/>
  <c r="N255" i="1"/>
  <c r="S256" i="1"/>
  <c r="N260" i="1"/>
  <c r="S282" i="1"/>
  <c r="M296" i="1"/>
  <c r="N298" i="1"/>
  <c r="S298" i="1"/>
  <c r="R300" i="1"/>
  <c r="N157" i="1"/>
  <c r="S159" i="1"/>
  <c r="N201" i="1"/>
  <c r="S203" i="1"/>
  <c r="N213" i="1"/>
  <c r="S215" i="1"/>
  <c r="N219" i="1"/>
  <c r="S221" i="1"/>
  <c r="N226" i="1"/>
  <c r="S246" i="1"/>
  <c r="S247" i="1" s="1"/>
  <c r="N256" i="1"/>
  <c r="N259" i="1"/>
  <c r="S264" i="1"/>
  <c r="S268" i="1"/>
  <c r="N273" i="1"/>
  <c r="N299" i="1"/>
  <c r="M361" i="1"/>
  <c r="F175" i="1"/>
  <c r="N199" i="1"/>
  <c r="N207" i="1"/>
  <c r="N211" i="1"/>
  <c r="N217" i="1"/>
  <c r="N225" i="1"/>
  <c r="E249" i="1"/>
  <c r="M246" i="1"/>
  <c r="N263" i="1"/>
  <c r="N267" i="1"/>
  <c r="N275" i="1"/>
  <c r="N278" i="1"/>
  <c r="N281" i="1"/>
  <c r="S294" i="1"/>
  <c r="M297" i="1"/>
  <c r="R299" i="1"/>
  <c r="S299" i="1"/>
  <c r="N331" i="1"/>
  <c r="N254" i="1"/>
  <c r="S254" i="1"/>
  <c r="N272" i="1"/>
  <c r="S272" i="1"/>
  <c r="N283" i="1"/>
  <c r="E300" i="1"/>
  <c r="N301" i="1"/>
  <c r="S329" i="1"/>
  <c r="N329" i="1"/>
  <c r="S359" i="1"/>
  <c r="N359" i="1"/>
  <c r="M174" i="1"/>
  <c r="N223" i="1"/>
  <c r="F265" i="1"/>
  <c r="N258" i="1"/>
  <c r="N262" i="1"/>
  <c r="S262" i="1"/>
  <c r="N266" i="1"/>
  <c r="S266" i="1"/>
  <c r="N269" i="1"/>
  <c r="F162" i="1"/>
  <c r="M294" i="1"/>
  <c r="N295" i="1"/>
  <c r="S297" i="1"/>
  <c r="S306" i="1"/>
  <c r="N337" i="1"/>
  <c r="S269" i="1"/>
  <c r="S274" i="1"/>
  <c r="N297" i="1"/>
  <c r="M299" i="1"/>
  <c r="N300" i="1"/>
  <c r="R298" i="1"/>
  <c r="R301" i="1"/>
  <c r="N311" i="1"/>
  <c r="N324" i="1"/>
  <c r="N369" i="1"/>
  <c r="S393" i="1"/>
  <c r="N393" i="1"/>
  <c r="AN452" i="1"/>
  <c r="AF465" i="1"/>
  <c r="AH452" i="1"/>
  <c r="AI452" i="1" s="1"/>
  <c r="E297" i="1"/>
  <c r="S301" i="1"/>
  <c r="E306" i="1"/>
  <c r="M307" i="1"/>
  <c r="N317" i="1"/>
  <c r="S319" i="1"/>
  <c r="N325" i="1"/>
  <c r="S327" i="1"/>
  <c r="S331" i="1"/>
  <c r="F348" i="1"/>
  <c r="S337" i="1"/>
  <c r="N343" i="1"/>
  <c r="E359" i="1"/>
  <c r="S366" i="1"/>
  <c r="N373" i="1"/>
  <c r="S374" i="1"/>
  <c r="N378" i="1"/>
  <c r="N386" i="1"/>
  <c r="AI419" i="1"/>
  <c r="AH456" i="1"/>
  <c r="AI456" i="1" s="1"/>
  <c r="S300" i="1"/>
  <c r="N367" i="1"/>
  <c r="N375" i="1"/>
  <c r="F376" i="1"/>
  <c r="S317" i="1"/>
  <c r="N372" i="1"/>
  <c r="N377" i="1"/>
  <c r="N379" i="1"/>
  <c r="F394" i="1"/>
  <c r="E394" i="1" s="1"/>
  <c r="R294" i="1"/>
  <c r="E301" i="1"/>
  <c r="N306" i="1"/>
  <c r="F329" i="1"/>
  <c r="N322" i="1"/>
  <c r="N334" i="1"/>
  <c r="N340" i="1"/>
  <c r="N346" i="1"/>
  <c r="S382" i="1"/>
  <c r="N382" i="1"/>
  <c r="S385" i="1"/>
  <c r="N385" i="1"/>
  <c r="R295" i="1"/>
  <c r="R306" i="1"/>
  <c r="N371" i="1"/>
  <c r="S377" i="1"/>
  <c r="N370" i="1"/>
  <c r="AC465" i="1"/>
  <c r="N381" i="1"/>
  <c r="AH454" i="1"/>
  <c r="AI454" i="1" s="1"/>
  <c r="AN457" i="1"/>
  <c r="AO457" i="1" s="1"/>
  <c r="N384" i="1"/>
  <c r="N392" i="1"/>
  <c r="AL465" i="1"/>
  <c r="AH490" i="1"/>
  <c r="AI490" i="1" s="1"/>
  <c r="N390" i="1"/>
  <c r="AI457" i="1"/>
  <c r="AH458" i="1"/>
  <c r="AH460" i="1"/>
  <c r="AI460" i="1" s="1"/>
  <c r="AI492" i="1"/>
  <c r="AO494" i="1"/>
  <c r="AH459" i="1"/>
  <c r="AI459" i="1" s="1"/>
  <c r="AO460" i="1"/>
  <c r="AI493" i="1"/>
  <c r="Z465" i="1"/>
  <c r="AN455" i="1"/>
  <c r="AO455" i="1" s="1"/>
  <c r="AH455" i="1"/>
  <c r="AI455" i="1" s="1"/>
  <c r="AO459" i="1"/>
  <c r="AN491" i="1"/>
  <c r="AO491" i="1" s="1"/>
  <c r="AH494" i="1"/>
  <c r="AI494" i="1" s="1"/>
  <c r="AH468" i="1"/>
  <c r="AI468" i="1" s="1"/>
  <c r="AH476" i="1"/>
  <c r="AI476" i="1" s="1"/>
  <c r="AN492" i="1"/>
  <c r="AO492" i="1" s="1"/>
  <c r="AN493" i="1"/>
  <c r="AO493" i="1" s="1"/>
  <c r="AH496" i="1"/>
  <c r="AI496" i="1" s="1"/>
  <c r="AN495" i="1"/>
  <c r="Y24" i="1" l="1"/>
  <c r="Y4" i="1" s="1"/>
  <c r="P38" i="1"/>
  <c r="P40" i="1"/>
  <c r="P32" i="1"/>
  <c r="P35" i="1"/>
  <c r="P33" i="1"/>
  <c r="P36" i="1"/>
  <c r="P34" i="1"/>
  <c r="P31" i="1"/>
  <c r="P37" i="1"/>
  <c r="E113" i="1"/>
  <c r="V96" i="1"/>
  <c r="K31" i="1"/>
  <c r="X24" i="1"/>
  <c r="X4" i="1" s="1"/>
  <c r="E120" i="1"/>
  <c r="K35" i="1"/>
  <c r="AN465" i="1"/>
  <c r="E134" i="1"/>
  <c r="E119" i="1"/>
  <c r="E115" i="1"/>
  <c r="E118" i="1"/>
  <c r="AE410" i="1"/>
  <c r="AL448" i="1"/>
  <c r="AE411" i="1"/>
  <c r="AI439" i="1"/>
  <c r="AO424" i="1"/>
  <c r="AF416" i="1"/>
  <c r="AE416" i="1" s="1"/>
  <c r="AL435" i="1"/>
  <c r="P152" i="1"/>
  <c r="P121" i="1"/>
  <c r="F350" i="1"/>
  <c r="F396" i="1"/>
  <c r="E376" i="1"/>
  <c r="F230" i="1"/>
  <c r="S307" i="1"/>
  <c r="N307" i="1"/>
  <c r="E265" i="1"/>
  <c r="N361" i="1"/>
  <c r="S361" i="1"/>
  <c r="S362" i="1" s="1"/>
  <c r="P134" i="1"/>
  <c r="S35" i="1"/>
  <c r="L244" i="1"/>
  <c r="K265" i="1"/>
  <c r="N243" i="1"/>
  <c r="N244" i="1" s="1"/>
  <c r="L249" i="1"/>
  <c r="S243" i="1"/>
  <c r="S244" i="1" s="1"/>
  <c r="S296" i="1"/>
  <c r="N296" i="1"/>
  <c r="F250" i="1"/>
  <c r="N178" i="1"/>
  <c r="N177" i="1"/>
  <c r="S177" i="1"/>
  <c r="N79" i="1"/>
  <c r="N80" i="1"/>
  <c r="M12" i="1"/>
  <c r="H12" i="1"/>
  <c r="M15" i="1"/>
  <c r="H15" i="1"/>
  <c r="E111" i="1"/>
  <c r="F121" i="1"/>
  <c r="S52" i="1"/>
  <c r="I13" i="1"/>
  <c r="AL442" i="1"/>
  <c r="AL434" i="1"/>
  <c r="AL414" i="1"/>
  <c r="AL433" i="1"/>
  <c r="AL410" i="1"/>
  <c r="S19" i="1"/>
  <c r="N19" i="1"/>
  <c r="N394" i="1"/>
  <c r="F241" i="1"/>
  <c r="N187" i="1"/>
  <c r="R27" i="1"/>
  <c r="R28" i="1" s="1"/>
  <c r="E11" i="1"/>
  <c r="AF415" i="1"/>
  <c r="AL439" i="1"/>
  <c r="E117" i="1"/>
  <c r="M300" i="1"/>
  <c r="Q230" i="1"/>
  <c r="K134" i="1"/>
  <c r="S134" i="1"/>
  <c r="K33" i="1"/>
  <c r="K36" i="1"/>
  <c r="S376" i="1"/>
  <c r="N376" i="1"/>
  <c r="F184" i="1"/>
  <c r="S77" i="1"/>
  <c r="N77" i="1"/>
  <c r="H120" i="1"/>
  <c r="N120" i="1"/>
  <c r="I134" i="1"/>
  <c r="N134" i="1" s="1"/>
  <c r="M7" i="1"/>
  <c r="H7" i="1"/>
  <c r="S44" i="1"/>
  <c r="N44" i="1"/>
  <c r="S50" i="1"/>
  <c r="N50" i="1"/>
  <c r="M8" i="1"/>
  <c r="H8" i="1"/>
  <c r="AL409" i="1"/>
  <c r="AL417" i="1"/>
  <c r="AL416" i="1"/>
  <c r="AL413" i="1"/>
  <c r="AL449" i="1"/>
  <c r="AH473" i="1"/>
  <c r="AI473" i="1" s="1"/>
  <c r="Q154" i="1"/>
  <c r="P154" i="1" s="1"/>
  <c r="S39" i="1"/>
  <c r="K37" i="1"/>
  <c r="M306" i="1"/>
  <c r="M295" i="1"/>
  <c r="E295" i="1"/>
  <c r="F284" i="1"/>
  <c r="E284" i="1" s="1"/>
  <c r="R303" i="1"/>
  <c r="N162" i="1"/>
  <c r="I228" i="1"/>
  <c r="F188" i="1"/>
  <c r="P22" i="1"/>
  <c r="L13" i="1"/>
  <c r="N6" i="1"/>
  <c r="S6" i="1"/>
  <c r="E7" i="1"/>
  <c r="L54" i="1"/>
  <c r="S76" i="1"/>
  <c r="AL450" i="1"/>
  <c r="AL440" i="1"/>
  <c r="AL445" i="1"/>
  <c r="AF417" i="1"/>
  <c r="I104" i="1"/>
  <c r="H104" i="1" s="1"/>
  <c r="K34" i="1"/>
  <c r="E15" i="1"/>
  <c r="P24" i="1"/>
  <c r="S10" i="1"/>
  <c r="E6" i="1"/>
  <c r="N81" i="1"/>
  <c r="F303" i="1"/>
  <c r="F308" i="1" s="1"/>
  <c r="S209" i="1"/>
  <c r="N209" i="1"/>
  <c r="I350" i="1"/>
  <c r="H350" i="1" s="1"/>
  <c r="R308" i="1"/>
  <c r="AL405" i="1"/>
  <c r="M104" i="1"/>
  <c r="K104" i="1"/>
  <c r="S81" i="1"/>
  <c r="N22" i="1"/>
  <c r="S22" i="1"/>
  <c r="N36" i="1"/>
  <c r="AL436" i="1"/>
  <c r="AL412" i="1"/>
  <c r="AL408" i="1"/>
  <c r="AO425" i="1"/>
  <c r="AL446" i="1"/>
  <c r="AL437" i="1"/>
  <c r="AH470" i="1"/>
  <c r="AI470" i="1" s="1"/>
  <c r="AL444" i="1"/>
  <c r="AO477" i="1"/>
  <c r="K32" i="1"/>
  <c r="E9" i="1"/>
  <c r="N9" i="1"/>
  <c r="G13" i="1"/>
  <c r="W13" i="1" s="1"/>
  <c r="E294" i="1"/>
  <c r="D303" i="1"/>
  <c r="AH465" i="1"/>
  <c r="AI465" i="1" s="1"/>
  <c r="M303" i="1"/>
  <c r="F181" i="1"/>
  <c r="E8" i="1"/>
  <c r="S104" i="1"/>
  <c r="S105" i="1" s="1"/>
  <c r="N11" i="1"/>
  <c r="S11" i="1"/>
  <c r="P104" i="1"/>
  <c r="S47" i="1"/>
  <c r="N47" i="1"/>
  <c r="M10" i="1"/>
  <c r="H10" i="1"/>
  <c r="L24" i="1"/>
  <c r="K24" i="1" s="1"/>
  <c r="S107" i="1"/>
  <c r="S108" i="1" s="1"/>
  <c r="AO426" i="1"/>
  <c r="AL447" i="1"/>
  <c r="AL438" i="1"/>
  <c r="D107" i="1"/>
  <c r="E96" i="1"/>
  <c r="E114" i="1"/>
  <c r="E112" i="1"/>
  <c r="E116" i="1"/>
  <c r="D104" i="1"/>
  <c r="F41" i="1"/>
  <c r="Q41" i="1"/>
  <c r="Q13" i="1"/>
  <c r="N303" i="1"/>
  <c r="N304" i="1" s="1"/>
  <c r="S303" i="1"/>
  <c r="N121" i="1"/>
  <c r="S121" i="1"/>
  <c r="K121" i="1"/>
  <c r="AI458" i="1"/>
  <c r="S162" i="1"/>
  <c r="AO452" i="1"/>
  <c r="AO465" i="1"/>
  <c r="S394" i="1"/>
  <c r="N294" i="1"/>
  <c r="F152" i="1"/>
  <c r="E152" i="1" s="1"/>
  <c r="S295" i="1"/>
  <c r="I162" i="1"/>
  <c r="S265" i="1"/>
  <c r="N180" i="1"/>
  <c r="R107" i="1"/>
  <c r="R108" i="1" s="1"/>
  <c r="M107" i="1"/>
  <c r="M108" i="1" s="1"/>
  <c r="K107" i="1"/>
  <c r="F13" i="1"/>
  <c r="N46" i="1"/>
  <c r="AL415" i="1"/>
  <c r="AL443" i="1"/>
  <c r="AL411" i="1"/>
  <c r="AN473" i="1"/>
  <c r="AL441" i="1"/>
  <c r="S32" i="1"/>
  <c r="N9" i="2" l="1"/>
  <c r="N8" i="2" s="1"/>
  <c r="F27" i="1"/>
  <c r="E41" i="1" s="1"/>
  <c r="K13" i="1"/>
  <c r="E107" i="1"/>
  <c r="V107" i="1"/>
  <c r="E104" i="1"/>
  <c r="V104" i="1"/>
  <c r="F313" i="1"/>
  <c r="F352" i="1" s="1"/>
  <c r="S54" i="1"/>
  <c r="AH472" i="1"/>
  <c r="AI472" i="1" s="1"/>
  <c r="AN410" i="1"/>
  <c r="AO410" i="1" s="1"/>
  <c r="AH411" i="1"/>
  <c r="AI411" i="1" s="1"/>
  <c r="AN472" i="1"/>
  <c r="AO472" i="1" s="1"/>
  <c r="AN416" i="1"/>
  <c r="S398" i="1"/>
  <c r="G27" i="1"/>
  <c r="W27" i="1" s="1"/>
  <c r="H13" i="1"/>
  <c r="AB408" i="1"/>
  <c r="G24" i="1"/>
  <c r="W24" i="1" s="1"/>
  <c r="N78" i="1"/>
  <c r="AH469" i="1"/>
  <c r="N308" i="1"/>
  <c r="N309" i="1" s="1"/>
  <c r="AN425" i="1"/>
  <c r="AB414" i="1"/>
  <c r="AN449" i="1"/>
  <c r="AO449" i="1" s="1"/>
  <c r="AN415" i="1"/>
  <c r="AE415" i="1"/>
  <c r="AE409" i="1"/>
  <c r="AN409" i="1"/>
  <c r="AO409" i="1" s="1"/>
  <c r="Q164" i="1"/>
  <c r="AN435" i="1"/>
  <c r="AO435" i="1" s="1"/>
  <c r="AH435" i="1"/>
  <c r="AI435" i="1" s="1"/>
  <c r="AH430" i="1"/>
  <c r="AI430" i="1" s="1"/>
  <c r="AN430" i="1"/>
  <c r="AO430" i="1" s="1"/>
  <c r="AK411" i="1"/>
  <c r="I54" i="1"/>
  <c r="AH420" i="1"/>
  <c r="N42" i="1"/>
  <c r="N104" i="1"/>
  <c r="N105" i="1" s="1"/>
  <c r="G112" i="1"/>
  <c r="I107" i="1"/>
  <c r="H134" i="1" s="1"/>
  <c r="AN424" i="1"/>
  <c r="F193" i="1"/>
  <c r="F185" i="1"/>
  <c r="P230" i="1"/>
  <c r="Z417" i="1"/>
  <c r="AC416" i="1"/>
  <c r="AI424" i="1"/>
  <c r="AC417" i="1"/>
  <c r="AH417" i="1" s="1"/>
  <c r="AC415" i="1"/>
  <c r="AH415" i="1" s="1"/>
  <c r="AI425" i="1"/>
  <c r="AI426" i="1"/>
  <c r="AH478" i="1"/>
  <c r="AI478" i="1" s="1"/>
  <c r="AH477" i="1"/>
  <c r="AI477" i="1" s="1"/>
  <c r="AN427" i="1"/>
  <c r="AO427" i="1" s="1"/>
  <c r="AH427" i="1"/>
  <c r="AI427" i="1" s="1"/>
  <c r="AL451" i="1"/>
  <c r="M308" i="1"/>
  <c r="AN442" i="1"/>
  <c r="AO442" i="1" s="1"/>
  <c r="AH442" i="1"/>
  <c r="AI442" i="1" s="1"/>
  <c r="AH437" i="1"/>
  <c r="AI437" i="1" s="1"/>
  <c r="AN437" i="1"/>
  <c r="AO437" i="1" s="1"/>
  <c r="I27" i="1"/>
  <c r="F54" i="1"/>
  <c r="N24" i="1"/>
  <c r="N25" i="1" s="1"/>
  <c r="S24" i="1"/>
  <c r="S25" i="1" s="1"/>
  <c r="J32" i="1"/>
  <c r="AN471" i="1"/>
  <c r="AO471" i="1" s="1"/>
  <c r="AH421" i="1"/>
  <c r="AI421" i="1" s="1"/>
  <c r="AN421" i="1"/>
  <c r="AO421" i="1" s="1"/>
  <c r="AK412" i="1"/>
  <c r="D13" i="1"/>
  <c r="AE417" i="1"/>
  <c r="AN417" i="1"/>
  <c r="AO417" i="1" s="1"/>
  <c r="AN434" i="1"/>
  <c r="AO434" i="1" s="1"/>
  <c r="AH434" i="1"/>
  <c r="AI434" i="1" s="1"/>
  <c r="S13" i="1"/>
  <c r="S14" i="1" s="1"/>
  <c r="AK413" i="1"/>
  <c r="AK417" i="1"/>
  <c r="M11" i="1"/>
  <c r="H11" i="1"/>
  <c r="AN443" i="1"/>
  <c r="AO443" i="1" s="1"/>
  <c r="AH443" i="1"/>
  <c r="AI443" i="1" s="1"/>
  <c r="AK414" i="1"/>
  <c r="N52" i="1"/>
  <c r="AB413" i="1"/>
  <c r="AH446" i="1"/>
  <c r="AI446" i="1" s="1"/>
  <c r="AN446" i="1"/>
  <c r="AO446" i="1" s="1"/>
  <c r="AH438" i="1"/>
  <c r="AI438" i="1" s="1"/>
  <c r="AN438" i="1"/>
  <c r="AO438" i="1" s="1"/>
  <c r="AH429" i="1"/>
  <c r="AI429" i="1" s="1"/>
  <c r="AN429" i="1"/>
  <c r="AO429" i="1" s="1"/>
  <c r="AN433" i="1"/>
  <c r="AO433" i="1" s="1"/>
  <c r="AH433" i="1"/>
  <c r="AO473" i="1"/>
  <c r="Q27" i="1"/>
  <c r="P41" i="1" s="1"/>
  <c r="P13" i="1"/>
  <c r="AB410" i="1"/>
  <c r="AG410" i="1" s="1"/>
  <c r="N13" i="1"/>
  <c r="N14" i="1" s="1"/>
  <c r="H228" i="1"/>
  <c r="AE414" i="1"/>
  <c r="AN414" i="1"/>
  <c r="AO414" i="1" s="1"/>
  <c r="AH414" i="1"/>
  <c r="AI414" i="1" s="1"/>
  <c r="AH413" i="1"/>
  <c r="AI413" i="1" s="1"/>
  <c r="AE413" i="1"/>
  <c r="AN413" i="1"/>
  <c r="AO413" i="1" s="1"/>
  <c r="N249" i="1"/>
  <c r="N250" i="1" s="1"/>
  <c r="S249" i="1"/>
  <c r="L250" i="1"/>
  <c r="AN411" i="1"/>
  <c r="AO411" i="1" s="1"/>
  <c r="Q74" i="1"/>
  <c r="AN475" i="1"/>
  <c r="AO475" i="1" s="1"/>
  <c r="AH475" i="1"/>
  <c r="AI475" i="1" s="1"/>
  <c r="AN440" i="1"/>
  <c r="AO440" i="1" s="1"/>
  <c r="AH440" i="1"/>
  <c r="AI440" i="1" s="1"/>
  <c r="R313" i="1"/>
  <c r="AF432" i="1"/>
  <c r="AN420" i="1"/>
  <c r="AO420" i="1" s="1"/>
  <c r="AL432" i="1"/>
  <c r="L27" i="1"/>
  <c r="J31" i="1"/>
  <c r="Z416" i="1"/>
  <c r="AN426" i="1"/>
  <c r="M184" i="1"/>
  <c r="AK410" i="1"/>
  <c r="F154" i="1"/>
  <c r="E121" i="1"/>
  <c r="AN477" i="1"/>
  <c r="AH410" i="1"/>
  <c r="AI410" i="1" s="1"/>
  <c r="AN445" i="1"/>
  <c r="AO445" i="1" s="1"/>
  <c r="AH445" i="1"/>
  <c r="AI445" i="1" s="1"/>
  <c r="M9" i="1"/>
  <c r="H9" i="1"/>
  <c r="AO415" i="1"/>
  <c r="AK415" i="1"/>
  <c r="I83" i="1"/>
  <c r="AH471" i="1"/>
  <c r="AI471" i="1" s="1"/>
  <c r="AN408" i="1"/>
  <c r="AO408" i="1" s="1"/>
  <c r="AE408" i="1"/>
  <c r="AF418" i="1"/>
  <c r="AH408" i="1"/>
  <c r="AI408" i="1" s="1"/>
  <c r="Z451" i="1"/>
  <c r="AN474" i="1"/>
  <c r="AO474" i="1" s="1"/>
  <c r="AH474" i="1"/>
  <c r="AI474" i="1" s="1"/>
  <c r="Z415" i="1"/>
  <c r="E303" i="1"/>
  <c r="D308" i="1"/>
  <c r="D313" i="1" s="1"/>
  <c r="Z405" i="1" s="1"/>
  <c r="AK408" i="1"/>
  <c r="AL418" i="1"/>
  <c r="N35" i="1"/>
  <c r="AH412" i="1"/>
  <c r="S184" i="1"/>
  <c r="N184" i="1"/>
  <c r="N185" i="1" s="1"/>
  <c r="AO416" i="1"/>
  <c r="AK416" i="1"/>
  <c r="S396" i="1"/>
  <c r="N396" i="1"/>
  <c r="S308" i="1"/>
  <c r="S304" i="1"/>
  <c r="AH436" i="1"/>
  <c r="AI436" i="1" s="1"/>
  <c r="AN436" i="1"/>
  <c r="AO436" i="1" s="1"/>
  <c r="AN448" i="1"/>
  <c r="AO448" i="1" s="1"/>
  <c r="I352" i="1"/>
  <c r="AN444" i="1"/>
  <c r="AO444" i="1" s="1"/>
  <c r="F286" i="1"/>
  <c r="E286" i="1" s="1"/>
  <c r="AN422" i="1"/>
  <c r="AO422" i="1" s="1"/>
  <c r="Z480" i="1"/>
  <c r="F83" i="1"/>
  <c r="AH428" i="1"/>
  <c r="AI428" i="1" s="1"/>
  <c r="AN428" i="1"/>
  <c r="AO428" i="1" s="1"/>
  <c r="AN450" i="1"/>
  <c r="AO450" i="1" s="1"/>
  <c r="N32" i="1"/>
  <c r="I41" i="1"/>
  <c r="AN478" i="1"/>
  <c r="AO478" i="1" s="1"/>
  <c r="AN441" i="1"/>
  <c r="AO441" i="1" s="1"/>
  <c r="AH441" i="1"/>
  <c r="AI441" i="1" s="1"/>
  <c r="AN423" i="1"/>
  <c r="AO423" i="1" s="1"/>
  <c r="AH423" i="1"/>
  <c r="AI423" i="1" s="1"/>
  <c r="AN469" i="1"/>
  <c r="AO469" i="1" s="1"/>
  <c r="N76" i="1"/>
  <c r="S41" i="1"/>
  <c r="AK409" i="1"/>
  <c r="H39" i="1"/>
  <c r="N39" i="1"/>
  <c r="AN439" i="1"/>
  <c r="AO439" i="1" s="1"/>
  <c r="AH439" i="1"/>
  <c r="AE412" i="1"/>
  <c r="AN412" i="1"/>
  <c r="AO412" i="1" s="1"/>
  <c r="I154" i="1"/>
  <c r="AL480" i="1"/>
  <c r="AB411" i="1"/>
  <c r="AG411" i="1" s="1"/>
  <c r="I230" i="1"/>
  <c r="H230" i="1" s="1"/>
  <c r="AH444" i="1"/>
  <c r="AI444" i="1" s="1"/>
  <c r="AH422" i="1"/>
  <c r="AI422" i="1" s="1"/>
  <c r="E396" i="1"/>
  <c r="F398" i="1"/>
  <c r="G42" i="1" l="1"/>
  <c r="G55" i="1"/>
  <c r="AF406" i="1"/>
  <c r="E54" i="1"/>
  <c r="E72" i="1"/>
  <c r="H35" i="1"/>
  <c r="K27" i="1"/>
  <c r="H154" i="1"/>
  <c r="H32" i="1"/>
  <c r="E350" i="1"/>
  <c r="E348" i="1"/>
  <c r="Y408" i="1"/>
  <c r="AM408" i="1" s="1"/>
  <c r="V13" i="1"/>
  <c r="W4" i="1"/>
  <c r="Y412" i="1"/>
  <c r="AM412" i="1" s="1"/>
  <c r="Z406" i="1"/>
  <c r="E329" i="1"/>
  <c r="N41" i="1"/>
  <c r="M13" i="1"/>
  <c r="M14" i="1" s="1"/>
  <c r="E230" i="1"/>
  <c r="AH448" i="1"/>
  <c r="AI448" i="1" s="1"/>
  <c r="P74" i="1"/>
  <c r="H54" i="1"/>
  <c r="Y415" i="1"/>
  <c r="AM415" i="1" s="1"/>
  <c r="K54" i="1"/>
  <c r="Y413" i="1"/>
  <c r="AM413" i="1" s="1"/>
  <c r="AH426" i="1"/>
  <c r="Z432" i="1"/>
  <c r="AH450" i="1"/>
  <c r="AI450" i="1" s="1"/>
  <c r="AL406" i="1"/>
  <c r="S309" i="1"/>
  <c r="AN418" i="1"/>
  <c r="AO418" i="1" s="1"/>
  <c r="Z418" i="1"/>
  <c r="N398" i="1"/>
  <c r="AG408" i="1"/>
  <c r="AN432" i="1"/>
  <c r="AO432" i="1" s="1"/>
  <c r="AG414" i="1"/>
  <c r="Q85" i="1"/>
  <c r="P72" i="1"/>
  <c r="P27" i="1"/>
  <c r="P54" i="1"/>
  <c r="AB417" i="1"/>
  <c r="AG417" i="1" s="1"/>
  <c r="AI417" i="1"/>
  <c r="N313" i="1"/>
  <c r="N314" i="1" s="1"/>
  <c r="I74" i="1"/>
  <c r="I85" i="1" s="1"/>
  <c r="H41" i="1"/>
  <c r="AL467" i="1"/>
  <c r="E154" i="1"/>
  <c r="F164" i="1"/>
  <c r="Y416" i="1"/>
  <c r="AM416" i="1" s="1"/>
  <c r="I232" i="1"/>
  <c r="AC406" i="1"/>
  <c r="G9" i="2" s="1"/>
  <c r="G8" i="2" s="1"/>
  <c r="H72" i="1"/>
  <c r="F232" i="1"/>
  <c r="F194" i="1"/>
  <c r="E228" i="1"/>
  <c r="E209" i="1"/>
  <c r="AG413" i="1"/>
  <c r="AH424" i="1"/>
  <c r="AH425" i="1"/>
  <c r="H33" i="1"/>
  <c r="H40" i="1"/>
  <c r="H24" i="1"/>
  <c r="H37" i="1"/>
  <c r="H38" i="1"/>
  <c r="H34" i="1"/>
  <c r="H31" i="1"/>
  <c r="H36" i="1"/>
  <c r="M24" i="1"/>
  <c r="F74" i="1"/>
  <c r="AB409" i="1"/>
  <c r="AG409" i="1" s="1"/>
  <c r="AC418" i="1"/>
  <c r="S193" i="1"/>
  <c r="S194" i="1" s="1"/>
  <c r="N193" i="1"/>
  <c r="N194" i="1" s="1"/>
  <c r="Y409" i="1"/>
  <c r="AM409" i="1" s="1"/>
  <c r="R249" i="1"/>
  <c r="S250" i="1" s="1"/>
  <c r="M249" i="1"/>
  <c r="AB416" i="1"/>
  <c r="AG416" i="1" s="1"/>
  <c r="AH416" i="1"/>
  <c r="AI416" i="1" s="1"/>
  <c r="Q232" i="1"/>
  <c r="P228" i="1"/>
  <c r="AI433" i="1"/>
  <c r="N27" i="1"/>
  <c r="S27" i="1"/>
  <c r="K41" i="1"/>
  <c r="D27" i="1"/>
  <c r="E13" i="1"/>
  <c r="Y414" i="1"/>
  <c r="AM414" i="1" s="1"/>
  <c r="D24" i="1"/>
  <c r="V24" i="1" s="1"/>
  <c r="Y410" i="1"/>
  <c r="AM410" i="1" s="1"/>
  <c r="Y411" i="1"/>
  <c r="AM411" i="1" s="1"/>
  <c r="AH449" i="1"/>
  <c r="AI449" i="1" s="1"/>
  <c r="AI469" i="1"/>
  <c r="AC480" i="1"/>
  <c r="E308" i="1"/>
  <c r="M313" i="1"/>
  <c r="AF405" i="1"/>
  <c r="I164" i="1"/>
  <c r="H121" i="1"/>
  <c r="H152" i="1"/>
  <c r="H107" i="1"/>
  <c r="N107" i="1"/>
  <c r="N108" i="1" s="1"/>
  <c r="N54" i="1"/>
  <c r="AH409" i="1"/>
  <c r="AI409" i="1" s="1"/>
  <c r="F288" i="1"/>
  <c r="AB412" i="1"/>
  <c r="AG412" i="1" s="1"/>
  <c r="AI412" i="1"/>
  <c r="AI415" i="1"/>
  <c r="AB415" i="1"/>
  <c r="AG415" i="1" s="1"/>
  <c r="Y417" i="1"/>
  <c r="AM417" i="1" s="1"/>
  <c r="AI420" i="1"/>
  <c r="AC432" i="1"/>
  <c r="H27" i="1"/>
  <c r="M27" i="1"/>
  <c r="M28" i="1" s="1"/>
  <c r="AH418" i="1" l="1"/>
  <c r="AI418" i="1" s="1"/>
  <c r="AA419" i="1"/>
  <c r="AA433" i="1"/>
  <c r="C9" i="2"/>
  <c r="J9" i="2"/>
  <c r="J8" i="2" s="1"/>
  <c r="O9" i="2"/>
  <c r="O8" i="2" s="1"/>
  <c r="E27" i="1"/>
  <c r="V27" i="1"/>
  <c r="V4" i="1" s="1"/>
  <c r="X465" i="1"/>
  <c r="X432" i="1"/>
  <c r="X451" i="1"/>
  <c r="X480" i="1"/>
  <c r="AD432" i="1"/>
  <c r="K9" i="2"/>
  <c r="K8" i="2" s="1"/>
  <c r="C10" i="2"/>
  <c r="AA432" i="1"/>
  <c r="AA480" i="1"/>
  <c r="AA451" i="1"/>
  <c r="S28" i="1"/>
  <c r="AJ467" i="1"/>
  <c r="AL482" i="1"/>
  <c r="AJ465" i="1"/>
  <c r="AJ418" i="1"/>
  <c r="AJ432" i="1"/>
  <c r="AJ451" i="1"/>
  <c r="Z467" i="1"/>
  <c r="X418" i="1"/>
  <c r="E74" i="1"/>
  <c r="F85" i="1"/>
  <c r="AH432" i="1"/>
  <c r="AI432" i="1" s="1"/>
  <c r="E313" i="1"/>
  <c r="R193" i="1"/>
  <c r="M193" i="1"/>
  <c r="AD418" i="1"/>
  <c r="AA465" i="1"/>
  <c r="S313" i="1"/>
  <c r="S314" i="1" s="1"/>
  <c r="E40" i="1"/>
  <c r="E24" i="1"/>
  <c r="E34" i="1"/>
  <c r="E36" i="1"/>
  <c r="E38" i="1"/>
  <c r="E37" i="1"/>
  <c r="E31" i="1"/>
  <c r="E33" i="1"/>
  <c r="E35" i="1"/>
  <c r="E32" i="1"/>
  <c r="E39" i="1"/>
  <c r="AC405" i="1"/>
  <c r="F9" i="2" s="1"/>
  <c r="F8" i="2" s="1"/>
  <c r="H74" i="1"/>
  <c r="N28" i="1"/>
  <c r="AC467" i="1"/>
  <c r="AA467" i="1" s="1"/>
  <c r="AA418" i="1"/>
  <c r="AN406" i="1"/>
  <c r="AO406" i="1" s="1"/>
  <c r="AH406" i="1"/>
  <c r="AI406" i="1" s="1"/>
  <c r="AD465" i="1"/>
  <c r="C8" i="2" l="1"/>
  <c r="P9" i="2"/>
  <c r="B9" i="2"/>
  <c r="X467" i="1"/>
  <c r="Z482" i="1"/>
  <c r="AC482" i="1"/>
  <c r="AL488" i="1"/>
  <c r="AK482" i="1"/>
  <c r="H9" i="2" l="1"/>
  <c r="H8" i="2" s="1"/>
  <c r="P8" i="2"/>
  <c r="D9" i="2"/>
  <c r="B10" i="2"/>
  <c r="B8" i="2" s="1"/>
  <c r="AL497" i="1"/>
  <c r="AK488" i="1"/>
  <c r="AC488" i="1"/>
  <c r="AB482" i="1"/>
  <c r="Z488" i="1"/>
  <c r="Y482" i="1"/>
  <c r="Q9" i="2" l="1"/>
  <c r="D10" i="2"/>
  <c r="D8" i="2" s="1"/>
  <c r="Y488" i="1"/>
  <c r="Z497" i="1"/>
  <c r="AB488" i="1"/>
  <c r="AC497" i="1"/>
  <c r="AK497" i="1"/>
  <c r="AB497" i="1" l="1"/>
  <c r="I9" i="2"/>
  <c r="I8" i="2" s="1"/>
  <c r="Q8" i="2"/>
  <c r="Y497" i="1"/>
  <c r="E9" i="2"/>
  <c r="E10" i="2" l="1"/>
  <c r="E8" i="2" s="1"/>
  <c r="AF479" i="1"/>
  <c r="AF480" i="1" s="1"/>
  <c r="L82" i="1"/>
  <c r="AD433" i="1" l="1"/>
  <c r="AD419" i="1"/>
  <c r="AH479" i="1"/>
  <c r="AI479" i="1" s="1"/>
  <c r="N82" i="1"/>
  <c r="N83" i="1" s="1"/>
  <c r="S82" i="1"/>
  <c r="S83" i="1" s="1"/>
  <c r="L83" i="1"/>
  <c r="AN480" i="1"/>
  <c r="AO480" i="1" s="1"/>
  <c r="AH480" i="1"/>
  <c r="AI480" i="1" s="1"/>
  <c r="AD480" i="1"/>
  <c r="AN479" i="1"/>
  <c r="AO479" i="1" s="1"/>
  <c r="L224" i="1"/>
  <c r="J42" i="1" l="1"/>
  <c r="J55" i="1"/>
  <c r="L228" i="1"/>
  <c r="S224" i="1"/>
  <c r="N224" i="1"/>
  <c r="L280" i="1"/>
  <c r="L148" i="1"/>
  <c r="L344" i="1"/>
  <c r="L68" i="1"/>
  <c r="L72" i="1" l="1"/>
  <c r="S68" i="1"/>
  <c r="S72" i="1" s="1"/>
  <c r="S85" i="1" s="1"/>
  <c r="N68" i="1"/>
  <c r="N72" i="1" s="1"/>
  <c r="N85" i="1" s="1"/>
  <c r="K228" i="1"/>
  <c r="N228" i="1"/>
  <c r="S228" i="1"/>
  <c r="L230" i="1"/>
  <c r="L348" i="1"/>
  <c r="N344" i="1"/>
  <c r="N348" i="1" s="1"/>
  <c r="S344" i="1"/>
  <c r="S348" i="1" s="1"/>
  <c r="L11" i="2"/>
  <c r="L284" i="1"/>
  <c r="S280" i="1"/>
  <c r="N280" i="1"/>
  <c r="N284" i="1" s="1"/>
  <c r="N148" i="1"/>
  <c r="S148" i="1"/>
  <c r="L152" i="1"/>
  <c r="L10" i="2" l="1"/>
  <c r="L74" i="1"/>
  <c r="K72" i="1"/>
  <c r="L232" i="1"/>
  <c r="S230" i="1"/>
  <c r="K230" i="1"/>
  <c r="N230" i="1"/>
  <c r="K284" i="1"/>
  <c r="S284" i="1"/>
  <c r="L286" i="1"/>
  <c r="L350" i="1"/>
  <c r="K348" i="1"/>
  <c r="S152" i="1"/>
  <c r="L154" i="1"/>
  <c r="K152" i="1"/>
  <c r="N152" i="1"/>
  <c r="AF451" i="1"/>
  <c r="AN447" i="1"/>
  <c r="AH447" i="1"/>
  <c r="AH451" i="1" l="1"/>
  <c r="AI451" i="1" s="1"/>
  <c r="AI447" i="1"/>
  <c r="N154" i="1"/>
  <c r="K154" i="1"/>
  <c r="S154" i="1"/>
  <c r="L164" i="1"/>
  <c r="N232" i="1"/>
  <c r="S232" i="1"/>
  <c r="M11" i="2"/>
  <c r="K286" i="1"/>
  <c r="S286" i="1"/>
  <c r="L288" i="1"/>
  <c r="N286" i="1"/>
  <c r="K350" i="1"/>
  <c r="L352" i="1"/>
  <c r="S350" i="1"/>
  <c r="N350" i="1"/>
  <c r="AN451" i="1"/>
  <c r="AO451" i="1" s="1"/>
  <c r="AO447" i="1"/>
  <c r="AF467" i="1"/>
  <c r="AD451" i="1"/>
  <c r="L85" i="1"/>
  <c r="K74" i="1"/>
  <c r="N74" i="1"/>
  <c r="S74" i="1"/>
  <c r="M10" i="2" l="1"/>
  <c r="N352" i="1"/>
  <c r="S352" i="1"/>
  <c r="S164" i="1"/>
  <c r="N164" i="1"/>
  <c r="AF482" i="1"/>
  <c r="AN467" i="1"/>
  <c r="AO467" i="1" s="1"/>
  <c r="AD467" i="1"/>
  <c r="AH467" i="1"/>
  <c r="AI467" i="1" s="1"/>
  <c r="S288" i="1"/>
  <c r="N288" i="1"/>
  <c r="AN482" i="1" l="1"/>
  <c r="AO482" i="1" s="1"/>
  <c r="AH482" i="1"/>
  <c r="AI482" i="1" s="1"/>
  <c r="AE482" i="1"/>
  <c r="L9" i="2"/>
  <c r="L8" i="2" s="1"/>
  <c r="AF488" i="1"/>
  <c r="AF497" i="1" l="1"/>
  <c r="AH488" i="1"/>
  <c r="AN488" i="1"/>
  <c r="AE488" i="1"/>
  <c r="AO488" i="1" l="1"/>
  <c r="AN497" i="1"/>
  <c r="AO497" i="1" s="1"/>
  <c r="AI488" i="1"/>
  <c r="AH497" i="1"/>
  <c r="AI497" i="1" s="1"/>
  <c r="AE497" i="1"/>
  <c r="M9" i="2"/>
  <c r="M8" i="2" s="1"/>
</calcChain>
</file>

<file path=xl/sharedStrings.xml><?xml version="1.0" encoding="utf-8"?>
<sst xmlns="http://schemas.openxmlformats.org/spreadsheetml/2006/main" count="5908" uniqueCount="504">
  <si>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</si>
  <si>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</si>
  <si>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</si>
  <si>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</si>
  <si>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</si>
  <si>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</si>
  <si>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</si>
  <si>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</si>
  <si>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</si>
  <si>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</si>
  <si>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</si>
  <si>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</si>
  <si>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</si>
  <si>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</si>
  <si>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</si>
  <si>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</si>
  <si>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</si>
  <si>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</si>
  <si>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</si>
  <si>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</si>
  <si>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</si>
  <si>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</si>
  <si>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</si>
  <si>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</si>
  <si>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</si>
  <si>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</si>
  <si>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</si>
  <si>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</si>
  <si>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</si>
  <si>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</si>
  <si>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</si>
  <si>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</si>
  <si>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</si>
  <si>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</si>
  <si>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</si>
  <si>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</si>
  <si>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</si>
  <si>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</si>
  <si>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</si>
  <si>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</si>
  <si>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</si>
  <si>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</si>
  <si>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</si>
  <si>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</si>
  <si>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</si>
  <si>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</si>
  <si>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</si>
  <si>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</si>
  <si>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</si>
  <si>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</si>
  <si>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</si>
  <si>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</si>
  <si>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</si>
  <si>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</si>
  <si>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</si>
  <si>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</si>
  <si>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</si>
  <si>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</si>
  <si>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</si>
  <si>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</si>
  <si>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</si>
  <si>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</si>
  <si>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</si>
  <si>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</si>
  <si>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</si>
  <si>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</si>
  <si>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</si>
  <si>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</si>
  <si>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</si>
  <si>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</si>
  <si>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</si>
  <si>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</si>
  <si>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</si>
  <si>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</si>
  <si>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</si>
  <si>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</si>
  <si>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</si>
  <si>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</si>
  <si>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</si>
  <si>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</si>
  <si>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</si>
  <si>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</si>
  <si>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</si>
  <si>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</si>
  <si>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</si>
  <si>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</si>
  <si>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</si>
  <si>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</si>
  <si>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</si>
  <si>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</si>
  <si>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</si>
  <si>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</si>
  <si>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</si>
  <si>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</si>
  <si>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</si>
  <si>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</si>
  <si>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</si>
  <si>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</si>
  <si>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</si>
  <si>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</si>
  <si>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</si>
  <si>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</si>
  <si>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</si>
  <si>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</si>
  <si>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</si>
  <si>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</si>
  <si>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</si>
  <si>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</si>
  <si>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</si>
  <si>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</si>
  <si>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</si>
  <si>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</si>
  <si>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</si>
  <si>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</si>
  <si>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</si>
  <si>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</si>
  <si>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</si>
  <si>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</si>
  <si>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</si>
  <si>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</si>
  <si>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</si>
  <si>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</si>
  <si>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</si>
  <si>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</si>
  <si>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</si>
  <si>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</si>
  <si>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</si>
  <si>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</si>
  <si>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</si>
  <si>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</si>
  <si>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</si>
  <si>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</si>
  <si>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</si>
  <si>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</si>
  <si>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</si>
  <si>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</si>
  <si>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</si>
  <si>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</si>
  <si>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</si>
  <si>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</si>
  <si>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</si>
  <si>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</si>
  <si>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</si>
  <si>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</si>
  <si>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</si>
  <si>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</si>
  <si>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</si>
  <si>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</si>
  <si>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</si>
  <si>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</si>
  <si>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</si>
  <si>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</si>
  <si>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</si>
  <si>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</si>
  <si>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</si>
  <si>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</si>
  <si>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</si>
  <si>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</si>
  <si>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</si>
  <si>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</si>
  <si>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</si>
  <si>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</si>
  <si>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</si>
  <si>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</si>
  <si>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</si>
  <si>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</si>
  <si>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</si>
  <si>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</si>
  <si>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</si>
  <si>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</si>
  <si>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</si>
  <si>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</si>
  <si>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</si>
  <si>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</si>
  <si>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</si>
  <si>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</si>
  <si>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</si>
  <si>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</si>
  <si>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</si>
  <si>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</si>
  <si>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</si>
  <si>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</si>
  <si>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</si>
  <si>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</si>
  <si>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</si>
  <si>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</si>
  <si>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</si>
  <si>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</si>
  <si>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</si>
  <si>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</si>
  <si>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</si>
  <si>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</si>
  <si>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</si>
  <si>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Intérêts sur hypothèque</t>
  </si>
  <si>
    <t>Profit Net</t>
  </si>
  <si>
    <t>Conso</t>
  </si>
  <si>
    <t>US</t>
  </si>
  <si>
    <t>Programme neuf 2</t>
  </si>
  <si>
    <t>Facility Fund</t>
  </si>
  <si>
    <t>Pièces recond. MCPA</t>
  </si>
  <si>
    <t>Programme neuf 1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</si>
  <si>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</si>
  <si>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</si>
  <si>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</si>
  <si>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</si>
  <si>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</si>
  <si>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</si>
  <si>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</si>
  <si>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</si>
  <si>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</si>
  <si>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</si>
  <si>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</si>
  <si>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RÉVISÉ</t>
  </si>
  <si>
    <t>LY</t>
  </si>
  <si>
    <t>$</t>
  </si>
  <si>
    <t>Programme used 1</t>
  </si>
  <si>
    <t>Mitsubishi</t>
  </si>
  <si>
    <t>NB</t>
  </si>
  <si>
    <t>SERVICE</t>
  </si>
  <si>
    <t>AUDI 1</t>
  </si>
  <si>
    <t>AUDI 2</t>
  </si>
  <si>
    <t>AUDI 3</t>
  </si>
  <si>
    <t>NEUF</t>
  </si>
  <si>
    <t>USAGE</t>
  </si>
  <si>
    <t>CARROSSERIE</t>
  </si>
  <si>
    <t>PIECES</t>
  </si>
  <si>
    <t>VOLKS QUARTER</t>
  </si>
  <si>
    <t>Volks T2 2022</t>
  </si>
  <si>
    <t>Volks</t>
  </si>
  <si>
    <t>Réalisé, Avril 2022</t>
  </si>
  <si>
    <t>*** *** NE PAS EFFACER *** ***</t>
  </si>
  <si>
    <t>Véhicules neufsVentes nettes</t>
  </si>
  <si>
    <t>Véhicules neufsAutos détail</t>
  </si>
  <si>
    <t>Véhicules neufsCamions détail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</si>
  <si>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</si>
  <si>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</si>
  <si>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</si>
  <si>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</si>
  <si>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</si>
  <si>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</si>
  <si>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</si>
  <si>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</si>
  <si>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</si>
  <si>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</si>
  <si>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</si>
  <si>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</si>
  <si>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</si>
  <si>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</si>
  <si>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</si>
  <si>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</si>
  <si>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</si>
  <si>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</si>
  <si>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</si>
  <si>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</si>
  <si>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</si>
  <si>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</si>
  <si>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Indemnité D. Giguère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</si>
  <si>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</si>
  <si>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</si>
  <si>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</si>
  <si>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</si>
  <si>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</si>
  <si>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</si>
  <si>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</si>
  <si>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</si>
  <si>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</si>
  <si>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</si>
  <si>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</si>
  <si>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</si>
  <si>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</si>
  <si>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</si>
  <si>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</si>
  <si>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</si>
  <si>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</si>
  <si>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</si>
  <si>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</si>
  <si>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</si>
  <si>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</si>
  <si>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</si>
  <si>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</si>
  <si>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</si>
  <si>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</si>
  <si>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</si>
  <si>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</si>
  <si>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</si>
  <si>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</si>
  <si>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</si>
  <si>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</si>
  <si>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</si>
  <si>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</si>
  <si>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</si>
  <si>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Véhicules usagésTotal Usagés</t>
  </si>
  <si>
    <t>Véhicules usagésUS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</si>
  <si>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</si>
  <si>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</si>
  <si>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</si>
  <si>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</si>
  <si>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</si>
  <si>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</si>
  <si>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</si>
  <si>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</si>
  <si>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</si>
  <si>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</si>
  <si>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</si>
  <si>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</si>
  <si>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</si>
  <si>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</si>
  <si>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</si>
  <si>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</si>
  <si>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</si>
  <si>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</si>
  <si>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</si>
  <si>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</si>
  <si>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</si>
  <si>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</si>
  <si>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</si>
  <si>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</si>
  <si>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</si>
  <si>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</si>
  <si>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</si>
  <si>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</si>
  <si>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</si>
  <si>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</si>
  <si>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</si>
  <si>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</si>
  <si>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</si>
  <si>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</si>
  <si>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</si>
  <si>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</si>
  <si>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</si>
  <si>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</si>
  <si>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</si>
  <si>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</si>
  <si>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</si>
  <si>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</si>
  <si>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Véhicules usagésProgramme used 2</t>
  </si>
  <si>
    <t>Véhicules usagésProgramme used 3</t>
  </si>
  <si>
    <t>Véhicules usagésFrais administration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</si>
  <si>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</si>
  <si>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</si>
  <si>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</si>
  <si>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</si>
  <si>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</si>
  <si>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</si>
  <si>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</si>
  <si>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</si>
  <si>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</si>
  <si>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</si>
  <si>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</si>
  <si>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</si>
  <si>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</si>
  <si>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</si>
  <si>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</si>
  <si>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Erreur Budget: Salaire S. Prud'homme manquant (45k+Av.soc.)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</si>
  <si>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</si>
  <si>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</si>
  <si>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</si>
  <si>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</si>
  <si>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</si>
  <si>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</si>
  <si>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</si>
  <si>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</si>
  <si>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</si>
  <si>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</si>
  <si>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</si>
  <si>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</si>
  <si>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</si>
  <si>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</si>
  <si>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</si>
  <si>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</si>
  <si>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</si>
  <si>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</si>
  <si>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</si>
  <si>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</si>
  <si>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</si>
  <si>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</si>
  <si>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</si>
  <si>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Carrosserie% profit / ventes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</si>
  <si>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</si>
  <si>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</si>
  <si>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</si>
  <si>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</si>
  <si>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</si>
  <si>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</si>
  <si>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</si>
  <si>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</si>
  <si>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</si>
  <si>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</si>
  <si>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</si>
  <si>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</si>
  <si>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</si>
  <si>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</si>
  <si>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</si>
  <si>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</si>
  <si>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</si>
  <si>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</si>
  <si>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</si>
  <si>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</si>
  <si>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</si>
  <si>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</si>
  <si>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</si>
  <si>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</si>
  <si>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</si>
  <si>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</si>
  <si>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</si>
  <si>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</si>
  <si>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</si>
  <si>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</si>
  <si>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</si>
  <si>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</si>
  <si>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</si>
  <si>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</si>
  <si>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</si>
  <si>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</si>
  <si>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</si>
  <si>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</si>
  <si>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</si>
  <si>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</si>
  <si>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</si>
  <si>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</si>
  <si>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</si>
  <si>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</si>
  <si>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</si>
  <si>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</si>
  <si>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</si>
  <si>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</si>
  <si>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</si>
  <si>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</si>
  <si>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</si>
  <si>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</si>
  <si>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</si>
  <si>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</si>
  <si>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</si>
  <si>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</si>
  <si>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</si>
  <si>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</si>
  <si>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</si>
  <si>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</si>
  <si>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</si>
  <si>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</si>
  <si>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</si>
  <si>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</si>
  <si>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</si>
  <si>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</si>
  <si>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</si>
  <si>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</si>
  <si>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</si>
  <si>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</si>
  <si>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</si>
  <si>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</si>
  <si>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</si>
  <si>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</si>
  <si>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</si>
  <si>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</si>
  <si>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</si>
  <si>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</si>
  <si>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</si>
  <si>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</si>
  <si>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</si>
  <si>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</si>
  <si>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</si>
  <si>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</si>
  <si>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</si>
  <si>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</si>
  <si>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</si>
  <si>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</si>
  <si>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</si>
  <si>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</si>
  <si>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</si>
  <si>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</si>
  <si>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</si>
  <si>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</si>
  <si>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</si>
  <si>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</si>
  <si>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</si>
  <si>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N.B. :  INFOS PROGRAMME SPAC - Voir lignes 500 et suivantes</t>
  </si>
  <si>
    <t/>
  </si>
  <si>
    <t xml:space="preserve">VENTES SPAC </t>
  </si>
  <si>
    <t>Courant</t>
  </si>
  <si>
    <t>A.A.J.</t>
  </si>
  <si>
    <t>En Détails</t>
  </si>
  <si>
    <t>Marge Brute M.O. SPAC</t>
  </si>
  <si>
    <t>Marge Brute PIÈCES SPAC</t>
  </si>
  <si>
    <t>Sommaire</t>
  </si>
  <si>
    <t>Total - "Ventes SPAC"</t>
  </si>
  <si>
    <t>Total - "C/V SPAC"</t>
  </si>
  <si>
    <t>Total Profit/Perte SPAC</t>
  </si>
  <si>
    <t>VENTES INTERNE POUR FINS DE COMPARAISON</t>
  </si>
  <si>
    <t>M.O. MECANIQUE-VENTE INTERNE</t>
  </si>
  <si>
    <t>C D V VENTES M OINTERNE</t>
  </si>
  <si>
    <t>Marge Brute M.O.</t>
  </si>
  <si>
    <t>VTE - PIECE/ACC B.R. INTERNE VW</t>
  </si>
  <si>
    <t>C/V - PIECE/ACC B.R. INTERNE VW</t>
  </si>
  <si>
    <t>Marge Brute PIÈCES</t>
  </si>
  <si>
    <t>Total - "Ventes INTERNES"</t>
  </si>
  <si>
    <t>Total - "C/V INTERNES"</t>
  </si>
  <si>
    <t>Réalisé, Mai 2022</t>
  </si>
  <si>
    <t>&lt;&lt;- F&amp;A total Neuf Usagé Rachat</t>
  </si>
  <si>
    <t>Incluant Utilisation de 6k$ de Réserve Usagés (2022-05)</t>
  </si>
  <si>
    <t>Réalisé, Juin 2022</t>
  </si>
  <si>
    <t>Vacances</t>
  </si>
  <si>
    <t>Bonis Spécialistes Mai 17K</t>
  </si>
  <si>
    <t>$Ventes</t>
  </si>
  <si>
    <t>ProgiPieces pas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</si>
</sst>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dd\/mm\/yy_)"/>
    <numFmt numFmtId="168" formatCode="0.0%"/>
    <numFmt numFmtId="169" formatCode="0_)"/>
    <numFmt numFmtId="170" formatCode="0.00_)"/>
    <numFmt numFmtId="171" formatCode="_(* #,##0_);_(* \(#,##0\);_(* &quot;-&quot;??_);_(@_)"/>
    <numFmt numFmtId="172" formatCode="&quot;$&quot;#,##0"/>
    <numFmt numFmtId="173" formatCode="_-* #,##0.00\ _$_-;_-* #,##0.00\ _$\-;_-* &quot;-&quot;??\ _$_-;_-@_-"/>
    <numFmt numFmtId="174" formatCode="_-* #,##0.00\ &quot;$&quot;_-;_-* #,##0.00\ &quot;$&quot;\-;_-* &quot;-&quot;??\ &quot;$&quot;_-;_-@_-"/>
  </numFmts>
  <fonts count="43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8"/>
      <color rgb="FFFF0000"/>
      <name val="Arial mt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28"/>
      <color rgb="FFFFC000"/>
      <name val="Arial"/>
      <family val="2"/>
    </font>
    <font>
      <b/>
      <sz val="28"/>
      <color rgb="FFFFC000"/>
      <name val="Arial mt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</fills>
  <borders count="10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166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3" fillId="0" borderId="0"/>
    <xf numFmtId="0" fontId="35" fillId="0" borderId="0"/>
    <xf numFmtId="17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74" fontId="36" fillId="0" borderId="0" applyFont="0" applyFill="0" applyBorder="0" applyAlignment="0" applyProtection="0"/>
    <xf numFmtId="0" fontId="13" fillId="0" borderId="0"/>
    <xf numFmtId="0" fontId="2" fillId="0" borderId="0"/>
    <xf numFmtId="0" fontId="35" fillId="0" borderId="0"/>
    <xf numFmtId="166" fontId="37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905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7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8" fontId="10" fillId="0" borderId="9" xfId="0" applyNumberFormat="1" applyFont="1" applyBorder="1"/>
    <xf numFmtId="168" fontId="10" fillId="0" borderId="8" xfId="0" applyNumberFormat="1" applyFont="1" applyBorder="1"/>
    <xf numFmtId="168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9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8" fontId="10" fillId="2" borderId="32" xfId="0" applyNumberFormat="1" applyFont="1" applyFill="1" applyBorder="1"/>
    <xf numFmtId="168" fontId="10" fillId="2" borderId="31" xfId="0" applyNumberFormat="1" applyFont="1" applyFill="1" applyBorder="1"/>
    <xf numFmtId="168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8" fontId="9" fillId="0" borderId="9" xfId="2" applyNumberFormat="1" applyFont="1" applyFill="1" applyBorder="1"/>
    <xf numFmtId="37" fontId="9" fillId="0" borderId="10" xfId="0" applyNumberFormat="1" applyFont="1" applyBorder="1"/>
    <xf numFmtId="3" fontId="8" fillId="0" borderId="0" xfId="0" applyNumberFormat="1" applyFont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168" fontId="9" fillId="0" borderId="14" xfId="2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0" fontId="10" fillId="2" borderId="37" xfId="0" applyFont="1" applyFill="1" applyBorder="1"/>
    <xf numFmtId="0" fontId="10" fillId="2" borderId="38" xfId="0" applyFont="1" applyFill="1" applyBorder="1" applyAlignment="1">
      <alignment horizontal="center"/>
    </xf>
    <xf numFmtId="168" fontId="10" fillId="2" borderId="38" xfId="0" applyNumberFormat="1" applyFont="1" applyFill="1" applyBorder="1"/>
    <xf numFmtId="37" fontId="10" fillId="2" borderId="39" xfId="0" applyNumberFormat="1" applyFont="1" applyFill="1" applyBorder="1"/>
    <xf numFmtId="0" fontId="10" fillId="2" borderId="40" xfId="0" applyFont="1" applyFill="1" applyBorder="1" applyAlignment="1">
      <alignment horizontal="center"/>
    </xf>
    <xf numFmtId="0" fontId="9" fillId="2" borderId="41" xfId="0" applyFont="1" applyFill="1" applyBorder="1"/>
    <xf numFmtId="37" fontId="10" fillId="2" borderId="38" xfId="0" applyNumberFormat="1" applyFont="1" applyFill="1" applyBorder="1"/>
    <xf numFmtId="0" fontId="9" fillId="2" borderId="40" xfId="0" applyFont="1" applyFill="1" applyBorder="1"/>
    <xf numFmtId="37" fontId="10" fillId="2" borderId="42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3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4" xfId="0" applyFont="1" applyFill="1" applyBorder="1"/>
    <xf numFmtId="0" fontId="9" fillId="2" borderId="45" xfId="0" applyFont="1" applyFill="1" applyBorder="1"/>
    <xf numFmtId="0" fontId="10" fillId="2" borderId="45" xfId="0" applyFont="1" applyFill="1" applyBorder="1"/>
    <xf numFmtId="37" fontId="10" fillId="2" borderId="46" xfId="0" applyNumberFormat="1" applyFont="1" applyFill="1" applyBorder="1"/>
    <xf numFmtId="0" fontId="9" fillId="2" borderId="47" xfId="0" applyFont="1" applyFill="1" applyBorder="1"/>
    <xf numFmtId="37" fontId="10" fillId="2" borderId="48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7" fillId="0" borderId="0" xfId="0" applyFont="1"/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9" fontId="9" fillId="0" borderId="0" xfId="0" applyNumberFormat="1" applyFont="1"/>
    <xf numFmtId="168" fontId="18" fillId="4" borderId="49" xfId="0" applyNumberFormat="1" applyFont="1" applyFill="1" applyBorder="1"/>
    <xf numFmtId="168" fontId="9" fillId="0" borderId="9" xfId="2" applyNumberFormat="1" applyFont="1" applyBorder="1"/>
    <xf numFmtId="37" fontId="9" fillId="0" borderId="13" xfId="0" applyNumberFormat="1" applyFont="1" applyBorder="1"/>
    <xf numFmtId="0" fontId="9" fillId="2" borderId="14" xfId="0" applyFont="1" applyFill="1" applyBorder="1"/>
    <xf numFmtId="168" fontId="9" fillId="0" borderId="0" xfId="0" applyNumberFormat="1" applyFont="1"/>
    <xf numFmtId="0" fontId="10" fillId="0" borderId="0" xfId="0" applyFont="1" applyAlignment="1">
      <alignment horizontal="center"/>
    </xf>
    <xf numFmtId="168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5" xfId="0" applyFont="1" applyFill="1" applyBorder="1" applyAlignment="1">
      <alignment horizontal="right"/>
    </xf>
    <xf numFmtId="0" fontId="9" fillId="2" borderId="47" xfId="0" applyFont="1" applyFill="1" applyBorder="1" applyAlignment="1">
      <alignment horizontal="right"/>
    </xf>
    <xf numFmtId="0" fontId="10" fillId="2" borderId="47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8" fontId="9" fillId="0" borderId="9" xfId="0" applyNumberFormat="1" applyFont="1" applyBorder="1"/>
    <xf numFmtId="168" fontId="9" fillId="0" borderId="8" xfId="0" applyNumberFormat="1" applyFont="1" applyBorder="1"/>
    <xf numFmtId="169" fontId="9" fillId="0" borderId="12" xfId="0" applyNumberFormat="1" applyFont="1" applyBorder="1"/>
    <xf numFmtId="168" fontId="9" fillId="0" borderId="16" xfId="0" applyNumberFormat="1" applyFont="1" applyBorder="1"/>
    <xf numFmtId="37" fontId="9" fillId="0" borderId="14" xfId="0" applyNumberFormat="1" applyFont="1" applyBorder="1"/>
    <xf numFmtId="168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51" xfId="0" applyNumberFormat="1" applyFont="1" applyBorder="1"/>
    <xf numFmtId="168" fontId="10" fillId="0" borderId="14" xfId="0" applyNumberFormat="1" applyFont="1" applyBorder="1"/>
    <xf numFmtId="168" fontId="10" fillId="0" borderId="16" xfId="0" applyNumberFormat="1" applyFont="1" applyBorder="1"/>
    <xf numFmtId="168" fontId="10" fillId="0" borderId="17" xfId="0" applyNumberFormat="1" applyFont="1" applyBorder="1"/>
    <xf numFmtId="169" fontId="9" fillId="0" borderId="15" xfId="0" applyNumberFormat="1" applyFont="1" applyBorder="1"/>
    <xf numFmtId="168" fontId="9" fillId="0" borderId="13" xfId="0" applyNumberFormat="1" applyFont="1" applyBorder="1"/>
    <xf numFmtId="37" fontId="9" fillId="0" borderId="23" xfId="0" applyNumberFormat="1" applyFont="1" applyBorder="1"/>
    <xf numFmtId="168" fontId="9" fillId="0" borderId="20" xfId="0" applyNumberFormat="1" applyFont="1" applyBorder="1"/>
    <xf numFmtId="169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9" fontId="10" fillId="0" borderId="12" xfId="0" applyNumberFormat="1" applyFont="1" applyBorder="1"/>
    <xf numFmtId="0" fontId="10" fillId="0" borderId="14" xfId="0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7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8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8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9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9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8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52" xfId="0" applyFont="1" applyBorder="1"/>
    <xf numFmtId="168" fontId="10" fillId="0" borderId="7" xfId="0" applyNumberFormat="1" applyFont="1" applyBorder="1"/>
    <xf numFmtId="168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8" fontId="9" fillId="0" borderId="15" xfId="0" applyNumberFormat="1" applyFont="1" applyBorder="1"/>
    <xf numFmtId="168" fontId="9" fillId="0" borderId="12" xfId="0" applyNumberFormat="1" applyFont="1" applyBorder="1"/>
    <xf numFmtId="168" fontId="10" fillId="2" borderId="25" xfId="0" applyNumberFormat="1" applyFont="1" applyFill="1" applyBorder="1"/>
    <xf numFmtId="168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10" fillId="2" borderId="56" xfId="0" applyFont="1" applyFill="1" applyBorder="1"/>
    <xf numFmtId="37" fontId="10" fillId="2" borderId="57" xfId="0" applyNumberFormat="1" applyFont="1" applyFill="1" applyBorder="1"/>
    <xf numFmtId="169" fontId="10" fillId="2" borderId="57" xfId="0" applyNumberFormat="1" applyFont="1" applyFill="1" applyBorder="1"/>
    <xf numFmtId="37" fontId="10" fillId="2" borderId="58" xfId="0" applyNumberFormat="1" applyFont="1" applyFill="1" applyBorder="1"/>
    <xf numFmtId="37" fontId="10" fillId="2" borderId="59" xfId="0" applyNumberFormat="1" applyFont="1" applyFill="1" applyBorder="1"/>
    <xf numFmtId="0" fontId="9" fillId="2" borderId="32" xfId="0" applyFont="1" applyFill="1" applyBorder="1"/>
    <xf numFmtId="171" fontId="9" fillId="0" borderId="8" xfId="1" applyNumberFormat="1" applyFont="1" applyFill="1" applyBorder="1"/>
    <xf numFmtId="0" fontId="12" fillId="0" borderId="60" xfId="0" applyFont="1" applyBorder="1"/>
    <xf numFmtId="0" fontId="14" fillId="0" borderId="11" xfId="0" applyFont="1" applyBorder="1"/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37" fontId="9" fillId="4" borderId="0" xfId="0" applyNumberFormat="1" applyFont="1" applyFill="1"/>
    <xf numFmtId="168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0" fontId="19" fillId="0" borderId="0" xfId="0" applyFont="1"/>
    <xf numFmtId="37" fontId="18" fillId="0" borderId="0" xfId="0" applyNumberFormat="1" applyFont="1"/>
    <xf numFmtId="168" fontId="9" fillId="0" borderId="0" xfId="2" applyNumberFormat="1" applyFont="1" applyFill="1" applyBorder="1"/>
    <xf numFmtId="168" fontId="10" fillId="0" borderId="26" xfId="0" applyNumberFormat="1" applyFont="1" applyBorder="1"/>
    <xf numFmtId="0" fontId="12" fillId="0" borderId="0" xfId="0" applyFont="1"/>
    <xf numFmtId="168" fontId="9" fillId="0" borderId="8" xfId="2" applyNumberFormat="1" applyFont="1" applyFill="1" applyBorder="1"/>
    <xf numFmtId="0" fontId="10" fillId="0" borderId="10" xfId="0" applyFont="1" applyBorder="1"/>
    <xf numFmtId="0" fontId="20" fillId="0" borderId="0" xfId="0" applyFont="1"/>
    <xf numFmtId="0" fontId="10" fillId="2" borderId="40" xfId="0" applyFont="1" applyFill="1" applyBorder="1"/>
    <xf numFmtId="0" fontId="10" fillId="2" borderId="61" xfId="0" applyFont="1" applyFill="1" applyBorder="1"/>
    <xf numFmtId="0" fontId="10" fillId="2" borderId="62" xfId="0" applyFont="1" applyFill="1" applyBorder="1"/>
    <xf numFmtId="37" fontId="10" fillId="2" borderId="63" xfId="0" applyNumberFormat="1" applyFont="1" applyFill="1" applyBorder="1"/>
    <xf numFmtId="0" fontId="10" fillId="2" borderId="64" xfId="0" applyFont="1" applyFill="1" applyBorder="1"/>
    <xf numFmtId="0" fontId="9" fillId="2" borderId="64" xfId="0" applyFont="1" applyFill="1" applyBorder="1"/>
    <xf numFmtId="0" fontId="9" fillId="2" borderId="62" xfId="0" applyFont="1" applyFill="1" applyBorder="1"/>
    <xf numFmtId="37" fontId="10" fillId="2" borderId="65" xfId="0" applyNumberFormat="1" applyFont="1" applyFill="1" applyBorder="1"/>
    <xf numFmtId="0" fontId="5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66" xfId="0" applyFont="1" applyBorder="1" applyAlignment="1">
      <alignment horizontal="left"/>
    </xf>
    <xf numFmtId="0" fontId="10" fillId="0" borderId="6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71" xfId="0" applyFont="1" applyBorder="1" applyAlignment="1">
      <alignment horizontal="center"/>
    </xf>
    <xf numFmtId="0" fontId="9" fillId="0" borderId="7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14" fillId="0" borderId="12" xfId="0" applyFont="1" applyBorder="1"/>
    <xf numFmtId="37" fontId="14" fillId="0" borderId="71" xfId="0" applyNumberFormat="1" applyFont="1" applyBorder="1"/>
    <xf numFmtId="37" fontId="14" fillId="0" borderId="72" xfId="0" applyNumberFormat="1" applyFont="1" applyBorder="1"/>
    <xf numFmtId="37" fontId="14" fillId="0" borderId="12" xfId="0" applyNumberFormat="1" applyFont="1" applyBorder="1"/>
    <xf numFmtId="168" fontId="14" fillId="0" borderId="12" xfId="0" applyNumberFormat="1" applyFont="1" applyBorder="1"/>
    <xf numFmtId="37" fontId="14" fillId="0" borderId="73" xfId="0" applyNumberFormat="1" applyFont="1" applyBorder="1"/>
    <xf numFmtId="168" fontId="14" fillId="0" borderId="17" xfId="0" applyNumberFormat="1" applyFont="1" applyBorder="1"/>
    <xf numFmtId="0" fontId="21" fillId="2" borderId="22" xfId="0" applyFont="1" applyFill="1" applyBorder="1"/>
    <xf numFmtId="0" fontId="21" fillId="2" borderId="12" xfId="0" applyFont="1" applyFill="1" applyBorder="1"/>
    <xf numFmtId="37" fontId="21" fillId="2" borderId="71" xfId="0" applyNumberFormat="1" applyFont="1" applyFill="1" applyBorder="1"/>
    <xf numFmtId="37" fontId="21" fillId="2" borderId="72" xfId="0" applyNumberFormat="1" applyFont="1" applyFill="1" applyBorder="1"/>
    <xf numFmtId="37" fontId="21" fillId="2" borderId="12" xfId="0" applyNumberFormat="1" applyFont="1" applyFill="1" applyBorder="1"/>
    <xf numFmtId="168" fontId="21" fillId="2" borderId="12" xfId="0" applyNumberFormat="1" applyFont="1" applyFill="1" applyBorder="1"/>
    <xf numFmtId="37" fontId="21" fillId="2" borderId="73" xfId="0" applyNumberFormat="1" applyFont="1" applyFill="1" applyBorder="1"/>
    <xf numFmtId="168" fontId="21" fillId="2" borderId="17" xfId="0" applyNumberFormat="1" applyFont="1" applyFill="1" applyBorder="1"/>
    <xf numFmtId="0" fontId="21" fillId="0" borderId="18" xfId="0" applyFont="1" applyBorder="1"/>
    <xf numFmtId="0" fontId="14" fillId="0" borderId="0" xfId="0" applyFont="1"/>
    <xf numFmtId="37" fontId="14" fillId="0" borderId="74" xfId="0" applyNumberFormat="1" applyFont="1" applyBorder="1"/>
    <xf numFmtId="37" fontId="14" fillId="0" borderId="75" xfId="0" applyNumberFormat="1" applyFont="1" applyBorder="1"/>
    <xf numFmtId="37" fontId="14" fillId="0" borderId="0" xfId="0" applyNumberFormat="1" applyFont="1"/>
    <xf numFmtId="168" fontId="14" fillId="0" borderId="0" xfId="0" applyNumberFormat="1" applyFont="1"/>
    <xf numFmtId="37" fontId="14" fillId="0" borderId="76" xfId="0" applyNumberFormat="1" applyFont="1" applyBorder="1"/>
    <xf numFmtId="168" fontId="14" fillId="0" borderId="21" xfId="0" applyNumberFormat="1" applyFont="1" applyBorder="1"/>
    <xf numFmtId="0" fontId="14" fillId="0" borderId="0" xfId="0" applyFont="1" applyAlignment="1">
      <alignment horizontal="right"/>
    </xf>
    <xf numFmtId="169" fontId="14" fillId="0" borderId="0" xfId="0" applyNumberFormat="1" applyFont="1"/>
    <xf numFmtId="0" fontId="14" fillId="0" borderId="75" xfId="0" applyFont="1" applyBorder="1"/>
    <xf numFmtId="168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9" fontId="14" fillId="0" borderId="12" xfId="0" applyNumberFormat="1" applyFont="1" applyBorder="1"/>
    <xf numFmtId="0" fontId="14" fillId="0" borderId="72" xfId="0" applyFont="1" applyBorder="1"/>
    <xf numFmtId="168" fontId="14" fillId="0" borderId="71" xfId="0" applyNumberFormat="1" applyFont="1" applyBorder="1"/>
    <xf numFmtId="168" fontId="14" fillId="0" borderId="77" xfId="0" applyNumberFormat="1" applyFont="1" applyBorder="1"/>
    <xf numFmtId="168" fontId="22" fillId="0" borderId="10" xfId="0" applyNumberFormat="1" applyFont="1" applyBorder="1"/>
    <xf numFmtId="0" fontId="21" fillId="2" borderId="37" xfId="0" applyFont="1" applyFill="1" applyBorder="1"/>
    <xf numFmtId="0" fontId="21" fillId="2" borderId="38" xfId="0" applyFont="1" applyFill="1" applyBorder="1"/>
    <xf numFmtId="168" fontId="21" fillId="2" borderId="38" xfId="0" applyNumberFormat="1" applyFont="1" applyFill="1" applyBorder="1"/>
    <xf numFmtId="37" fontId="21" fillId="2" borderId="78" xfId="0" applyNumberFormat="1" applyFont="1" applyFill="1" applyBorder="1"/>
    <xf numFmtId="168" fontId="21" fillId="2" borderId="41" xfId="0" applyNumberFormat="1" applyFont="1" applyFill="1" applyBorder="1"/>
    <xf numFmtId="0" fontId="21" fillId="2" borderId="41" xfId="0" applyFont="1" applyFill="1" applyBorder="1"/>
    <xf numFmtId="37" fontId="21" fillId="2" borderId="38" xfId="0" applyNumberFormat="1" applyFont="1" applyFill="1" applyBorder="1"/>
    <xf numFmtId="0" fontId="21" fillId="2" borderId="79" xfId="0" applyFont="1" applyFill="1" applyBorder="1"/>
    <xf numFmtId="166" fontId="7" fillId="0" borderId="0" xfId="0" applyNumberFormat="1" applyFont="1"/>
    <xf numFmtId="166" fontId="20" fillId="0" borderId="0" xfId="0" applyNumberFormat="1" applyFont="1"/>
    <xf numFmtId="168" fontId="14" fillId="0" borderId="74" xfId="0" applyNumberFormat="1" applyFont="1" applyBorder="1"/>
    <xf numFmtId="169" fontId="21" fillId="2" borderId="38" xfId="0" applyNumberFormat="1" applyFont="1" applyFill="1" applyBorder="1"/>
    <xf numFmtId="37" fontId="21" fillId="2" borderId="41" xfId="0" applyNumberFormat="1" applyFont="1" applyFill="1" applyBorder="1"/>
    <xf numFmtId="37" fontId="21" fillId="2" borderId="79" xfId="0" applyNumberFormat="1" applyFont="1" applyFill="1" applyBorder="1"/>
    <xf numFmtId="37" fontId="20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80" xfId="0" applyNumberFormat="1" applyFont="1" applyBorder="1"/>
    <xf numFmtId="0" fontId="14" fillId="0" borderId="81" xfId="0" applyFont="1" applyBorder="1"/>
    <xf numFmtId="169" fontId="14" fillId="0" borderId="7" xfId="0" applyNumberFormat="1" applyFont="1" applyBorder="1"/>
    <xf numFmtId="37" fontId="14" fillId="0" borderId="7" xfId="0" applyNumberFormat="1" applyFont="1" applyBorder="1"/>
    <xf numFmtId="168" fontId="14" fillId="0" borderId="7" xfId="0" applyNumberFormat="1" applyFont="1" applyBorder="1"/>
    <xf numFmtId="37" fontId="14" fillId="0" borderId="82" xfId="0" applyNumberFormat="1" applyFont="1" applyBorder="1"/>
    <xf numFmtId="0" fontId="14" fillId="0" borderId="51" xfId="0" applyFont="1" applyBorder="1" applyAlignment="1">
      <alignment horizontal="right"/>
    </xf>
    <xf numFmtId="0" fontId="14" fillId="0" borderId="51" xfId="0" applyFont="1" applyBorder="1"/>
    <xf numFmtId="37" fontId="14" fillId="0" borderId="83" xfId="0" applyNumberFormat="1" applyFont="1" applyBorder="1"/>
    <xf numFmtId="0" fontId="14" fillId="0" borderId="84" xfId="0" applyFont="1" applyBorder="1"/>
    <xf numFmtId="169" fontId="14" fillId="0" borderId="51" xfId="0" applyNumberFormat="1" applyFont="1" applyBorder="1"/>
    <xf numFmtId="37" fontId="14" fillId="0" borderId="84" xfId="0" applyNumberFormat="1" applyFont="1" applyBorder="1"/>
    <xf numFmtId="37" fontId="14" fillId="0" borderId="51" xfId="0" applyNumberFormat="1" applyFont="1" applyBorder="1"/>
    <xf numFmtId="168" fontId="14" fillId="0" borderId="51" xfId="0" applyNumberFormat="1" applyFont="1" applyBorder="1"/>
    <xf numFmtId="37" fontId="14" fillId="0" borderId="85" xfId="0" applyNumberFormat="1" applyFont="1" applyBorder="1"/>
    <xf numFmtId="168" fontId="14" fillId="0" borderId="86" xfId="0" applyNumberFormat="1" applyFont="1" applyBorder="1"/>
    <xf numFmtId="171" fontId="20" fillId="0" borderId="0" xfId="0" applyNumberFormat="1" applyFont="1"/>
    <xf numFmtId="0" fontId="14" fillId="2" borderId="38" xfId="0" applyFont="1" applyFill="1" applyBorder="1"/>
    <xf numFmtId="3" fontId="21" fillId="2" borderId="38" xfId="0" applyNumberFormat="1" applyFont="1" applyFill="1" applyBorder="1" applyAlignment="1">
      <alignment horizontal="center"/>
    </xf>
    <xf numFmtId="168" fontId="21" fillId="2" borderId="42" xfId="0" applyNumberFormat="1" applyFont="1" applyFill="1" applyBorder="1"/>
    <xf numFmtId="168" fontId="21" fillId="0" borderId="0" xfId="0" applyNumberFormat="1" applyFont="1"/>
    <xf numFmtId="0" fontId="21" fillId="0" borderId="0" xfId="0" applyFont="1"/>
    <xf numFmtId="0" fontId="20" fillId="3" borderId="0" xfId="0" applyFont="1" applyFill="1"/>
    <xf numFmtId="168" fontId="14" fillId="0" borderId="80" xfId="0" applyNumberFormat="1" applyFont="1" applyBorder="1"/>
    <xf numFmtId="37" fontId="21" fillId="5" borderId="38" xfId="0" applyNumberFormat="1" applyFont="1" applyFill="1" applyBorder="1"/>
    <xf numFmtId="0" fontId="14" fillId="0" borderId="74" xfId="0" applyFont="1" applyBorder="1"/>
    <xf numFmtId="0" fontId="14" fillId="0" borderId="76" xfId="0" applyFont="1" applyBorder="1"/>
    <xf numFmtId="168" fontId="14" fillId="0" borderId="87" xfId="0" applyNumberFormat="1" applyFont="1" applyBorder="1"/>
    <xf numFmtId="168" fontId="21" fillId="0" borderId="7" xfId="0" applyNumberFormat="1" applyFont="1" applyBorder="1"/>
    <xf numFmtId="0" fontId="21" fillId="0" borderId="7" xfId="0" applyFont="1" applyBorder="1"/>
    <xf numFmtId="168" fontId="21" fillId="0" borderId="81" xfId="0" applyNumberFormat="1" applyFont="1" applyBorder="1"/>
    <xf numFmtId="37" fontId="21" fillId="0" borderId="81" xfId="0" applyNumberFormat="1" applyFont="1" applyBorder="1"/>
    <xf numFmtId="37" fontId="14" fillId="0" borderId="88" xfId="0" applyNumberFormat="1" applyFont="1" applyBorder="1"/>
    <xf numFmtId="37" fontId="21" fillId="0" borderId="7" xfId="0" applyNumberFormat="1" applyFont="1" applyBorder="1"/>
    <xf numFmtId="168" fontId="21" fillId="0" borderId="75" xfId="0" applyNumberFormat="1" applyFont="1" applyBorder="1"/>
    <xf numFmtId="37" fontId="21" fillId="0" borderId="75" xfId="0" applyNumberFormat="1" applyFont="1" applyBorder="1"/>
    <xf numFmtId="37" fontId="14" fillId="0" borderId="89" xfId="0" applyNumberFormat="1" applyFont="1" applyBorder="1"/>
    <xf numFmtId="37" fontId="21" fillId="0" borderId="0" xfId="0" applyNumberFormat="1" applyFont="1"/>
    <xf numFmtId="168" fontId="14" fillId="2" borderId="41" xfId="0" applyNumberFormat="1" applyFont="1" applyFill="1" applyBorder="1"/>
    <xf numFmtId="168" fontId="14" fillId="2" borderId="38" xfId="0" applyNumberFormat="1" applyFont="1" applyFill="1" applyBorder="1"/>
    <xf numFmtId="37" fontId="14" fillId="2" borderId="79" xfId="0" applyNumberFormat="1" applyFont="1" applyFill="1" applyBorder="1"/>
    <xf numFmtId="9" fontId="20" fillId="0" borderId="0" xfId="0" applyNumberFormat="1" applyFont="1"/>
    <xf numFmtId="0" fontId="21" fillId="3" borderId="6" xfId="0" applyFont="1" applyFill="1" applyBorder="1"/>
    <xf numFmtId="0" fontId="21" fillId="3" borderId="7" xfId="0" applyFont="1" applyFill="1" applyBorder="1"/>
    <xf numFmtId="37" fontId="21" fillId="3" borderId="7" xfId="0" applyNumberFormat="1" applyFont="1" applyFill="1" applyBorder="1"/>
    <xf numFmtId="37" fontId="14" fillId="3" borderId="80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81" xfId="0" applyNumberFormat="1" applyFont="1" applyFill="1" applyBorder="1"/>
    <xf numFmtId="37" fontId="14" fillId="3" borderId="0" xfId="0" applyNumberFormat="1" applyFont="1" applyFill="1"/>
    <xf numFmtId="168" fontId="14" fillId="3" borderId="0" xfId="0" applyNumberFormat="1" applyFont="1" applyFill="1"/>
    <xf numFmtId="168" fontId="14" fillId="3" borderId="81" xfId="0" applyNumberFormat="1" applyFont="1" applyFill="1" applyBorder="1"/>
    <xf numFmtId="168" fontId="14" fillId="3" borderId="7" xfId="0" applyNumberFormat="1" applyFont="1" applyFill="1" applyBorder="1"/>
    <xf numFmtId="37" fontId="14" fillId="3" borderId="82" xfId="0" applyNumberFormat="1" applyFont="1" applyFill="1" applyBorder="1"/>
    <xf numFmtId="168" fontId="14" fillId="0" borderId="48" xfId="0" applyNumberFormat="1" applyFont="1" applyBorder="1"/>
    <xf numFmtId="0" fontId="21" fillId="2" borderId="61" xfId="0" applyFont="1" applyFill="1" applyBorder="1"/>
    <xf numFmtId="0" fontId="21" fillId="2" borderId="62" xfId="0" applyFont="1" applyFill="1" applyBorder="1"/>
    <xf numFmtId="0" fontId="21" fillId="2" borderId="62" xfId="0" applyFont="1" applyFill="1" applyBorder="1" applyAlignment="1">
      <alignment horizontal="center"/>
    </xf>
    <xf numFmtId="168" fontId="21" fillId="2" borderId="62" xfId="0" applyNumberFormat="1" applyFont="1" applyFill="1" applyBorder="1"/>
    <xf numFmtId="37" fontId="21" fillId="2" borderId="90" xfId="0" applyNumberFormat="1" applyFont="1" applyFill="1" applyBorder="1"/>
    <xf numFmtId="37" fontId="21" fillId="2" borderId="62" xfId="0" applyNumberFormat="1" applyFont="1" applyFill="1" applyBorder="1"/>
    <xf numFmtId="37" fontId="21" fillId="2" borderId="91" xfId="0" applyNumberFormat="1" applyFont="1" applyFill="1" applyBorder="1"/>
    <xf numFmtId="168" fontId="21" fillId="2" borderId="92" xfId="0" applyNumberFormat="1" applyFont="1" applyFill="1" applyBorder="1"/>
    <xf numFmtId="0" fontId="21" fillId="2" borderId="91" xfId="0" applyFont="1" applyFill="1" applyBorder="1" applyAlignment="1">
      <alignment horizontal="center"/>
    </xf>
    <xf numFmtId="37" fontId="21" fillId="2" borderId="93" xfId="0" applyNumberFormat="1" applyFont="1" applyFill="1" applyBorder="1"/>
    <xf numFmtId="168" fontId="21" fillId="2" borderId="49" xfId="0" applyNumberFormat="1" applyFont="1" applyFill="1" applyBorder="1"/>
    <xf numFmtId="39" fontId="14" fillId="0" borderId="0" xfId="0" applyNumberFormat="1" applyFont="1"/>
    <xf numFmtId="0" fontId="21" fillId="2" borderId="94" xfId="0" applyFont="1" applyFill="1" applyBorder="1"/>
    <xf numFmtId="0" fontId="21" fillId="2" borderId="95" xfId="0" applyFont="1" applyFill="1" applyBorder="1"/>
    <xf numFmtId="0" fontId="21" fillId="2" borderId="95" xfId="0" applyFont="1" applyFill="1" applyBorder="1" applyAlignment="1">
      <alignment horizontal="center"/>
    </xf>
    <xf numFmtId="168" fontId="21" fillId="2" borderId="95" xfId="0" applyNumberFormat="1" applyFont="1" applyFill="1" applyBorder="1"/>
    <xf numFmtId="37" fontId="21" fillId="2" borderId="96" xfId="0" applyNumberFormat="1" applyFont="1" applyFill="1" applyBorder="1"/>
    <xf numFmtId="37" fontId="21" fillId="2" borderId="95" xfId="0" applyNumberFormat="1" applyFont="1" applyFill="1" applyBorder="1"/>
    <xf numFmtId="37" fontId="21" fillId="2" borderId="97" xfId="0" applyNumberFormat="1" applyFont="1" applyFill="1" applyBorder="1"/>
    <xf numFmtId="37" fontId="21" fillId="2" borderId="98" xfId="0" applyNumberFormat="1" applyFont="1" applyFill="1" applyBorder="1"/>
    <xf numFmtId="37" fontId="21" fillId="2" borderId="67" xfId="0" applyNumberFormat="1" applyFont="1" applyFill="1" applyBorder="1"/>
    <xf numFmtId="168" fontId="21" fillId="2" borderId="70" xfId="0" applyNumberFormat="1" applyFont="1" applyFill="1" applyBorder="1"/>
    <xf numFmtId="0" fontId="20" fillId="0" borderId="18" xfId="0" applyFont="1" applyBorder="1"/>
    <xf numFmtId="37" fontId="20" fillId="0" borderId="74" xfId="0" applyNumberFormat="1" applyFont="1" applyBorder="1"/>
    <xf numFmtId="0" fontId="20" fillId="0" borderId="74" xfId="0" applyFont="1" applyBorder="1"/>
    <xf numFmtId="0" fontId="20" fillId="0" borderId="89" xfId="0" applyFont="1" applyBorder="1"/>
    <xf numFmtId="0" fontId="20" fillId="0" borderId="76" xfId="0" applyFont="1" applyBorder="1"/>
    <xf numFmtId="0" fontId="20" fillId="0" borderId="10" xfId="0" applyFont="1" applyBorder="1"/>
    <xf numFmtId="0" fontId="7" fillId="0" borderId="76" xfId="0" applyFont="1" applyBorder="1"/>
    <xf numFmtId="168" fontId="21" fillId="2" borderId="65" xfId="0" applyNumberFormat="1" applyFont="1" applyFill="1" applyBorder="1"/>
    <xf numFmtId="0" fontId="23" fillId="0" borderId="0" xfId="0" applyFont="1"/>
    <xf numFmtId="37" fontId="23" fillId="0" borderId="0" xfId="0" applyNumberFormat="1" applyFont="1"/>
    <xf numFmtId="37" fontId="24" fillId="0" borderId="0" xfId="0" applyNumberFormat="1" applyFont="1"/>
    <xf numFmtId="0" fontId="23" fillId="3" borderId="0" xfId="0" applyFont="1" applyFill="1"/>
    <xf numFmtId="37" fontId="20" fillId="3" borderId="0" xfId="0" applyNumberFormat="1" applyFont="1" applyFill="1"/>
    <xf numFmtId="0" fontId="25" fillId="3" borderId="0" xfId="0" applyFont="1" applyFill="1"/>
    <xf numFmtId="37" fontId="23" fillId="3" borderId="0" xfId="0" applyNumberFormat="1" applyFont="1" applyFill="1"/>
    <xf numFmtId="0" fontId="2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7" fontId="27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168" fontId="20" fillId="3" borderId="0" xfId="0" applyNumberFormat="1" applyFont="1" applyFill="1"/>
    <xf numFmtId="9" fontId="20" fillId="3" borderId="0" xfId="0" applyNumberFormat="1" applyFont="1" applyFill="1"/>
    <xf numFmtId="168" fontId="23" fillId="3" borderId="0" xfId="0" applyNumberFormat="1" applyFont="1" applyFill="1"/>
    <xf numFmtId="0" fontId="28" fillId="3" borderId="0" xfId="0" applyFont="1" applyFill="1"/>
    <xf numFmtId="0" fontId="26" fillId="3" borderId="0" xfId="0" applyFont="1" applyFill="1" applyAlignment="1">
      <alignment horizontal="center"/>
    </xf>
    <xf numFmtId="167" fontId="20" fillId="3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30" fillId="3" borderId="0" xfId="0" applyFont="1" applyFill="1"/>
    <xf numFmtId="0" fontId="6" fillId="6" borderId="0" xfId="0" applyFont="1" applyFill="1" applyAlignment="1">
      <alignment horizontal="center"/>
    </xf>
    <xf numFmtId="0" fontId="6" fillId="6" borderId="0" xfId="0" quotePrefix="1" applyFont="1" applyFill="1" applyAlignment="1">
      <alignment horizontal="center"/>
    </xf>
    <xf numFmtId="1" fontId="9" fillId="0" borderId="8" xfId="0" applyNumberFormat="1" applyFont="1" applyBorder="1"/>
    <xf numFmtId="3" fontId="9" fillId="0" borderId="86" xfId="0" applyNumberFormat="1" applyFont="1" applyBorder="1"/>
    <xf numFmtId="0" fontId="0" fillId="0" borderId="0" xfId="0" applyFill="1"/>
    <xf numFmtId="0" fontId="8" fillId="0" borderId="0" xfId="0" applyFont="1" applyFill="1"/>
    <xf numFmtId="0" fontId="9" fillId="0" borderId="18" xfId="0" applyFont="1" applyFill="1" applyBorder="1"/>
    <xf numFmtId="3" fontId="9" fillId="0" borderId="0" xfId="0" applyNumberFormat="1" applyFont="1" applyFill="1"/>
    <xf numFmtId="3" fontId="9" fillId="0" borderId="8" xfId="0" applyNumberFormat="1" applyFont="1" applyFill="1" applyBorder="1"/>
    <xf numFmtId="3" fontId="9" fillId="0" borderId="9" xfId="0" applyNumberFormat="1" applyFont="1" applyFill="1" applyBorder="1"/>
    <xf numFmtId="3" fontId="9" fillId="0" borderId="10" xfId="0" applyNumberFormat="1" applyFont="1" applyFill="1" applyBorder="1"/>
    <xf numFmtId="0" fontId="9" fillId="0" borderId="0" xfId="0" applyFont="1" applyFill="1"/>
    <xf numFmtId="1" fontId="9" fillId="0" borderId="0" xfId="0" applyNumberFormat="1" applyFont="1"/>
    <xf numFmtId="1" fontId="9" fillId="0" borderId="13" xfId="0" applyNumberFormat="1" applyFont="1" applyBorder="1"/>
    <xf numFmtId="1" fontId="9" fillId="0" borderId="19" xfId="0" applyNumberFormat="1" applyFont="1" applyBorder="1"/>
    <xf numFmtId="0" fontId="9" fillId="0" borderId="0" xfId="0" applyFont="1" applyBorder="1" applyAlignment="1">
      <alignment horizontal="center"/>
    </xf>
    <xf numFmtId="168" fontId="9" fillId="0" borderId="0" xfId="0" applyNumberFormat="1" applyFont="1" applyBorder="1"/>
    <xf numFmtId="37" fontId="9" fillId="0" borderId="0" xfId="0" applyNumberFormat="1" applyFont="1" applyBorder="1"/>
    <xf numFmtId="168" fontId="10" fillId="3" borderId="12" xfId="0" applyNumberFormat="1" applyFont="1" applyFill="1" applyBorder="1"/>
    <xf numFmtId="168" fontId="10" fillId="2" borderId="30" xfId="0" applyNumberFormat="1" applyFont="1" applyFill="1" applyBorder="1"/>
    <xf numFmtId="168" fontId="10" fillId="0" borderId="0" xfId="0" applyNumberFormat="1" applyFont="1" applyBorder="1"/>
    <xf numFmtId="1" fontId="9" fillId="0" borderId="15" xfId="0" applyNumberFormat="1" applyFont="1" applyBorder="1"/>
    <xf numFmtId="1" fontId="9" fillId="0" borderId="7" xfId="0" applyNumberFormat="1" applyFont="1" applyBorder="1"/>
    <xf numFmtId="37" fontId="10" fillId="2" borderId="45" xfId="0" applyNumberFormat="1" applyFont="1" applyFill="1" applyBorder="1"/>
    <xf numFmtId="0" fontId="9" fillId="0" borderId="0" xfId="0" applyFont="1" applyBorder="1"/>
    <xf numFmtId="0" fontId="9" fillId="0" borderId="20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69" fontId="9" fillId="0" borderId="0" xfId="0" applyNumberFormat="1" applyFont="1" applyBorder="1"/>
    <xf numFmtId="169" fontId="10" fillId="0" borderId="0" xfId="0" applyNumberFormat="1" applyFont="1" applyBorder="1"/>
    <xf numFmtId="0" fontId="10" fillId="0" borderId="0" xfId="0" applyFont="1" applyBorder="1"/>
    <xf numFmtId="1" fontId="9" fillId="0" borderId="12" xfId="0" applyNumberFormat="1" applyFont="1" applyBorder="1"/>
    <xf numFmtId="0" fontId="32" fillId="0" borderId="100" xfId="0" applyFont="1" applyBorder="1" applyAlignment="1">
      <alignment vertical="center"/>
    </xf>
    <xf numFmtId="0" fontId="0" fillId="0" borderId="0" xfId="0" applyAlignment="1">
      <alignment vertical="center"/>
    </xf>
    <xf numFmtId="0" fontId="33" fillId="0" borderId="100" xfId="0" applyFont="1" applyBorder="1" applyAlignment="1">
      <alignment vertical="center"/>
    </xf>
    <xf numFmtId="0" fontId="33" fillId="0" borderId="101" xfId="0" applyFont="1" applyBorder="1" applyAlignment="1">
      <alignment vertical="center"/>
    </xf>
    <xf numFmtId="37" fontId="33" fillId="0" borderId="102" xfId="0" applyNumberFormat="1" applyFont="1" applyBorder="1" applyAlignment="1">
      <alignment horizontal="center" vertical="center"/>
    </xf>
    <xf numFmtId="3" fontId="0" fillId="0" borderId="102" xfId="0" applyNumberFormat="1" applyBorder="1" applyAlignment="1">
      <alignment horizontal="center" vertical="center"/>
    </xf>
    <xf numFmtId="3" fontId="0" fillId="0" borderId="103" xfId="0" applyNumberFormat="1" applyBorder="1" applyAlignment="1">
      <alignment horizontal="center" vertical="center"/>
    </xf>
    <xf numFmtId="3" fontId="0" fillId="0" borderId="104" xfId="0" applyNumberFormat="1" applyBorder="1" applyAlignment="1">
      <alignment horizontal="center" vertical="center"/>
    </xf>
    <xf numFmtId="0" fontId="33" fillId="10" borderId="99" xfId="0" applyFont="1" applyFill="1" applyBorder="1" applyAlignment="1">
      <alignment horizontal="center"/>
    </xf>
    <xf numFmtId="0" fontId="33" fillId="11" borderId="99" xfId="0" applyFont="1" applyFill="1" applyBorder="1" applyAlignment="1">
      <alignment horizontal="center"/>
    </xf>
    <xf numFmtId="0" fontId="33" fillId="7" borderId="99" xfId="0" applyFont="1" applyFill="1" applyBorder="1" applyAlignment="1">
      <alignment horizontal="center"/>
    </xf>
    <xf numFmtId="3" fontId="32" fillId="0" borderId="102" xfId="0" applyNumberFormat="1" applyFont="1" applyBorder="1" applyAlignment="1">
      <alignment horizontal="center" vertical="center"/>
    </xf>
    <xf numFmtId="172" fontId="20" fillId="0" borderId="0" xfId="0" applyNumberFormat="1" applyFont="1"/>
    <xf numFmtId="0" fontId="0" fillId="0" borderId="102" xfId="0" applyFill="1" applyBorder="1" applyAlignment="1">
      <alignment vertical="center"/>
    </xf>
    <xf numFmtId="0" fontId="0" fillId="0" borderId="103" xfId="0" applyFill="1" applyBorder="1" applyAlignment="1">
      <alignment vertical="center"/>
    </xf>
    <xf numFmtId="0" fontId="0" fillId="0" borderId="104" xfId="0" applyFill="1" applyBorder="1" applyAlignment="1">
      <alignment vertical="center"/>
    </xf>
    <xf numFmtId="3" fontId="9" fillId="0" borderId="0" xfId="0" applyNumberFormat="1" applyFont="1" applyBorder="1"/>
    <xf numFmtId="0" fontId="34" fillId="0" borderId="0" xfId="0" applyFont="1"/>
    <xf numFmtId="1" fontId="34" fillId="0" borderId="0" xfId="0" applyNumberFormat="1" applyFont="1"/>
    <xf numFmtId="0" fontId="33" fillId="0" borderId="0" xfId="0" applyFont="1" applyAlignment="1">
      <alignment horizontal="center"/>
    </xf>
    <xf numFmtId="37" fontId="33" fillId="0" borderId="104" xfId="0" applyNumberFormat="1" applyFont="1" applyBorder="1" applyAlignment="1">
      <alignment horizontal="center" vertical="center"/>
    </xf>
    <xf numFmtId="3" fontId="32" fillId="8" borderId="102" xfId="0" applyNumberFormat="1" applyFont="1" applyFill="1" applyBorder="1" applyAlignment="1">
      <alignment horizontal="center" vertical="center"/>
    </xf>
    <xf numFmtId="3" fontId="0" fillId="8" borderId="102" xfId="0" applyNumberFormat="1" applyFill="1" applyBorder="1" applyAlignment="1">
      <alignment horizontal="center" vertical="center"/>
    </xf>
    <xf numFmtId="3" fontId="0" fillId="8" borderId="103" xfId="0" applyNumberFormat="1" applyFill="1" applyBorder="1" applyAlignment="1">
      <alignment horizontal="center" vertical="center"/>
    </xf>
    <xf numFmtId="3" fontId="0" fillId="8" borderId="104" xfId="0" applyNumberFormat="1" applyFill="1" applyBorder="1" applyAlignment="1">
      <alignment horizontal="center" vertical="center"/>
    </xf>
    <xf numFmtId="0" fontId="33" fillId="8" borderId="99" xfId="0" applyFont="1" applyFill="1" applyBorder="1" applyAlignment="1">
      <alignment horizontal="center"/>
    </xf>
    <xf numFmtId="0" fontId="13" fillId="0" borderId="0" xfId="0" applyFont="1"/>
    <xf numFmtId="168" fontId="0" fillId="0" borderId="0" xfId="2" applyNumberFormat="1" applyFont="1" applyAlignment="1"/>
    <xf numFmtId="166" fontId="0" fillId="0" borderId="0" xfId="1" applyFont="1" applyAlignment="1"/>
    <xf numFmtId="0" fontId="38" fillId="0" borderId="0" xfId="0" applyFont="1" applyAlignment="1">
      <alignment horizontal="center"/>
    </xf>
    <xf numFmtId="3" fontId="38" fillId="0" borderId="0" xfId="0" applyNumberFormat="1" applyFont="1" applyAlignment="1">
      <alignment horizontal="center"/>
    </xf>
    <xf numFmtId="0" fontId="10" fillId="0" borderId="6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67" xfId="0" applyFont="1" applyBorder="1" applyAlignment="1">
      <alignment horizontal="center" vertical="center"/>
    </xf>
    <xf numFmtId="168" fontId="9" fillId="0" borderId="0" xfId="2" applyNumberFormat="1" applyFont="1" applyBorder="1" applyAlignment="1">
      <alignment horizontal="right"/>
    </xf>
    <xf numFmtId="168" fontId="9" fillId="0" borderId="12" xfId="2" applyNumberFormat="1" applyFont="1" applyBorder="1" applyAlignment="1">
      <alignment horizontal="right"/>
    </xf>
    <xf numFmtId="0" fontId="0" fillId="0" borderId="0" xfId="0" applyAlignment="1"/>
    <xf numFmtId="0" fontId="4" fillId="0" borderId="0" xfId="0" applyFont="1" applyAlignment="1"/>
    <xf numFmtId="3" fontId="4" fillId="0" borderId="0" xfId="0" applyNumberFormat="1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1" xfId="0" applyFont="1" applyBorder="1" applyAlignment="1"/>
    <xf numFmtId="0" fontId="11" fillId="0" borderId="2" xfId="0" applyFont="1" applyBorder="1" applyAlignment="1"/>
    <xf numFmtId="0" fontId="11" fillId="0" borderId="3" xfId="0" applyFont="1" applyBorder="1" applyAlignment="1"/>
    <xf numFmtId="0" fontId="11" fillId="0" borderId="5" xfId="0" applyFont="1" applyBorder="1" applyAlignment="1"/>
    <xf numFmtId="0" fontId="9" fillId="0" borderId="0" xfId="0" applyFont="1" applyAlignment="1"/>
    <xf numFmtId="10" fontId="0" fillId="0" borderId="0" xfId="0" applyNumberFormat="1" applyAlignment="1"/>
    <xf numFmtId="0" fontId="9" fillId="0" borderId="6" xfId="0" applyFont="1" applyBorder="1" applyAlignment="1"/>
    <xf numFmtId="0" fontId="9" fillId="0" borderId="11" xfId="0" applyFont="1" applyBorder="1" applyAlignment="1"/>
    <xf numFmtId="3" fontId="9" fillId="0" borderId="13" xfId="0" applyNumberFormat="1" applyFont="1" applyBorder="1" applyAlignment="1"/>
    <xf numFmtId="0" fontId="9" fillId="0" borderId="14" xfId="0" applyFont="1" applyBorder="1" applyAlignment="1"/>
    <xf numFmtId="3" fontId="9" fillId="0" borderId="15" xfId="0" applyNumberFormat="1" applyFont="1" applyBorder="1" applyAlignment="1"/>
    <xf numFmtId="0" fontId="40" fillId="0" borderId="0" xfId="0" applyFont="1" applyAlignment="1"/>
    <xf numFmtId="10" fontId="40" fillId="0" borderId="0" xfId="0" applyNumberFormat="1" applyFont="1" applyAlignment="1"/>
    <xf numFmtId="0" fontId="9" fillId="0" borderId="18" xfId="0" applyFont="1" applyBorder="1" applyAlignment="1"/>
    <xf numFmtId="3" fontId="9" fillId="0" borderId="0" xfId="0" applyNumberFormat="1" applyFont="1" applyAlignment="1"/>
    <xf numFmtId="3" fontId="9" fillId="0" borderId="9" xfId="0" applyNumberFormat="1" applyFont="1" applyBorder="1" applyAlignment="1"/>
    <xf numFmtId="3" fontId="12" fillId="0" borderId="8" xfId="0" applyNumberFormat="1" applyFont="1" applyBorder="1" applyAlignment="1"/>
    <xf numFmtId="3" fontId="9" fillId="0" borderId="8" xfId="0" applyNumberFormat="1" applyFont="1" applyBorder="1" applyAlignment="1"/>
    <xf numFmtId="3" fontId="9" fillId="0" borderId="10" xfId="0" applyNumberFormat="1" applyFont="1" applyBorder="1" applyAlignment="1"/>
    <xf numFmtId="0" fontId="10" fillId="0" borderId="6" xfId="0" applyFont="1" applyBorder="1" applyAlignment="1"/>
    <xf numFmtId="3" fontId="10" fillId="0" borderId="7" xfId="0" applyNumberFormat="1" applyFont="1" applyBorder="1" applyAlignment="1"/>
    <xf numFmtId="3" fontId="10" fillId="0" borderId="19" xfId="0" applyNumberFormat="1" applyFont="1" applyBorder="1" applyAlignment="1"/>
    <xf numFmtId="3" fontId="10" fillId="0" borderId="20" xfId="0" applyNumberFormat="1" applyFont="1" applyBorder="1" applyAlignment="1"/>
    <xf numFmtId="3" fontId="10" fillId="0" borderId="21" xfId="0" applyNumberFormat="1" applyFont="1" applyBorder="1" applyAlignment="1"/>
    <xf numFmtId="0" fontId="9" fillId="0" borderId="8" xfId="0" applyFont="1" applyBorder="1" applyAlignment="1"/>
    <xf numFmtId="0" fontId="9" fillId="0" borderId="9" xfId="0" applyFont="1" applyBorder="1" applyAlignment="1"/>
    <xf numFmtId="168" fontId="10" fillId="0" borderId="9" xfId="0" applyNumberFormat="1" applyFont="1" applyBorder="1" applyAlignment="1"/>
    <xf numFmtId="168" fontId="10" fillId="0" borderId="8" xfId="0" applyNumberFormat="1" applyFont="1" applyBorder="1" applyAlignment="1"/>
    <xf numFmtId="168" fontId="10" fillId="0" borderId="10" xfId="0" applyNumberFormat="1" applyFont="1" applyBorder="1" applyAlignment="1"/>
    <xf numFmtId="0" fontId="10" fillId="0" borderId="22" xfId="0" applyFont="1" applyBorder="1" applyAlignment="1"/>
    <xf numFmtId="3" fontId="9" fillId="0" borderId="23" xfId="0" applyNumberFormat="1" applyFont="1" applyBorder="1" applyAlignment="1"/>
    <xf numFmtId="3" fontId="9" fillId="0" borderId="12" xfId="0" applyNumberFormat="1" applyFont="1" applyBorder="1" applyAlignment="1"/>
    <xf numFmtId="3" fontId="9" fillId="0" borderId="16" xfId="0" applyNumberFormat="1" applyFont="1" applyBorder="1" applyAlignment="1"/>
    <xf numFmtId="3" fontId="10" fillId="0" borderId="14" xfId="0" applyNumberFormat="1" applyFont="1" applyBorder="1" applyAlignment="1"/>
    <xf numFmtId="3" fontId="10" fillId="0" borderId="12" xfId="0" applyNumberFormat="1" applyFont="1" applyBorder="1" applyAlignment="1"/>
    <xf numFmtId="3" fontId="9" fillId="0" borderId="14" xfId="0" applyNumberFormat="1" applyFont="1" applyBorder="1" applyAlignment="1"/>
    <xf numFmtId="3" fontId="9" fillId="0" borderId="17" xfId="0" applyNumberFormat="1" applyFont="1" applyBorder="1" applyAlignment="1"/>
    <xf numFmtId="3" fontId="8" fillId="0" borderId="0" xfId="0" applyNumberFormat="1" applyFont="1" applyAlignment="1"/>
    <xf numFmtId="0" fontId="10" fillId="0" borderId="18" xfId="0" applyFont="1" applyBorder="1" applyAlignment="1"/>
    <xf numFmtId="3" fontId="9" fillId="0" borderId="7" xfId="0" applyNumberFormat="1" applyFont="1" applyBorder="1" applyAlignment="1"/>
    <xf numFmtId="3" fontId="9" fillId="0" borderId="19" xfId="0" applyNumberFormat="1" applyFont="1" applyBorder="1" applyAlignment="1"/>
    <xf numFmtId="3" fontId="9" fillId="0" borderId="20" xfId="0" applyNumberFormat="1" applyFont="1" applyBorder="1" applyAlignment="1"/>
    <xf numFmtId="3" fontId="9" fillId="0" borderId="21" xfId="0" applyNumberFormat="1" applyFont="1" applyBorder="1" applyAlignment="1"/>
    <xf numFmtId="166" fontId="8" fillId="0" borderId="0" xfId="1" applyFont="1" applyFill="1" applyAlignment="1"/>
    <xf numFmtId="3" fontId="10" fillId="0" borderId="9" xfId="0" applyNumberFormat="1" applyFont="1" applyBorder="1" applyAlignment="1"/>
    <xf numFmtId="37" fontId="9" fillId="0" borderId="8" xfId="0" applyNumberFormat="1" applyFont="1" applyBorder="1" applyAlignment="1"/>
    <xf numFmtId="37" fontId="9" fillId="0" borderId="9" xfId="0" applyNumberFormat="1" applyFont="1" applyBorder="1" applyAlignment="1"/>
    <xf numFmtId="0" fontId="9" fillId="0" borderId="10" xfId="0" applyFont="1" applyBorder="1" applyAlignment="1"/>
    <xf numFmtId="0" fontId="10" fillId="2" borderId="24" xfId="0" applyFont="1" applyFill="1" applyBorder="1" applyAlignment="1"/>
    <xf numFmtId="37" fontId="10" fillId="2" borderId="25" xfId="0" applyNumberFormat="1" applyFont="1" applyFill="1" applyBorder="1" applyAlignment="1"/>
    <xf numFmtId="3" fontId="10" fillId="2" borderId="25" xfId="0" applyNumberFormat="1" applyFont="1" applyFill="1" applyBorder="1" applyAlignment="1"/>
    <xf numFmtId="37" fontId="10" fillId="2" borderId="26" xfId="0" applyNumberFormat="1" applyFont="1" applyFill="1" applyBorder="1" applyAlignment="1"/>
    <xf numFmtId="37" fontId="10" fillId="2" borderId="27" xfId="0" applyNumberFormat="1" applyFont="1" applyFill="1" applyBorder="1" applyAlignment="1"/>
    <xf numFmtId="169" fontId="10" fillId="2" borderId="25" xfId="0" applyNumberFormat="1" applyFont="1" applyFill="1" applyBorder="1" applyAlignment="1"/>
    <xf numFmtId="37" fontId="10" fillId="2" borderId="28" xfId="0" applyNumberFormat="1" applyFont="1" applyFill="1" applyBorder="1" applyAlignment="1"/>
    <xf numFmtId="0" fontId="10" fillId="2" borderId="29" xfId="0" applyFont="1" applyFill="1" applyBorder="1" applyAlignment="1"/>
    <xf numFmtId="0" fontId="10" fillId="2" borderId="30" xfId="0" applyFont="1" applyFill="1" applyBorder="1" applyAlignment="1"/>
    <xf numFmtId="0" fontId="10" fillId="2" borderId="31" xfId="0" applyFont="1" applyFill="1" applyBorder="1" applyAlignment="1"/>
    <xf numFmtId="0" fontId="10" fillId="2" borderId="32" xfId="0" applyFont="1" applyFill="1" applyBorder="1" applyAlignment="1"/>
    <xf numFmtId="168" fontId="10" fillId="2" borderId="32" xfId="0" applyNumberFormat="1" applyFont="1" applyFill="1" applyBorder="1" applyAlignment="1"/>
    <xf numFmtId="168" fontId="10" fillId="2" borderId="31" xfId="0" applyNumberFormat="1" applyFont="1" applyFill="1" applyBorder="1" applyAlignment="1"/>
    <xf numFmtId="168" fontId="10" fillId="2" borderId="33" xfId="0" applyNumberFormat="1" applyFont="1" applyFill="1" applyBorder="1" applyAlignment="1"/>
    <xf numFmtId="0" fontId="10" fillId="0" borderId="0" xfId="0" applyFont="1" applyAlignment="1"/>
    <xf numFmtId="0" fontId="10" fillId="0" borderId="8" xfId="0" applyFont="1" applyBorder="1" applyAlignment="1"/>
    <xf numFmtId="0" fontId="10" fillId="0" borderId="9" xfId="0" applyFont="1" applyBorder="1" applyAlignment="1"/>
    <xf numFmtId="37" fontId="9" fillId="0" borderId="0" xfId="0" applyNumberFormat="1" applyFont="1" applyAlignment="1"/>
    <xf numFmtId="168" fontId="9" fillId="0" borderId="9" xfId="2" applyNumberFormat="1" applyFont="1" applyBorder="1" applyAlignment="1"/>
    <xf numFmtId="37" fontId="9" fillId="0" borderId="10" xfId="0" applyNumberFormat="1" applyFont="1" applyBorder="1" applyAlignment="1"/>
    <xf numFmtId="0" fontId="9" fillId="0" borderId="22" xfId="0" applyFont="1" applyBorder="1" applyAlignment="1"/>
    <xf numFmtId="37" fontId="9" fillId="0" borderId="12" xfId="0" applyNumberFormat="1" applyFont="1" applyBorder="1" applyAlignment="1"/>
    <xf numFmtId="168" fontId="9" fillId="0" borderId="14" xfId="2" applyNumberFormat="1" applyFont="1" applyBorder="1" applyAlignment="1"/>
    <xf numFmtId="37" fontId="9" fillId="0" borderId="15" xfId="0" applyNumberFormat="1" applyFont="1" applyBorder="1" applyAlignment="1"/>
    <xf numFmtId="168" fontId="9" fillId="0" borderId="14" xfId="2" applyNumberFormat="1" applyFont="1" applyFill="1" applyBorder="1" applyAlignment="1"/>
    <xf numFmtId="37" fontId="9" fillId="0" borderId="16" xfId="0" applyNumberFormat="1" applyFont="1" applyBorder="1" applyAlignment="1"/>
    <xf numFmtId="37" fontId="9" fillId="0" borderId="17" xfId="0" applyNumberFormat="1" applyFont="1" applyBorder="1" applyAlignment="1"/>
    <xf numFmtId="3" fontId="9" fillId="0" borderId="34" xfId="0" applyNumberFormat="1" applyFont="1" applyBorder="1" applyAlignment="1"/>
    <xf numFmtId="3" fontId="9" fillId="0" borderId="35" xfId="0" applyNumberFormat="1" applyFont="1" applyBorder="1" applyAlignment="1"/>
    <xf numFmtId="3" fontId="9" fillId="0" borderId="36" xfId="0" applyNumberFormat="1" applyFont="1" applyBorder="1" applyAlignment="1"/>
    <xf numFmtId="0" fontId="10" fillId="2" borderId="37" xfId="0" applyFont="1" applyFill="1" applyBorder="1" applyAlignment="1"/>
    <xf numFmtId="168" fontId="10" fillId="2" borderId="38" xfId="0" applyNumberFormat="1" applyFont="1" applyFill="1" applyBorder="1" applyAlignment="1"/>
    <xf numFmtId="37" fontId="10" fillId="2" borderId="39" xfId="0" applyNumberFormat="1" applyFont="1" applyFill="1" applyBorder="1" applyAlignment="1"/>
    <xf numFmtId="0" fontId="9" fillId="2" borderId="41" xfId="0" applyFont="1" applyFill="1" applyBorder="1" applyAlignment="1"/>
    <xf numFmtId="37" fontId="10" fillId="2" borderId="38" xfId="0" applyNumberFormat="1" applyFont="1" applyFill="1" applyBorder="1" applyAlignment="1"/>
    <xf numFmtId="0" fontId="9" fillId="2" borderId="40" xfId="0" applyFont="1" applyFill="1" applyBorder="1" applyAlignment="1"/>
    <xf numFmtId="37" fontId="10" fillId="2" borderId="42" xfId="0" applyNumberFormat="1" applyFont="1" applyFill="1" applyBorder="1" applyAlignment="1"/>
    <xf numFmtId="0" fontId="14" fillId="0" borderId="18" xfId="0" applyFont="1" applyBorder="1" applyAlignment="1"/>
    <xf numFmtId="0" fontId="14" fillId="0" borderId="22" xfId="0" applyFont="1" applyBorder="1" applyAlignment="1"/>
    <xf numFmtId="0" fontId="9" fillId="0" borderId="7" xfId="0" applyFont="1" applyBorder="1" applyAlignment="1"/>
    <xf numFmtId="0" fontId="9" fillId="0" borderId="20" xfId="0" applyFont="1" applyBorder="1" applyAlignment="1"/>
    <xf numFmtId="3" fontId="9" fillId="0" borderId="43" xfId="0" applyNumberFormat="1" applyFont="1" applyBorder="1" applyAlignment="1"/>
    <xf numFmtId="37" fontId="9" fillId="0" borderId="19" xfId="0" applyNumberFormat="1" applyFont="1" applyBorder="1" applyAlignment="1"/>
    <xf numFmtId="37" fontId="9" fillId="0" borderId="21" xfId="0" applyNumberFormat="1" applyFont="1" applyBorder="1" applyAlignment="1"/>
    <xf numFmtId="0" fontId="9" fillId="0" borderId="12" xfId="0" applyFont="1" applyBorder="1" applyAlignment="1"/>
    <xf numFmtId="37" fontId="10" fillId="0" borderId="0" xfId="0" applyNumberFormat="1" applyFont="1" applyAlignment="1"/>
    <xf numFmtId="37" fontId="10" fillId="2" borderId="16" xfId="0" applyNumberFormat="1" applyFont="1" applyFill="1" applyBorder="1" applyAlignment="1"/>
    <xf numFmtId="37" fontId="10" fillId="2" borderId="17" xfId="0" applyNumberFormat="1" applyFont="1" applyFill="1" applyBorder="1" applyAlignment="1"/>
    <xf numFmtId="0" fontId="10" fillId="3" borderId="18" xfId="0" applyFont="1" applyFill="1" applyBorder="1" applyAlignment="1"/>
    <xf numFmtId="0" fontId="9" fillId="3" borderId="0" xfId="0" applyFont="1" applyFill="1" applyAlignment="1"/>
    <xf numFmtId="0" fontId="10" fillId="3" borderId="0" xfId="0" applyFont="1" applyFill="1" applyAlignment="1"/>
    <xf numFmtId="37" fontId="10" fillId="3" borderId="8" xfId="0" applyNumberFormat="1" applyFont="1" applyFill="1" applyBorder="1" applyAlignment="1"/>
    <xf numFmtId="0" fontId="9" fillId="3" borderId="9" xfId="0" applyFont="1" applyFill="1" applyBorder="1" applyAlignment="1"/>
    <xf numFmtId="0" fontId="9" fillId="3" borderId="14" xfId="0" applyFont="1" applyFill="1" applyBorder="1" applyAlignment="1"/>
    <xf numFmtId="0" fontId="9" fillId="3" borderId="12" xfId="0" applyFont="1" applyFill="1" applyBorder="1" applyAlignment="1"/>
    <xf numFmtId="37" fontId="10" fillId="3" borderId="16" xfId="0" applyNumberFormat="1" applyFont="1" applyFill="1" applyBorder="1" applyAlignment="1"/>
    <xf numFmtId="37" fontId="10" fillId="3" borderId="17" xfId="0" applyNumberFormat="1" applyFont="1" applyFill="1" applyBorder="1" applyAlignment="1"/>
    <xf numFmtId="0" fontId="10" fillId="2" borderId="44" xfId="0" applyFont="1" applyFill="1" applyBorder="1" applyAlignment="1"/>
    <xf numFmtId="0" fontId="9" fillId="2" borderId="45" xfId="0" applyFont="1" applyFill="1" applyBorder="1" applyAlignment="1"/>
    <xf numFmtId="0" fontId="10" fillId="2" borderId="45" xfId="0" applyFont="1" applyFill="1" applyBorder="1" applyAlignment="1"/>
    <xf numFmtId="37" fontId="10" fillId="2" borderId="46" xfId="0" applyNumberFormat="1" applyFont="1" applyFill="1" applyBorder="1" applyAlignment="1"/>
    <xf numFmtId="0" fontId="9" fillId="2" borderId="47" xfId="0" applyFont="1" applyFill="1" applyBorder="1" applyAlignment="1"/>
    <xf numFmtId="37" fontId="10" fillId="2" borderId="48" xfId="0" applyNumberFormat="1" applyFont="1" applyFill="1" applyBorder="1" applyAlignment="1"/>
    <xf numFmtId="0" fontId="15" fillId="0" borderId="0" xfId="0" applyFont="1" applyAlignment="1"/>
    <xf numFmtId="0" fontId="16" fillId="0" borderId="0" xfId="0" applyFont="1" applyAlignment="1"/>
    <xf numFmtId="37" fontId="16" fillId="0" borderId="0" xfId="0" applyNumberFormat="1" applyFont="1" applyAlignment="1"/>
    <xf numFmtId="0" fontId="17" fillId="0" borderId="0" xfId="0" applyFont="1" applyAlignment="1"/>
    <xf numFmtId="39" fontId="9" fillId="0" borderId="0" xfId="0" applyNumberFormat="1" applyFont="1" applyAlignment="1"/>
    <xf numFmtId="3" fontId="10" fillId="0" borderId="16" xfId="0" applyNumberFormat="1" applyFont="1" applyBorder="1" applyAlignment="1"/>
    <xf numFmtId="3" fontId="10" fillId="0" borderId="17" xfId="0" applyNumberFormat="1" applyFont="1" applyBorder="1" applyAlignment="1"/>
    <xf numFmtId="169" fontId="9" fillId="0" borderId="0" xfId="0" applyNumberFormat="1" applyFont="1" applyAlignment="1"/>
    <xf numFmtId="168" fontId="18" fillId="4" borderId="49" xfId="0" applyNumberFormat="1" applyFont="1" applyFill="1" applyBorder="1" applyAlignment="1"/>
    <xf numFmtId="37" fontId="9" fillId="0" borderId="13" xfId="0" applyNumberFormat="1" applyFont="1" applyBorder="1" applyAlignment="1"/>
    <xf numFmtId="0" fontId="9" fillId="2" borderId="14" xfId="0" applyFont="1" applyFill="1" applyBorder="1" applyAlignment="1"/>
    <xf numFmtId="168" fontId="9" fillId="0" borderId="0" xfId="0" applyNumberFormat="1" applyFont="1" applyAlignment="1"/>
    <xf numFmtId="0" fontId="8" fillId="9" borderId="0" xfId="0" applyFont="1" applyFill="1" applyAlignment="1"/>
    <xf numFmtId="168" fontId="10" fillId="0" borderId="0" xfId="0" applyNumberFormat="1" applyFont="1" applyAlignment="1"/>
    <xf numFmtId="0" fontId="10" fillId="2" borderId="47" xfId="0" applyFont="1" applyFill="1" applyBorder="1" applyAlignment="1"/>
    <xf numFmtId="37" fontId="7" fillId="0" borderId="0" xfId="0" applyNumberFormat="1" applyFont="1" applyAlignment="1"/>
    <xf numFmtId="1" fontId="9" fillId="0" borderId="9" xfId="0" applyNumberFormat="1" applyFont="1" applyBorder="1" applyAlignment="1"/>
    <xf numFmtId="168" fontId="9" fillId="0" borderId="9" xfId="0" applyNumberFormat="1" applyFont="1" applyBorder="1" applyAlignment="1"/>
    <xf numFmtId="168" fontId="9" fillId="0" borderId="8" xfId="0" applyNumberFormat="1" applyFont="1" applyBorder="1" applyAlignment="1"/>
    <xf numFmtId="169" fontId="9" fillId="0" borderId="12" xfId="0" applyNumberFormat="1" applyFont="1" applyBorder="1" applyAlignment="1"/>
    <xf numFmtId="168" fontId="9" fillId="0" borderId="16" xfId="0" applyNumberFormat="1" applyFont="1" applyBorder="1" applyAlignment="1"/>
    <xf numFmtId="37" fontId="9" fillId="0" borderId="14" xfId="0" applyNumberFormat="1" applyFont="1" applyBorder="1" applyAlignment="1"/>
    <xf numFmtId="39" fontId="12" fillId="0" borderId="50" xfId="0" applyNumberFormat="1" applyFont="1" applyBorder="1" applyAlignment="1"/>
    <xf numFmtId="168" fontId="9" fillId="0" borderId="14" xfId="0" applyNumberFormat="1" applyFont="1" applyBorder="1" applyAlignment="1"/>
    <xf numFmtId="37" fontId="9" fillId="0" borderId="7" xfId="0" applyNumberFormat="1" applyFont="1" applyBorder="1" applyAlignment="1"/>
    <xf numFmtId="37" fontId="9" fillId="0" borderId="20" xfId="0" applyNumberFormat="1" applyFont="1" applyBorder="1" applyAlignment="1"/>
    <xf numFmtId="3" fontId="9" fillId="0" borderId="51" xfId="0" applyNumberFormat="1" applyFont="1" applyBorder="1" applyAlignment="1"/>
    <xf numFmtId="2" fontId="9" fillId="0" borderId="0" xfId="0" applyNumberFormat="1" applyFont="1" applyAlignment="1"/>
    <xf numFmtId="168" fontId="10" fillId="0" borderId="14" xfId="0" applyNumberFormat="1" applyFont="1" applyBorder="1" applyAlignment="1"/>
    <xf numFmtId="168" fontId="10" fillId="0" borderId="16" xfId="0" applyNumberFormat="1" applyFont="1" applyBorder="1" applyAlignment="1"/>
    <xf numFmtId="168" fontId="10" fillId="0" borderId="17" xfId="0" applyNumberFormat="1" applyFont="1" applyBorder="1" applyAlignment="1"/>
    <xf numFmtId="169" fontId="9" fillId="0" borderId="15" xfId="0" applyNumberFormat="1" applyFont="1" applyBorder="1" applyAlignment="1"/>
    <xf numFmtId="168" fontId="9" fillId="0" borderId="13" xfId="0" applyNumberFormat="1" applyFont="1" applyBorder="1" applyAlignment="1"/>
    <xf numFmtId="170" fontId="9" fillId="0" borderId="0" xfId="0" applyNumberFormat="1" applyFont="1" applyAlignment="1"/>
    <xf numFmtId="37" fontId="9" fillId="0" borderId="23" xfId="0" applyNumberFormat="1" applyFont="1" applyBorder="1" applyAlignment="1"/>
    <xf numFmtId="168" fontId="9" fillId="0" borderId="20" xfId="0" applyNumberFormat="1" applyFont="1" applyBorder="1" applyAlignment="1"/>
    <xf numFmtId="169" fontId="10" fillId="0" borderId="0" xfId="0" applyNumberFormat="1" applyFont="1" applyAlignment="1"/>
    <xf numFmtId="37" fontId="10" fillId="0" borderId="9" xfId="0" applyNumberFormat="1" applyFont="1" applyBorder="1" applyAlignment="1"/>
    <xf numFmtId="37" fontId="10" fillId="0" borderId="8" xfId="0" applyNumberFormat="1" applyFont="1" applyBorder="1" applyAlignment="1"/>
    <xf numFmtId="37" fontId="10" fillId="0" borderId="10" xfId="0" applyNumberFormat="1" applyFont="1" applyBorder="1" applyAlignment="1"/>
    <xf numFmtId="0" fontId="10" fillId="0" borderId="12" xfId="0" applyFont="1" applyBorder="1" applyAlignment="1"/>
    <xf numFmtId="169" fontId="10" fillId="0" borderId="12" xfId="0" applyNumberFormat="1" applyFont="1" applyBorder="1" applyAlignment="1"/>
    <xf numFmtId="0" fontId="10" fillId="0" borderId="14" xfId="0" applyFont="1" applyBorder="1" applyAlignment="1"/>
    <xf numFmtId="37" fontId="10" fillId="0" borderId="14" xfId="0" applyNumberFormat="1" applyFont="1" applyBorder="1" applyAlignment="1"/>
    <xf numFmtId="37" fontId="10" fillId="0" borderId="16" xfId="0" applyNumberFormat="1" applyFont="1" applyBorder="1" applyAlignment="1"/>
    <xf numFmtId="37" fontId="10" fillId="0" borderId="17" xfId="0" applyNumberFormat="1" applyFont="1" applyBorder="1" applyAlignment="1"/>
    <xf numFmtId="37" fontId="9" fillId="0" borderId="47" xfId="0" applyNumberFormat="1" applyFont="1" applyBorder="1" applyAlignment="1"/>
    <xf numFmtId="0" fontId="10" fillId="3" borderId="24" xfId="0" applyFont="1" applyFill="1" applyBorder="1" applyAlignment="1"/>
    <xf numFmtId="37" fontId="10" fillId="3" borderId="25" xfId="0" applyNumberFormat="1" applyFont="1" applyFill="1" applyBorder="1" applyAlignment="1"/>
    <xf numFmtId="37" fontId="10" fillId="3" borderId="26" xfId="0" applyNumberFormat="1" applyFont="1" applyFill="1" applyBorder="1" applyAlignment="1"/>
    <xf numFmtId="37" fontId="10" fillId="3" borderId="27" xfId="0" applyNumberFormat="1" applyFont="1" applyFill="1" applyBorder="1" applyAlignment="1"/>
    <xf numFmtId="168" fontId="10" fillId="3" borderId="27" xfId="0" applyNumberFormat="1" applyFont="1" applyFill="1" applyBorder="1" applyAlignment="1"/>
    <xf numFmtId="37" fontId="10" fillId="3" borderId="28" xfId="0" applyNumberFormat="1" applyFont="1" applyFill="1" applyBorder="1" applyAlignment="1"/>
    <xf numFmtId="0" fontId="10" fillId="3" borderId="22" xfId="0" applyFont="1" applyFill="1" applyBorder="1" applyAlignment="1"/>
    <xf numFmtId="37" fontId="10" fillId="3" borderId="12" xfId="0" applyNumberFormat="1" applyFont="1" applyFill="1" applyBorder="1" applyAlignment="1"/>
    <xf numFmtId="168" fontId="10" fillId="3" borderId="16" xfId="0" applyNumberFormat="1" applyFont="1" applyFill="1" applyBorder="1" applyAlignment="1"/>
    <xf numFmtId="37" fontId="10" fillId="3" borderId="14" xfId="0" applyNumberFormat="1" applyFont="1" applyFill="1" applyBorder="1" applyAlignment="1"/>
    <xf numFmtId="39" fontId="10" fillId="3" borderId="12" xfId="0" applyNumberFormat="1" applyFont="1" applyFill="1" applyBorder="1" applyAlignment="1"/>
    <xf numFmtId="37" fontId="10" fillId="0" borderId="7" xfId="0" applyNumberFormat="1" applyFont="1" applyBorder="1" applyAlignment="1"/>
    <xf numFmtId="169" fontId="10" fillId="0" borderId="7" xfId="0" applyNumberFormat="1" applyFont="1" applyBorder="1" applyAlignment="1"/>
    <xf numFmtId="37" fontId="10" fillId="0" borderId="19" xfId="0" applyNumberFormat="1" applyFont="1" applyBorder="1" applyAlignment="1"/>
    <xf numFmtId="37" fontId="10" fillId="0" borderId="20" xfId="0" applyNumberFormat="1" applyFont="1" applyBorder="1" applyAlignment="1"/>
    <xf numFmtId="37" fontId="10" fillId="0" borderId="21" xfId="0" applyNumberFormat="1" applyFont="1" applyBorder="1" applyAlignment="1"/>
    <xf numFmtId="168" fontId="9" fillId="0" borderId="9" xfId="2" applyNumberFormat="1" applyFont="1" applyFill="1" applyBorder="1" applyAlignment="1"/>
    <xf numFmtId="0" fontId="10" fillId="3" borderId="6" xfId="0" applyFont="1" applyFill="1" applyBorder="1" applyAlignment="1"/>
    <xf numFmtId="37" fontId="10" fillId="3" borderId="7" xfId="0" applyNumberFormat="1" applyFont="1" applyFill="1" applyBorder="1" applyAlignment="1"/>
    <xf numFmtId="169" fontId="10" fillId="3" borderId="7" xfId="0" applyNumberFormat="1" applyFont="1" applyFill="1" applyBorder="1" applyAlignment="1"/>
    <xf numFmtId="37" fontId="10" fillId="3" borderId="19" xfId="0" applyNumberFormat="1" applyFont="1" applyFill="1" applyBorder="1" applyAlignment="1"/>
    <xf numFmtId="37" fontId="10" fillId="3" borderId="20" xfId="0" applyNumberFormat="1" applyFont="1" applyFill="1" applyBorder="1" applyAlignment="1"/>
    <xf numFmtId="37" fontId="10" fillId="3" borderId="21" xfId="0" applyNumberFormat="1" applyFont="1" applyFill="1" applyBorder="1" applyAlignment="1"/>
    <xf numFmtId="168" fontId="10" fillId="2" borderId="27" xfId="0" applyNumberFormat="1" applyFont="1" applyFill="1" applyBorder="1" applyAlignment="1"/>
    <xf numFmtId="171" fontId="9" fillId="0" borderId="8" xfId="1" applyNumberFormat="1" applyFont="1" applyBorder="1" applyAlignment="1"/>
    <xf numFmtId="1" fontId="9" fillId="0" borderId="20" xfId="0" applyNumberFormat="1" applyFont="1" applyBorder="1" applyAlignment="1"/>
    <xf numFmtId="2" fontId="9" fillId="0" borderId="12" xfId="0" applyNumberFormat="1" applyFont="1" applyBorder="1" applyAlignment="1"/>
    <xf numFmtId="0" fontId="9" fillId="12" borderId="0" xfId="0" applyFont="1" applyFill="1" applyAlignment="1"/>
    <xf numFmtId="0" fontId="14" fillId="0" borderId="6" xfId="0" applyFont="1" applyBorder="1" applyAlignment="1"/>
    <xf numFmtId="0" fontId="14" fillId="0" borderId="52" xfId="0" applyFont="1" applyBorder="1" applyAlignment="1"/>
    <xf numFmtId="168" fontId="10" fillId="0" borderId="7" xfId="0" applyNumberFormat="1" applyFont="1" applyBorder="1" applyAlignment="1"/>
    <xf numFmtId="168" fontId="10" fillId="0" borderId="20" xfId="0" applyNumberFormat="1" applyFont="1" applyBorder="1" applyAlignment="1"/>
    <xf numFmtId="0" fontId="9" fillId="0" borderId="16" xfId="0" applyFont="1" applyBorder="1" applyAlignment="1"/>
    <xf numFmtId="0" fontId="12" fillId="0" borderId="12" xfId="0" applyFont="1" applyBorder="1" applyAlignment="1"/>
    <xf numFmtId="168" fontId="9" fillId="0" borderId="15" xfId="0" applyNumberFormat="1" applyFont="1" applyBorder="1" applyAlignment="1"/>
    <xf numFmtId="168" fontId="9" fillId="0" borderId="12" xfId="0" applyNumberFormat="1" applyFont="1" applyBorder="1" applyAlignment="1"/>
    <xf numFmtId="168" fontId="10" fillId="2" borderId="25" xfId="0" applyNumberFormat="1" applyFont="1" applyFill="1" applyBorder="1" applyAlignment="1"/>
    <xf numFmtId="168" fontId="10" fillId="2" borderId="53" xfId="0" applyNumberFormat="1" applyFont="1" applyFill="1" applyBorder="1" applyAlignment="1"/>
    <xf numFmtId="37" fontId="10" fillId="2" borderId="54" xfId="0" applyNumberFormat="1" applyFont="1" applyFill="1" applyBorder="1" applyAlignment="1"/>
    <xf numFmtId="37" fontId="10" fillId="2" borderId="55" xfId="0" applyNumberFormat="1" applyFont="1" applyFill="1" applyBorder="1" applyAlignment="1"/>
    <xf numFmtId="0" fontId="10" fillId="2" borderId="56" xfId="0" applyFont="1" applyFill="1" applyBorder="1" applyAlignment="1"/>
    <xf numFmtId="37" fontId="10" fillId="2" borderId="57" xfId="0" applyNumberFormat="1" applyFont="1" applyFill="1" applyBorder="1" applyAlignment="1"/>
    <xf numFmtId="169" fontId="10" fillId="2" borderId="57" xfId="0" applyNumberFormat="1" applyFont="1" applyFill="1" applyBorder="1" applyAlignment="1"/>
    <xf numFmtId="37" fontId="10" fillId="2" borderId="58" xfId="0" applyNumberFormat="1" applyFont="1" applyFill="1" applyBorder="1" applyAlignment="1"/>
    <xf numFmtId="37" fontId="10" fillId="2" borderId="59" xfId="0" applyNumberFormat="1" applyFont="1" applyFill="1" applyBorder="1" applyAlignment="1"/>
    <xf numFmtId="0" fontId="9" fillId="2" borderId="32" xfId="0" applyFont="1" applyFill="1" applyBorder="1" applyAlignment="1"/>
    <xf numFmtId="164" fontId="9" fillId="0" borderId="0" xfId="0" applyNumberFormat="1" applyFont="1" applyAlignment="1"/>
    <xf numFmtId="0" fontId="12" fillId="0" borderId="60" xfId="0" applyFont="1" applyBorder="1" applyAlignment="1"/>
    <xf numFmtId="0" fontId="14" fillId="0" borderId="11" xfId="0" applyFont="1" applyBorder="1" applyAlignment="1"/>
    <xf numFmtId="37" fontId="9" fillId="4" borderId="0" xfId="0" applyNumberFormat="1" applyFont="1" applyFill="1" applyAlignment="1"/>
    <xf numFmtId="168" fontId="10" fillId="2" borderId="0" xfId="0" applyNumberFormat="1" applyFont="1" applyFill="1" applyAlignment="1"/>
    <xf numFmtId="37" fontId="9" fillId="4" borderId="5" xfId="0" applyNumberFormat="1" applyFont="1" applyFill="1" applyBorder="1" applyAlignment="1"/>
    <xf numFmtId="3" fontId="9" fillId="4" borderId="1" xfId="0" applyNumberFormat="1" applyFont="1" applyFill="1" applyBorder="1" applyAlignment="1"/>
    <xf numFmtId="3" fontId="9" fillId="4" borderId="3" xfId="0" applyNumberFormat="1" applyFont="1" applyFill="1" applyBorder="1" applyAlignment="1"/>
    <xf numFmtId="0" fontId="19" fillId="0" borderId="0" xfId="0" applyFont="1" applyAlignment="1"/>
    <xf numFmtId="37" fontId="18" fillId="0" borderId="0" xfId="0" applyNumberFormat="1" applyFont="1" applyAlignment="1"/>
    <xf numFmtId="168" fontId="9" fillId="0" borderId="0" xfId="2" applyNumberFormat="1" applyFont="1" applyFill="1" applyBorder="1" applyAlignment="1"/>
    <xf numFmtId="168" fontId="10" fillId="0" borderId="26" xfId="0" applyNumberFormat="1" applyFont="1" applyBorder="1" applyAlignment="1"/>
    <xf numFmtId="0" fontId="12" fillId="0" borderId="0" xfId="0" applyFont="1" applyAlignment="1"/>
    <xf numFmtId="168" fontId="9" fillId="0" borderId="8" xfId="2" applyNumberFormat="1" applyFont="1" applyFill="1" applyBorder="1" applyAlignment="1"/>
    <xf numFmtId="0" fontId="10" fillId="0" borderId="10" xfId="0" applyFont="1" applyBorder="1" applyAlignment="1"/>
    <xf numFmtId="0" fontId="20" fillId="0" borderId="0" xfId="0" applyFont="1" applyAlignment="1"/>
    <xf numFmtId="0" fontId="10" fillId="2" borderId="40" xfId="0" applyFont="1" applyFill="1" applyBorder="1" applyAlignment="1"/>
    <xf numFmtId="0" fontId="10" fillId="2" borderId="61" xfId="0" applyFont="1" applyFill="1" applyBorder="1" applyAlignment="1"/>
    <xf numFmtId="0" fontId="10" fillId="2" borderId="62" xfId="0" applyFont="1" applyFill="1" applyBorder="1" applyAlignment="1"/>
    <xf numFmtId="37" fontId="10" fillId="2" borderId="63" xfId="0" applyNumberFormat="1" applyFont="1" applyFill="1" applyBorder="1" applyAlignment="1"/>
    <xf numFmtId="0" fontId="10" fillId="2" borderId="64" xfId="0" applyFont="1" applyFill="1" applyBorder="1" applyAlignment="1"/>
    <xf numFmtId="0" fontId="9" fillId="2" borderId="64" xfId="0" applyFont="1" applyFill="1" applyBorder="1" applyAlignment="1"/>
    <xf numFmtId="0" fontId="9" fillId="2" borderId="62" xfId="0" applyFont="1" applyFill="1" applyBorder="1" applyAlignment="1"/>
    <xf numFmtId="37" fontId="10" fillId="2" borderId="65" xfId="0" applyNumberFormat="1" applyFont="1" applyFill="1" applyBorder="1" applyAlignment="1"/>
    <xf numFmtId="0" fontId="13" fillId="0" borderId="0" xfId="0" applyFont="1" applyAlignment="1"/>
    <xf numFmtId="3" fontId="7" fillId="0" borderId="0" xfId="0" applyNumberFormat="1" applyFont="1" applyAlignment="1"/>
    <xf numFmtId="168" fontId="7" fillId="0" borderId="0" xfId="2" applyNumberFormat="1" applyFont="1" applyAlignment="1"/>
    <xf numFmtId="2" fontId="0" fillId="0" borderId="0" xfId="0" applyNumberFormat="1" applyAlignment="1"/>
    <xf numFmtId="166" fontId="7" fillId="0" borderId="0" xfId="1" applyFont="1" applyAlignment="1"/>
    <xf numFmtId="0" fontId="11" fillId="0" borderId="67" xfId="0" applyFont="1" applyBorder="1" applyAlignment="1"/>
    <xf numFmtId="0" fontId="11" fillId="0" borderId="68" xfId="0" applyFont="1" applyBorder="1" applyAlignment="1"/>
    <xf numFmtId="0" fontId="11" fillId="0" borderId="70" xfId="0" applyFont="1" applyBorder="1" applyAlignment="1"/>
    <xf numFmtId="3" fontId="0" fillId="0" borderId="0" xfId="0" applyNumberFormat="1" applyAlignment="1"/>
    <xf numFmtId="9" fontId="7" fillId="0" borderId="0" xfId="2" applyFont="1" applyAlignment="1"/>
    <xf numFmtId="4" fontId="7" fillId="0" borderId="0" xfId="0" applyNumberFormat="1" applyFont="1" applyAlignment="1"/>
    <xf numFmtId="10" fontId="7" fillId="0" borderId="0" xfId="2" applyNumberFormat="1" applyFont="1" applyAlignment="1"/>
    <xf numFmtId="166" fontId="7" fillId="0" borderId="0" xfId="0" applyNumberFormat="1" applyFont="1" applyAlignment="1"/>
    <xf numFmtId="0" fontId="14" fillId="0" borderId="12" xfId="0" applyFont="1" applyBorder="1" applyAlignment="1"/>
    <xf numFmtId="37" fontId="14" fillId="0" borderId="71" xfId="0" applyNumberFormat="1" applyFont="1" applyBorder="1" applyAlignment="1"/>
    <xf numFmtId="37" fontId="14" fillId="0" borderId="72" xfId="0" applyNumberFormat="1" applyFont="1" applyBorder="1" applyAlignment="1"/>
    <xf numFmtId="37" fontId="14" fillId="0" borderId="12" xfId="0" applyNumberFormat="1" applyFont="1" applyBorder="1" applyAlignment="1"/>
    <xf numFmtId="168" fontId="14" fillId="0" borderId="12" xfId="0" applyNumberFormat="1" applyFont="1" applyBorder="1" applyAlignment="1"/>
    <xf numFmtId="37" fontId="14" fillId="0" borderId="73" xfId="0" applyNumberFormat="1" applyFont="1" applyBorder="1" applyAlignment="1"/>
    <xf numFmtId="168" fontId="14" fillId="0" borderId="17" xfId="0" applyNumberFormat="1" applyFont="1" applyBorder="1" applyAlignment="1"/>
    <xf numFmtId="0" fontId="21" fillId="2" borderId="22" xfId="0" applyFont="1" applyFill="1" applyBorder="1" applyAlignment="1"/>
    <xf numFmtId="0" fontId="21" fillId="2" borderId="12" xfId="0" applyFont="1" applyFill="1" applyBorder="1" applyAlignment="1"/>
    <xf numFmtId="37" fontId="21" fillId="2" borderId="71" xfId="0" applyNumberFormat="1" applyFont="1" applyFill="1" applyBorder="1" applyAlignment="1"/>
    <xf numFmtId="37" fontId="21" fillId="2" borderId="72" xfId="0" applyNumberFormat="1" applyFont="1" applyFill="1" applyBorder="1" applyAlignment="1"/>
    <xf numFmtId="37" fontId="21" fillId="2" borderId="12" xfId="0" applyNumberFormat="1" applyFont="1" applyFill="1" applyBorder="1" applyAlignment="1"/>
    <xf numFmtId="168" fontId="21" fillId="2" borderId="12" xfId="0" applyNumberFormat="1" applyFont="1" applyFill="1" applyBorder="1" applyAlignment="1"/>
    <xf numFmtId="37" fontId="21" fillId="2" borderId="73" xfId="0" applyNumberFormat="1" applyFont="1" applyFill="1" applyBorder="1" applyAlignment="1"/>
    <xf numFmtId="168" fontId="21" fillId="2" borderId="17" xfId="0" applyNumberFormat="1" applyFont="1" applyFill="1" applyBorder="1" applyAlignment="1"/>
    <xf numFmtId="0" fontId="21" fillId="0" borderId="18" xfId="0" applyFont="1" applyBorder="1" applyAlignment="1"/>
    <xf numFmtId="0" fontId="14" fillId="0" borderId="0" xfId="0" applyFont="1" applyAlignment="1"/>
    <xf numFmtId="37" fontId="14" fillId="0" borderId="74" xfId="0" applyNumberFormat="1" applyFont="1" applyBorder="1" applyAlignment="1"/>
    <xf numFmtId="37" fontId="14" fillId="0" borderId="75" xfId="0" applyNumberFormat="1" applyFont="1" applyBorder="1" applyAlignment="1"/>
    <xf numFmtId="37" fontId="14" fillId="0" borderId="0" xfId="0" applyNumberFormat="1" applyFont="1" applyAlignment="1"/>
    <xf numFmtId="168" fontId="14" fillId="0" borderId="0" xfId="0" applyNumberFormat="1" applyFont="1" applyAlignment="1"/>
    <xf numFmtId="37" fontId="14" fillId="0" borderId="76" xfId="0" applyNumberFormat="1" applyFont="1" applyBorder="1" applyAlignment="1"/>
    <xf numFmtId="168" fontId="14" fillId="0" borderId="21" xfId="0" applyNumberFormat="1" applyFont="1" applyBorder="1" applyAlignment="1"/>
    <xf numFmtId="169" fontId="14" fillId="0" borderId="0" xfId="0" applyNumberFormat="1" applyFont="1" applyAlignment="1"/>
    <xf numFmtId="0" fontId="14" fillId="0" borderId="75" xfId="0" applyFont="1" applyBorder="1" applyAlignment="1"/>
    <xf numFmtId="168" fontId="14" fillId="0" borderId="10" xfId="0" applyNumberFormat="1" applyFont="1" applyBorder="1" applyAlignment="1"/>
    <xf numFmtId="169" fontId="14" fillId="0" borderId="12" xfId="0" applyNumberFormat="1" applyFont="1" applyBorder="1" applyAlignment="1"/>
    <xf numFmtId="0" fontId="14" fillId="0" borderId="72" xfId="0" applyFont="1" applyBorder="1" applyAlignment="1"/>
    <xf numFmtId="168" fontId="14" fillId="0" borderId="71" xfId="0" applyNumberFormat="1" applyFont="1" applyBorder="1" applyAlignment="1"/>
    <xf numFmtId="168" fontId="14" fillId="0" borderId="77" xfId="0" applyNumberFormat="1" applyFont="1" applyBorder="1" applyAlignment="1"/>
    <xf numFmtId="168" fontId="22" fillId="0" borderId="10" xfId="0" applyNumberFormat="1" applyFont="1" applyBorder="1" applyAlignment="1"/>
    <xf numFmtId="0" fontId="21" fillId="2" borderId="37" xfId="0" applyFont="1" applyFill="1" applyBorder="1" applyAlignment="1"/>
    <xf numFmtId="0" fontId="21" fillId="2" borderId="38" xfId="0" applyFont="1" applyFill="1" applyBorder="1" applyAlignment="1"/>
    <xf numFmtId="168" fontId="21" fillId="2" borderId="38" xfId="0" applyNumberFormat="1" applyFont="1" applyFill="1" applyBorder="1" applyAlignment="1"/>
    <xf numFmtId="37" fontId="21" fillId="2" borderId="78" xfId="0" applyNumberFormat="1" applyFont="1" applyFill="1" applyBorder="1" applyAlignment="1"/>
    <xf numFmtId="168" fontId="21" fillId="2" borderId="41" xfId="0" applyNumberFormat="1" applyFont="1" applyFill="1" applyBorder="1" applyAlignment="1"/>
    <xf numFmtId="0" fontId="21" fillId="2" borderId="41" xfId="0" applyFont="1" applyFill="1" applyBorder="1" applyAlignment="1"/>
    <xf numFmtId="37" fontId="21" fillId="2" borderId="38" xfId="0" applyNumberFormat="1" applyFont="1" applyFill="1" applyBorder="1" applyAlignment="1"/>
    <xf numFmtId="0" fontId="21" fillId="2" borderId="79" xfId="0" applyFont="1" applyFill="1" applyBorder="1" applyAlignment="1"/>
    <xf numFmtId="166" fontId="20" fillId="0" borderId="0" xfId="1" applyFont="1" applyAlignment="1"/>
    <xf numFmtId="166" fontId="20" fillId="0" borderId="0" xfId="0" applyNumberFormat="1" applyFont="1" applyAlignment="1"/>
    <xf numFmtId="168" fontId="20" fillId="0" borderId="0" xfId="2" applyNumberFormat="1" applyFont="1" applyAlignment="1"/>
    <xf numFmtId="168" fontId="14" fillId="0" borderId="74" xfId="0" applyNumberFormat="1" applyFont="1" applyBorder="1" applyAlignment="1"/>
    <xf numFmtId="166" fontId="0" fillId="0" borderId="0" xfId="0" applyNumberFormat="1" applyAlignment="1"/>
    <xf numFmtId="169" fontId="21" fillId="2" borderId="38" xfId="0" applyNumberFormat="1" applyFont="1" applyFill="1" applyBorder="1" applyAlignment="1"/>
    <xf numFmtId="37" fontId="21" fillId="2" borderId="41" xfId="0" applyNumberFormat="1" applyFont="1" applyFill="1" applyBorder="1" applyAlignment="1"/>
    <xf numFmtId="37" fontId="21" fillId="2" borderId="79" xfId="0" applyNumberFormat="1" applyFont="1" applyFill="1" applyBorder="1" applyAlignment="1"/>
    <xf numFmtId="0" fontId="14" fillId="0" borderId="7" xfId="0" applyFont="1" applyBorder="1" applyAlignment="1"/>
    <xf numFmtId="37" fontId="14" fillId="0" borderId="80" xfId="0" applyNumberFormat="1" applyFont="1" applyBorder="1" applyAlignment="1"/>
    <xf numFmtId="0" fontId="14" fillId="0" borderId="81" xfId="0" applyFont="1" applyBorder="1" applyAlignment="1"/>
    <xf numFmtId="169" fontId="14" fillId="0" borderId="7" xfId="0" applyNumberFormat="1" applyFont="1" applyBorder="1" applyAlignment="1"/>
    <xf numFmtId="37" fontId="14" fillId="0" borderId="7" xfId="0" applyNumberFormat="1" applyFont="1" applyBorder="1" applyAlignment="1"/>
    <xf numFmtId="168" fontId="14" fillId="0" borderId="7" xfId="0" applyNumberFormat="1" applyFont="1" applyBorder="1" applyAlignment="1"/>
    <xf numFmtId="37" fontId="14" fillId="0" borderId="82" xfId="0" applyNumberFormat="1" applyFont="1" applyBorder="1" applyAlignment="1"/>
    <xf numFmtId="0" fontId="14" fillId="0" borderId="51" xfId="0" applyFont="1" applyBorder="1" applyAlignment="1"/>
    <xf numFmtId="37" fontId="14" fillId="0" borderId="83" xfId="0" applyNumberFormat="1" applyFont="1" applyBorder="1" applyAlignment="1"/>
    <xf numFmtId="0" fontId="14" fillId="0" borderId="84" xfId="0" applyFont="1" applyBorder="1" applyAlignment="1"/>
    <xf numFmtId="169" fontId="14" fillId="0" borderId="51" xfId="0" applyNumberFormat="1" applyFont="1" applyBorder="1" applyAlignment="1"/>
    <xf numFmtId="37" fontId="14" fillId="0" borderId="84" xfId="0" applyNumberFormat="1" applyFont="1" applyBorder="1" applyAlignment="1"/>
    <xf numFmtId="37" fontId="14" fillId="0" borderId="51" xfId="0" applyNumberFormat="1" applyFont="1" applyBorder="1" applyAlignment="1"/>
    <xf numFmtId="168" fontId="14" fillId="0" borderId="51" xfId="0" applyNumberFormat="1" applyFont="1" applyBorder="1" applyAlignment="1"/>
    <xf numFmtId="37" fontId="14" fillId="0" borderId="85" xfId="0" applyNumberFormat="1" applyFont="1" applyBorder="1" applyAlignment="1"/>
    <xf numFmtId="168" fontId="14" fillId="0" borderId="86" xfId="0" applyNumberFormat="1" applyFont="1" applyBorder="1" applyAlignment="1"/>
    <xf numFmtId="171" fontId="20" fillId="0" borderId="0" xfId="0" applyNumberFormat="1" applyFont="1" applyAlignment="1"/>
    <xf numFmtId="37" fontId="20" fillId="0" borderId="0" xfId="0" applyNumberFormat="1" applyFont="1" applyAlignment="1"/>
    <xf numFmtId="0" fontId="14" fillId="2" borderId="38" xfId="0" applyFont="1" applyFill="1" applyBorder="1" applyAlignment="1"/>
    <xf numFmtId="168" fontId="21" fillId="2" borderId="42" xfId="0" applyNumberFormat="1" applyFont="1" applyFill="1" applyBorder="1" applyAlignment="1"/>
    <xf numFmtId="168" fontId="21" fillId="0" borderId="0" xfId="0" applyNumberFormat="1" applyFont="1" applyAlignment="1"/>
    <xf numFmtId="0" fontId="21" fillId="0" borderId="0" xfId="0" applyFont="1" applyAlignment="1"/>
    <xf numFmtId="171" fontId="14" fillId="0" borderId="74" xfId="1" applyNumberFormat="1" applyFont="1" applyFill="1" applyBorder="1" applyAlignment="1"/>
    <xf numFmtId="0" fontId="20" fillId="3" borderId="0" xfId="0" applyFont="1" applyFill="1" applyAlignment="1"/>
    <xf numFmtId="168" fontId="14" fillId="0" borderId="80" xfId="0" applyNumberFormat="1" applyFont="1" applyBorder="1" applyAlignment="1"/>
    <xf numFmtId="37" fontId="21" fillId="5" borderId="38" xfId="0" applyNumberFormat="1" applyFont="1" applyFill="1" applyBorder="1" applyAlignment="1"/>
    <xf numFmtId="0" fontId="14" fillId="0" borderId="74" xfId="0" applyFont="1" applyBorder="1" applyAlignment="1"/>
    <xf numFmtId="0" fontId="14" fillId="0" borderId="76" xfId="0" applyFont="1" applyBorder="1" applyAlignment="1"/>
    <xf numFmtId="168" fontId="14" fillId="0" borderId="87" xfId="0" applyNumberFormat="1" applyFont="1" applyBorder="1" applyAlignment="1"/>
    <xf numFmtId="168" fontId="21" fillId="0" borderId="7" xfId="0" applyNumberFormat="1" applyFont="1" applyBorder="1" applyAlignment="1"/>
    <xf numFmtId="0" fontId="21" fillId="0" borderId="7" xfId="0" applyFont="1" applyBorder="1" applyAlignment="1"/>
    <xf numFmtId="168" fontId="21" fillId="0" borderId="81" xfId="0" applyNumberFormat="1" applyFont="1" applyBorder="1" applyAlignment="1"/>
    <xf numFmtId="37" fontId="21" fillId="0" borderId="81" xfId="0" applyNumberFormat="1" applyFont="1" applyBorder="1" applyAlignment="1"/>
    <xf numFmtId="37" fontId="14" fillId="0" borderId="88" xfId="0" applyNumberFormat="1" applyFont="1" applyBorder="1" applyAlignment="1"/>
    <xf numFmtId="37" fontId="21" fillId="0" borderId="7" xfId="0" applyNumberFormat="1" applyFont="1" applyBorder="1" applyAlignment="1"/>
    <xf numFmtId="168" fontId="21" fillId="0" borderId="75" xfId="0" applyNumberFormat="1" applyFont="1" applyBorder="1" applyAlignment="1"/>
    <xf numFmtId="37" fontId="21" fillId="0" borderId="75" xfId="0" applyNumberFormat="1" applyFont="1" applyBorder="1" applyAlignment="1"/>
    <xf numFmtId="37" fontId="14" fillId="0" borderId="89" xfId="0" applyNumberFormat="1" applyFont="1" applyBorder="1" applyAlignment="1"/>
    <xf numFmtId="37" fontId="21" fillId="0" borderId="0" xfId="0" applyNumberFormat="1" applyFont="1" applyAlignment="1"/>
    <xf numFmtId="168" fontId="14" fillId="2" borderId="41" xfId="0" applyNumberFormat="1" applyFont="1" applyFill="1" applyBorder="1" applyAlignment="1"/>
    <xf numFmtId="168" fontId="14" fillId="2" borderId="38" xfId="0" applyNumberFormat="1" applyFont="1" applyFill="1" applyBorder="1" applyAlignment="1"/>
    <xf numFmtId="37" fontId="14" fillId="2" borderId="79" xfId="0" applyNumberFormat="1" applyFont="1" applyFill="1" applyBorder="1" applyAlignment="1"/>
    <xf numFmtId="0" fontId="21" fillId="3" borderId="6" xfId="0" applyFont="1" applyFill="1" applyBorder="1" applyAlignment="1"/>
    <xf numFmtId="0" fontId="21" fillId="3" borderId="7" xfId="0" applyFont="1" applyFill="1" applyBorder="1" applyAlignment="1"/>
    <xf numFmtId="37" fontId="21" fillId="3" borderId="7" xfId="0" applyNumberFormat="1" applyFont="1" applyFill="1" applyBorder="1" applyAlignment="1"/>
    <xf numFmtId="37" fontId="14" fillId="3" borderId="80" xfId="0" applyNumberFormat="1" applyFont="1" applyFill="1" applyBorder="1" applyAlignment="1"/>
    <xf numFmtId="0" fontId="14" fillId="3" borderId="7" xfId="0" applyFont="1" applyFill="1" applyBorder="1" applyAlignment="1"/>
    <xf numFmtId="37" fontId="14" fillId="3" borderId="7" xfId="0" applyNumberFormat="1" applyFont="1" applyFill="1" applyBorder="1" applyAlignment="1"/>
    <xf numFmtId="37" fontId="14" fillId="3" borderId="81" xfId="0" applyNumberFormat="1" applyFont="1" applyFill="1" applyBorder="1" applyAlignment="1"/>
    <xf numFmtId="37" fontId="14" fillId="3" borderId="0" xfId="0" applyNumberFormat="1" applyFont="1" applyFill="1" applyAlignment="1"/>
    <xf numFmtId="168" fontId="14" fillId="3" borderId="0" xfId="0" applyNumberFormat="1" applyFont="1" applyFill="1" applyAlignment="1"/>
    <xf numFmtId="168" fontId="14" fillId="3" borderId="81" xfId="0" applyNumberFormat="1" applyFont="1" applyFill="1" applyBorder="1" applyAlignment="1"/>
    <xf numFmtId="168" fontId="14" fillId="3" borderId="7" xfId="0" applyNumberFormat="1" applyFont="1" applyFill="1" applyBorder="1" applyAlignment="1"/>
    <xf numFmtId="37" fontId="14" fillId="3" borderId="82" xfId="0" applyNumberFormat="1" applyFont="1" applyFill="1" applyBorder="1" applyAlignment="1"/>
    <xf numFmtId="168" fontId="14" fillId="0" borderId="48" xfId="0" applyNumberFormat="1" applyFont="1" applyBorder="1" applyAlignment="1"/>
    <xf numFmtId="0" fontId="21" fillId="2" borderId="61" xfId="0" applyFont="1" applyFill="1" applyBorder="1" applyAlignment="1"/>
    <xf numFmtId="0" fontId="21" fillId="2" borderId="62" xfId="0" applyFont="1" applyFill="1" applyBorder="1" applyAlignment="1"/>
    <xf numFmtId="168" fontId="21" fillId="2" borderId="62" xfId="0" applyNumberFormat="1" applyFont="1" applyFill="1" applyBorder="1" applyAlignment="1"/>
    <xf numFmtId="37" fontId="21" fillId="2" borderId="90" xfId="0" applyNumberFormat="1" applyFont="1" applyFill="1" applyBorder="1" applyAlignment="1"/>
    <xf numFmtId="37" fontId="21" fillId="2" borderId="62" xfId="0" applyNumberFormat="1" applyFont="1" applyFill="1" applyBorder="1" applyAlignment="1"/>
    <xf numFmtId="37" fontId="21" fillId="2" borderId="91" xfId="0" applyNumberFormat="1" applyFont="1" applyFill="1" applyBorder="1" applyAlignment="1"/>
    <xf numFmtId="168" fontId="21" fillId="2" borderId="92" xfId="0" applyNumberFormat="1" applyFont="1" applyFill="1" applyBorder="1" applyAlignment="1"/>
    <xf numFmtId="37" fontId="21" fillId="2" borderId="93" xfId="0" applyNumberFormat="1" applyFont="1" applyFill="1" applyBorder="1" applyAlignment="1"/>
    <xf numFmtId="168" fontId="21" fillId="2" borderId="49" xfId="0" applyNumberFormat="1" applyFont="1" applyFill="1" applyBorder="1" applyAlignment="1"/>
    <xf numFmtId="39" fontId="14" fillId="0" borderId="0" xfId="0" applyNumberFormat="1" applyFont="1" applyAlignment="1"/>
    <xf numFmtId="0" fontId="21" fillId="2" borderId="94" xfId="0" applyFont="1" applyFill="1" applyBorder="1" applyAlignment="1"/>
    <xf numFmtId="0" fontId="21" fillId="2" borderId="95" xfId="0" applyFont="1" applyFill="1" applyBorder="1" applyAlignment="1"/>
    <xf numFmtId="168" fontId="21" fillId="2" borderId="95" xfId="0" applyNumberFormat="1" applyFont="1" applyFill="1" applyBorder="1" applyAlignment="1"/>
    <xf numFmtId="37" fontId="21" fillId="2" borderId="96" xfId="0" applyNumberFormat="1" applyFont="1" applyFill="1" applyBorder="1" applyAlignment="1"/>
    <xf numFmtId="37" fontId="21" fillId="2" borderId="95" xfId="0" applyNumberFormat="1" applyFont="1" applyFill="1" applyBorder="1" applyAlignment="1"/>
    <xf numFmtId="37" fontId="21" fillId="2" borderId="97" xfId="0" applyNumberFormat="1" applyFont="1" applyFill="1" applyBorder="1" applyAlignment="1"/>
    <xf numFmtId="37" fontId="21" fillId="2" borderId="98" xfId="0" applyNumberFormat="1" applyFont="1" applyFill="1" applyBorder="1" applyAlignment="1"/>
    <xf numFmtId="37" fontId="21" fillId="2" borderId="67" xfId="0" applyNumberFormat="1" applyFont="1" applyFill="1" applyBorder="1" applyAlignment="1"/>
    <xf numFmtId="168" fontId="21" fillId="2" borderId="70" xfId="0" applyNumberFormat="1" applyFont="1" applyFill="1" applyBorder="1" applyAlignment="1"/>
    <xf numFmtId="0" fontId="20" fillId="0" borderId="18" xfId="0" applyFont="1" applyBorder="1" applyAlignment="1"/>
    <xf numFmtId="37" fontId="20" fillId="0" borderId="74" xfId="0" applyNumberFormat="1" applyFont="1" applyBorder="1" applyAlignment="1"/>
    <xf numFmtId="0" fontId="20" fillId="0" borderId="74" xfId="0" applyFont="1" applyBorder="1" applyAlignment="1"/>
    <xf numFmtId="0" fontId="20" fillId="0" borderId="89" xfId="0" applyFont="1" applyBorder="1" applyAlignment="1"/>
    <xf numFmtId="0" fontId="20" fillId="0" borderId="76" xfId="0" applyFont="1" applyBorder="1" applyAlignment="1"/>
    <xf numFmtId="0" fontId="20" fillId="0" borderId="10" xfId="0" applyFont="1" applyBorder="1" applyAlignment="1"/>
    <xf numFmtId="0" fontId="7" fillId="0" borderId="76" xfId="0" applyFont="1" applyBorder="1" applyAlignment="1"/>
    <xf numFmtId="168" fontId="21" fillId="2" borderId="65" xfId="0" applyNumberFormat="1" applyFont="1" applyFill="1" applyBorder="1" applyAlignment="1"/>
    <xf numFmtId="0" fontId="23" fillId="0" borderId="0" xfId="0" applyFont="1" applyAlignment="1"/>
    <xf numFmtId="37" fontId="23" fillId="0" borderId="0" xfId="0" applyNumberFormat="1" applyFont="1" applyAlignment="1"/>
    <xf numFmtId="37" fontId="24" fillId="0" borderId="0" xfId="0" applyNumberFormat="1" applyFont="1" applyAlignment="1"/>
    <xf numFmtId="0" fontId="23" fillId="3" borderId="0" xfId="0" applyFont="1" applyFill="1" applyAlignment="1"/>
    <xf numFmtId="37" fontId="20" fillId="3" borderId="0" xfId="0" applyNumberFormat="1" applyFont="1" applyFill="1" applyAlignment="1"/>
    <xf numFmtId="0" fontId="25" fillId="3" borderId="0" xfId="0" applyFont="1" applyFill="1" applyAlignment="1"/>
    <xf numFmtId="37" fontId="23" fillId="3" borderId="0" xfId="0" applyNumberFormat="1" applyFont="1" applyFill="1" applyAlignment="1"/>
    <xf numFmtId="0" fontId="27" fillId="3" borderId="0" xfId="0" applyFont="1" applyFill="1" applyAlignment="1"/>
    <xf numFmtId="168" fontId="20" fillId="3" borderId="0" xfId="0" applyNumberFormat="1" applyFont="1" applyFill="1" applyAlignment="1"/>
    <xf numFmtId="9" fontId="20" fillId="3" borderId="0" xfId="0" applyNumberFormat="1" applyFont="1" applyFill="1" applyAlignment="1"/>
    <xf numFmtId="168" fontId="23" fillId="3" borderId="0" xfId="0" applyNumberFormat="1" applyFont="1" applyFill="1" applyAlignment="1"/>
    <xf numFmtId="0" fontId="28" fillId="3" borderId="0" xfId="0" applyFont="1" applyFill="1" applyAlignment="1"/>
    <xf numFmtId="0" fontId="30" fillId="3" borderId="0" xfId="0" applyFont="1" applyFill="1" applyAlignment="1"/>
    <xf numFmtId="37" fontId="14" fillId="0" borderId="0" xfId="0" applyNumberFormat="1" applyFont="1" applyFill="1"/>
    <xf numFmtId="1" fontId="9" fillId="0" borderId="0" xfId="0" applyNumberFormat="1" applyFont="1" applyFill="1" applyAlignment="1">
      <alignment horizontal="center"/>
    </xf>
    <xf numFmtId="37" fontId="9" fillId="0" borderId="0" xfId="0" applyNumberFormat="1" applyFont="1" applyFill="1"/>
    <xf numFmtId="1" fontId="9" fillId="0" borderId="9" xfId="0" applyNumberFormat="1" applyFont="1" applyFill="1" applyBorder="1" applyAlignment="1">
      <alignment horizontal="center"/>
    </xf>
    <xf numFmtId="0" fontId="41" fillId="13" borderId="0" xfId="0" applyFont="1" applyFill="1" applyAlignment="1">
      <alignment horizontal="center" vertical="center"/>
    </xf>
    <xf numFmtId="0" fontId="42" fillId="13" borderId="0" xfId="0" applyFont="1" applyFill="1"/>
    <xf numFmtId="0" fontId="42" fillId="13" borderId="0" xfId="0" applyFont="1" applyFill="1" applyAlignment="1">
      <alignment horizontal="right"/>
    </xf>
    <xf numFmtId="0" fontId="33" fillId="10" borderId="99" xfId="0" applyFont="1" applyFill="1" applyBorder="1" applyAlignment="1">
      <alignment horizontal="center" vertical="center"/>
    </xf>
    <xf numFmtId="0" fontId="33" fillId="11" borderId="99" xfId="0" applyFont="1" applyFill="1" applyBorder="1" applyAlignment="1">
      <alignment horizontal="center" vertical="center"/>
    </xf>
    <xf numFmtId="0" fontId="33" fillId="8" borderId="99" xfId="0" applyFont="1" applyFill="1" applyBorder="1" applyAlignment="1">
      <alignment horizontal="center" vertical="center"/>
    </xf>
    <xf numFmtId="0" fontId="33" fillId="7" borderId="99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1" fillId="0" borderId="5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1" xfId="0" applyFont="1" applyBorder="1" applyAlignment="1">
      <alignment horizontal="center"/>
    </xf>
    <xf numFmtId="0" fontId="10" fillId="0" borderId="69" xfId="0" applyFont="1" applyBorder="1" applyAlignment="1">
      <alignment horizontal="center" vertical="center"/>
    </xf>
    <xf numFmtId="0" fontId="11" fillId="0" borderId="67" xfId="0" applyFont="1" applyBorder="1"/>
    <xf numFmtId="0" fontId="11" fillId="0" borderId="70" xfId="0" applyFont="1" applyBorder="1"/>
    <xf numFmtId="0" fontId="10" fillId="0" borderId="67" xfId="0" applyFont="1" applyBorder="1" applyAlignment="1">
      <alignment horizontal="center" vertical="center"/>
    </xf>
    <xf numFmtId="0" fontId="11" fillId="0" borderId="68" xfId="0" applyFont="1" applyBorder="1"/>
  </cellXfs>
  <cellStyles count="17">
    <cellStyle name="Milliers" xfId="1" builtinId="3"/>
    <cellStyle name="Milliers 2" xfId="7" xr:uid="{00000000-0005-0000-0000-000001000000}"/>
    <cellStyle name="Milliers 3" xfId="13" xr:uid="{2971D271-07C3-42EA-AF54-CA19A237EB8E}"/>
    <cellStyle name="Monétaire 2" xfId="4" xr:uid="{00000000-0005-0000-0000-000002000000}"/>
    <cellStyle name="Monétaire 3" xfId="9" xr:uid="{00000000-0005-0000-0000-000003000000}"/>
    <cellStyle name="Normal" xfId="0" builtinId="0"/>
    <cellStyle name="Normal 12" xfId="16" xr:uid="{38AAD80B-D2B1-4EDC-AF3A-6BEE5BDF1226}"/>
    <cellStyle name="Normal 2" xfId="3" xr:uid="{00000000-0005-0000-0000-000005000000}"/>
    <cellStyle name="Normal 3" xfId="5" xr:uid="{00000000-0005-0000-0000-000006000000}"/>
    <cellStyle name="Normal 4" xfId="6" xr:uid="{00000000-0005-0000-0000-000007000000}"/>
    <cellStyle name="Normal 5" xfId="11" xr:uid="{51C4BCB6-FF3C-47B5-9E50-8775982480A2}"/>
    <cellStyle name="Normal 6" xfId="12" xr:uid="{C658EC4B-DAA5-46C8-9908-7D394852AE7F}"/>
    <cellStyle name="Normal 7" xfId="10" xr:uid="{22EAD058-5ED6-4E84-8564-A06058AFEAAD}"/>
    <cellStyle name="Normal 8" xfId="14" xr:uid="{E59814D8-4C8E-4B6D-8DEB-9295B6A31C96}"/>
    <cellStyle name="Pourcentage" xfId="2" builtinId="5"/>
    <cellStyle name="Pourcentage 2" xfId="8" xr:uid="{00000000-0005-0000-0000-000009000000}"/>
    <cellStyle name="Pourcentage 3" xfId="15" xr:uid="{B09CCB1C-0232-46FA-AAFA-AA26EA7AA4F5}"/>
  </cellStyles>
  <dxfs count="1344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2:Q13"/>
  <sheetViews>
    <sheetView workbookViewId="0">
      <selection activeCell="C4" sqref="C4"/>
    </sheetView>
  </sheetViews>
  <sheetFormatPr baseColWidth="10" defaultRowHeight="13.8"/>
  <cols>
    <col min="1" max="1" width="14.8984375" customWidth="1"/>
    <col min="2" max="2" width="15.5" bestFit="1" customWidth="1"/>
    <col min="3" max="3" width="12.09765625" customWidth="1"/>
    <col min="4" max="5" width="11.09765625" customWidth="1"/>
    <col min="6" max="6" width="11.5" bestFit="1" customWidth="1"/>
    <col min="7" max="7" width="12.59765625" customWidth="1"/>
    <col min="8" max="9" width="11" customWidth="1"/>
    <col min="10" max="10" width="11.5" bestFit="1" customWidth="1"/>
    <col min="11" max="11" width="11.69921875" customWidth="1"/>
    <col min="12" max="12" width="11" customWidth="1"/>
    <col min="14" max="14" width="11.5" bestFit="1" customWidth="1"/>
  </cols>
  <sheetData>
    <row r="2" spans="1:17" ht="14.4">
      <c r="C2" s="425"/>
    </row>
    <row r="3" spans="1:17" ht="14.4">
      <c r="B3" s="482" t="s">
        <v>226</v>
      </c>
      <c r="C3" s="426" t="s">
        <v>227</v>
      </c>
      <c r="P3" s="485"/>
      <c r="Q3" s="486"/>
    </row>
    <row r="5" spans="1:17" s="457" customFormat="1" ht="16.5" customHeight="1"/>
    <row r="6" spans="1:17" s="457" customFormat="1" ht="16.5" customHeight="1">
      <c r="B6" s="890" t="s">
        <v>208</v>
      </c>
      <c r="C6" s="890"/>
      <c r="D6" s="890"/>
      <c r="E6" s="890"/>
      <c r="F6" s="891" t="s">
        <v>209</v>
      </c>
      <c r="G6" s="891"/>
      <c r="H6" s="891"/>
      <c r="I6" s="891"/>
      <c r="J6" s="892" t="s">
        <v>210</v>
      </c>
      <c r="K6" s="892"/>
      <c r="L6" s="892"/>
      <c r="M6" s="892"/>
      <c r="N6" s="893" t="s">
        <v>211</v>
      </c>
      <c r="O6" s="893"/>
      <c r="P6" s="893"/>
      <c r="Q6" s="893"/>
    </row>
    <row r="7" spans="1:17" s="457" customFormat="1" ht="16.5" customHeight="1">
      <c r="A7"/>
      <c r="B7" s="464" t="s">
        <v>201</v>
      </c>
      <c r="C7" s="464" t="s">
        <v>202</v>
      </c>
      <c r="D7" s="464" t="s">
        <v>203</v>
      </c>
      <c r="E7" s="464" t="s">
        <v>204</v>
      </c>
      <c r="F7" s="465" t="s">
        <v>201</v>
      </c>
      <c r="G7" s="465" t="s">
        <v>202</v>
      </c>
      <c r="H7" s="465" t="s">
        <v>203</v>
      </c>
      <c r="I7" s="465" t="s">
        <v>204</v>
      </c>
      <c r="J7" s="481" t="s">
        <v>201</v>
      </c>
      <c r="K7" s="481" t="s">
        <v>202</v>
      </c>
      <c r="L7" s="481" t="s">
        <v>203</v>
      </c>
      <c r="M7" s="481" t="s">
        <v>204</v>
      </c>
      <c r="N7" s="466" t="s">
        <v>201</v>
      </c>
      <c r="O7" s="466" t="s">
        <v>202</v>
      </c>
      <c r="P7" s="466" t="s">
        <v>203</v>
      </c>
      <c r="Q7" s="466" t="s">
        <v>204</v>
      </c>
    </row>
    <row r="8" spans="1:17" s="457" customFormat="1" ht="16.5" customHeight="1">
      <c r="A8" s="456" t="s">
        <v>207</v>
      </c>
      <c r="B8" s="467">
        <f>+B9-B10</f>
        <v>0</v>
      </c>
      <c r="C8" s="467">
        <f t="shared" ref="C8:F8" si="0">+C9-C10</f>
        <v>0</v>
      </c>
      <c r="D8" s="467">
        <f t="shared" si="0"/>
        <v>0</v>
      </c>
      <c r="E8" s="467">
        <f t="shared" si="0"/>
        <v>0</v>
      </c>
      <c r="F8" s="467">
        <f t="shared" si="0"/>
        <v>0</v>
      </c>
      <c r="G8" s="467">
        <f t="shared" ref="G8" si="1">+G9-G10</f>
        <v>0</v>
      </c>
      <c r="H8" s="467">
        <f t="shared" ref="H8" si="2">+H9-H10</f>
        <v>0</v>
      </c>
      <c r="I8" s="467">
        <f t="shared" ref="I8:J8" si="3">+I9-I10</f>
        <v>0</v>
      </c>
      <c r="J8" s="477">
        <f t="shared" si="3"/>
        <v>0</v>
      </c>
      <c r="K8" s="477">
        <f t="shared" ref="K8" si="4">+K9-K10</f>
        <v>0</v>
      </c>
      <c r="L8" s="477">
        <f t="shared" ref="L8" si="5">+L9-L10</f>
        <v>0</v>
      </c>
      <c r="M8" s="477">
        <f t="shared" ref="M8:N8" si="6">+M9-M10</f>
        <v>0</v>
      </c>
      <c r="N8" s="467">
        <f t="shared" si="6"/>
        <v>0</v>
      </c>
      <c r="O8" s="467">
        <f t="shared" ref="O8" si="7">+O9-O10</f>
        <v>0</v>
      </c>
      <c r="P8" s="467">
        <f t="shared" ref="P8" si="8">+P9-P10</f>
        <v>0</v>
      </c>
      <c r="Q8" s="467">
        <f t="shared" ref="Q8" si="9">+Q9-Q10</f>
        <v>0</v>
      </c>
    </row>
    <row r="9" spans="1:17" s="457" customFormat="1" ht="16.5" customHeight="1">
      <c r="A9" s="458" t="s">
        <v>205</v>
      </c>
      <c r="B9" s="460">
        <f>+Conso!$Z$405</f>
        <v>16697117.513254795</v>
      </c>
      <c r="C9" s="460">
        <f>+Conso!$Z$406</f>
        <v>2208574.0775203086</v>
      </c>
      <c r="D9" s="460">
        <f>+Conso!$Z$482</f>
        <v>799210.11968449259</v>
      </c>
      <c r="E9" s="460">
        <f>+Conso!$Z$497</f>
        <v>775508.73968449258</v>
      </c>
      <c r="F9" s="460">
        <f>+Conso!$AC$405</f>
        <v>16697117.513254795</v>
      </c>
      <c r="G9" s="460">
        <f>+Conso!$AC$406</f>
        <v>2208574.0775203086</v>
      </c>
      <c r="H9" s="460">
        <f>+Conso!$AC$482</f>
        <v>799210.11968449259</v>
      </c>
      <c r="I9" s="460">
        <f>+Conso!$AC$497</f>
        <v>775508.73968449258</v>
      </c>
      <c r="J9" s="460">
        <f>+Conso!$AF$405</f>
        <v>14021676.639999999</v>
      </c>
      <c r="K9" s="460">
        <f>+Conso!$AF$406</f>
        <v>2196862.6999999997</v>
      </c>
      <c r="L9" s="460">
        <f>+Conso!$AF$482</f>
        <v>639346.23999999964</v>
      </c>
      <c r="M9" s="460">
        <f>+Conso!$AF$497</f>
        <v>625122.36999999965</v>
      </c>
      <c r="N9" s="460">
        <f>+Conso!$AL$405</f>
        <v>17043862.639999997</v>
      </c>
      <c r="O9" s="460">
        <f>+Conso!$AL$406</f>
        <v>2012370.44</v>
      </c>
      <c r="P9" s="460">
        <f>+Conso!$AL$482</f>
        <v>730595.95000000019</v>
      </c>
      <c r="Q9" s="460">
        <f>+Conso!$AL$497</f>
        <v>749828.63000000012</v>
      </c>
    </row>
    <row r="10" spans="1:17" s="457" customFormat="1" ht="16.5" customHeight="1">
      <c r="A10" s="459" t="s">
        <v>206</v>
      </c>
      <c r="B10" s="476">
        <f t="shared" ref="B10:Q10" si="10">+SUM(B11:B13)</f>
        <v>16697117.513254797</v>
      </c>
      <c r="C10" s="476">
        <f t="shared" si="10"/>
        <v>2208574.077520309</v>
      </c>
      <c r="D10" s="476">
        <f t="shared" si="10"/>
        <v>799210.11968449294</v>
      </c>
      <c r="E10" s="476">
        <f t="shared" si="10"/>
        <v>775508.73968449293</v>
      </c>
      <c r="F10" s="476">
        <f t="shared" si="10"/>
        <v>16697117.513254797</v>
      </c>
      <c r="G10" s="476">
        <f t="shared" si="10"/>
        <v>2208574.077520309</v>
      </c>
      <c r="H10" s="476">
        <f t="shared" si="10"/>
        <v>799210.11968449294</v>
      </c>
      <c r="I10" s="476">
        <f t="shared" si="10"/>
        <v>775508.73968449293</v>
      </c>
      <c r="J10" s="476">
        <f t="shared" si="10"/>
        <v>14021676.640000001</v>
      </c>
      <c r="K10" s="476">
        <f t="shared" si="10"/>
        <v>2196862.7000000002</v>
      </c>
      <c r="L10" s="476">
        <f t="shared" si="10"/>
        <v>639346.24000000011</v>
      </c>
      <c r="M10" s="476">
        <f t="shared" si="10"/>
        <v>625122.37000000011</v>
      </c>
      <c r="N10" s="476">
        <f t="shared" si="10"/>
        <v>17043862.639999997</v>
      </c>
      <c r="O10" s="476">
        <f t="shared" si="10"/>
        <v>2012370.44</v>
      </c>
      <c r="P10" s="476">
        <f t="shared" si="10"/>
        <v>730595.95000000019</v>
      </c>
      <c r="Q10" s="476">
        <f t="shared" si="10"/>
        <v>749828.63000000012</v>
      </c>
    </row>
    <row r="11" spans="1:17" s="457" customFormat="1" ht="16.5" customHeight="1">
      <c r="A11" s="469" t="s">
        <v>219</v>
      </c>
      <c r="B11" s="461">
        <f>+'VW 2022-04'!$Z$405</f>
        <v>5458038.9390158495</v>
      </c>
      <c r="C11" s="461">
        <f>+'VW 2022-04'!$Z$406</f>
        <v>748131.54660489713</v>
      </c>
      <c r="D11" s="461">
        <f>+'VW 2022-04'!$Z$482</f>
        <v>268136.19810996123</v>
      </c>
      <c r="E11" s="461">
        <f>+'VW 2022-04'!$Z$497</f>
        <v>260233.45810996124</v>
      </c>
      <c r="F11" s="461">
        <f>+'VW 2022-04'!$AC$405</f>
        <v>5458038.9390158495</v>
      </c>
      <c r="G11" s="461">
        <f>+'VW 2022-04'!$AC$406</f>
        <v>748131.54660489713</v>
      </c>
      <c r="H11" s="461">
        <f>+'VW 2022-04'!$AC$482</f>
        <v>268136.19810996123</v>
      </c>
      <c r="I11" s="461">
        <f>+'VW 2022-04'!$AC$497</f>
        <v>260233.45810996124</v>
      </c>
      <c r="J11" s="478">
        <f>+'VW 2022-04'!$AF$405</f>
        <v>3776991.0300000003</v>
      </c>
      <c r="K11" s="478">
        <f>+'VW 2022-04'!$AF$406</f>
        <v>649075.43999999994</v>
      </c>
      <c r="L11" s="478">
        <f>+'VW 2022-04'!$AF$482</f>
        <v>152748.41999999998</v>
      </c>
      <c r="M11" s="478">
        <f>+'VW 2022-04'!$AF$497</f>
        <v>148007.12999999998</v>
      </c>
      <c r="N11" s="461">
        <f>+'VW 2022-04'!$AL$405</f>
        <v>5242313.2799999993</v>
      </c>
      <c r="O11" s="461">
        <f>+'VW 2022-04'!$AL$406</f>
        <v>640912.73999999987</v>
      </c>
      <c r="P11" s="461">
        <f>+'VW 2022-04'!$AL$482</f>
        <v>194923.30999999994</v>
      </c>
      <c r="Q11" s="461">
        <f>+'VW 2022-04'!$AL$497</f>
        <v>187231.24999999994</v>
      </c>
    </row>
    <row r="12" spans="1:17" s="457" customFormat="1" ht="16.5" customHeight="1">
      <c r="A12" s="470" t="s">
        <v>220</v>
      </c>
      <c r="B12" s="462">
        <f>+'VW 2022-05'!$Z$405</f>
        <v>6023595.7978889085</v>
      </c>
      <c r="C12" s="462">
        <f>+'VW 2022-05'!$Z$406</f>
        <v>766209.10586005112</v>
      </c>
      <c r="D12" s="462">
        <f>+'VW 2022-05'!$Z$482</f>
        <v>291103.21514690842</v>
      </c>
      <c r="E12" s="462">
        <f>+'VW 2022-05'!$Z$497</f>
        <v>283199.84514690842</v>
      </c>
      <c r="F12" s="462">
        <f>+'VW 2022-05'!$AC$405</f>
        <v>6023595.7978889085</v>
      </c>
      <c r="G12" s="462">
        <f>+'VW 2022-05'!$AC$406</f>
        <v>766209.10586005112</v>
      </c>
      <c r="H12" s="462">
        <f>+'VW 2022-05'!$AC$482</f>
        <v>291103.21514690842</v>
      </c>
      <c r="I12" s="462">
        <f>+'VW 2022-05'!$AC$497</f>
        <v>283199.84514690842</v>
      </c>
      <c r="J12" s="479">
        <f>+'VW 2022-05'!$AF$405</f>
        <v>4721471.7200000007</v>
      </c>
      <c r="K12" s="479">
        <f>+'VW 2022-05'!$AF$406</f>
        <v>749925.49</v>
      </c>
      <c r="L12" s="479">
        <f>+'VW 2022-05'!$AF$482</f>
        <v>218438.18999999997</v>
      </c>
      <c r="M12" s="479">
        <f>+'VW 2022-05'!$AF$497</f>
        <v>213696.89999999997</v>
      </c>
      <c r="N12" s="462">
        <f>+'VW 2022-05'!$AL$405</f>
        <v>5900774.6799999988</v>
      </c>
      <c r="O12" s="462">
        <f>+'VW 2022-05'!$AL$406</f>
        <v>685728.85000000009</v>
      </c>
      <c r="P12" s="462">
        <f>+'VW 2022-05'!$AL$482</f>
        <v>267836.32000000012</v>
      </c>
      <c r="Q12" s="462">
        <f>+'VW 2022-05'!$AL$497</f>
        <v>281298.69000000012</v>
      </c>
    </row>
    <row r="13" spans="1:17">
      <c r="A13" s="471" t="s">
        <v>221</v>
      </c>
      <c r="B13" s="463">
        <f>+'VW 2022-06'!$Z$405</f>
        <v>5215482.7763500381</v>
      </c>
      <c r="C13" s="463">
        <f>+'VW 2022-06'!$Z$406</f>
        <v>694233.42505536077</v>
      </c>
      <c r="D13" s="463">
        <f>+'VW 2022-06'!$Z$482</f>
        <v>239970.70642762328</v>
      </c>
      <c r="E13" s="463">
        <f>+'VW 2022-06'!$Z$497</f>
        <v>232075.4364276233</v>
      </c>
      <c r="F13" s="463">
        <f>+'VW 2022-06'!$AC$405</f>
        <v>5215482.7763500381</v>
      </c>
      <c r="G13" s="463">
        <f>+'VW 2022-06'!$AC$406</f>
        <v>694233.42505536077</v>
      </c>
      <c r="H13" s="463">
        <f>+'VW 2022-06'!$AC$482</f>
        <v>239970.70642762328</v>
      </c>
      <c r="I13" s="463">
        <f>+'VW 2022-06'!$AC$497</f>
        <v>232075.4364276233</v>
      </c>
      <c r="J13" s="480">
        <f>+'VW 2022-06'!$AF$405</f>
        <v>5523213.8900000006</v>
      </c>
      <c r="K13" s="480">
        <f>+'VW 2022-06'!$AF$406</f>
        <v>797861.77000000014</v>
      </c>
      <c r="L13" s="480">
        <f>+'VW 2022-06'!$AF$482</f>
        <v>268159.63000000012</v>
      </c>
      <c r="M13" s="480">
        <f>+'VW 2022-06'!$AF$497</f>
        <v>263418.34000000014</v>
      </c>
      <c r="N13" s="463">
        <f>+'VW 2022-06'!$AL$405</f>
        <v>5900774.6799999988</v>
      </c>
      <c r="O13" s="463">
        <f>+'VW 2022-06'!$AL$406</f>
        <v>685728.85000000009</v>
      </c>
      <c r="P13" s="463">
        <f>+'VW 2022-06'!$AL$482</f>
        <v>267836.32000000012</v>
      </c>
      <c r="Q13" s="463">
        <f>+'VW 2022-06'!$AL$497</f>
        <v>281298.69000000012</v>
      </c>
    </row>
  </sheetData>
  <mergeCells count="4">
    <mergeCell ref="B6:E6"/>
    <mergeCell ref="F6:I6"/>
    <mergeCell ref="J6:M6"/>
    <mergeCell ref="N6:Q6"/>
  </mergeCells>
  <phoneticPr fontId="39" type="noConversion"/>
  <dataValidations count="1">
    <dataValidation type="list" allowBlank="1" showInputMessage="1" showErrorMessage="1" sqref="C2" xr:uid="{00000000-0002-0000-02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pageSetUpPr fitToPage="1"/>
  </sheetPr>
  <dimension ref="A1:BJ697"/>
  <sheetViews>
    <sheetView tabSelected="1" topLeftCell="C1" zoomScale="70" zoomScaleNormal="70" workbookViewId="0">
      <pane xSplit="1" topLeftCell="D1" activePane="topRight" state="frozen"/>
      <selection activeCell="C1" sqref="C1"/>
      <selection pane="topRight" activeCell="D1" sqref="D1"/>
    </sheetView>
  </sheetViews>
  <sheetFormatPr baseColWidth="10" defaultColWidth="12.59765625" defaultRowHeight="15" customHeight="1"/>
  <cols>
    <col min="1" max="1" width="24.09765625" hidden="1" customWidth="1"/>
    <col min="2" max="2" width="21.59765625" hidden="1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9.8984375" customWidth="1"/>
    <col min="23" max="23" width="12.8984375" customWidth="1"/>
    <col min="24" max="24" width="13.3984375" customWidth="1"/>
    <col min="25" max="25" width="10.5" customWidth="1"/>
    <col min="26" max="26" width="17.3984375" customWidth="1"/>
    <col min="27" max="27" width="10.8984375" customWidth="1"/>
    <col min="28" max="28" width="10" customWidth="1"/>
    <col min="29" max="29" width="17.5" customWidth="1"/>
    <col min="30" max="30" width="16.3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" customWidth="1"/>
    <col min="43" max="43" width="24" customWidth="1"/>
    <col min="44" max="62" width="11" customWidth="1"/>
  </cols>
  <sheetData>
    <row r="1" spans="1:40" ht="35.4">
      <c r="B1" s="1"/>
      <c r="C1" s="1" t="s">
        <v>195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887"/>
      <c r="Q1" s="888"/>
      <c r="R1" s="887"/>
      <c r="S1" s="889" t="str">
        <f>CONCATENATE("Réalisé"," ",Paramètre!$C$2," ",Paramètre!$C$3)</f>
        <v>Réalisé  Volks T2 2022</v>
      </c>
      <c r="T1" s="2" t="s">
        <v>1</v>
      </c>
      <c r="U1" s="6"/>
      <c r="V1" s="475" t="s">
        <v>208</v>
      </c>
      <c r="W1" s="475" t="s">
        <v>212</v>
      </c>
      <c r="X1" s="475" t="s">
        <v>210</v>
      </c>
      <c r="Y1" s="475" t="s">
        <v>213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10"/>
      <c r="K2" s="9"/>
      <c r="L2" s="10"/>
      <c r="M2" s="11"/>
      <c r="N2" s="11"/>
      <c r="O2" s="9"/>
      <c r="P2" s="9"/>
      <c r="Q2" s="9"/>
      <c r="R2" s="11"/>
      <c r="S2" s="11"/>
      <c r="T2" s="11"/>
      <c r="U2" s="11"/>
    </row>
    <row r="3" spans="1:40" ht="21.6" thickTop="1">
      <c r="B3" s="12"/>
      <c r="C3" s="13"/>
      <c r="D3" s="896" t="s">
        <v>5</v>
      </c>
      <c r="E3" s="897"/>
      <c r="F3" s="898"/>
      <c r="G3" s="894" t="s">
        <v>6</v>
      </c>
      <c r="H3" s="897"/>
      <c r="I3" s="898"/>
      <c r="J3" s="894" t="s">
        <v>7</v>
      </c>
      <c r="K3" s="897"/>
      <c r="L3" s="898"/>
      <c r="M3" s="894" t="s">
        <v>8</v>
      </c>
      <c r="N3" s="898"/>
      <c r="O3" s="896" t="s">
        <v>9</v>
      </c>
      <c r="P3" s="897"/>
      <c r="Q3" s="898"/>
      <c r="R3" s="894" t="s">
        <v>10</v>
      </c>
      <c r="S3" s="895"/>
      <c r="T3" s="14"/>
      <c r="U3" s="14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35.4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474">
        <f>+SUM(V5:V398)</f>
        <v>0</v>
      </c>
      <c r="W4" s="474">
        <f>+SUM(W5:W398)</f>
        <v>0</v>
      </c>
      <c r="X4" s="473">
        <f t="shared" ref="X4:Y4" si="0">+SUM(X5:X398)</f>
        <v>0</v>
      </c>
      <c r="Y4" s="473">
        <f t="shared" si="0"/>
        <v>0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399999999999999">
      <c r="A5" t="str">
        <f>+B5&amp;C5</f>
        <v>Véhicules neufsVentes nettes</v>
      </c>
      <c r="B5" s="12" t="str">
        <f t="shared" ref="B5:B85" si="1">+$K$1</f>
        <v>Véhicules neufs</v>
      </c>
      <c r="C5" s="21" t="s">
        <v>16</v>
      </c>
      <c r="D5" s="22"/>
      <c r="E5" s="22"/>
      <c r="F5" s="23">
        <f>+SUM(START:END!F5)</f>
        <v>10000991.344951998</v>
      </c>
      <c r="G5" s="24"/>
      <c r="H5" s="22"/>
      <c r="I5" s="23">
        <f>+SUM(START:END!I5)</f>
        <v>10000991.344951998</v>
      </c>
      <c r="J5" s="24"/>
      <c r="K5" s="26"/>
      <c r="L5" s="23">
        <f>+SUM(START:END!L5)</f>
        <v>7004013.5999999996</v>
      </c>
      <c r="M5" s="27"/>
      <c r="N5" s="28"/>
      <c r="O5" s="24"/>
      <c r="P5" s="26"/>
      <c r="Q5" s="23">
        <f>+SUM(START:END!Q5)</f>
        <v>10902850.479999999</v>
      </c>
      <c r="R5" s="27"/>
      <c r="S5" s="29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399999999999999">
      <c r="A6" t="str">
        <f t="shared" ref="A6:A85" si="2">+B6&amp;C6</f>
        <v>Véhicules neufsAutos détail</v>
      </c>
      <c r="B6" s="12" t="str">
        <f t="shared" si="1"/>
        <v>Véhicules neufs</v>
      </c>
      <c r="C6" s="30" t="s">
        <v>17</v>
      </c>
      <c r="D6" s="31">
        <f>+SUM(START:END!D6)</f>
        <v>51.007228915662651</v>
      </c>
      <c r="E6" s="31">
        <f>IF(D6=0,0,F6/D6)</f>
        <v>1450.6297619047616</v>
      </c>
      <c r="F6" s="31">
        <f>+SUM(START:END!F6)</f>
        <v>73992.604337349389</v>
      </c>
      <c r="G6" s="32">
        <f>+SUM(START:END!G6)</f>
        <v>51.007228915662651</v>
      </c>
      <c r="H6" s="31">
        <f>IF(G6=0,0,I6/G6)</f>
        <v>1450.6297619047616</v>
      </c>
      <c r="I6" s="31">
        <f>+SUM(START:END!I6)</f>
        <v>73992.604337349389</v>
      </c>
      <c r="J6" s="32">
        <f>+SUM(START:END!J6)</f>
        <v>25</v>
      </c>
      <c r="K6" s="31">
        <f>IF(J6=0,0,L6/J6)</f>
        <v>2750.1316000000002</v>
      </c>
      <c r="L6" s="33">
        <f>+SUM(START:END!L6)</f>
        <v>68753.290000000008</v>
      </c>
      <c r="M6" s="32">
        <f t="shared" ref="M6:M12" si="3">J6-G6</f>
        <v>-26.007228915662651</v>
      </c>
      <c r="N6" s="34">
        <f>L6-I6</f>
        <v>-5239.3143373493804</v>
      </c>
      <c r="O6" s="32">
        <f>+SUM(START:END!O6)</f>
        <v>74</v>
      </c>
      <c r="P6" s="31">
        <f>IF(O6=0,0,Q6/O6)</f>
        <v>843.59337837837529</v>
      </c>
      <c r="Q6" s="33">
        <f>+SUM(START:END!Q6)</f>
        <v>62425.909999999771</v>
      </c>
      <c r="R6" s="32">
        <f t="shared" ref="R6:R12" si="4">J6-O6</f>
        <v>-49</v>
      </c>
      <c r="S6" s="35">
        <f t="shared" ref="S6:S12" si="5">L6-Q6</f>
        <v>6327.3800000002375</v>
      </c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399999999999999">
      <c r="A7" t="str">
        <f t="shared" si="2"/>
        <v>Véhicules neufsCamions détail</v>
      </c>
      <c r="B7" s="12" t="str">
        <f t="shared" si="1"/>
        <v>Véhicules neufs</v>
      </c>
      <c r="C7" s="30" t="s">
        <v>18</v>
      </c>
      <c r="D7" s="31">
        <f>+SUM(START:END!D7)</f>
        <v>176.09638554216866</v>
      </c>
      <c r="E7" s="31">
        <f t="shared" ref="E7:E12" si="6">IF(D7=0,0,F7/D7)</f>
        <v>2081.8275862068967</v>
      </c>
      <c r="F7" s="31">
        <f>+SUM(START:END!F7)</f>
        <v>366602.31325301208</v>
      </c>
      <c r="G7" s="32">
        <f>+SUM(START:END!G7)</f>
        <v>176.09638554216866</v>
      </c>
      <c r="H7" s="31">
        <f t="shared" ref="H7:H12" si="7">IF(G7=0,0,I7/G7)</f>
        <v>2081.8275862068967</v>
      </c>
      <c r="I7" s="31">
        <f>+SUM(START:END!I7)</f>
        <v>366602.31325301208</v>
      </c>
      <c r="J7" s="32">
        <f>+SUM(START:END!J7)</f>
        <v>101</v>
      </c>
      <c r="K7" s="31">
        <f t="shared" ref="K7:K12" si="8">IF(J7=0,0,L7/J7)</f>
        <v>3759.3913861386145</v>
      </c>
      <c r="L7" s="33">
        <f>+SUM(START:END!L7)</f>
        <v>379698.53000000009</v>
      </c>
      <c r="M7" s="32">
        <f t="shared" si="3"/>
        <v>-75.096385542168662</v>
      </c>
      <c r="N7" s="34">
        <f t="shared" ref="N7:N12" si="9">L7-I7</f>
        <v>13096.216746988008</v>
      </c>
      <c r="O7" s="32">
        <f>+SUM(START:END!O7)</f>
        <v>157</v>
      </c>
      <c r="P7" s="31">
        <f t="shared" ref="P7:P12" si="10">IF(O7=0,0,Q7/O7)</f>
        <v>2137.3047133757973</v>
      </c>
      <c r="Q7" s="33">
        <f>+SUM(START:END!Q7)</f>
        <v>335556.8400000002</v>
      </c>
      <c r="R7" s="32">
        <f t="shared" si="4"/>
        <v>-56</v>
      </c>
      <c r="S7" s="35">
        <f t="shared" si="5"/>
        <v>44141.689999999886</v>
      </c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399999999999999">
      <c r="A8" t="str">
        <f t="shared" si="2"/>
        <v>Véhicules neufsSprinter</v>
      </c>
      <c r="B8" s="12" t="str">
        <f t="shared" si="1"/>
        <v>Véhicules neufs</v>
      </c>
      <c r="C8" s="30" t="s">
        <v>19</v>
      </c>
      <c r="D8" s="31">
        <f>+SUM(START:END!D8)</f>
        <v>0</v>
      </c>
      <c r="E8" s="31">
        <f t="shared" si="6"/>
        <v>0</v>
      </c>
      <c r="F8" s="31">
        <f>+SUM(START:END!F8)</f>
        <v>0</v>
      </c>
      <c r="G8" s="32">
        <f>+SUM(START:END!G8)</f>
        <v>0</v>
      </c>
      <c r="H8" s="31">
        <f t="shared" si="7"/>
        <v>0</v>
      </c>
      <c r="I8" s="31">
        <f>+SUM(START:END!I8)</f>
        <v>0</v>
      </c>
      <c r="J8" s="32">
        <f>+SUM(START:END!J8)</f>
        <v>0</v>
      </c>
      <c r="K8" s="31">
        <f t="shared" si="8"/>
        <v>0</v>
      </c>
      <c r="L8" s="33">
        <f>+SUM(START:END!L8)</f>
        <v>0</v>
      </c>
      <c r="M8" s="32">
        <f t="shared" si="3"/>
        <v>0</v>
      </c>
      <c r="N8" s="34">
        <f t="shared" si="9"/>
        <v>0</v>
      </c>
      <c r="O8" s="32">
        <f>+SUM(START:END!O8)</f>
        <v>0</v>
      </c>
      <c r="P8" s="31">
        <f t="shared" si="10"/>
        <v>0</v>
      </c>
      <c r="Q8" s="33">
        <f>+SUM(START:END!Q8)</f>
        <v>0</v>
      </c>
      <c r="R8" s="32">
        <f t="shared" si="4"/>
        <v>0</v>
      </c>
      <c r="S8" s="35">
        <f t="shared" si="5"/>
        <v>0</v>
      </c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399999999999999">
      <c r="A9" t="str">
        <f t="shared" si="2"/>
        <v>Véhicules neufsMoto détail</v>
      </c>
      <c r="B9" s="12" t="str">
        <f t="shared" si="1"/>
        <v>Véhicules neufs</v>
      </c>
      <c r="C9" s="30" t="s">
        <v>20</v>
      </c>
      <c r="D9" s="31">
        <f>+SUM(START:END!D9)</f>
        <v>0</v>
      </c>
      <c r="E9" s="31">
        <f t="shared" si="6"/>
        <v>0</v>
      </c>
      <c r="F9" s="31">
        <f>+SUM(START:END!F9)</f>
        <v>0</v>
      </c>
      <c r="G9" s="32">
        <f>+SUM(START:END!G9)</f>
        <v>0</v>
      </c>
      <c r="H9" s="31">
        <f t="shared" si="7"/>
        <v>0</v>
      </c>
      <c r="I9" s="31">
        <f>+SUM(START:END!I9)</f>
        <v>0</v>
      </c>
      <c r="J9" s="32">
        <f>+SUM(START:END!J9)</f>
        <v>0</v>
      </c>
      <c r="K9" s="31">
        <f t="shared" si="8"/>
        <v>0</v>
      </c>
      <c r="L9" s="33">
        <f>+SUM(START:END!L9)</f>
        <v>0</v>
      </c>
      <c r="M9" s="32">
        <f t="shared" si="3"/>
        <v>0</v>
      </c>
      <c r="N9" s="34">
        <f t="shared" si="9"/>
        <v>0</v>
      </c>
      <c r="O9" s="32">
        <f>+SUM(START:END!O9)</f>
        <v>0</v>
      </c>
      <c r="P9" s="31">
        <f t="shared" si="10"/>
        <v>0</v>
      </c>
      <c r="Q9" s="33">
        <f>+SUM(START:END!Q9)</f>
        <v>0</v>
      </c>
      <c r="R9" s="32">
        <f t="shared" si="4"/>
        <v>0</v>
      </c>
      <c r="S9" s="35">
        <f t="shared" si="5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399999999999999" hidden="1">
      <c r="A10" t="str">
        <f t="shared" si="2"/>
        <v>Véhicules neufs[...]</v>
      </c>
      <c r="B10" s="12" t="str">
        <f t="shared" si="1"/>
        <v>Véhicules neufs</v>
      </c>
      <c r="C10" s="30" t="s">
        <v>21</v>
      </c>
      <c r="D10" s="31">
        <f>+SUM(START:END!D10)</f>
        <v>0</v>
      </c>
      <c r="E10" s="31">
        <f t="shared" si="6"/>
        <v>0</v>
      </c>
      <c r="F10" s="31">
        <f>+SUM(START:END!F10)</f>
        <v>0</v>
      </c>
      <c r="G10" s="32">
        <f>+SUM(START:END!G10)</f>
        <v>0</v>
      </c>
      <c r="H10" s="31">
        <f t="shared" si="7"/>
        <v>0</v>
      </c>
      <c r="I10" s="31">
        <f>+SUM(START:END!I10)</f>
        <v>0</v>
      </c>
      <c r="J10" s="32">
        <f>+SUM(START:END!J10)</f>
        <v>0</v>
      </c>
      <c r="K10" s="31">
        <f t="shared" si="8"/>
        <v>0</v>
      </c>
      <c r="L10" s="33">
        <f>+SUM(START:END!L10)</f>
        <v>0</v>
      </c>
      <c r="M10" s="32">
        <f t="shared" si="3"/>
        <v>0</v>
      </c>
      <c r="N10" s="34">
        <f t="shared" si="9"/>
        <v>0</v>
      </c>
      <c r="O10" s="32">
        <f>+SUM(START:END!O10)</f>
        <v>0</v>
      </c>
      <c r="P10" s="31">
        <f t="shared" si="10"/>
        <v>0</v>
      </c>
      <c r="Q10" s="33">
        <f>+SUM(START:END!Q10)</f>
        <v>0</v>
      </c>
      <c r="R10" s="32">
        <f t="shared" si="4"/>
        <v>0</v>
      </c>
      <c r="S10" s="35">
        <f t="shared" si="5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399999999999999" hidden="1">
      <c r="A11" t="str">
        <f t="shared" si="2"/>
        <v>Véhicules neufs[...]</v>
      </c>
      <c r="B11" s="12" t="str">
        <f t="shared" si="1"/>
        <v>Véhicules neufs</v>
      </c>
      <c r="C11" s="30" t="s">
        <v>21</v>
      </c>
      <c r="D11" s="31">
        <f>+SUM(START:END!D11)</f>
        <v>0</v>
      </c>
      <c r="E11" s="31">
        <f t="shared" si="6"/>
        <v>0</v>
      </c>
      <c r="F11" s="31">
        <f>+SUM(START:END!F11)</f>
        <v>0</v>
      </c>
      <c r="G11" s="32">
        <f>+SUM(START:END!G11)</f>
        <v>0</v>
      </c>
      <c r="H11" s="31">
        <f t="shared" si="7"/>
        <v>0</v>
      </c>
      <c r="I11" s="31">
        <f>+SUM(START:END!I11)</f>
        <v>0</v>
      </c>
      <c r="J11" s="32">
        <f>+SUM(START:END!J11)</f>
        <v>0</v>
      </c>
      <c r="K11" s="31">
        <f t="shared" si="8"/>
        <v>0</v>
      </c>
      <c r="L11" s="33">
        <f>+SUM(START:END!L11)</f>
        <v>0</v>
      </c>
      <c r="M11" s="32">
        <f t="shared" si="3"/>
        <v>0</v>
      </c>
      <c r="N11" s="34">
        <f t="shared" si="9"/>
        <v>0</v>
      </c>
      <c r="O11" s="32">
        <f>+SUM(START:END!O11)</f>
        <v>0</v>
      </c>
      <c r="P11" s="31">
        <f t="shared" si="10"/>
        <v>0</v>
      </c>
      <c r="Q11" s="33">
        <f>+SUM(START:END!Q11)</f>
        <v>0</v>
      </c>
      <c r="R11" s="32">
        <f t="shared" si="4"/>
        <v>0</v>
      </c>
      <c r="S11" s="35">
        <f t="shared" si="5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399999999999999" hidden="1">
      <c r="A12" t="str">
        <f t="shared" si="2"/>
        <v>Véhicules neufs[...]</v>
      </c>
      <c r="B12" s="12" t="str">
        <f t="shared" si="1"/>
        <v>Véhicules neufs</v>
      </c>
      <c r="C12" s="30" t="s">
        <v>21</v>
      </c>
      <c r="D12" s="31">
        <f>+SUM(START:END!D12)</f>
        <v>0</v>
      </c>
      <c r="E12" s="31">
        <f t="shared" si="6"/>
        <v>0</v>
      </c>
      <c r="F12" s="31">
        <f>+SUM(START:END!F12)</f>
        <v>0</v>
      </c>
      <c r="G12" s="32">
        <f>+SUM(START:END!G12)</f>
        <v>0</v>
      </c>
      <c r="H12" s="31">
        <f t="shared" si="7"/>
        <v>0</v>
      </c>
      <c r="I12" s="31">
        <f>+SUM(START:END!I12)</f>
        <v>0</v>
      </c>
      <c r="J12" s="32">
        <f>+SUM(START:END!J12)</f>
        <v>0</v>
      </c>
      <c r="K12" s="31">
        <f t="shared" si="8"/>
        <v>0</v>
      </c>
      <c r="L12" s="33">
        <f>+SUM(START:END!L12)</f>
        <v>0</v>
      </c>
      <c r="M12" s="32">
        <f t="shared" si="3"/>
        <v>0</v>
      </c>
      <c r="N12" s="34">
        <f t="shared" si="9"/>
        <v>0</v>
      </c>
      <c r="O12" s="32">
        <f>+SUM(START:END!O12)</f>
        <v>0</v>
      </c>
      <c r="P12" s="31">
        <f t="shared" si="10"/>
        <v>0</v>
      </c>
      <c r="Q12" s="33">
        <f>+SUM(START:END!Q12)</f>
        <v>0</v>
      </c>
      <c r="R12" s="32">
        <f t="shared" si="4"/>
        <v>0</v>
      </c>
      <c r="S12" s="35">
        <f t="shared" si="5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1">
      <c r="A13" t="str">
        <f t="shared" si="2"/>
        <v>Véhicules neufsTotal Neufs</v>
      </c>
      <c r="B13" s="12" t="str">
        <f t="shared" si="1"/>
        <v>Véhicules neufs</v>
      </c>
      <c r="C13" s="36" t="s">
        <v>22</v>
      </c>
      <c r="D13" s="37">
        <f>+SUM(D6:D12)</f>
        <v>227.10361445783133</v>
      </c>
      <c r="E13" s="37">
        <f>IF(D13&lt;=0,0,F13/D13)</f>
        <v>1940.061229946524</v>
      </c>
      <c r="F13" s="38">
        <f>+SUM(F6:F12)</f>
        <v>440594.91759036144</v>
      </c>
      <c r="G13" s="39">
        <f>+SUM(G6:G12)</f>
        <v>227.10361445783133</v>
      </c>
      <c r="H13" s="37">
        <f>IF(G13&lt;=0,0,I13/G13)</f>
        <v>1940.061229946524</v>
      </c>
      <c r="I13" s="38">
        <f>+SUM(I6:I12)</f>
        <v>440594.91759036144</v>
      </c>
      <c r="J13" s="39">
        <f>+SUM(J6:J12)</f>
        <v>126</v>
      </c>
      <c r="K13" s="37">
        <f>IF(J13&lt;=0,0,L13/J13)</f>
        <v>3559.1414285714291</v>
      </c>
      <c r="L13" s="38">
        <f>+SUM(L6:L12)</f>
        <v>448451.82000000007</v>
      </c>
      <c r="M13" s="39">
        <f>+SUM(M6:M12)</f>
        <v>-101.10361445783131</v>
      </c>
      <c r="N13" s="38">
        <f>+SUM(N6:N12)</f>
        <v>7856.9024096386274</v>
      </c>
      <c r="O13" s="39">
        <f>+SUM(O6:O12)</f>
        <v>231</v>
      </c>
      <c r="P13" s="37">
        <f>IF(O13&lt;=0,0,Q13/O13)</f>
        <v>1722.8690476190477</v>
      </c>
      <c r="Q13" s="38">
        <f>+SUM(Q6:Q12)</f>
        <v>397982.75</v>
      </c>
      <c r="R13" s="39">
        <f>+SUM(R6:R12)</f>
        <v>-105</v>
      </c>
      <c r="S13" s="40">
        <f>+SUM(S6:S12)</f>
        <v>50469.070000000123</v>
      </c>
      <c r="T13" s="14"/>
      <c r="U13" s="14"/>
      <c r="V13" s="472">
        <f>+SUM(START:END!D13)-D13</f>
        <v>0</v>
      </c>
      <c r="W13" s="472">
        <f>+SUM(START:END!G13)-G13</f>
        <v>0</v>
      </c>
      <c r="X13" s="472">
        <f>+SUM(START:END!J13)-J13</f>
        <v>0</v>
      </c>
      <c r="Y13" s="472">
        <f>+SUM(START:END!O13)-O13</f>
        <v>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1">
      <c r="A14" t="str">
        <f t="shared" si="2"/>
        <v>Véhicules neufs</v>
      </c>
      <c r="B14" s="12" t="str">
        <f t="shared" si="1"/>
        <v>Véhicules neufs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f>IF(G13=0,0,M13/G13)</f>
        <v>-0.44518716577540102</v>
      </c>
      <c r="N14" s="44">
        <f>IF(I13=0,0,N13/I13)</f>
        <v>1.7832485341883815E-2</v>
      </c>
      <c r="O14" s="42"/>
      <c r="P14" s="31"/>
      <c r="Q14" s="41"/>
      <c r="R14" s="43">
        <f>R13/O13</f>
        <v>-0.45454545454545453</v>
      </c>
      <c r="S14" s="45">
        <f>IF(Q13=0,0,(S13/Q13))</f>
        <v>0.12681220480033401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1">
      <c r="A15" t="str">
        <f t="shared" si="2"/>
        <v>Véhicules neufsEx-Démos et courtoisies</v>
      </c>
      <c r="B15" s="12" t="str">
        <f t="shared" si="1"/>
        <v>Véhicules neufs</v>
      </c>
      <c r="C15" s="46" t="s">
        <v>23</v>
      </c>
      <c r="D15" s="26">
        <f>+SUM(START:END!D15)</f>
        <v>21.253012048192769</v>
      </c>
      <c r="E15" s="26">
        <f t="shared" ref="E15" si="11">IF(D15=0,0,F15/D15)</f>
        <v>1386.1016187312016</v>
      </c>
      <c r="F15" s="23">
        <f>+SUM(START:END!F15)</f>
        <v>29458.834402913726</v>
      </c>
      <c r="G15" s="47">
        <f>+SUM(START:END!G15)</f>
        <v>21.253012048192769</v>
      </c>
      <c r="H15" s="48">
        <f t="shared" ref="H15" si="12">IF(G15=0,0,I15/G15)</f>
        <v>1386.1016187312016</v>
      </c>
      <c r="I15" s="49">
        <f>+SUM(START:END!I15)</f>
        <v>29458.834402913726</v>
      </c>
      <c r="J15" s="50">
        <f>+SUM(START:END!J15)</f>
        <v>9</v>
      </c>
      <c r="K15" s="51">
        <f>IF(J15=0,0,L15/J15)</f>
        <v>3915.0822222222196</v>
      </c>
      <c r="L15" s="51">
        <f>+SUM(START:END!L15)</f>
        <v>35235.739999999976</v>
      </c>
      <c r="M15" s="52">
        <f>J15-G15</f>
        <v>-12.253012048192769</v>
      </c>
      <c r="N15" s="49">
        <f>L15-I15</f>
        <v>5776.9055970862501</v>
      </c>
      <c r="O15" s="50">
        <f>+SUM(START:END!O15)</f>
        <v>11</v>
      </c>
      <c r="P15" s="51">
        <f>IF(O15=0,0,Q15/O15)</f>
        <v>2049.3845454545462</v>
      </c>
      <c r="Q15" s="51">
        <f>+SUM(START:END!Q15)</f>
        <v>22543.23000000001</v>
      </c>
      <c r="R15" s="52">
        <f>J15-O15</f>
        <v>-2</v>
      </c>
      <c r="S15" s="53">
        <f>L15-Q15</f>
        <v>12692.509999999966</v>
      </c>
      <c r="T15" s="14"/>
      <c r="U15" s="14"/>
      <c r="V15" s="472">
        <f>+SUM(START:END!D15)-D15</f>
        <v>0</v>
      </c>
      <c r="W15" s="472">
        <f>+SUM(START:END!G15)-G15</f>
        <v>0</v>
      </c>
      <c r="X15" s="472">
        <f>+SUM(START:END!J15)-J15</f>
        <v>0</v>
      </c>
      <c r="Y15" s="472">
        <f>+SUM(START:END!O15)-O15</f>
        <v>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1">
      <c r="A16" t="str">
        <f t="shared" si="2"/>
        <v>Véhicules neufs</v>
      </c>
      <c r="B16" s="12" t="str">
        <f t="shared" si="1"/>
        <v>Véhicules neufs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1">
      <c r="A17" t="str">
        <f t="shared" si="2"/>
        <v>Véhicules neufsFlottes</v>
      </c>
      <c r="B17" s="12" t="str">
        <f t="shared" si="1"/>
        <v>Véhicules neufs</v>
      </c>
      <c r="C17" s="54" t="s">
        <v>24</v>
      </c>
      <c r="D17" s="31">
        <f>+SUM(START:END!D17)</f>
        <v>3.8230088495575223</v>
      </c>
      <c r="E17" s="31">
        <f t="shared" ref="E17" si="13">IF(D17=0,0,F17/D17)</f>
        <v>1938.8731623598242</v>
      </c>
      <c r="F17" s="31">
        <f>+SUM(START:END!F17)</f>
        <v>7412.3292578711862</v>
      </c>
      <c r="G17" s="32">
        <f>+SUM(START:END!G17)</f>
        <v>3.8230088495575223</v>
      </c>
      <c r="H17" s="31">
        <f t="shared" ref="H17" si="14">IF(G17=0,0,I17/G17)</f>
        <v>1938.8731623598242</v>
      </c>
      <c r="I17" s="31">
        <f>+SUM(START:END!I17)</f>
        <v>7412.3292578711862</v>
      </c>
      <c r="J17" s="52">
        <f>+SUM(START:END!J17)</f>
        <v>0</v>
      </c>
      <c r="K17" s="31">
        <f>IF(J17=0,0,L17/J17)</f>
        <v>0</v>
      </c>
      <c r="L17" s="34">
        <f>+SUM(START:END!L17)</f>
        <v>0</v>
      </c>
      <c r="M17" s="52">
        <f>J17-G17</f>
        <v>-3.8230088495575223</v>
      </c>
      <c r="N17" s="34">
        <f>L17-I17</f>
        <v>-7412.3292578711862</v>
      </c>
      <c r="O17" s="52">
        <f>+SUM(START:END!O17)</f>
        <v>13</v>
      </c>
      <c r="P17" s="31">
        <f>IF(O17=0,0,Q17/O17)</f>
        <v>2639.8061538461548</v>
      </c>
      <c r="Q17" s="34">
        <f>+SUM(START:END!Q17)</f>
        <v>34317.48000000001</v>
      </c>
      <c r="R17" s="32">
        <f>J17-O17</f>
        <v>-13</v>
      </c>
      <c r="S17" s="35">
        <f>L17-Q17</f>
        <v>-34317.48000000001</v>
      </c>
      <c r="T17" s="14"/>
      <c r="U17" s="14"/>
      <c r="V17" s="472">
        <f>+SUM(START:END!D17)-D17</f>
        <v>0</v>
      </c>
      <c r="W17" s="472">
        <f>+SUM(START:END!G17)-G17</f>
        <v>0</v>
      </c>
      <c r="X17" s="472">
        <f>+SUM(START:END!J17)-J17</f>
        <v>0</v>
      </c>
      <c r="Y17" s="472">
        <f>+SUM(START:END!O17)-O17</f>
        <v>0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1">
      <c r="A18" t="str">
        <f t="shared" si="2"/>
        <v>Véhicules neufs</v>
      </c>
      <c r="B18" s="12" t="str">
        <f t="shared" si="1"/>
        <v>Véhicules neufs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1">
      <c r="A19" t="str">
        <f t="shared" si="2"/>
        <v>Véhicules neufsRachat bail</v>
      </c>
      <c r="B19" s="12" t="str">
        <f t="shared" si="1"/>
        <v>Véhicules neufs</v>
      </c>
      <c r="C19" s="46" t="s">
        <v>25</v>
      </c>
      <c r="D19" s="31"/>
      <c r="E19" s="31"/>
      <c r="F19" s="31">
        <f>+SUM(START:END!F19)</f>
        <v>25248.116879999994</v>
      </c>
      <c r="G19" s="32"/>
      <c r="H19" s="31"/>
      <c r="I19" s="31">
        <f>+SUM(START:END!I19)</f>
        <v>25248.116879999994</v>
      </c>
      <c r="J19" s="47"/>
      <c r="K19" s="31"/>
      <c r="L19" s="34">
        <f>+SUM(START:END!L19)</f>
        <v>34859.949999999953</v>
      </c>
      <c r="M19" s="32"/>
      <c r="N19" s="34">
        <f>L19-I19</f>
        <v>9611.8331199999593</v>
      </c>
      <c r="O19" s="47"/>
      <c r="P19" s="31"/>
      <c r="Q19" s="34">
        <f>+SUM(START:END!Q19)</f>
        <v>22670.950000000012</v>
      </c>
      <c r="R19" s="32">
        <f>O19-K19</f>
        <v>0</v>
      </c>
      <c r="S19" s="35">
        <f>L19-Q19</f>
        <v>12188.999999999942</v>
      </c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1">
      <c r="A20" t="str">
        <f t="shared" si="2"/>
        <v>Véhicules neufs</v>
      </c>
      <c r="B20" s="12" t="str">
        <f t="shared" si="1"/>
        <v>Véhicules neufs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2"/>
        <v>Véhicules neufsRev. Finances</v>
      </c>
      <c r="B21" s="12" t="str">
        <f t="shared" si="1"/>
        <v>Véhicules neufs</v>
      </c>
      <c r="C21" s="30" t="s">
        <v>26</v>
      </c>
      <c r="D21" s="31">
        <v>0</v>
      </c>
      <c r="E21" s="31">
        <f t="shared" ref="E21:E23" si="15">IF(D21=0,0,F21/D21)</f>
        <v>0</v>
      </c>
      <c r="F21" s="31">
        <f>+SUM(START:END!F21)</f>
        <v>7431.7648000271874</v>
      </c>
      <c r="G21" s="42">
        <v>0</v>
      </c>
      <c r="H21" s="31">
        <f t="shared" ref="H21:H23" si="16">IF(G21=0,0,I21/G21)</f>
        <v>0</v>
      </c>
      <c r="I21" s="31">
        <f>+SUM(START:END!I21)</f>
        <v>7431.7648000271874</v>
      </c>
      <c r="J21" s="32"/>
      <c r="K21" s="31">
        <f>IF(J13=0,0,L21/(J13+J15))</f>
        <v>223.14962962962963</v>
      </c>
      <c r="L21" s="34">
        <f>+SUM(START:END!L21)</f>
        <v>30125.200000000001</v>
      </c>
      <c r="M21" s="32"/>
      <c r="N21" s="34">
        <f t="shared" ref="N21:N24" si="17">L21-I21</f>
        <v>22693.435199972813</v>
      </c>
      <c r="O21" s="32"/>
      <c r="P21" s="31">
        <f>IF(O13=0,0,Q21/(O13+O15))</f>
        <v>26.40702479338843</v>
      </c>
      <c r="Q21" s="34">
        <f>+SUM(START:END!Q21)</f>
        <v>6390.5</v>
      </c>
      <c r="R21" s="32">
        <f t="shared" ref="R21:R23" si="18">O21-K21</f>
        <v>-223.14962962962963</v>
      </c>
      <c r="S21" s="35">
        <f t="shared" ref="S21:S24" si="19">L21-Q21</f>
        <v>23734.7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5.75" customHeight="1">
      <c r="A22" t="str">
        <f t="shared" si="2"/>
        <v>Véhicules neufsRev. Protections</v>
      </c>
      <c r="B22" s="12" t="str">
        <f t="shared" si="1"/>
        <v>Véhicules neufs</v>
      </c>
      <c r="C22" s="30" t="s">
        <v>27</v>
      </c>
      <c r="D22" s="31">
        <v>0</v>
      </c>
      <c r="E22" s="31">
        <f t="shared" si="15"/>
        <v>0</v>
      </c>
      <c r="F22" s="31">
        <f>+SUM(START:END!F22)</f>
        <v>198752.20548240925</v>
      </c>
      <c r="G22" s="42">
        <v>0</v>
      </c>
      <c r="H22" s="31">
        <f t="shared" si="16"/>
        <v>0</v>
      </c>
      <c r="I22" s="31">
        <f>+SUM(START:END!I22)</f>
        <v>198752.20548240925</v>
      </c>
      <c r="J22" s="32"/>
      <c r="K22" s="31">
        <f>IF(J13=0,0,L22/(J13+J15))</f>
        <v>931.79037037037051</v>
      </c>
      <c r="L22" s="34">
        <f>+SUM(START:END!L22)</f>
        <v>125791.70000000001</v>
      </c>
      <c r="M22" s="32"/>
      <c r="N22" s="34">
        <f t="shared" si="17"/>
        <v>-72960.505482409237</v>
      </c>
      <c r="O22" s="32"/>
      <c r="P22" s="31">
        <f>IF(O13=0,0,Q22/(O13+O15))</f>
        <v>764.76495867768597</v>
      </c>
      <c r="Q22" s="34">
        <f>+SUM(START:END!Q22)</f>
        <v>185073.12</v>
      </c>
      <c r="R22" s="32">
        <f t="shared" si="18"/>
        <v>-931.79037037037051</v>
      </c>
      <c r="S22" s="35">
        <f t="shared" si="19"/>
        <v>-59281.419999999984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5.75" customHeight="1">
      <c r="A23" t="str">
        <f t="shared" si="2"/>
        <v>Véhicules neufsRev. Autres</v>
      </c>
      <c r="B23" s="12" t="str">
        <f t="shared" si="1"/>
        <v>Véhicules neufs</v>
      </c>
      <c r="C23" s="30" t="s">
        <v>28</v>
      </c>
      <c r="D23" s="31">
        <v>0</v>
      </c>
      <c r="E23" s="31">
        <f t="shared" si="15"/>
        <v>0</v>
      </c>
      <c r="F23" s="31">
        <f>+SUM(START:END!F23)</f>
        <v>4919.1622476840384</v>
      </c>
      <c r="G23" s="42">
        <v>0</v>
      </c>
      <c r="H23" s="31">
        <f t="shared" si="16"/>
        <v>0</v>
      </c>
      <c r="I23" s="31">
        <f>+SUM(START:END!I23)</f>
        <v>4919.1622476840384</v>
      </c>
      <c r="J23" s="32"/>
      <c r="K23" s="31">
        <f>IF(J13=0,0,L23/(J13+J15))</f>
        <v>16.451185185185185</v>
      </c>
      <c r="L23" s="34">
        <f>+SUM(START:END!L23)</f>
        <v>2220.91</v>
      </c>
      <c r="M23" s="52"/>
      <c r="N23" s="34">
        <f t="shared" si="17"/>
        <v>-2698.2522476840386</v>
      </c>
      <c r="O23" s="32"/>
      <c r="P23" s="31">
        <f>IF(O13=0,0,Q23/(O13+O15))</f>
        <v>17.06219008264463</v>
      </c>
      <c r="Q23" s="34">
        <f>+SUM(START:END!Q23)</f>
        <v>4129.05</v>
      </c>
      <c r="R23" s="32">
        <f t="shared" si="18"/>
        <v>-16.451185185185185</v>
      </c>
      <c r="S23" s="35">
        <f t="shared" si="19"/>
        <v>-1908.1400000000003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5.75" customHeight="1">
      <c r="A24" t="str">
        <f t="shared" si="2"/>
        <v>Véhicules neufsTotal F&amp;I</v>
      </c>
      <c r="B24" s="12" t="str">
        <f t="shared" si="1"/>
        <v>Véhicules neufs</v>
      </c>
      <c r="C24" s="36" t="s">
        <v>29</v>
      </c>
      <c r="D24" s="37">
        <f>+D15+D13</f>
        <v>248.3566265060241</v>
      </c>
      <c r="E24" s="37">
        <f>IF(D24&lt;=0,0,F24/D24)</f>
        <v>849.99999999999989</v>
      </c>
      <c r="F24" s="38">
        <f>F21+F22+F23</f>
        <v>211103.13253012046</v>
      </c>
      <c r="G24" s="39">
        <f>+G15+G13</f>
        <v>248.3566265060241</v>
      </c>
      <c r="H24" s="37">
        <f>IF(G24&lt;=0,0,I24/G24)</f>
        <v>849.99999999999989</v>
      </c>
      <c r="I24" s="38">
        <f>I21+I22+I23</f>
        <v>211103.13253012046</v>
      </c>
      <c r="J24" s="39">
        <f>+J15+J13</f>
        <v>135</v>
      </c>
      <c r="K24" s="37">
        <f>IF(J24&lt;=0,0,L24/J24)</f>
        <v>1171.3911851851853</v>
      </c>
      <c r="L24" s="38">
        <f>L21+L22+L23</f>
        <v>158137.81000000003</v>
      </c>
      <c r="M24" s="59">
        <f>J24-G24</f>
        <v>-113.3566265060241</v>
      </c>
      <c r="N24" s="38">
        <f t="shared" si="17"/>
        <v>-52965.322530120437</v>
      </c>
      <c r="O24" s="39">
        <f>+O15+O13</f>
        <v>242</v>
      </c>
      <c r="P24" s="37">
        <f>IF(O24&lt;=0,0,Q24/O24)</f>
        <v>808.23417355371896</v>
      </c>
      <c r="Q24" s="38">
        <f>Q21+Q22+Q23</f>
        <v>195592.66999999998</v>
      </c>
      <c r="R24" s="57"/>
      <c r="S24" s="40">
        <f t="shared" si="19"/>
        <v>-37454.859999999957</v>
      </c>
      <c r="T24" s="14"/>
      <c r="U24" s="14"/>
      <c r="V24" s="472">
        <f>+SUM(START:END!D24)-D24</f>
        <v>0</v>
      </c>
      <c r="W24" s="472">
        <f>+SUM(START:END!G24)-G24</f>
        <v>0</v>
      </c>
      <c r="X24" s="472">
        <f>+SUM(START:END!J24)-J24</f>
        <v>0</v>
      </c>
      <c r="Y24" s="472">
        <f>+SUM(START:END!O24)-O24</f>
        <v>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2"/>
        <v>Véhicules neufs</v>
      </c>
      <c r="B25" s="12" t="str">
        <f t="shared" si="1"/>
        <v>Véhicules neufs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f>IF(N24=0,0,N24/I24)</f>
        <v>-0.25089785213188759</v>
      </c>
      <c r="O25" s="42"/>
      <c r="P25" s="14"/>
      <c r="Q25" s="60"/>
      <c r="R25" s="61"/>
      <c r="S25" s="45">
        <f>IF(Q24=0,0,(S24/Q24))</f>
        <v>-0.1914941904520244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2"/>
        <v>Véhicules neufs</v>
      </c>
      <c r="B26" s="12" t="str">
        <f t="shared" si="1"/>
        <v>Véhicules neufs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2"/>
        <v>Véhicules neufsTotal Dépt. Neufs</v>
      </c>
      <c r="B27" s="12" t="str">
        <f t="shared" si="1"/>
        <v>Véhicules neufs</v>
      </c>
      <c r="C27" s="63" t="s">
        <v>30</v>
      </c>
      <c r="D27" s="64">
        <f>+D13+D15+D17</f>
        <v>252.17963535558161</v>
      </c>
      <c r="E27" s="65">
        <f>IF(D27&lt;=0,0,F27/D27)</f>
        <v>2830.5907003742027</v>
      </c>
      <c r="F27" s="66">
        <f>F13+F17+F24+F19+F15</f>
        <v>713817.33066126681</v>
      </c>
      <c r="G27" s="67">
        <f>+G13+G15+G17</f>
        <v>252.17963535558161</v>
      </c>
      <c r="H27" s="68">
        <f>IF(G27&lt;=0,0,I27/G27)</f>
        <v>2830.5907003742027</v>
      </c>
      <c r="I27" s="66">
        <f>I13+I17+I24+I19+I15</f>
        <v>713817.33066126681</v>
      </c>
      <c r="J27" s="67">
        <f>+J13+J15+J17</f>
        <v>135</v>
      </c>
      <c r="K27" s="68">
        <f>IF(J27&lt;=0,0,L27/J27)</f>
        <v>5012.4838518518527</v>
      </c>
      <c r="L27" s="66">
        <f>L13+L17+L24+L19+L15</f>
        <v>676685.32000000007</v>
      </c>
      <c r="M27" s="67">
        <f>J27-G27</f>
        <v>-117.17963535558161</v>
      </c>
      <c r="N27" s="66">
        <f>L27-I27</f>
        <v>-37132.010661266744</v>
      </c>
      <c r="O27" s="67">
        <f>+O13+O15+O17</f>
        <v>255</v>
      </c>
      <c r="P27" s="68">
        <f>IF(O27&lt;=0,0,Q27/O27)</f>
        <v>2639.6356078431368</v>
      </c>
      <c r="Q27" s="66">
        <f>Q13+Q17+Q24+Q19+Q15</f>
        <v>673107.07999999984</v>
      </c>
      <c r="R27" s="67">
        <f>J27-O27</f>
        <v>-120</v>
      </c>
      <c r="S27" s="69">
        <f>L27-Q27</f>
        <v>3578.2400000002235</v>
      </c>
      <c r="T27" s="14"/>
      <c r="U27" s="14"/>
      <c r="V27" s="472">
        <f>+SUM(START:END!D27)-D27</f>
        <v>0</v>
      </c>
      <c r="W27" s="472">
        <f>+SUM(START:END!G27)-G27</f>
        <v>0</v>
      </c>
      <c r="X27" s="472">
        <f>+SUM(START:END!J27)-J27</f>
        <v>0</v>
      </c>
      <c r="Y27" s="472">
        <f>+SUM(START:END!O27)-O27</f>
        <v>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2"/>
        <v>Véhicules neufs</v>
      </c>
      <c r="B28" s="12" t="str">
        <f t="shared" si="1"/>
        <v>Véhicules neufs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f>M27/G27</f>
        <v>-0.4646673201440491</v>
      </c>
      <c r="N28" s="75">
        <f>N27/I27</f>
        <v>-5.2018925663892684E-2</v>
      </c>
      <c r="O28" s="73"/>
      <c r="P28" s="71"/>
      <c r="Q28" s="72"/>
      <c r="R28" s="74">
        <f>R27/O27</f>
        <v>-0.47058823529411764</v>
      </c>
      <c r="S28" s="76">
        <f>IF(Q27=0,0,S27/Q27)</f>
        <v>5.3160041044290072E-3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2"/>
        <v>Véhicules neufs</v>
      </c>
      <c r="B29" s="12" t="str">
        <f t="shared" si="1"/>
        <v>Véhicules neufs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2"/>
        <v>Véhicules neufsDEPENSES</v>
      </c>
      <c r="B30" s="12" t="str">
        <f t="shared" si="1"/>
        <v>Véhicules neufs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2"/>
        <v>Véhicules neufsComm. vendeurs</v>
      </c>
      <c r="B31" s="12" t="str">
        <f t="shared" si="1"/>
        <v>Véhicules neufs</v>
      </c>
      <c r="C31" s="30" t="s">
        <v>32</v>
      </c>
      <c r="D31" s="82"/>
      <c r="E31" s="83">
        <f t="shared" ref="E31:E40" si="20">F31/D$24</f>
        <v>604.44008257096039</v>
      </c>
      <c r="F31" s="31">
        <f>+SUM(START:END!F31)</f>
        <v>150116.69983234638</v>
      </c>
      <c r="G31" s="84"/>
      <c r="H31" s="83">
        <f t="shared" ref="H31:H40" si="21">I31/G$24</f>
        <v>604.44008257096039</v>
      </c>
      <c r="I31" s="31">
        <f>+SUM(START:END!I31)</f>
        <v>150116.69983234638</v>
      </c>
      <c r="J31" s="85">
        <f>L31/L13</f>
        <v>0.30861420074067258</v>
      </c>
      <c r="K31" s="83">
        <f t="shared" ref="K31:K40" si="22">IF(L31=0,0,L31/J$24)</f>
        <v>1025.1748148148147</v>
      </c>
      <c r="L31" s="31">
        <f>+SUM(START:END!L31)</f>
        <v>138398.59999999998</v>
      </c>
      <c r="M31" s="42"/>
      <c r="N31" s="60">
        <f t="shared" ref="N31:N53" si="23">L31-I31</f>
        <v>-11718.099832346401</v>
      </c>
      <c r="O31" s="42"/>
      <c r="P31" s="83">
        <f t="shared" ref="P31:P40" si="24">IF(Q31=0,0,Q31/O$24)</f>
        <v>610.77685950413218</v>
      </c>
      <c r="Q31" s="34">
        <f>+SUM(START:END!Q31)</f>
        <v>147808</v>
      </c>
      <c r="R31" s="42"/>
      <c r="S31" s="86">
        <f t="shared" ref="S31:S41" si="25">L31-Q31</f>
        <v>-9409.4000000000233</v>
      </c>
      <c r="T31" s="14"/>
      <c r="U31" s="14"/>
      <c r="V31" s="87"/>
      <c r="W31" s="87"/>
      <c r="X31" s="87"/>
      <c r="Y31" s="87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2"/>
        <v>Véhicules neufsComm. F&amp;I</v>
      </c>
      <c r="B32" s="12" t="str">
        <f t="shared" si="1"/>
        <v>Véhicules neufs</v>
      </c>
      <c r="C32" s="88" t="s">
        <v>33</v>
      </c>
      <c r="D32" s="89"/>
      <c r="E32" s="90">
        <f t="shared" si="20"/>
        <v>254.99999999999994</v>
      </c>
      <c r="F32" s="23">
        <f>+SUM(START:END!F32)</f>
        <v>63330.939759036133</v>
      </c>
      <c r="G32" s="91"/>
      <c r="H32" s="92">
        <f t="shared" si="21"/>
        <v>254.99999999999994</v>
      </c>
      <c r="I32" s="23">
        <f>+SUM(START:END!I32)</f>
        <v>63330.939759036133</v>
      </c>
      <c r="J32" s="93">
        <f>L32/L24</f>
        <v>0.34819926999115514</v>
      </c>
      <c r="K32" s="90">
        <f t="shared" si="22"/>
        <v>407.87755555555555</v>
      </c>
      <c r="L32" s="23">
        <f>+SUM(START:END!L32)</f>
        <v>55063.47</v>
      </c>
      <c r="M32" s="24"/>
      <c r="N32" s="94">
        <f t="shared" si="23"/>
        <v>-8267.469759036132</v>
      </c>
      <c r="O32" s="24"/>
      <c r="P32" s="90">
        <f t="shared" si="24"/>
        <v>251.36760330578514</v>
      </c>
      <c r="Q32" s="23">
        <f>+SUM(START:END!Q32)</f>
        <v>60830.960000000006</v>
      </c>
      <c r="R32" s="24"/>
      <c r="S32" s="95">
        <f t="shared" si="25"/>
        <v>-5767.4900000000052</v>
      </c>
      <c r="T32" s="14"/>
      <c r="U32" s="14"/>
      <c r="V32" s="87"/>
      <c r="W32" s="87"/>
      <c r="X32" s="87"/>
      <c r="Y32" s="87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2"/>
        <v>Véhicules neufsFrais de livraison</v>
      </c>
      <c r="B33" s="12" t="str">
        <f t="shared" si="1"/>
        <v>Véhicules neufs</v>
      </c>
      <c r="C33" s="30" t="s">
        <v>34</v>
      </c>
      <c r="D33" s="82"/>
      <c r="E33" s="83">
        <f t="shared" si="20"/>
        <v>167.84930226439229</v>
      </c>
      <c r="F33" s="31">
        <f>+SUM(START:END!F33)</f>
        <v>41686.48647177442</v>
      </c>
      <c r="G33" s="84"/>
      <c r="H33" s="83">
        <f t="shared" si="21"/>
        <v>167.84930226439229</v>
      </c>
      <c r="I33" s="31">
        <f>+SUM(START:END!I33)</f>
        <v>41686.48647177442</v>
      </c>
      <c r="J33" s="42"/>
      <c r="K33" s="83">
        <f t="shared" si="22"/>
        <v>106.88355555555556</v>
      </c>
      <c r="L33" s="31">
        <f>+SUM(START:END!L33)</f>
        <v>14429.28</v>
      </c>
      <c r="M33" s="42"/>
      <c r="N33" s="60">
        <f t="shared" si="23"/>
        <v>-27257.206471774422</v>
      </c>
      <c r="O33" s="42"/>
      <c r="P33" s="83">
        <f t="shared" si="24"/>
        <v>106.07400826446282</v>
      </c>
      <c r="Q33" s="34">
        <f>+SUM(START:END!Q33)</f>
        <v>25669.910000000003</v>
      </c>
      <c r="R33" s="42"/>
      <c r="S33" s="86">
        <f t="shared" si="25"/>
        <v>-11240.630000000003</v>
      </c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2"/>
        <v>Véhicules neufsService gratuit 1</v>
      </c>
      <c r="B34" s="12" t="str">
        <f t="shared" si="1"/>
        <v>Véhicules neufs</v>
      </c>
      <c r="C34" s="30" t="s">
        <v>35</v>
      </c>
      <c r="D34" s="82"/>
      <c r="E34" s="83">
        <f t="shared" si="20"/>
        <v>7.3548076275245773</v>
      </c>
      <c r="F34" s="31">
        <f>+SUM(START:END!F34)</f>
        <v>1826.6152109727786</v>
      </c>
      <c r="G34" s="84"/>
      <c r="H34" s="83">
        <f t="shared" si="21"/>
        <v>7.3548076275245773</v>
      </c>
      <c r="I34" s="31">
        <f>+SUM(START:END!I34)</f>
        <v>1826.6152109727786</v>
      </c>
      <c r="J34" s="42"/>
      <c r="K34" s="83">
        <f t="shared" si="22"/>
        <v>5.2612592592592593</v>
      </c>
      <c r="L34" s="31">
        <f>+SUM(START:END!L34)</f>
        <v>710.27</v>
      </c>
      <c r="M34" s="42"/>
      <c r="N34" s="60">
        <f t="shared" si="23"/>
        <v>-1116.3452109727787</v>
      </c>
      <c r="O34" s="42"/>
      <c r="P34" s="83">
        <f t="shared" si="24"/>
        <v>7.9414876033057844</v>
      </c>
      <c r="Q34" s="34">
        <f>+SUM(START:END!Q34)</f>
        <v>1921.84</v>
      </c>
      <c r="R34" s="42"/>
      <c r="S34" s="86">
        <f t="shared" si="25"/>
        <v>-1211.57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2"/>
        <v>Véhicules neufsEntretien stock</v>
      </c>
      <c r="B35" s="12" t="str">
        <f t="shared" si="1"/>
        <v>Véhicules neufs</v>
      </c>
      <c r="C35" s="88" t="s">
        <v>36</v>
      </c>
      <c r="D35" s="89"/>
      <c r="E35" s="90">
        <f t="shared" si="20"/>
        <v>17.733118212476484</v>
      </c>
      <c r="F35" s="23">
        <f>+SUM(START:END!F35)</f>
        <v>4404.1374166831956</v>
      </c>
      <c r="G35" s="91"/>
      <c r="H35" s="92">
        <f t="shared" si="21"/>
        <v>17.733118212476484</v>
      </c>
      <c r="I35" s="23">
        <f>+SUM(START:END!I35)</f>
        <v>4404.1374166831956</v>
      </c>
      <c r="J35" s="24"/>
      <c r="K35" s="90">
        <f t="shared" si="22"/>
        <v>91.270666666666671</v>
      </c>
      <c r="L35" s="23">
        <f>+SUM(START:END!L35)</f>
        <v>12321.54</v>
      </c>
      <c r="M35" s="24"/>
      <c r="N35" s="94">
        <f t="shared" si="23"/>
        <v>7917.4025833168052</v>
      </c>
      <c r="O35" s="24"/>
      <c r="P35" s="90">
        <f t="shared" si="24"/>
        <v>13.545991735537191</v>
      </c>
      <c r="Q35" s="34">
        <f>+SUM(START:END!Q35)</f>
        <v>3278.13</v>
      </c>
      <c r="R35" s="24"/>
      <c r="S35" s="95">
        <f t="shared" si="25"/>
        <v>9043.41</v>
      </c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2"/>
        <v>Véhicules neufsPublicité 1</v>
      </c>
      <c r="B36" s="12" t="str">
        <f t="shared" si="1"/>
        <v>Véhicules neufs</v>
      </c>
      <c r="C36" s="30" t="s">
        <v>37</v>
      </c>
      <c r="D36" s="82"/>
      <c r="E36" s="83">
        <f t="shared" si="20"/>
        <v>195.93765281173592</v>
      </c>
      <c r="F36" s="31">
        <f>+SUM(START:END!F36)</f>
        <v>48662.414457831321</v>
      </c>
      <c r="G36" s="84"/>
      <c r="H36" s="83">
        <f t="shared" si="21"/>
        <v>195.93765281173592</v>
      </c>
      <c r="I36" s="31">
        <f>+SUM(START:END!I36)</f>
        <v>48662.414457831321</v>
      </c>
      <c r="J36" s="42"/>
      <c r="K36" s="83">
        <f t="shared" si="22"/>
        <v>291.42074074074071</v>
      </c>
      <c r="L36" s="428">
        <f>+SUM(START:END!L36)</f>
        <v>39341.799999999996</v>
      </c>
      <c r="M36" s="14"/>
      <c r="N36" s="60">
        <f t="shared" si="23"/>
        <v>-9320.6144578313251</v>
      </c>
      <c r="O36" s="42"/>
      <c r="P36" s="83">
        <f t="shared" si="24"/>
        <v>136.67541322314048</v>
      </c>
      <c r="Q36" s="56">
        <f>+SUM(START:END!Q36)</f>
        <v>33075.449999999997</v>
      </c>
      <c r="R36" s="42"/>
      <c r="S36" s="86">
        <f t="shared" si="25"/>
        <v>6266.3499999999985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2"/>
        <v>Véhicules neufsIntérêt de gros</v>
      </c>
      <c r="B37" s="12" t="str">
        <f t="shared" si="1"/>
        <v>Véhicules neufs</v>
      </c>
      <c r="C37" s="30" t="s">
        <v>38</v>
      </c>
      <c r="D37" s="82"/>
      <c r="E37" s="83">
        <f t="shared" si="20"/>
        <v>92.93502223419793</v>
      </c>
      <c r="F37" s="31">
        <f>+SUM(START:END!F37)</f>
        <v>23081.02860634774</v>
      </c>
      <c r="G37" s="84"/>
      <c r="H37" s="83">
        <f t="shared" si="21"/>
        <v>92.93502223419793</v>
      </c>
      <c r="I37" s="31">
        <f>+SUM(START:END!I37)</f>
        <v>23081.02860634774</v>
      </c>
      <c r="J37" s="42"/>
      <c r="K37" s="83">
        <f t="shared" si="22"/>
        <v>6.2387407407407407</v>
      </c>
      <c r="L37" s="35">
        <f>+SUM(START:END!L37)</f>
        <v>842.23</v>
      </c>
      <c r="M37" s="14"/>
      <c r="N37" s="60">
        <f t="shared" si="23"/>
        <v>-22238.79860634774</v>
      </c>
      <c r="O37" s="42"/>
      <c r="P37" s="83">
        <f t="shared" si="24"/>
        <v>179.5781818181818</v>
      </c>
      <c r="Q37" s="34">
        <f>+SUM(START:END!Q37)</f>
        <v>43457.919999999998</v>
      </c>
      <c r="R37" s="42"/>
      <c r="S37" s="86">
        <f t="shared" si="25"/>
        <v>-42615.689999999995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2"/>
        <v>Véhicules neufs[...]</v>
      </c>
      <c r="B38" s="12" t="str">
        <f t="shared" si="1"/>
        <v>Véhicules neufs</v>
      </c>
      <c r="C38" s="30" t="s">
        <v>21</v>
      </c>
      <c r="D38" s="82"/>
      <c r="E38" s="83">
        <f t="shared" si="20"/>
        <v>0</v>
      </c>
      <c r="F38" s="31">
        <f>+SUM(START:END!F38)</f>
        <v>0</v>
      </c>
      <c r="G38" s="84"/>
      <c r="H38" s="83">
        <f t="shared" si="21"/>
        <v>0</v>
      </c>
      <c r="I38" s="31">
        <f>+SUM(START:END!I38)</f>
        <v>0</v>
      </c>
      <c r="J38" s="42"/>
      <c r="K38" s="83">
        <f t="shared" si="22"/>
        <v>0</v>
      </c>
      <c r="L38" s="35">
        <f>+SUM(START:END!L38)</f>
        <v>0</v>
      </c>
      <c r="M38" s="14"/>
      <c r="N38" s="60">
        <f t="shared" si="23"/>
        <v>0</v>
      </c>
      <c r="O38" s="42"/>
      <c r="P38" s="83">
        <f t="shared" si="24"/>
        <v>0</v>
      </c>
      <c r="Q38" s="34">
        <f>+SUM(START:END!Q38)</f>
        <v>0</v>
      </c>
      <c r="R38" s="42"/>
      <c r="S38" s="86">
        <f t="shared" si="25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2"/>
        <v>Véhicules neufs[...]</v>
      </c>
      <c r="B39" s="12" t="str">
        <f t="shared" si="1"/>
        <v>Véhicules neufs</v>
      </c>
      <c r="C39" s="30" t="s">
        <v>21</v>
      </c>
      <c r="D39" s="82"/>
      <c r="E39" s="83">
        <f t="shared" si="20"/>
        <v>0</v>
      </c>
      <c r="F39" s="31">
        <f>+SUM(START:END!F39)</f>
        <v>0</v>
      </c>
      <c r="G39" s="84"/>
      <c r="H39" s="83">
        <f t="shared" si="21"/>
        <v>0</v>
      </c>
      <c r="I39" s="31">
        <f>+SUM(START:END!I39)</f>
        <v>0</v>
      </c>
      <c r="J39" s="42"/>
      <c r="K39" s="83">
        <f t="shared" si="22"/>
        <v>0</v>
      </c>
      <c r="L39" s="35">
        <f>+SUM(START:END!L39)</f>
        <v>0</v>
      </c>
      <c r="M39" s="14"/>
      <c r="N39" s="60">
        <f t="shared" si="23"/>
        <v>0</v>
      </c>
      <c r="O39" s="42"/>
      <c r="P39" s="83">
        <f t="shared" si="24"/>
        <v>0</v>
      </c>
      <c r="Q39" s="34">
        <f>+SUM(START:END!Q39)</f>
        <v>0</v>
      </c>
      <c r="R39" s="42"/>
      <c r="S39" s="86">
        <f t="shared" si="25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2"/>
        <v>Véhicules neufs[...]</v>
      </c>
      <c r="B40" s="12" t="str">
        <f t="shared" si="1"/>
        <v>Véhicules neufs</v>
      </c>
      <c r="C40" s="30" t="s">
        <v>21</v>
      </c>
      <c r="D40" s="82"/>
      <c r="E40" s="83">
        <f t="shared" si="20"/>
        <v>0</v>
      </c>
      <c r="F40" s="31">
        <f>+SUM(START:END!F40)</f>
        <v>0</v>
      </c>
      <c r="G40" s="84"/>
      <c r="H40" s="83">
        <f t="shared" si="21"/>
        <v>0</v>
      </c>
      <c r="I40" s="31">
        <f>+SUM(START:END!I40)</f>
        <v>0</v>
      </c>
      <c r="J40" s="42"/>
      <c r="K40" s="83">
        <f t="shared" si="22"/>
        <v>0</v>
      </c>
      <c r="L40" s="53">
        <f>+SUM(START:END!L40)</f>
        <v>0</v>
      </c>
      <c r="M40" s="14"/>
      <c r="N40" s="60">
        <f t="shared" si="23"/>
        <v>0</v>
      </c>
      <c r="O40" s="42"/>
      <c r="P40" s="83">
        <f t="shared" si="24"/>
        <v>0</v>
      </c>
      <c r="Q40" s="34">
        <f>+SUM(START:END!Q40)</f>
        <v>0</v>
      </c>
      <c r="R40" s="42"/>
      <c r="S40" s="86">
        <f t="shared" si="25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2"/>
        <v>Véhicules neufsTOTAL VARIABLES</v>
      </c>
      <c r="B41" s="12" t="str">
        <f t="shared" si="1"/>
        <v>Véhicules neufs</v>
      </c>
      <c r="C41" s="96" t="s">
        <v>39</v>
      </c>
      <c r="D41" s="97" t="s">
        <v>40</v>
      </c>
      <c r="E41" s="98">
        <f>F41/F$27</f>
        <v>0.46665765518246344</v>
      </c>
      <c r="F41" s="99">
        <f>SUM(F31:F40)</f>
        <v>333108.32175499195</v>
      </c>
      <c r="G41" s="100" t="s">
        <v>40</v>
      </c>
      <c r="H41" s="98">
        <f>I41/I$27</f>
        <v>0.46665765518246344</v>
      </c>
      <c r="I41" s="99">
        <f>SUM(I31:I40)</f>
        <v>333108.32175499195</v>
      </c>
      <c r="J41" s="100" t="s">
        <v>40</v>
      </c>
      <c r="K41" s="98">
        <f>L41/L$27</f>
        <v>0.38586205771391635</v>
      </c>
      <c r="L41" s="99">
        <f>SUM(L31:L40)</f>
        <v>261107.18999999997</v>
      </c>
      <c r="M41" s="101"/>
      <c r="N41" s="99">
        <f>SUM(N31:N40)</f>
        <v>-72001.131754991991</v>
      </c>
      <c r="O41" s="100" t="s">
        <v>40</v>
      </c>
      <c r="P41" s="98">
        <f>Q41/Q$27</f>
        <v>0.46952738931226229</v>
      </c>
      <c r="Q41" s="102">
        <f>SUM(Q31:Q40)</f>
        <v>316042.21000000002</v>
      </c>
      <c r="R41" s="103"/>
      <c r="S41" s="104">
        <f t="shared" si="25"/>
        <v>-54935.020000000048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2"/>
        <v>Véhicules neufsSalaires cadres</v>
      </c>
      <c r="B42" s="12" t="str">
        <f t="shared" si="1"/>
        <v>Véhicules neufs</v>
      </c>
      <c r="C42" s="105" t="s">
        <v>42</v>
      </c>
      <c r="D42" s="14"/>
      <c r="E42" s="14"/>
      <c r="F42" s="31">
        <f>+SUM(START:END!F42)</f>
        <v>47131.75574712643</v>
      </c>
      <c r="G42" s="42">
        <f>I41/(I27+I83)</f>
        <v>0.30611955850684586</v>
      </c>
      <c r="H42" s="14"/>
      <c r="I42" s="31">
        <f>+SUM(START:END!I42)</f>
        <v>47131.75574712643</v>
      </c>
      <c r="J42" s="42">
        <f>L41/(L27+L83)</f>
        <v>0.30545664850729509</v>
      </c>
      <c r="K42" s="14"/>
      <c r="L42" s="34">
        <f>+SUM(START:END!L42)</f>
        <v>50735.840000000004</v>
      </c>
      <c r="M42" s="42"/>
      <c r="N42" s="60">
        <f t="shared" si="23"/>
        <v>3604.0842528735739</v>
      </c>
      <c r="O42" s="42"/>
      <c r="P42" s="14"/>
      <c r="Q42" s="34">
        <f>+SUM(START:END!Q42)</f>
        <v>65878.61</v>
      </c>
      <c r="R42" s="42"/>
      <c r="S42" s="62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2"/>
        <v>Véhicules neufsSalaires commis</v>
      </c>
      <c r="B43" s="12" t="str">
        <f t="shared" si="1"/>
        <v>Véhicules neufs</v>
      </c>
      <c r="C43" s="106" t="s">
        <v>43</v>
      </c>
      <c r="D43" s="82"/>
      <c r="E43" s="14"/>
      <c r="F43" s="23">
        <f>+SUM(START:END!F43)</f>
        <v>29030.16161396552</v>
      </c>
      <c r="G43" s="84"/>
      <c r="H43" s="14"/>
      <c r="I43" s="23">
        <f>+SUM(START:END!I43)</f>
        <v>29030.16161396552</v>
      </c>
      <c r="J43" s="42"/>
      <c r="K43" s="14"/>
      <c r="L43" s="34">
        <f>+SUM(START:END!L43)</f>
        <v>23417.269999999997</v>
      </c>
      <c r="M43" s="42"/>
      <c r="N43" s="60">
        <f t="shared" si="23"/>
        <v>-5612.891613965523</v>
      </c>
      <c r="O43" s="42"/>
      <c r="P43" s="14"/>
      <c r="Q43" s="34">
        <f>+SUM(START:END!Q43)</f>
        <v>29115.84</v>
      </c>
      <c r="R43" s="42"/>
      <c r="S43" s="86">
        <f t="shared" ref="S43:S53" si="26">L43-Q43</f>
        <v>-5698.5700000000033</v>
      </c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2"/>
        <v>Véhicules neufsSalaires autres</v>
      </c>
      <c r="B44" s="12" t="str">
        <f t="shared" si="1"/>
        <v>Véhicules neufs</v>
      </c>
      <c r="C44" s="105" t="s">
        <v>44</v>
      </c>
      <c r="D44" s="107"/>
      <c r="E44" s="108"/>
      <c r="F44" s="31">
        <f>+SUM(START:END!F44)</f>
        <v>26358.688227892715</v>
      </c>
      <c r="G44" s="109"/>
      <c r="H44" s="108"/>
      <c r="I44" s="31">
        <f>+SUM(START:END!I44)</f>
        <v>26358.688227892715</v>
      </c>
      <c r="J44" s="110"/>
      <c r="K44" s="108"/>
      <c r="L44" s="111">
        <f>+SUM(START:END!L44)</f>
        <v>11380.869999999999</v>
      </c>
      <c r="M44" s="110"/>
      <c r="N44" s="112">
        <f t="shared" si="23"/>
        <v>-14977.818227892716</v>
      </c>
      <c r="O44" s="110"/>
      <c r="P44" s="108"/>
      <c r="Q44" s="111">
        <f>+SUM(START:END!Q44)</f>
        <v>27261.439999999999</v>
      </c>
      <c r="R44" s="110"/>
      <c r="S44" s="113">
        <f t="shared" si="26"/>
        <v>-15880.57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2"/>
        <v>Véhicules neufsSalaires spécialistes</v>
      </c>
      <c r="B45" s="12" t="str">
        <f t="shared" si="1"/>
        <v>Véhicules neufs</v>
      </c>
      <c r="C45" s="105" t="s">
        <v>45</v>
      </c>
      <c r="D45" s="82"/>
      <c r="E45" s="14"/>
      <c r="F45" s="31">
        <f>+SUM(START:END!F45)</f>
        <v>0</v>
      </c>
      <c r="G45" s="84"/>
      <c r="H45" s="14"/>
      <c r="I45" s="31">
        <f>+SUM(START:END!I45)</f>
        <v>0</v>
      </c>
      <c r="J45" s="42"/>
      <c r="K45" s="14"/>
      <c r="L45" s="34">
        <f>+SUM(START:END!L45)</f>
        <v>0</v>
      </c>
      <c r="M45" s="42"/>
      <c r="N45" s="60">
        <f t="shared" si="23"/>
        <v>0</v>
      </c>
      <c r="O45" s="42"/>
      <c r="P45" s="14"/>
      <c r="Q45" s="34">
        <f>+SUM(START:END!Q45)</f>
        <v>0</v>
      </c>
      <c r="R45" s="42"/>
      <c r="S45" s="86">
        <f t="shared" si="26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2"/>
        <v>Véhicules neufs[...]</v>
      </c>
      <c r="B46" s="12" t="str">
        <f t="shared" si="1"/>
        <v>Véhicules neufs</v>
      </c>
      <c r="C46" s="105" t="s">
        <v>21</v>
      </c>
      <c r="D46" s="82"/>
      <c r="E46" s="14"/>
      <c r="F46" s="31">
        <f>+SUM(START:END!F46)</f>
        <v>0</v>
      </c>
      <c r="G46" s="84"/>
      <c r="H46" s="14"/>
      <c r="I46" s="31">
        <f>+SUM(START:END!I46)</f>
        <v>0</v>
      </c>
      <c r="J46" s="42"/>
      <c r="K46" s="14"/>
      <c r="L46" s="34">
        <f>+SUM(START:END!L46)</f>
        <v>0</v>
      </c>
      <c r="M46" s="42"/>
      <c r="N46" s="60">
        <f t="shared" si="23"/>
        <v>0</v>
      </c>
      <c r="O46" s="42"/>
      <c r="P46" s="14"/>
      <c r="Q46" s="34">
        <f>+SUM(START:END!Q46)</f>
        <v>0</v>
      </c>
      <c r="R46" s="42"/>
      <c r="S46" s="86">
        <f t="shared" si="26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2"/>
        <v>Véhicules neufs[...]</v>
      </c>
      <c r="B47" s="12" t="str">
        <f t="shared" si="1"/>
        <v>Véhicules neufs</v>
      </c>
      <c r="C47" s="105" t="s">
        <v>21</v>
      </c>
      <c r="D47" s="82"/>
      <c r="E47" s="14"/>
      <c r="F47" s="31">
        <f>+SUM(START:END!F47)</f>
        <v>0</v>
      </c>
      <c r="G47" s="84"/>
      <c r="H47" s="14"/>
      <c r="I47" s="31">
        <f>+SUM(START:END!I47)</f>
        <v>0</v>
      </c>
      <c r="J47" s="42"/>
      <c r="K47" s="14"/>
      <c r="L47" s="34">
        <f>+SUM(START:END!L47)</f>
        <v>0</v>
      </c>
      <c r="M47" s="42"/>
      <c r="N47" s="60">
        <f t="shared" si="23"/>
        <v>0</v>
      </c>
      <c r="O47" s="42"/>
      <c r="P47" s="14"/>
      <c r="Q47" s="34">
        <f>+SUM(START:END!Q47)</f>
        <v>0</v>
      </c>
      <c r="R47" s="42"/>
      <c r="S47" s="86">
        <f t="shared" si="26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2"/>
        <v>Véhicules neufs[...]</v>
      </c>
      <c r="B48" s="12" t="str">
        <f t="shared" si="1"/>
        <v>Véhicules neufs</v>
      </c>
      <c r="C48" s="105" t="s">
        <v>21</v>
      </c>
      <c r="D48" s="82"/>
      <c r="E48" s="14"/>
      <c r="F48" s="31">
        <f>+SUM(START:END!F48)</f>
        <v>0</v>
      </c>
      <c r="G48" s="84"/>
      <c r="H48" s="14"/>
      <c r="I48" s="31">
        <f>+SUM(START:END!I48)</f>
        <v>0</v>
      </c>
      <c r="J48" s="42"/>
      <c r="K48" s="14"/>
      <c r="L48" s="34">
        <f>+SUM(START:END!L48)</f>
        <v>0</v>
      </c>
      <c r="M48" s="42"/>
      <c r="N48" s="60">
        <f t="shared" si="23"/>
        <v>0</v>
      </c>
      <c r="O48" s="42"/>
      <c r="P48" s="14"/>
      <c r="Q48" s="34">
        <f>+SUM(START:END!Q48)</f>
        <v>0</v>
      </c>
      <c r="R48" s="42"/>
      <c r="S48" s="86">
        <f t="shared" si="26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2"/>
        <v>Véhicules neufsSalaires en absences</v>
      </c>
      <c r="B49" s="12" t="str">
        <f t="shared" si="1"/>
        <v>Véhicules neufs</v>
      </c>
      <c r="C49" s="106" t="s">
        <v>46</v>
      </c>
      <c r="D49" s="82"/>
      <c r="E49" s="14"/>
      <c r="F49" s="23">
        <f>+SUM(START:END!F49)</f>
        <v>38345.071847529645</v>
      </c>
      <c r="G49" s="84"/>
      <c r="H49" s="14"/>
      <c r="I49" s="23">
        <f>+SUM(START:END!I49)</f>
        <v>38345.071847529645</v>
      </c>
      <c r="J49" s="42"/>
      <c r="K49" s="14"/>
      <c r="L49" s="23">
        <f>+SUM(START:END!L49)</f>
        <v>46365.350000000006</v>
      </c>
      <c r="M49" s="42"/>
      <c r="N49" s="60">
        <f t="shared" si="23"/>
        <v>8020.2781524703605</v>
      </c>
      <c r="O49" s="42"/>
      <c r="P49" s="14"/>
      <c r="Q49" s="23">
        <f>+SUM(START:END!Q49)</f>
        <v>43896.08</v>
      </c>
      <c r="R49" s="42"/>
      <c r="S49" s="86">
        <f t="shared" si="26"/>
        <v>2469.2700000000041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2"/>
        <v>Véhicules neufsDéduction à la source</v>
      </c>
      <c r="B50" s="12" t="str">
        <f t="shared" si="1"/>
        <v>Véhicules neufs</v>
      </c>
      <c r="C50" s="105" t="s">
        <v>47</v>
      </c>
      <c r="D50" s="107"/>
      <c r="E50" s="108"/>
      <c r="F50" s="31">
        <f>+SUM(START:END!F50)</f>
        <v>34341.942429013448</v>
      </c>
      <c r="G50" s="109"/>
      <c r="H50" s="108"/>
      <c r="I50" s="31">
        <f>+SUM(START:END!I50)</f>
        <v>34341.942429013448</v>
      </c>
      <c r="J50" s="110"/>
      <c r="K50" s="108"/>
      <c r="L50" s="34">
        <f>+SUM(START:END!L50)</f>
        <v>58622.97</v>
      </c>
      <c r="M50" s="110"/>
      <c r="N50" s="112">
        <f t="shared" si="23"/>
        <v>24281.027570986553</v>
      </c>
      <c r="O50" s="110"/>
      <c r="P50" s="108"/>
      <c r="Q50" s="34">
        <f>+SUM(START:END!Q50)</f>
        <v>35144.770000000004</v>
      </c>
      <c r="R50" s="110"/>
      <c r="S50" s="113">
        <f t="shared" si="26"/>
        <v>23478.199999999997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2"/>
        <v>Véhicules neufsBénéfices marginaux</v>
      </c>
      <c r="B51" s="12" t="str">
        <f t="shared" si="1"/>
        <v>Véhicules neufs</v>
      </c>
      <c r="C51" s="105" t="s">
        <v>48</v>
      </c>
      <c r="D51" s="82"/>
      <c r="E51" s="14"/>
      <c r="F51" s="31">
        <f>+SUM(START:END!F51)</f>
        <v>27271.542517157744</v>
      </c>
      <c r="G51" s="84"/>
      <c r="H51" s="14"/>
      <c r="I51" s="31">
        <f>+SUM(START:END!I51)</f>
        <v>27271.542517157744</v>
      </c>
      <c r="J51" s="42"/>
      <c r="K51" s="14"/>
      <c r="L51" s="34">
        <f>+SUM(START:END!L51)</f>
        <v>22121.29</v>
      </c>
      <c r="M51" s="42"/>
      <c r="N51" s="60">
        <f t="shared" si="23"/>
        <v>-5150.2525171577436</v>
      </c>
      <c r="O51" s="42"/>
      <c r="P51" s="14"/>
      <c r="Q51" s="34">
        <f>+SUM(START:END!Q51)</f>
        <v>25187.07</v>
      </c>
      <c r="R51" s="42"/>
      <c r="S51" s="86">
        <f t="shared" si="26"/>
        <v>-3065.7799999999988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2"/>
        <v>Véhicules neufsCsst</v>
      </c>
      <c r="B52" s="12" t="str">
        <f t="shared" si="1"/>
        <v>Véhicules neufs</v>
      </c>
      <c r="C52" s="105" t="s">
        <v>49</v>
      </c>
      <c r="D52" s="82"/>
      <c r="E52" s="14"/>
      <c r="F52" s="31">
        <f>+SUM(START:END!F52)</f>
        <v>11110.628432916117</v>
      </c>
      <c r="G52" s="84"/>
      <c r="H52" s="14"/>
      <c r="I52" s="31">
        <f>+SUM(START:END!I52)</f>
        <v>11110.628432916117</v>
      </c>
      <c r="J52" s="42"/>
      <c r="K52" s="14"/>
      <c r="L52" s="34">
        <f>+SUM(START:END!L52)</f>
        <v>10377.540000000001</v>
      </c>
      <c r="M52" s="42"/>
      <c r="N52" s="60">
        <f t="shared" si="23"/>
        <v>-733.08843291611629</v>
      </c>
      <c r="O52" s="42"/>
      <c r="P52" s="14"/>
      <c r="Q52" s="34">
        <f>+SUM(START:END!Q52)</f>
        <v>5857.47</v>
      </c>
      <c r="R52" s="42"/>
      <c r="S52" s="86">
        <f t="shared" si="26"/>
        <v>4520.0700000000006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2"/>
        <v>Véhicules neufs[...]</v>
      </c>
      <c r="B53" s="12" t="str">
        <f t="shared" si="1"/>
        <v>Véhicules neufs</v>
      </c>
      <c r="C53" s="30" t="s">
        <v>21</v>
      </c>
      <c r="D53" s="89"/>
      <c r="E53" s="114"/>
      <c r="F53" s="31">
        <f>+SUM(START:END!F53)</f>
        <v>0</v>
      </c>
      <c r="G53" s="91"/>
      <c r="H53" s="114"/>
      <c r="I53" s="31">
        <f>+SUM(START:END!I53)</f>
        <v>0</v>
      </c>
      <c r="J53" s="24"/>
      <c r="K53" s="114"/>
      <c r="L53" s="34">
        <f>+SUM(START:END!L53)</f>
        <v>0</v>
      </c>
      <c r="M53" s="24"/>
      <c r="N53" s="94">
        <f t="shared" si="23"/>
        <v>0</v>
      </c>
      <c r="O53" s="24"/>
      <c r="P53" s="114"/>
      <c r="Q53" s="34">
        <f>+SUM(START:END!Q53)</f>
        <v>0</v>
      </c>
      <c r="R53" s="24"/>
      <c r="S53" s="95">
        <f t="shared" si="26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2"/>
        <v>Véhicules neufsTOTAL PERSONNEL</v>
      </c>
      <c r="B54" s="12" t="str">
        <f t="shared" si="1"/>
        <v>Véhicules neufs</v>
      </c>
      <c r="C54" s="96" t="s">
        <v>50</v>
      </c>
      <c r="D54" s="97" t="s">
        <v>40</v>
      </c>
      <c r="E54" s="98">
        <f>F54/F$27</f>
        <v>0.29922191804692683</v>
      </c>
      <c r="F54" s="99">
        <f>+SUM(F42:F53)</f>
        <v>213589.79081560165</v>
      </c>
      <c r="G54" s="100" t="s">
        <v>40</v>
      </c>
      <c r="H54" s="98">
        <f>I54/I$27</f>
        <v>0.29922191804692683</v>
      </c>
      <c r="I54" s="99">
        <f>+SUM(I42:I53)</f>
        <v>213589.79081560165</v>
      </c>
      <c r="J54" s="100" t="s">
        <v>40</v>
      </c>
      <c r="K54" s="98">
        <f>L54/L$27</f>
        <v>0.32957879151272268</v>
      </c>
      <c r="L54" s="99">
        <f>+SUM(L42:L53)</f>
        <v>223021.13000000003</v>
      </c>
      <c r="M54" s="103"/>
      <c r="N54" s="99">
        <f>+SUM(N42:N53)</f>
        <v>9431.3391843983882</v>
      </c>
      <c r="O54" s="100" t="s">
        <v>40</v>
      </c>
      <c r="P54" s="98">
        <f>Q54/Q$27</f>
        <v>0.34517729333644814</v>
      </c>
      <c r="Q54" s="99">
        <f>+SUM(Q42:Q53)</f>
        <v>232341.28</v>
      </c>
      <c r="R54" s="103"/>
      <c r="S54" s="104">
        <f>+SUM(S42:S53)</f>
        <v>5822.62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2"/>
        <v>Véhicules neufsPublicité 2</v>
      </c>
      <c r="B55" s="12" t="str">
        <f t="shared" si="1"/>
        <v>Véhicules neufs</v>
      </c>
      <c r="C55" s="30" t="s">
        <v>51</v>
      </c>
      <c r="D55" s="82"/>
      <c r="E55" s="14"/>
      <c r="F55" s="31">
        <f>+SUM(START:END!F55)</f>
        <v>0</v>
      </c>
      <c r="G55" s="42">
        <f>I54/(I27+I83)</f>
        <v>0.19628453627806039</v>
      </c>
      <c r="H55" s="14"/>
      <c r="I55" s="31">
        <f>+SUM(START:END!I55)</f>
        <v>0</v>
      </c>
      <c r="J55" s="42">
        <f>L54/(L27+L83)</f>
        <v>0.26090161253740191</v>
      </c>
      <c r="K55" s="14"/>
      <c r="L55" s="34">
        <f>+SUM(START:END!L55)</f>
        <v>0</v>
      </c>
      <c r="M55" s="42"/>
      <c r="N55" s="60">
        <f t="shared" ref="N55:N71" si="27">L55-I55</f>
        <v>0</v>
      </c>
      <c r="O55" s="42"/>
      <c r="P55" s="14"/>
      <c r="Q55" s="34">
        <f>+SUM(START:END!Q55)</f>
        <v>0</v>
      </c>
      <c r="R55" s="42"/>
      <c r="S55" s="86">
        <f t="shared" ref="S55:S71" si="28">L55-Q55</f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2"/>
        <v>Véhicules neufsService gratuit 2</v>
      </c>
      <c r="B56" s="12" t="str">
        <f t="shared" si="1"/>
        <v>Véhicules neufs</v>
      </c>
      <c r="C56" s="30" t="s">
        <v>52</v>
      </c>
      <c r="D56" s="82"/>
      <c r="E56" s="14"/>
      <c r="F56" s="31">
        <f>+SUM(START:END!F56)</f>
        <v>0</v>
      </c>
      <c r="G56" s="84"/>
      <c r="H56" s="14"/>
      <c r="I56" s="31">
        <f>+SUM(START:END!I56)</f>
        <v>0</v>
      </c>
      <c r="J56" s="42"/>
      <c r="K56" s="14"/>
      <c r="L56" s="34">
        <f>+SUM(START:END!L56)</f>
        <v>0</v>
      </c>
      <c r="M56" s="42"/>
      <c r="N56" s="60">
        <f t="shared" si="27"/>
        <v>0</v>
      </c>
      <c r="O56" s="42"/>
      <c r="P56" s="14"/>
      <c r="Q56" s="34">
        <f>+SUM(START:END!Q56)</f>
        <v>0</v>
      </c>
      <c r="R56" s="42"/>
      <c r="S56" s="86">
        <f t="shared" si="28"/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2"/>
        <v>Véhicules neufsFrais véhicules de cie</v>
      </c>
      <c r="B57" s="12" t="str">
        <f t="shared" si="1"/>
        <v>Véhicules neufs</v>
      </c>
      <c r="C57" s="88" t="s">
        <v>53</v>
      </c>
      <c r="D57" s="89"/>
      <c r="E57" s="114"/>
      <c r="F57" s="23">
        <f>+SUM(START:END!F57)</f>
        <v>21968.82</v>
      </c>
      <c r="G57" s="91"/>
      <c r="H57" s="114"/>
      <c r="I57" s="23">
        <f>+SUM(START:END!I57)</f>
        <v>21968.82</v>
      </c>
      <c r="J57" s="24"/>
      <c r="K57" s="114"/>
      <c r="L57" s="23">
        <f>+SUM(START:END!L57)</f>
        <v>22763.730000000003</v>
      </c>
      <c r="M57" s="24"/>
      <c r="N57" s="94">
        <f t="shared" si="27"/>
        <v>794.91000000000349</v>
      </c>
      <c r="O57" s="24"/>
      <c r="P57" s="114"/>
      <c r="Q57" s="23">
        <f>+SUM(START:END!Q57)</f>
        <v>18246.87</v>
      </c>
      <c r="R57" s="24"/>
      <c r="S57" s="95">
        <f t="shared" si="28"/>
        <v>4516.8600000000042</v>
      </c>
      <c r="T57" s="115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2"/>
        <v>Véhicules neufsInformatique</v>
      </c>
      <c r="B58" s="12" t="str">
        <f t="shared" si="1"/>
        <v>Véhicules neufs</v>
      </c>
      <c r="C58" s="30" t="s">
        <v>54</v>
      </c>
      <c r="D58" s="82"/>
      <c r="E58" s="14"/>
      <c r="F58" s="31">
        <f>+SUM(START:END!F58)</f>
        <v>20502.586280000003</v>
      </c>
      <c r="G58" s="84"/>
      <c r="H58" s="14"/>
      <c r="I58" s="31">
        <f>+SUM(START:END!I58)</f>
        <v>20502.586280000003</v>
      </c>
      <c r="J58" s="42"/>
      <c r="K58" s="14"/>
      <c r="L58" s="34">
        <f>+SUM(START:END!L58)</f>
        <v>21198.41</v>
      </c>
      <c r="M58" s="42"/>
      <c r="N58" s="60">
        <f t="shared" si="27"/>
        <v>695.82371999999668</v>
      </c>
      <c r="O58" s="42"/>
      <c r="P58" s="14"/>
      <c r="Q58" s="34">
        <f>+SUM(START:END!Q58)</f>
        <v>17320.86</v>
      </c>
      <c r="R58" s="42"/>
      <c r="S58" s="86">
        <f t="shared" si="28"/>
        <v>3877.5499999999993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2"/>
        <v>Véhicules neufsFrais de déplacement</v>
      </c>
      <c r="B59" s="12" t="str">
        <f t="shared" si="1"/>
        <v>Véhicules neufs</v>
      </c>
      <c r="C59" s="30" t="s">
        <v>55</v>
      </c>
      <c r="D59" s="82"/>
      <c r="E59" s="14"/>
      <c r="F59" s="31">
        <f>+SUM(START:END!F59)</f>
        <v>2376.4254000000001</v>
      </c>
      <c r="G59" s="84"/>
      <c r="H59" s="14"/>
      <c r="I59" s="31">
        <f>+SUM(START:END!I59)</f>
        <v>2376.4254000000001</v>
      </c>
      <c r="J59" s="42"/>
      <c r="K59" s="14"/>
      <c r="L59" s="34">
        <f>+SUM(START:END!L59)</f>
        <v>4668.96</v>
      </c>
      <c r="M59" s="42"/>
      <c r="N59" s="60">
        <f t="shared" si="27"/>
        <v>2292.5346</v>
      </c>
      <c r="O59" s="42"/>
      <c r="P59" s="14"/>
      <c r="Q59" s="34">
        <f>+SUM(START:END!Q59)</f>
        <v>1434.74</v>
      </c>
      <c r="R59" s="42"/>
      <c r="S59" s="86">
        <f t="shared" si="28"/>
        <v>3234.2200000000003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2"/>
        <v>Véhicules neufsServices extérieurs</v>
      </c>
      <c r="B60" s="12" t="str">
        <f t="shared" si="1"/>
        <v>Véhicules neufs</v>
      </c>
      <c r="C60" s="88" t="s">
        <v>56</v>
      </c>
      <c r="D60" s="89"/>
      <c r="E60" s="114"/>
      <c r="F60" s="23">
        <f>+SUM(START:END!F60)</f>
        <v>19976.550933333332</v>
      </c>
      <c r="G60" s="91"/>
      <c r="H60" s="114"/>
      <c r="I60" s="23">
        <f>+SUM(START:END!I60)</f>
        <v>19976.550933333332</v>
      </c>
      <c r="J60" s="24"/>
      <c r="K60" s="114"/>
      <c r="L60" s="23">
        <f>+SUM(START:END!L60)</f>
        <v>19915.71</v>
      </c>
      <c r="M60" s="24"/>
      <c r="N60" s="94">
        <f t="shared" si="27"/>
        <v>-60.840933333332941</v>
      </c>
      <c r="O60" s="24"/>
      <c r="P60" s="114"/>
      <c r="Q60" s="23">
        <f>+SUM(START:END!Q60)</f>
        <v>22901.42</v>
      </c>
      <c r="R60" s="24"/>
      <c r="S60" s="95">
        <f t="shared" si="28"/>
        <v>-2985.7099999999991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2"/>
        <v>Véhicules neufsFournitures autres</v>
      </c>
      <c r="B61" s="12" t="str">
        <f t="shared" si="1"/>
        <v>Véhicules neufs</v>
      </c>
      <c r="C61" s="30" t="s">
        <v>57</v>
      </c>
      <c r="D61" s="82"/>
      <c r="E61" s="14"/>
      <c r="F61" s="31">
        <f>+SUM(START:END!F61)</f>
        <v>296.69411528651915</v>
      </c>
      <c r="G61" s="84"/>
      <c r="H61" s="14"/>
      <c r="I61" s="31">
        <f>+SUM(START:END!I61)</f>
        <v>296.69411528651915</v>
      </c>
      <c r="J61" s="42"/>
      <c r="K61" s="14"/>
      <c r="L61" s="34">
        <f>+SUM(START:END!L61)</f>
        <v>15.24</v>
      </c>
      <c r="M61" s="42"/>
      <c r="N61" s="60">
        <f t="shared" si="27"/>
        <v>-281.45411528651914</v>
      </c>
      <c r="O61" s="42"/>
      <c r="P61" s="14"/>
      <c r="Q61" s="34">
        <f>+SUM(START:END!Q61)</f>
        <v>626.87000000000012</v>
      </c>
      <c r="R61" s="42"/>
      <c r="S61" s="86">
        <f t="shared" si="28"/>
        <v>-611.63000000000011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2"/>
        <v>Véhicules neufsUniformes</v>
      </c>
      <c r="B62" s="12" t="str">
        <f t="shared" si="1"/>
        <v>Véhicules neufs</v>
      </c>
      <c r="C62" s="30" t="s">
        <v>58</v>
      </c>
      <c r="D62" s="82"/>
      <c r="E62" s="14"/>
      <c r="F62" s="31">
        <f>+SUM(START:END!F62)</f>
        <v>157.65545343306846</v>
      </c>
      <c r="G62" s="84"/>
      <c r="H62" s="14"/>
      <c r="I62" s="31">
        <f>+SUM(START:END!I62)</f>
        <v>157.65545343306846</v>
      </c>
      <c r="J62" s="42"/>
      <c r="K62" s="14"/>
      <c r="L62" s="34">
        <f>+SUM(START:END!L62)</f>
        <v>0</v>
      </c>
      <c r="M62" s="42"/>
      <c r="N62" s="60">
        <f t="shared" si="27"/>
        <v>-157.65545343306846</v>
      </c>
      <c r="O62" s="42"/>
      <c r="P62" s="14"/>
      <c r="Q62" s="34">
        <f>+SUM(START:END!Q62)</f>
        <v>0</v>
      </c>
      <c r="R62" s="42"/>
      <c r="S62" s="86">
        <f t="shared" si="28"/>
        <v>0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2"/>
        <v>Véhicules neufsPapeterie</v>
      </c>
      <c r="B63" s="12" t="str">
        <f t="shared" si="1"/>
        <v>Véhicules neufs</v>
      </c>
      <c r="C63" s="30" t="s">
        <v>59</v>
      </c>
      <c r="D63" s="82"/>
      <c r="E63" s="14"/>
      <c r="F63" s="31">
        <f>+SUM(START:END!F63)</f>
        <v>1958.5929599999999</v>
      </c>
      <c r="G63" s="84"/>
      <c r="H63" s="14"/>
      <c r="I63" s="31">
        <f>+SUM(START:END!I63)</f>
        <v>1958.5929599999999</v>
      </c>
      <c r="J63" s="42"/>
      <c r="K63" s="14"/>
      <c r="L63" s="33">
        <f>+SUM(START:END!L63)</f>
        <v>1892.29</v>
      </c>
      <c r="M63" s="42"/>
      <c r="N63" s="60">
        <f t="shared" si="27"/>
        <v>-66.302959999999985</v>
      </c>
      <c r="O63" s="42"/>
      <c r="P63" s="14"/>
      <c r="Q63" s="33">
        <f>+SUM(START:END!Q63)</f>
        <v>2060.04</v>
      </c>
      <c r="R63" s="42"/>
      <c r="S63" s="86">
        <f t="shared" si="28"/>
        <v>-167.75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2"/>
        <v>Véhicules neufsTéléphone</v>
      </c>
      <c r="B64" s="12" t="str">
        <f t="shared" si="1"/>
        <v>Véhicules neufs</v>
      </c>
      <c r="C64" s="30" t="s">
        <v>60</v>
      </c>
      <c r="D64" s="82"/>
      <c r="E64" s="14"/>
      <c r="F64" s="31">
        <f>+SUM(START:END!F64)</f>
        <v>904.39358000000016</v>
      </c>
      <c r="G64" s="84"/>
      <c r="H64" s="14"/>
      <c r="I64" s="31">
        <f>+SUM(START:END!I64)</f>
        <v>904.39358000000016</v>
      </c>
      <c r="J64" s="42"/>
      <c r="K64" s="14"/>
      <c r="L64" s="34">
        <f>+SUM(START:END!L64)</f>
        <v>935.44</v>
      </c>
      <c r="M64" s="42"/>
      <c r="N64" s="60">
        <f t="shared" si="27"/>
        <v>31.046419999999898</v>
      </c>
      <c r="O64" s="42"/>
      <c r="P64" s="14"/>
      <c r="Q64" s="34">
        <f>+SUM(START:END!Q64)</f>
        <v>644.74</v>
      </c>
      <c r="R64" s="42"/>
      <c r="S64" s="86">
        <f t="shared" si="28"/>
        <v>290.70000000000005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2"/>
        <v>Véhicules neufsFrais postaux</v>
      </c>
      <c r="B65" s="12" t="str">
        <f t="shared" si="1"/>
        <v>Véhicules neufs</v>
      </c>
      <c r="C65" s="30" t="s">
        <v>61</v>
      </c>
      <c r="D65" s="82"/>
      <c r="E65" s="14"/>
      <c r="F65" s="31">
        <f>+SUM(START:END!F65)</f>
        <v>482.75121999999988</v>
      </c>
      <c r="G65" s="84"/>
      <c r="H65" s="14"/>
      <c r="I65" s="31">
        <f>+SUM(START:END!I65)</f>
        <v>482.75121999999988</v>
      </c>
      <c r="J65" s="42"/>
      <c r="K65" s="14"/>
      <c r="L65" s="34">
        <f>+SUM(START:END!L65)</f>
        <v>386.44999999999993</v>
      </c>
      <c r="M65" s="42"/>
      <c r="N65" s="60">
        <f t="shared" si="27"/>
        <v>-96.301219999999944</v>
      </c>
      <c r="O65" s="42"/>
      <c r="P65" s="14"/>
      <c r="Q65" s="34">
        <f>+SUM(START:END!Q65)</f>
        <v>459.89</v>
      </c>
      <c r="R65" s="42"/>
      <c r="S65" s="86">
        <f t="shared" si="28"/>
        <v>-73.440000000000055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2"/>
        <v>Véhicules neufsDivers</v>
      </c>
      <c r="B66" s="12" t="str">
        <f t="shared" si="1"/>
        <v>Véhicules neufs</v>
      </c>
      <c r="C66" s="30" t="s">
        <v>62</v>
      </c>
      <c r="D66" s="82"/>
      <c r="E66" s="14"/>
      <c r="F66" s="31">
        <f>+SUM(START:END!F66)</f>
        <v>2328.7007799999992</v>
      </c>
      <c r="G66" s="84"/>
      <c r="H66" s="14"/>
      <c r="I66" s="31">
        <f>+SUM(START:END!I66)</f>
        <v>2328.7007799999992</v>
      </c>
      <c r="J66" s="42"/>
      <c r="K66" s="14"/>
      <c r="L66" s="34">
        <f>+SUM(START:END!L66)</f>
        <v>1426.53</v>
      </c>
      <c r="M66" s="42"/>
      <c r="N66" s="60">
        <f t="shared" si="27"/>
        <v>-902.17077999999924</v>
      </c>
      <c r="O66" s="42"/>
      <c r="P66" s="14"/>
      <c r="Q66" s="34">
        <f>+SUM(START:END!Q66)</f>
        <v>2660.9</v>
      </c>
      <c r="R66" s="42"/>
      <c r="S66" s="86">
        <f t="shared" si="28"/>
        <v>-1234.3700000000001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2"/>
        <v>Véhicules neufsFormation</v>
      </c>
      <c r="B67" s="12" t="str">
        <f t="shared" si="1"/>
        <v>Véhicules neufs</v>
      </c>
      <c r="C67" s="30" t="s">
        <v>63</v>
      </c>
      <c r="D67" s="82"/>
      <c r="E67" s="14"/>
      <c r="F67" s="31">
        <f>+SUM(START:END!F67)</f>
        <v>3459.7688000000003</v>
      </c>
      <c r="G67" s="84"/>
      <c r="H67" s="14"/>
      <c r="I67" s="31">
        <f>+SUM(START:END!I67)</f>
        <v>3459.7688000000003</v>
      </c>
      <c r="J67" s="42"/>
      <c r="K67" s="14"/>
      <c r="L67" s="34">
        <f>+SUM(START:END!L67)</f>
        <v>2886.3900000000003</v>
      </c>
      <c r="M67" s="42"/>
      <c r="N67" s="60">
        <f t="shared" si="27"/>
        <v>-573.37879999999996</v>
      </c>
      <c r="O67" s="42"/>
      <c r="P67" s="14"/>
      <c r="Q67" s="34">
        <f>+SUM(START:END!Q67)</f>
        <v>2209.9900000000002</v>
      </c>
      <c r="R67" s="42"/>
      <c r="S67" s="86">
        <f t="shared" si="28"/>
        <v>676.40000000000009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2"/>
        <v>Véhicules neufsFrais bancaires</v>
      </c>
      <c r="B68" s="12" t="str">
        <f t="shared" si="1"/>
        <v>Véhicules neufs</v>
      </c>
      <c r="C68" s="30" t="s">
        <v>64</v>
      </c>
      <c r="D68" s="82"/>
      <c r="E68" s="14"/>
      <c r="F68" s="31">
        <f>+SUM(START:END!F68)</f>
        <v>8404.9947248040971</v>
      </c>
      <c r="G68" s="84"/>
      <c r="H68" s="14"/>
      <c r="I68" s="31">
        <f>+SUM(START:END!I68)</f>
        <v>8404.9947248040971</v>
      </c>
      <c r="J68" s="42"/>
      <c r="K68" s="14"/>
      <c r="L68" s="33">
        <f>+SUM(START:END!L68)</f>
        <v>11501.901</v>
      </c>
      <c r="M68" s="42"/>
      <c r="N68" s="60">
        <f t="shared" si="27"/>
        <v>3096.9062751959027</v>
      </c>
      <c r="O68" s="42"/>
      <c r="P68" s="14"/>
      <c r="Q68" s="34">
        <f>+SUM(START:END!Q68)</f>
        <v>10262.574000000001</v>
      </c>
      <c r="R68" s="42"/>
      <c r="S68" s="86">
        <f t="shared" si="28"/>
        <v>1239.3269999999993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2"/>
        <v>Véhicules neufs[...]</v>
      </c>
      <c r="B69" s="12" t="str">
        <f t="shared" si="1"/>
        <v>Véhicules neufs</v>
      </c>
      <c r="C69" s="30" t="s">
        <v>21</v>
      </c>
      <c r="D69" s="82"/>
      <c r="E69" s="14"/>
      <c r="F69" s="31">
        <f>+SUM(START:END!F69)</f>
        <v>0</v>
      </c>
      <c r="G69" s="84"/>
      <c r="H69" s="14"/>
      <c r="I69" s="31">
        <f>+SUM(START:END!I69)</f>
        <v>0</v>
      </c>
      <c r="J69" s="42"/>
      <c r="K69" s="14"/>
      <c r="L69" s="34">
        <f>+SUM(START:END!L69)</f>
        <v>0</v>
      </c>
      <c r="M69" s="42"/>
      <c r="N69" s="60">
        <f t="shared" si="27"/>
        <v>0</v>
      </c>
      <c r="O69" s="42"/>
      <c r="P69" s="14"/>
      <c r="Q69" s="34">
        <f>+SUM(START:END!Q69)</f>
        <v>0</v>
      </c>
      <c r="R69" s="42"/>
      <c r="S69" s="86">
        <f t="shared" si="28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2"/>
        <v>Véhicules neufs[...]</v>
      </c>
      <c r="B70" s="12" t="str">
        <f t="shared" si="1"/>
        <v>Véhicules neufs</v>
      </c>
      <c r="C70" s="30" t="s">
        <v>21</v>
      </c>
      <c r="D70" s="82"/>
      <c r="E70" s="14"/>
      <c r="F70" s="31">
        <f>+SUM(START:END!F70)</f>
        <v>0</v>
      </c>
      <c r="G70" s="84"/>
      <c r="H70" s="14"/>
      <c r="I70" s="31">
        <f>+SUM(START:END!I70)</f>
        <v>0</v>
      </c>
      <c r="J70" s="42"/>
      <c r="K70" s="14"/>
      <c r="L70" s="34">
        <f>+SUM(START:END!L70)</f>
        <v>0</v>
      </c>
      <c r="M70" s="42"/>
      <c r="N70" s="60">
        <f t="shared" si="27"/>
        <v>0</v>
      </c>
      <c r="O70" s="42"/>
      <c r="P70" s="14"/>
      <c r="Q70" s="34">
        <f>+SUM(START:END!Q70)</f>
        <v>0</v>
      </c>
      <c r="R70" s="42"/>
      <c r="S70" s="86">
        <f t="shared" si="28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2"/>
        <v>Véhicules neufs[...]</v>
      </c>
      <c r="B71" s="12" t="str">
        <f t="shared" si="1"/>
        <v>Véhicules neufs</v>
      </c>
      <c r="C71" s="30" t="s">
        <v>21</v>
      </c>
      <c r="D71" s="82"/>
      <c r="E71" s="14"/>
      <c r="F71" s="31">
        <f>+SUM(START:END!F71)</f>
        <v>0</v>
      </c>
      <c r="G71" s="84"/>
      <c r="H71" s="14"/>
      <c r="I71" s="31">
        <f>+SUM(START:END!I71)</f>
        <v>0</v>
      </c>
      <c r="J71" s="42"/>
      <c r="K71" s="14"/>
      <c r="L71" s="34">
        <f>+SUM(START:END!L71)</f>
        <v>0</v>
      </c>
      <c r="M71" s="42"/>
      <c r="N71" s="60">
        <f t="shared" si="27"/>
        <v>0</v>
      </c>
      <c r="O71" s="42"/>
      <c r="P71" s="14"/>
      <c r="Q71" s="34">
        <f>+SUM(START:END!Q71)</f>
        <v>0</v>
      </c>
      <c r="R71" s="42"/>
      <c r="S71" s="86">
        <f t="shared" si="28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2"/>
        <v>Véhicules neufsTOTAL SEMI-FIXES</v>
      </c>
      <c r="B72" s="12" t="str">
        <f t="shared" si="1"/>
        <v>Véhicules neufs</v>
      </c>
      <c r="C72" s="96" t="s">
        <v>65</v>
      </c>
      <c r="D72" s="97" t="s">
        <v>40</v>
      </c>
      <c r="E72" s="98">
        <f>F72/F$27</f>
        <v>0.11602118733953416</v>
      </c>
      <c r="F72" s="99">
        <f>+SUM(F55:F71)</f>
        <v>82817.934246857039</v>
      </c>
      <c r="G72" s="100" t="s">
        <v>40</v>
      </c>
      <c r="H72" s="98">
        <f>I72/I$27</f>
        <v>0.11602118733953416</v>
      </c>
      <c r="I72" s="99">
        <f>+SUM(I55:I71)</f>
        <v>82817.934246857039</v>
      </c>
      <c r="J72" s="100" t="s">
        <v>40</v>
      </c>
      <c r="K72" s="98">
        <f>L72/L$27</f>
        <v>0.12944133471079289</v>
      </c>
      <c r="L72" s="99">
        <f>+SUM(L55:L71)</f>
        <v>87591.050999999992</v>
      </c>
      <c r="M72" s="103"/>
      <c r="N72" s="99">
        <f>+SUM(N55:N71)</f>
        <v>4773.1167531429837</v>
      </c>
      <c r="O72" s="100" t="s">
        <v>40</v>
      </c>
      <c r="P72" s="98">
        <f>Q72/Q$27</f>
        <v>0.11711196679137592</v>
      </c>
      <c r="Q72" s="99">
        <f>+SUM(Q55:Q71)</f>
        <v>78828.894</v>
      </c>
      <c r="R72" s="103"/>
      <c r="S72" s="104">
        <f>+SUM(S55:S71)</f>
        <v>8762.1570000000047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2"/>
        <v>Véhicules neufs</v>
      </c>
      <c r="B73" s="12" t="str">
        <f t="shared" si="1"/>
        <v>Véhicules neufs</v>
      </c>
      <c r="C73" s="88"/>
      <c r="D73" s="89"/>
      <c r="E73" s="114"/>
      <c r="F73" s="60"/>
      <c r="G73" s="91"/>
      <c r="H73" s="114"/>
      <c r="I73" s="60"/>
      <c r="J73" s="24"/>
      <c r="K73" s="114"/>
      <c r="L73" s="94"/>
      <c r="M73" s="24"/>
      <c r="N73" s="94"/>
      <c r="O73" s="24"/>
      <c r="P73" s="114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2"/>
        <v>Véhicules neufsTOTAL DES DÉPENSES</v>
      </c>
      <c r="B74" s="12" t="str">
        <f t="shared" si="1"/>
        <v>Véhicules neufs</v>
      </c>
      <c r="C74" s="96" t="s">
        <v>66</v>
      </c>
      <c r="D74" s="97" t="s">
        <v>40</v>
      </c>
      <c r="E74" s="98">
        <f>F74/F$27</f>
        <v>0.88190076056892452</v>
      </c>
      <c r="F74" s="99">
        <f>F41+F54+F72</f>
        <v>629516.04681745067</v>
      </c>
      <c r="G74" s="100" t="s">
        <v>40</v>
      </c>
      <c r="H74" s="98">
        <f>I74/I$27</f>
        <v>0.88190076056892452</v>
      </c>
      <c r="I74" s="99">
        <f>I41+I54+I72</f>
        <v>629516.04681745067</v>
      </c>
      <c r="J74" s="100" t="s">
        <v>40</v>
      </c>
      <c r="K74" s="98">
        <f>L74/L$27</f>
        <v>0.84488218393743197</v>
      </c>
      <c r="L74" s="99">
        <f>L41+L54+L72</f>
        <v>571719.37100000004</v>
      </c>
      <c r="M74" s="103"/>
      <c r="N74" s="116">
        <f>L74-I74</f>
        <v>-57796.675817450625</v>
      </c>
      <c r="O74" s="100" t="s">
        <v>40</v>
      </c>
      <c r="P74" s="98">
        <f>Q74/Q$27</f>
        <v>0.93181664944008624</v>
      </c>
      <c r="Q74" s="99">
        <f>Q41+Q54+Q72</f>
        <v>627212.38399999996</v>
      </c>
      <c r="R74" s="103"/>
      <c r="S74" s="117">
        <f>L74-Q74</f>
        <v>-55493.012999999919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2"/>
        <v>Véhicules neufsProgramme neuf 1</v>
      </c>
      <c r="B75" s="12" t="str">
        <f t="shared" si="1"/>
        <v>Véhicules neufs</v>
      </c>
      <c r="C75" s="30" t="s">
        <v>200</v>
      </c>
      <c r="D75" s="82"/>
      <c r="E75" s="14"/>
      <c r="F75" s="31">
        <f>+SUM(START:END!F75)</f>
        <v>20185.2</v>
      </c>
      <c r="G75" s="84"/>
      <c r="H75" s="14"/>
      <c r="I75" s="31">
        <f>+SUM(START:END!I75)</f>
        <v>20185.2</v>
      </c>
      <c r="J75" s="42"/>
      <c r="K75" s="14"/>
      <c r="L75" s="33">
        <f>+SUM(START:END!L75)</f>
        <v>22000</v>
      </c>
      <c r="M75" s="42"/>
      <c r="N75" s="60">
        <f t="shared" ref="N75:N82" si="29">L75-I75</f>
        <v>1814.7999999999993</v>
      </c>
      <c r="O75" s="42"/>
      <c r="P75" s="14"/>
      <c r="Q75" s="33">
        <f>+SUM(START:END!Q75)</f>
        <v>0</v>
      </c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2"/>
        <v>Véhicules neufsProgramme neuf 2</v>
      </c>
      <c r="B76" s="12" t="str">
        <f t="shared" si="1"/>
        <v>Véhicules neufs</v>
      </c>
      <c r="C76" s="30" t="s">
        <v>197</v>
      </c>
      <c r="D76" s="82"/>
      <c r="E76" s="14"/>
      <c r="F76" s="31">
        <f>+SUM(START:END!F76)</f>
        <v>0</v>
      </c>
      <c r="G76" s="84"/>
      <c r="H76" s="14"/>
      <c r="I76" s="31">
        <f>+SUM(START:END!I76)</f>
        <v>0</v>
      </c>
      <c r="J76" s="42"/>
      <c r="K76" s="14"/>
      <c r="L76" s="33">
        <f>+SUM(START:END!L76)</f>
        <v>0</v>
      </c>
      <c r="M76" s="42"/>
      <c r="N76" s="60">
        <f>L76-I76</f>
        <v>0</v>
      </c>
      <c r="O76" s="42"/>
      <c r="P76" s="14"/>
      <c r="Q76" s="33">
        <f>+SUM(START:END!Q76)</f>
        <v>0</v>
      </c>
      <c r="R76" s="42"/>
      <c r="S76" s="86">
        <f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2"/>
        <v>Véhicules neufsProgramme neuf 3</v>
      </c>
      <c r="B77" s="12" t="str">
        <f t="shared" si="1"/>
        <v>Véhicules neufs</v>
      </c>
      <c r="C77" s="30" t="s">
        <v>69</v>
      </c>
      <c r="D77" s="82"/>
      <c r="E77" s="14"/>
      <c r="F77" s="31">
        <f>+SUM(START:END!F77)</f>
        <v>0</v>
      </c>
      <c r="G77" s="84"/>
      <c r="H77" s="14"/>
      <c r="I77" s="31">
        <f>+SUM(START:END!I77)</f>
        <v>0</v>
      </c>
      <c r="J77" s="42"/>
      <c r="K77" s="14"/>
      <c r="L77" s="33">
        <f>+SUM(START:END!L77)</f>
        <v>0</v>
      </c>
      <c r="M77" s="42"/>
      <c r="N77" s="60">
        <f t="shared" si="29"/>
        <v>0</v>
      </c>
      <c r="O77" s="42"/>
      <c r="P77" s="14"/>
      <c r="Q77" s="33">
        <f>+SUM(START:END!Q77)</f>
        <v>0</v>
      </c>
      <c r="R77" s="42"/>
      <c r="S77" s="86">
        <f t="shared" ref="S77:S82" si="30">L77-Q77</f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2"/>
        <v>Véhicules neufsHoldbacks</v>
      </c>
      <c r="B78" s="12" t="str">
        <f t="shared" si="1"/>
        <v>Véhicules neufs</v>
      </c>
      <c r="C78" s="30" t="s">
        <v>70</v>
      </c>
      <c r="D78" s="82"/>
      <c r="E78" s="14"/>
      <c r="F78" s="31">
        <f>+SUM(START:END!F78)</f>
        <v>263603.88802409632</v>
      </c>
      <c r="G78" s="84"/>
      <c r="H78" s="14"/>
      <c r="I78" s="31">
        <f>+SUM(START:END!I78)</f>
        <v>263603.88802409632</v>
      </c>
      <c r="J78" s="42"/>
      <c r="K78" s="14"/>
      <c r="L78" s="34">
        <f>+SUM(START:END!L78)</f>
        <v>156084</v>
      </c>
      <c r="M78" s="42"/>
      <c r="N78" s="60">
        <f t="shared" si="29"/>
        <v>-107519.88802409632</v>
      </c>
      <c r="O78" s="42"/>
      <c r="P78" s="14"/>
      <c r="Q78" s="33">
        <f>+SUM(START:END!Q78)</f>
        <v>270355</v>
      </c>
      <c r="R78" s="42"/>
      <c r="S78" s="86">
        <f t="shared" si="30"/>
        <v>-114271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2"/>
        <v>Véhicules neufs[...]</v>
      </c>
      <c r="B79" s="12" t="str">
        <f t="shared" si="1"/>
        <v>Véhicules neufs</v>
      </c>
      <c r="C79" s="30" t="s">
        <v>21</v>
      </c>
      <c r="D79" s="82"/>
      <c r="E79" s="14"/>
      <c r="F79" s="31">
        <f>+SUM(START:END!F79)</f>
        <v>0</v>
      </c>
      <c r="G79" s="84"/>
      <c r="H79" s="14"/>
      <c r="I79" s="31">
        <f>+SUM(START:END!I79)</f>
        <v>0</v>
      </c>
      <c r="J79" s="42"/>
      <c r="K79" s="14"/>
      <c r="L79" s="34">
        <f>+SUM(START:END!L79)</f>
        <v>0</v>
      </c>
      <c r="M79" s="42"/>
      <c r="N79" s="60">
        <f t="shared" si="29"/>
        <v>0</v>
      </c>
      <c r="O79" s="42"/>
      <c r="P79" s="14"/>
      <c r="Q79" s="33">
        <f>+SUM(START:END!Q79)</f>
        <v>0</v>
      </c>
      <c r="R79" s="42"/>
      <c r="S79" s="86">
        <f t="shared" si="30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2"/>
        <v>Véhicules neufs[...]</v>
      </c>
      <c r="B80" s="12" t="str">
        <f t="shared" si="1"/>
        <v>Véhicules neufs</v>
      </c>
      <c r="C80" s="30" t="s">
        <v>21</v>
      </c>
      <c r="D80" s="82"/>
      <c r="E80" s="14"/>
      <c r="F80" s="31">
        <f>+SUM(START:END!F80)</f>
        <v>0</v>
      </c>
      <c r="G80" s="84"/>
      <c r="H80" s="14"/>
      <c r="I80" s="31">
        <f>+SUM(START:END!I80)</f>
        <v>0</v>
      </c>
      <c r="J80" s="42"/>
      <c r="K80" s="14"/>
      <c r="L80" s="34">
        <f>+SUM(START:END!L80)</f>
        <v>0</v>
      </c>
      <c r="M80" s="42"/>
      <c r="N80" s="60">
        <f t="shared" si="29"/>
        <v>0</v>
      </c>
      <c r="O80" s="42"/>
      <c r="P80" s="14"/>
      <c r="Q80" s="33">
        <f>+SUM(START:END!Q80)</f>
        <v>0</v>
      </c>
      <c r="R80" s="42"/>
      <c r="S80" s="86">
        <f t="shared" si="30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2"/>
        <v>Véhicules neufs[...]</v>
      </c>
      <c r="B81" s="12" t="str">
        <f t="shared" si="1"/>
        <v>Véhicules neufs</v>
      </c>
      <c r="C81" s="30" t="s">
        <v>21</v>
      </c>
      <c r="D81" s="82"/>
      <c r="E81" s="14"/>
      <c r="F81" s="31">
        <f>+SUM(START:END!F81)</f>
        <v>0</v>
      </c>
      <c r="G81" s="84"/>
      <c r="H81" s="14"/>
      <c r="I81" s="31">
        <f>+SUM(START:END!I81)</f>
        <v>0</v>
      </c>
      <c r="J81" s="42"/>
      <c r="K81" s="14"/>
      <c r="L81" s="34">
        <f>+SUM(START:END!L81)</f>
        <v>0</v>
      </c>
      <c r="M81" s="42"/>
      <c r="N81" s="60">
        <f t="shared" si="29"/>
        <v>0</v>
      </c>
      <c r="O81" s="42"/>
      <c r="P81" s="14"/>
      <c r="Q81" s="33">
        <f>+SUM(START:END!Q81)</f>
        <v>0</v>
      </c>
      <c r="R81" s="42"/>
      <c r="S81" s="86">
        <f t="shared" si="30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2"/>
        <v>Véhicules neufsFrais administration</v>
      </c>
      <c r="B82" s="12" t="str">
        <f t="shared" si="1"/>
        <v>Véhicules neufs</v>
      </c>
      <c r="C82" s="30" t="s">
        <v>71</v>
      </c>
      <c r="D82" s="82"/>
      <c r="E82" s="14"/>
      <c r="F82" s="31">
        <f>+SUM(START:END!F82)</f>
        <v>90557.707056189363</v>
      </c>
      <c r="G82" s="84"/>
      <c r="H82" s="14"/>
      <c r="I82" s="31">
        <f>+SUM(START:END!I82)</f>
        <v>90557.707056189363</v>
      </c>
      <c r="J82" s="42"/>
      <c r="K82" s="14"/>
      <c r="L82" s="33">
        <f>+SUM(START:END!L82)</f>
        <v>40</v>
      </c>
      <c r="M82" s="42"/>
      <c r="N82" s="60">
        <f t="shared" si="29"/>
        <v>-90517.707056189363</v>
      </c>
      <c r="O82" s="42"/>
      <c r="P82" s="14"/>
      <c r="Q82" s="33">
        <f>+SUM(START:END!Q82)</f>
        <v>69117</v>
      </c>
      <c r="R82" s="42"/>
      <c r="S82" s="86">
        <f t="shared" si="30"/>
        <v>-69077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2"/>
        <v>Véhicules neufsAUTRES REVENUS</v>
      </c>
      <c r="B83" s="12" t="str">
        <f t="shared" si="1"/>
        <v>Véhicules neufs</v>
      </c>
      <c r="C83" s="96" t="s">
        <v>72</v>
      </c>
      <c r="D83" s="97"/>
      <c r="E83" s="98"/>
      <c r="F83" s="99">
        <f>+SUM(F75:F82)</f>
        <v>374346.79508028569</v>
      </c>
      <c r="G83" s="100"/>
      <c r="H83" s="98"/>
      <c r="I83" s="99">
        <f>+SUM(I75:I82)</f>
        <v>374346.79508028569</v>
      </c>
      <c r="J83" s="100"/>
      <c r="K83" s="98"/>
      <c r="L83" s="99">
        <f>+SUM(L75:L82)</f>
        <v>178124</v>
      </c>
      <c r="M83" s="103"/>
      <c r="N83" s="99">
        <f>+SUM(N75:N82)</f>
        <v>-196222.79508028569</v>
      </c>
      <c r="O83" s="100"/>
      <c r="P83" s="98"/>
      <c r="Q83" s="99">
        <f>+SUM(Q75:Q82)</f>
        <v>339472</v>
      </c>
      <c r="R83" s="103"/>
      <c r="S83" s="104">
        <f>+SUM(S75:S82)</f>
        <v>-183348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2"/>
        <v>Véhicules neufs</v>
      </c>
      <c r="B84" s="12" t="str">
        <f t="shared" si="1"/>
        <v>Véhicules neufs</v>
      </c>
      <c r="C84" s="118"/>
      <c r="D84" s="119"/>
      <c r="E84" s="120"/>
      <c r="F84" s="121"/>
      <c r="G84" s="122"/>
      <c r="H84" s="120"/>
      <c r="I84" s="121"/>
      <c r="J84" s="123"/>
      <c r="K84" s="124"/>
      <c r="L84" s="121"/>
      <c r="M84" s="123"/>
      <c r="N84" s="125"/>
      <c r="O84" s="123"/>
      <c r="P84" s="124"/>
      <c r="Q84" s="121"/>
      <c r="R84" s="123"/>
      <c r="S84" s="126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2"/>
        <v>Véhicules neufsPROFIT DÉPARTEMENTAL</v>
      </c>
      <c r="B85" s="12" t="str">
        <f t="shared" si="1"/>
        <v>Véhicules neufs</v>
      </c>
      <c r="C85" s="127" t="s">
        <v>73</v>
      </c>
      <c r="D85" s="128"/>
      <c r="E85" s="129"/>
      <c r="F85" s="130">
        <f>F27-F74+F83</f>
        <v>458648.07892410184</v>
      </c>
      <c r="G85" s="131"/>
      <c r="H85" s="129"/>
      <c r="I85" s="130">
        <f>I27-I74+I83</f>
        <v>458648.07892410184</v>
      </c>
      <c r="J85" s="131"/>
      <c r="K85" s="128"/>
      <c r="L85" s="130">
        <f>L27-L74+L83</f>
        <v>283089.94900000002</v>
      </c>
      <c r="M85" s="131"/>
      <c r="N85" s="130">
        <f>N27-N41-N54-N72+N83</f>
        <v>-175558.12992410181</v>
      </c>
      <c r="O85" s="131"/>
      <c r="P85" s="128"/>
      <c r="Q85" s="130">
        <f>Q27-Q74+Q83</f>
        <v>385366.69599999988</v>
      </c>
      <c r="R85" s="131"/>
      <c r="S85" s="132">
        <f>S27-S41-S54-S72+S83</f>
        <v>-139419.51699999973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3"/>
      <c r="C86" s="134"/>
      <c r="D86" s="134"/>
      <c r="E86" s="134"/>
      <c r="F86" s="134"/>
      <c r="G86" s="134"/>
      <c r="H86" s="134"/>
      <c r="I86" s="134"/>
      <c r="J86" s="134"/>
      <c r="K86" s="134"/>
      <c r="L86" s="135"/>
      <c r="M86" s="134"/>
      <c r="N86" s="134"/>
      <c r="O86" s="134"/>
      <c r="P86" s="134"/>
      <c r="Q86" s="134"/>
      <c r="R86" s="134"/>
      <c r="S86" s="134"/>
      <c r="T86" s="134"/>
      <c r="U86" s="134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</row>
    <row r="87" spans="1:40" ht="40.5" customHeight="1">
      <c r="B87" s="133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Conso</v>
      </c>
      <c r="D89" s="2"/>
      <c r="E89" s="2"/>
      <c r="F89" s="2"/>
      <c r="G89" s="2"/>
      <c r="H89" s="1"/>
      <c r="I89" s="1"/>
      <c r="J89" s="1"/>
      <c r="K89" s="3" t="s">
        <v>74</v>
      </c>
      <c r="L89" s="2"/>
      <c r="M89" s="2"/>
      <c r="N89" s="1"/>
      <c r="O89" s="1"/>
      <c r="P89" s="2"/>
      <c r="Q89" s="1"/>
      <c r="R89" s="2"/>
      <c r="S89" s="5" t="str">
        <f>$S$1</f>
        <v>Réalisé  Volks T2 2022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896" t="s">
        <v>5</v>
      </c>
      <c r="E91" s="897"/>
      <c r="F91" s="898"/>
      <c r="G91" s="894" t="s">
        <v>75</v>
      </c>
      <c r="H91" s="897"/>
      <c r="I91" s="898"/>
      <c r="J91" s="894" t="s">
        <v>7</v>
      </c>
      <c r="K91" s="897"/>
      <c r="L91" s="898"/>
      <c r="M91" s="894" t="s">
        <v>8</v>
      </c>
      <c r="N91" s="898"/>
      <c r="O91" s="896" t="s">
        <v>9</v>
      </c>
      <c r="P91" s="897"/>
      <c r="Q91" s="898"/>
      <c r="R91" s="894" t="s">
        <v>10</v>
      </c>
      <c r="S91" s="895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30"/>
      <c r="D92" s="136" t="s">
        <v>11</v>
      </c>
      <c r="E92" s="81" t="s">
        <v>12</v>
      </c>
      <c r="F92" s="137" t="s">
        <v>13</v>
      </c>
      <c r="G92" s="138" t="s">
        <v>11</v>
      </c>
      <c r="H92" s="81" t="s">
        <v>12</v>
      </c>
      <c r="I92" s="137" t="s">
        <v>13</v>
      </c>
      <c r="J92" s="138" t="s">
        <v>11</v>
      </c>
      <c r="K92" s="81" t="s">
        <v>14</v>
      </c>
      <c r="L92" s="137" t="s">
        <v>13</v>
      </c>
      <c r="M92" s="138" t="s">
        <v>15</v>
      </c>
      <c r="N92" s="137" t="s">
        <v>13</v>
      </c>
      <c r="O92" s="81" t="s">
        <v>11</v>
      </c>
      <c r="P92" s="81" t="s">
        <v>14</v>
      </c>
      <c r="Q92" s="137" t="s">
        <v>13</v>
      </c>
      <c r="R92" s="138" t="s">
        <v>11</v>
      </c>
      <c r="S92" s="139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1">+B93&amp;C93</f>
        <v>Véhicules usagésVentes nettes</v>
      </c>
      <c r="B93" s="12" t="s">
        <v>74</v>
      </c>
      <c r="C93" s="88" t="s">
        <v>16</v>
      </c>
      <c r="D93" s="26"/>
      <c r="E93" s="26"/>
      <c r="F93" s="23">
        <f>+SUM(START:END!F93)</f>
        <v>4281717.9905489367</v>
      </c>
      <c r="G93" s="47"/>
      <c r="H93" s="26"/>
      <c r="I93" s="23">
        <f>+SUM(START:END!I93)</f>
        <v>4281717.9905489367</v>
      </c>
      <c r="J93" s="24"/>
      <c r="K93" s="26"/>
      <c r="L93" s="23">
        <f>+SUM(START:END!L93)</f>
        <v>4674034.1899999995</v>
      </c>
      <c r="M93" s="140"/>
      <c r="N93" s="141"/>
      <c r="O93" s="24"/>
      <c r="P93" s="26"/>
      <c r="Q93" s="23">
        <f>+SUM(START:END!Q93)</f>
        <v>4059304.0699999994</v>
      </c>
      <c r="R93" s="140"/>
      <c r="S93" s="142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1"/>
        <v>Véhicules usagésCertifié</v>
      </c>
      <c r="B94" s="12" t="s">
        <v>74</v>
      </c>
      <c r="C94" s="30" t="s">
        <v>76</v>
      </c>
      <c r="D94" s="31">
        <f>+SUM(START:END!D94)</f>
        <v>130.69174757281553</v>
      </c>
      <c r="E94" s="31">
        <f>IF(D94=0,0,F94/D94)</f>
        <v>1300</v>
      </c>
      <c r="F94" s="428">
        <f>+SUM(START:END!F94)</f>
        <v>169899.27184466019</v>
      </c>
      <c r="G94" s="31">
        <f>+SUM(START:END!G94)</f>
        <v>130.69174757281553</v>
      </c>
      <c r="H94" s="31">
        <f>IF(G94=0,0,I94/G94)</f>
        <v>1300</v>
      </c>
      <c r="I94" s="428">
        <f>+SUM(START:END!I94)</f>
        <v>169899.27184466019</v>
      </c>
      <c r="J94" s="31">
        <f>+SUM(START:END!J94)</f>
        <v>90</v>
      </c>
      <c r="K94" s="31">
        <f>IF(J94=0,0,L94/J94)</f>
        <v>2372.8421111111097</v>
      </c>
      <c r="L94" s="31">
        <f>+SUM(START:END!L94)</f>
        <v>213555.78999999989</v>
      </c>
      <c r="M94" s="32">
        <f>J94-G94</f>
        <v>-40.69174757281553</v>
      </c>
      <c r="N94" s="34">
        <f>L94-I94</f>
        <v>43656.518155339698</v>
      </c>
      <c r="O94" s="31">
        <f>+SUM(START:END!O94)</f>
        <v>115</v>
      </c>
      <c r="P94" s="31">
        <f>IF(O94=0,0,Q94/O94)</f>
        <v>1217.2251304347842</v>
      </c>
      <c r="Q94" s="31">
        <f>+SUM(START:END!Q94)</f>
        <v>139980.89000000019</v>
      </c>
      <c r="R94" s="32">
        <f t="shared" ref="R94:R95" si="32">J94-O94</f>
        <v>-25</v>
      </c>
      <c r="S94" s="35">
        <f t="shared" ref="S94:S95" si="33">L94-Q94</f>
        <v>73574.899999999703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1"/>
        <v>Véhicules usagésNon Certifié</v>
      </c>
      <c r="B95" s="12" t="s">
        <v>74</v>
      </c>
      <c r="C95" s="30" t="s">
        <v>77</v>
      </c>
      <c r="D95" s="31">
        <f>+SUM(START:END!D95)</f>
        <v>7.3422330097087372</v>
      </c>
      <c r="E95" s="26">
        <f t="shared" ref="E95:E104" si="34">IF(D95=0,0,F95/D95)</f>
        <v>900</v>
      </c>
      <c r="F95" s="53">
        <f>+SUM(START:END!F95)</f>
        <v>6608.0097087378635</v>
      </c>
      <c r="G95" s="31">
        <f>+SUM(START:END!G95)</f>
        <v>7.3422330097087372</v>
      </c>
      <c r="H95" s="26">
        <f t="shared" ref="H95" si="35">IF(G95=0,0,I95/G95)</f>
        <v>900</v>
      </c>
      <c r="I95" s="53">
        <f>+SUM(START:END!I95)</f>
        <v>6608.0097087378635</v>
      </c>
      <c r="J95" s="31">
        <f>+SUM(START:END!J95)</f>
        <v>9</v>
      </c>
      <c r="K95" s="26">
        <f t="shared" ref="K95" si="36">IF(J95=0,0,L95/J95)</f>
        <v>1650.0800000000002</v>
      </c>
      <c r="L95" s="31">
        <f>+SUM(START:END!L95)</f>
        <v>14850.720000000001</v>
      </c>
      <c r="M95" s="32"/>
      <c r="N95" s="34"/>
      <c r="O95" s="31">
        <f>+SUM(START:END!O95)</f>
        <v>4</v>
      </c>
      <c r="P95" s="26">
        <f t="shared" ref="P95" si="37">IF(O95=0,0,Q95/O95)</f>
        <v>113.87250000000046</v>
      </c>
      <c r="Q95" s="31">
        <f>+SUM(START:END!Q95)</f>
        <v>455.49000000000183</v>
      </c>
      <c r="R95" s="32">
        <f t="shared" si="32"/>
        <v>5</v>
      </c>
      <c r="S95" s="35">
        <f t="shared" si="33"/>
        <v>14395.23</v>
      </c>
      <c r="T95" s="14"/>
      <c r="U95" s="14"/>
      <c r="V95" s="143"/>
      <c r="W95" s="143"/>
      <c r="X95" s="143"/>
      <c r="Y95" s="143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1"/>
        <v>Véhicules usagésTotal Usagés</v>
      </c>
      <c r="B96" s="12" t="s">
        <v>74</v>
      </c>
      <c r="C96" s="36" t="s">
        <v>78</v>
      </c>
      <c r="D96" s="37">
        <f>+D95+D94</f>
        <v>138.03398058252426</v>
      </c>
      <c r="E96" s="31">
        <f t="shared" si="34"/>
        <v>1278.7234042553193</v>
      </c>
      <c r="F96" s="38">
        <f t="shared" ref="F96" si="38">+F94+F95</f>
        <v>176507.28155339806</v>
      </c>
      <c r="G96" s="39">
        <f>+G95+G94</f>
        <v>138.03398058252426</v>
      </c>
      <c r="H96" s="37">
        <f t="shared" ref="H96:H98" si="39">IF(G96=0,0,I96/G96)</f>
        <v>1278.7234042553193</v>
      </c>
      <c r="I96" s="38">
        <f t="shared" ref="I96:J96" si="40">+I94+I95</f>
        <v>176507.28155339806</v>
      </c>
      <c r="J96" s="39">
        <f t="shared" si="40"/>
        <v>99</v>
      </c>
      <c r="K96" s="37">
        <f>IF(J96&lt;=0,0,L96/J96)</f>
        <v>2307.1364646464635</v>
      </c>
      <c r="L96" s="38">
        <f>+L94+L95</f>
        <v>228406.50999999989</v>
      </c>
      <c r="M96" s="39">
        <f>J96-G96</f>
        <v>-39.033980582524265</v>
      </c>
      <c r="N96" s="38">
        <f>L96-I96</f>
        <v>51899.228446601832</v>
      </c>
      <c r="O96" s="39">
        <f t="shared" ref="O96" si="41">+O94+O95</f>
        <v>119</v>
      </c>
      <c r="P96" s="37">
        <f>IF(O96&lt;=0,0,Q96/O96)</f>
        <v>1180.137647058825</v>
      </c>
      <c r="Q96" s="38">
        <f>+Q94+Q95</f>
        <v>140436.38000000018</v>
      </c>
      <c r="R96" s="39">
        <f t="shared" ref="R96:S96" si="42">R94+R95</f>
        <v>-20</v>
      </c>
      <c r="S96" s="40">
        <f t="shared" si="42"/>
        <v>87970.129999999699</v>
      </c>
      <c r="T96" s="14"/>
      <c r="U96" s="14"/>
      <c r="V96" s="472">
        <f>+SUM(START:END!D96)-D96</f>
        <v>0</v>
      </c>
      <c r="W96" s="472">
        <f>+SUM(START:END!G96)-G96</f>
        <v>0</v>
      </c>
      <c r="X96" s="472">
        <f>+SUM(START:END!J96)-J96</f>
        <v>0</v>
      </c>
      <c r="Y96" s="472">
        <f>+SUM(START:END!O96)-O96</f>
        <v>0</v>
      </c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1"/>
        <v>Véhicules usagés</v>
      </c>
      <c r="B97" s="12" t="s">
        <v>74</v>
      </c>
      <c r="C97" s="30"/>
      <c r="D97" s="14"/>
      <c r="E97" s="31">
        <f t="shared" si="34"/>
        <v>0</v>
      </c>
      <c r="F97" s="41"/>
      <c r="G97" s="42"/>
      <c r="H97" s="14">
        <f t="shared" si="39"/>
        <v>0</v>
      </c>
      <c r="I97" s="41"/>
      <c r="J97" s="42"/>
      <c r="K97" s="14"/>
      <c r="L97" s="41"/>
      <c r="M97" s="43">
        <f>M96/G96</f>
        <v>-0.28278529980657635</v>
      </c>
      <c r="N97" s="44">
        <f>N96/I96</f>
        <v>0.2940344896247295</v>
      </c>
      <c r="O97" s="42"/>
      <c r="P97" s="14"/>
      <c r="Q97" s="41"/>
      <c r="R97" s="43">
        <f>R96/O96</f>
        <v>-0.16806722689075632</v>
      </c>
      <c r="S97" s="45">
        <f>IF(Q96=0,0,(S96/Q96))</f>
        <v>0.62640556528158575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1"/>
        <v>Véhicules usagésUS</v>
      </c>
      <c r="B98" s="12" t="s">
        <v>74</v>
      </c>
      <c r="C98" s="30" t="s">
        <v>196</v>
      </c>
      <c r="D98" s="31">
        <f>+SUM(START:END!D98)</f>
        <v>0</v>
      </c>
      <c r="E98" s="31">
        <f t="shared" si="34"/>
        <v>0</v>
      </c>
      <c r="F98" s="31">
        <f>+SUM(START:END!F98)</f>
        <v>0</v>
      </c>
      <c r="G98" s="160">
        <f>+SUM(START:END!G98)</f>
        <v>0</v>
      </c>
      <c r="H98" s="31">
        <f t="shared" si="39"/>
        <v>0</v>
      </c>
      <c r="I98" s="31">
        <f>+SUM(START:END!I98)</f>
        <v>0</v>
      </c>
      <c r="J98" s="32">
        <f>+SUM(START:END!J98)</f>
        <v>0</v>
      </c>
      <c r="K98" s="31">
        <f t="shared" ref="K98" si="43">IF(J98=0,0,L98/J98)</f>
        <v>0</v>
      </c>
      <c r="L98" s="34">
        <f>+SUM(START:END!L98)</f>
        <v>0</v>
      </c>
      <c r="M98" s="32">
        <f t="shared" ref="M98" si="44">J98-G98</f>
        <v>0</v>
      </c>
      <c r="N98" s="34">
        <f t="shared" ref="N98" si="45">L98-I98</f>
        <v>0</v>
      </c>
      <c r="O98" s="32">
        <f>+SUM(START:END!O98)</f>
        <v>0</v>
      </c>
      <c r="P98" s="31">
        <f t="shared" ref="P98" si="46">IF(O98=0,0,Q98/O98)</f>
        <v>0</v>
      </c>
      <c r="Q98" s="33">
        <f>+SUM(START:END!Q98)</f>
        <v>0</v>
      </c>
      <c r="R98" s="32"/>
      <c r="S98" s="35"/>
      <c r="T98" s="14"/>
      <c r="U98" s="14"/>
      <c r="V98" s="472">
        <f>+SUM(START:END!D98)-D98</f>
        <v>0</v>
      </c>
      <c r="W98" s="472">
        <f>+SUM(START:END!G98)-G98</f>
        <v>0</v>
      </c>
      <c r="X98" s="472">
        <f>+SUM(START:END!J98)-J98</f>
        <v>0</v>
      </c>
      <c r="Y98" s="472">
        <f>+SUM(START:END!O98)-O98</f>
        <v>0</v>
      </c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1"/>
        <v>Véhicules usagésVentes au Gros</v>
      </c>
      <c r="B99" s="12" t="s">
        <v>74</v>
      </c>
      <c r="C99" s="30" t="s">
        <v>79</v>
      </c>
      <c r="D99" s="31">
        <f>+SUM(START:END!D99)</f>
        <v>120.11619193066977</v>
      </c>
      <c r="E99" s="31">
        <f t="shared" ref="E99" si="47">IF(D99=0,0,F99/D99)</f>
        <v>211.99999999999997</v>
      </c>
      <c r="F99" s="31">
        <f>+SUM(START:END!F99)</f>
        <v>25464.632689301987</v>
      </c>
      <c r="G99" s="160">
        <f>+SUM(START:END!G99)</f>
        <v>120.11619193066977</v>
      </c>
      <c r="H99" s="31">
        <f t="shared" ref="H99" si="48">IF(G99=0,0,I99/G99)</f>
        <v>211.99999999999997</v>
      </c>
      <c r="I99" s="31">
        <f>+SUM(START:END!I99)</f>
        <v>25464.632689301987</v>
      </c>
      <c r="J99" s="32">
        <f>+SUM(START:END!J99)</f>
        <v>78</v>
      </c>
      <c r="K99" s="31">
        <f t="shared" ref="K99" si="49">IF(J99=0,0,L99/J99)</f>
        <v>182.29564102564174</v>
      </c>
      <c r="L99" s="34">
        <f>+SUM(START:END!L99)</f>
        <v>14219.060000000056</v>
      </c>
      <c r="M99" s="32">
        <f t="shared" ref="M99" si="50">J99-G99</f>
        <v>-42.116191930669771</v>
      </c>
      <c r="N99" s="34">
        <f t="shared" ref="N99" si="51">L99-I99</f>
        <v>-11245.572689301931</v>
      </c>
      <c r="O99" s="32">
        <f>+SUM(START:END!O99)</f>
        <v>107</v>
      </c>
      <c r="P99" s="31">
        <f t="shared" ref="P99" si="52">IF(O99=0,0,Q99/O99)</f>
        <v>548.28383177570038</v>
      </c>
      <c r="Q99" s="33">
        <f>+SUM(START:END!Q99)</f>
        <v>58666.369999999937</v>
      </c>
      <c r="R99" s="32">
        <f t="shared" ref="R99" si="53">J99-O99</f>
        <v>-29</v>
      </c>
      <c r="S99" s="35">
        <f t="shared" ref="S99" si="54">L99-Q99</f>
        <v>-44447.309999999881</v>
      </c>
      <c r="T99" s="14"/>
      <c r="U99" s="14"/>
      <c r="V99" s="472">
        <f>+SUM(START:END!D99)-D99</f>
        <v>0</v>
      </c>
      <c r="W99" s="472">
        <f>+SUM(START:END!G99)-G99</f>
        <v>0</v>
      </c>
      <c r="X99" s="472">
        <f>+SUM(START:END!J99)-J99</f>
        <v>0</v>
      </c>
      <c r="Y99" s="472">
        <f>+SUM(START:END!O99)-O99</f>
        <v>0</v>
      </c>
      <c r="Z99" s="14"/>
      <c r="AA99" s="14"/>
      <c r="AB99" s="14"/>
      <c r="AC99" s="83"/>
      <c r="AD99" s="14"/>
      <c r="AE99" s="14"/>
      <c r="AF99" s="144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1"/>
        <v>Véhicules usagés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5"/>
      <c r="O100" s="52"/>
      <c r="P100" s="48"/>
      <c r="Q100" s="49"/>
      <c r="R100" s="50"/>
      <c r="S100" s="146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4"/>
      <c r="AG100" s="14"/>
      <c r="AH100" s="14"/>
      <c r="AI100" s="14"/>
      <c r="AJ100" s="14"/>
      <c r="AK100" s="14"/>
      <c r="AL100" s="14"/>
      <c r="AM100" s="14"/>
      <c r="AN100" s="14"/>
    </row>
    <row r="101" spans="1:40" s="429" customFormat="1" ht="15.75" customHeight="1">
      <c r="A101" s="429" t="str">
        <f t="shared" si="31"/>
        <v>Véhicules usagésRev. Finances</v>
      </c>
      <c r="B101" s="430" t="s">
        <v>74</v>
      </c>
      <c r="C101" s="431" t="s">
        <v>26</v>
      </c>
      <c r="D101" s="432">
        <v>0</v>
      </c>
      <c r="E101" s="432">
        <f t="shared" si="34"/>
        <v>0</v>
      </c>
      <c r="F101" s="433">
        <f>+SUM(START:END!F101)</f>
        <v>90958.997743743501</v>
      </c>
      <c r="G101" s="434">
        <v>0</v>
      </c>
      <c r="H101" s="432">
        <f t="shared" ref="H101:H104" si="55">IF(G101=0,0,I101/G101)</f>
        <v>0</v>
      </c>
      <c r="I101" s="432">
        <f>+SUM(START:END!I101)</f>
        <v>90958.997743743501</v>
      </c>
      <c r="J101" s="434"/>
      <c r="K101" s="432">
        <f>IF(J96=0,0,L101/J96)</f>
        <v>1294.9445454545455</v>
      </c>
      <c r="L101" s="433">
        <f>+SUM(START:END!L101)</f>
        <v>128199.51000000001</v>
      </c>
      <c r="M101" s="434"/>
      <c r="N101" s="433">
        <f t="shared" ref="N101:N104" si="56">L101-I101</f>
        <v>37240.512256256508</v>
      </c>
      <c r="O101" s="434"/>
      <c r="P101" s="432">
        <f>IF(O96=0,0,Q101/O96)</f>
        <v>704.15873949579827</v>
      </c>
      <c r="Q101" s="433">
        <f>+SUM(START:END!Q101)</f>
        <v>83794.89</v>
      </c>
      <c r="R101" s="434">
        <f t="shared" ref="R101:R103" si="57">O101-K101</f>
        <v>-1294.9445454545455</v>
      </c>
      <c r="S101" s="435">
        <f t="shared" ref="S101:S104" si="58">L101-Q101</f>
        <v>44404.62000000001</v>
      </c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  <c r="AD101" s="436"/>
      <c r="AE101" s="436"/>
      <c r="AF101" s="436"/>
      <c r="AG101" s="436"/>
      <c r="AH101" s="436"/>
      <c r="AI101" s="436"/>
      <c r="AJ101" s="436"/>
      <c r="AK101" s="436"/>
      <c r="AL101" s="436"/>
      <c r="AM101" s="436"/>
      <c r="AN101" s="436"/>
    </row>
    <row r="102" spans="1:40" ht="15.75" customHeight="1">
      <c r="A102" t="str">
        <f t="shared" si="31"/>
        <v>Véhicules usagésRev. Protections</v>
      </c>
      <c r="B102" s="12" t="s">
        <v>74</v>
      </c>
      <c r="C102" s="30" t="s">
        <v>27</v>
      </c>
      <c r="D102" s="31">
        <v>0</v>
      </c>
      <c r="E102" s="31">
        <f t="shared" si="34"/>
        <v>0</v>
      </c>
      <c r="F102" s="34">
        <f>+SUM(START:END!F102)</f>
        <v>160374.04598877396</v>
      </c>
      <c r="G102" s="32">
        <v>0</v>
      </c>
      <c r="H102" s="31">
        <f t="shared" si="55"/>
        <v>0</v>
      </c>
      <c r="I102" s="31">
        <f>+SUM(START:END!I102)</f>
        <v>160374.04598877396</v>
      </c>
      <c r="J102" s="32"/>
      <c r="K102" s="31">
        <f>IF(J96=0,0,L102/J96)</f>
        <v>1349.0514141414142</v>
      </c>
      <c r="L102" s="34">
        <f>+SUM(START:END!L102)</f>
        <v>133556.09</v>
      </c>
      <c r="M102" s="32"/>
      <c r="N102" s="34">
        <f t="shared" si="56"/>
        <v>-26817.95598877396</v>
      </c>
      <c r="O102" s="32"/>
      <c r="P102" s="31">
        <f>IF(O96=0,0,Q102/O96)</f>
        <v>1180.8620168067225</v>
      </c>
      <c r="Q102" s="34">
        <f>+SUM(START:END!Q102)</f>
        <v>140522.57999999999</v>
      </c>
      <c r="R102" s="32">
        <f t="shared" si="57"/>
        <v>-1349.0514141414142</v>
      </c>
      <c r="S102" s="35">
        <f t="shared" si="58"/>
        <v>-6966.4899999999907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1"/>
        <v>Véhicules usagésRev. Autres</v>
      </c>
      <c r="B103" s="12" t="s">
        <v>74</v>
      </c>
      <c r="C103" s="30" t="s">
        <v>28</v>
      </c>
      <c r="D103" s="31">
        <v>0</v>
      </c>
      <c r="E103" s="26">
        <f t="shared" si="34"/>
        <v>0</v>
      </c>
      <c r="F103" s="34">
        <f>+SUM(START:END!F103)</f>
        <v>4548.6624106979307</v>
      </c>
      <c r="G103" s="32">
        <v>0</v>
      </c>
      <c r="H103" s="48">
        <f t="shared" si="55"/>
        <v>0</v>
      </c>
      <c r="I103" s="31">
        <f>+SUM(START:END!I103)</f>
        <v>4548.6624106979307</v>
      </c>
      <c r="J103" s="32"/>
      <c r="K103" s="48">
        <f>IF(J96=0,0,L103/J96)</f>
        <v>73.025757575757581</v>
      </c>
      <c r="L103" s="34">
        <f>+SUM(START:END!L103)</f>
        <v>7229.55</v>
      </c>
      <c r="M103" s="52"/>
      <c r="N103" s="34">
        <f t="shared" si="56"/>
        <v>2680.8875893020695</v>
      </c>
      <c r="O103" s="32"/>
      <c r="P103" s="48">
        <f>IF(O96=0,0,Q103/O96)</f>
        <v>29.202857142857145</v>
      </c>
      <c r="Q103" s="34">
        <f>+SUM(START:END!Q103)</f>
        <v>3475.1400000000003</v>
      </c>
      <c r="R103" s="32">
        <f t="shared" si="57"/>
        <v>-73.025757575757581</v>
      </c>
      <c r="S103" s="35">
        <f t="shared" si="58"/>
        <v>3754.41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1"/>
        <v>Véhicules usagésTotal F&amp;I</v>
      </c>
      <c r="B104" s="12" t="s">
        <v>74</v>
      </c>
      <c r="C104" s="36" t="s">
        <v>29</v>
      </c>
      <c r="D104" s="37">
        <f>D96</f>
        <v>138.03398058252426</v>
      </c>
      <c r="E104" s="31">
        <f t="shared" si="34"/>
        <v>1853.7587995604842</v>
      </c>
      <c r="F104" s="38">
        <f>F101+F102+F103</f>
        <v>255881.70614321539</v>
      </c>
      <c r="G104" s="39">
        <f>G96</f>
        <v>138.03398058252426</v>
      </c>
      <c r="H104" s="37">
        <f t="shared" si="55"/>
        <v>1853.7587995604842</v>
      </c>
      <c r="I104" s="38">
        <f>I101+I102+I103</f>
        <v>255881.70614321539</v>
      </c>
      <c r="J104" s="39">
        <f>J96</f>
        <v>99</v>
      </c>
      <c r="K104" s="37">
        <f>IF(J104&lt;=0,0,L104/J104)</f>
        <v>2717.0217171717172</v>
      </c>
      <c r="L104" s="38">
        <f>L101+L102+L103</f>
        <v>268985.15000000002</v>
      </c>
      <c r="M104" s="32">
        <f>J104-G104</f>
        <v>-39.033980582524265</v>
      </c>
      <c r="N104" s="38">
        <f t="shared" si="56"/>
        <v>13103.443856784637</v>
      </c>
      <c r="O104" s="39">
        <f>O96</f>
        <v>119</v>
      </c>
      <c r="P104" s="37">
        <f>IF(O104&lt;=0,0,Q104/O104)</f>
        <v>1914.2236134453781</v>
      </c>
      <c r="Q104" s="38">
        <f>Q101+Q102+Q103</f>
        <v>227792.61</v>
      </c>
      <c r="R104" s="57"/>
      <c r="S104" s="40">
        <f t="shared" si="58"/>
        <v>41192.540000000037</v>
      </c>
      <c r="T104" s="14"/>
      <c r="U104" s="14"/>
      <c r="V104" s="472">
        <f>+SUM(START:END!D104)-D104</f>
        <v>0</v>
      </c>
      <c r="W104" s="472">
        <f>+SUM(START:END!G104)-G104</f>
        <v>0</v>
      </c>
      <c r="X104" s="472">
        <f>+SUM(START:END!J104)-J104</f>
        <v>0</v>
      </c>
      <c r="Y104" s="472">
        <f>+SUM(START:END!O104)-O104</f>
        <v>0</v>
      </c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1"/>
        <v>Véhicules usagés</v>
      </c>
      <c r="B105" s="12" t="s">
        <v>74</v>
      </c>
      <c r="C105" s="30"/>
      <c r="D105" s="14"/>
      <c r="E105" s="14"/>
      <c r="F105" s="60"/>
      <c r="G105" s="42"/>
      <c r="H105" s="147"/>
      <c r="I105" s="60"/>
      <c r="J105" s="42"/>
      <c r="K105" s="14"/>
      <c r="L105" s="60"/>
      <c r="M105" s="43"/>
      <c r="N105" s="44">
        <f>N104/I104</f>
        <v>5.1208990491296486E-2</v>
      </c>
      <c r="O105" s="42"/>
      <c r="P105" s="14"/>
      <c r="Q105" s="60"/>
      <c r="R105" s="61"/>
      <c r="S105" s="45">
        <f>IF(Q104=0,0,(S104/Q104))</f>
        <v>0.18083352221127824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1"/>
        <v>Véhicules usagés</v>
      </c>
      <c r="B106" s="12" t="s">
        <v>74</v>
      </c>
      <c r="C106" s="30"/>
      <c r="D106" s="14"/>
      <c r="E106" s="14"/>
      <c r="F106" s="60"/>
      <c r="G106" s="42"/>
      <c r="H106" s="147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15.75" customHeight="1" thickTop="1">
      <c r="A107" t="str">
        <f t="shared" si="31"/>
        <v>Véhicules usagésTotal Dépt. Usagés</v>
      </c>
      <c r="B107" s="12" t="s">
        <v>74</v>
      </c>
      <c r="C107" s="63" t="s">
        <v>80</v>
      </c>
      <c r="D107" s="64">
        <f>D96+D99</f>
        <v>258.15017251319404</v>
      </c>
      <c r="E107" s="68">
        <f>IF(D107&lt;=0,0,F107/D107)</f>
        <v>1773.5940903255237</v>
      </c>
      <c r="F107" s="66">
        <f>F96+F104+F99</f>
        <v>457853.62038591539</v>
      </c>
      <c r="G107" s="67">
        <f>G96+G99</f>
        <v>258.15017251319404</v>
      </c>
      <c r="H107" s="68">
        <f>IF(G107&lt;=0,0,I107/G107)</f>
        <v>1773.5940903255237</v>
      </c>
      <c r="I107" s="66">
        <f>I96+I104+I99</f>
        <v>457853.62038591539</v>
      </c>
      <c r="J107" s="67">
        <f>J96+J99+J98</f>
        <v>177</v>
      </c>
      <c r="K107" s="68">
        <f>IF(J107&lt;=0,0,L107/J107)</f>
        <v>2890.45604519774</v>
      </c>
      <c r="L107" s="66">
        <f>L96+L104+L99+L98</f>
        <v>511610.72</v>
      </c>
      <c r="M107" s="67">
        <f>J107-G107</f>
        <v>-81.150172513194036</v>
      </c>
      <c r="N107" s="66">
        <f>L107-I107</f>
        <v>53757.099614084582</v>
      </c>
      <c r="O107" s="67">
        <f>O96+O99+O98</f>
        <v>226</v>
      </c>
      <c r="P107" s="68">
        <f>IF(O107&lt;=0,0,Q107/O107)</f>
        <v>1888.9175221238943</v>
      </c>
      <c r="Q107" s="66">
        <f>Q96+Q104+Q99+Q98</f>
        <v>426895.3600000001</v>
      </c>
      <c r="R107" s="67">
        <f>J107-O107</f>
        <v>-49</v>
      </c>
      <c r="S107" s="69">
        <f>L107-Q107</f>
        <v>84715.35999999987</v>
      </c>
      <c r="T107" s="14"/>
      <c r="U107" s="14"/>
      <c r="V107" s="472">
        <f>+SUM(START:END!D107)-D107</f>
        <v>0</v>
      </c>
      <c r="W107" s="472">
        <f>+SUM(START:END!G107)-G107</f>
        <v>0</v>
      </c>
      <c r="X107" s="472">
        <f>+SUM(START:END!J107)-J107</f>
        <v>0</v>
      </c>
      <c r="Y107" s="472">
        <f>+SUM(START:END!O107)-O107</f>
        <v>0</v>
      </c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1"/>
        <v>Véhicules usagés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f>M107/G107</f>
        <v>-0.31435257905569075</v>
      </c>
      <c r="N108" s="75">
        <f>N107/I107</f>
        <v>0.11741110525406315</v>
      </c>
      <c r="O108" s="73"/>
      <c r="P108" s="71"/>
      <c r="Q108" s="72"/>
      <c r="R108" s="74">
        <f>O107/R107</f>
        <v>-4.6122448979591839</v>
      </c>
      <c r="S108" s="148">
        <f>IF(Q107=0,0,(S107/Q107))</f>
        <v>0.1984452583415286</v>
      </c>
      <c r="T108" s="14"/>
      <c r="U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1"/>
        <v>Véhicules usagés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1"/>
        <v>Véhicules usagésDEPENSES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1"/>
        <v>Véhicules usagésComm. vendeurs</v>
      </c>
      <c r="B111" s="12" t="s">
        <v>74</v>
      </c>
      <c r="C111" s="30" t="s">
        <v>32</v>
      </c>
      <c r="D111" s="82"/>
      <c r="E111" s="83">
        <f t="shared" ref="E111:E119" si="59">F111/D$96</f>
        <v>488.16304730086171</v>
      </c>
      <c r="F111" s="31">
        <f>+SUM(START:END!F111)</f>
        <v>67383.08859223302</v>
      </c>
      <c r="G111" s="149">
        <f>I111/I96</f>
        <v>0.38175812351315308</v>
      </c>
      <c r="H111" s="83">
        <f t="shared" ref="H111:H119" si="60">I111/G$96</f>
        <v>488.16304730086171</v>
      </c>
      <c r="I111" s="31">
        <f>+SUM(START:END!I111)</f>
        <v>67383.08859223302</v>
      </c>
      <c r="J111" s="149">
        <f>L111/L96</f>
        <v>0.35428512961386277</v>
      </c>
      <c r="K111" s="83">
        <f t="shared" ref="K111:K119" si="61">IF($J$96=0,0,L111/(J$94+J$95))</f>
        <v>817.38414141414137</v>
      </c>
      <c r="L111" s="34">
        <f>+SUM(START:END!L111)</f>
        <v>80921.03</v>
      </c>
      <c r="M111" s="42"/>
      <c r="N111" s="60">
        <f t="shared" ref="N111:N152" si="62">L111-I111</f>
        <v>13537.941407766979</v>
      </c>
      <c r="O111" s="42"/>
      <c r="P111" s="83">
        <f t="shared" ref="P111:P119" si="63">IF($J$96=0,0,Q111/(O$94+O$95))</f>
        <v>465.53554621848735</v>
      </c>
      <c r="Q111" s="34">
        <f>+SUM(START:END!Q111)</f>
        <v>55398.729999999996</v>
      </c>
      <c r="R111" s="42"/>
      <c r="S111" s="86">
        <f t="shared" ref="S111:S121" si="64">L111-Q111</f>
        <v>25522.300000000003</v>
      </c>
      <c r="T111" s="14"/>
      <c r="U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1"/>
        <v>Véhicules usagésComm. F&amp;I</v>
      </c>
      <c r="B112" s="12" t="s">
        <v>74</v>
      </c>
      <c r="C112" s="88" t="s">
        <v>33</v>
      </c>
      <c r="D112" s="89"/>
      <c r="E112" s="90">
        <f t="shared" si="59"/>
        <v>556.12763986814514</v>
      </c>
      <c r="F112" s="23">
        <f>+SUM(START:END!F112)</f>
        <v>76764.511842964595</v>
      </c>
      <c r="G112" s="93">
        <f>I112/I104</f>
        <v>0.29999999999999993</v>
      </c>
      <c r="H112" s="90">
        <f t="shared" si="60"/>
        <v>556.12763986814514</v>
      </c>
      <c r="I112" s="23">
        <f>+SUM(START:END!I112)</f>
        <v>76764.511842964595</v>
      </c>
      <c r="J112" s="93">
        <f>L112/L104</f>
        <v>0.29927347290361567</v>
      </c>
      <c r="K112" s="90">
        <f t="shared" si="61"/>
        <v>813.1325252525254</v>
      </c>
      <c r="L112" s="34">
        <f>+SUM(START:END!L112)</f>
        <v>80500.12000000001</v>
      </c>
      <c r="M112" s="24"/>
      <c r="N112" s="94">
        <f t="shared" si="62"/>
        <v>3735.6081570354145</v>
      </c>
      <c r="O112" s="24"/>
      <c r="P112" s="90">
        <f t="shared" si="63"/>
        <v>578.05537815126047</v>
      </c>
      <c r="Q112" s="34">
        <f>+SUM(START:END!Q112)</f>
        <v>68788.59</v>
      </c>
      <c r="R112" s="24"/>
      <c r="S112" s="95">
        <f t="shared" si="64"/>
        <v>11711.530000000013</v>
      </c>
      <c r="T112" s="14"/>
      <c r="U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1"/>
        <v>Véhicules usagésFrais de livraison</v>
      </c>
      <c r="B113" s="12" t="s">
        <v>74</v>
      </c>
      <c r="C113" s="30" t="s">
        <v>34</v>
      </c>
      <c r="D113" s="82"/>
      <c r="E113" s="83">
        <f t="shared" si="59"/>
        <v>69.809353301886787</v>
      </c>
      <c r="F113" s="31">
        <f>+SUM(START:END!F113)</f>
        <v>9636.0629181512177</v>
      </c>
      <c r="G113" s="84"/>
      <c r="H113" s="83">
        <f t="shared" si="60"/>
        <v>69.809353301886787</v>
      </c>
      <c r="I113" s="31">
        <f>+SUM(START:END!I113)</f>
        <v>9636.0629181512177</v>
      </c>
      <c r="J113" s="42"/>
      <c r="K113" s="83">
        <f t="shared" si="61"/>
        <v>13.829494949494951</v>
      </c>
      <c r="L113" s="111">
        <f>+SUM(START:END!L113)</f>
        <v>1369.1200000000001</v>
      </c>
      <c r="M113" s="42"/>
      <c r="N113" s="60">
        <f t="shared" si="62"/>
        <v>-8266.9429181512169</v>
      </c>
      <c r="O113" s="42"/>
      <c r="P113" s="83">
        <f t="shared" si="63"/>
        <v>75.303445378151252</v>
      </c>
      <c r="Q113" s="111">
        <f>+SUM(START:END!Q113)</f>
        <v>8961.1099999999988</v>
      </c>
      <c r="R113" s="42"/>
      <c r="S113" s="86">
        <f t="shared" si="64"/>
        <v>-7591.9899999999989</v>
      </c>
      <c r="T113" s="14"/>
      <c r="U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1"/>
        <v>Véhicules usagésService gratuit 1</v>
      </c>
      <c r="B114" s="12" t="s">
        <v>74</v>
      </c>
      <c r="C114" s="30" t="s">
        <v>35</v>
      </c>
      <c r="D114" s="82"/>
      <c r="E114" s="83">
        <f t="shared" si="59"/>
        <v>33.51101497641509</v>
      </c>
      <c r="F114" s="31">
        <f>+SUM(START:END!F114)</f>
        <v>4625.6587905551605</v>
      </c>
      <c r="G114" s="84"/>
      <c r="H114" s="83">
        <f t="shared" si="60"/>
        <v>33.51101497641509</v>
      </c>
      <c r="I114" s="31">
        <f>+SUM(START:END!I114)</f>
        <v>4625.6587905551605</v>
      </c>
      <c r="J114" s="42"/>
      <c r="K114" s="83">
        <f t="shared" si="61"/>
        <v>1.9186868686868686</v>
      </c>
      <c r="L114" s="34">
        <f>+SUM(START:END!L114)</f>
        <v>189.95</v>
      </c>
      <c r="M114" s="42"/>
      <c r="N114" s="60">
        <f t="shared" si="62"/>
        <v>-4435.7087905551607</v>
      </c>
      <c r="O114" s="42"/>
      <c r="P114" s="83">
        <f t="shared" si="63"/>
        <v>-8.5547058823529412</v>
      </c>
      <c r="Q114" s="34">
        <f>+SUM(START:END!Q114)</f>
        <v>-1018.01</v>
      </c>
      <c r="R114" s="42"/>
      <c r="S114" s="86">
        <f t="shared" si="64"/>
        <v>1207.96</v>
      </c>
      <c r="T114" s="14"/>
      <c r="U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1"/>
        <v>Véhicules usagésEntretien stock</v>
      </c>
      <c r="B115" s="12" t="s">
        <v>74</v>
      </c>
      <c r="C115" s="88" t="s">
        <v>36</v>
      </c>
      <c r="D115" s="89"/>
      <c r="E115" s="90">
        <f t="shared" si="59"/>
        <v>88.549952830188687</v>
      </c>
      <c r="F115" s="23">
        <f>+SUM(START:END!F115)</f>
        <v>12222.902469545705</v>
      </c>
      <c r="G115" s="91"/>
      <c r="H115" s="90">
        <f t="shared" si="60"/>
        <v>88.549952830188687</v>
      </c>
      <c r="I115" s="23">
        <f>+SUM(START:END!I115)</f>
        <v>12222.902469545705</v>
      </c>
      <c r="J115" s="24"/>
      <c r="K115" s="90">
        <f t="shared" si="61"/>
        <v>175.0212121212121</v>
      </c>
      <c r="L115" s="49">
        <f>+SUM(START:END!L115)</f>
        <v>17327.099999999999</v>
      </c>
      <c r="M115" s="24"/>
      <c r="N115" s="94">
        <f t="shared" si="62"/>
        <v>5104.1975304542939</v>
      </c>
      <c r="O115" s="24"/>
      <c r="P115" s="90">
        <f t="shared" si="63"/>
        <v>123.63277310924369</v>
      </c>
      <c r="Q115" s="49">
        <f>+SUM(START:END!Q115)</f>
        <v>14712.3</v>
      </c>
      <c r="R115" s="24"/>
      <c r="S115" s="95">
        <f t="shared" si="64"/>
        <v>2614.7999999999993</v>
      </c>
      <c r="T115" s="14"/>
      <c r="U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5.75" customHeight="1">
      <c r="A116" t="str">
        <f t="shared" si="31"/>
        <v>Véhicules usagésPublicité 1</v>
      </c>
      <c r="B116" s="12" t="s">
        <v>74</v>
      </c>
      <c r="C116" s="30" t="s">
        <v>37</v>
      </c>
      <c r="D116" s="82"/>
      <c r="E116" s="83">
        <f t="shared" si="59"/>
        <v>42.755319148936188</v>
      </c>
      <c r="F116" s="31">
        <f>+SUM(START:END!F116)</f>
        <v>5901.686893203886</v>
      </c>
      <c r="G116" s="84"/>
      <c r="H116" s="83">
        <f t="shared" si="60"/>
        <v>42.755319148936188</v>
      </c>
      <c r="I116" s="31">
        <f>+SUM(START:END!I116)</f>
        <v>5901.686893203886</v>
      </c>
      <c r="J116" s="42"/>
      <c r="K116" s="83">
        <f t="shared" si="61"/>
        <v>162.77828282828284</v>
      </c>
      <c r="L116" s="34">
        <f>+SUM(START:END!L116)</f>
        <v>16115.050000000001</v>
      </c>
      <c r="M116" s="42"/>
      <c r="N116" s="60">
        <f t="shared" si="62"/>
        <v>10213.363106796114</v>
      </c>
      <c r="O116" s="42"/>
      <c r="P116" s="83">
        <f t="shared" si="63"/>
        <v>49.016050420168064</v>
      </c>
      <c r="Q116" s="34">
        <f>+SUM(START:END!Q116)</f>
        <v>5832.91</v>
      </c>
      <c r="R116" s="42"/>
      <c r="S116" s="86">
        <f t="shared" si="64"/>
        <v>10282.140000000001</v>
      </c>
      <c r="T116" s="14"/>
      <c r="U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1"/>
        <v>Véhicules usagésIntérêt de gros</v>
      </c>
      <c r="B117" s="12" t="s">
        <v>74</v>
      </c>
      <c r="C117" s="30" t="s">
        <v>38</v>
      </c>
      <c r="D117" s="82"/>
      <c r="E117" s="83">
        <f t="shared" si="59"/>
        <v>20.030478270336623</v>
      </c>
      <c r="F117" s="31">
        <f>+SUM(START:END!F117)</f>
        <v>2764.8866486263196</v>
      </c>
      <c r="G117" s="84"/>
      <c r="H117" s="83">
        <f t="shared" si="60"/>
        <v>20.030478270336623</v>
      </c>
      <c r="I117" s="31">
        <f>+SUM(START:END!I117)</f>
        <v>2764.8866486263196</v>
      </c>
      <c r="J117" s="42"/>
      <c r="K117" s="83">
        <f t="shared" si="61"/>
        <v>63.487373737373737</v>
      </c>
      <c r="L117" s="34">
        <f>+SUM(START:END!L117)</f>
        <v>6285.25</v>
      </c>
      <c r="M117" s="42"/>
      <c r="N117" s="60">
        <f t="shared" si="62"/>
        <v>3520.3633513736804</v>
      </c>
      <c r="O117" s="42"/>
      <c r="P117" s="83">
        <f t="shared" si="63"/>
        <v>14.18109243697479</v>
      </c>
      <c r="Q117" s="34">
        <f>+SUM(START:END!Q117)</f>
        <v>1687.55</v>
      </c>
      <c r="R117" s="42"/>
      <c r="S117" s="86">
        <f t="shared" si="64"/>
        <v>4597.7</v>
      </c>
      <c r="T117" s="14"/>
      <c r="U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1"/>
        <v>Véhicules usagés[...]</v>
      </c>
      <c r="B118" s="12" t="s">
        <v>74</v>
      </c>
      <c r="C118" s="30" t="s">
        <v>21</v>
      </c>
      <c r="D118" s="82"/>
      <c r="E118" s="83">
        <f t="shared" si="59"/>
        <v>0</v>
      </c>
      <c r="F118" s="31">
        <f>+SUM(START:END!F118)</f>
        <v>0</v>
      </c>
      <c r="G118" s="84"/>
      <c r="H118" s="83">
        <f t="shared" si="60"/>
        <v>0</v>
      </c>
      <c r="I118" s="31">
        <f>+SUM(START:END!I118)</f>
        <v>0</v>
      </c>
      <c r="J118" s="42"/>
      <c r="K118" s="83">
        <f t="shared" si="61"/>
        <v>0</v>
      </c>
      <c r="L118" s="34">
        <f>+SUM(START:END!L118)</f>
        <v>0</v>
      </c>
      <c r="M118" s="42"/>
      <c r="N118" s="60">
        <f t="shared" si="62"/>
        <v>0</v>
      </c>
      <c r="O118" s="42"/>
      <c r="P118" s="83">
        <f t="shared" si="63"/>
        <v>0</v>
      </c>
      <c r="Q118" s="34">
        <f>+SUM(START:END!Q118)</f>
        <v>0</v>
      </c>
      <c r="R118" s="42"/>
      <c r="S118" s="86">
        <f t="shared" si="64"/>
        <v>0</v>
      </c>
      <c r="T118" s="14"/>
      <c r="U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1"/>
        <v>Véhicules usagés[...]</v>
      </c>
      <c r="B119" s="12" t="s">
        <v>74</v>
      </c>
      <c r="C119" s="30" t="s">
        <v>21</v>
      </c>
      <c r="D119" s="82"/>
      <c r="E119" s="83">
        <f t="shared" si="59"/>
        <v>0</v>
      </c>
      <c r="F119" s="31">
        <f>+SUM(START:END!F119)</f>
        <v>0</v>
      </c>
      <c r="G119" s="84"/>
      <c r="H119" s="83">
        <f t="shared" si="60"/>
        <v>0</v>
      </c>
      <c r="I119" s="31">
        <f>+SUM(START:END!I119)</f>
        <v>0</v>
      </c>
      <c r="J119" s="42"/>
      <c r="K119" s="83">
        <f t="shared" si="61"/>
        <v>0</v>
      </c>
      <c r="L119" s="34">
        <f>+SUM(START:END!L119)</f>
        <v>0</v>
      </c>
      <c r="M119" s="42"/>
      <c r="N119" s="60">
        <f t="shared" si="62"/>
        <v>0</v>
      </c>
      <c r="O119" s="42"/>
      <c r="P119" s="83">
        <f t="shared" si="63"/>
        <v>0</v>
      </c>
      <c r="Q119" s="34">
        <f>+SUM(START:END!Q119)</f>
        <v>0</v>
      </c>
      <c r="R119" s="42"/>
      <c r="S119" s="86">
        <f t="shared" si="64"/>
        <v>0</v>
      </c>
      <c r="T119" s="14"/>
      <c r="U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1"/>
        <v>Véhicules usagés[...]</v>
      </c>
      <c r="B120" s="12" t="s">
        <v>74</v>
      </c>
      <c r="C120" s="30" t="s">
        <v>21</v>
      </c>
      <c r="D120" s="82"/>
      <c r="E120" s="83">
        <f>F120/D$96</f>
        <v>0</v>
      </c>
      <c r="F120" s="31">
        <f>+SUM(START:END!F120)</f>
        <v>0</v>
      </c>
      <c r="G120" s="84"/>
      <c r="H120" s="83">
        <f>I120/G$96</f>
        <v>0</v>
      </c>
      <c r="I120" s="31">
        <f>+SUM(START:END!I120)</f>
        <v>0</v>
      </c>
      <c r="J120" s="42"/>
      <c r="K120" s="83">
        <f>IF($J$96=0,0,L120/(J$94+J$95))</f>
        <v>0</v>
      </c>
      <c r="L120" s="34">
        <f>+SUM(START:END!L120)</f>
        <v>0</v>
      </c>
      <c r="M120" s="42"/>
      <c r="N120" s="60">
        <f t="shared" si="62"/>
        <v>0</v>
      </c>
      <c r="O120" s="42"/>
      <c r="P120" s="83">
        <f>IF($J$96=0,0,Q120/(O$94+O$95))</f>
        <v>0</v>
      </c>
      <c r="Q120" s="34">
        <f>+SUM(START:END!Q120)</f>
        <v>0</v>
      </c>
      <c r="R120" s="42"/>
      <c r="S120" s="86">
        <f t="shared" si="64"/>
        <v>0</v>
      </c>
      <c r="T120" s="14"/>
      <c r="U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1"/>
        <v>Véhicules usagésTOTAL VARIABLES</v>
      </c>
      <c r="B121" s="12" t="s">
        <v>74</v>
      </c>
      <c r="C121" s="96" t="s">
        <v>39</v>
      </c>
      <c r="D121" s="97" t="s">
        <v>40</v>
      </c>
      <c r="E121" s="98">
        <f>F121/F$107</f>
        <v>0.39160725212602371</v>
      </c>
      <c r="F121" s="99">
        <f>SUM(F111:F120)</f>
        <v>179298.79815527992</v>
      </c>
      <c r="G121" s="100" t="s">
        <v>40</v>
      </c>
      <c r="H121" s="98">
        <f>I121/I$107</f>
        <v>0.39160725212602371</v>
      </c>
      <c r="I121" s="99">
        <f>SUM(I111:I120)</f>
        <v>179298.79815527992</v>
      </c>
      <c r="J121" s="100" t="s">
        <v>40</v>
      </c>
      <c r="K121" s="98">
        <f>L121/L$107</f>
        <v>0.39621456720062481</v>
      </c>
      <c r="L121" s="99">
        <f>SUM(L111:L120)</f>
        <v>202707.62000000002</v>
      </c>
      <c r="M121" s="103"/>
      <c r="N121" s="99">
        <f t="shared" si="62"/>
        <v>23408.821844720107</v>
      </c>
      <c r="O121" s="100" t="s">
        <v>40</v>
      </c>
      <c r="P121" s="98">
        <f>Q121/Q$107</f>
        <v>0.36159488826488984</v>
      </c>
      <c r="Q121" s="99">
        <f>SUM(Q111:Q120)</f>
        <v>154363.17999999996</v>
      </c>
      <c r="R121" s="103"/>
      <c r="S121" s="104">
        <f t="shared" si="64"/>
        <v>48344.440000000061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5.75" customHeight="1">
      <c r="A122" t="str">
        <f t="shared" si="31"/>
        <v>Véhicules usagésSalaires cadres</v>
      </c>
      <c r="B122" s="12" t="s">
        <v>74</v>
      </c>
      <c r="C122" s="105" t="s">
        <v>42</v>
      </c>
      <c r="D122" s="14"/>
      <c r="E122" s="14"/>
      <c r="F122" s="31">
        <f>+SUM(START:END!F122)</f>
        <v>24045.818007662834</v>
      </c>
      <c r="G122" s="42"/>
      <c r="H122" s="14"/>
      <c r="I122" s="31">
        <f>+SUM(START:END!I122)</f>
        <v>24045.818007662834</v>
      </c>
      <c r="J122" s="42"/>
      <c r="K122" s="14"/>
      <c r="L122" s="34">
        <f>+SUM(START:END!L122)</f>
        <v>34357.35</v>
      </c>
      <c r="M122" s="42"/>
      <c r="N122" s="60">
        <f t="shared" si="62"/>
        <v>10311.531992337164</v>
      </c>
      <c r="O122" s="42"/>
      <c r="P122" s="14"/>
      <c r="Q122" s="34">
        <f>+SUM(START:END!Q122)</f>
        <v>25290.74</v>
      </c>
      <c r="R122" s="42"/>
      <c r="S122" s="62"/>
      <c r="T122" s="14"/>
      <c r="U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15.75" customHeight="1">
      <c r="A123" t="str">
        <f t="shared" si="31"/>
        <v>Véhicules usagésSalaires commis</v>
      </c>
      <c r="B123" s="12" t="s">
        <v>74</v>
      </c>
      <c r="C123" s="106" t="s">
        <v>43</v>
      </c>
      <c r="D123" s="82"/>
      <c r="E123" s="14"/>
      <c r="F123" s="23">
        <f>+SUM(START:END!F123)</f>
        <v>6451.1470253256703</v>
      </c>
      <c r="G123" s="84"/>
      <c r="H123" s="14"/>
      <c r="I123" s="23">
        <f>+SUM(START:END!I123)</f>
        <v>6451.1470253256703</v>
      </c>
      <c r="J123" s="42"/>
      <c r="K123" s="14"/>
      <c r="L123" s="23">
        <f>+SUM(START:END!L123)</f>
        <v>5203.84</v>
      </c>
      <c r="M123" s="42"/>
      <c r="N123" s="60">
        <f t="shared" si="62"/>
        <v>-1247.3070253256701</v>
      </c>
      <c r="O123" s="42"/>
      <c r="P123" s="14"/>
      <c r="Q123" s="23">
        <f>+SUM(START:END!Q123)</f>
        <v>6470.1999999999989</v>
      </c>
      <c r="R123" s="42"/>
      <c r="S123" s="86">
        <f t="shared" ref="S123:S152" si="65">L123-Q123</f>
        <v>-1266.3599999999988</v>
      </c>
      <c r="T123" s="14"/>
      <c r="U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5.75" customHeight="1">
      <c r="A124" t="str">
        <f t="shared" si="31"/>
        <v>Véhicules usagésSalaires autres</v>
      </c>
      <c r="B124" s="12" t="s">
        <v>74</v>
      </c>
      <c r="C124" s="105" t="s">
        <v>44</v>
      </c>
      <c r="D124" s="107"/>
      <c r="E124" s="108"/>
      <c r="F124" s="31">
        <f>+SUM(START:END!F124)</f>
        <v>24197.121990191568</v>
      </c>
      <c r="G124" s="109"/>
      <c r="H124" s="108"/>
      <c r="I124" s="31">
        <f>+SUM(START:END!I124)</f>
        <v>24197.121990191568</v>
      </c>
      <c r="J124" s="110"/>
      <c r="K124" s="108"/>
      <c r="L124" s="34">
        <f>+SUM(START:END!L124)</f>
        <v>22024.87</v>
      </c>
      <c r="M124" s="110"/>
      <c r="N124" s="112">
        <f t="shared" si="62"/>
        <v>-2172.2519901915693</v>
      </c>
      <c r="O124" s="110"/>
      <c r="P124" s="108"/>
      <c r="Q124" s="34">
        <f>+SUM(START:END!Q124)</f>
        <v>21686.79</v>
      </c>
      <c r="R124" s="110"/>
      <c r="S124" s="113">
        <f t="shared" si="65"/>
        <v>338.07999999999811</v>
      </c>
      <c r="T124" s="14"/>
      <c r="U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1"/>
        <v>Véhicules usagésSalaires spécialistes</v>
      </c>
      <c r="B125" s="12" t="s">
        <v>74</v>
      </c>
      <c r="C125" s="105" t="s">
        <v>45</v>
      </c>
      <c r="D125" s="82"/>
      <c r="E125" s="14"/>
      <c r="F125" s="31">
        <f>+SUM(START:END!F125)</f>
        <v>0</v>
      </c>
      <c r="G125" s="84"/>
      <c r="H125" s="14"/>
      <c r="I125" s="31">
        <f>+SUM(START:END!I125)</f>
        <v>0</v>
      </c>
      <c r="J125" s="42"/>
      <c r="K125" s="14"/>
      <c r="L125" s="34">
        <f>+SUM(START:END!L125)</f>
        <v>0</v>
      </c>
      <c r="M125" s="42"/>
      <c r="N125" s="60">
        <f t="shared" si="62"/>
        <v>0</v>
      </c>
      <c r="O125" s="42"/>
      <c r="P125" s="14"/>
      <c r="Q125" s="34">
        <f>+SUM(START:END!Q125)</f>
        <v>0</v>
      </c>
      <c r="R125" s="42"/>
      <c r="S125" s="86">
        <f t="shared" si="65"/>
        <v>0</v>
      </c>
      <c r="T125" s="14"/>
      <c r="U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1"/>
        <v>Véhicules usagés[...]</v>
      </c>
      <c r="B126" s="12" t="s">
        <v>74</v>
      </c>
      <c r="C126" s="105" t="s">
        <v>21</v>
      </c>
      <c r="D126" s="82"/>
      <c r="E126" s="14"/>
      <c r="F126" s="31">
        <f>+SUM(START:END!F126)</f>
        <v>0</v>
      </c>
      <c r="G126" s="84"/>
      <c r="H126" s="14"/>
      <c r="I126" s="31">
        <f>+SUM(START:END!I126)</f>
        <v>0</v>
      </c>
      <c r="J126" s="42"/>
      <c r="K126" s="14"/>
      <c r="L126" s="34">
        <f>+SUM(START:END!L126)</f>
        <v>0</v>
      </c>
      <c r="M126" s="42"/>
      <c r="N126" s="60">
        <f t="shared" si="62"/>
        <v>0</v>
      </c>
      <c r="O126" s="42"/>
      <c r="P126" s="14"/>
      <c r="Q126" s="34">
        <f>+SUM(START:END!Q126)</f>
        <v>0</v>
      </c>
      <c r="R126" s="42"/>
      <c r="S126" s="86">
        <f t="shared" si="65"/>
        <v>0</v>
      </c>
      <c r="T126" s="14"/>
      <c r="U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1"/>
        <v>Véhicules usagés[...]</v>
      </c>
      <c r="B127" s="12" t="s">
        <v>74</v>
      </c>
      <c r="C127" s="105" t="s">
        <v>21</v>
      </c>
      <c r="D127" s="82"/>
      <c r="E127" s="14"/>
      <c r="F127" s="31">
        <f>+SUM(START:END!F127)</f>
        <v>0</v>
      </c>
      <c r="G127" s="84"/>
      <c r="H127" s="14"/>
      <c r="I127" s="31">
        <f>+SUM(START:END!I127)</f>
        <v>0</v>
      </c>
      <c r="J127" s="42"/>
      <c r="K127" s="14"/>
      <c r="L127" s="34">
        <f>+SUM(START:END!L127)</f>
        <v>0</v>
      </c>
      <c r="M127" s="42"/>
      <c r="N127" s="60">
        <f t="shared" si="62"/>
        <v>0</v>
      </c>
      <c r="O127" s="42"/>
      <c r="P127" s="14"/>
      <c r="Q127" s="34">
        <f>+SUM(START:END!Q127)</f>
        <v>0</v>
      </c>
      <c r="R127" s="42"/>
      <c r="S127" s="86">
        <f t="shared" si="65"/>
        <v>0</v>
      </c>
      <c r="T127" s="14"/>
      <c r="U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1"/>
        <v>Véhicules usagés[...]</v>
      </c>
      <c r="B128" s="12" t="s">
        <v>74</v>
      </c>
      <c r="C128" s="105" t="s">
        <v>21</v>
      </c>
      <c r="D128" s="82"/>
      <c r="E128" s="14"/>
      <c r="F128" s="31">
        <f>+SUM(START:END!F128)</f>
        <v>0</v>
      </c>
      <c r="G128" s="84"/>
      <c r="H128" s="14"/>
      <c r="I128" s="31">
        <f>+SUM(START:END!I128)</f>
        <v>0</v>
      </c>
      <c r="J128" s="42"/>
      <c r="K128" s="14"/>
      <c r="L128" s="34">
        <f>+SUM(START:END!L128)</f>
        <v>0</v>
      </c>
      <c r="M128" s="42"/>
      <c r="N128" s="60">
        <f t="shared" si="62"/>
        <v>0</v>
      </c>
      <c r="O128" s="42"/>
      <c r="P128" s="14"/>
      <c r="Q128" s="34">
        <f>+SUM(START:END!Q128)</f>
        <v>0</v>
      </c>
      <c r="R128" s="42"/>
      <c r="S128" s="86">
        <f t="shared" si="65"/>
        <v>0</v>
      </c>
      <c r="T128" s="14"/>
      <c r="U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1"/>
        <v>Véhicules usagésSalaires en absences</v>
      </c>
      <c r="B129" s="12" t="s">
        <v>74</v>
      </c>
      <c r="C129" s="106" t="s">
        <v>46</v>
      </c>
      <c r="D129" s="82"/>
      <c r="E129" s="14"/>
      <c r="F129" s="31">
        <f>+SUM(START:END!F129)</f>
        <v>23170.377326163096</v>
      </c>
      <c r="G129" s="84"/>
      <c r="H129" s="14"/>
      <c r="I129" s="31">
        <f>+SUM(START:END!I129)</f>
        <v>23170.377326163096</v>
      </c>
      <c r="J129" s="42"/>
      <c r="K129" s="14"/>
      <c r="L129" s="34">
        <f>+SUM(START:END!L129)</f>
        <v>12139.43</v>
      </c>
      <c r="M129" s="42"/>
      <c r="N129" s="60">
        <f t="shared" si="62"/>
        <v>-11030.947326163096</v>
      </c>
      <c r="O129" s="42"/>
      <c r="P129" s="14"/>
      <c r="Q129" s="34">
        <f>+SUM(START:END!Q129)</f>
        <v>8468.83</v>
      </c>
      <c r="R129" s="42"/>
      <c r="S129" s="86">
        <f t="shared" si="65"/>
        <v>3670.6000000000004</v>
      </c>
      <c r="T129" s="14"/>
      <c r="U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1"/>
        <v>Véhicules usagésDéduction à la source</v>
      </c>
      <c r="B130" s="12" t="s">
        <v>74</v>
      </c>
      <c r="C130" s="105" t="s">
        <v>47</v>
      </c>
      <c r="D130" s="107"/>
      <c r="E130" s="108"/>
      <c r="F130" s="55">
        <f>+SUM(START:END!F130)</f>
        <v>20751.447992002522</v>
      </c>
      <c r="G130" s="109"/>
      <c r="H130" s="108"/>
      <c r="I130" s="55">
        <f>+SUM(START:END!I130)</f>
        <v>20751.447992002522</v>
      </c>
      <c r="J130" s="110"/>
      <c r="K130" s="108"/>
      <c r="L130" s="56">
        <f>+SUM(START:END!L130)</f>
        <v>10681.02</v>
      </c>
      <c r="M130" s="110"/>
      <c r="N130" s="112">
        <f t="shared" si="62"/>
        <v>-10070.427992002522</v>
      </c>
      <c r="O130" s="110"/>
      <c r="P130" s="108"/>
      <c r="Q130" s="56">
        <f>+SUM(START:END!Q130)</f>
        <v>19264.45</v>
      </c>
      <c r="R130" s="110"/>
      <c r="S130" s="113">
        <f t="shared" si="65"/>
        <v>-8583.43</v>
      </c>
      <c r="T130" s="14"/>
      <c r="U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1"/>
        <v>Véhicules usagésBénéfices marginaux</v>
      </c>
      <c r="B131" s="12" t="s">
        <v>74</v>
      </c>
      <c r="C131" s="105" t="s">
        <v>48</v>
      </c>
      <c r="D131" s="82"/>
      <c r="E131" s="14"/>
      <c r="F131" s="31">
        <f>+SUM(START:END!F131)</f>
        <v>16479.091052472595</v>
      </c>
      <c r="G131" s="84"/>
      <c r="H131" s="14"/>
      <c r="I131" s="31">
        <f>+SUM(START:END!I131)</f>
        <v>16479.091052472595</v>
      </c>
      <c r="J131" s="42"/>
      <c r="K131" s="14"/>
      <c r="L131" s="34">
        <f>+SUM(START:END!L131)</f>
        <v>8295.51</v>
      </c>
      <c r="M131" s="42"/>
      <c r="N131" s="60">
        <f t="shared" si="62"/>
        <v>-8183.5810524725948</v>
      </c>
      <c r="O131" s="42"/>
      <c r="P131" s="14"/>
      <c r="Q131" s="34">
        <f>+SUM(START:END!Q131)</f>
        <v>13806.19</v>
      </c>
      <c r="R131" s="42"/>
      <c r="S131" s="86">
        <f t="shared" si="65"/>
        <v>-5510.68</v>
      </c>
      <c r="T131" s="14"/>
      <c r="U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1"/>
        <v>Véhicules usagésCsst</v>
      </c>
      <c r="B132" s="12" t="s">
        <v>74</v>
      </c>
      <c r="C132" s="105" t="s">
        <v>49</v>
      </c>
      <c r="D132" s="82"/>
      <c r="E132" s="14"/>
      <c r="F132" s="31">
        <f>+SUM(START:END!F132)</f>
        <v>6713.7037621184645</v>
      </c>
      <c r="G132" s="84"/>
      <c r="H132" s="14"/>
      <c r="I132" s="31">
        <f>+SUM(START:END!I132)</f>
        <v>6713.7037621184645</v>
      </c>
      <c r="J132" s="42"/>
      <c r="K132" s="14"/>
      <c r="L132" s="34">
        <f>+SUM(START:END!L132)</f>
        <v>4377.6000000000004</v>
      </c>
      <c r="M132" s="42"/>
      <c r="N132" s="60">
        <f t="shared" si="62"/>
        <v>-2336.1037621184641</v>
      </c>
      <c r="O132" s="42"/>
      <c r="P132" s="14"/>
      <c r="Q132" s="34">
        <f>+SUM(START:END!Q132)</f>
        <v>3210.7400000000002</v>
      </c>
      <c r="R132" s="42"/>
      <c r="S132" s="86">
        <f t="shared" si="65"/>
        <v>1166.8600000000001</v>
      </c>
      <c r="T132" s="14"/>
      <c r="U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1"/>
        <v>Véhicules usagés[...]</v>
      </c>
      <c r="B133" s="12" t="s">
        <v>74</v>
      </c>
      <c r="C133" s="30" t="s">
        <v>21</v>
      </c>
      <c r="D133" s="89"/>
      <c r="E133" s="114"/>
      <c r="F133" s="31">
        <f>+SUM(START:END!F133)</f>
        <v>0</v>
      </c>
      <c r="G133" s="91"/>
      <c r="H133" s="114"/>
      <c r="I133" s="31">
        <f>+SUM(START:END!I133)</f>
        <v>0</v>
      </c>
      <c r="J133" s="24"/>
      <c r="K133" s="114"/>
      <c r="L133" s="34">
        <f>+SUM(START:END!L133)</f>
        <v>0</v>
      </c>
      <c r="M133" s="24"/>
      <c r="N133" s="150">
        <f t="shared" si="62"/>
        <v>0</v>
      </c>
      <c r="O133" s="24"/>
      <c r="P133" s="114"/>
      <c r="Q133" s="34">
        <f>+SUM(START:END!Q133)</f>
        <v>0</v>
      </c>
      <c r="R133" s="24"/>
      <c r="S133" s="95">
        <f t="shared" si="65"/>
        <v>0</v>
      </c>
      <c r="T133" s="14"/>
      <c r="U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1"/>
        <v>Véhicules usagésTOTAL PERSONNEL</v>
      </c>
      <c r="B134" s="12" t="s">
        <v>74</v>
      </c>
      <c r="C134" s="96" t="s">
        <v>50</v>
      </c>
      <c r="D134" s="97" t="s">
        <v>40</v>
      </c>
      <c r="E134" s="98">
        <f>F134/F$107</f>
        <v>0.26604290483335413</v>
      </c>
      <c r="F134" s="99">
        <f>+SUM(F122:F133)</f>
        <v>121808.70715593675</v>
      </c>
      <c r="G134" s="100" t="s">
        <v>40</v>
      </c>
      <c r="H134" s="98">
        <f>I134/I$107</f>
        <v>0.26604290483335413</v>
      </c>
      <c r="I134" s="99">
        <f>+SUM(I122:I133)</f>
        <v>121808.70715593675</v>
      </c>
      <c r="J134" s="100" t="s">
        <v>40</v>
      </c>
      <c r="K134" s="98">
        <f>L134/L$107</f>
        <v>0.18975290431756395</v>
      </c>
      <c r="L134" s="99">
        <f>SUM(L122:L133)</f>
        <v>97079.62</v>
      </c>
      <c r="M134" s="151"/>
      <c r="N134" s="116">
        <f t="shared" si="62"/>
        <v>-24729.087155936752</v>
      </c>
      <c r="O134" s="100" t="s">
        <v>40</v>
      </c>
      <c r="P134" s="98">
        <f>Q134/Q$107</f>
        <v>0.2300281267990357</v>
      </c>
      <c r="Q134" s="99">
        <f>SUM(Q122:Q133)</f>
        <v>98197.940000000017</v>
      </c>
      <c r="R134" s="151"/>
      <c r="S134" s="117">
        <f t="shared" si="65"/>
        <v>-1118.3200000000215</v>
      </c>
      <c r="T134" s="14"/>
      <c r="U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1"/>
        <v>Véhicules usagésPublicité 2</v>
      </c>
      <c r="B135" s="12" t="s">
        <v>74</v>
      </c>
      <c r="C135" s="30" t="s">
        <v>51</v>
      </c>
      <c r="D135" s="82"/>
      <c r="E135" s="14"/>
      <c r="F135" s="31">
        <f>+SUM(START:END!F135)</f>
        <v>0</v>
      </c>
      <c r="G135" s="84"/>
      <c r="H135" s="14"/>
      <c r="I135" s="31">
        <f>+SUM(START:END!I135)</f>
        <v>0</v>
      </c>
      <c r="J135" s="42"/>
      <c r="K135" s="14"/>
      <c r="L135" s="34">
        <f>+SUM(START:END!L135)</f>
        <v>0</v>
      </c>
      <c r="M135" s="42"/>
      <c r="N135" s="60">
        <f t="shared" si="62"/>
        <v>0</v>
      </c>
      <c r="O135" s="42"/>
      <c r="P135" s="14"/>
      <c r="Q135" s="34">
        <f>+SUM(START:END!Q135)</f>
        <v>0</v>
      </c>
      <c r="R135" s="42"/>
      <c r="S135" s="86">
        <f t="shared" si="65"/>
        <v>0</v>
      </c>
      <c r="T135" s="14"/>
      <c r="U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1"/>
        <v>Véhicules usagésService gratuit 2</v>
      </c>
      <c r="B136" s="12" t="s">
        <v>74</v>
      </c>
      <c r="C136" s="30" t="s">
        <v>52</v>
      </c>
      <c r="D136" s="82"/>
      <c r="E136" s="14"/>
      <c r="F136" s="31">
        <f>+SUM(START:END!F136)</f>
        <v>0</v>
      </c>
      <c r="G136" s="84"/>
      <c r="H136" s="14"/>
      <c r="I136" s="31">
        <f>+SUM(START:END!I136)</f>
        <v>0</v>
      </c>
      <c r="J136" s="42"/>
      <c r="K136" s="14"/>
      <c r="L136" s="34">
        <f>+SUM(START:END!L136)</f>
        <v>0</v>
      </c>
      <c r="M136" s="42"/>
      <c r="N136" s="60">
        <f t="shared" si="62"/>
        <v>0</v>
      </c>
      <c r="O136" s="42"/>
      <c r="P136" s="14"/>
      <c r="Q136" s="34">
        <f>+SUM(START:END!Q136)</f>
        <v>0</v>
      </c>
      <c r="R136" s="42"/>
      <c r="S136" s="86">
        <f t="shared" si="65"/>
        <v>0</v>
      </c>
      <c r="T136" s="14"/>
      <c r="U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1"/>
        <v>Véhicules usagésFrais véhicules de cie</v>
      </c>
      <c r="B137" s="12" t="s">
        <v>74</v>
      </c>
      <c r="C137" s="88" t="s">
        <v>53</v>
      </c>
      <c r="D137" s="89"/>
      <c r="E137" s="114"/>
      <c r="F137" s="23">
        <f>+SUM(START:END!F137)</f>
        <v>375.12</v>
      </c>
      <c r="G137" s="91"/>
      <c r="H137" s="114"/>
      <c r="I137" s="23">
        <f>+SUM(START:END!I137)</f>
        <v>375.12</v>
      </c>
      <c r="J137" s="24"/>
      <c r="K137" s="114"/>
      <c r="L137" s="23">
        <f>+SUM(START:END!L137)</f>
        <v>1414.99</v>
      </c>
      <c r="M137" s="24"/>
      <c r="N137" s="94">
        <f t="shared" si="62"/>
        <v>1039.8699999999999</v>
      </c>
      <c r="O137" s="24"/>
      <c r="P137" s="114"/>
      <c r="Q137" s="23">
        <f>+SUM(START:END!Q137)</f>
        <v>-1071.3800000000001</v>
      </c>
      <c r="R137" s="24"/>
      <c r="S137" s="95">
        <f t="shared" si="65"/>
        <v>2486.37</v>
      </c>
      <c r="T137" s="14"/>
      <c r="U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1"/>
        <v>Véhicules usagésInformatique</v>
      </c>
      <c r="B138" s="12" t="s">
        <v>74</v>
      </c>
      <c r="C138" s="30" t="s">
        <v>54</v>
      </c>
      <c r="D138" s="82"/>
      <c r="E138" s="14"/>
      <c r="F138" s="31">
        <f>+SUM(START:END!F138)</f>
        <v>7285.1067299999995</v>
      </c>
      <c r="G138" s="84"/>
      <c r="H138" s="14"/>
      <c r="I138" s="31">
        <f>+SUM(START:END!I138)</f>
        <v>7285.1067299999995</v>
      </c>
      <c r="J138" s="42"/>
      <c r="K138" s="14"/>
      <c r="L138" s="34">
        <f>+SUM(START:END!L138)</f>
        <v>8181.3899999999994</v>
      </c>
      <c r="M138" s="42"/>
      <c r="N138" s="60">
        <f t="shared" si="62"/>
        <v>896.2832699999999</v>
      </c>
      <c r="O138" s="42"/>
      <c r="P138" s="14"/>
      <c r="Q138" s="34">
        <f>+SUM(START:END!Q138)</f>
        <v>5033.34</v>
      </c>
      <c r="R138" s="42"/>
      <c r="S138" s="86">
        <f t="shared" si="65"/>
        <v>3148.0499999999993</v>
      </c>
      <c r="T138" s="14"/>
      <c r="U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1"/>
        <v>Véhicules usagésFrais de déplacement</v>
      </c>
      <c r="B139" s="12" t="s">
        <v>74</v>
      </c>
      <c r="C139" s="30" t="s">
        <v>55</v>
      </c>
      <c r="D139" s="82"/>
      <c r="E139" s="14"/>
      <c r="F139" s="31">
        <f>+SUM(START:END!F139)</f>
        <v>891.15952500000003</v>
      </c>
      <c r="G139" s="84"/>
      <c r="H139" s="14"/>
      <c r="I139" s="31">
        <f>+SUM(START:END!I139)</f>
        <v>891.15952500000003</v>
      </c>
      <c r="J139" s="42"/>
      <c r="K139" s="14"/>
      <c r="L139" s="34">
        <f>+SUM(START:END!L139)</f>
        <v>1502.26</v>
      </c>
      <c r="M139" s="42"/>
      <c r="N139" s="60">
        <f t="shared" si="62"/>
        <v>611.10047499999996</v>
      </c>
      <c r="O139" s="42"/>
      <c r="P139" s="14"/>
      <c r="Q139" s="34">
        <f>+SUM(START:END!Q139)</f>
        <v>538.03</v>
      </c>
      <c r="R139" s="42"/>
      <c r="S139" s="86">
        <f t="shared" si="65"/>
        <v>964.23</v>
      </c>
      <c r="T139" s="152"/>
      <c r="U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1"/>
        <v>Véhicules usagésServices extérieurs</v>
      </c>
      <c r="B140" s="12" t="s">
        <v>74</v>
      </c>
      <c r="C140" s="88" t="s">
        <v>56</v>
      </c>
      <c r="D140" s="89"/>
      <c r="E140" s="114"/>
      <c r="F140" s="23">
        <f>+SUM(START:END!F140)</f>
        <v>4481.8315999999995</v>
      </c>
      <c r="G140" s="91"/>
      <c r="H140" s="114"/>
      <c r="I140" s="23">
        <f>+SUM(START:END!I140)</f>
        <v>4481.8315999999995</v>
      </c>
      <c r="J140" s="24"/>
      <c r="K140" s="114"/>
      <c r="L140" s="23">
        <f>+SUM(START:END!L140)</f>
        <v>2842.94</v>
      </c>
      <c r="M140" s="24"/>
      <c r="N140" s="94">
        <f t="shared" si="62"/>
        <v>-1638.8915999999995</v>
      </c>
      <c r="O140" s="24"/>
      <c r="P140" s="114"/>
      <c r="Q140" s="23">
        <f>+SUM(START:END!Q140)</f>
        <v>4169.7</v>
      </c>
      <c r="R140" s="24"/>
      <c r="S140" s="95">
        <f t="shared" si="65"/>
        <v>-1326.7599999999998</v>
      </c>
      <c r="T140" s="14"/>
      <c r="U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1"/>
        <v>Véhicules usagésFournitures autres</v>
      </c>
      <c r="B141" s="12" t="s">
        <v>74</v>
      </c>
      <c r="C141" s="30" t="s">
        <v>57</v>
      </c>
      <c r="D141" s="82"/>
      <c r="E141" s="14"/>
      <c r="F141" s="31">
        <f>+SUM(START:END!F141)</f>
        <v>296.69411528651915</v>
      </c>
      <c r="G141" s="84"/>
      <c r="H141" s="14"/>
      <c r="I141" s="31">
        <f>+SUM(START:END!I141)</f>
        <v>296.69411528651915</v>
      </c>
      <c r="J141" s="42"/>
      <c r="K141" s="14"/>
      <c r="L141" s="34">
        <f>+SUM(START:END!L141)</f>
        <v>265.19</v>
      </c>
      <c r="M141" s="42"/>
      <c r="N141" s="60">
        <f t="shared" si="62"/>
        <v>-31.504115286519152</v>
      </c>
      <c r="O141" s="42"/>
      <c r="P141" s="14"/>
      <c r="Q141" s="34">
        <f>+SUM(START:END!Q141)</f>
        <v>469.93999999999994</v>
      </c>
      <c r="R141" s="42"/>
      <c r="S141" s="86">
        <f t="shared" si="65"/>
        <v>-204.74999999999994</v>
      </c>
      <c r="T141" s="14"/>
      <c r="U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1"/>
        <v>Véhicules usagésUniformes</v>
      </c>
      <c r="B142" s="12" t="s">
        <v>74</v>
      </c>
      <c r="C142" s="30" t="s">
        <v>58</v>
      </c>
      <c r="D142" s="82"/>
      <c r="E142" s="14"/>
      <c r="F142" s="31">
        <f>+SUM(START:END!F142)</f>
        <v>157.65545343306846</v>
      </c>
      <c r="G142" s="84"/>
      <c r="H142" s="14"/>
      <c r="I142" s="31">
        <f>+SUM(START:END!I142)</f>
        <v>157.65545343306846</v>
      </c>
      <c r="J142" s="42"/>
      <c r="K142" s="14"/>
      <c r="L142" s="34">
        <f>+SUM(START:END!L142)</f>
        <v>0</v>
      </c>
      <c r="M142" s="42"/>
      <c r="N142" s="60">
        <f t="shared" si="62"/>
        <v>-157.65545343306846</v>
      </c>
      <c r="O142" s="42"/>
      <c r="P142" s="14"/>
      <c r="Q142" s="34">
        <f>+SUM(START:END!Q142)</f>
        <v>0</v>
      </c>
      <c r="R142" s="42"/>
      <c r="S142" s="86">
        <f t="shared" si="65"/>
        <v>0</v>
      </c>
      <c r="T142" s="14"/>
      <c r="U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1"/>
        <v>Véhicules usagésPapeterie</v>
      </c>
      <c r="B143" s="12" t="s">
        <v>74</v>
      </c>
      <c r="C143" s="30" t="s">
        <v>59</v>
      </c>
      <c r="D143" s="82"/>
      <c r="E143" s="14"/>
      <c r="F143" s="31">
        <f>+SUM(START:END!F143)</f>
        <v>734.47235999999998</v>
      </c>
      <c r="G143" s="84"/>
      <c r="H143" s="14"/>
      <c r="I143" s="31">
        <f>+SUM(START:END!I143)</f>
        <v>734.47235999999998</v>
      </c>
      <c r="J143" s="42"/>
      <c r="K143" s="14"/>
      <c r="L143" s="33">
        <f>+SUM(START:END!L143)</f>
        <v>709.6400000000001</v>
      </c>
      <c r="M143" s="42"/>
      <c r="N143" s="60">
        <f t="shared" si="62"/>
        <v>-24.832359999999881</v>
      </c>
      <c r="O143" s="42"/>
      <c r="P143" s="14"/>
      <c r="Q143" s="33">
        <f>+SUM(START:END!Q143)</f>
        <v>1076.6000000000001</v>
      </c>
      <c r="R143" s="42"/>
      <c r="S143" s="86">
        <f t="shared" si="65"/>
        <v>-366.96000000000004</v>
      </c>
      <c r="T143" s="14"/>
      <c r="U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1"/>
        <v>Véhicules usagésTéléphone</v>
      </c>
      <c r="B144" s="12" t="s">
        <v>74</v>
      </c>
      <c r="C144" s="30" t="s">
        <v>60</v>
      </c>
      <c r="D144" s="82"/>
      <c r="E144" s="14"/>
      <c r="F144" s="31">
        <f>+SUM(START:END!F144)</f>
        <v>339.14759250000003</v>
      </c>
      <c r="G144" s="84"/>
      <c r="H144" s="14"/>
      <c r="I144" s="31">
        <f>+SUM(START:END!I144)</f>
        <v>339.14759250000003</v>
      </c>
      <c r="J144" s="42"/>
      <c r="K144" s="14"/>
      <c r="L144" s="34">
        <f>+SUM(START:END!L144)</f>
        <v>157.07999999999998</v>
      </c>
      <c r="M144" s="42"/>
      <c r="N144" s="60">
        <f t="shared" si="62"/>
        <v>-182.06759250000005</v>
      </c>
      <c r="O144" s="42"/>
      <c r="P144" s="14"/>
      <c r="Q144" s="34">
        <f>+SUM(START:END!Q144)</f>
        <v>145.91</v>
      </c>
      <c r="R144" s="42"/>
      <c r="S144" s="86">
        <f t="shared" si="65"/>
        <v>11.169999999999987</v>
      </c>
      <c r="T144" s="14"/>
      <c r="U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1"/>
        <v>Véhicules usagésFrais postaux</v>
      </c>
      <c r="B145" s="12" t="s">
        <v>74</v>
      </c>
      <c r="C145" s="30" t="s">
        <v>61</v>
      </c>
      <c r="D145" s="82"/>
      <c r="E145" s="14"/>
      <c r="F145" s="31">
        <f>+SUM(START:END!F145)</f>
        <v>181.03170749999995</v>
      </c>
      <c r="G145" s="84"/>
      <c r="H145" s="14"/>
      <c r="I145" s="31">
        <f>+SUM(START:END!I145)</f>
        <v>181.03170749999995</v>
      </c>
      <c r="J145" s="42"/>
      <c r="K145" s="14"/>
      <c r="L145" s="34">
        <f>+SUM(START:END!L145)</f>
        <v>195.95999999999998</v>
      </c>
      <c r="M145" s="42"/>
      <c r="N145" s="60">
        <f t="shared" si="62"/>
        <v>14.928292500000026</v>
      </c>
      <c r="O145" s="42"/>
      <c r="P145" s="14"/>
      <c r="Q145" s="34">
        <f>+SUM(START:END!Q145)</f>
        <v>194.06</v>
      </c>
      <c r="R145" s="42"/>
      <c r="S145" s="86">
        <f t="shared" si="65"/>
        <v>1.8999999999999773</v>
      </c>
      <c r="T145" s="14"/>
      <c r="U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1"/>
        <v>Véhicules usagésDivers</v>
      </c>
      <c r="B146" s="12" t="s">
        <v>74</v>
      </c>
      <c r="C146" s="30" t="s">
        <v>62</v>
      </c>
      <c r="D146" s="82"/>
      <c r="E146" s="14"/>
      <c r="F146" s="31">
        <f>+SUM(START:END!F146)</f>
        <v>873.2627924999997</v>
      </c>
      <c r="G146" s="84"/>
      <c r="H146" s="14"/>
      <c r="I146" s="31">
        <f>+SUM(START:END!I146)</f>
        <v>873.2627924999997</v>
      </c>
      <c r="J146" s="42"/>
      <c r="K146" s="14"/>
      <c r="L146" s="34">
        <f>+SUM(START:END!L146)</f>
        <v>534.94000000000005</v>
      </c>
      <c r="M146" s="42"/>
      <c r="N146" s="60">
        <f t="shared" si="62"/>
        <v>-338.32279249999965</v>
      </c>
      <c r="O146" s="42"/>
      <c r="P146" s="14"/>
      <c r="Q146" s="34">
        <f>+SUM(START:END!Q146)</f>
        <v>997.85000000000014</v>
      </c>
      <c r="R146" s="42"/>
      <c r="S146" s="86">
        <f t="shared" si="65"/>
        <v>-462.91000000000008</v>
      </c>
      <c r="T146" s="14"/>
      <c r="U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1"/>
        <v>Véhicules usagésFormation</v>
      </c>
      <c r="B147" s="12" t="s">
        <v>74</v>
      </c>
      <c r="C147" s="30" t="s">
        <v>63</v>
      </c>
      <c r="D147" s="82"/>
      <c r="E147" s="14"/>
      <c r="F147" s="31">
        <f>+SUM(START:END!F147)</f>
        <v>1297.4132999999999</v>
      </c>
      <c r="G147" s="84"/>
      <c r="H147" s="14"/>
      <c r="I147" s="31">
        <f>+SUM(START:END!I147)</f>
        <v>1297.4132999999999</v>
      </c>
      <c r="J147" s="42"/>
      <c r="K147" s="14"/>
      <c r="L147" s="34">
        <f>+SUM(START:END!L147)</f>
        <v>266.31</v>
      </c>
      <c r="M147" s="42"/>
      <c r="N147" s="60">
        <f t="shared" si="62"/>
        <v>-1031.1033</v>
      </c>
      <c r="O147" s="42"/>
      <c r="P147" s="14"/>
      <c r="Q147" s="34">
        <f>+SUM(START:END!Q147)</f>
        <v>271.86</v>
      </c>
      <c r="R147" s="42"/>
      <c r="S147" s="86">
        <f t="shared" si="65"/>
        <v>-5.5500000000000114</v>
      </c>
      <c r="T147" s="14"/>
      <c r="U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1"/>
        <v>Véhicules usagésFrais bancaires</v>
      </c>
      <c r="B148" s="12" t="s">
        <v>74</v>
      </c>
      <c r="C148" s="30" t="s">
        <v>64</v>
      </c>
      <c r="D148" s="82"/>
      <c r="E148" s="14"/>
      <c r="F148" s="31">
        <f>+SUM(START:END!F148)</f>
        <v>3151.8730218015362</v>
      </c>
      <c r="G148" s="84"/>
      <c r="H148" s="14"/>
      <c r="I148" s="31">
        <f>+SUM(START:END!I148)</f>
        <v>3151.8730218015362</v>
      </c>
      <c r="J148" s="42"/>
      <c r="K148" s="14"/>
      <c r="L148" s="34">
        <f>+SUM(START:END!L148)</f>
        <v>2555.9780000000001</v>
      </c>
      <c r="M148" s="42"/>
      <c r="N148" s="60">
        <f t="shared" si="62"/>
        <v>-595.89502180153613</v>
      </c>
      <c r="O148" s="42"/>
      <c r="P148" s="14"/>
      <c r="Q148" s="34">
        <f>+SUM(START:END!Q148)</f>
        <v>2280.5720000000001</v>
      </c>
      <c r="R148" s="42"/>
      <c r="S148" s="86">
        <f t="shared" si="65"/>
        <v>275.40599999999995</v>
      </c>
      <c r="T148" s="83"/>
      <c r="U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1"/>
        <v>Véhicules usagés[...]</v>
      </c>
      <c r="B149" s="12" t="s">
        <v>74</v>
      </c>
      <c r="C149" s="30" t="s">
        <v>21</v>
      </c>
      <c r="D149" s="82"/>
      <c r="E149" s="14"/>
      <c r="F149" s="31">
        <f>+SUM(START:END!F149)</f>
        <v>0</v>
      </c>
      <c r="G149" s="84"/>
      <c r="H149" s="14"/>
      <c r="I149" s="31">
        <f>+SUM(START:END!I149)</f>
        <v>0</v>
      </c>
      <c r="J149" s="42"/>
      <c r="K149" s="14"/>
      <c r="L149" s="34">
        <f>+SUM(START:END!L149)</f>
        <v>0</v>
      </c>
      <c r="M149" s="42"/>
      <c r="N149" s="60">
        <f t="shared" si="62"/>
        <v>0</v>
      </c>
      <c r="O149" s="42"/>
      <c r="P149" s="14"/>
      <c r="Q149" s="34">
        <f>+SUM(START:END!Q149)</f>
        <v>0</v>
      </c>
      <c r="R149" s="42"/>
      <c r="S149" s="86">
        <f t="shared" si="65"/>
        <v>0</v>
      </c>
      <c r="T149" s="14"/>
      <c r="U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1"/>
        <v>Véhicules usagés[...]</v>
      </c>
      <c r="B150" s="12" t="s">
        <v>74</v>
      </c>
      <c r="C150" s="30" t="s">
        <v>21</v>
      </c>
      <c r="D150" s="82"/>
      <c r="E150" s="14"/>
      <c r="F150" s="31">
        <f>+SUM(START:END!F150)</f>
        <v>0</v>
      </c>
      <c r="G150" s="84"/>
      <c r="H150" s="14"/>
      <c r="I150" s="31">
        <f>+SUM(START:END!I150)</f>
        <v>0</v>
      </c>
      <c r="J150" s="42"/>
      <c r="K150" s="14"/>
      <c r="L150" s="34">
        <f>+SUM(START:END!L150)</f>
        <v>0</v>
      </c>
      <c r="M150" s="42"/>
      <c r="N150" s="60">
        <f t="shared" si="62"/>
        <v>0</v>
      </c>
      <c r="O150" s="42"/>
      <c r="P150" s="14"/>
      <c r="Q150" s="34">
        <f>+SUM(START:END!Q150)</f>
        <v>0</v>
      </c>
      <c r="R150" s="42"/>
      <c r="S150" s="86">
        <f t="shared" si="65"/>
        <v>0</v>
      </c>
      <c r="T150" s="14"/>
      <c r="U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1"/>
        <v>Véhicules usagés[...]</v>
      </c>
      <c r="B151" s="12" t="s">
        <v>74</v>
      </c>
      <c r="C151" s="30" t="s">
        <v>21</v>
      </c>
      <c r="D151" s="82"/>
      <c r="E151" s="14"/>
      <c r="F151" s="31">
        <f>+SUM(START:END!F151)</f>
        <v>0</v>
      </c>
      <c r="G151" s="84"/>
      <c r="H151" s="14"/>
      <c r="I151" s="31">
        <f>+SUM(START:END!I151)</f>
        <v>0</v>
      </c>
      <c r="J151" s="42"/>
      <c r="K151" s="14"/>
      <c r="L151" s="34">
        <f>+SUM(START:END!L151)</f>
        <v>0</v>
      </c>
      <c r="M151" s="42"/>
      <c r="N151" s="60">
        <f t="shared" si="62"/>
        <v>0</v>
      </c>
      <c r="O151" s="42"/>
      <c r="P151" s="14"/>
      <c r="Q151" s="34">
        <f>+SUM(START:END!Q151)</f>
        <v>0</v>
      </c>
      <c r="R151" s="42"/>
      <c r="S151" s="86">
        <f t="shared" si="65"/>
        <v>0</v>
      </c>
      <c r="T151" s="83"/>
      <c r="U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1"/>
        <v>Véhicules usagésTOTAL SEMI-FIXES</v>
      </c>
      <c r="B152" s="12" t="s">
        <v>74</v>
      </c>
      <c r="C152" s="96" t="s">
        <v>65</v>
      </c>
      <c r="D152" s="97" t="s">
        <v>40</v>
      </c>
      <c r="E152" s="98">
        <f>F152/F$107</f>
        <v>4.382354382413519E-2</v>
      </c>
      <c r="F152" s="99">
        <f>+SUM(F135:F151)</f>
        <v>20064.76819802112</v>
      </c>
      <c r="G152" s="100" t="s">
        <v>40</v>
      </c>
      <c r="H152" s="98">
        <f>I152/I$107</f>
        <v>4.382354382413519E-2</v>
      </c>
      <c r="I152" s="99">
        <f>+SUM(I135:I151)</f>
        <v>20064.76819802112</v>
      </c>
      <c r="J152" s="100" t="s">
        <v>40</v>
      </c>
      <c r="K152" s="98">
        <f>L152/L$107</f>
        <v>3.6407911859235476E-2</v>
      </c>
      <c r="L152" s="99">
        <f>+SUM(L135:L151)</f>
        <v>18626.678</v>
      </c>
      <c r="M152" s="103"/>
      <c r="N152" s="99">
        <f t="shared" si="62"/>
        <v>-1438.0901980211202</v>
      </c>
      <c r="O152" s="100" t="s">
        <v>40</v>
      </c>
      <c r="P152" s="98">
        <f>Q152/Q$107</f>
        <v>3.3044355412998626E-2</v>
      </c>
      <c r="Q152" s="99">
        <f>+SUM(Q135:Q151)</f>
        <v>14106.482</v>
      </c>
      <c r="R152" s="103"/>
      <c r="S152" s="104">
        <f t="shared" si="65"/>
        <v>4520.1959999999999</v>
      </c>
      <c r="T152" s="115"/>
      <c r="U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1"/>
        <v>Véhicules usagés</v>
      </c>
      <c r="B153" s="12" t="s">
        <v>74</v>
      </c>
      <c r="C153" s="88"/>
      <c r="D153" s="89"/>
      <c r="E153" s="114"/>
      <c r="F153" s="60"/>
      <c r="G153" s="91"/>
      <c r="H153" s="114"/>
      <c r="I153" s="60"/>
      <c r="J153" s="24"/>
      <c r="K153" s="114"/>
      <c r="L153" s="94"/>
      <c r="M153" s="24"/>
      <c r="N153" s="94"/>
      <c r="O153" s="24"/>
      <c r="P153" s="114"/>
      <c r="Q153" s="94"/>
      <c r="R153" s="24"/>
      <c r="S153" s="95"/>
      <c r="T153" s="115"/>
      <c r="U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1"/>
        <v>Véhicules usagésTOTAL DES DÉPENSES</v>
      </c>
      <c r="B154" s="12" t="s">
        <v>74</v>
      </c>
      <c r="C154" s="96" t="s">
        <v>66</v>
      </c>
      <c r="D154" s="97" t="s">
        <v>40</v>
      </c>
      <c r="E154" s="98">
        <f>F154/F$107</f>
        <v>0.70147370078351312</v>
      </c>
      <c r="F154" s="99">
        <f>F121+F134+F152</f>
        <v>321172.2735092378</v>
      </c>
      <c r="G154" s="100" t="s">
        <v>40</v>
      </c>
      <c r="H154" s="98">
        <f>I154/I$107</f>
        <v>0.70147370078351312</v>
      </c>
      <c r="I154" s="99">
        <f>I121+I134+I152</f>
        <v>321172.2735092378</v>
      </c>
      <c r="J154" s="100" t="s">
        <v>40</v>
      </c>
      <c r="K154" s="98">
        <f>L154/L$107</f>
        <v>0.62237538337742415</v>
      </c>
      <c r="L154" s="99">
        <f>L121+L134+L152</f>
        <v>318413.91800000001</v>
      </c>
      <c r="M154" s="103"/>
      <c r="N154" s="116">
        <f>L154-I154</f>
        <v>-2758.3555092377937</v>
      </c>
      <c r="O154" s="100" t="s">
        <v>40</v>
      </c>
      <c r="P154" s="98">
        <f>Q154/Q$107</f>
        <v>0.62466737047692422</v>
      </c>
      <c r="Q154" s="99">
        <f>Q121+Q134+Q152</f>
        <v>266667.60200000001</v>
      </c>
      <c r="R154" s="103"/>
      <c r="S154" s="117">
        <f>L154-Q154</f>
        <v>51746.315999999992</v>
      </c>
      <c r="T154" s="115"/>
      <c r="U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1"/>
        <v>Véhicules usagésRemarketing Bonus</v>
      </c>
      <c r="B155" s="12" t="s">
        <v>74</v>
      </c>
      <c r="C155" s="30" t="s">
        <v>81</v>
      </c>
      <c r="D155" s="153"/>
      <c r="E155" s="154"/>
      <c r="F155" s="31">
        <f>+SUM(START:END!F155)</f>
        <v>0</v>
      </c>
      <c r="G155" s="155"/>
      <c r="H155" s="154"/>
      <c r="I155" s="31">
        <f>+SUM(START:END!I155)</f>
        <v>0</v>
      </c>
      <c r="J155" s="155"/>
      <c r="K155" s="154"/>
      <c r="L155" s="33">
        <f>+SUM(START:END!L155)</f>
        <v>0</v>
      </c>
      <c r="M155" s="42"/>
      <c r="N155" s="60">
        <f t="shared" ref="N155:N161" si="66">L155-I155</f>
        <v>0</v>
      </c>
      <c r="O155" s="155"/>
      <c r="P155" s="154"/>
      <c r="Q155" s="34">
        <f>+SUM(START:END!Q155)</f>
        <v>0</v>
      </c>
      <c r="R155" s="42"/>
      <c r="S155" s="86">
        <f t="shared" ref="S155:S161" si="67">L155-Q155</f>
        <v>0</v>
      </c>
      <c r="T155" s="115"/>
      <c r="U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1"/>
        <v>Véhicules usagésProgramme used 2</v>
      </c>
      <c r="B156" s="12" t="s">
        <v>74</v>
      </c>
      <c r="C156" s="30" t="s">
        <v>82</v>
      </c>
      <c r="D156" s="153"/>
      <c r="E156" s="154"/>
      <c r="F156" s="31">
        <f>+SUM(START:END!F156)</f>
        <v>0</v>
      </c>
      <c r="G156" s="155"/>
      <c r="H156" s="154"/>
      <c r="I156" s="31">
        <f>+SUM(START:END!I156)</f>
        <v>0</v>
      </c>
      <c r="J156" s="155"/>
      <c r="K156" s="154"/>
      <c r="L156" s="34">
        <f>+SUM(START:END!L156)</f>
        <v>0</v>
      </c>
      <c r="M156" s="42"/>
      <c r="N156" s="60">
        <f t="shared" si="66"/>
        <v>0</v>
      </c>
      <c r="O156" s="155"/>
      <c r="P156" s="154"/>
      <c r="Q156" s="34">
        <f>+SUM(START:END!Q156)</f>
        <v>0</v>
      </c>
      <c r="R156" s="42"/>
      <c r="S156" s="86">
        <f t="shared" si="67"/>
        <v>0</v>
      </c>
      <c r="T156" s="115"/>
      <c r="U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1"/>
        <v>Véhicules usagésProgramme used 3</v>
      </c>
      <c r="B157" s="12" t="s">
        <v>74</v>
      </c>
      <c r="C157" s="30" t="s">
        <v>83</v>
      </c>
      <c r="D157" s="82"/>
      <c r="E157" s="14"/>
      <c r="F157" s="31">
        <f>+SUM(START:END!F157)</f>
        <v>0</v>
      </c>
      <c r="G157" s="84"/>
      <c r="H157" s="14"/>
      <c r="I157" s="31">
        <f>+SUM(START:END!I157)</f>
        <v>0</v>
      </c>
      <c r="J157" s="42"/>
      <c r="K157" s="14"/>
      <c r="L157" s="34">
        <f>+SUM(START:END!L157)</f>
        <v>0</v>
      </c>
      <c r="M157" s="42"/>
      <c r="N157" s="60">
        <f t="shared" si="66"/>
        <v>0</v>
      </c>
      <c r="O157" s="42"/>
      <c r="P157" s="14"/>
      <c r="Q157" s="34">
        <f>+SUM(START:END!Q157)</f>
        <v>0</v>
      </c>
      <c r="R157" s="42"/>
      <c r="S157" s="86">
        <f t="shared" si="67"/>
        <v>0</v>
      </c>
      <c r="T157" s="115"/>
      <c r="U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68">+B158&amp;C158</f>
        <v>Véhicules usagésFrais administration</v>
      </c>
      <c r="B158" s="12" t="s">
        <v>74</v>
      </c>
      <c r="C158" s="30" t="s">
        <v>71</v>
      </c>
      <c r="D158" s="82"/>
      <c r="E158" s="14"/>
      <c r="F158" s="31">
        <f>+SUM(START:END!F158)</f>
        <v>49568.002427184474</v>
      </c>
      <c r="G158" s="84"/>
      <c r="H158" s="14"/>
      <c r="I158" s="31">
        <f>+SUM(START:END!I158)</f>
        <v>49568.002427184474</v>
      </c>
      <c r="J158" s="42"/>
      <c r="K158" s="14"/>
      <c r="L158" s="33">
        <f>+SUM(START:END!L158)</f>
        <v>81945.489999999991</v>
      </c>
      <c r="M158" s="42"/>
      <c r="N158" s="60">
        <f t="shared" si="66"/>
        <v>32377.487572815517</v>
      </c>
      <c r="O158" s="42"/>
      <c r="P158" s="14"/>
      <c r="Q158" s="34">
        <f>+SUM(START:END!Q158)</f>
        <v>41531</v>
      </c>
      <c r="R158" s="42"/>
      <c r="S158" s="86">
        <f t="shared" si="67"/>
        <v>40414.489999999991</v>
      </c>
      <c r="T158" s="115"/>
      <c r="U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68"/>
        <v>Véhicules usagés[...]</v>
      </c>
      <c r="B159" s="12" t="s">
        <v>74</v>
      </c>
      <c r="C159" s="30" t="s">
        <v>21</v>
      </c>
      <c r="D159" s="82"/>
      <c r="E159" s="14"/>
      <c r="F159" s="31">
        <f>+SUM(START:END!F159)</f>
        <v>0</v>
      </c>
      <c r="G159" s="84"/>
      <c r="H159" s="14"/>
      <c r="I159" s="31">
        <f>+SUM(START:END!I159)</f>
        <v>0</v>
      </c>
      <c r="J159" s="42"/>
      <c r="K159" s="14"/>
      <c r="L159" s="33">
        <f>+SUM(START:END!L159)</f>
        <v>0</v>
      </c>
      <c r="M159" s="42"/>
      <c r="N159" s="60">
        <f t="shared" si="66"/>
        <v>0</v>
      </c>
      <c r="O159" s="42"/>
      <c r="P159" s="14"/>
      <c r="Q159" s="34">
        <f>+SUM(START:END!Q159)</f>
        <v>0</v>
      </c>
      <c r="R159" s="42"/>
      <c r="S159" s="86">
        <f t="shared" si="67"/>
        <v>0</v>
      </c>
      <c r="T159" s="115"/>
      <c r="U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68"/>
        <v>Véhicules usagés[...]</v>
      </c>
      <c r="B160" s="12" t="s">
        <v>74</v>
      </c>
      <c r="C160" s="30" t="s">
        <v>21</v>
      </c>
      <c r="D160" s="82"/>
      <c r="E160" s="14"/>
      <c r="F160" s="31">
        <f>+SUM(START:END!F160)</f>
        <v>0</v>
      </c>
      <c r="G160" s="84"/>
      <c r="H160" s="14"/>
      <c r="I160" s="31">
        <f>+SUM(START:END!I160)</f>
        <v>0</v>
      </c>
      <c r="J160" s="42"/>
      <c r="K160" s="14"/>
      <c r="L160" s="33">
        <f>+SUM(START:END!L160)</f>
        <v>0</v>
      </c>
      <c r="M160" s="42"/>
      <c r="N160" s="60">
        <f t="shared" si="66"/>
        <v>0</v>
      </c>
      <c r="O160" s="42"/>
      <c r="P160" s="14"/>
      <c r="Q160" s="34">
        <f>+SUM(START:END!Q160)</f>
        <v>0</v>
      </c>
      <c r="R160" s="42"/>
      <c r="S160" s="86">
        <f t="shared" si="67"/>
        <v>0</v>
      </c>
      <c r="T160" s="115"/>
      <c r="U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68"/>
        <v>Véhicules usagés[...]</v>
      </c>
      <c r="B161" s="12" t="s">
        <v>74</v>
      </c>
      <c r="C161" s="88" t="s">
        <v>21</v>
      </c>
      <c r="D161" s="89"/>
      <c r="E161" s="114"/>
      <c r="F161" s="31">
        <f>+SUM(START:END!F161)</f>
        <v>0</v>
      </c>
      <c r="G161" s="84"/>
      <c r="H161" s="14"/>
      <c r="I161" s="31">
        <f>+SUM(START:END!I161)</f>
        <v>0</v>
      </c>
      <c r="J161" s="42"/>
      <c r="K161" s="14"/>
      <c r="L161" s="33">
        <f>+SUM(START:END!L161)</f>
        <v>0</v>
      </c>
      <c r="M161" s="42"/>
      <c r="N161" s="60">
        <f t="shared" si="66"/>
        <v>0</v>
      </c>
      <c r="O161" s="42"/>
      <c r="P161" s="14"/>
      <c r="Q161" s="34">
        <f>+SUM(START:END!Q161)</f>
        <v>0</v>
      </c>
      <c r="R161" s="42"/>
      <c r="S161" s="86">
        <f t="shared" si="67"/>
        <v>0</v>
      </c>
      <c r="T161" s="115"/>
      <c r="U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6" t="s">
        <v>72</v>
      </c>
      <c r="D162" s="97"/>
      <c r="E162" s="98"/>
      <c r="F162" s="99">
        <f>+SUM(F155:F161)</f>
        <v>49568.002427184474</v>
      </c>
      <c r="G162" s="100"/>
      <c r="H162" s="98"/>
      <c r="I162" s="99">
        <f>+SUM(I155:I161)</f>
        <v>49568.002427184474</v>
      </c>
      <c r="J162" s="100"/>
      <c r="K162" s="98"/>
      <c r="L162" s="99">
        <f>+SUM(L155:L161)</f>
        <v>81945.489999999991</v>
      </c>
      <c r="M162" s="103"/>
      <c r="N162" s="99">
        <f>+SUM(N155:N161)</f>
        <v>32377.487572815517</v>
      </c>
      <c r="O162" s="100"/>
      <c r="P162" s="98"/>
      <c r="Q162" s="99">
        <f>+SUM(Q155:Q161)</f>
        <v>41531</v>
      </c>
      <c r="R162" s="103"/>
      <c r="S162" s="104">
        <f>+SUM(S155:S161)</f>
        <v>40414.489999999991</v>
      </c>
      <c r="T162" s="115"/>
      <c r="U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4"/>
      <c r="U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27" t="s">
        <v>73</v>
      </c>
      <c r="D164" s="156"/>
      <c r="E164" s="128"/>
      <c r="F164" s="130">
        <f>F107-F154+F162</f>
        <v>186249.34930386208</v>
      </c>
      <c r="G164" s="157"/>
      <c r="H164" s="128"/>
      <c r="I164" s="130">
        <f>I107-I154+I162</f>
        <v>186249.34930386208</v>
      </c>
      <c r="J164" s="158"/>
      <c r="K164" s="129"/>
      <c r="L164" s="130">
        <f>L107-L154+L162</f>
        <v>275142.29199999996</v>
      </c>
      <c r="M164" s="158"/>
      <c r="N164" s="130">
        <f>L164-I164</f>
        <v>88892.942696137878</v>
      </c>
      <c r="O164" s="158"/>
      <c r="P164" s="129"/>
      <c r="Q164" s="130">
        <f>Q107-Q154+Q162</f>
        <v>201758.75800000009</v>
      </c>
      <c r="R164" s="158"/>
      <c r="S164" s="132">
        <f>L164-Q164</f>
        <v>73383.533999999869</v>
      </c>
      <c r="T164" s="83"/>
      <c r="U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59"/>
      <c r="M165" s="11"/>
      <c r="N165" s="11"/>
      <c r="O165" s="11"/>
      <c r="P165" s="11"/>
      <c r="Q165" s="11"/>
      <c r="R165" s="11"/>
      <c r="S165" s="11"/>
      <c r="T165" s="159"/>
      <c r="U165" s="11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59">
        <f>+I27</f>
        <v>713817.33066126681</v>
      </c>
      <c r="J166" s="11"/>
      <c r="K166" s="11"/>
      <c r="L166" s="159">
        <f>+L27</f>
        <v>676685.32000000007</v>
      </c>
      <c r="M166" s="11"/>
      <c r="N166" s="159">
        <f>+L166-I166</f>
        <v>-37132.010661266744</v>
      </c>
      <c r="O166" s="11"/>
      <c r="P166" s="11"/>
      <c r="Q166" s="11"/>
      <c r="R166" s="11"/>
      <c r="S166" s="11"/>
      <c r="T166" s="159"/>
      <c r="U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Conso</v>
      </c>
      <c r="D167" s="2"/>
      <c r="E167" s="2"/>
      <c r="F167" s="2"/>
      <c r="G167" s="2"/>
      <c r="H167" s="1"/>
      <c r="I167" s="1"/>
      <c r="J167" s="1"/>
      <c r="K167" s="3" t="s">
        <v>84</v>
      </c>
      <c r="L167" s="2"/>
      <c r="M167" s="2"/>
      <c r="N167" s="1"/>
      <c r="O167" s="1"/>
      <c r="P167" s="2"/>
      <c r="Q167" s="1"/>
      <c r="R167" s="2"/>
      <c r="S167" s="5" t="str">
        <f>$S$1</f>
        <v>Réalisé  Volks T2 2022</v>
      </c>
      <c r="T167" s="2"/>
      <c r="U167" s="6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896" t="s">
        <v>5</v>
      </c>
      <c r="E169" s="897"/>
      <c r="F169" s="898"/>
      <c r="G169" s="894" t="s">
        <v>75</v>
      </c>
      <c r="H169" s="897"/>
      <c r="I169" s="898"/>
      <c r="J169" s="894" t="s">
        <v>7</v>
      </c>
      <c r="K169" s="897"/>
      <c r="L169" s="898"/>
      <c r="M169" s="894" t="s">
        <v>8</v>
      </c>
      <c r="N169" s="898"/>
      <c r="O169" s="896" t="s">
        <v>9</v>
      </c>
      <c r="P169" s="897"/>
      <c r="Q169" s="898"/>
      <c r="R169" s="894" t="s">
        <v>10</v>
      </c>
      <c r="S169" s="895"/>
      <c r="T169" s="153"/>
      <c r="U169" s="14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9">+B170&amp;C170</f>
        <v>Service</v>
      </c>
      <c r="B170" s="12" t="s">
        <v>84</v>
      </c>
      <c r="C170" s="30"/>
      <c r="D170" s="81" t="s">
        <v>41</v>
      </c>
      <c r="E170" s="81" t="s">
        <v>85</v>
      </c>
      <c r="F170" s="440" t="s">
        <v>13</v>
      </c>
      <c r="G170" s="450" t="s">
        <v>41</v>
      </c>
      <c r="H170" s="136" t="s">
        <v>85</v>
      </c>
      <c r="I170" s="451" t="s">
        <v>13</v>
      </c>
      <c r="J170" s="440" t="s">
        <v>41</v>
      </c>
      <c r="K170" s="81" t="s">
        <v>85</v>
      </c>
      <c r="L170" s="137" t="s">
        <v>13</v>
      </c>
      <c r="M170" s="138" t="s">
        <v>41</v>
      </c>
      <c r="N170" s="137" t="s">
        <v>13</v>
      </c>
      <c r="O170" s="81" t="s">
        <v>41</v>
      </c>
      <c r="P170" s="81" t="s">
        <v>85</v>
      </c>
      <c r="Q170" s="137" t="s">
        <v>13</v>
      </c>
      <c r="R170" s="138" t="s">
        <v>86</v>
      </c>
      <c r="S170" s="139" t="s">
        <v>13</v>
      </c>
      <c r="T170" s="81"/>
      <c r="U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9"/>
        <v>ServiceM/O Client</v>
      </c>
      <c r="B171" s="12" t="s">
        <v>84</v>
      </c>
      <c r="C171" s="30" t="s">
        <v>87</v>
      </c>
      <c r="D171" s="437">
        <f>+SUM(START:END!D171)</f>
        <v>1791.6240963556775</v>
      </c>
      <c r="E171" s="83">
        <f>+SUM(START:END!E171)</f>
        <v>444322.77589620807</v>
      </c>
      <c r="F171" s="83">
        <f>+SUM(START:END!F171)</f>
        <v>333686.40469805221</v>
      </c>
      <c r="G171" s="160">
        <f>+SUM(START:END!G171)</f>
        <v>1791.6240963556775</v>
      </c>
      <c r="H171" s="442">
        <f>+SUM(START:END!H171)</f>
        <v>444322.77589620807</v>
      </c>
      <c r="I171" s="60">
        <f>+SUM(START:END!I171)</f>
        <v>333686.40469805221</v>
      </c>
      <c r="J171" s="437">
        <f>+SUM(START:END!J171)</f>
        <v>1756</v>
      </c>
      <c r="K171" s="83">
        <f>+SUM(START:END!K171)</f>
        <v>489056.99</v>
      </c>
      <c r="L171" s="83">
        <f>+SUM(START:END!L171)</f>
        <v>381639.70999999996</v>
      </c>
      <c r="M171" s="161">
        <f>(K171-H171)/H171</f>
        <v>0.10067954318470869</v>
      </c>
      <c r="N171" s="60">
        <f>L171-I171</f>
        <v>47953.305301947752</v>
      </c>
      <c r="O171" s="437">
        <f>+SUM(START:END!O171)</f>
        <v>1928</v>
      </c>
      <c r="P171" s="83">
        <f>+SUM(START:END!P171)</f>
        <v>413791.77</v>
      </c>
      <c r="Q171" s="83">
        <f>+SUM(START:END!Q171)</f>
        <v>312724.06999999995</v>
      </c>
      <c r="R171" s="161">
        <f>IF(O171=0,0,J171/O171)</f>
        <v>0.91078838174273857</v>
      </c>
      <c r="S171" s="86">
        <f>L171-Q171</f>
        <v>68915.640000000014</v>
      </c>
      <c r="T171" s="83"/>
      <c r="U171" s="14"/>
      <c r="V171" s="472">
        <f>+SUM(START:END!D171)-D171</f>
        <v>0</v>
      </c>
      <c r="W171" s="472">
        <f>+SUM(START:END!G171)-G171</f>
        <v>0</v>
      </c>
      <c r="X171" s="472">
        <f>+SUM(START:END!J171)-J171</f>
        <v>0</v>
      </c>
      <c r="Y171" s="472">
        <f>+SUM(START:END!O171)-O171</f>
        <v>0</v>
      </c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9"/>
        <v>Service% profit / ventes</v>
      </c>
      <c r="B172" s="12" t="s">
        <v>84</v>
      </c>
      <c r="C172" s="30" t="s">
        <v>88</v>
      </c>
      <c r="D172" s="14"/>
      <c r="E172" s="147"/>
      <c r="F172" s="441">
        <f>F171/E171</f>
        <v>0.75099999999999989</v>
      </c>
      <c r="G172" s="42"/>
      <c r="H172" s="452"/>
      <c r="I172" s="162">
        <f>I171/H171</f>
        <v>0.75099999999999989</v>
      </c>
      <c r="J172" s="14"/>
      <c r="K172" s="147"/>
      <c r="L172" s="162">
        <f>L171/K171</f>
        <v>0.78035835864445979</v>
      </c>
      <c r="M172" s="161"/>
      <c r="N172" s="60"/>
      <c r="O172" s="14"/>
      <c r="P172" s="147"/>
      <c r="Q172" s="162">
        <f>Q171/P171</f>
        <v>0.75575227124502731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9"/>
        <v>Service</v>
      </c>
      <c r="B173" s="12" t="s">
        <v>84</v>
      </c>
      <c r="C173" s="88"/>
      <c r="D173" s="114"/>
      <c r="E173" s="163">
        <f t="shared" ref="E173" si="70">IFERROR(E171/D171,0)</f>
        <v>248.00000000000003</v>
      </c>
      <c r="F173" s="221"/>
      <c r="G173" s="24"/>
      <c r="H173" s="163">
        <f t="shared" ref="H173" si="71">IFERROR(H171/G171,0)</f>
        <v>248.00000000000003</v>
      </c>
      <c r="I173" s="164"/>
      <c r="J173" s="114"/>
      <c r="K173" s="163">
        <f t="shared" ref="K173" si="72">IFERROR(K171/J171,0)</f>
        <v>278.50625854214121</v>
      </c>
      <c r="L173" s="164"/>
      <c r="M173" s="166"/>
      <c r="N173" s="94"/>
      <c r="O173" s="114"/>
      <c r="P173" s="163">
        <f t="shared" ref="P173" si="73">IFERROR(P171/O171,0)</f>
        <v>214.62228734439836</v>
      </c>
      <c r="Q173" s="164"/>
      <c r="R173" s="165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9"/>
        <v>ServiceM/O Garantie</v>
      </c>
      <c r="B174" s="12" t="s">
        <v>84</v>
      </c>
      <c r="C174" s="15" t="s">
        <v>89</v>
      </c>
      <c r="D174" s="167">
        <f>+SUM(START:END!D174)</f>
        <v>1031.5218480900598</v>
      </c>
      <c r="E174" s="83">
        <f>+SUM(START:END!E174)</f>
        <v>204342.03103988545</v>
      </c>
      <c r="F174" s="83">
        <f>+SUM(START:END!F174)</f>
        <v>143948.97040880538</v>
      </c>
      <c r="G174" s="168">
        <f>+SUM(START:END!G174)</f>
        <v>1031.5218480900598</v>
      </c>
      <c r="H174" s="442">
        <f>+SUM(START:END!H174)</f>
        <v>204342.03103988545</v>
      </c>
      <c r="I174" s="60">
        <f>+SUM(START:END!I174)</f>
        <v>143948.97040880538</v>
      </c>
      <c r="J174" s="167">
        <f>+SUM(START:END!J174)</f>
        <v>861</v>
      </c>
      <c r="K174" s="83">
        <f>+SUM(START:END!K174)</f>
        <v>113896.16</v>
      </c>
      <c r="L174" s="83">
        <f>+SUM(START:END!L174)</f>
        <v>81685.739999999991</v>
      </c>
      <c r="M174" s="161">
        <f>(K174-H174)/H174</f>
        <v>-0.4426200061710816</v>
      </c>
      <c r="N174" s="112">
        <f>L174-I174</f>
        <v>-62263.230408805393</v>
      </c>
      <c r="O174" s="167">
        <f>+SUM(START:END!O174)</f>
        <v>722</v>
      </c>
      <c r="P174" s="83">
        <f>+SUM(START:END!P174)</f>
        <v>175525.68</v>
      </c>
      <c r="Q174" s="83">
        <f>+SUM(START:END!Q174)</f>
        <v>123747.44</v>
      </c>
      <c r="R174" s="161">
        <f>IF(O174=0,0,J174/O174)</f>
        <v>1.1925207756232687</v>
      </c>
      <c r="S174" s="86">
        <f>L174-Q174</f>
        <v>-42061.700000000012</v>
      </c>
      <c r="T174" s="83"/>
      <c r="U174" s="14"/>
      <c r="V174" s="472">
        <f>+SUM(START:END!D174)-D174</f>
        <v>0</v>
      </c>
      <c r="W174" s="472">
        <f>+SUM(START:END!G174)-G174</f>
        <v>0</v>
      </c>
      <c r="X174" s="472">
        <f>+SUM(START:END!J174)-J174</f>
        <v>0</v>
      </c>
      <c r="Y174" s="472">
        <f>+SUM(START:END!O174)-O174</f>
        <v>0</v>
      </c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9"/>
        <v>Service% profit / ventes</v>
      </c>
      <c r="B175" s="12" t="s">
        <v>84</v>
      </c>
      <c r="C175" s="30" t="s">
        <v>88</v>
      </c>
      <c r="D175" s="14"/>
      <c r="E175" s="14"/>
      <c r="F175" s="441">
        <f>F174/E174</f>
        <v>0.7044511091343123</v>
      </c>
      <c r="G175" s="42"/>
      <c r="H175" s="449"/>
      <c r="I175" s="162">
        <f>I174/H174</f>
        <v>0.7044511091343123</v>
      </c>
      <c r="J175" s="14"/>
      <c r="K175" s="14"/>
      <c r="L175" s="162">
        <f>L174/K174</f>
        <v>0.71719485538406202</v>
      </c>
      <c r="M175" s="43"/>
      <c r="N175" s="44"/>
      <c r="O175" s="14"/>
      <c r="P175" s="14"/>
      <c r="Q175" s="162">
        <f>Q174/P174</f>
        <v>0.70501045772903437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9"/>
        <v>Service</v>
      </c>
      <c r="B176" s="12" t="s">
        <v>84</v>
      </c>
      <c r="C176" s="88"/>
      <c r="D176" s="455"/>
      <c r="E176" s="114"/>
      <c r="F176" s="221"/>
      <c r="G176" s="24"/>
      <c r="H176" s="114"/>
      <c r="I176" s="164"/>
      <c r="J176" s="114"/>
      <c r="K176" s="114"/>
      <c r="L176" s="164"/>
      <c r="M176" s="170"/>
      <c r="N176" s="171"/>
      <c r="O176" s="114"/>
      <c r="P176" s="114"/>
      <c r="Q176" s="164"/>
      <c r="R176" s="170"/>
      <c r="S176" s="172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9"/>
        <v>ServiceM/O Interne</v>
      </c>
      <c r="B177" s="12" t="s">
        <v>84</v>
      </c>
      <c r="C177" s="30" t="s">
        <v>90</v>
      </c>
      <c r="D177" s="437">
        <f>+SUM(START:END!D177)</f>
        <v>917.00374927607231</v>
      </c>
      <c r="E177" s="83">
        <f>+SUM(START:END!E177)</f>
        <v>197510.46504390449</v>
      </c>
      <c r="F177" s="83">
        <f>+SUM(START:END!F177)</f>
        <v>145711.77879564988</v>
      </c>
      <c r="G177" s="160">
        <f>+SUM(START:END!G177)</f>
        <v>917.00374927607231</v>
      </c>
      <c r="H177" s="442">
        <f>+SUM(START:END!H177)</f>
        <v>197510.46504390449</v>
      </c>
      <c r="I177" s="60">
        <f>+SUM(START:END!I177)</f>
        <v>145711.77879564988</v>
      </c>
      <c r="J177" s="14">
        <f>+SUM(START:END!J177)</f>
        <v>580</v>
      </c>
      <c r="K177" s="83">
        <f>+SUM(START:END!K177)</f>
        <v>156110.31</v>
      </c>
      <c r="L177" s="83">
        <f>+SUM(START:END!L177)</f>
        <v>110804.19</v>
      </c>
      <c r="M177" s="161">
        <f>(K177-H177)/H177</f>
        <v>-0.20960993147731022</v>
      </c>
      <c r="N177" s="60">
        <f t="shared" ref="N177:N178" si="74">L177-I177</f>
        <v>-34907.588795649877</v>
      </c>
      <c r="O177" s="14">
        <f>+SUM(START:END!O177)</f>
        <v>921</v>
      </c>
      <c r="P177" s="83">
        <f>+SUM(START:END!P177)</f>
        <v>167455.5</v>
      </c>
      <c r="Q177" s="83">
        <f>+SUM(START:END!Q177)</f>
        <v>123777.73999999999</v>
      </c>
      <c r="R177" s="161">
        <f>IF(O177=0,0,J177/O177)</f>
        <v>0.62975027144408247</v>
      </c>
      <c r="S177" s="86">
        <f>L177-Q177</f>
        <v>-12973.549999999988</v>
      </c>
      <c r="T177" s="83"/>
      <c r="U177" s="14"/>
      <c r="V177" s="472">
        <f>+SUM(START:END!D177)-D177</f>
        <v>0</v>
      </c>
      <c r="W177" s="472">
        <f>+SUM(START:END!G177)-G177</f>
        <v>0</v>
      </c>
      <c r="X177" s="472">
        <f>+SUM(START:END!J177)-J177</f>
        <v>0</v>
      </c>
      <c r="Y177" s="472">
        <f>+SUM(START:END!O177)-O177</f>
        <v>0</v>
      </c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9"/>
        <v>Service% profit / ventes</v>
      </c>
      <c r="B178" s="12" t="s">
        <v>84</v>
      </c>
      <c r="C178" s="30" t="s">
        <v>88</v>
      </c>
      <c r="D178" s="14"/>
      <c r="E178" s="147"/>
      <c r="F178" s="441">
        <f>F177/E177</f>
        <v>0.73774206730392589</v>
      </c>
      <c r="G178" s="42"/>
      <c r="H178" s="452"/>
      <c r="I178" s="162">
        <f>I177/H177</f>
        <v>0.73774206730392589</v>
      </c>
      <c r="J178" s="14"/>
      <c r="K178" s="147"/>
      <c r="L178" s="162">
        <f>L177/K177</f>
        <v>0.70978137190298329</v>
      </c>
      <c r="M178" s="161"/>
      <c r="N178" s="60">
        <f t="shared" si="74"/>
        <v>-2.7960695400942592E-2</v>
      </c>
      <c r="O178" s="14"/>
      <c r="P178" s="147"/>
      <c r="Q178" s="162">
        <f>Q177/P177</f>
        <v>0.73916795805452784</v>
      </c>
      <c r="R178" s="61">
        <f>O178-K178</f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9"/>
        <v>Service</v>
      </c>
      <c r="B179" s="12" t="s">
        <v>84</v>
      </c>
      <c r="C179" s="30"/>
      <c r="D179" s="14"/>
      <c r="E179" s="173"/>
      <c r="F179" s="220"/>
      <c r="G179" s="42"/>
      <c r="H179" s="173"/>
      <c r="I179" s="174"/>
      <c r="J179" s="14"/>
      <c r="K179" s="173"/>
      <c r="L179" s="174"/>
      <c r="M179" s="161"/>
      <c r="N179" s="60"/>
      <c r="O179" s="14"/>
      <c r="P179" s="173"/>
      <c r="Q179" s="174"/>
      <c r="R179" s="175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9"/>
        <v>ServiceM/O Esthétique</v>
      </c>
      <c r="B180" s="12" t="s">
        <v>84</v>
      </c>
      <c r="C180" s="15" t="s">
        <v>91</v>
      </c>
      <c r="D180" s="447">
        <f>+SUM(START:END!D180)</f>
        <v>0</v>
      </c>
      <c r="E180" s="83">
        <f>+SUM(START:END!E180)</f>
        <v>1862.6102745524665</v>
      </c>
      <c r="F180" s="83">
        <f>+SUM(START:END!F180)</f>
        <v>704.34712550249844</v>
      </c>
      <c r="G180" s="212">
        <f>+SUM(START:END!G180)</f>
        <v>0</v>
      </c>
      <c r="H180" s="442">
        <f>+SUM(START:END!H180)</f>
        <v>1862.6102745524665</v>
      </c>
      <c r="I180" s="60">
        <f>+SUM(START:END!I180)</f>
        <v>704.34712550249844</v>
      </c>
      <c r="J180" s="108">
        <f>+SUM(START:END!J180)</f>
        <v>0</v>
      </c>
      <c r="K180" s="83">
        <f>+SUM(START:END!K180)</f>
        <v>5507.7699999999995</v>
      </c>
      <c r="L180" s="83">
        <f>+SUM(START:END!L180)</f>
        <v>4761.68</v>
      </c>
      <c r="M180" s="176">
        <f>IF(H180=0,0,(K180-H180)/H180)</f>
        <v>1.9570168678057804</v>
      </c>
      <c r="N180" s="112">
        <f>L180-I180</f>
        <v>4057.332874497502</v>
      </c>
      <c r="O180" s="108">
        <f>+SUM(START:END!O180)</f>
        <v>0</v>
      </c>
      <c r="P180" s="83">
        <f>+SUM(START:END!P180)</f>
        <v>1846.0500000000002</v>
      </c>
      <c r="Q180" s="83">
        <f>+SUM(START:END!Q180)</f>
        <v>1622.8600000000001</v>
      </c>
      <c r="R180" s="161">
        <f>IF(O180=0,0,J180/O180)</f>
        <v>0</v>
      </c>
      <c r="S180" s="113">
        <f>L180-Q180</f>
        <v>3138.82</v>
      </c>
      <c r="T180" s="83"/>
      <c r="U180" s="14"/>
      <c r="V180" s="472">
        <f>+SUM(START:END!D180)-D180</f>
        <v>0</v>
      </c>
      <c r="W180" s="472">
        <f>+SUM(START:END!G180)-G180</f>
        <v>0</v>
      </c>
      <c r="X180" s="472">
        <f>+SUM(START:END!J180)-J180</f>
        <v>0</v>
      </c>
      <c r="Y180" s="472">
        <f>+SUM(START:END!O180)-O180</f>
        <v>0</v>
      </c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9"/>
        <v>Service% profit / ventes</v>
      </c>
      <c r="B181" s="12" t="s">
        <v>84</v>
      </c>
      <c r="C181" s="30" t="s">
        <v>88</v>
      </c>
      <c r="D181" s="77"/>
      <c r="E181" s="177"/>
      <c r="F181" s="441">
        <f>IFERROR(F180/E180,0)</f>
        <v>0.37815056382191037</v>
      </c>
      <c r="G181" s="79"/>
      <c r="H181" s="453"/>
      <c r="I181" s="162">
        <f>IFERROR(I180/H180,0)</f>
        <v>0.37815056382191037</v>
      </c>
      <c r="J181" s="77"/>
      <c r="K181" s="177"/>
      <c r="L181" s="162">
        <f>IFERROR(L180/K180,0)</f>
        <v>0.86453864268115788</v>
      </c>
      <c r="M181" s="61">
        <f>J181-G181</f>
        <v>0</v>
      </c>
      <c r="N181" s="179"/>
      <c r="O181" s="77"/>
      <c r="P181" s="177"/>
      <c r="Q181" s="162">
        <f>IFERROR(Q180/P180,0)</f>
        <v>0.87909861596381467</v>
      </c>
      <c r="R181" s="42"/>
      <c r="S181" s="180"/>
      <c r="T181" s="115"/>
      <c r="U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9"/>
        <v>Service</v>
      </c>
      <c r="B182" s="12" t="s">
        <v>84</v>
      </c>
      <c r="C182" s="88"/>
      <c r="D182" s="181"/>
      <c r="E182" s="182"/>
      <c r="F182" s="221"/>
      <c r="G182" s="183"/>
      <c r="H182" s="182"/>
      <c r="I182" s="164"/>
      <c r="J182" s="181"/>
      <c r="K182" s="182"/>
      <c r="L182" s="164"/>
      <c r="M182" s="165"/>
      <c r="N182" s="184"/>
      <c r="O182" s="181"/>
      <c r="P182" s="182"/>
      <c r="Q182" s="164"/>
      <c r="R182" s="24"/>
      <c r="S182" s="185"/>
      <c r="T182" s="115"/>
      <c r="U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9"/>
        <v>ServiceAjustement M/O</v>
      </c>
      <c r="B183" s="12" t="s">
        <v>84</v>
      </c>
      <c r="C183" s="30" t="s">
        <v>92</v>
      </c>
      <c r="D183" s="14"/>
      <c r="E183" s="14"/>
      <c r="F183" s="442">
        <f>+SUM(START:END!F183)</f>
        <v>-13072.877883905014</v>
      </c>
      <c r="G183" s="42"/>
      <c r="H183" s="449"/>
      <c r="I183" s="60">
        <f>+SUM(START:END!I183)</f>
        <v>-13072.877883905014</v>
      </c>
      <c r="J183" s="14"/>
      <c r="K183" s="14"/>
      <c r="L183" s="60">
        <f>+SUM(START:END!L183)</f>
        <v>-3341.6600000000003</v>
      </c>
      <c r="M183" s="178"/>
      <c r="N183" s="60">
        <f t="shared" ref="N183:N184" si="75">L183-I183</f>
        <v>9731.2178839050139</v>
      </c>
      <c r="O183" s="14"/>
      <c r="P183" s="14"/>
      <c r="Q183" s="60">
        <f>+SUM(START:END!Q183)</f>
        <v>-14343.720000000001</v>
      </c>
      <c r="R183" s="186"/>
      <c r="S183" s="86">
        <f t="shared" ref="S183:S184" si="76">L183-Q183</f>
        <v>11002.060000000001</v>
      </c>
      <c r="T183" s="14"/>
      <c r="U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9"/>
        <v>ServiceSous-total M/O</v>
      </c>
      <c r="B184" s="12" t="s">
        <v>84</v>
      </c>
      <c r="C184" s="187" t="s">
        <v>93</v>
      </c>
      <c r="D184" s="188"/>
      <c r="E184" s="188">
        <f t="shared" ref="E184:F184" si="77">E171+E174+E177+E180+E183</f>
        <v>848037.88225455047</v>
      </c>
      <c r="F184" s="188">
        <f t="shared" si="77"/>
        <v>610978.62314410508</v>
      </c>
      <c r="G184" s="190"/>
      <c r="H184" s="188">
        <f t="shared" ref="H184:I184" si="78">H171+H174+H177+H180+H183</f>
        <v>848037.88225455047</v>
      </c>
      <c r="I184" s="189">
        <f t="shared" si="78"/>
        <v>610978.62314410508</v>
      </c>
      <c r="J184" s="188"/>
      <c r="K184" s="188">
        <f t="shared" ref="K184:L184" si="79">K171+K174+K177+K180+K183</f>
        <v>764571.23</v>
      </c>
      <c r="L184" s="189">
        <f t="shared" si="79"/>
        <v>575549.65999999992</v>
      </c>
      <c r="M184" s="191">
        <f>(K184-H184)/H184</f>
        <v>-9.8423259150464223E-2</v>
      </c>
      <c r="N184" s="189">
        <f t="shared" si="75"/>
        <v>-35428.963144105161</v>
      </c>
      <c r="O184" s="188"/>
      <c r="P184" s="188">
        <f t="shared" ref="P184:Q184" si="80">P171+P174+P177+P180+P183</f>
        <v>758619</v>
      </c>
      <c r="Q184" s="189">
        <f t="shared" si="80"/>
        <v>547528.39</v>
      </c>
      <c r="R184" s="43">
        <f>IF(O184=0,0,J184/O184)</f>
        <v>0</v>
      </c>
      <c r="S184" s="192">
        <f t="shared" si="76"/>
        <v>28021.269999999902</v>
      </c>
      <c r="T184" s="115"/>
      <c r="U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9"/>
        <v>Service% protit / ventes</v>
      </c>
      <c r="B185" s="12" t="s">
        <v>84</v>
      </c>
      <c r="C185" s="193" t="s">
        <v>94</v>
      </c>
      <c r="D185" s="194"/>
      <c r="E185" s="194"/>
      <c r="F185" s="443">
        <f>F184/E184</f>
        <v>0.72046147457444742</v>
      </c>
      <c r="G185" s="196"/>
      <c r="H185" s="194"/>
      <c r="I185" s="195">
        <f>I184/H184</f>
        <v>0.72046147457444742</v>
      </c>
      <c r="J185" s="194"/>
      <c r="K185" s="194"/>
      <c r="L185" s="195">
        <f>L184/K184</f>
        <v>0.75277441449111282</v>
      </c>
      <c r="M185" s="196"/>
      <c r="N185" s="195">
        <f>N184/I184</f>
        <v>-5.7987238508914095E-2</v>
      </c>
      <c r="O185" s="194"/>
      <c r="P185" s="194"/>
      <c r="Q185" s="195">
        <f>Q184/P184</f>
        <v>0.72174357615614693</v>
      </c>
      <c r="R185" s="196"/>
      <c r="S185" s="45">
        <f>IF(R184=0,0,S184/R184)</f>
        <v>0</v>
      </c>
      <c r="T185" s="115"/>
      <c r="U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9"/>
        <v>Service</v>
      </c>
      <c r="B186" s="12" t="s">
        <v>84</v>
      </c>
      <c r="C186" s="36"/>
      <c r="D186" s="197"/>
      <c r="E186" s="198"/>
      <c r="F186" s="197"/>
      <c r="G186" s="200"/>
      <c r="H186" s="198"/>
      <c r="I186" s="199"/>
      <c r="J186" s="197"/>
      <c r="K186" s="198"/>
      <c r="L186" s="199"/>
      <c r="M186" s="200"/>
      <c r="N186" s="199"/>
      <c r="O186" s="197"/>
      <c r="P186" s="198"/>
      <c r="Q186" s="199"/>
      <c r="R186" s="200"/>
      <c r="S186" s="201"/>
      <c r="T186" s="115"/>
      <c r="U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5.75" customHeight="1">
      <c r="A187" t="str">
        <f t="shared" si="69"/>
        <v>ServiceSous-traitement</v>
      </c>
      <c r="B187" s="12" t="s">
        <v>84</v>
      </c>
      <c r="C187" s="30" t="s">
        <v>95</v>
      </c>
      <c r="D187" s="83"/>
      <c r="E187" s="83">
        <f>+SUM(START:END!E187)</f>
        <v>99004.535137165774</v>
      </c>
      <c r="F187" s="83">
        <f>+SUM(START:END!F187)</f>
        <v>21694.437472433023</v>
      </c>
      <c r="G187" s="61"/>
      <c r="H187" s="442">
        <f>+SUM(START:END!H187)</f>
        <v>99004.535137165774</v>
      </c>
      <c r="I187" s="60">
        <f>+SUM(START:END!I187)</f>
        <v>21694.437472433023</v>
      </c>
      <c r="J187" s="83"/>
      <c r="K187" s="83">
        <f>+SUM(START:END!K187)</f>
        <v>80526.880000000005</v>
      </c>
      <c r="L187" s="83">
        <f>+SUM(START:END!L187)</f>
        <v>18343.18</v>
      </c>
      <c r="M187" s="85">
        <f>IF(H187=0,0,(K187-H187)/H187)</f>
        <v>-0.18663443155978576</v>
      </c>
      <c r="N187" s="60">
        <f>L187-I187</f>
        <v>-3351.2574724330225</v>
      </c>
      <c r="O187" s="83"/>
      <c r="P187" s="83">
        <f>+SUM(START:END!P187)</f>
        <v>92266.66</v>
      </c>
      <c r="Q187" s="83">
        <f>+SUM(START:END!Q187)</f>
        <v>17912.87</v>
      </c>
      <c r="R187" s="161">
        <f>IF(O187=0,0,J187/O187)</f>
        <v>0</v>
      </c>
      <c r="S187" s="86">
        <f>L187-Q187</f>
        <v>430.31000000000131</v>
      </c>
      <c r="T187" s="115"/>
      <c r="U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5.75" customHeight="1">
      <c r="A188" t="str">
        <f t="shared" si="69"/>
        <v>Service% profit / ventes</v>
      </c>
      <c r="B188" s="12" t="s">
        <v>84</v>
      </c>
      <c r="C188" s="30" t="s">
        <v>88</v>
      </c>
      <c r="D188" s="14"/>
      <c r="E188" s="147"/>
      <c r="F188" s="441">
        <f>IFERROR(F187/E187,0)</f>
        <v>0.21912569401367804</v>
      </c>
      <c r="G188" s="42"/>
      <c r="H188" s="452"/>
      <c r="I188" s="162">
        <f>IFERROR(I187/H187,0)</f>
        <v>0.21912569401367804</v>
      </c>
      <c r="J188" s="14"/>
      <c r="K188" s="147"/>
      <c r="L188" s="162">
        <f>IFERROR(L187/K187,0)</f>
        <v>0.2277895281674889</v>
      </c>
      <c r="M188" s="178"/>
      <c r="N188" s="179"/>
      <c r="O188" s="14"/>
      <c r="P188" s="147"/>
      <c r="Q188" s="162">
        <f>IFERROR(Q187/P187,0)</f>
        <v>0.19414239119525947</v>
      </c>
      <c r="R188" s="178"/>
      <c r="S188" s="180"/>
      <c r="T188" s="115"/>
      <c r="U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9"/>
        <v>Service</v>
      </c>
      <c r="B189" s="12" t="s">
        <v>84</v>
      </c>
      <c r="C189" s="30"/>
      <c r="D189" s="14"/>
      <c r="E189" s="147"/>
      <c r="F189" s="441"/>
      <c r="G189" s="42"/>
      <c r="H189" s="452"/>
      <c r="I189" s="162"/>
      <c r="J189" s="14"/>
      <c r="K189" s="147"/>
      <c r="L189" s="162"/>
      <c r="M189" s="178"/>
      <c r="N189" s="179"/>
      <c r="O189" s="14"/>
      <c r="P189" s="147"/>
      <c r="Q189" s="162"/>
      <c r="R189" s="178"/>
      <c r="S189" s="180"/>
      <c r="T189" s="115"/>
      <c r="U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9"/>
        <v>ServiceM.O. Recond. MCPA</v>
      </c>
      <c r="B190" s="12" t="s">
        <v>84</v>
      </c>
      <c r="C190" s="30" t="s">
        <v>96</v>
      </c>
      <c r="D190" s="14"/>
      <c r="E190" s="83">
        <f>+SUM(START:END!E190)</f>
        <v>0</v>
      </c>
      <c r="F190" s="83">
        <f>+SUM(START:END!F190)</f>
        <v>0</v>
      </c>
      <c r="G190" s="42"/>
      <c r="H190" s="442">
        <f>+SUM(START:END!H190)</f>
        <v>0</v>
      </c>
      <c r="I190" s="60">
        <f>+SUM(START:END!I190)</f>
        <v>0</v>
      </c>
      <c r="J190" s="14"/>
      <c r="K190" s="83">
        <f>+SUM(START:END!K190)</f>
        <v>0</v>
      </c>
      <c r="L190" s="83">
        <f>+SUM(START:END!L190)</f>
        <v>0</v>
      </c>
      <c r="M190" s="178"/>
      <c r="N190" s="179"/>
      <c r="O190" s="14"/>
      <c r="P190" s="83">
        <f>+SUM(START:END!P190)</f>
        <v>0</v>
      </c>
      <c r="Q190" s="83">
        <f>+SUM(START:END!Q190)</f>
        <v>0</v>
      </c>
      <c r="R190" s="178"/>
      <c r="S190" s="180"/>
      <c r="T190" s="115"/>
      <c r="U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9"/>
        <v>Service% profit / ventes</v>
      </c>
      <c r="B191" s="12" t="s">
        <v>84</v>
      </c>
      <c r="C191" s="30" t="s">
        <v>88</v>
      </c>
      <c r="D191" s="14"/>
      <c r="E191" s="147"/>
      <c r="F191" s="441">
        <f>IF(F190=0,0,F190/E190)</f>
        <v>0</v>
      </c>
      <c r="G191" s="42"/>
      <c r="H191" s="452"/>
      <c r="I191" s="162">
        <f>IF(I190=0,0,I190/H190)</f>
        <v>0</v>
      </c>
      <c r="J191" s="14"/>
      <c r="K191" s="147"/>
      <c r="L191" s="162">
        <f>IF(L190=0,0,L190/K190)</f>
        <v>0</v>
      </c>
      <c r="M191" s="178"/>
      <c r="N191" s="179"/>
      <c r="O191" s="14"/>
      <c r="P191" s="147"/>
      <c r="Q191" s="162">
        <f>IF(Q190=0,0,Q190/P190)</f>
        <v>0</v>
      </c>
      <c r="R191" s="178"/>
      <c r="S191" s="180"/>
      <c r="T191" s="115"/>
      <c r="U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9"/>
        <v>Service</v>
      </c>
      <c r="B192" s="12" t="s">
        <v>84</v>
      </c>
      <c r="C192" s="202"/>
      <c r="D192" s="203"/>
      <c r="E192" s="204"/>
      <c r="F192" s="203"/>
      <c r="G192" s="206"/>
      <c r="H192" s="204"/>
      <c r="I192" s="205"/>
      <c r="J192" s="203"/>
      <c r="K192" s="204"/>
      <c r="L192" s="205"/>
      <c r="M192" s="206"/>
      <c r="N192" s="205"/>
      <c r="O192" s="203"/>
      <c r="P192" s="204"/>
      <c r="Q192" s="205"/>
      <c r="R192" s="206"/>
      <c r="S192" s="207"/>
      <c r="T192" s="115"/>
      <c r="U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5.75" customHeight="1" thickTop="1">
      <c r="A193" t="str">
        <f t="shared" si="69"/>
        <v>ServiceTotal Mécanique</v>
      </c>
      <c r="B193" s="12" t="s">
        <v>84</v>
      </c>
      <c r="C193" s="63" t="s">
        <v>97</v>
      </c>
      <c r="D193" s="64"/>
      <c r="E193" s="64">
        <f t="shared" ref="E193:F193" si="81">E184+E187+E190</f>
        <v>947042.41739171627</v>
      </c>
      <c r="F193" s="64">
        <f t="shared" si="81"/>
        <v>632673.06061653804</v>
      </c>
      <c r="G193" s="67"/>
      <c r="H193" s="64">
        <f t="shared" ref="H193:I193" si="82">H184+H187+H190</f>
        <v>947042.41739171627</v>
      </c>
      <c r="I193" s="66">
        <f t="shared" si="82"/>
        <v>632673.06061653804</v>
      </c>
      <c r="J193" s="64"/>
      <c r="K193" s="64">
        <f t="shared" ref="K193:L193" si="83">K184+K187+K190</f>
        <v>845098.11</v>
      </c>
      <c r="L193" s="66">
        <f t="shared" si="83"/>
        <v>593892.84</v>
      </c>
      <c r="M193" s="208">
        <f>L194-I194</f>
        <v>3.4698718952240637E-2</v>
      </c>
      <c r="N193" s="66">
        <f>L193-I193</f>
        <v>-38780.220616538078</v>
      </c>
      <c r="O193" s="64"/>
      <c r="P193" s="64">
        <f t="shared" ref="P193:Q193" si="84">P184+P187+P190</f>
        <v>850885.66</v>
      </c>
      <c r="Q193" s="66">
        <f t="shared" si="84"/>
        <v>565441.26</v>
      </c>
      <c r="R193" s="208">
        <f>L194-Q194</f>
        <v>3.8217569377265503E-2</v>
      </c>
      <c r="S193" s="69">
        <f>L193-Q193</f>
        <v>28451.579999999958</v>
      </c>
      <c r="T193" s="115"/>
      <c r="U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5.75" customHeight="1" thickBot="1">
      <c r="A194" t="str">
        <f t="shared" si="69"/>
        <v>Service</v>
      </c>
      <c r="B194" s="12" t="s">
        <v>84</v>
      </c>
      <c r="C194" s="70"/>
      <c r="D194" s="71"/>
      <c r="E194" s="71"/>
      <c r="F194" s="444">
        <f>F193/E193</f>
        <v>0.66805145049258274</v>
      </c>
      <c r="G194" s="73"/>
      <c r="H194" s="71"/>
      <c r="I194" s="75">
        <f>I193/H193</f>
        <v>0.66805145049258274</v>
      </c>
      <c r="J194" s="71"/>
      <c r="K194" s="71"/>
      <c r="L194" s="75">
        <f>L193/K193</f>
        <v>0.70275016944482338</v>
      </c>
      <c r="M194" s="74"/>
      <c r="N194" s="75">
        <f>N193/I193</f>
        <v>-6.1295830391050424E-2</v>
      </c>
      <c r="O194" s="71"/>
      <c r="P194" s="71"/>
      <c r="Q194" s="75">
        <f>Q193/P193</f>
        <v>0.66453260006755788</v>
      </c>
      <c r="R194" s="74"/>
      <c r="S194" s="76">
        <f>L193/S193</f>
        <v>20.873808765629214</v>
      </c>
      <c r="T194" s="77"/>
      <c r="U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9"/>
        <v>Service</v>
      </c>
      <c r="B195" s="12" t="s">
        <v>84</v>
      </c>
      <c r="C195" s="54"/>
      <c r="D195" s="77"/>
      <c r="E195" s="77"/>
      <c r="F195" s="445"/>
      <c r="G195" s="79"/>
      <c r="H195" s="454"/>
      <c r="I195" s="44"/>
      <c r="J195" s="77"/>
      <c r="K195" s="77"/>
      <c r="L195" s="44"/>
      <c r="M195" s="43"/>
      <c r="N195" s="44"/>
      <c r="O195" s="77"/>
      <c r="P195" s="77"/>
      <c r="Q195" s="44"/>
      <c r="R195" s="43"/>
      <c r="S195" s="45"/>
      <c r="T195" s="77"/>
      <c r="U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9"/>
        <v>ServiceDEPENSES</v>
      </c>
      <c r="B196" s="12" t="s">
        <v>84</v>
      </c>
      <c r="C196" s="80" t="s">
        <v>31</v>
      </c>
      <c r="D196" s="14"/>
      <c r="E196" s="14"/>
      <c r="F196" s="442"/>
      <c r="G196" s="42"/>
      <c r="H196" s="449"/>
      <c r="I196" s="60"/>
      <c r="J196" s="14"/>
      <c r="K196" s="14"/>
      <c r="L196" s="60"/>
      <c r="M196" s="42"/>
      <c r="N196" s="41"/>
      <c r="O196" s="14"/>
      <c r="P196" s="14"/>
      <c r="Q196" s="60"/>
      <c r="R196" s="42"/>
      <c r="S196" s="62"/>
      <c r="T196" s="14"/>
      <c r="U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9"/>
        <v>ServiceSalaires cadres</v>
      </c>
      <c r="B197" s="12" t="s">
        <v>84</v>
      </c>
      <c r="C197" s="105" t="s">
        <v>42</v>
      </c>
      <c r="D197" s="14"/>
      <c r="E197" s="14"/>
      <c r="F197" s="437">
        <f>+SUM(START:END!F197)</f>
        <v>34354.239942528737</v>
      </c>
      <c r="G197" s="42"/>
      <c r="H197" s="449"/>
      <c r="I197" s="427">
        <f>+SUM(START:END!I197)</f>
        <v>34354.239942528737</v>
      </c>
      <c r="J197" s="14"/>
      <c r="K197" s="14"/>
      <c r="L197" s="437">
        <f>+SUM(START:END!L197)</f>
        <v>26455.37</v>
      </c>
      <c r="M197" s="42"/>
      <c r="N197" s="41"/>
      <c r="O197" s="14"/>
      <c r="P197" s="14"/>
      <c r="Q197" s="437">
        <f>+SUM(START:END!Q197)</f>
        <v>34000.230000000003</v>
      </c>
      <c r="R197" s="42"/>
      <c r="S197" s="35">
        <f>L197-Q197</f>
        <v>-7544.8600000000042</v>
      </c>
      <c r="T197" s="14"/>
      <c r="U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9"/>
        <v>ServiceSalaires commis</v>
      </c>
      <c r="B198" s="12" t="s">
        <v>84</v>
      </c>
      <c r="C198" s="106" t="s">
        <v>43</v>
      </c>
      <c r="D198" s="82"/>
      <c r="E198" s="14"/>
      <c r="F198" s="446">
        <f>+SUM(START:END!F198)</f>
        <v>29037.078121159007</v>
      </c>
      <c r="G198" s="84"/>
      <c r="H198" s="449"/>
      <c r="I198" s="438">
        <f>+SUM(START:END!I198)</f>
        <v>29037.078121159007</v>
      </c>
      <c r="J198" s="82"/>
      <c r="K198" s="14"/>
      <c r="L198" s="438">
        <f>+SUM(START:END!L198)</f>
        <v>25092.080000000002</v>
      </c>
      <c r="M198" s="42"/>
      <c r="N198" s="60">
        <f t="shared" ref="N198:N228" si="85">L198-I198</f>
        <v>-3944.9981211590057</v>
      </c>
      <c r="O198" s="82"/>
      <c r="P198" s="14"/>
      <c r="Q198" s="438">
        <f>+SUM(START:END!Q198)</f>
        <v>26720.300000000003</v>
      </c>
      <c r="R198" s="42"/>
      <c r="S198" s="86">
        <f t="shared" ref="S198:S228" si="86">L198-Q198</f>
        <v>-1628.2200000000012</v>
      </c>
      <c r="T198" s="14"/>
      <c r="U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5.75" customHeight="1">
      <c r="A199" t="str">
        <f t="shared" si="69"/>
        <v>ServiceSalaires autres</v>
      </c>
      <c r="B199" s="12" t="s">
        <v>84</v>
      </c>
      <c r="C199" s="105" t="s">
        <v>44</v>
      </c>
      <c r="D199" s="107"/>
      <c r="E199" s="108"/>
      <c r="F199" s="437">
        <f>+SUM(START:END!F199)</f>
        <v>43697.120566053636</v>
      </c>
      <c r="G199" s="109"/>
      <c r="H199" s="108"/>
      <c r="I199" s="427">
        <f>+SUM(START:END!I199)</f>
        <v>43697.120566053636</v>
      </c>
      <c r="J199" s="107"/>
      <c r="K199" s="108"/>
      <c r="L199" s="437">
        <f>+SUM(START:END!L199)</f>
        <v>66562.149999999994</v>
      </c>
      <c r="M199" s="110"/>
      <c r="N199" s="112">
        <f t="shared" si="85"/>
        <v>22865.029433946358</v>
      </c>
      <c r="O199" s="107"/>
      <c r="P199" s="108"/>
      <c r="Q199" s="437">
        <f>+SUM(START:END!Q199)</f>
        <v>28807.120000000003</v>
      </c>
      <c r="R199" s="110"/>
      <c r="S199" s="113">
        <f t="shared" si="86"/>
        <v>37755.029999999992</v>
      </c>
      <c r="T199" s="14"/>
      <c r="U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5.75" customHeight="1">
      <c r="A200" t="str">
        <f t="shared" si="69"/>
        <v>ServiceSalaires spécialistes</v>
      </c>
      <c r="B200" s="12" t="s">
        <v>84</v>
      </c>
      <c r="C200" s="105" t="s">
        <v>45</v>
      </c>
      <c r="D200" s="82"/>
      <c r="E200" s="14"/>
      <c r="F200" s="437">
        <f>+SUM(START:END!F200)</f>
        <v>96367.203185398423</v>
      </c>
      <c r="G200" s="84"/>
      <c r="H200" s="449"/>
      <c r="I200" s="427">
        <f>+SUM(START:END!I200)</f>
        <v>96367.203185398423</v>
      </c>
      <c r="J200" s="82"/>
      <c r="K200" s="14"/>
      <c r="L200" s="437">
        <f>+SUM(START:END!L200)</f>
        <v>93040.43</v>
      </c>
      <c r="M200" s="42"/>
      <c r="N200" s="60">
        <f t="shared" si="85"/>
        <v>-3326.7731853984296</v>
      </c>
      <c r="O200" s="82"/>
      <c r="P200" s="14"/>
      <c r="Q200" s="437">
        <f>+SUM(START:END!Q200)</f>
        <v>76303.820000000007</v>
      </c>
      <c r="R200" s="42"/>
      <c r="S200" s="86">
        <f t="shared" si="86"/>
        <v>16736.609999999986</v>
      </c>
      <c r="T200" s="14"/>
      <c r="U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9"/>
        <v>Service[...]</v>
      </c>
      <c r="B201" s="12" t="s">
        <v>84</v>
      </c>
      <c r="C201" s="30" t="s">
        <v>21</v>
      </c>
      <c r="D201" s="82"/>
      <c r="E201" s="14"/>
      <c r="F201" s="437">
        <f>+SUM(START:END!F201)</f>
        <v>0</v>
      </c>
      <c r="G201" s="84"/>
      <c r="H201" s="449"/>
      <c r="I201" s="427">
        <f>+SUM(START:END!I201)</f>
        <v>0</v>
      </c>
      <c r="J201" s="82"/>
      <c r="K201" s="14"/>
      <c r="L201" s="437">
        <f>+SUM(START:END!L201)</f>
        <v>0</v>
      </c>
      <c r="M201" s="42"/>
      <c r="N201" s="60">
        <f t="shared" si="85"/>
        <v>0</v>
      </c>
      <c r="O201" s="82"/>
      <c r="P201" s="14"/>
      <c r="Q201" s="437">
        <f>+SUM(START:END!Q201)</f>
        <v>0</v>
      </c>
      <c r="R201" s="42"/>
      <c r="S201" s="86">
        <f t="shared" si="86"/>
        <v>0</v>
      </c>
      <c r="T201" s="14"/>
      <c r="U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9"/>
        <v>Service[...]</v>
      </c>
      <c r="B202" s="12" t="s">
        <v>84</v>
      </c>
      <c r="C202" s="30" t="s">
        <v>21</v>
      </c>
      <c r="D202" s="82"/>
      <c r="E202" s="14"/>
      <c r="F202" s="437">
        <f>+SUM(START:END!F202)</f>
        <v>0</v>
      </c>
      <c r="G202" s="84"/>
      <c r="H202" s="449"/>
      <c r="I202" s="427">
        <f>+SUM(START:END!I202)</f>
        <v>0</v>
      </c>
      <c r="J202" s="82"/>
      <c r="K202" s="14"/>
      <c r="L202" s="437">
        <f>+SUM(START:END!L202)</f>
        <v>0</v>
      </c>
      <c r="M202" s="42"/>
      <c r="N202" s="60">
        <f t="shared" si="85"/>
        <v>0</v>
      </c>
      <c r="O202" s="82"/>
      <c r="P202" s="14"/>
      <c r="Q202" s="437">
        <f>+SUM(START:END!Q202)</f>
        <v>0</v>
      </c>
      <c r="R202" s="42"/>
      <c r="S202" s="86">
        <f t="shared" si="86"/>
        <v>0</v>
      </c>
      <c r="T202" s="14"/>
      <c r="U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9"/>
        <v>Service[...]</v>
      </c>
      <c r="B203" s="12" t="s">
        <v>84</v>
      </c>
      <c r="C203" s="30" t="s">
        <v>21</v>
      </c>
      <c r="D203" s="82"/>
      <c r="E203" s="14"/>
      <c r="F203" s="437">
        <f>+SUM(START:END!F203)</f>
        <v>0</v>
      </c>
      <c r="G203" s="84"/>
      <c r="H203" s="449"/>
      <c r="I203" s="427">
        <f>+SUM(START:END!I203)</f>
        <v>0</v>
      </c>
      <c r="J203" s="82"/>
      <c r="K203" s="14"/>
      <c r="L203" s="437">
        <f>+SUM(START:END!L203)</f>
        <v>0</v>
      </c>
      <c r="M203" s="42"/>
      <c r="N203" s="60">
        <f t="shared" si="85"/>
        <v>0</v>
      </c>
      <c r="O203" s="82"/>
      <c r="P203" s="14"/>
      <c r="Q203" s="437">
        <f>+SUM(START:END!Q203)</f>
        <v>0</v>
      </c>
      <c r="R203" s="42"/>
      <c r="S203" s="86">
        <f t="shared" si="86"/>
        <v>0</v>
      </c>
      <c r="T203" s="14"/>
      <c r="U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5.75" customHeight="1">
      <c r="A204" t="str">
        <f t="shared" si="69"/>
        <v>ServiceSalaires en absences</v>
      </c>
      <c r="B204" s="12" t="s">
        <v>84</v>
      </c>
      <c r="C204" s="106" t="s">
        <v>46</v>
      </c>
      <c r="D204" s="82"/>
      <c r="E204" s="14"/>
      <c r="F204" s="437">
        <f>+SUM(START:END!F204)</f>
        <v>49554.904283476993</v>
      </c>
      <c r="G204" s="84"/>
      <c r="H204" s="449"/>
      <c r="I204" s="427">
        <f>+SUM(START:END!I204)</f>
        <v>49554.904283476993</v>
      </c>
      <c r="J204" s="82"/>
      <c r="K204" s="14"/>
      <c r="L204" s="437">
        <f>+SUM(START:END!L204)</f>
        <v>51619.08</v>
      </c>
      <c r="M204" s="42"/>
      <c r="N204" s="60">
        <f t="shared" si="85"/>
        <v>2064.1757165230083</v>
      </c>
      <c r="O204" s="82"/>
      <c r="P204" s="14"/>
      <c r="Q204" s="437">
        <f>+SUM(START:END!Q204)</f>
        <v>44393.04</v>
      </c>
      <c r="R204" s="42"/>
      <c r="S204" s="86">
        <f t="shared" si="86"/>
        <v>7226.0400000000009</v>
      </c>
      <c r="T204" s="14"/>
      <c r="U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9"/>
        <v>ServiceDéduction à la source</v>
      </c>
      <c r="B205" s="12" t="s">
        <v>84</v>
      </c>
      <c r="C205" s="105" t="s">
        <v>47</v>
      </c>
      <c r="D205" s="107"/>
      <c r="E205" s="108"/>
      <c r="F205" s="447">
        <f>+SUM(START:END!F205)</f>
        <v>44381.496447452271</v>
      </c>
      <c r="G205" s="109"/>
      <c r="H205" s="108"/>
      <c r="I205" s="439">
        <f>+SUM(START:END!I205)</f>
        <v>44381.496447452271</v>
      </c>
      <c r="J205" s="107"/>
      <c r="K205" s="108"/>
      <c r="L205" s="439">
        <f>+SUM(START:END!L205)</f>
        <v>55119.140000000007</v>
      </c>
      <c r="M205" s="110"/>
      <c r="N205" s="112">
        <f t="shared" si="85"/>
        <v>10737.643552547735</v>
      </c>
      <c r="O205" s="107"/>
      <c r="P205" s="108"/>
      <c r="Q205" s="439">
        <f>+SUM(START:END!Q205)</f>
        <v>50721.460000000006</v>
      </c>
      <c r="R205" s="110"/>
      <c r="S205" s="113">
        <f t="shared" si="86"/>
        <v>4397.68</v>
      </c>
      <c r="T205" s="14"/>
      <c r="U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9"/>
        <v>ServiceBénéfices marginaux</v>
      </c>
      <c r="B206" s="12" t="s">
        <v>84</v>
      </c>
      <c r="C206" s="105" t="s">
        <v>48</v>
      </c>
      <c r="D206" s="82"/>
      <c r="E206" s="14"/>
      <c r="F206" s="437">
        <f>+SUM(START:END!F206)</f>
        <v>35244.129531800332</v>
      </c>
      <c r="G206" s="84"/>
      <c r="H206" s="449"/>
      <c r="I206" s="427">
        <f>+SUM(START:END!I206)</f>
        <v>35244.129531800332</v>
      </c>
      <c r="J206" s="82"/>
      <c r="K206" s="14"/>
      <c r="L206" s="437">
        <f>+SUM(START:END!L206)</f>
        <v>17568.469999999998</v>
      </c>
      <c r="M206" s="42"/>
      <c r="N206" s="60">
        <f t="shared" si="85"/>
        <v>-17675.659531800335</v>
      </c>
      <c r="O206" s="82"/>
      <c r="P206" s="14"/>
      <c r="Q206" s="437">
        <f>+SUM(START:END!Q206)</f>
        <v>36350.370000000003</v>
      </c>
      <c r="R206" s="42"/>
      <c r="S206" s="86">
        <f t="shared" si="86"/>
        <v>-18781.900000000005</v>
      </c>
      <c r="T206" s="14"/>
      <c r="U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9"/>
        <v>ServiceCsst</v>
      </c>
      <c r="B207" s="12" t="s">
        <v>84</v>
      </c>
      <c r="C207" s="105" t="s">
        <v>49</v>
      </c>
      <c r="D207" s="82"/>
      <c r="E207" s="14"/>
      <c r="F207" s="437">
        <f>+SUM(START:END!F207)</f>
        <v>14358.719438881617</v>
      </c>
      <c r="G207" s="84"/>
      <c r="H207" s="449"/>
      <c r="I207" s="427">
        <f>+SUM(START:END!I207)</f>
        <v>14358.719438881617</v>
      </c>
      <c r="J207" s="82"/>
      <c r="K207" s="14"/>
      <c r="L207" s="437">
        <f>+SUM(START:END!L207)</f>
        <v>14808.68</v>
      </c>
      <c r="M207" s="42"/>
      <c r="N207" s="60">
        <f t="shared" si="85"/>
        <v>449.96056111838334</v>
      </c>
      <c r="O207" s="82"/>
      <c r="P207" s="14"/>
      <c r="Q207" s="437">
        <f>+SUM(START:END!Q207)</f>
        <v>8453.58</v>
      </c>
      <c r="R207" s="42"/>
      <c r="S207" s="86">
        <f t="shared" si="86"/>
        <v>6355.1</v>
      </c>
      <c r="T207" s="14"/>
      <c r="U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9"/>
        <v>Service[...]</v>
      </c>
      <c r="B208" s="12" t="s">
        <v>84</v>
      </c>
      <c r="C208" s="30" t="s">
        <v>21</v>
      </c>
      <c r="D208" s="89"/>
      <c r="E208" s="114"/>
      <c r="F208" s="437">
        <f>+SUM(START:END!F208)</f>
        <v>0</v>
      </c>
      <c r="G208" s="91"/>
      <c r="H208" s="114"/>
      <c r="I208" s="427">
        <f>+SUM(START:END!I208)</f>
        <v>0</v>
      </c>
      <c r="J208" s="89"/>
      <c r="K208" s="114"/>
      <c r="L208" s="437">
        <f>+SUM(START:END!L208)</f>
        <v>0</v>
      </c>
      <c r="M208" s="24"/>
      <c r="N208" s="94">
        <f t="shared" si="85"/>
        <v>0</v>
      </c>
      <c r="O208" s="89"/>
      <c r="P208" s="114"/>
      <c r="Q208" s="437">
        <f>+SUM(START:END!Q208)</f>
        <v>0</v>
      </c>
      <c r="R208" s="24"/>
      <c r="S208" s="95">
        <f t="shared" si="86"/>
        <v>0</v>
      </c>
      <c r="T208" s="14"/>
      <c r="U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9"/>
        <v>ServiceTOTAL PERSONNEL</v>
      </c>
      <c r="B209" s="12" t="s">
        <v>84</v>
      </c>
      <c r="C209" s="96" t="s">
        <v>50</v>
      </c>
      <c r="D209" s="97" t="s">
        <v>98</v>
      </c>
      <c r="E209" s="98">
        <f>F209/F$193</f>
        <v>0.5484584584312876</v>
      </c>
      <c r="F209" s="102">
        <f>+SUM(F197:F208)</f>
        <v>346994.89151675103</v>
      </c>
      <c r="G209" s="100" t="s">
        <v>98</v>
      </c>
      <c r="H209" s="98">
        <f>I209/I$193</f>
        <v>0.5484584584312876</v>
      </c>
      <c r="I209" s="99">
        <f>+SUM(I197:I208)</f>
        <v>346994.89151675103</v>
      </c>
      <c r="J209" s="97" t="s">
        <v>98</v>
      </c>
      <c r="K209" s="98">
        <f>L209/L$193</f>
        <v>0.58977878904887959</v>
      </c>
      <c r="L209" s="99">
        <f>+SUM(L197:L208)</f>
        <v>350265.39999999997</v>
      </c>
      <c r="M209" s="151"/>
      <c r="N209" s="116">
        <f t="shared" si="85"/>
        <v>3270.5084832489374</v>
      </c>
      <c r="O209" s="97" t="s">
        <v>98</v>
      </c>
      <c r="P209" s="98">
        <f>Q209/Q$193</f>
        <v>0.54072799710442077</v>
      </c>
      <c r="Q209" s="99">
        <f>+SUM(Q197:Q208)</f>
        <v>305749.92000000004</v>
      </c>
      <c r="R209" s="151"/>
      <c r="S209" s="117">
        <f t="shared" si="86"/>
        <v>44515.479999999923</v>
      </c>
      <c r="T209" s="14"/>
      <c r="U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9"/>
        <v>ServicePublicité 2</v>
      </c>
      <c r="B210" s="12" t="s">
        <v>84</v>
      </c>
      <c r="C210" s="30" t="s">
        <v>51</v>
      </c>
      <c r="D210" s="82"/>
      <c r="E210" s="14"/>
      <c r="F210" s="31">
        <f>+SUM(START:END!F210)</f>
        <v>20756.287500000002</v>
      </c>
      <c r="G210" s="84"/>
      <c r="H210" s="449"/>
      <c r="I210" s="34">
        <f>+SUM(START:END!I210)</f>
        <v>20756.287500000002</v>
      </c>
      <c r="J210" s="82"/>
      <c r="K210" s="14"/>
      <c r="L210" s="31">
        <f>+SUM(START:END!L210)</f>
        <v>39742.049999999996</v>
      </c>
      <c r="M210" s="42"/>
      <c r="N210" s="60">
        <f t="shared" si="85"/>
        <v>18985.762499999993</v>
      </c>
      <c r="O210" s="82"/>
      <c r="P210" s="14"/>
      <c r="Q210" s="31">
        <f>+SUM(START:END!Q210)</f>
        <v>18366.489999999998</v>
      </c>
      <c r="R210" s="42"/>
      <c r="S210" s="86">
        <f t="shared" si="86"/>
        <v>21375.559999999998</v>
      </c>
      <c r="T210" s="14"/>
      <c r="U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9"/>
        <v>ServiceService gratuit 2</v>
      </c>
      <c r="B211" s="12" t="s">
        <v>84</v>
      </c>
      <c r="C211" s="30" t="s">
        <v>52</v>
      </c>
      <c r="D211" s="82"/>
      <c r="E211" s="14"/>
      <c r="F211" s="31">
        <f>+SUM(START:END!F211)</f>
        <v>11079.48284974311</v>
      </c>
      <c r="G211" s="84"/>
      <c r="H211" s="449"/>
      <c r="I211" s="34">
        <f>+SUM(START:END!I211)</f>
        <v>11079.48284974311</v>
      </c>
      <c r="J211" s="82"/>
      <c r="K211" s="14"/>
      <c r="L211" s="31">
        <f>+SUM(START:END!L211)</f>
        <v>12391.34</v>
      </c>
      <c r="M211" s="42"/>
      <c r="N211" s="60">
        <f t="shared" si="85"/>
        <v>1311.8571502568902</v>
      </c>
      <c r="O211" s="82"/>
      <c r="P211" s="14"/>
      <c r="Q211" s="31">
        <f>+SUM(START:END!Q211)</f>
        <v>12523.08</v>
      </c>
      <c r="R211" s="42"/>
      <c r="S211" s="86">
        <f t="shared" si="86"/>
        <v>-131.73999999999978</v>
      </c>
      <c r="T211" s="14"/>
      <c r="U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9"/>
        <v>ServiceFrais véhicules de cie</v>
      </c>
      <c r="B212" s="12" t="s">
        <v>84</v>
      </c>
      <c r="C212" s="88" t="s">
        <v>53</v>
      </c>
      <c r="D212" s="89"/>
      <c r="E212" s="114"/>
      <c r="F212" s="26">
        <f>+SUM(START:END!F212)</f>
        <v>48079.403333333335</v>
      </c>
      <c r="G212" s="91"/>
      <c r="H212" s="114"/>
      <c r="I212" s="23">
        <f>+SUM(START:END!I212)</f>
        <v>48079.403333333335</v>
      </c>
      <c r="J212" s="89"/>
      <c r="K212" s="114"/>
      <c r="L212" s="23">
        <f>+SUM(START:END!L212)</f>
        <v>38939.710000000006</v>
      </c>
      <c r="M212" s="24"/>
      <c r="N212" s="94">
        <f t="shared" si="85"/>
        <v>-9139.6933333333291</v>
      </c>
      <c r="O212" s="89"/>
      <c r="P212" s="114"/>
      <c r="Q212" s="23">
        <f>+SUM(START:END!Q212)</f>
        <v>47237.3</v>
      </c>
      <c r="R212" s="24"/>
      <c r="S212" s="95">
        <f t="shared" si="86"/>
        <v>-8297.5899999999965</v>
      </c>
      <c r="T212" s="14"/>
      <c r="U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9"/>
        <v>ServiceInformatique</v>
      </c>
      <c r="B213" s="12" t="s">
        <v>84</v>
      </c>
      <c r="C213" s="30" t="s">
        <v>54</v>
      </c>
      <c r="D213" s="82"/>
      <c r="E213" s="14"/>
      <c r="F213" s="31">
        <f>+SUM(START:END!F213)</f>
        <v>17906.219459999997</v>
      </c>
      <c r="G213" s="84"/>
      <c r="H213" s="449"/>
      <c r="I213" s="34">
        <f>+SUM(START:END!I213)</f>
        <v>17906.219459999997</v>
      </c>
      <c r="J213" s="82"/>
      <c r="K213" s="14"/>
      <c r="L213" s="31">
        <f>+SUM(START:END!L213)</f>
        <v>12011.93</v>
      </c>
      <c r="M213" s="42"/>
      <c r="N213" s="60">
        <f t="shared" si="85"/>
        <v>-5894.2894599999963</v>
      </c>
      <c r="O213" s="82"/>
      <c r="P213" s="14"/>
      <c r="Q213" s="31">
        <f>+SUM(START:END!Q213)</f>
        <v>11252.89</v>
      </c>
      <c r="R213" s="42"/>
      <c r="S213" s="86">
        <f t="shared" si="86"/>
        <v>759.04000000000087</v>
      </c>
      <c r="T213" s="14"/>
      <c r="U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9"/>
        <v>ServiceFrais de déplacement</v>
      </c>
      <c r="B214" s="12" t="s">
        <v>84</v>
      </c>
      <c r="C214" s="30" t="s">
        <v>55</v>
      </c>
      <c r="D214" s="82"/>
      <c r="E214" s="14"/>
      <c r="F214" s="31">
        <f>+SUM(START:END!F214)</f>
        <v>1782.3190500000001</v>
      </c>
      <c r="G214" s="84"/>
      <c r="H214" s="449"/>
      <c r="I214" s="34">
        <f>+SUM(START:END!I214)</f>
        <v>1782.3190500000001</v>
      </c>
      <c r="J214" s="82"/>
      <c r="K214" s="14"/>
      <c r="L214" s="31">
        <f>+SUM(START:END!L214)</f>
        <v>4776.5200000000004</v>
      </c>
      <c r="M214" s="42"/>
      <c r="N214" s="60">
        <f t="shared" si="85"/>
        <v>2994.2009500000004</v>
      </c>
      <c r="O214" s="82"/>
      <c r="P214" s="14"/>
      <c r="Q214" s="31">
        <f>+SUM(START:END!Q214)</f>
        <v>1532.9</v>
      </c>
      <c r="R214" s="42"/>
      <c r="S214" s="86">
        <f t="shared" si="86"/>
        <v>3243.6200000000003</v>
      </c>
      <c r="T214" s="14"/>
      <c r="U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9"/>
        <v>ServiceServices extérieurs</v>
      </c>
      <c r="B215" s="12" t="s">
        <v>84</v>
      </c>
      <c r="C215" s="88" t="s">
        <v>56</v>
      </c>
      <c r="D215" s="89"/>
      <c r="E215" s="114"/>
      <c r="F215" s="26">
        <f>+SUM(START:END!F215)</f>
        <v>14186.463199999998</v>
      </c>
      <c r="G215" s="91"/>
      <c r="H215" s="114"/>
      <c r="I215" s="23">
        <f>+SUM(START:END!I215)</f>
        <v>14186.463199999998</v>
      </c>
      <c r="J215" s="89"/>
      <c r="K215" s="114"/>
      <c r="L215" s="23">
        <f>+SUM(START:END!L215)</f>
        <v>5685.89</v>
      </c>
      <c r="M215" s="24"/>
      <c r="N215" s="94">
        <f t="shared" si="85"/>
        <v>-8500.5731999999989</v>
      </c>
      <c r="O215" s="89"/>
      <c r="P215" s="114"/>
      <c r="Q215" s="23">
        <f>+SUM(START:END!Q215)</f>
        <v>8736.08</v>
      </c>
      <c r="R215" s="24"/>
      <c r="S215" s="95">
        <f t="shared" si="86"/>
        <v>-3050.1899999999996</v>
      </c>
      <c r="T215" s="14"/>
      <c r="U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9"/>
        <v>ServiceFournitures d'atelier</v>
      </c>
      <c r="B216" s="12" t="s">
        <v>84</v>
      </c>
      <c r="C216" s="30" t="s">
        <v>99</v>
      </c>
      <c r="D216" s="82"/>
      <c r="E216" s="14"/>
      <c r="F216" s="31">
        <f>+SUM(START:END!F216)</f>
        <v>0</v>
      </c>
      <c r="G216" s="84"/>
      <c r="H216" s="449"/>
      <c r="I216" s="34">
        <f>+SUM(START:END!I216)</f>
        <v>0</v>
      </c>
      <c r="J216" s="82"/>
      <c r="K216" s="14"/>
      <c r="L216" s="31">
        <f>+SUM(START:END!L216)</f>
        <v>0</v>
      </c>
      <c r="M216" s="42"/>
      <c r="N216" s="60">
        <f t="shared" si="85"/>
        <v>0</v>
      </c>
      <c r="O216" s="82"/>
      <c r="P216" s="14"/>
      <c r="Q216" s="31">
        <f>+SUM(START:END!Q216)</f>
        <v>0</v>
      </c>
      <c r="R216" s="42"/>
      <c r="S216" s="86">
        <f t="shared" si="86"/>
        <v>0</v>
      </c>
      <c r="T216" s="14"/>
      <c r="U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9"/>
        <v>ServiceFournitures autres</v>
      </c>
      <c r="B217" s="12" t="s">
        <v>84</v>
      </c>
      <c r="C217" s="30" t="s">
        <v>57</v>
      </c>
      <c r="D217" s="82"/>
      <c r="E217" s="14"/>
      <c r="F217" s="31">
        <f>+SUM(START:END!F217)</f>
        <v>3973.1211960107789</v>
      </c>
      <c r="G217" s="84"/>
      <c r="H217" s="449"/>
      <c r="I217" s="34">
        <f>+SUM(START:END!I217)</f>
        <v>3973.1211960107789</v>
      </c>
      <c r="J217" s="82"/>
      <c r="K217" s="14"/>
      <c r="L217" s="31">
        <f>+SUM(START:END!L217)</f>
        <v>7628.7999999999993</v>
      </c>
      <c r="M217" s="42"/>
      <c r="N217" s="60">
        <f t="shared" si="85"/>
        <v>3655.6788039892203</v>
      </c>
      <c r="O217" s="82"/>
      <c r="P217" s="14"/>
      <c r="Q217" s="31">
        <f>+SUM(START:END!Q217)</f>
        <v>2821.34</v>
      </c>
      <c r="R217" s="42"/>
      <c r="S217" s="86">
        <f t="shared" si="86"/>
        <v>4807.4599999999991</v>
      </c>
      <c r="T217" s="14"/>
      <c r="U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9"/>
        <v>ServiceUniformes</v>
      </c>
      <c r="B218" s="12" t="s">
        <v>84</v>
      </c>
      <c r="C218" s="30" t="s">
        <v>58</v>
      </c>
      <c r="D218" s="82"/>
      <c r="E218" s="14"/>
      <c r="F218" s="31">
        <f>+SUM(START:END!F218)</f>
        <v>2111.212159016743</v>
      </c>
      <c r="G218" s="84"/>
      <c r="H218" s="449"/>
      <c r="I218" s="34">
        <f>+SUM(START:END!I218)</f>
        <v>2111.212159016743</v>
      </c>
      <c r="J218" s="82"/>
      <c r="K218" s="14"/>
      <c r="L218" s="31">
        <f>+SUM(START:END!L218)</f>
        <v>7538.11</v>
      </c>
      <c r="M218" s="42"/>
      <c r="N218" s="60">
        <f t="shared" si="85"/>
        <v>5426.8978409832562</v>
      </c>
      <c r="O218" s="82"/>
      <c r="P218" s="14"/>
      <c r="Q218" s="31">
        <f>+SUM(START:END!Q218)</f>
        <v>1473.6999999999998</v>
      </c>
      <c r="R218" s="42"/>
      <c r="S218" s="86">
        <f t="shared" si="86"/>
        <v>6064.41</v>
      </c>
      <c r="T218" s="14"/>
      <c r="U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9"/>
        <v>ServicePapeterie</v>
      </c>
      <c r="B219" s="12" t="s">
        <v>84</v>
      </c>
      <c r="C219" s="30" t="s">
        <v>59</v>
      </c>
      <c r="D219" s="82"/>
      <c r="E219" s="14"/>
      <c r="F219" s="31">
        <f>+SUM(START:END!F219)</f>
        <v>1468.94472</v>
      </c>
      <c r="G219" s="84"/>
      <c r="H219" s="449"/>
      <c r="I219" s="34">
        <f>+SUM(START:END!I219)</f>
        <v>1468.94472</v>
      </c>
      <c r="J219" s="82"/>
      <c r="K219" s="14"/>
      <c r="L219" s="31">
        <f>+SUM(START:END!L219)</f>
        <v>3380.81</v>
      </c>
      <c r="M219" s="42"/>
      <c r="N219" s="60">
        <f t="shared" si="85"/>
        <v>1911.86528</v>
      </c>
      <c r="O219" s="82"/>
      <c r="P219" s="14"/>
      <c r="Q219" s="31">
        <f>+SUM(START:END!Q219)</f>
        <v>1441.5900000000001</v>
      </c>
      <c r="R219" s="42"/>
      <c r="S219" s="86">
        <f t="shared" si="86"/>
        <v>1939.2199999999998</v>
      </c>
      <c r="T219" s="14"/>
      <c r="U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9"/>
        <v>ServiceTéléphone</v>
      </c>
      <c r="B220" s="12" t="s">
        <v>84</v>
      </c>
      <c r="C220" s="30" t="s">
        <v>60</v>
      </c>
      <c r="D220" s="82"/>
      <c r="E220" s="14"/>
      <c r="F220" s="31">
        <f>+SUM(START:END!F220)</f>
        <v>678.29518500000006</v>
      </c>
      <c r="G220" s="84"/>
      <c r="H220" s="449"/>
      <c r="I220" s="34">
        <f>+SUM(START:END!I220)</f>
        <v>678.29518500000006</v>
      </c>
      <c r="J220" s="82"/>
      <c r="K220" s="14"/>
      <c r="L220" s="31">
        <f>+SUM(START:END!L220)</f>
        <v>736.45</v>
      </c>
      <c r="M220" s="42"/>
      <c r="N220" s="60">
        <f t="shared" si="85"/>
        <v>58.154814999999985</v>
      </c>
      <c r="O220" s="82"/>
      <c r="P220" s="14"/>
      <c r="Q220" s="31">
        <f>+SUM(START:END!Q220)</f>
        <v>576.59</v>
      </c>
      <c r="R220" s="42"/>
      <c r="S220" s="86">
        <f t="shared" si="86"/>
        <v>159.86000000000001</v>
      </c>
      <c r="T220" s="14"/>
      <c r="U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9"/>
        <v>ServiceFrais postaux</v>
      </c>
      <c r="B221" s="12" t="s">
        <v>84</v>
      </c>
      <c r="C221" s="30" t="s">
        <v>61</v>
      </c>
      <c r="D221" s="82"/>
      <c r="E221" s="14"/>
      <c r="F221" s="31">
        <f>+SUM(START:END!F221)</f>
        <v>362.06341499999991</v>
      </c>
      <c r="G221" s="84"/>
      <c r="H221" s="449"/>
      <c r="I221" s="34">
        <f>+SUM(START:END!I221)</f>
        <v>362.06341499999991</v>
      </c>
      <c r="J221" s="82"/>
      <c r="K221" s="14"/>
      <c r="L221" s="31">
        <f>+SUM(START:END!L221)</f>
        <v>289.82</v>
      </c>
      <c r="M221" s="42"/>
      <c r="N221" s="60">
        <f t="shared" si="85"/>
        <v>-72.243414999999914</v>
      </c>
      <c r="O221" s="82"/>
      <c r="P221" s="14"/>
      <c r="Q221" s="31">
        <f>+SUM(START:END!Q221)</f>
        <v>329.94</v>
      </c>
      <c r="R221" s="42"/>
      <c r="S221" s="86">
        <f t="shared" si="86"/>
        <v>-40.120000000000005</v>
      </c>
      <c r="T221" s="14"/>
      <c r="U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9"/>
        <v>ServiceDivers</v>
      </c>
      <c r="B222" s="12" t="s">
        <v>84</v>
      </c>
      <c r="C222" s="30" t="s">
        <v>62</v>
      </c>
      <c r="D222" s="82"/>
      <c r="E222" s="14"/>
      <c r="F222" s="31">
        <f>+SUM(START:END!F222)</f>
        <v>1746.5255849999994</v>
      </c>
      <c r="G222" s="84"/>
      <c r="H222" s="449"/>
      <c r="I222" s="34">
        <f>+SUM(START:END!I222)</f>
        <v>1746.5255849999994</v>
      </c>
      <c r="J222" s="82"/>
      <c r="K222" s="14"/>
      <c r="L222" s="31">
        <f>+SUM(START:END!L222)</f>
        <v>1069.8900000000001</v>
      </c>
      <c r="M222" s="42"/>
      <c r="N222" s="60">
        <f t="shared" si="85"/>
        <v>-676.63558499999931</v>
      </c>
      <c r="O222" s="82"/>
      <c r="P222" s="14"/>
      <c r="Q222" s="31">
        <f>+SUM(START:END!Q222)</f>
        <v>1995.6699999999998</v>
      </c>
      <c r="R222" s="42"/>
      <c r="S222" s="86">
        <f t="shared" si="86"/>
        <v>-925.77999999999975</v>
      </c>
      <c r="T222" s="14"/>
      <c r="U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9"/>
        <v>ServiceFormation</v>
      </c>
      <c r="B223" s="12" t="s">
        <v>84</v>
      </c>
      <c r="C223" s="30" t="s">
        <v>63</v>
      </c>
      <c r="D223" s="82"/>
      <c r="E223" s="14"/>
      <c r="F223" s="31">
        <f>+SUM(START:END!F223)</f>
        <v>2594.8265999999999</v>
      </c>
      <c r="G223" s="84"/>
      <c r="H223" s="449"/>
      <c r="I223" s="34">
        <f>+SUM(START:END!I223)</f>
        <v>2594.8265999999999</v>
      </c>
      <c r="J223" s="82"/>
      <c r="K223" s="14"/>
      <c r="L223" s="31">
        <f>+SUM(START:END!L223)</f>
        <v>5965.87</v>
      </c>
      <c r="M223" s="42"/>
      <c r="N223" s="60">
        <f t="shared" si="85"/>
        <v>3371.0434</v>
      </c>
      <c r="O223" s="82"/>
      <c r="P223" s="14"/>
      <c r="Q223" s="31">
        <f>+SUM(START:END!Q223)</f>
        <v>5980.76</v>
      </c>
      <c r="R223" s="42"/>
      <c r="S223" s="86">
        <f t="shared" si="86"/>
        <v>-14.890000000000327</v>
      </c>
      <c r="T223" s="14"/>
      <c r="U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9"/>
        <v>ServiceFrais bancaires</v>
      </c>
      <c r="B224" s="12" t="s">
        <v>84</v>
      </c>
      <c r="C224" s="30" t="s">
        <v>64</v>
      </c>
      <c r="D224" s="82"/>
      <c r="E224" s="14"/>
      <c r="F224" s="31">
        <f>+SUM(START:END!F224)</f>
        <v>6303.7460436030724</v>
      </c>
      <c r="G224" s="84"/>
      <c r="H224" s="449"/>
      <c r="I224" s="34">
        <f>+SUM(START:END!I224)</f>
        <v>6303.7460436030724</v>
      </c>
      <c r="J224" s="82"/>
      <c r="K224" s="14"/>
      <c r="L224" s="31">
        <f>+SUM(START:END!L224)</f>
        <v>5750.9504999999999</v>
      </c>
      <c r="M224" s="42"/>
      <c r="N224" s="60">
        <f t="shared" si="85"/>
        <v>-552.79554360307247</v>
      </c>
      <c r="O224" s="82"/>
      <c r="P224" s="14"/>
      <c r="Q224" s="31">
        <f>+SUM(START:END!Q224)</f>
        <v>5131.2870000000003</v>
      </c>
      <c r="R224" s="42"/>
      <c r="S224" s="86">
        <f t="shared" si="86"/>
        <v>619.66349999999966</v>
      </c>
      <c r="T224" s="14"/>
      <c r="U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9"/>
        <v>Service[...]</v>
      </c>
      <c r="B225" s="12" t="s">
        <v>84</v>
      </c>
      <c r="C225" s="30" t="s">
        <v>21</v>
      </c>
      <c r="D225" s="82"/>
      <c r="E225" s="14"/>
      <c r="F225" s="31">
        <f>+SUM(START:END!F225)</f>
        <v>0</v>
      </c>
      <c r="G225" s="84"/>
      <c r="H225" s="449"/>
      <c r="I225" s="34">
        <f>+SUM(START:END!I225)</f>
        <v>0</v>
      </c>
      <c r="J225" s="82"/>
      <c r="K225" s="14"/>
      <c r="L225" s="31">
        <f>+SUM(START:END!L225)</f>
        <v>0</v>
      </c>
      <c r="M225" s="42"/>
      <c r="N225" s="60">
        <f t="shared" si="85"/>
        <v>0</v>
      </c>
      <c r="O225" s="82"/>
      <c r="P225" s="14"/>
      <c r="Q225" s="31">
        <f>+SUM(START:END!Q225)</f>
        <v>0</v>
      </c>
      <c r="R225" s="42"/>
      <c r="S225" s="86">
        <f t="shared" si="86"/>
        <v>0</v>
      </c>
      <c r="T225" s="14"/>
      <c r="U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B226" s="12"/>
      <c r="C226" s="30" t="s">
        <v>21</v>
      </c>
      <c r="D226" s="82"/>
      <c r="E226" s="14"/>
      <c r="F226" s="31">
        <f>+SUM(START:END!F226)</f>
        <v>0</v>
      </c>
      <c r="G226" s="84"/>
      <c r="H226" s="449"/>
      <c r="I226" s="34">
        <f>+SUM(START:END!I226)</f>
        <v>0</v>
      </c>
      <c r="J226" s="82"/>
      <c r="K226" s="14"/>
      <c r="L226" s="31">
        <f>+SUM(START:END!L226)</f>
        <v>0</v>
      </c>
      <c r="M226" s="42"/>
      <c r="N226" s="60">
        <f t="shared" si="85"/>
        <v>0</v>
      </c>
      <c r="O226" s="82"/>
      <c r="P226" s="14"/>
      <c r="Q226" s="31">
        <f>+SUM(START:END!Q226)</f>
        <v>0</v>
      </c>
      <c r="R226" s="42"/>
      <c r="S226" s="86">
        <f t="shared" si="86"/>
        <v>0</v>
      </c>
      <c r="T226" s="14"/>
      <c r="U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9"/>
        <v>Service[...]</v>
      </c>
      <c r="B227" s="12" t="s">
        <v>84</v>
      </c>
      <c r="C227" s="30" t="s">
        <v>21</v>
      </c>
      <c r="D227" s="82"/>
      <c r="E227" s="14"/>
      <c r="F227" s="31">
        <f>+SUM(START:END!F227)</f>
        <v>0</v>
      </c>
      <c r="G227" s="84"/>
      <c r="H227" s="449"/>
      <c r="I227" s="34">
        <f>+SUM(START:END!I227)</f>
        <v>0</v>
      </c>
      <c r="J227" s="82"/>
      <c r="K227" s="14"/>
      <c r="L227" s="31">
        <f>+SUM(START:END!L227)</f>
        <v>0</v>
      </c>
      <c r="M227" s="42"/>
      <c r="N227" s="60">
        <f t="shared" si="85"/>
        <v>0</v>
      </c>
      <c r="O227" s="82"/>
      <c r="P227" s="14"/>
      <c r="Q227" s="31">
        <f>+SUM(START:END!Q227)</f>
        <v>0</v>
      </c>
      <c r="R227" s="42"/>
      <c r="S227" s="86">
        <f t="shared" si="86"/>
        <v>0</v>
      </c>
      <c r="T227" s="14"/>
      <c r="U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6" t="s">
        <v>65</v>
      </c>
      <c r="D228" s="97" t="s">
        <v>98</v>
      </c>
      <c r="E228" s="98">
        <f>F228/F$193</f>
        <v>0.21026485649170956</v>
      </c>
      <c r="F228" s="102">
        <f>+SUM(F210:F227)</f>
        <v>133028.91029670704</v>
      </c>
      <c r="G228" s="100" t="s">
        <v>98</v>
      </c>
      <c r="H228" s="98">
        <f>I228/I$193</f>
        <v>0.21026485649170956</v>
      </c>
      <c r="I228" s="99">
        <f>+SUM(I210:I227)</f>
        <v>133028.91029670704</v>
      </c>
      <c r="J228" s="97" t="s">
        <v>98</v>
      </c>
      <c r="K228" s="98">
        <f>L228/L$193</f>
        <v>0.24568092199932912</v>
      </c>
      <c r="L228" s="99">
        <f>+SUM(L210:L227)</f>
        <v>145908.14050000004</v>
      </c>
      <c r="M228" s="103"/>
      <c r="N228" s="99">
        <f t="shared" si="85"/>
        <v>12879.230203293002</v>
      </c>
      <c r="O228" s="100" t="s">
        <v>98</v>
      </c>
      <c r="P228" s="98">
        <f>Q228/Q$193</f>
        <v>0.21116184022368648</v>
      </c>
      <c r="Q228" s="99">
        <f>+SUM(Q210:Q227)</f>
        <v>119399.61699999997</v>
      </c>
      <c r="R228" s="103"/>
      <c r="S228" s="104">
        <f t="shared" si="86"/>
        <v>26508.523500000068</v>
      </c>
      <c r="T228" s="14"/>
      <c r="U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4"/>
      <c r="F229" s="442"/>
      <c r="G229" s="91"/>
      <c r="H229" s="114"/>
      <c r="I229" s="60"/>
      <c r="J229" s="114"/>
      <c r="K229" s="114"/>
      <c r="L229" s="94"/>
      <c r="M229" s="24"/>
      <c r="N229" s="94"/>
      <c r="O229" s="24"/>
      <c r="P229" s="114"/>
      <c r="Q229" s="94"/>
      <c r="R229" s="24"/>
      <c r="S229" s="95"/>
      <c r="T229" s="14"/>
      <c r="U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6" t="s">
        <v>66</v>
      </c>
      <c r="D230" s="97" t="s">
        <v>40</v>
      </c>
      <c r="E230" s="98">
        <f>F230/F$193</f>
        <v>0.75872331492299716</v>
      </c>
      <c r="F230" s="102">
        <f>F209+F228</f>
        <v>480023.80181345809</v>
      </c>
      <c r="G230" s="100" t="s">
        <v>40</v>
      </c>
      <c r="H230" s="98">
        <f>I230/I$193</f>
        <v>0.75872331492299716</v>
      </c>
      <c r="I230" s="99">
        <f>I209+I228</f>
        <v>480023.80181345809</v>
      </c>
      <c r="J230" s="97" t="s">
        <v>40</v>
      </c>
      <c r="K230" s="98">
        <f>L230/L$193</f>
        <v>0.83545971104820871</v>
      </c>
      <c r="L230" s="99">
        <f>L209+L228</f>
        <v>496173.5405</v>
      </c>
      <c r="M230" s="103"/>
      <c r="N230" s="116">
        <f t="shared" ref="N230:N232" si="87">L230-I230</f>
        <v>16149.73868654191</v>
      </c>
      <c r="O230" s="100" t="s">
        <v>40</v>
      </c>
      <c r="P230" s="98">
        <f>Q230/Q$193</f>
        <v>0.75188983732810721</v>
      </c>
      <c r="Q230" s="99">
        <f>Q209+Q228</f>
        <v>425149.53700000001</v>
      </c>
      <c r="R230" s="103"/>
      <c r="S230" s="117">
        <f>L230-Q230</f>
        <v>71024.003499999992</v>
      </c>
      <c r="T230" s="14"/>
      <c r="U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0"/>
      <c r="D231" s="82"/>
      <c r="E231" s="14"/>
      <c r="F231" s="442"/>
      <c r="G231" s="84"/>
      <c r="H231" s="449"/>
      <c r="I231" s="60"/>
      <c r="J231" s="449"/>
      <c r="K231" s="14"/>
      <c r="L231" s="60"/>
      <c r="M231" s="42"/>
      <c r="N231" s="60"/>
      <c r="O231" s="42"/>
      <c r="P231" s="14"/>
      <c r="Q231" s="60"/>
      <c r="R231" s="42"/>
      <c r="S231" s="86"/>
      <c r="T231" s="14"/>
      <c r="U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27" t="s">
        <v>73</v>
      </c>
      <c r="D232" s="156"/>
      <c r="E232" s="128"/>
      <c r="F232" s="448">
        <f>F193-F230</f>
        <v>152649.25880307995</v>
      </c>
      <c r="G232" s="157"/>
      <c r="H232" s="128"/>
      <c r="I232" s="130">
        <f>I193-I230</f>
        <v>152649.25880307995</v>
      </c>
      <c r="J232" s="129"/>
      <c r="K232" s="129"/>
      <c r="L232" s="130">
        <f>L193-L230</f>
        <v>97719.299499999965</v>
      </c>
      <c r="M232" s="158"/>
      <c r="N232" s="130">
        <f t="shared" si="87"/>
        <v>-54929.959303079988</v>
      </c>
      <c r="O232" s="158"/>
      <c r="P232" s="129"/>
      <c r="Q232" s="130">
        <f>Q193-Q230</f>
        <v>140291.723</v>
      </c>
      <c r="R232" s="158"/>
      <c r="S232" s="132">
        <f>L232-Q232</f>
        <v>-42572.423500000034</v>
      </c>
      <c r="T232" s="14"/>
      <c r="U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59"/>
      <c r="M234" s="159"/>
      <c r="N234" s="11"/>
      <c r="O234" s="159"/>
      <c r="P234" s="11"/>
      <c r="Q234" s="159"/>
      <c r="R234" s="11"/>
      <c r="S234" s="11"/>
      <c r="T234" s="11"/>
      <c r="U234" s="11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Conso</v>
      </c>
      <c r="D235" s="2"/>
      <c r="E235" s="2"/>
      <c r="F235" s="2"/>
      <c r="G235" s="2"/>
      <c r="H235" s="1"/>
      <c r="I235" s="1"/>
      <c r="J235" s="1"/>
      <c r="K235" s="3" t="s">
        <v>100</v>
      </c>
      <c r="L235" s="2"/>
      <c r="M235" s="2"/>
      <c r="N235" s="1"/>
      <c r="O235" s="1"/>
      <c r="P235" s="2"/>
      <c r="Q235" s="1"/>
      <c r="R235" s="2"/>
      <c r="S235" s="5" t="str">
        <f>$S$1</f>
        <v>Réalisé  Volks T2 2022</v>
      </c>
      <c r="T235" s="2"/>
      <c r="U235" s="6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896" t="s">
        <v>5</v>
      </c>
      <c r="E237" s="897"/>
      <c r="F237" s="897"/>
      <c r="G237" s="899" t="s">
        <v>75</v>
      </c>
      <c r="H237" s="897"/>
      <c r="I237" s="898"/>
      <c r="J237" s="894" t="s">
        <v>7</v>
      </c>
      <c r="K237" s="897"/>
      <c r="L237" s="898"/>
      <c r="M237" s="894" t="s">
        <v>8</v>
      </c>
      <c r="N237" s="898"/>
      <c r="O237" s="896" t="s">
        <v>9</v>
      </c>
      <c r="P237" s="897"/>
      <c r="Q237" s="898"/>
      <c r="R237" s="894" t="s">
        <v>10</v>
      </c>
      <c r="S237" s="895"/>
      <c r="T237" s="153"/>
      <c r="U237" s="14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88">+B238&amp;C238</f>
        <v>Carrosserie</v>
      </c>
      <c r="B238" s="12" t="s">
        <v>100</v>
      </c>
      <c r="C238" s="30"/>
      <c r="D238" s="81" t="s">
        <v>41</v>
      </c>
      <c r="E238" s="81" t="s">
        <v>85</v>
      </c>
      <c r="F238" s="440" t="s">
        <v>13</v>
      </c>
      <c r="G238" s="450" t="s">
        <v>41</v>
      </c>
      <c r="H238" s="440" t="s">
        <v>85</v>
      </c>
      <c r="I238" s="137" t="s">
        <v>13</v>
      </c>
      <c r="J238" s="138" t="s">
        <v>41</v>
      </c>
      <c r="K238" s="81" t="s">
        <v>85</v>
      </c>
      <c r="L238" s="137" t="s">
        <v>13</v>
      </c>
      <c r="M238" s="138" t="s">
        <v>41</v>
      </c>
      <c r="N238" s="137" t="s">
        <v>13</v>
      </c>
      <c r="O238" s="81" t="s">
        <v>41</v>
      </c>
      <c r="P238" s="81" t="s">
        <v>85</v>
      </c>
      <c r="Q238" s="137" t="s">
        <v>13</v>
      </c>
      <c r="R238" s="138" t="s">
        <v>86</v>
      </c>
      <c r="S238" s="139" t="s">
        <v>13</v>
      </c>
      <c r="T238" s="81"/>
      <c r="U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88"/>
        <v>Carrosserie</v>
      </c>
      <c r="B239" s="12" t="s">
        <v>100</v>
      </c>
      <c r="C239" s="30"/>
      <c r="D239" s="81"/>
      <c r="E239" s="81"/>
      <c r="F239" s="440"/>
      <c r="G239" s="138"/>
      <c r="H239" s="81"/>
      <c r="I239" s="440"/>
      <c r="J239" s="138"/>
      <c r="K239" s="31"/>
      <c r="L239" s="34"/>
      <c r="M239" s="138"/>
      <c r="N239" s="137"/>
      <c r="O239" s="81"/>
      <c r="P239" s="81"/>
      <c r="Q239" s="137"/>
      <c r="R239" s="138"/>
      <c r="S239" s="139"/>
      <c r="T239" s="81"/>
      <c r="U239" s="14"/>
      <c r="V239" s="472"/>
      <c r="W239" s="472"/>
      <c r="X239" s="472"/>
      <c r="Y239" s="472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88"/>
        <v>CarrosserieM/O Sous-traitement</v>
      </c>
      <c r="B240" s="12" t="s">
        <v>100</v>
      </c>
      <c r="C240" s="30" t="s">
        <v>101</v>
      </c>
      <c r="D240" s="884">
        <f>+SUM(START:END!D240)</f>
        <v>0</v>
      </c>
      <c r="E240" s="885">
        <f>+SUM(START:END!E240)</f>
        <v>273121.34853218944</v>
      </c>
      <c r="F240" s="885">
        <f>+SUM(START:END!F240)</f>
        <v>60414.700998426357</v>
      </c>
      <c r="G240" s="886">
        <f>+SUM(START:END!G240)</f>
        <v>0</v>
      </c>
      <c r="H240" s="885">
        <f>+SUM(START:END!H240)</f>
        <v>273121.34853218944</v>
      </c>
      <c r="I240" s="83">
        <f>+SUM(START:END!I240)</f>
        <v>60414.700998426357</v>
      </c>
      <c r="J240" s="61">
        <f>+SUM(START:END!J240)</f>
        <v>239</v>
      </c>
      <c r="K240" s="31">
        <f>+SUM(START:END!K240)</f>
        <v>335299.38</v>
      </c>
      <c r="L240" s="34">
        <f>+SUM(START:END!L240)</f>
        <v>70903.649999999994</v>
      </c>
      <c r="M240" s="161">
        <f>IFERROR((K240-H240)/H240,0)</f>
        <v>0.22765716338897765</v>
      </c>
      <c r="N240" s="60">
        <f>L240-I240</f>
        <v>10488.949001573637</v>
      </c>
      <c r="O240" s="61">
        <f>+SUM(START:END!O240)</f>
        <v>152</v>
      </c>
      <c r="P240" s="31">
        <f>+SUM(START:END!P240)</f>
        <v>195372.97999999998</v>
      </c>
      <c r="Q240" s="34">
        <f>+SUM(START:END!Q240)</f>
        <v>40451.689999999995</v>
      </c>
      <c r="R240" s="161">
        <f>IF(O240=0,0,J240/O240)</f>
        <v>1.5723684210526316</v>
      </c>
      <c r="S240" s="86">
        <f>L240-Q240</f>
        <v>30451.96</v>
      </c>
      <c r="T240" s="81"/>
      <c r="U240" s="14"/>
      <c r="V240" s="472">
        <f>+SUM(START:END!D240)-D240</f>
        <v>0</v>
      </c>
      <c r="W240" s="472">
        <f>+SUM(START:END!G240)-G240</f>
        <v>0</v>
      </c>
      <c r="X240" s="472">
        <f>+SUM(START:END!J240)-J240</f>
        <v>0</v>
      </c>
      <c r="Y240" s="472">
        <f>+SUM(START:END!O240)-O240</f>
        <v>0</v>
      </c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88"/>
        <v>Carrosserie% profit / ventes</v>
      </c>
      <c r="B241" s="12" t="s">
        <v>100</v>
      </c>
      <c r="C241" s="30" t="s">
        <v>88</v>
      </c>
      <c r="D241" s="81"/>
      <c r="E241" s="147"/>
      <c r="F241" s="441">
        <f>IFERROR(F240/E240,0)</f>
        <v>0.2212009472093904</v>
      </c>
      <c r="G241" s="138"/>
      <c r="H241" s="147"/>
      <c r="I241" s="441">
        <f>IFERROR(I240/H240,0)</f>
        <v>0.2212009472093904</v>
      </c>
      <c r="J241" s="61"/>
      <c r="K241" s="14"/>
      <c r="L241" s="162">
        <f>IFERROR(L240/K240,0)</f>
        <v>0.21146370744854939</v>
      </c>
      <c r="M241" s="161"/>
      <c r="N241" s="60">
        <f>IFERROR(N240/M240,0)</f>
        <v>46073.441509293072</v>
      </c>
      <c r="O241" s="61"/>
      <c r="P241" s="14"/>
      <c r="Q241" s="162">
        <f>IFERROR(Q240/P240,0)</f>
        <v>0.20704853864643924</v>
      </c>
      <c r="R241" s="61"/>
      <c r="S241" s="86">
        <f>IFERROR(S240/R240,0)</f>
        <v>19366.936903765691</v>
      </c>
      <c r="T241" s="81"/>
      <c r="U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88"/>
        <v>Carrosserie</v>
      </c>
      <c r="B242" s="12" t="s">
        <v>100</v>
      </c>
      <c r="C242" s="30"/>
      <c r="D242" s="81"/>
      <c r="E242" s="209"/>
      <c r="F242" s="209"/>
      <c r="G242" s="138"/>
      <c r="H242" s="209"/>
      <c r="I242" s="209"/>
      <c r="J242" s="138"/>
      <c r="K242" s="81"/>
      <c r="L242" s="137"/>
      <c r="M242" s="138"/>
      <c r="N242" s="137"/>
      <c r="O242" s="138"/>
      <c r="P242" s="81"/>
      <c r="Q242" s="137"/>
      <c r="R242" s="211"/>
      <c r="S242" s="139"/>
      <c r="T242" s="81"/>
      <c r="U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88"/>
        <v>CarrosserieM/O Carrosserie</v>
      </c>
      <c r="B243" s="12" t="s">
        <v>100</v>
      </c>
      <c r="C243" s="15" t="s">
        <v>102</v>
      </c>
      <c r="D243" s="447">
        <f>+SUM(START:END!D243)</f>
        <v>0</v>
      </c>
      <c r="E243" s="83">
        <f>+SUM(START:END!E243)</f>
        <v>0</v>
      </c>
      <c r="F243" s="83">
        <f>+SUM(START:END!F243)</f>
        <v>0</v>
      </c>
      <c r="G243" s="212">
        <f>+SUM(START:END!G243)</f>
        <v>0</v>
      </c>
      <c r="H243" s="83">
        <f>+SUM(START:END!H243)</f>
        <v>0</v>
      </c>
      <c r="I243" s="83">
        <f>+SUM(START:END!I243)</f>
        <v>0</v>
      </c>
      <c r="J243" s="168">
        <f>+SUM(START:END!J243)</f>
        <v>0</v>
      </c>
      <c r="K243" s="169">
        <f>+SUM(START:END!K243)</f>
        <v>0</v>
      </c>
      <c r="L243" s="111">
        <f>+SUM(START:END!L243)</f>
        <v>0</v>
      </c>
      <c r="M243" s="176" t="e">
        <f>(K243-H243)/H243</f>
        <v>#DIV/0!</v>
      </c>
      <c r="N243" s="112">
        <f>L243-I243</f>
        <v>0</v>
      </c>
      <c r="O243" s="168">
        <f>+SUM(START:END!O243)</f>
        <v>0</v>
      </c>
      <c r="P243" s="169">
        <f>+SUM(START:END!P243)</f>
        <v>0</v>
      </c>
      <c r="Q243" s="111">
        <f>+SUM(START:END!Q243)</f>
        <v>0</v>
      </c>
      <c r="R243" s="161">
        <f>IF(O243=0,0,J243/O243)</f>
        <v>0</v>
      </c>
      <c r="S243" s="113">
        <f>L243-Q243</f>
        <v>0</v>
      </c>
      <c r="T243" s="152"/>
      <c r="U243" s="14"/>
      <c r="V243" s="472">
        <f>+SUM(START:END!D243)-D243</f>
        <v>0</v>
      </c>
      <c r="W243" s="472">
        <f>+SUM(START:END!G243)-G243</f>
        <v>0</v>
      </c>
      <c r="X243" s="472">
        <f>+SUM(START:END!J243)-J243</f>
        <v>0</v>
      </c>
      <c r="Y243" s="472">
        <f>+SUM(START:END!O243)-O243</f>
        <v>0</v>
      </c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88"/>
        <v>Carrosserie% profit / ventes</v>
      </c>
      <c r="B244" s="12" t="s">
        <v>100</v>
      </c>
      <c r="C244" s="30" t="s">
        <v>88</v>
      </c>
      <c r="D244" s="14"/>
      <c r="E244" s="147"/>
      <c r="F244" s="441" t="e">
        <f>F243/E243</f>
        <v>#DIV/0!</v>
      </c>
      <c r="G244" s="42"/>
      <c r="H244" s="147"/>
      <c r="I244" s="441" t="e">
        <f>I243/H243</f>
        <v>#DIV/0!</v>
      </c>
      <c r="J244" s="61"/>
      <c r="K244" s="14"/>
      <c r="L244" s="162">
        <f>IFERROR(L243/K243,0)</f>
        <v>0</v>
      </c>
      <c r="M244" s="161"/>
      <c r="N244" s="60" t="e">
        <f>N243/I243</f>
        <v>#DIV/0!</v>
      </c>
      <c r="O244" s="61"/>
      <c r="P244" s="14"/>
      <c r="Q244" s="162">
        <f>IFERROR(Q243/P243,0)</f>
        <v>0</v>
      </c>
      <c r="R244" s="61"/>
      <c r="S244" s="86">
        <f>IF(Q243=0,0,S243/Q243)</f>
        <v>0</v>
      </c>
      <c r="T244" s="152"/>
      <c r="U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88"/>
        <v>Carrosserie</v>
      </c>
      <c r="B245" s="12" t="s">
        <v>100</v>
      </c>
      <c r="C245" s="88"/>
      <c r="D245" s="114"/>
      <c r="E245" s="163"/>
      <c r="F245" s="221"/>
      <c r="G245" s="24"/>
      <c r="H245" s="163"/>
      <c r="I245" s="221"/>
      <c r="J245" s="165"/>
      <c r="K245" s="213"/>
      <c r="L245" s="164"/>
      <c r="M245" s="166"/>
      <c r="N245" s="94"/>
      <c r="O245" s="165"/>
      <c r="P245" s="213"/>
      <c r="Q245" s="164"/>
      <c r="R245" s="165"/>
      <c r="S245" s="95"/>
      <c r="T245" s="152"/>
      <c r="U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88"/>
        <v>CarrosserieM/O Esthétique Carr.</v>
      </c>
      <c r="B246" s="12" t="s">
        <v>100</v>
      </c>
      <c r="C246" s="15" t="s">
        <v>103</v>
      </c>
      <c r="D246" s="167">
        <f>+SUM(START:END!D246)</f>
        <v>0</v>
      </c>
      <c r="E246" s="83">
        <f>+SUM(START:END!E246)</f>
        <v>0</v>
      </c>
      <c r="F246" s="83">
        <f>+SUM(START:END!F246)</f>
        <v>0</v>
      </c>
      <c r="G246" s="168">
        <f>+SUM(START:END!G246)</f>
        <v>0</v>
      </c>
      <c r="H246" s="83">
        <f>+SUM(START:END!H246)</f>
        <v>0</v>
      </c>
      <c r="I246" s="83">
        <f>+SUM(START:END!I246)</f>
        <v>0</v>
      </c>
      <c r="J246" s="168">
        <f>+SUM(START:END!J246)</f>
        <v>0</v>
      </c>
      <c r="K246" s="31">
        <f>+SUM(START:END!K246)</f>
        <v>0</v>
      </c>
      <c r="L246" s="34">
        <f>+SUM(START:END!L246)</f>
        <v>0</v>
      </c>
      <c r="M246" s="161" t="e">
        <f>(K246-H246)/H246</f>
        <v>#DIV/0!</v>
      </c>
      <c r="N246" s="112">
        <f>L246-I246</f>
        <v>0</v>
      </c>
      <c r="O246" s="168">
        <f>+SUM(START:END!O246)</f>
        <v>0</v>
      </c>
      <c r="P246" s="31">
        <f>+SUM(START:END!P246)</f>
        <v>0</v>
      </c>
      <c r="Q246" s="34">
        <f>+SUM(START:END!Q246)</f>
        <v>0</v>
      </c>
      <c r="R246" s="161">
        <f>IF(O246=0,0,J246/O246)</f>
        <v>0</v>
      </c>
      <c r="S246" s="86">
        <f>L246-Q246</f>
        <v>0</v>
      </c>
      <c r="T246" s="152"/>
      <c r="U246" s="14"/>
      <c r="V246" s="472">
        <f>+SUM(START:END!D246)-D246</f>
        <v>0</v>
      </c>
      <c r="W246" s="472">
        <f>+SUM(START:END!G246)-G246</f>
        <v>0</v>
      </c>
      <c r="X246" s="472">
        <f>+SUM(START:END!J246)-J246</f>
        <v>0</v>
      </c>
      <c r="Y246" s="472">
        <f>+SUM(START:END!O246)-O246</f>
        <v>0</v>
      </c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88"/>
        <v>Carrosserie% profit / ventes</v>
      </c>
      <c r="B247" s="12" t="s">
        <v>100</v>
      </c>
      <c r="C247" s="30" t="s">
        <v>88</v>
      </c>
      <c r="D247" s="14"/>
      <c r="E247" s="14"/>
      <c r="F247" s="441" t="e">
        <f>F246/E246</f>
        <v>#DIV/0!</v>
      </c>
      <c r="G247" s="42"/>
      <c r="H247" s="14"/>
      <c r="I247" s="441" t="e">
        <f>I246/H246</f>
        <v>#DIV/0!</v>
      </c>
      <c r="J247" s="42"/>
      <c r="K247" s="14"/>
      <c r="L247" s="162">
        <f>IFERROR(L246/K246,0)</f>
        <v>0</v>
      </c>
      <c r="M247" s="43"/>
      <c r="N247" s="44" t="e">
        <f>N246/I246</f>
        <v>#DIV/0!</v>
      </c>
      <c r="O247" s="42"/>
      <c r="P247" s="14"/>
      <c r="Q247" s="162">
        <f>IFERROR(Q246/P246,0)</f>
        <v>0</v>
      </c>
      <c r="R247" s="43"/>
      <c r="S247" s="45">
        <f>IF(Q246=0,0,S246/Q246)</f>
        <v>0</v>
      </c>
      <c r="T247" s="152"/>
      <c r="U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88"/>
        <v>Carrosserie</v>
      </c>
      <c r="B248" s="12" t="s">
        <v>100</v>
      </c>
      <c r="C248" s="30"/>
      <c r="D248" s="14"/>
      <c r="E248" s="14"/>
      <c r="F248" s="441"/>
      <c r="G248" s="42"/>
      <c r="H248" s="14"/>
      <c r="I248" s="441"/>
      <c r="J248" s="42"/>
      <c r="K248" s="14"/>
      <c r="L248" s="162"/>
      <c r="M248" s="43"/>
      <c r="N248" s="44"/>
      <c r="O248" s="42"/>
      <c r="P248" s="14"/>
      <c r="Q248" s="162"/>
      <c r="R248" s="43"/>
      <c r="S248" s="45"/>
      <c r="T248" s="152"/>
      <c r="U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88"/>
        <v>CarrosserieTotal Mécanique</v>
      </c>
      <c r="B249" s="12" t="s">
        <v>100</v>
      </c>
      <c r="C249" s="63" t="s">
        <v>97</v>
      </c>
      <c r="D249" s="64"/>
      <c r="E249" s="64">
        <f t="shared" ref="E249:F249" si="89">E243+E246+E240</f>
        <v>273121.34853218944</v>
      </c>
      <c r="F249" s="64">
        <f t="shared" si="89"/>
        <v>60414.700998426357</v>
      </c>
      <c r="G249" s="67"/>
      <c r="H249" s="64">
        <f t="shared" ref="H249:I249" si="90">H243+H246+H240</f>
        <v>273121.34853218944</v>
      </c>
      <c r="I249" s="64">
        <f t="shared" si="90"/>
        <v>60414.700998426357</v>
      </c>
      <c r="J249" s="67"/>
      <c r="K249" s="64">
        <f t="shared" ref="K249:L249" si="91">K243+K246+K240</f>
        <v>335299.38</v>
      </c>
      <c r="L249" s="66">
        <f t="shared" si="91"/>
        <v>70903.649999999994</v>
      </c>
      <c r="M249" s="208">
        <f>L250-I250</f>
        <v>-9.73723976084101E-3</v>
      </c>
      <c r="N249" s="66">
        <f>L249-I249</f>
        <v>10488.949001573637</v>
      </c>
      <c r="O249" s="67"/>
      <c r="P249" s="64">
        <f t="shared" ref="P249:Q249" si="92">P243+P246+P240</f>
        <v>195372.97999999998</v>
      </c>
      <c r="Q249" s="66">
        <f t="shared" si="92"/>
        <v>40451.689999999995</v>
      </c>
      <c r="R249" s="208">
        <f>L250-Q250</f>
        <v>4.4151688021101532E-3</v>
      </c>
      <c r="S249" s="69">
        <f>L249-Q249</f>
        <v>30451.96</v>
      </c>
      <c r="T249" s="152"/>
      <c r="U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88"/>
        <v>Carrosserie</v>
      </c>
      <c r="B250" s="12" t="s">
        <v>100</v>
      </c>
      <c r="C250" s="70"/>
      <c r="D250" s="71"/>
      <c r="E250" s="71"/>
      <c r="F250" s="444">
        <f>F249/E249</f>
        <v>0.2212009472093904</v>
      </c>
      <c r="G250" s="73"/>
      <c r="H250" s="71"/>
      <c r="I250" s="444">
        <f>I249/H249</f>
        <v>0.2212009472093904</v>
      </c>
      <c r="J250" s="73"/>
      <c r="K250" s="71"/>
      <c r="L250" s="75">
        <f>IF(K249=0,0,L249/K249)</f>
        <v>0.21146370744854939</v>
      </c>
      <c r="M250" s="74"/>
      <c r="N250" s="75">
        <f>N249/I249</f>
        <v>0.17361583899665162</v>
      </c>
      <c r="O250" s="73"/>
      <c r="P250" s="71"/>
      <c r="Q250" s="75">
        <f>IF(P249=0,0,Q249/P249)</f>
        <v>0.20704853864643924</v>
      </c>
      <c r="R250" s="74"/>
      <c r="S250" s="75">
        <f>IF(R249=0,0,S249/R249)</f>
        <v>6897122.4804465035</v>
      </c>
      <c r="T250" s="152"/>
      <c r="U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88"/>
        <v>Carrosserie</v>
      </c>
      <c r="B251" s="12" t="s">
        <v>100</v>
      </c>
      <c r="C251" s="30"/>
      <c r="D251" s="14"/>
      <c r="E251" s="14"/>
      <c r="F251" s="442"/>
      <c r="G251" s="42"/>
      <c r="H251" s="14"/>
      <c r="I251" s="442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88"/>
        <v>CarrosserieDEPENSES</v>
      </c>
      <c r="B252" s="12" t="s">
        <v>100</v>
      </c>
      <c r="C252" s="80" t="s">
        <v>31</v>
      </c>
      <c r="D252" s="14"/>
      <c r="E252" s="14"/>
      <c r="F252" s="442"/>
      <c r="G252" s="42"/>
      <c r="H252" s="14"/>
      <c r="I252" s="442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88"/>
        <v>CarrosserieSalaires cadres</v>
      </c>
      <c r="B253" s="12" t="s">
        <v>100</v>
      </c>
      <c r="C253" s="105" t="s">
        <v>42</v>
      </c>
      <c r="D253" s="14"/>
      <c r="E253" s="14"/>
      <c r="F253" s="31">
        <f>+SUM(START:END!F253)</f>
        <v>962.60392720306527</v>
      </c>
      <c r="G253" s="42"/>
      <c r="H253" s="14"/>
      <c r="I253" s="31">
        <f>+SUM(START:END!I253)</f>
        <v>962.60392720306527</v>
      </c>
      <c r="J253" s="42"/>
      <c r="K253" s="14"/>
      <c r="L253" s="34">
        <f>+SUM(START:END!L253)</f>
        <v>2705.64</v>
      </c>
      <c r="M253" s="42"/>
      <c r="N253" s="41"/>
      <c r="O253" s="42"/>
      <c r="P253" s="14"/>
      <c r="Q253" s="34">
        <f>+SUM(START:END!Q253)</f>
        <v>2427.36</v>
      </c>
      <c r="R253" s="42"/>
      <c r="S253" s="35">
        <f>L253-Q253</f>
        <v>278.27999999999975</v>
      </c>
      <c r="T253" s="14"/>
      <c r="U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88"/>
        <v>CarrosserieSalaires commis</v>
      </c>
      <c r="B254" s="12" t="s">
        <v>100</v>
      </c>
      <c r="C254" s="106" t="s">
        <v>43</v>
      </c>
      <c r="D254" s="82"/>
      <c r="E254" s="14"/>
      <c r="F254" s="26">
        <f>+SUM(START:END!F254)</f>
        <v>1612.7867563314176</v>
      </c>
      <c r="G254" s="84"/>
      <c r="H254" s="14"/>
      <c r="I254" s="26">
        <f>+SUM(START:END!I254)</f>
        <v>1612.7867563314176</v>
      </c>
      <c r="J254" s="42"/>
      <c r="K254" s="14"/>
      <c r="L254" s="34">
        <f>+SUM(START:END!L254)</f>
        <v>1300.96</v>
      </c>
      <c r="M254" s="42"/>
      <c r="N254" s="60">
        <f t="shared" ref="N254:N283" si="93">L254-I254</f>
        <v>-311.82675633141753</v>
      </c>
      <c r="O254" s="42"/>
      <c r="P254" s="14"/>
      <c r="Q254" s="34">
        <f>+SUM(START:END!Q254)</f>
        <v>1617.54</v>
      </c>
      <c r="R254" s="42"/>
      <c r="S254" s="86">
        <f>L254-Q254</f>
        <v>-316.57999999999993</v>
      </c>
      <c r="T254" s="14"/>
      <c r="U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88"/>
        <v>CarrosserieSalaires autres</v>
      </c>
      <c r="B255" s="12" t="s">
        <v>100</v>
      </c>
      <c r="C255" s="105" t="s">
        <v>44</v>
      </c>
      <c r="D255" s="107"/>
      <c r="E255" s="108"/>
      <c r="F255" s="31">
        <f>+SUM(START:END!F255)</f>
        <v>1388.39572743295</v>
      </c>
      <c r="G255" s="109"/>
      <c r="H255" s="108"/>
      <c r="I255" s="31">
        <f>+SUM(START:END!I255)</f>
        <v>1388.39572743295</v>
      </c>
      <c r="J255" s="110"/>
      <c r="K255" s="108"/>
      <c r="L255" s="111">
        <f>+SUM(START:END!L255)</f>
        <v>3.64</v>
      </c>
      <c r="M255" s="110"/>
      <c r="N255" s="112">
        <f t="shared" si="93"/>
        <v>-1384.7557274329499</v>
      </c>
      <c r="O255" s="110"/>
      <c r="P255" s="108"/>
      <c r="Q255" s="111">
        <f>+SUM(START:END!Q255)</f>
        <v>11082.49</v>
      </c>
      <c r="R255" s="110"/>
      <c r="S255" s="113">
        <f t="shared" ref="S255:S284" si="94">L255-Q255</f>
        <v>-11078.85</v>
      </c>
      <c r="T255" s="14"/>
      <c r="U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88"/>
        <v>CarrosserieSalaires spécialistes</v>
      </c>
      <c r="B256" s="12" t="s">
        <v>100</v>
      </c>
      <c r="C256" s="105" t="s">
        <v>45</v>
      </c>
      <c r="D256" s="82"/>
      <c r="E256" s="14"/>
      <c r="F256" s="31">
        <f>+SUM(START:END!F256)</f>
        <v>12706.896551724138</v>
      </c>
      <c r="G256" s="84"/>
      <c r="H256" s="14"/>
      <c r="I256" s="31">
        <f>+SUM(START:END!I256)</f>
        <v>12706.896551724138</v>
      </c>
      <c r="J256" s="42"/>
      <c r="K256" s="14"/>
      <c r="L256" s="34">
        <f>+SUM(START:END!L256)</f>
        <v>13973.01</v>
      </c>
      <c r="M256" s="42"/>
      <c r="N256" s="60">
        <f t="shared" si="93"/>
        <v>1266.1134482758625</v>
      </c>
      <c r="O256" s="42"/>
      <c r="P256" s="14"/>
      <c r="Q256" s="34">
        <f>+SUM(START:END!Q256)</f>
        <v>6984.73</v>
      </c>
      <c r="R256" s="42"/>
      <c r="S256" s="86">
        <f t="shared" si="94"/>
        <v>6988.2800000000007</v>
      </c>
      <c r="T256" s="14"/>
      <c r="U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88"/>
        <v>Carrosserie[...]</v>
      </c>
      <c r="B257" s="12" t="s">
        <v>100</v>
      </c>
      <c r="C257" s="30" t="s">
        <v>21</v>
      </c>
      <c r="D257" s="82"/>
      <c r="E257" s="14"/>
      <c r="F257" s="31">
        <f>+SUM(START:END!F257)</f>
        <v>0</v>
      </c>
      <c r="G257" s="84"/>
      <c r="H257" s="14"/>
      <c r="I257" s="31">
        <f>+SUM(START:END!I257)</f>
        <v>0</v>
      </c>
      <c r="J257" s="42"/>
      <c r="K257" s="14"/>
      <c r="L257" s="34">
        <f>+SUM(START:END!L257)</f>
        <v>0</v>
      </c>
      <c r="M257" s="42"/>
      <c r="N257" s="60">
        <f t="shared" si="93"/>
        <v>0</v>
      </c>
      <c r="O257" s="42"/>
      <c r="P257" s="14"/>
      <c r="Q257" s="34">
        <f>+SUM(START:END!Q257)</f>
        <v>0</v>
      </c>
      <c r="R257" s="42"/>
      <c r="S257" s="86">
        <f t="shared" si="94"/>
        <v>0</v>
      </c>
      <c r="T257" s="14"/>
      <c r="U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88"/>
        <v>Carrosserie[...]</v>
      </c>
      <c r="B258" s="12" t="s">
        <v>100</v>
      </c>
      <c r="C258" s="30" t="s">
        <v>21</v>
      </c>
      <c r="D258" s="82"/>
      <c r="E258" s="14"/>
      <c r="F258" s="31">
        <f>+SUM(START:END!F258)</f>
        <v>0</v>
      </c>
      <c r="G258" s="84"/>
      <c r="H258" s="14"/>
      <c r="I258" s="31">
        <f>+SUM(START:END!I258)</f>
        <v>0</v>
      </c>
      <c r="J258" s="42"/>
      <c r="K258" s="14"/>
      <c r="L258" s="34">
        <f>+SUM(START:END!L258)</f>
        <v>0</v>
      </c>
      <c r="M258" s="42"/>
      <c r="N258" s="60">
        <f t="shared" si="93"/>
        <v>0</v>
      </c>
      <c r="O258" s="42"/>
      <c r="P258" s="14"/>
      <c r="Q258" s="34">
        <f>+SUM(START:END!Q258)</f>
        <v>0</v>
      </c>
      <c r="R258" s="42"/>
      <c r="S258" s="86">
        <f t="shared" si="94"/>
        <v>0</v>
      </c>
      <c r="T258" s="14"/>
      <c r="U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88"/>
        <v>Carrosserie[...]</v>
      </c>
      <c r="B259" s="12" t="s">
        <v>100</v>
      </c>
      <c r="C259" s="30" t="s">
        <v>21</v>
      </c>
      <c r="D259" s="82"/>
      <c r="E259" s="14"/>
      <c r="F259" s="31">
        <f>+SUM(START:END!F259)</f>
        <v>0</v>
      </c>
      <c r="G259" s="84"/>
      <c r="H259" s="14"/>
      <c r="I259" s="31">
        <f>+SUM(START:END!I259)</f>
        <v>0</v>
      </c>
      <c r="J259" s="42"/>
      <c r="K259" s="14"/>
      <c r="L259" s="34">
        <f>+SUM(START:END!L259)</f>
        <v>0</v>
      </c>
      <c r="M259" s="42"/>
      <c r="N259" s="60">
        <f t="shared" si="93"/>
        <v>0</v>
      </c>
      <c r="O259" s="42"/>
      <c r="P259" s="14"/>
      <c r="Q259" s="34">
        <f>+SUM(START:END!Q259)</f>
        <v>0</v>
      </c>
      <c r="R259" s="42"/>
      <c r="S259" s="86">
        <f t="shared" si="94"/>
        <v>0</v>
      </c>
      <c r="T259" s="14"/>
      <c r="U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88"/>
        <v>CarrosserieSalaires en absences</v>
      </c>
      <c r="B260" s="12" t="s">
        <v>100</v>
      </c>
      <c r="C260" s="106" t="s">
        <v>46</v>
      </c>
      <c r="D260" s="82"/>
      <c r="E260" s="14"/>
      <c r="F260" s="26">
        <f>+SUM(START:END!F260)</f>
        <v>2029.7047165209701</v>
      </c>
      <c r="G260" s="84"/>
      <c r="H260" s="14"/>
      <c r="I260" s="26">
        <f>+SUM(START:END!I260)</f>
        <v>2029.7047165209701</v>
      </c>
      <c r="J260" s="42"/>
      <c r="K260" s="14"/>
      <c r="L260" s="34">
        <f>+SUM(START:END!L260)</f>
        <v>2460.9500000000003</v>
      </c>
      <c r="M260" s="42"/>
      <c r="N260" s="60">
        <f t="shared" si="93"/>
        <v>431.24528347903015</v>
      </c>
      <c r="O260" s="42"/>
      <c r="P260" s="14"/>
      <c r="Q260" s="34">
        <f>+SUM(START:END!Q260)</f>
        <v>936.76</v>
      </c>
      <c r="R260" s="42"/>
      <c r="S260" s="86">
        <f t="shared" si="94"/>
        <v>1524.1900000000003</v>
      </c>
      <c r="T260" s="14"/>
      <c r="U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88"/>
        <v>CarrosserieDéduction à la source</v>
      </c>
      <c r="B261" s="12" t="s">
        <v>100</v>
      </c>
      <c r="C261" s="105" t="s">
        <v>47</v>
      </c>
      <c r="D261" s="107"/>
      <c r="E261" s="108"/>
      <c r="F261" s="31">
        <f>+SUM(START:END!F261)</f>
        <v>1817.8086300065402</v>
      </c>
      <c r="G261" s="109"/>
      <c r="H261" s="108"/>
      <c r="I261" s="31">
        <f>+SUM(START:END!I261)</f>
        <v>1817.8086300065402</v>
      </c>
      <c r="J261" s="110"/>
      <c r="K261" s="108"/>
      <c r="L261" s="111">
        <f>+SUM(START:END!L261)</f>
        <v>5627.8</v>
      </c>
      <c r="M261" s="110"/>
      <c r="N261" s="112">
        <f t="shared" si="93"/>
        <v>3809.99136999346</v>
      </c>
      <c r="O261" s="110"/>
      <c r="P261" s="108"/>
      <c r="Q261" s="111">
        <f>+SUM(START:END!Q261)</f>
        <v>2423.16</v>
      </c>
      <c r="R261" s="110"/>
      <c r="S261" s="113">
        <f t="shared" si="94"/>
        <v>3204.6400000000003</v>
      </c>
      <c r="T261" s="14"/>
      <c r="U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88"/>
        <v>CarrosserieBénéfices marginaux</v>
      </c>
      <c r="B262" s="12" t="s">
        <v>100</v>
      </c>
      <c r="C262" s="105" t="s">
        <v>48</v>
      </c>
      <c r="D262" s="82"/>
      <c r="E262" s="14"/>
      <c r="F262" s="31">
        <f>+SUM(START:END!F262)</f>
        <v>1443.5539120640174</v>
      </c>
      <c r="G262" s="84"/>
      <c r="H262" s="14"/>
      <c r="I262" s="31">
        <f>+SUM(START:END!I262)</f>
        <v>1443.5539120640174</v>
      </c>
      <c r="J262" s="42"/>
      <c r="K262" s="14"/>
      <c r="L262" s="34">
        <f>+SUM(START:END!L262)</f>
        <v>4839.04</v>
      </c>
      <c r="M262" s="42"/>
      <c r="N262" s="60">
        <f t="shared" si="93"/>
        <v>3395.4860879359826</v>
      </c>
      <c r="O262" s="42"/>
      <c r="P262" s="14"/>
      <c r="Q262" s="34">
        <f>+SUM(START:END!Q262)</f>
        <v>1736.5900000000001</v>
      </c>
      <c r="R262" s="42"/>
      <c r="S262" s="86">
        <f t="shared" si="94"/>
        <v>3102.45</v>
      </c>
      <c r="T262" s="14"/>
      <c r="U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88"/>
        <v>CarrosserieCsst</v>
      </c>
      <c r="B263" s="12" t="s">
        <v>100</v>
      </c>
      <c r="C263" s="105" t="s">
        <v>49</v>
      </c>
      <c r="D263" s="82"/>
      <c r="E263" s="14"/>
      <c r="F263" s="31">
        <f>+SUM(START:END!F263)</f>
        <v>588.11455676682192</v>
      </c>
      <c r="G263" s="84"/>
      <c r="H263" s="14"/>
      <c r="I263" s="31">
        <f>+SUM(START:END!I263)</f>
        <v>588.11455676682192</v>
      </c>
      <c r="J263" s="42"/>
      <c r="K263" s="14"/>
      <c r="L263" s="34">
        <f>+SUM(START:END!L263)</f>
        <v>948.94999999999993</v>
      </c>
      <c r="M263" s="42"/>
      <c r="N263" s="60">
        <f t="shared" si="93"/>
        <v>360.83544323317801</v>
      </c>
      <c r="O263" s="42"/>
      <c r="P263" s="14"/>
      <c r="Q263" s="34">
        <f>+SUM(START:END!Q263)</f>
        <v>403.87</v>
      </c>
      <c r="R263" s="42"/>
      <c r="S263" s="86">
        <f t="shared" si="94"/>
        <v>545.07999999999993</v>
      </c>
      <c r="T263" s="14"/>
      <c r="U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88"/>
        <v>Carrosserie[...]</v>
      </c>
      <c r="B264" s="12" t="s">
        <v>100</v>
      </c>
      <c r="C264" s="30" t="s">
        <v>21</v>
      </c>
      <c r="D264" s="89"/>
      <c r="E264" s="114"/>
      <c r="F264" s="31">
        <f>+SUM(START:END!F264)</f>
        <v>0</v>
      </c>
      <c r="G264" s="91"/>
      <c r="H264" s="114"/>
      <c r="I264" s="31">
        <f>+SUM(START:END!I264)</f>
        <v>0</v>
      </c>
      <c r="J264" s="24"/>
      <c r="K264" s="114"/>
      <c r="L264" s="34">
        <f>+SUM(START:END!L264)</f>
        <v>0</v>
      </c>
      <c r="M264" s="24"/>
      <c r="N264" s="94">
        <f t="shared" si="93"/>
        <v>0</v>
      </c>
      <c r="O264" s="24"/>
      <c r="P264" s="114"/>
      <c r="Q264" s="34">
        <f>+SUM(START:END!Q264)</f>
        <v>0</v>
      </c>
      <c r="R264" s="24"/>
      <c r="S264" s="95">
        <f t="shared" si="94"/>
        <v>0</v>
      </c>
      <c r="T264" s="14"/>
      <c r="U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88"/>
        <v>CarrosserieTOTAL PERSONNEL</v>
      </c>
      <c r="B265" s="12" t="s">
        <v>100</v>
      </c>
      <c r="C265" s="96" t="s">
        <v>50</v>
      </c>
      <c r="D265" s="97" t="s">
        <v>40</v>
      </c>
      <c r="E265" s="98" t="e">
        <f>F265/F$243</f>
        <v>#DIV/0!</v>
      </c>
      <c r="F265" s="102">
        <f>+SUM(F253:F264)</f>
        <v>22549.86477804992</v>
      </c>
      <c r="G265" s="100" t="s">
        <v>40</v>
      </c>
      <c r="H265" s="98" t="e">
        <f>I265/I$243</f>
        <v>#DIV/0!</v>
      </c>
      <c r="I265" s="102">
        <f>+SUM(I253:I264)</f>
        <v>22549.86477804992</v>
      </c>
      <c r="J265" s="100" t="s">
        <v>40</v>
      </c>
      <c r="K265" s="98">
        <f>IF(L243=0,0,L265/L$243)</f>
        <v>0</v>
      </c>
      <c r="L265" s="99">
        <f>+SUM(L253:L264)</f>
        <v>31859.99</v>
      </c>
      <c r="M265" s="151"/>
      <c r="N265" s="116">
        <f t="shared" si="93"/>
        <v>9310.1252219500821</v>
      </c>
      <c r="O265" s="100" t="s">
        <v>40</v>
      </c>
      <c r="P265" s="98">
        <f>IF(Q243=0,0,Q265/Q$243)</f>
        <v>0</v>
      </c>
      <c r="Q265" s="99">
        <f>+SUM(Q253:Q264)</f>
        <v>27612.499999999996</v>
      </c>
      <c r="R265" s="151"/>
      <c r="S265" s="117">
        <f t="shared" si="94"/>
        <v>4247.4900000000052</v>
      </c>
      <c r="T265" s="14"/>
      <c r="U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88"/>
        <v>CarrosseriePublicité 2</v>
      </c>
      <c r="B266" s="12" t="s">
        <v>100</v>
      </c>
      <c r="C266" s="214" t="s">
        <v>51</v>
      </c>
      <c r="D266" s="82"/>
      <c r="E266" s="14"/>
      <c r="F266" s="31">
        <f>+SUM(START:END!F266)</f>
        <v>0</v>
      </c>
      <c r="G266" s="84"/>
      <c r="H266" s="14"/>
      <c r="I266" s="31">
        <f>+SUM(START:END!I266)</f>
        <v>0</v>
      </c>
      <c r="J266" s="42"/>
      <c r="K266" s="14"/>
      <c r="L266" s="34">
        <f>+SUM(START:END!L266)</f>
        <v>60.76</v>
      </c>
      <c r="M266" s="42"/>
      <c r="N266" s="60">
        <f t="shared" si="93"/>
        <v>60.76</v>
      </c>
      <c r="O266" s="42"/>
      <c r="P266" s="14"/>
      <c r="Q266" s="34">
        <f>+SUM(START:END!Q266)</f>
        <v>0.27</v>
      </c>
      <c r="R266" s="42"/>
      <c r="S266" s="86">
        <f t="shared" si="94"/>
        <v>60.489999999999995</v>
      </c>
      <c r="T266" s="14"/>
      <c r="U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88"/>
        <v>CarrosserieService gratuit 2</v>
      </c>
      <c r="B267" s="12" t="s">
        <v>100</v>
      </c>
      <c r="C267" s="105" t="s">
        <v>52</v>
      </c>
      <c r="D267" s="82"/>
      <c r="E267" s="14"/>
      <c r="F267" s="31">
        <f>+SUM(START:END!F267)</f>
        <v>948.13332574841093</v>
      </c>
      <c r="G267" s="84"/>
      <c r="H267" s="14"/>
      <c r="I267" s="31">
        <f>+SUM(START:END!I267)</f>
        <v>948.13332574841093</v>
      </c>
      <c r="J267" s="42"/>
      <c r="K267" s="14"/>
      <c r="L267" s="34">
        <f>+SUM(START:END!L267)</f>
        <v>616.49</v>
      </c>
      <c r="M267" s="42"/>
      <c r="N267" s="60">
        <f t="shared" si="93"/>
        <v>-331.64332574841092</v>
      </c>
      <c r="O267" s="42"/>
      <c r="P267" s="14"/>
      <c r="Q267" s="34">
        <f>+SUM(START:END!Q267)</f>
        <v>610.5</v>
      </c>
      <c r="R267" s="42"/>
      <c r="S267" s="86">
        <f t="shared" si="94"/>
        <v>5.9900000000000091</v>
      </c>
      <c r="T267" s="14"/>
      <c r="U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88"/>
        <v>CarrosserieFrais véhicules de cie</v>
      </c>
      <c r="B268" s="12" t="s">
        <v>100</v>
      </c>
      <c r="C268" s="106" t="s">
        <v>53</v>
      </c>
      <c r="D268" s="89"/>
      <c r="E268" s="114"/>
      <c r="F268" s="26">
        <f>+SUM(START:END!F268)</f>
        <v>1139.82</v>
      </c>
      <c r="G268" s="91"/>
      <c r="H268" s="114"/>
      <c r="I268" s="26">
        <f>+SUM(START:END!I268)</f>
        <v>1139.82</v>
      </c>
      <c r="J268" s="24"/>
      <c r="K268" s="114"/>
      <c r="L268" s="34">
        <f>+SUM(START:END!L268)</f>
        <v>1114.83</v>
      </c>
      <c r="M268" s="24"/>
      <c r="N268" s="94">
        <f t="shared" si="93"/>
        <v>-24.990000000000009</v>
      </c>
      <c r="O268" s="24"/>
      <c r="P268" s="114"/>
      <c r="Q268" s="34">
        <f>+SUM(START:END!Q268)</f>
        <v>1870.3400000000001</v>
      </c>
      <c r="R268" s="24"/>
      <c r="S268" s="95">
        <f t="shared" si="94"/>
        <v>-755.51000000000022</v>
      </c>
      <c r="T268" s="14"/>
      <c r="U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88"/>
        <v>CarrosserieInformatique</v>
      </c>
      <c r="B269" s="12" t="s">
        <v>100</v>
      </c>
      <c r="C269" s="105" t="s">
        <v>54</v>
      </c>
      <c r="D269" s="82"/>
      <c r="E269" s="14"/>
      <c r="F269" s="31">
        <f>+SUM(START:END!F269)</f>
        <v>3940.2595925000001</v>
      </c>
      <c r="G269" s="84"/>
      <c r="H269" s="14"/>
      <c r="I269" s="31">
        <f>+SUM(START:END!I269)</f>
        <v>3940.2595925000001</v>
      </c>
      <c r="J269" s="42"/>
      <c r="K269" s="14"/>
      <c r="L269" s="111">
        <f>+SUM(START:END!L269)</f>
        <v>4234.22</v>
      </c>
      <c r="M269" s="42"/>
      <c r="N269" s="60">
        <f t="shared" si="93"/>
        <v>293.9604075000002</v>
      </c>
      <c r="O269" s="42"/>
      <c r="P269" s="14"/>
      <c r="Q269" s="111">
        <f>+SUM(START:END!Q269)</f>
        <v>3886.8900000000003</v>
      </c>
      <c r="R269" s="42"/>
      <c r="S269" s="86">
        <f t="shared" si="94"/>
        <v>347.32999999999993</v>
      </c>
      <c r="T269" s="14"/>
      <c r="U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88"/>
        <v>CarrosserieFrais de déplacement</v>
      </c>
      <c r="B270" s="12" t="s">
        <v>100</v>
      </c>
      <c r="C270" s="105" t="s">
        <v>55</v>
      </c>
      <c r="D270" s="82"/>
      <c r="E270" s="14"/>
      <c r="F270" s="31">
        <f>+SUM(START:END!F270)</f>
        <v>519.84305625000013</v>
      </c>
      <c r="G270" s="84"/>
      <c r="H270" s="14"/>
      <c r="I270" s="31">
        <f>+SUM(START:END!I270)</f>
        <v>519.84305625000013</v>
      </c>
      <c r="J270" s="42"/>
      <c r="K270" s="14"/>
      <c r="L270" s="34">
        <f>+SUM(START:END!L270)</f>
        <v>822.64</v>
      </c>
      <c r="M270" s="42"/>
      <c r="N270" s="60">
        <f t="shared" si="93"/>
        <v>302.79694374999985</v>
      </c>
      <c r="O270" s="42"/>
      <c r="P270" s="14"/>
      <c r="Q270" s="34">
        <f>+SUM(START:END!Q270)</f>
        <v>313.84000000000003</v>
      </c>
      <c r="R270" s="42"/>
      <c r="S270" s="86">
        <f t="shared" si="94"/>
        <v>508.79999999999995</v>
      </c>
      <c r="T270" s="14"/>
      <c r="U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88"/>
        <v>CarrosserieServices extérieurs</v>
      </c>
      <c r="B271" s="12" t="s">
        <v>100</v>
      </c>
      <c r="C271" s="105" t="s">
        <v>56</v>
      </c>
      <c r="D271" s="89"/>
      <c r="E271" s="114"/>
      <c r="F271" s="26">
        <f>+SUM(START:END!F271)</f>
        <v>2614.4017666666668</v>
      </c>
      <c r="G271" s="91"/>
      <c r="H271" s="114"/>
      <c r="I271" s="26">
        <f>+SUM(START:END!I271)</f>
        <v>2614.4017666666668</v>
      </c>
      <c r="J271" s="24"/>
      <c r="K271" s="114"/>
      <c r="L271" s="34">
        <f>+SUM(START:END!L271)</f>
        <v>1653.46</v>
      </c>
      <c r="M271" s="24"/>
      <c r="N271" s="94">
        <f t="shared" si="93"/>
        <v>-960.94176666666681</v>
      </c>
      <c r="O271" s="24"/>
      <c r="P271" s="114"/>
      <c r="Q271" s="34">
        <f>+SUM(START:END!Q271)</f>
        <v>2169.9700000000003</v>
      </c>
      <c r="R271" s="24"/>
      <c r="S271" s="95">
        <f t="shared" si="94"/>
        <v>-516.51000000000022</v>
      </c>
      <c r="T271" s="14"/>
      <c r="U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88"/>
        <v>CarrosserieFournitures d'atelier</v>
      </c>
      <c r="B272" s="12" t="s">
        <v>100</v>
      </c>
      <c r="C272" s="215" t="s">
        <v>99</v>
      </c>
      <c r="D272" s="82"/>
      <c r="E272" s="14"/>
      <c r="F272" s="31">
        <f>+SUM(START:END!F272)</f>
        <v>0</v>
      </c>
      <c r="G272" s="84"/>
      <c r="H272" s="14"/>
      <c r="I272" s="31">
        <f>+SUM(START:END!I272)</f>
        <v>0</v>
      </c>
      <c r="J272" s="42"/>
      <c r="K272" s="14"/>
      <c r="L272" s="56">
        <f>+SUM(START:END!L272)</f>
        <v>0</v>
      </c>
      <c r="M272" s="42"/>
      <c r="N272" s="60">
        <f t="shared" si="93"/>
        <v>0</v>
      </c>
      <c r="O272" s="42"/>
      <c r="P272" s="14"/>
      <c r="Q272" s="56">
        <f>+SUM(START:END!Q272)</f>
        <v>0</v>
      </c>
      <c r="R272" s="42"/>
      <c r="S272" s="86">
        <f t="shared" si="94"/>
        <v>0</v>
      </c>
      <c r="T272" s="14"/>
      <c r="U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88"/>
        <v>CarrosserieFournitures autres</v>
      </c>
      <c r="B273" s="12" t="s">
        <v>100</v>
      </c>
      <c r="C273" s="105" t="s">
        <v>57</v>
      </c>
      <c r="D273" s="82"/>
      <c r="E273" s="14"/>
      <c r="F273" s="31">
        <f>+SUM(START:END!F273)</f>
        <v>296.69411528651915</v>
      </c>
      <c r="G273" s="84"/>
      <c r="H273" s="14"/>
      <c r="I273" s="31">
        <f>+SUM(START:END!I273)</f>
        <v>296.69411528651915</v>
      </c>
      <c r="J273" s="42"/>
      <c r="K273" s="14"/>
      <c r="L273" s="34">
        <f>+SUM(START:END!L273)</f>
        <v>0</v>
      </c>
      <c r="M273" s="42"/>
      <c r="N273" s="60">
        <f t="shared" si="93"/>
        <v>-296.69411528651915</v>
      </c>
      <c r="O273" s="42"/>
      <c r="P273" s="14"/>
      <c r="Q273" s="34">
        <f>+SUM(START:END!Q273)</f>
        <v>137.13</v>
      </c>
      <c r="R273" s="42"/>
      <c r="S273" s="86">
        <f t="shared" si="94"/>
        <v>-137.13</v>
      </c>
      <c r="T273" s="14"/>
      <c r="U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88"/>
        <v>CarrosserieUniformes</v>
      </c>
      <c r="B274" s="12" t="s">
        <v>100</v>
      </c>
      <c r="C274" s="105" t="s">
        <v>58</v>
      </c>
      <c r="D274" s="82"/>
      <c r="E274" s="14"/>
      <c r="F274" s="31">
        <f>+SUM(START:END!F274)</f>
        <v>157.65545343306846</v>
      </c>
      <c r="G274" s="84"/>
      <c r="H274" s="14"/>
      <c r="I274" s="31">
        <f>+SUM(START:END!I274)</f>
        <v>157.65545343306846</v>
      </c>
      <c r="J274" s="42"/>
      <c r="K274" s="14"/>
      <c r="L274" s="34">
        <f>+SUM(START:END!L274)</f>
        <v>0</v>
      </c>
      <c r="M274" s="42"/>
      <c r="N274" s="60">
        <f t="shared" si="93"/>
        <v>-157.65545343306846</v>
      </c>
      <c r="O274" s="42"/>
      <c r="P274" s="14"/>
      <c r="Q274" s="34">
        <f>+SUM(START:END!Q274)</f>
        <v>0</v>
      </c>
      <c r="R274" s="42"/>
      <c r="S274" s="86">
        <f t="shared" si="94"/>
        <v>0</v>
      </c>
      <c r="T274" s="14"/>
      <c r="U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88"/>
        <v>CarrosseriePapeterie</v>
      </c>
      <c r="B275" s="12" t="s">
        <v>100</v>
      </c>
      <c r="C275" s="105" t="s">
        <v>59</v>
      </c>
      <c r="D275" s="82"/>
      <c r="E275" s="14"/>
      <c r="F275" s="31">
        <f>+SUM(START:END!F275)</f>
        <v>428.44221000000005</v>
      </c>
      <c r="G275" s="84"/>
      <c r="H275" s="14"/>
      <c r="I275" s="31">
        <f>+SUM(START:END!I275)</f>
        <v>428.44221000000005</v>
      </c>
      <c r="J275" s="42"/>
      <c r="K275" s="14"/>
      <c r="L275" s="33">
        <f>+SUM(START:END!L275)</f>
        <v>413.95000000000005</v>
      </c>
      <c r="M275" s="42"/>
      <c r="N275" s="60">
        <f t="shared" si="93"/>
        <v>-14.49221</v>
      </c>
      <c r="O275" s="42"/>
      <c r="P275" s="14"/>
      <c r="Q275" s="33">
        <f>+SUM(START:END!Q275)</f>
        <v>387.01</v>
      </c>
      <c r="R275" s="42"/>
      <c r="S275" s="86">
        <f t="shared" si="94"/>
        <v>26.940000000000055</v>
      </c>
      <c r="T275" s="14"/>
      <c r="U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88"/>
        <v>CarrosserieTéléphone</v>
      </c>
      <c r="B276" s="12" t="s">
        <v>100</v>
      </c>
      <c r="C276" s="105" t="s">
        <v>60</v>
      </c>
      <c r="D276" s="82"/>
      <c r="E276" s="14"/>
      <c r="F276" s="31">
        <f>+SUM(START:END!F276)</f>
        <v>197.83609562500004</v>
      </c>
      <c r="G276" s="84"/>
      <c r="H276" s="14"/>
      <c r="I276" s="31">
        <f>+SUM(START:END!I276)</f>
        <v>197.83609562500004</v>
      </c>
      <c r="J276" s="42"/>
      <c r="K276" s="14"/>
      <c r="L276" s="34">
        <f>+SUM(START:END!L276)</f>
        <v>91.64</v>
      </c>
      <c r="M276" s="42"/>
      <c r="N276" s="60">
        <f t="shared" si="93"/>
        <v>-106.19609562500004</v>
      </c>
      <c r="O276" s="42"/>
      <c r="P276" s="14"/>
      <c r="Q276" s="34">
        <f>+SUM(START:END!Q276)</f>
        <v>154.05000000000001</v>
      </c>
      <c r="R276" s="42"/>
      <c r="S276" s="86">
        <f t="shared" si="94"/>
        <v>-62.410000000000011</v>
      </c>
      <c r="T276" s="14"/>
      <c r="U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88"/>
        <v>CarrosserieFrais postaux</v>
      </c>
      <c r="B277" s="12" t="s">
        <v>100</v>
      </c>
      <c r="C277" s="105" t="s">
        <v>61</v>
      </c>
      <c r="D277" s="82"/>
      <c r="E277" s="14"/>
      <c r="F277" s="31">
        <f>+SUM(START:END!F277)</f>
        <v>105.60182937499999</v>
      </c>
      <c r="G277" s="84"/>
      <c r="H277" s="14"/>
      <c r="I277" s="31">
        <f>+SUM(START:END!I277)</f>
        <v>105.60182937499999</v>
      </c>
      <c r="J277" s="42"/>
      <c r="K277" s="14"/>
      <c r="L277" s="34">
        <f>+SUM(START:END!L277)</f>
        <v>84.54</v>
      </c>
      <c r="M277" s="42"/>
      <c r="N277" s="60">
        <f t="shared" si="93"/>
        <v>-21.061829374999988</v>
      </c>
      <c r="O277" s="42"/>
      <c r="P277" s="14"/>
      <c r="Q277" s="34">
        <f>+SUM(START:END!Q277)</f>
        <v>96.24</v>
      </c>
      <c r="R277" s="42"/>
      <c r="S277" s="86">
        <f t="shared" si="94"/>
        <v>-11.699999999999989</v>
      </c>
      <c r="T277" s="14"/>
      <c r="U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88"/>
        <v>CarrosserieDivers</v>
      </c>
      <c r="B278" s="12" t="s">
        <v>100</v>
      </c>
      <c r="C278" s="105" t="s">
        <v>62</v>
      </c>
      <c r="D278" s="82"/>
      <c r="E278" s="14"/>
      <c r="F278" s="31">
        <f>+SUM(START:END!F278)</f>
        <v>509.40329562499994</v>
      </c>
      <c r="G278" s="84"/>
      <c r="H278" s="14"/>
      <c r="I278" s="31">
        <f>+SUM(START:END!I278)</f>
        <v>509.40329562499994</v>
      </c>
      <c r="J278" s="42"/>
      <c r="K278" s="14"/>
      <c r="L278" s="34">
        <f>+SUM(START:END!L278)</f>
        <v>312.06</v>
      </c>
      <c r="M278" s="42"/>
      <c r="N278" s="60">
        <f t="shared" si="93"/>
        <v>-197.34329562499994</v>
      </c>
      <c r="O278" s="42"/>
      <c r="P278" s="14"/>
      <c r="Q278" s="34">
        <f>+SUM(START:END!Q278)</f>
        <v>582.08000000000004</v>
      </c>
      <c r="R278" s="42"/>
      <c r="S278" s="86">
        <f t="shared" si="94"/>
        <v>-270.02000000000004</v>
      </c>
      <c r="T278" s="14"/>
      <c r="U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88"/>
        <v>CarrosserieFormation</v>
      </c>
      <c r="B279" s="12" t="s">
        <v>100</v>
      </c>
      <c r="C279" s="105" t="s">
        <v>63</v>
      </c>
      <c r="D279" s="82"/>
      <c r="E279" s="14"/>
      <c r="F279" s="31">
        <f>+SUM(START:END!F279)</f>
        <v>756.82442500000002</v>
      </c>
      <c r="G279" s="84"/>
      <c r="H279" s="14"/>
      <c r="I279" s="31">
        <f>+SUM(START:END!I279)</f>
        <v>756.82442500000002</v>
      </c>
      <c r="J279" s="42"/>
      <c r="K279" s="14"/>
      <c r="L279" s="34">
        <f>+SUM(START:END!L279)</f>
        <v>155.35</v>
      </c>
      <c r="M279" s="42"/>
      <c r="N279" s="60">
        <f t="shared" si="93"/>
        <v>-601.474425</v>
      </c>
      <c r="O279" s="42"/>
      <c r="P279" s="14"/>
      <c r="Q279" s="34">
        <f>+SUM(START:END!Q279)</f>
        <v>158.60000000000002</v>
      </c>
      <c r="R279" s="42"/>
      <c r="S279" s="86">
        <f t="shared" si="94"/>
        <v>-3.2500000000000284</v>
      </c>
      <c r="T279" s="14"/>
      <c r="U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88"/>
        <v>CarrosserieFrais bancaires</v>
      </c>
      <c r="B280" s="12" t="s">
        <v>100</v>
      </c>
      <c r="C280" s="105" t="s">
        <v>64</v>
      </c>
      <c r="D280" s="82"/>
      <c r="E280" s="14"/>
      <c r="F280" s="31">
        <f>+SUM(START:END!F280)</f>
        <v>1838.5925960508964</v>
      </c>
      <c r="G280" s="84"/>
      <c r="H280" s="14"/>
      <c r="I280" s="31">
        <f>+SUM(START:END!I280)</f>
        <v>1838.5925960508964</v>
      </c>
      <c r="J280" s="42"/>
      <c r="K280" s="14"/>
      <c r="L280" s="34">
        <f>+SUM(START:END!L280)</f>
        <v>638.99450000000002</v>
      </c>
      <c r="M280" s="42"/>
      <c r="N280" s="60">
        <f t="shared" si="93"/>
        <v>-1199.5980960508964</v>
      </c>
      <c r="O280" s="42"/>
      <c r="P280" s="14"/>
      <c r="Q280" s="34">
        <f>+SUM(START:END!Q280)</f>
        <v>570.14300000000003</v>
      </c>
      <c r="R280" s="42"/>
      <c r="S280" s="86">
        <f t="shared" si="94"/>
        <v>68.851499999999987</v>
      </c>
      <c r="T280" s="14"/>
      <c r="U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88"/>
        <v>Carrosserie[...]</v>
      </c>
      <c r="B281" s="12" t="s">
        <v>100</v>
      </c>
      <c r="C281" s="105" t="s">
        <v>21</v>
      </c>
      <c r="D281" s="82"/>
      <c r="E281" s="14"/>
      <c r="F281" s="31">
        <f>+SUM(START:END!F281)</f>
        <v>0</v>
      </c>
      <c r="G281" s="84"/>
      <c r="H281" s="14"/>
      <c r="I281" s="31">
        <f>+SUM(START:END!I281)</f>
        <v>0</v>
      </c>
      <c r="J281" s="42"/>
      <c r="K281" s="14"/>
      <c r="L281" s="34">
        <f>+SUM(START:END!L281)</f>
        <v>0</v>
      </c>
      <c r="M281" s="42"/>
      <c r="N281" s="60">
        <f t="shared" si="93"/>
        <v>0</v>
      </c>
      <c r="O281" s="42"/>
      <c r="P281" s="14"/>
      <c r="Q281" s="34">
        <f>+SUM(START:END!Q281)</f>
        <v>0</v>
      </c>
      <c r="R281" s="42"/>
      <c r="S281" s="86">
        <f t="shared" si="94"/>
        <v>0</v>
      </c>
      <c r="T281" s="14"/>
      <c r="U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88"/>
        <v>Carrosserie[...]</v>
      </c>
      <c r="B282" s="12" t="s">
        <v>100</v>
      </c>
      <c r="C282" s="105" t="s">
        <v>21</v>
      </c>
      <c r="D282" s="82"/>
      <c r="E282" s="14"/>
      <c r="F282" s="31">
        <f>+SUM(START:END!F282)</f>
        <v>0</v>
      </c>
      <c r="G282" s="84"/>
      <c r="H282" s="14"/>
      <c r="I282" s="31">
        <f>+SUM(START:END!I282)</f>
        <v>0</v>
      </c>
      <c r="J282" s="42"/>
      <c r="K282" s="14"/>
      <c r="L282" s="34">
        <f>+SUM(START:END!L282)</f>
        <v>0</v>
      </c>
      <c r="M282" s="42"/>
      <c r="N282" s="60">
        <f t="shared" si="93"/>
        <v>0</v>
      </c>
      <c r="O282" s="42"/>
      <c r="P282" s="14"/>
      <c r="Q282" s="34">
        <f>+SUM(START:END!Q282)</f>
        <v>0</v>
      </c>
      <c r="R282" s="42"/>
      <c r="S282" s="86">
        <f t="shared" si="94"/>
        <v>0</v>
      </c>
      <c r="T282" s="14"/>
      <c r="U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88"/>
        <v>Carrosserie[...]</v>
      </c>
      <c r="B283" s="12" t="s">
        <v>100</v>
      </c>
      <c r="C283" s="105" t="s">
        <v>21</v>
      </c>
      <c r="D283" s="82"/>
      <c r="E283" s="14"/>
      <c r="F283" s="31">
        <f>+SUM(START:END!F283)</f>
        <v>0</v>
      </c>
      <c r="G283" s="84"/>
      <c r="H283" s="14"/>
      <c r="I283" s="31">
        <f>+SUM(START:END!I283)</f>
        <v>0</v>
      </c>
      <c r="J283" s="42"/>
      <c r="K283" s="14"/>
      <c r="L283" s="34">
        <f>+SUM(START:END!L283)</f>
        <v>0</v>
      </c>
      <c r="M283" s="42"/>
      <c r="N283" s="60">
        <f t="shared" si="93"/>
        <v>0</v>
      </c>
      <c r="O283" s="42"/>
      <c r="P283" s="14"/>
      <c r="Q283" s="34">
        <f>+SUM(START:END!Q283)</f>
        <v>0</v>
      </c>
      <c r="R283" s="42"/>
      <c r="S283" s="86">
        <f t="shared" si="94"/>
        <v>0</v>
      </c>
      <c r="T283" s="14"/>
      <c r="U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6" t="s">
        <v>65</v>
      </c>
      <c r="D284" s="97" t="s">
        <v>40</v>
      </c>
      <c r="E284" s="98">
        <f>F284/F$249</f>
        <v>0.222685994289883</v>
      </c>
      <c r="F284" s="102">
        <f>+SUM(F266:F283)</f>
        <v>13453.507761560561</v>
      </c>
      <c r="G284" s="100" t="s">
        <v>40</v>
      </c>
      <c r="H284" s="98">
        <f>I284/I$249</f>
        <v>0.222685994289883</v>
      </c>
      <c r="I284" s="102">
        <f>+SUM(I266:I283)</f>
        <v>13453.507761560561</v>
      </c>
      <c r="J284" s="100" t="s">
        <v>40</v>
      </c>
      <c r="K284" s="98">
        <f>L284/L$249</f>
        <v>0.14384216468404665</v>
      </c>
      <c r="L284" s="99">
        <f>+SUM(L266:L283)</f>
        <v>10198.934500000003</v>
      </c>
      <c r="M284" s="103"/>
      <c r="N284" s="99">
        <f>+SUM(N266:N283)</f>
        <v>-3254.5732615605611</v>
      </c>
      <c r="O284" s="100" t="s">
        <v>40</v>
      </c>
      <c r="P284" s="98">
        <f>Q284/Q$249</f>
        <v>0.27037345040466793</v>
      </c>
      <c r="Q284" s="99">
        <f>+SUM(Q266:Q283)</f>
        <v>10937.063</v>
      </c>
      <c r="R284" s="103"/>
      <c r="S284" s="104">
        <f t="shared" si="94"/>
        <v>-738.12849999999708</v>
      </c>
      <c r="T284" s="77"/>
      <c r="U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4"/>
      <c r="F285" s="442"/>
      <c r="G285" s="91"/>
      <c r="H285" s="114"/>
      <c r="I285" s="442"/>
      <c r="J285" s="24"/>
      <c r="K285" s="114"/>
      <c r="L285" s="94"/>
      <c r="M285" s="24"/>
      <c r="N285" s="94"/>
      <c r="O285" s="24"/>
      <c r="P285" s="114"/>
      <c r="Q285" s="94"/>
      <c r="R285" s="24"/>
      <c r="S285" s="95"/>
      <c r="T285" s="77"/>
      <c r="U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6" t="s">
        <v>66</v>
      </c>
      <c r="D286" s="97" t="s">
        <v>40</v>
      </c>
      <c r="E286" s="98">
        <f>F286/F$249</f>
        <v>0.59593727924844442</v>
      </c>
      <c r="F286" s="102">
        <f>F265+F284</f>
        <v>36003.372539610478</v>
      </c>
      <c r="G286" s="100" t="s">
        <v>40</v>
      </c>
      <c r="H286" s="98">
        <f>I286/I$249</f>
        <v>0.59593727924844442</v>
      </c>
      <c r="I286" s="102">
        <f>I265+I284</f>
        <v>36003.372539610478</v>
      </c>
      <c r="J286" s="100" t="s">
        <v>40</v>
      </c>
      <c r="K286" s="98">
        <f>L286/L$249</f>
        <v>0.59318419432568015</v>
      </c>
      <c r="L286" s="99">
        <f>L265+L284</f>
        <v>42058.924500000008</v>
      </c>
      <c r="M286" s="103"/>
      <c r="N286" s="116">
        <f t="shared" ref="N286:N288" si="95">L286-I286</f>
        <v>6055.55196038953</v>
      </c>
      <c r="O286" s="100" t="s">
        <v>40</v>
      </c>
      <c r="P286" s="98">
        <f>Q286/Q$249</f>
        <v>0.95297781131023207</v>
      </c>
      <c r="Q286" s="99">
        <f>Q265+Q284</f>
        <v>38549.562999999995</v>
      </c>
      <c r="R286" s="103"/>
      <c r="S286" s="117">
        <f>L286-Q286</f>
        <v>3509.3615000000136</v>
      </c>
      <c r="T286" s="77"/>
      <c r="U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30"/>
      <c r="D287" s="82"/>
      <c r="E287" s="14"/>
      <c r="F287" s="442"/>
      <c r="G287" s="84"/>
      <c r="H287" s="14"/>
      <c r="I287" s="60"/>
      <c r="J287" s="42"/>
      <c r="K287" s="14"/>
      <c r="L287" s="60"/>
      <c r="M287" s="42"/>
      <c r="N287" s="60">
        <f t="shared" si="95"/>
        <v>0</v>
      </c>
      <c r="O287" s="42"/>
      <c r="P287" s="14"/>
      <c r="Q287" s="60"/>
      <c r="R287" s="42"/>
      <c r="S287" s="86"/>
      <c r="T287" s="14"/>
      <c r="U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27" t="s">
        <v>73</v>
      </c>
      <c r="D288" s="156"/>
      <c r="E288" s="128"/>
      <c r="F288" s="448">
        <f>F249-F286</f>
        <v>24411.328458815879</v>
      </c>
      <c r="G288" s="157"/>
      <c r="H288" s="128"/>
      <c r="I288" s="130">
        <f>I249-I286</f>
        <v>24411.328458815879</v>
      </c>
      <c r="J288" s="158"/>
      <c r="K288" s="129"/>
      <c r="L288" s="130">
        <f>L249-L286</f>
        <v>28844.725499999986</v>
      </c>
      <c r="M288" s="158"/>
      <c r="N288" s="130">
        <f t="shared" si="95"/>
        <v>4433.3970411841074</v>
      </c>
      <c r="O288" s="158"/>
      <c r="P288" s="129"/>
      <c r="Q288" s="130">
        <f>Q249-Q286</f>
        <v>1902.1270000000004</v>
      </c>
      <c r="R288" s="158"/>
      <c r="S288" s="132">
        <f>L288-Q288</f>
        <v>26942.598499999986</v>
      </c>
      <c r="T288" s="77"/>
      <c r="U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Conso</v>
      </c>
      <c r="D290" s="2"/>
      <c r="E290" s="2"/>
      <c r="F290" s="2"/>
      <c r="G290" s="2"/>
      <c r="H290" s="1"/>
      <c r="I290" s="1"/>
      <c r="J290" s="1"/>
      <c r="K290" s="3" t="s">
        <v>104</v>
      </c>
      <c r="L290" s="2"/>
      <c r="M290" s="2"/>
      <c r="N290" s="1"/>
      <c r="O290" s="1"/>
      <c r="P290" s="2"/>
      <c r="Q290" s="1"/>
      <c r="R290" s="2"/>
      <c r="S290" s="5" t="str">
        <f>$S$1</f>
        <v>Réalisé  Volks T2 2022</v>
      </c>
      <c r="T290" s="14"/>
      <c r="U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896" t="s">
        <v>5</v>
      </c>
      <c r="E292" s="897"/>
      <c r="F292" s="898"/>
      <c r="G292" s="894" t="s">
        <v>75</v>
      </c>
      <c r="H292" s="897"/>
      <c r="I292" s="898"/>
      <c r="J292" s="894" t="s">
        <v>7</v>
      </c>
      <c r="K292" s="897"/>
      <c r="L292" s="898"/>
      <c r="M292" s="894" t="s">
        <v>8</v>
      </c>
      <c r="N292" s="898"/>
      <c r="O292" s="896" t="s">
        <v>9</v>
      </c>
      <c r="P292" s="897"/>
      <c r="Q292" s="898"/>
      <c r="R292" s="894" t="s">
        <v>10</v>
      </c>
      <c r="S292" s="895"/>
      <c r="T292" s="14"/>
      <c r="U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96">+B293&amp;C293</f>
        <v>Pièces</v>
      </c>
      <c r="B293" s="12" t="s">
        <v>104</v>
      </c>
      <c r="C293" s="30"/>
      <c r="D293" s="81" t="s">
        <v>85</v>
      </c>
      <c r="E293" s="81" t="s">
        <v>105</v>
      </c>
      <c r="F293" s="137" t="s">
        <v>13</v>
      </c>
      <c r="G293" s="138" t="s">
        <v>85</v>
      </c>
      <c r="H293" s="81" t="s">
        <v>105</v>
      </c>
      <c r="I293" s="137" t="s">
        <v>13</v>
      </c>
      <c r="J293" s="138" t="s">
        <v>85</v>
      </c>
      <c r="K293" s="81" t="s">
        <v>105</v>
      </c>
      <c r="L293" s="137" t="s">
        <v>13</v>
      </c>
      <c r="M293" s="138" t="s">
        <v>41</v>
      </c>
      <c r="N293" s="137" t="s">
        <v>13</v>
      </c>
      <c r="O293" s="81" t="s">
        <v>85</v>
      </c>
      <c r="P293" s="81" t="s">
        <v>105</v>
      </c>
      <c r="Q293" s="137" t="s">
        <v>13</v>
      </c>
      <c r="R293" s="138" t="s">
        <v>86</v>
      </c>
      <c r="S293" s="139" t="s">
        <v>13</v>
      </c>
      <c r="T293" s="14"/>
      <c r="U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96"/>
        <v>PiècesPièces Ro Clients</v>
      </c>
      <c r="B294" s="12" t="s">
        <v>104</v>
      </c>
      <c r="C294" s="30" t="s">
        <v>106</v>
      </c>
      <c r="D294" s="83">
        <f>+SUM(START:END!D294)</f>
        <v>258097.12977630616</v>
      </c>
      <c r="E294" s="152">
        <f>IF(D294=0,0,F294/D294)</f>
        <v>0.35811007851031501</v>
      </c>
      <c r="F294" s="86">
        <f>+SUM(START:END!F294)</f>
        <v>92427.183407479955</v>
      </c>
      <c r="G294" s="83">
        <f>+SUM(START:END!G294)</f>
        <v>258097.12977630616</v>
      </c>
      <c r="H294" s="152">
        <f>IF(G294=0,0,I294/G294)</f>
        <v>0.35811007851031501</v>
      </c>
      <c r="I294" s="86">
        <f>+SUM(START:END!I294)</f>
        <v>92427.183407479955</v>
      </c>
      <c r="J294" s="31">
        <f>+SUM(START:END!J294)</f>
        <v>244417.95</v>
      </c>
      <c r="K294" s="152">
        <f>IF(J294=0,0,L294/J294)</f>
        <v>0.35654893595171716</v>
      </c>
      <c r="L294" s="34">
        <f>+SUM(START:END!L294)</f>
        <v>87146.96</v>
      </c>
      <c r="M294" s="161">
        <f t="shared" ref="M294:M300" si="97">(+J294-G294)/G294</f>
        <v>-5.3000123589758433E-2</v>
      </c>
      <c r="N294" s="60">
        <f t="shared" ref="N294:N303" si="98">L294-I294</f>
        <v>-5280.2234074799489</v>
      </c>
      <c r="O294" s="31">
        <f>+SUM(START:END!O294)</f>
        <v>212972.33999999997</v>
      </c>
      <c r="P294" s="152">
        <f>IF(O294=0,0,Q294/O294)</f>
        <v>0.36704578632135987</v>
      </c>
      <c r="Q294" s="34">
        <f>+SUM(START:END!Q294)</f>
        <v>78170.599999999991</v>
      </c>
      <c r="R294" s="161">
        <f>IF(O294=0,0,(J294-O294)/O294)</f>
        <v>0.14765114568398904</v>
      </c>
      <c r="S294" s="86">
        <f t="shared" ref="S294:S303" si="99">L294-Q294</f>
        <v>8976.3600000000151</v>
      </c>
      <c r="T294" s="14"/>
      <c r="U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96"/>
        <v>PiècesPièces Ro Carrosserie</v>
      </c>
      <c r="B295" s="12" t="s">
        <v>104</v>
      </c>
      <c r="C295" s="30" t="s">
        <v>107</v>
      </c>
      <c r="D295" s="83">
        <f>+SUM(START:END!D295)</f>
        <v>142250.08637984743</v>
      </c>
      <c r="E295" s="152">
        <f t="shared" ref="E295:E302" si="100">IF(D295=0,0,F295/D295)</f>
        <v>0.25717233040360804</v>
      </c>
      <c r="F295" s="86">
        <f>+SUM(START:END!F295)</f>
        <v>36582.78621441991</v>
      </c>
      <c r="G295" s="83">
        <f>+SUM(START:END!G295)</f>
        <v>142250.08637984743</v>
      </c>
      <c r="H295" s="152">
        <f t="shared" ref="H295:H302" si="101">IF(G295=0,0,I295/G295)</f>
        <v>0.25717233040360804</v>
      </c>
      <c r="I295" s="86">
        <f>+SUM(START:END!I295)</f>
        <v>36582.78621441991</v>
      </c>
      <c r="J295" s="31">
        <f>+SUM(START:END!J295)</f>
        <v>183812.71</v>
      </c>
      <c r="K295" s="152">
        <f t="shared" ref="K295:K302" si="102">IF(J295=0,0,L295/J295)</f>
        <v>0.24225936280467225</v>
      </c>
      <c r="L295" s="34">
        <f>+SUM(START:END!L295)</f>
        <v>44530.350000000006</v>
      </c>
      <c r="M295" s="161">
        <f t="shared" si="97"/>
        <v>0.2921799534741143</v>
      </c>
      <c r="N295" s="60">
        <f t="shared" si="98"/>
        <v>7947.563785580096</v>
      </c>
      <c r="O295" s="31">
        <f>+SUM(START:END!O295)</f>
        <v>110857.46</v>
      </c>
      <c r="P295" s="152">
        <f t="shared" ref="P295:P302" si="103">IF(O295=0,0,Q295/O295)</f>
        <v>0.24486308814941266</v>
      </c>
      <c r="Q295" s="34">
        <f>+SUM(START:END!Q295)</f>
        <v>27144.899999999991</v>
      </c>
      <c r="R295" s="161">
        <f t="shared" ref="R295:R302" si="104">IF(O295=0,0,(J295-O295)/O295)</f>
        <v>0.65809959925114625</v>
      </c>
      <c r="S295" s="86">
        <f t="shared" si="99"/>
        <v>17385.450000000015</v>
      </c>
      <c r="T295" s="14"/>
      <c r="U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96"/>
        <v>PiècesP/A Garantie</v>
      </c>
      <c r="B296" s="12" t="s">
        <v>104</v>
      </c>
      <c r="C296" s="30" t="s">
        <v>108</v>
      </c>
      <c r="D296" s="83">
        <f>+SUM(START:END!D296)</f>
        <v>250818.34800165176</v>
      </c>
      <c r="E296" s="152">
        <f t="shared" si="100"/>
        <v>0.24177651145507995</v>
      </c>
      <c r="F296" s="86">
        <f>+SUM(START:END!F296)</f>
        <v>60641.985188765582</v>
      </c>
      <c r="G296" s="83">
        <f>+SUM(START:END!G296)</f>
        <v>250818.34800165176</v>
      </c>
      <c r="H296" s="152">
        <f t="shared" si="101"/>
        <v>0.24177651145507995</v>
      </c>
      <c r="I296" s="86">
        <f>+SUM(START:END!I296)</f>
        <v>60641.985188765582</v>
      </c>
      <c r="J296" s="31">
        <f>+SUM(START:END!J296)</f>
        <v>118692.59</v>
      </c>
      <c r="K296" s="152">
        <f t="shared" si="102"/>
        <v>0.24549123074995666</v>
      </c>
      <c r="L296" s="34">
        <f>+SUM(START:END!L296)</f>
        <v>29137.989999999998</v>
      </c>
      <c r="M296" s="161">
        <f t="shared" si="97"/>
        <v>-0.52677867888987795</v>
      </c>
      <c r="N296" s="60">
        <f t="shared" si="98"/>
        <v>-31503.995188765584</v>
      </c>
      <c r="O296" s="31">
        <f>+SUM(START:END!O296)</f>
        <v>209485.28</v>
      </c>
      <c r="P296" s="152">
        <f t="shared" si="103"/>
        <v>0.23518120223053382</v>
      </c>
      <c r="Q296" s="34">
        <f>+SUM(START:END!Q296)</f>
        <v>49267</v>
      </c>
      <c r="R296" s="161">
        <f t="shared" si="104"/>
        <v>-0.43340844760070973</v>
      </c>
      <c r="S296" s="86">
        <f t="shared" si="99"/>
        <v>-20129.010000000002</v>
      </c>
      <c r="T296" s="14"/>
      <c r="U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96"/>
        <v>PiècesVentes Internes</v>
      </c>
      <c r="B297" s="12" t="s">
        <v>104</v>
      </c>
      <c r="C297" s="30" t="s">
        <v>109</v>
      </c>
      <c r="D297" s="83">
        <f>+SUM(START:END!D297)</f>
        <v>180376.30675461661</v>
      </c>
      <c r="E297" s="152">
        <f t="shared" si="100"/>
        <v>0.32393223852119107</v>
      </c>
      <c r="F297" s="86">
        <f>+SUM(START:END!F297)</f>
        <v>58429.700823207997</v>
      </c>
      <c r="G297" s="83">
        <f>+SUM(START:END!G297)</f>
        <v>180376.30675461661</v>
      </c>
      <c r="H297" s="152">
        <f t="shared" si="101"/>
        <v>0.32393223852119107</v>
      </c>
      <c r="I297" s="86">
        <f>+SUM(START:END!I297)</f>
        <v>58429.700823207997</v>
      </c>
      <c r="J297" s="31">
        <f>+SUM(START:END!J297)</f>
        <v>154782.49</v>
      </c>
      <c r="K297" s="152">
        <f t="shared" si="102"/>
        <v>0.32610226130875664</v>
      </c>
      <c r="L297" s="34">
        <f>+SUM(START:END!L297)</f>
        <v>50474.920000000006</v>
      </c>
      <c r="M297" s="161">
        <f t="shared" si="97"/>
        <v>-0.14189123402684131</v>
      </c>
      <c r="N297" s="60">
        <f t="shared" si="98"/>
        <v>-7954.7808232079915</v>
      </c>
      <c r="O297" s="31">
        <f>+SUM(START:END!O297)</f>
        <v>167817.53999999998</v>
      </c>
      <c r="P297" s="152">
        <f t="shared" si="103"/>
        <v>0.30024620787552958</v>
      </c>
      <c r="Q297" s="34">
        <f>+SUM(START:END!Q297)</f>
        <v>50386.579999999994</v>
      </c>
      <c r="R297" s="161">
        <f t="shared" si="104"/>
        <v>-7.767394278333474E-2</v>
      </c>
      <c r="S297" s="86">
        <f t="shared" si="99"/>
        <v>88.340000000011059</v>
      </c>
      <c r="T297" s="14"/>
      <c r="U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96"/>
        <v>PiècesVentes Détails</v>
      </c>
      <c r="B298" s="12" t="s">
        <v>104</v>
      </c>
      <c r="C298" s="30" t="s">
        <v>110</v>
      </c>
      <c r="D298" s="83">
        <f>+SUM(START:END!D298)</f>
        <v>56883.233696928408</v>
      </c>
      <c r="E298" s="152">
        <f t="shared" si="100"/>
        <v>0.28113730707120016</v>
      </c>
      <c r="F298" s="86">
        <f>+SUM(START:END!F298)</f>
        <v>15991.999139056201</v>
      </c>
      <c r="G298" s="83">
        <f>+SUM(START:END!G298)</f>
        <v>56883.233696928408</v>
      </c>
      <c r="H298" s="152">
        <f t="shared" si="101"/>
        <v>0.28113730707120016</v>
      </c>
      <c r="I298" s="86">
        <f>+SUM(START:END!I298)</f>
        <v>15991.999139056201</v>
      </c>
      <c r="J298" s="31">
        <f>+SUM(START:END!J298)</f>
        <v>58599.25</v>
      </c>
      <c r="K298" s="152">
        <f t="shared" si="102"/>
        <v>0.28481832105359711</v>
      </c>
      <c r="L298" s="34">
        <f>+SUM(START:END!L298)</f>
        <v>16690.14</v>
      </c>
      <c r="M298" s="161">
        <f t="shared" si="97"/>
        <v>3.0167347943235053E-2</v>
      </c>
      <c r="N298" s="60">
        <f t="shared" si="98"/>
        <v>698.14086094379854</v>
      </c>
      <c r="O298" s="31">
        <f>+SUM(START:END!O298)</f>
        <v>51482.57</v>
      </c>
      <c r="P298" s="152">
        <f t="shared" si="103"/>
        <v>0.26874590759552214</v>
      </c>
      <c r="Q298" s="34">
        <f>+SUM(START:END!Q298)</f>
        <v>13835.73</v>
      </c>
      <c r="R298" s="161">
        <f t="shared" si="104"/>
        <v>0.1382347462451855</v>
      </c>
      <c r="S298" s="86">
        <f t="shared" si="99"/>
        <v>2854.41</v>
      </c>
      <c r="T298" s="14"/>
      <c r="U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96"/>
        <v>PiècesVentes de Gros</v>
      </c>
      <c r="B299" s="12" t="s">
        <v>104</v>
      </c>
      <c r="C299" s="30" t="s">
        <v>111</v>
      </c>
      <c r="D299" s="83">
        <f>+SUM(START:END!D299)</f>
        <v>148133.62177919882</v>
      </c>
      <c r="E299" s="152">
        <f t="shared" si="100"/>
        <v>0.18194830719212418</v>
      </c>
      <c r="F299" s="86">
        <f>+SUM(START:END!F299)</f>
        <v>26952.661720963602</v>
      </c>
      <c r="G299" s="83">
        <f>+SUM(START:END!G299)</f>
        <v>148133.62177919882</v>
      </c>
      <c r="H299" s="152">
        <f t="shared" si="101"/>
        <v>0.18194830719212418</v>
      </c>
      <c r="I299" s="86">
        <f>+SUM(START:END!I299)</f>
        <v>26952.661720963602</v>
      </c>
      <c r="J299" s="31">
        <f>+SUM(START:END!J299)</f>
        <v>223079.41</v>
      </c>
      <c r="K299" s="152">
        <f t="shared" si="102"/>
        <v>0.19447841465960486</v>
      </c>
      <c r="L299" s="34">
        <f>+SUM(START:END!L299)</f>
        <v>43384.130000000005</v>
      </c>
      <c r="M299" s="161">
        <f t="shared" si="97"/>
        <v>0.5059336788005625</v>
      </c>
      <c r="N299" s="60">
        <f t="shared" si="98"/>
        <v>16431.468279036402</v>
      </c>
      <c r="O299" s="31">
        <f>+SUM(START:END!O299)</f>
        <v>100280.11</v>
      </c>
      <c r="P299" s="152">
        <f t="shared" si="103"/>
        <v>0.18617211329345371</v>
      </c>
      <c r="Q299" s="34">
        <f>+SUM(START:END!Q299)</f>
        <v>18669.36</v>
      </c>
      <c r="R299" s="161">
        <f t="shared" si="104"/>
        <v>1.2245628769254442</v>
      </c>
      <c r="S299" s="86">
        <f t="shared" si="99"/>
        <v>24714.770000000004</v>
      </c>
      <c r="T299" s="14"/>
      <c r="U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96"/>
        <v>Pièces[...]</v>
      </c>
      <c r="B300" s="12" t="s">
        <v>104</v>
      </c>
      <c r="C300" s="30" t="s">
        <v>21</v>
      </c>
      <c r="D300" s="83">
        <f>+SUM(START:END!D300)</f>
        <v>0</v>
      </c>
      <c r="E300" s="152">
        <f t="shared" si="100"/>
        <v>0</v>
      </c>
      <c r="F300" s="86">
        <f>+SUM(START:END!F300)</f>
        <v>0</v>
      </c>
      <c r="G300" s="83">
        <f>+SUM(START:END!G300)</f>
        <v>0</v>
      </c>
      <c r="H300" s="152">
        <f t="shared" si="101"/>
        <v>0</v>
      </c>
      <c r="I300" s="86">
        <f>+SUM(START:END!I300)</f>
        <v>0</v>
      </c>
      <c r="J300" s="31">
        <f>+SUM(START:END!J300)</f>
        <v>0</v>
      </c>
      <c r="K300" s="152">
        <f t="shared" si="102"/>
        <v>0</v>
      </c>
      <c r="L300" s="34">
        <f>+SUM(START:END!L300)</f>
        <v>0</v>
      </c>
      <c r="M300" s="161" t="e">
        <f t="shared" si="97"/>
        <v>#DIV/0!</v>
      </c>
      <c r="N300" s="60">
        <f t="shared" si="98"/>
        <v>0</v>
      </c>
      <c r="O300" s="31">
        <f>+SUM(START:END!O300)</f>
        <v>0</v>
      </c>
      <c r="P300" s="152">
        <f t="shared" si="103"/>
        <v>0</v>
      </c>
      <c r="Q300" s="34">
        <f>+SUM(START:END!Q300)</f>
        <v>0</v>
      </c>
      <c r="R300" s="161">
        <f t="shared" si="104"/>
        <v>0</v>
      </c>
      <c r="S300" s="86">
        <f t="shared" si="99"/>
        <v>0</v>
      </c>
      <c r="T300" s="14"/>
      <c r="U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96"/>
        <v>PiècesEscomptes</v>
      </c>
      <c r="B301" s="12" t="s">
        <v>104</v>
      </c>
      <c r="C301" s="30" t="s">
        <v>112</v>
      </c>
      <c r="D301" s="83">
        <f>+SUM(START:END!D301)</f>
        <v>0</v>
      </c>
      <c r="E301" s="152">
        <f t="shared" si="100"/>
        <v>0</v>
      </c>
      <c r="F301" s="86">
        <f>+SUM(START:END!F301)</f>
        <v>17178.175590007479</v>
      </c>
      <c r="G301" s="83">
        <f>+SUM(START:END!G301)</f>
        <v>0</v>
      </c>
      <c r="H301" s="152">
        <f t="shared" si="101"/>
        <v>0</v>
      </c>
      <c r="I301" s="86">
        <f>+SUM(START:END!I301)</f>
        <v>17178.175590007479</v>
      </c>
      <c r="J301" s="31">
        <f>+SUM(START:END!J301)</f>
        <v>0</v>
      </c>
      <c r="K301" s="152">
        <f t="shared" si="102"/>
        <v>0</v>
      </c>
      <c r="L301" s="34">
        <f>+SUM(START:END!L301)</f>
        <v>28299.67</v>
      </c>
      <c r="M301" s="161"/>
      <c r="N301" s="60">
        <f t="shared" si="98"/>
        <v>11121.49440999252</v>
      </c>
      <c r="O301" s="31">
        <f>+SUM(START:END!O301)</f>
        <v>0</v>
      </c>
      <c r="P301" s="152">
        <f t="shared" si="103"/>
        <v>0</v>
      </c>
      <c r="Q301" s="34">
        <f>+SUM(START:END!Q301)</f>
        <v>30550.880000000001</v>
      </c>
      <c r="R301" s="161">
        <f t="shared" si="104"/>
        <v>0</v>
      </c>
      <c r="S301" s="86">
        <f t="shared" si="99"/>
        <v>-2251.2100000000028</v>
      </c>
      <c r="T301" s="14"/>
      <c r="U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96"/>
        <v>PiècesRectif. Inventaire</v>
      </c>
      <c r="B302" s="12" t="s">
        <v>104</v>
      </c>
      <c r="C302" s="88" t="s">
        <v>113</v>
      </c>
      <c r="D302" s="83">
        <f>+SUM(START:END!D302)</f>
        <v>0</v>
      </c>
      <c r="E302" s="152">
        <f t="shared" si="100"/>
        <v>0</v>
      </c>
      <c r="F302" s="86">
        <f>+SUM(START:END!F302)</f>
        <v>0</v>
      </c>
      <c r="G302" s="83">
        <f>+SUM(START:END!G302)</f>
        <v>0</v>
      </c>
      <c r="H302" s="152">
        <f t="shared" si="101"/>
        <v>0</v>
      </c>
      <c r="I302" s="86">
        <f>+SUM(START:END!I302)</f>
        <v>0</v>
      </c>
      <c r="J302" s="31">
        <f>+SUM(START:END!J302)</f>
        <v>0</v>
      </c>
      <c r="K302" s="152">
        <f t="shared" si="102"/>
        <v>0</v>
      </c>
      <c r="L302" s="34">
        <f>+SUM(START:END!L302)</f>
        <v>0</v>
      </c>
      <c r="M302" s="161"/>
      <c r="N302" s="60">
        <f t="shared" si="98"/>
        <v>0</v>
      </c>
      <c r="O302" s="31">
        <f>+SUM(START:END!O302)</f>
        <v>0</v>
      </c>
      <c r="P302" s="152">
        <f t="shared" si="103"/>
        <v>0</v>
      </c>
      <c r="Q302" s="34">
        <f>+SUM(START:END!Q302)</f>
        <v>0</v>
      </c>
      <c r="R302" s="161">
        <f t="shared" si="104"/>
        <v>0</v>
      </c>
      <c r="S302" s="86">
        <f t="shared" si="99"/>
        <v>0</v>
      </c>
      <c r="T302" s="14"/>
      <c r="U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96"/>
        <v>PiècesSous-total Pièces</v>
      </c>
      <c r="B303" s="12" t="s">
        <v>104</v>
      </c>
      <c r="C303" s="54" t="s">
        <v>114</v>
      </c>
      <c r="D303" s="197">
        <f>SUM(D294:D302)</f>
        <v>1036558.7263885492</v>
      </c>
      <c r="E303" s="216">
        <f>IF(D303&lt;=0,0,F303/D303)</f>
        <v>0.29733432774977353</v>
      </c>
      <c r="F303" s="201">
        <f>SUM(F294:F302)</f>
        <v>308204.49208390072</v>
      </c>
      <c r="G303" s="197">
        <f>SUM(G294:G302)</f>
        <v>1036558.7263885492</v>
      </c>
      <c r="H303" s="216">
        <f>IF(G303&lt;=0,0,I303/G303)</f>
        <v>0.29733432774977353</v>
      </c>
      <c r="I303" s="201">
        <f>SUM(I294:I302)</f>
        <v>308204.49208390072</v>
      </c>
      <c r="J303" s="197">
        <f>SUM(J294:J302)</f>
        <v>983384.4</v>
      </c>
      <c r="K303" s="216">
        <f>IF(J303&lt;=0,0,L303/J303)</f>
        <v>0.30472738839460944</v>
      </c>
      <c r="L303" s="199">
        <f>SUM(L294:L302)</f>
        <v>299664.15999999997</v>
      </c>
      <c r="M303" s="217">
        <f>(+J303-G303)/G303</f>
        <v>-5.1298903800475103E-2</v>
      </c>
      <c r="N303" s="199">
        <f t="shared" si="98"/>
        <v>-8540.3320839007501</v>
      </c>
      <c r="O303" s="197">
        <f>SUM(O294:O302)</f>
        <v>852895.29999999981</v>
      </c>
      <c r="P303" s="216">
        <f>IF(O303&lt;=0,0,Q303/O303)</f>
        <v>0.31425316800315356</v>
      </c>
      <c r="Q303" s="199">
        <f>SUM(Q294:Q302)</f>
        <v>268025.05</v>
      </c>
      <c r="R303" s="217">
        <f>IF(O303=0,0,(J303-O303)/O303)</f>
        <v>0.15299544973456911</v>
      </c>
      <c r="S303" s="201">
        <f t="shared" si="99"/>
        <v>31639.109999999986</v>
      </c>
      <c r="T303" s="14"/>
      <c r="U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96"/>
        <v>Pièces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f>N303/I303</f>
        <v>-2.7709953304560744E-2</v>
      </c>
      <c r="O304" s="42"/>
      <c r="P304" s="14"/>
      <c r="Q304" s="41"/>
      <c r="R304" s="42"/>
      <c r="S304" s="45">
        <f>IF(Q303=0,0,S303/Q303)</f>
        <v>0.11804534688082322</v>
      </c>
      <c r="T304" s="14"/>
      <c r="U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96"/>
        <v>Pièces</v>
      </c>
      <c r="B305" s="12" t="s">
        <v>104</v>
      </c>
      <c r="C305" s="88"/>
      <c r="D305" s="114"/>
      <c r="E305" s="114"/>
      <c r="F305" s="218"/>
      <c r="G305" s="24"/>
      <c r="H305" s="219"/>
      <c r="I305" s="218"/>
      <c r="J305" s="24"/>
      <c r="K305" s="114"/>
      <c r="L305" s="218"/>
      <c r="M305" s="24"/>
      <c r="N305" s="171"/>
      <c r="O305" s="24"/>
      <c r="P305" s="114"/>
      <c r="Q305" s="218"/>
      <c r="R305" s="24"/>
      <c r="S305" s="172"/>
      <c r="T305" s="14"/>
      <c r="U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96"/>
        <v>PiècesVentes Pneus</v>
      </c>
      <c r="B306" s="12" t="s">
        <v>104</v>
      </c>
      <c r="C306" s="30" t="s">
        <v>115</v>
      </c>
      <c r="D306" s="83">
        <f>+SUM(START:END!D306)</f>
        <v>94142.290892520643</v>
      </c>
      <c r="E306" s="152">
        <f t="shared" ref="E306:E307" si="105">IF(D306=0,0,F306/D306)</f>
        <v>0.1816444838198383</v>
      </c>
      <c r="F306" s="113">
        <f>+SUM(START:END!F306)</f>
        <v>17100.427834788978</v>
      </c>
      <c r="G306" s="83">
        <f>+SUM(START:END!G306)</f>
        <v>94142.290892520643</v>
      </c>
      <c r="H306" s="152">
        <f t="shared" ref="H306:H307" si="106">IF(G306=0,0,I306/G306)</f>
        <v>0.1816444838198383</v>
      </c>
      <c r="I306" s="113">
        <f>+SUM(START:END!I306)</f>
        <v>17100.427834788978</v>
      </c>
      <c r="J306" s="31">
        <f>+SUM(START:END!J306)</f>
        <v>95741.23</v>
      </c>
      <c r="K306" s="152">
        <f t="shared" ref="K306:K307" si="107">IF(J306=0,0,L306/J306)</f>
        <v>0.18587049696353392</v>
      </c>
      <c r="L306" s="34">
        <f>+SUM(START:END!L306)</f>
        <v>17795.47</v>
      </c>
      <c r="M306" s="161">
        <f t="shared" ref="M306:M308" si="108">(+J306-G306)/G306</f>
        <v>1.698428084042285E-2</v>
      </c>
      <c r="N306" s="60">
        <f t="shared" ref="N306:N308" si="109">L306-I306</f>
        <v>695.04216521102353</v>
      </c>
      <c r="O306" s="31">
        <f>+SUM(START:END!O306)</f>
        <v>124284.08000000002</v>
      </c>
      <c r="P306" s="152">
        <f t="shared" ref="P306:P307" si="110">IF(O306=0,0,Q306/O306)</f>
        <v>0.17154240510932706</v>
      </c>
      <c r="Q306" s="34">
        <f>+SUM(START:END!Q306)</f>
        <v>21319.990000000016</v>
      </c>
      <c r="R306" s="161">
        <f t="shared" ref="R306:R307" si="111">IF(O306=0,0,(J306-O306)/O306)</f>
        <v>-0.22965813481501426</v>
      </c>
      <c r="S306" s="86">
        <f t="shared" ref="S306:S308" si="112">L306-Q306</f>
        <v>-3524.520000000015</v>
      </c>
      <c r="T306" s="14"/>
      <c r="U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96"/>
        <v>PiècesHuiles et Graisse</v>
      </c>
      <c r="B307" s="12" t="s">
        <v>104</v>
      </c>
      <c r="C307" s="88" t="s">
        <v>116</v>
      </c>
      <c r="D307" s="83">
        <f>+SUM(START:END!D307)</f>
        <v>63543.394548885262</v>
      </c>
      <c r="E307" s="152">
        <f t="shared" si="105"/>
        <v>0.29130399895825643</v>
      </c>
      <c r="F307" s="95">
        <f>+SUM(START:END!F307)</f>
        <v>18510.444939472549</v>
      </c>
      <c r="G307" s="83">
        <f>+SUM(START:END!G307)</f>
        <v>63543.394548885262</v>
      </c>
      <c r="H307" s="152">
        <f t="shared" si="106"/>
        <v>0.29130399895825643</v>
      </c>
      <c r="I307" s="95">
        <f>+SUM(START:END!I307)</f>
        <v>18510.444939472549</v>
      </c>
      <c r="J307" s="31">
        <f>+SUM(START:END!J307)</f>
        <v>84105.73000000001</v>
      </c>
      <c r="K307" s="152">
        <f t="shared" si="107"/>
        <v>0.31282696196798959</v>
      </c>
      <c r="L307" s="34">
        <f>+SUM(START:END!L307)</f>
        <v>26310.540000000005</v>
      </c>
      <c r="M307" s="161">
        <f t="shared" si="108"/>
        <v>0.32359516826403906</v>
      </c>
      <c r="N307" s="60">
        <f t="shared" si="109"/>
        <v>7800.0950605274556</v>
      </c>
      <c r="O307" s="31">
        <f>+SUM(START:END!O307)</f>
        <v>58270.070000000007</v>
      </c>
      <c r="P307" s="152">
        <f t="shared" si="110"/>
        <v>0.29397613560443642</v>
      </c>
      <c r="Q307" s="34">
        <f>+SUM(START:END!Q307)</f>
        <v>17130.010000000006</v>
      </c>
      <c r="R307" s="161">
        <f t="shared" si="111"/>
        <v>0.44337787821432167</v>
      </c>
      <c r="S307" s="86">
        <f t="shared" si="112"/>
        <v>9180.5299999999988</v>
      </c>
      <c r="T307" s="14"/>
      <c r="U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96"/>
        <v>PiècesSous-total Pièces et Acc.</v>
      </c>
      <c r="B308" s="12" t="s">
        <v>104</v>
      </c>
      <c r="C308" s="54" t="s">
        <v>117</v>
      </c>
      <c r="D308" s="197">
        <f>D303+D306+D307</f>
        <v>1194244.4118299552</v>
      </c>
      <c r="E308" s="216">
        <f>IF(D308&lt;=0,0,F308/D308)</f>
        <v>0.2878936350485658</v>
      </c>
      <c r="F308" s="199">
        <f t="shared" ref="F308" si="113">F303+F306+F307</f>
        <v>343815.36485816224</v>
      </c>
      <c r="G308" s="200">
        <f>G303+G306+G307</f>
        <v>1194244.4118299552</v>
      </c>
      <c r="H308" s="216">
        <f>IF(G308&lt;=0,0,I308/G308)</f>
        <v>0.2878936350485658</v>
      </c>
      <c r="I308" s="199">
        <f t="shared" ref="I308" si="114">I303+I306+I307</f>
        <v>343815.36485816224</v>
      </c>
      <c r="J308" s="200">
        <f>J303+J306+J307</f>
        <v>1163231.3600000001</v>
      </c>
      <c r="K308" s="216">
        <f>IF(J308&lt;=0,0,L308/J308)</f>
        <v>0.29553034918178267</v>
      </c>
      <c r="L308" s="199">
        <f t="shared" ref="L308" si="115">L303+L306+L307</f>
        <v>343770.17</v>
      </c>
      <c r="M308" s="217">
        <f t="shared" si="108"/>
        <v>-2.596876445285886E-2</v>
      </c>
      <c r="N308" s="199">
        <f t="shared" si="109"/>
        <v>-45.194858162256423</v>
      </c>
      <c r="O308" s="200">
        <f>O303+O306+O307</f>
        <v>1035449.45</v>
      </c>
      <c r="P308" s="216">
        <f>IF(O308&lt;=0,0,Q308/O308)</f>
        <v>0.29598262860635061</v>
      </c>
      <c r="Q308" s="199">
        <f t="shared" ref="Q308" si="116">Q303+Q306+Q307</f>
        <v>306475.05</v>
      </c>
      <c r="R308" s="217">
        <f>IF(O308=0,0,(J308-O308)/O308)</f>
        <v>0.12340719288614249</v>
      </c>
      <c r="S308" s="201">
        <f t="shared" si="112"/>
        <v>37295.119999999995</v>
      </c>
      <c r="T308" s="14"/>
      <c r="U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96"/>
        <v>Pièces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f>N308/I308</f>
        <v>-1.3145095531405681E-4</v>
      </c>
      <c r="O309" s="42"/>
      <c r="P309" s="14"/>
      <c r="Q309" s="41"/>
      <c r="R309" s="42"/>
      <c r="S309" s="45">
        <f>IF(Q308=0,0,S308/Q308)</f>
        <v>0.12169055849733933</v>
      </c>
      <c r="T309" s="14"/>
      <c r="U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96"/>
        <v>PiècesPièces recond. MCPA</v>
      </c>
      <c r="B310" s="12" t="s">
        <v>104</v>
      </c>
      <c r="C310" s="30" t="s">
        <v>199</v>
      </c>
      <c r="D310" s="442">
        <f>+SUM(START:END!D310)</f>
        <v>0</v>
      </c>
      <c r="E310" s="441">
        <f t="shared" ref="E310" si="117">IF(D310=0,0,F310/D310)</f>
        <v>0</v>
      </c>
      <c r="F310" s="60">
        <f>+SUM(START:END!F310)</f>
        <v>0</v>
      </c>
      <c r="G310" s="61">
        <f>+SUM(START:END!G310)</f>
        <v>0</v>
      </c>
      <c r="H310" s="441">
        <f t="shared" ref="H310" si="118">IF(G310=0,0,I310/G310)</f>
        <v>0</v>
      </c>
      <c r="I310" s="60">
        <f>+SUM(START:END!I310)</f>
        <v>0</v>
      </c>
      <c r="J310" s="32">
        <f>+SUM(START:END!J310)</f>
        <v>0</v>
      </c>
      <c r="K310" s="441">
        <f t="shared" ref="K310" si="119">IF(J310=0,0,L310/J310)</f>
        <v>0</v>
      </c>
      <c r="L310" s="34">
        <f>+SUM(START:END!L310)</f>
        <v>0</v>
      </c>
      <c r="M310" s="441">
        <f>IF(F310=0,0,(+L310-F310)/F310)</f>
        <v>0</v>
      </c>
      <c r="N310" s="60">
        <f>L310-I310</f>
        <v>0</v>
      </c>
      <c r="O310" s="32">
        <f>+SUM(START:END!O310)</f>
        <v>0</v>
      </c>
      <c r="P310" s="441">
        <f t="shared" ref="P310" si="120">IF(O310=0,0,Q310/O310)</f>
        <v>0</v>
      </c>
      <c r="Q310" s="34">
        <f>+SUM(START:END!Q310)</f>
        <v>0</v>
      </c>
      <c r="R310" s="441">
        <f>IF(S310=0,0,(+P310-K310)/K310)</f>
        <v>0</v>
      </c>
      <c r="S310" s="86">
        <f>L310-Q310</f>
        <v>0</v>
      </c>
      <c r="T310" s="14"/>
      <c r="U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96"/>
        <v>PiècesAutostock</v>
      </c>
      <c r="B311" s="12" t="s">
        <v>104</v>
      </c>
      <c r="C311" s="88" t="s">
        <v>118</v>
      </c>
      <c r="D311" s="92">
        <f>+SUM(START:END!D311)</f>
        <v>0</v>
      </c>
      <c r="E311" s="220">
        <f t="shared" ref="E311" si="121">IF(D311=0,0,F311/D311)</f>
        <v>0</v>
      </c>
      <c r="F311" s="150">
        <f>+SUM(START:END!F311)</f>
        <v>0</v>
      </c>
      <c r="G311" s="175">
        <f>+SUM(START:END!G311)</f>
        <v>0</v>
      </c>
      <c r="H311" s="220">
        <f t="shared" ref="H311" si="122">IF(G311=0,0,I311/G311)</f>
        <v>0</v>
      </c>
      <c r="I311" s="150">
        <f>+SUM(START:END!I311)</f>
        <v>0</v>
      </c>
      <c r="J311" s="47">
        <f>+SUM(START:END!J311)</f>
        <v>0</v>
      </c>
      <c r="K311" s="221">
        <f t="shared" ref="K311" si="123">IF(J311=0,0,L311/J311)</f>
        <v>0</v>
      </c>
      <c r="L311" s="23">
        <f>+SUM(START:END!L311)</f>
        <v>0</v>
      </c>
      <c r="M311" s="221">
        <f>IF(F311=0,0,(+L311-F311)/F311)</f>
        <v>0</v>
      </c>
      <c r="N311" s="94">
        <f>L311-I311</f>
        <v>0</v>
      </c>
      <c r="O311" s="47">
        <f>+SUM(START:END!O311)</f>
        <v>0</v>
      </c>
      <c r="P311" s="221">
        <f t="shared" ref="P311" si="124">IF(O311=0,0,Q311/O311)</f>
        <v>0</v>
      </c>
      <c r="Q311" s="23">
        <f>+SUM(START:END!Q311)</f>
        <v>0</v>
      </c>
      <c r="R311" s="221">
        <f>IF(S311=0,0,(+P311-K311)/K311)</f>
        <v>0</v>
      </c>
      <c r="S311" s="95">
        <f>L311-Q311</f>
        <v>0</v>
      </c>
      <c r="T311" s="14"/>
      <c r="U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96"/>
        <v>Pièces</v>
      </c>
      <c r="B312" s="12" t="s">
        <v>104</v>
      </c>
      <c r="C312" s="30"/>
      <c r="D312" s="83"/>
      <c r="E312" s="152"/>
      <c r="F312" s="60"/>
      <c r="G312" s="61"/>
      <c r="H312" s="152"/>
      <c r="I312" s="60"/>
      <c r="J312" s="61"/>
      <c r="K312" s="152"/>
      <c r="L312" s="60"/>
      <c r="M312" s="161"/>
      <c r="N312" s="60"/>
      <c r="O312" s="61"/>
      <c r="P312" s="152"/>
      <c r="Q312" s="60"/>
      <c r="R312" s="161"/>
      <c r="S312" s="86"/>
      <c r="T312" s="14"/>
      <c r="U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96"/>
        <v>PiècesTotal Dépt. Pièces</v>
      </c>
      <c r="B313" s="12" t="s">
        <v>104</v>
      </c>
      <c r="C313" s="63" t="s">
        <v>119</v>
      </c>
      <c r="D313" s="64">
        <f>D308+D311+D310</f>
        <v>1194244.4118299552</v>
      </c>
      <c r="E313" s="222">
        <f>IF(D313&lt;=0,0,F313/D313)</f>
        <v>0.2878936350485658</v>
      </c>
      <c r="F313" s="66">
        <f>F308+F311+F310</f>
        <v>343815.36485816224</v>
      </c>
      <c r="G313" s="67">
        <f>G308+G311+G310</f>
        <v>1194244.4118299552</v>
      </c>
      <c r="H313" s="222">
        <f>IF(G313&lt;=0,0,I313/G313)</f>
        <v>0.2878936350485658</v>
      </c>
      <c r="I313" s="66">
        <f>I308+I311+I310</f>
        <v>343815.36485816224</v>
      </c>
      <c r="J313" s="67">
        <f>J308+J311+J310</f>
        <v>1163231.3600000001</v>
      </c>
      <c r="K313" s="222">
        <f>IF(J313&lt;=0,0,L313/J313)</f>
        <v>0.29553034918178267</v>
      </c>
      <c r="L313" s="66">
        <f>L308+L311+L310</f>
        <v>343770.17</v>
      </c>
      <c r="M313" s="223">
        <f>(+J313-G313)/G313</f>
        <v>-2.596876445285886E-2</v>
      </c>
      <c r="N313" s="224">
        <f>L313-I313</f>
        <v>-45.194858162256423</v>
      </c>
      <c r="O313" s="67">
        <f>O308+O311+O310</f>
        <v>1035449.45</v>
      </c>
      <c r="P313" s="222">
        <f>IF(O313&lt;=0,0,Q313/O313)</f>
        <v>0.29598262860635061</v>
      </c>
      <c r="Q313" s="66">
        <f>Q308+Q311+Q310</f>
        <v>306475.05</v>
      </c>
      <c r="R313" s="223">
        <f>IF(O313=0,0,(J313-O313)/O313)</f>
        <v>0.12340719288614249</v>
      </c>
      <c r="S313" s="225">
        <f>L313-Q313</f>
        <v>37295.119999999995</v>
      </c>
      <c r="T313" s="14"/>
      <c r="U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96"/>
        <v>Pièces</v>
      </c>
      <c r="B314" s="12" t="s">
        <v>104</v>
      </c>
      <c r="C314" s="226"/>
      <c r="D314" s="227"/>
      <c r="E314" s="228"/>
      <c r="F314" s="229"/>
      <c r="G314" s="230"/>
      <c r="H314" s="228"/>
      <c r="I314" s="229"/>
      <c r="J314" s="230"/>
      <c r="K314" s="228"/>
      <c r="L314" s="229"/>
      <c r="M314" s="231"/>
      <c r="N314" s="75">
        <f>N313/I313</f>
        <v>-1.3145095531405681E-4</v>
      </c>
      <c r="O314" s="230"/>
      <c r="P314" s="228"/>
      <c r="Q314" s="229"/>
      <c r="R314" s="231"/>
      <c r="S314" s="76">
        <f>IF(Q313=0,0,S313/Q313)</f>
        <v>0.12169055849733933</v>
      </c>
      <c r="T314" s="14"/>
      <c r="U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96"/>
        <v>Pièces</v>
      </c>
      <c r="B315" s="12" t="s">
        <v>104</v>
      </c>
      <c r="C315" s="54"/>
      <c r="D315" s="115"/>
      <c r="E315" s="177"/>
      <c r="F315" s="179"/>
      <c r="G315" s="178"/>
      <c r="H315" s="177"/>
      <c r="I315" s="179"/>
      <c r="J315" s="178"/>
      <c r="K315" s="177"/>
      <c r="L315" s="179"/>
      <c r="M315" s="42"/>
      <c r="N315" s="44"/>
      <c r="O315" s="178"/>
      <c r="P315" s="177"/>
      <c r="Q315" s="179"/>
      <c r="R315" s="42"/>
      <c r="S315" s="45"/>
      <c r="T315" s="14"/>
      <c r="U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96"/>
        <v>PiècesDEPENSES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96"/>
        <v>PiècesSalaires cadres</v>
      </c>
      <c r="B317" s="12" t="s">
        <v>104</v>
      </c>
      <c r="C317" s="105" t="s">
        <v>42</v>
      </c>
      <c r="D317" s="14"/>
      <c r="E317" s="14"/>
      <c r="F317" s="31">
        <f>+SUM(START:END!F317)</f>
        <v>7700.8314176245221</v>
      </c>
      <c r="G317" s="42"/>
      <c r="H317" s="14"/>
      <c r="I317" s="31">
        <f>+SUM(START:END!I317)</f>
        <v>7700.8314176245221</v>
      </c>
      <c r="J317" s="42"/>
      <c r="K317" s="14"/>
      <c r="L317" s="34">
        <f>+SUM(START:END!L317)</f>
        <v>1591</v>
      </c>
      <c r="M317" s="42"/>
      <c r="N317" s="232">
        <f>L317-I317</f>
        <v>-6109.8314176245221</v>
      </c>
      <c r="O317" s="42"/>
      <c r="P317" s="14"/>
      <c r="Q317" s="34">
        <f>+SUM(START:END!Q317)</f>
        <v>17033.169999999998</v>
      </c>
      <c r="R317" s="42"/>
      <c r="S317" s="35">
        <f>L317-Q317</f>
        <v>-15442.169999999998</v>
      </c>
      <c r="T317" s="14"/>
      <c r="U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96"/>
        <v>PiècesSalaires commis</v>
      </c>
      <c r="B318" s="12" t="s">
        <v>104</v>
      </c>
      <c r="C318" s="106" t="s">
        <v>43</v>
      </c>
      <c r="D318" s="82"/>
      <c r="E318" s="14"/>
      <c r="F318" s="23">
        <f>+SUM(START:END!F318)</f>
        <v>12902.294050651341</v>
      </c>
      <c r="G318" s="84"/>
      <c r="H318" s="14"/>
      <c r="I318" s="23">
        <f>+SUM(START:END!I318)</f>
        <v>12902.294050651341</v>
      </c>
      <c r="J318" s="42"/>
      <c r="K318" s="14"/>
      <c r="L318" s="34">
        <f>+SUM(START:END!L318)</f>
        <v>10407.66</v>
      </c>
      <c r="M318" s="42"/>
      <c r="N318" s="60">
        <f>L318-I318</f>
        <v>-2494.6340506513407</v>
      </c>
      <c r="O318" s="42"/>
      <c r="P318" s="14"/>
      <c r="Q318" s="34">
        <f>+SUM(START:END!Q318)</f>
        <v>12940.36</v>
      </c>
      <c r="R318" s="42"/>
      <c r="S318" s="86">
        <f t="shared" ref="S318:S347" si="125">L318-Q318</f>
        <v>-2532.7000000000007</v>
      </c>
      <c r="T318" s="14"/>
      <c r="U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96"/>
        <v>PiècesSalaires autres</v>
      </c>
      <c r="B319" s="12" t="s">
        <v>104</v>
      </c>
      <c r="C319" s="105" t="s">
        <v>44</v>
      </c>
      <c r="D319" s="107"/>
      <c r="E319" s="108"/>
      <c r="F319" s="31">
        <f>+SUM(START:END!F319)</f>
        <v>72601.848348199215</v>
      </c>
      <c r="G319" s="109"/>
      <c r="H319" s="108"/>
      <c r="I319" s="31">
        <f>+SUM(START:END!I319)</f>
        <v>72601.848348199215</v>
      </c>
      <c r="J319" s="110"/>
      <c r="K319" s="108"/>
      <c r="L319" s="111">
        <f>+SUM(START:END!L319)</f>
        <v>78728.14</v>
      </c>
      <c r="M319" s="110"/>
      <c r="N319" s="112">
        <f t="shared" ref="N319:N347" si="126">L319-I319</f>
        <v>6126.2916518007842</v>
      </c>
      <c r="O319" s="110"/>
      <c r="P319" s="108"/>
      <c r="Q319" s="111">
        <f>+SUM(START:END!Q319)</f>
        <v>68151.929999999993</v>
      </c>
      <c r="R319" s="110"/>
      <c r="S319" s="113">
        <f t="shared" si="125"/>
        <v>10576.210000000006</v>
      </c>
      <c r="T319" s="14"/>
      <c r="U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96"/>
        <v>PiècesSalaires spécialistes</v>
      </c>
      <c r="B320" s="12" t="s">
        <v>104</v>
      </c>
      <c r="C320" s="105" t="s">
        <v>45</v>
      </c>
      <c r="D320" s="82"/>
      <c r="E320" s="14"/>
      <c r="F320" s="31">
        <f>+SUM(START:END!F320)</f>
        <v>0</v>
      </c>
      <c r="G320" s="84"/>
      <c r="H320" s="14"/>
      <c r="I320" s="31">
        <f>+SUM(START:END!I320)</f>
        <v>0</v>
      </c>
      <c r="J320" s="42"/>
      <c r="K320" s="14"/>
      <c r="L320" s="34">
        <f>+SUM(START:END!L320)</f>
        <v>0</v>
      </c>
      <c r="M320" s="42"/>
      <c r="N320" s="60">
        <f t="shared" si="126"/>
        <v>0</v>
      </c>
      <c r="O320" s="42"/>
      <c r="P320" s="14"/>
      <c r="Q320" s="34">
        <f>+SUM(START:END!Q320)</f>
        <v>0</v>
      </c>
      <c r="R320" s="42"/>
      <c r="S320" s="86">
        <f t="shared" si="125"/>
        <v>0</v>
      </c>
      <c r="T320" s="14"/>
      <c r="U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96"/>
        <v>Pièces[...]</v>
      </c>
      <c r="B321" s="12" t="s">
        <v>104</v>
      </c>
      <c r="C321" s="233" t="s">
        <v>21</v>
      </c>
      <c r="D321" s="82"/>
      <c r="E321" s="14"/>
      <c r="F321" s="31">
        <f>+SUM(START:END!F321)</f>
        <v>0</v>
      </c>
      <c r="G321" s="84"/>
      <c r="H321" s="14"/>
      <c r="I321" s="31">
        <f>+SUM(START:END!I321)</f>
        <v>0</v>
      </c>
      <c r="J321" s="42"/>
      <c r="K321" s="14"/>
      <c r="L321" s="34">
        <f>+SUM(START:END!L321)</f>
        <v>0</v>
      </c>
      <c r="M321" s="42"/>
      <c r="N321" s="60">
        <f t="shared" si="126"/>
        <v>0</v>
      </c>
      <c r="O321" s="42"/>
      <c r="P321" s="14"/>
      <c r="Q321" s="34">
        <f>+SUM(START:END!Q321)</f>
        <v>0</v>
      </c>
      <c r="R321" s="42"/>
      <c r="S321" s="86">
        <f t="shared" si="125"/>
        <v>0</v>
      </c>
      <c r="T321" s="14"/>
      <c r="U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96"/>
        <v>Pièces[...]</v>
      </c>
      <c r="B322" s="12" t="s">
        <v>104</v>
      </c>
      <c r="C322" s="233" t="s">
        <v>21</v>
      </c>
      <c r="D322" s="82"/>
      <c r="E322" s="14"/>
      <c r="F322" s="31">
        <f>+SUM(START:END!F322)</f>
        <v>0</v>
      </c>
      <c r="G322" s="84"/>
      <c r="H322" s="14"/>
      <c r="I322" s="31">
        <f>+SUM(START:END!I322)</f>
        <v>0</v>
      </c>
      <c r="J322" s="42"/>
      <c r="K322" s="14"/>
      <c r="L322" s="34">
        <f>+SUM(START:END!L322)</f>
        <v>0</v>
      </c>
      <c r="M322" s="42"/>
      <c r="N322" s="60">
        <f t="shared" si="126"/>
        <v>0</v>
      </c>
      <c r="O322" s="42"/>
      <c r="P322" s="14"/>
      <c r="Q322" s="34">
        <f>+SUM(START:END!Q322)</f>
        <v>0</v>
      </c>
      <c r="R322" s="42"/>
      <c r="S322" s="86">
        <f t="shared" si="125"/>
        <v>0</v>
      </c>
      <c r="T322" s="14"/>
      <c r="U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96"/>
        <v>Pièces[...]</v>
      </c>
      <c r="B323" s="12" t="s">
        <v>104</v>
      </c>
      <c r="C323" s="233" t="s">
        <v>21</v>
      </c>
      <c r="D323" s="82"/>
      <c r="E323" s="14"/>
      <c r="F323" s="31">
        <f>+SUM(START:END!F323)</f>
        <v>0</v>
      </c>
      <c r="G323" s="84"/>
      <c r="H323" s="14"/>
      <c r="I323" s="31">
        <f>+SUM(START:END!I323)</f>
        <v>0</v>
      </c>
      <c r="J323" s="42"/>
      <c r="K323" s="14"/>
      <c r="L323" s="34">
        <f>+SUM(START:END!L323)</f>
        <v>0</v>
      </c>
      <c r="M323" s="42"/>
      <c r="N323" s="60">
        <f t="shared" si="126"/>
        <v>0</v>
      </c>
      <c r="O323" s="42"/>
      <c r="P323" s="14"/>
      <c r="Q323" s="34">
        <f>+SUM(START:END!Q323)</f>
        <v>0</v>
      </c>
      <c r="R323" s="42"/>
      <c r="S323" s="86">
        <f t="shared" si="125"/>
        <v>0</v>
      </c>
      <c r="T323" s="14"/>
      <c r="U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96"/>
        <v>PiècesSalaires en absences</v>
      </c>
      <c r="B324" s="12" t="s">
        <v>104</v>
      </c>
      <c r="C324" s="106" t="s">
        <v>46</v>
      </c>
      <c r="D324" s="82"/>
      <c r="E324" s="14"/>
      <c r="F324" s="23">
        <f>+SUM(START:END!F324)</f>
        <v>11663.767134362062</v>
      </c>
      <c r="G324" s="84"/>
      <c r="H324" s="14"/>
      <c r="I324" s="23">
        <f>+SUM(START:END!I324)</f>
        <v>11663.767134362062</v>
      </c>
      <c r="J324" s="42"/>
      <c r="K324" s="14"/>
      <c r="L324" s="34">
        <f>+SUM(START:END!L324)</f>
        <v>10605.490000000002</v>
      </c>
      <c r="M324" s="42"/>
      <c r="N324" s="60">
        <f t="shared" si="126"/>
        <v>-1058.2771343620607</v>
      </c>
      <c r="O324" s="42"/>
      <c r="P324" s="14"/>
      <c r="Q324" s="34">
        <f>+SUM(START:END!Q324)</f>
        <v>9674.18</v>
      </c>
      <c r="R324" s="42"/>
      <c r="S324" s="86">
        <f t="shared" si="125"/>
        <v>931.31000000000131</v>
      </c>
      <c r="T324" s="14"/>
      <c r="U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96"/>
        <v>PiècesDéduction à la source</v>
      </c>
      <c r="B325" s="12" t="s">
        <v>104</v>
      </c>
      <c r="C325" s="105" t="s">
        <v>47</v>
      </c>
      <c r="D325" s="107"/>
      <c r="E325" s="108"/>
      <c r="F325" s="31">
        <f>+SUM(START:END!F325)</f>
        <v>10446.099071776462</v>
      </c>
      <c r="G325" s="109"/>
      <c r="H325" s="108"/>
      <c r="I325" s="31">
        <f>+SUM(START:END!I325)</f>
        <v>10446.099071776462</v>
      </c>
      <c r="J325" s="110"/>
      <c r="K325" s="108"/>
      <c r="L325" s="111">
        <f>+SUM(START:END!L325)</f>
        <v>172.51</v>
      </c>
      <c r="M325" s="110"/>
      <c r="N325" s="112">
        <f t="shared" si="126"/>
        <v>-10273.589071776461</v>
      </c>
      <c r="O325" s="110"/>
      <c r="P325" s="108"/>
      <c r="Q325" s="111">
        <f>+SUM(START:END!Q325)</f>
        <v>138.5</v>
      </c>
      <c r="R325" s="110"/>
      <c r="S325" s="113">
        <f t="shared" si="125"/>
        <v>34.009999999999991</v>
      </c>
      <c r="T325" s="14"/>
      <c r="U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96"/>
        <v>PiècesBénéfices marginaux</v>
      </c>
      <c r="B326" s="12" t="s">
        <v>104</v>
      </c>
      <c r="C326" s="105" t="s">
        <v>48</v>
      </c>
      <c r="D326" s="82"/>
      <c r="E326" s="14"/>
      <c r="F326" s="31">
        <f>+SUM(START:END!F326)</f>
        <v>8295.4316158224829</v>
      </c>
      <c r="G326" s="84"/>
      <c r="H326" s="14"/>
      <c r="I326" s="31">
        <f>+SUM(START:END!I326)</f>
        <v>8295.4316158224829</v>
      </c>
      <c r="J326" s="42"/>
      <c r="K326" s="14"/>
      <c r="L326" s="34">
        <f>+SUM(START:END!L326)</f>
        <v>17282.25</v>
      </c>
      <c r="M326" s="42"/>
      <c r="N326" s="60">
        <f t="shared" si="126"/>
        <v>8986.8183841775171</v>
      </c>
      <c r="O326" s="42"/>
      <c r="P326" s="14"/>
      <c r="Q326" s="34">
        <f>+SUM(START:END!Q326)</f>
        <v>7810.1200000000008</v>
      </c>
      <c r="R326" s="42"/>
      <c r="S326" s="86">
        <f t="shared" si="125"/>
        <v>9472.1299999999992</v>
      </c>
      <c r="T326" s="14"/>
      <c r="U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96"/>
        <v>PiècesCsst</v>
      </c>
      <c r="B327" s="12" t="s">
        <v>104</v>
      </c>
      <c r="C327" s="105" t="s">
        <v>49</v>
      </c>
      <c r="D327" s="82"/>
      <c r="E327" s="14"/>
      <c r="F327" s="31">
        <f>+SUM(START:END!F327)</f>
        <v>3379.620287927678</v>
      </c>
      <c r="G327" s="84"/>
      <c r="H327" s="14"/>
      <c r="I327" s="31">
        <f>+SUM(START:END!I327)</f>
        <v>3379.620287927678</v>
      </c>
      <c r="J327" s="42"/>
      <c r="K327" s="14"/>
      <c r="L327" s="34">
        <f>+SUM(START:END!L327)</f>
        <v>22782.37</v>
      </c>
      <c r="M327" s="42"/>
      <c r="N327" s="60">
        <f t="shared" si="126"/>
        <v>19402.74971207232</v>
      </c>
      <c r="O327" s="42"/>
      <c r="P327" s="14"/>
      <c r="Q327" s="34">
        <f>+SUM(START:END!Q327)</f>
        <v>12575.630000000001</v>
      </c>
      <c r="R327" s="42"/>
      <c r="S327" s="86">
        <f t="shared" si="125"/>
        <v>10206.739999999998</v>
      </c>
      <c r="T327" s="14"/>
      <c r="U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96"/>
        <v>Pièces[...]</v>
      </c>
      <c r="B328" s="12" t="s">
        <v>104</v>
      </c>
      <c r="C328" s="30" t="s">
        <v>21</v>
      </c>
      <c r="D328" s="89"/>
      <c r="E328" s="114"/>
      <c r="F328" s="31">
        <f>+SUM(START:END!F328)</f>
        <v>0</v>
      </c>
      <c r="G328" s="91"/>
      <c r="H328" s="114"/>
      <c r="I328" s="31">
        <f>+SUM(START:END!I328)</f>
        <v>0</v>
      </c>
      <c r="J328" s="24"/>
      <c r="K328" s="114"/>
      <c r="L328" s="34">
        <f>+SUM(START:END!L328)</f>
        <v>0</v>
      </c>
      <c r="M328" s="24"/>
      <c r="N328" s="94">
        <f t="shared" si="126"/>
        <v>0</v>
      </c>
      <c r="O328" s="24"/>
      <c r="P328" s="114"/>
      <c r="Q328" s="34">
        <f>+SUM(START:END!Q328)</f>
        <v>0</v>
      </c>
      <c r="R328" s="24"/>
      <c r="S328" s="95">
        <f t="shared" si="125"/>
        <v>0</v>
      </c>
      <c r="T328" s="14"/>
      <c r="U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96"/>
        <v>PiècesTOTAL PERSONNEL</v>
      </c>
      <c r="B329" s="12" t="s">
        <v>104</v>
      </c>
      <c r="C329" s="96" t="s">
        <v>50</v>
      </c>
      <c r="D329" s="97" t="s">
        <v>40</v>
      </c>
      <c r="E329" s="98">
        <f>F329/F$313</f>
        <v>0.36935490645902996</v>
      </c>
      <c r="F329" s="99">
        <f>+SUM(F317:F328)</f>
        <v>126989.89192636377</v>
      </c>
      <c r="G329" s="100" t="s">
        <v>40</v>
      </c>
      <c r="H329" s="98">
        <f>I329/I$313</f>
        <v>0.36935490645902996</v>
      </c>
      <c r="I329" s="99">
        <f>+SUM(I317:I328)</f>
        <v>126989.89192636377</v>
      </c>
      <c r="J329" s="100" t="s">
        <v>40</v>
      </c>
      <c r="K329" s="98">
        <f>L329/L$313</f>
        <v>0.41181414897051721</v>
      </c>
      <c r="L329" s="99">
        <f>+SUM(L317:L328)</f>
        <v>141569.42000000001</v>
      </c>
      <c r="M329" s="151"/>
      <c r="N329" s="116">
        <f t="shared" si="126"/>
        <v>14579.528073636247</v>
      </c>
      <c r="O329" s="100" t="s">
        <v>40</v>
      </c>
      <c r="P329" s="98">
        <f>Q329/Q$313</f>
        <v>0.4187090923062089</v>
      </c>
      <c r="Q329" s="99">
        <f>+SUM(Q317:Q328)</f>
        <v>128323.88999999998</v>
      </c>
      <c r="R329" s="151"/>
      <c r="S329" s="117">
        <f t="shared" si="125"/>
        <v>13245.530000000028</v>
      </c>
      <c r="T329" s="14"/>
      <c r="U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96"/>
        <v>PiècesPublicité 2</v>
      </c>
      <c r="B330" s="12" t="s">
        <v>104</v>
      </c>
      <c r="C330" s="214" t="s">
        <v>51</v>
      </c>
      <c r="D330" s="82"/>
      <c r="E330" s="14"/>
      <c r="F330" s="31">
        <f>+SUM(START:END!F330)</f>
        <v>11176.4625</v>
      </c>
      <c r="G330" s="84"/>
      <c r="H330" s="14"/>
      <c r="I330" s="31">
        <f>+SUM(START:END!I330)</f>
        <v>11176.4625</v>
      </c>
      <c r="J330" s="42"/>
      <c r="K330" s="14"/>
      <c r="L330" s="34">
        <f>+SUM(START:END!L330)</f>
        <v>14084.929999999998</v>
      </c>
      <c r="M330" s="42"/>
      <c r="N330" s="60">
        <f t="shared" si="126"/>
        <v>2908.4674999999988</v>
      </c>
      <c r="O330" s="42"/>
      <c r="P330" s="14"/>
      <c r="Q330" s="34">
        <f>+SUM(START:END!Q330)</f>
        <v>7078.63</v>
      </c>
      <c r="R330" s="42"/>
      <c r="S330" s="86">
        <f t="shared" si="125"/>
        <v>7006.2999999999984</v>
      </c>
      <c r="T330" s="14"/>
      <c r="U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96"/>
        <v>PiècesService gratuit 2</v>
      </c>
      <c r="B331" s="12" t="s">
        <v>104</v>
      </c>
      <c r="C331" s="105" t="s">
        <v>52</v>
      </c>
      <c r="D331" s="82"/>
      <c r="E331" s="14"/>
      <c r="F331" s="31">
        <f>+SUM(START:END!F331)</f>
        <v>2163.9790757343535</v>
      </c>
      <c r="G331" s="84"/>
      <c r="H331" s="14"/>
      <c r="I331" s="31">
        <f>+SUM(START:END!I331)</f>
        <v>2163.9790757343535</v>
      </c>
      <c r="J331" s="42"/>
      <c r="K331" s="14"/>
      <c r="L331" s="34">
        <f>+SUM(START:END!L331)</f>
        <v>2438.4899999999998</v>
      </c>
      <c r="M331" s="42"/>
      <c r="N331" s="60">
        <f t="shared" si="126"/>
        <v>274.51092426564628</v>
      </c>
      <c r="O331" s="42"/>
      <c r="P331" s="14"/>
      <c r="Q331" s="34">
        <f>+SUM(START:END!Q331)</f>
        <v>100</v>
      </c>
      <c r="R331" s="42"/>
      <c r="S331" s="86">
        <f t="shared" si="125"/>
        <v>2338.4899999999998</v>
      </c>
      <c r="T331" s="14"/>
      <c r="U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96"/>
        <v>PiècesFrais véhicules de cie</v>
      </c>
      <c r="B332" s="12" t="s">
        <v>104</v>
      </c>
      <c r="C332" s="106" t="s">
        <v>53</v>
      </c>
      <c r="D332" s="89"/>
      <c r="E332" s="114"/>
      <c r="F332" s="23">
        <f>+SUM(START:END!F332)</f>
        <v>1300.5</v>
      </c>
      <c r="G332" s="91"/>
      <c r="H332" s="114"/>
      <c r="I332" s="23">
        <f>+SUM(START:END!I332)</f>
        <v>1300.5</v>
      </c>
      <c r="J332" s="24"/>
      <c r="K332" s="114"/>
      <c r="L332" s="34">
        <f>+SUM(START:END!L332)</f>
        <v>1916.23</v>
      </c>
      <c r="M332" s="24"/>
      <c r="N332" s="94">
        <f t="shared" si="126"/>
        <v>615.73</v>
      </c>
      <c r="O332" s="24"/>
      <c r="P332" s="114"/>
      <c r="Q332" s="34">
        <f>+SUM(START:END!Q332)</f>
        <v>856.18</v>
      </c>
      <c r="R332" s="24"/>
      <c r="S332" s="95">
        <f t="shared" si="125"/>
        <v>1060.0500000000002</v>
      </c>
      <c r="T332" s="14"/>
      <c r="U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96"/>
        <v>PiècesInformatique</v>
      </c>
      <c r="B333" s="12" t="s">
        <v>104</v>
      </c>
      <c r="C333" s="105" t="s">
        <v>54</v>
      </c>
      <c r="D333" s="82"/>
      <c r="E333" s="14"/>
      <c r="F333" s="31">
        <f>+SUM(START:END!F333)</f>
        <v>10468.4556875</v>
      </c>
      <c r="G333" s="84"/>
      <c r="H333" s="14"/>
      <c r="I333" s="31">
        <f>+SUM(START:END!I333)</f>
        <v>10468.4556875</v>
      </c>
      <c r="J333" s="42"/>
      <c r="K333" s="14"/>
      <c r="L333" s="111">
        <f>+SUM(START:END!L333)</f>
        <v>11591.56</v>
      </c>
      <c r="M333" s="42"/>
      <c r="N333" s="60">
        <f t="shared" si="126"/>
        <v>1123.1043124999997</v>
      </c>
      <c r="O333" s="42"/>
      <c r="P333" s="14"/>
      <c r="Q333" s="111">
        <f>+SUM(START:END!Q333)</f>
        <v>10567.79</v>
      </c>
      <c r="R333" s="42"/>
      <c r="S333" s="86">
        <f t="shared" si="125"/>
        <v>1023.7699999999986</v>
      </c>
      <c r="T333" s="14"/>
      <c r="U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96"/>
        <v>PiècesFrais de déplacement</v>
      </c>
      <c r="B334" s="12" t="s">
        <v>104</v>
      </c>
      <c r="C334" s="105" t="s">
        <v>55</v>
      </c>
      <c r="D334" s="82"/>
      <c r="E334" s="14"/>
      <c r="F334" s="31">
        <f>+SUM(START:END!F334)</f>
        <v>1856.5823437500003</v>
      </c>
      <c r="G334" s="84"/>
      <c r="H334" s="14"/>
      <c r="I334" s="31">
        <f>+SUM(START:END!I334)</f>
        <v>1856.5823437500003</v>
      </c>
      <c r="J334" s="42"/>
      <c r="K334" s="14"/>
      <c r="L334" s="34">
        <f>+SUM(START:END!L334)</f>
        <v>3075.24</v>
      </c>
      <c r="M334" s="42"/>
      <c r="N334" s="60">
        <f t="shared" si="126"/>
        <v>1218.6576562499995</v>
      </c>
      <c r="O334" s="42"/>
      <c r="P334" s="14"/>
      <c r="Q334" s="34">
        <f>+SUM(START:END!Q334)</f>
        <v>1120.8699999999999</v>
      </c>
      <c r="R334" s="42"/>
      <c r="S334" s="86">
        <f t="shared" si="125"/>
        <v>1954.37</v>
      </c>
      <c r="T334" s="14"/>
      <c r="U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96"/>
        <v>PiècesServices extérieurs</v>
      </c>
      <c r="B335" s="12" t="s">
        <v>104</v>
      </c>
      <c r="C335" s="234" t="s">
        <v>56</v>
      </c>
      <c r="D335" s="89"/>
      <c r="E335" s="114"/>
      <c r="F335" s="23">
        <f>+SUM(START:END!F335)</f>
        <v>25523.053166666665</v>
      </c>
      <c r="G335" s="91"/>
      <c r="H335" s="114"/>
      <c r="I335" s="23">
        <f>+SUM(START:END!I335)</f>
        <v>25523.053166666665</v>
      </c>
      <c r="J335" s="24"/>
      <c r="K335" s="114"/>
      <c r="L335" s="49">
        <f>+SUM(START:END!L335)</f>
        <v>30107.399999999998</v>
      </c>
      <c r="M335" s="24"/>
      <c r="N335" s="94">
        <f t="shared" si="126"/>
        <v>4584.3468333333331</v>
      </c>
      <c r="O335" s="24"/>
      <c r="P335" s="114"/>
      <c r="Q335" s="49">
        <f>+SUM(START:END!Q335)</f>
        <v>18597.2</v>
      </c>
      <c r="R335" s="24"/>
      <c r="S335" s="95">
        <f t="shared" si="125"/>
        <v>11510.199999999997</v>
      </c>
      <c r="T335" s="14"/>
      <c r="U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96"/>
        <v>PiècesFournitures d'atelier</v>
      </c>
      <c r="B336" s="12" t="s">
        <v>104</v>
      </c>
      <c r="C336" s="105" t="s">
        <v>99</v>
      </c>
      <c r="D336" s="82"/>
      <c r="E336" s="14"/>
      <c r="F336" s="31">
        <f>+SUM(START:END!F336)</f>
        <v>0</v>
      </c>
      <c r="G336" s="84"/>
      <c r="H336" s="14"/>
      <c r="I336" s="31">
        <f>+SUM(START:END!I336)</f>
        <v>0</v>
      </c>
      <c r="J336" s="42"/>
      <c r="K336" s="14"/>
      <c r="L336" s="34">
        <f>+SUM(START:END!L336)</f>
        <v>0</v>
      </c>
      <c r="M336" s="42"/>
      <c r="N336" s="60">
        <f t="shared" si="126"/>
        <v>0</v>
      </c>
      <c r="O336" s="42"/>
      <c r="P336" s="14"/>
      <c r="Q336" s="34">
        <f>+SUM(START:END!Q336)</f>
        <v>0</v>
      </c>
      <c r="R336" s="42"/>
      <c r="S336" s="86">
        <f t="shared" si="125"/>
        <v>0</v>
      </c>
      <c r="T336" s="14"/>
      <c r="U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96"/>
        <v>PiècesFournitures autres</v>
      </c>
      <c r="B337" s="12" t="s">
        <v>104</v>
      </c>
      <c r="C337" s="105" t="s">
        <v>57</v>
      </c>
      <c r="D337" s="82"/>
      <c r="E337" s="14"/>
      <c r="F337" s="31">
        <f>+SUM(START:END!F337)</f>
        <v>296.69411528651915</v>
      </c>
      <c r="G337" s="84"/>
      <c r="H337" s="14"/>
      <c r="I337" s="31">
        <f>+SUM(START:END!I337)</f>
        <v>296.69411528651915</v>
      </c>
      <c r="J337" s="42"/>
      <c r="K337" s="14"/>
      <c r="L337" s="34">
        <f>+SUM(START:END!L337)</f>
        <v>427.58</v>
      </c>
      <c r="M337" s="42"/>
      <c r="N337" s="60">
        <f t="shared" si="126"/>
        <v>130.88588471348083</v>
      </c>
      <c r="O337" s="42"/>
      <c r="P337" s="14"/>
      <c r="Q337" s="34">
        <f>+SUM(START:END!Q337)</f>
        <v>922.17</v>
      </c>
      <c r="R337" s="42"/>
      <c r="S337" s="86">
        <f t="shared" si="125"/>
        <v>-494.59</v>
      </c>
      <c r="T337" s="14"/>
      <c r="U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96"/>
        <v>PiècesUniformes</v>
      </c>
      <c r="B338" s="12" t="s">
        <v>104</v>
      </c>
      <c r="C338" s="105" t="s">
        <v>58</v>
      </c>
      <c r="D338" s="82"/>
      <c r="E338" s="14"/>
      <c r="F338" s="31">
        <f>+SUM(START:END!F338)</f>
        <v>157.65545343306846</v>
      </c>
      <c r="G338" s="84"/>
      <c r="H338" s="14"/>
      <c r="I338" s="31">
        <f>+SUM(START:END!I338)</f>
        <v>157.65545343306846</v>
      </c>
      <c r="J338" s="42"/>
      <c r="K338" s="14"/>
      <c r="L338" s="34">
        <f>+SUM(START:END!L338)</f>
        <v>0</v>
      </c>
      <c r="M338" s="42"/>
      <c r="N338" s="60">
        <f t="shared" si="126"/>
        <v>-157.65545343306846</v>
      </c>
      <c r="O338" s="42"/>
      <c r="P338" s="14"/>
      <c r="Q338" s="34">
        <f>+SUM(START:END!Q338)</f>
        <v>0</v>
      </c>
      <c r="R338" s="42"/>
      <c r="S338" s="86">
        <f t="shared" si="125"/>
        <v>0</v>
      </c>
      <c r="T338" s="14"/>
      <c r="U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96"/>
        <v>PiècesPapeterie</v>
      </c>
      <c r="B339" s="12" t="s">
        <v>104</v>
      </c>
      <c r="C339" s="105" t="s">
        <v>59</v>
      </c>
      <c r="D339" s="82"/>
      <c r="E339" s="14"/>
      <c r="F339" s="31">
        <f>+SUM(START:END!F339)</f>
        <v>1530.15075</v>
      </c>
      <c r="G339" s="84"/>
      <c r="H339" s="14"/>
      <c r="I339" s="31">
        <f>+SUM(START:END!I339)</f>
        <v>1530.15075</v>
      </c>
      <c r="J339" s="42"/>
      <c r="K339" s="14"/>
      <c r="L339" s="33">
        <f>+SUM(START:END!L339)</f>
        <v>1478.3400000000001</v>
      </c>
      <c r="M339" s="42"/>
      <c r="N339" s="60">
        <f t="shared" si="126"/>
        <v>-51.810749999999871</v>
      </c>
      <c r="O339" s="42"/>
      <c r="P339" s="14"/>
      <c r="Q339" s="33">
        <f>+SUM(START:END!Q339)</f>
        <v>2451.87</v>
      </c>
      <c r="R339" s="42"/>
      <c r="S339" s="86">
        <f t="shared" si="125"/>
        <v>-973.52999999999975</v>
      </c>
      <c r="T339" s="14"/>
      <c r="U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96"/>
        <v>PiècesTéléphone</v>
      </c>
      <c r="B340" s="12" t="s">
        <v>104</v>
      </c>
      <c r="C340" s="105" t="s">
        <v>60</v>
      </c>
      <c r="D340" s="82"/>
      <c r="E340" s="14"/>
      <c r="F340" s="31">
        <f>+SUM(START:END!F340)</f>
        <v>706.55748437500006</v>
      </c>
      <c r="G340" s="84"/>
      <c r="H340" s="14"/>
      <c r="I340" s="31">
        <f>+SUM(START:END!I340)</f>
        <v>706.55748437500006</v>
      </c>
      <c r="J340" s="42"/>
      <c r="K340" s="14"/>
      <c r="L340" s="34">
        <f>+SUM(START:END!L340)</f>
        <v>327.21000000000004</v>
      </c>
      <c r="M340" s="42"/>
      <c r="N340" s="60">
        <f t="shared" si="126"/>
        <v>-379.34748437500002</v>
      </c>
      <c r="O340" s="42"/>
      <c r="P340" s="14"/>
      <c r="Q340" s="34">
        <f>+SUM(START:END!Q340)</f>
        <v>304.03999999999996</v>
      </c>
      <c r="R340" s="42"/>
      <c r="S340" s="86">
        <f t="shared" si="125"/>
        <v>23.170000000000073</v>
      </c>
      <c r="T340" s="14"/>
      <c r="U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96"/>
        <v>PiècesFrais postaux</v>
      </c>
      <c r="B341" s="12" t="s">
        <v>104</v>
      </c>
      <c r="C341" s="105" t="s">
        <v>61</v>
      </c>
      <c r="D341" s="82"/>
      <c r="E341" s="14"/>
      <c r="F341" s="31">
        <f>+SUM(START:END!F341)</f>
        <v>377.14939062499991</v>
      </c>
      <c r="G341" s="84"/>
      <c r="H341" s="14"/>
      <c r="I341" s="31">
        <f>+SUM(START:END!I341)</f>
        <v>377.14939062499991</v>
      </c>
      <c r="J341" s="42"/>
      <c r="K341" s="14"/>
      <c r="L341" s="34">
        <f>+SUM(START:END!L341)</f>
        <v>-96.770000000000024</v>
      </c>
      <c r="M341" s="42"/>
      <c r="N341" s="60">
        <f t="shared" si="126"/>
        <v>-473.91939062499995</v>
      </c>
      <c r="O341" s="42"/>
      <c r="P341" s="14"/>
      <c r="Q341" s="34">
        <f>+SUM(START:END!Q341)</f>
        <v>-97.699999999999989</v>
      </c>
      <c r="R341" s="42"/>
      <c r="S341" s="86">
        <f t="shared" si="125"/>
        <v>0.92999999999996419</v>
      </c>
      <c r="T341" s="14"/>
      <c r="U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96"/>
        <v>PiècesDivers</v>
      </c>
      <c r="B342" s="12" t="s">
        <v>104</v>
      </c>
      <c r="C342" s="105" t="s">
        <v>62</v>
      </c>
      <c r="D342" s="82"/>
      <c r="E342" s="14"/>
      <c r="F342" s="31">
        <f>+SUM(START:END!F342)</f>
        <v>1819.2974843749994</v>
      </c>
      <c r="G342" s="84"/>
      <c r="H342" s="14"/>
      <c r="I342" s="31">
        <f>+SUM(START:END!I342)</f>
        <v>1819.2974843749994</v>
      </c>
      <c r="J342" s="42"/>
      <c r="K342" s="14"/>
      <c r="L342" s="34">
        <f>+SUM(START:END!L342)</f>
        <v>1114.43</v>
      </c>
      <c r="M342" s="42"/>
      <c r="N342" s="60">
        <f t="shared" si="126"/>
        <v>-704.86748437499932</v>
      </c>
      <c r="O342" s="42"/>
      <c r="P342" s="14"/>
      <c r="Q342" s="34">
        <f>+SUM(START:END!Q342)</f>
        <v>2078.7799999999997</v>
      </c>
      <c r="R342" s="42"/>
      <c r="S342" s="86">
        <f t="shared" si="125"/>
        <v>-964.34999999999968</v>
      </c>
      <c r="T342" s="14"/>
      <c r="U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96"/>
        <v>PiècesFormation</v>
      </c>
      <c r="B343" s="12" t="s">
        <v>104</v>
      </c>
      <c r="C343" s="105" t="s">
        <v>63</v>
      </c>
      <c r="D343" s="82"/>
      <c r="E343" s="14"/>
      <c r="F343" s="31">
        <f>+SUM(START:END!F343)</f>
        <v>2702.944375</v>
      </c>
      <c r="G343" s="84"/>
      <c r="H343" s="14"/>
      <c r="I343" s="31">
        <f>+SUM(START:END!I343)</f>
        <v>2702.944375</v>
      </c>
      <c r="J343" s="42"/>
      <c r="K343" s="14"/>
      <c r="L343" s="34">
        <f>+SUM(START:END!L343)</f>
        <v>554.81999999999994</v>
      </c>
      <c r="M343" s="42"/>
      <c r="N343" s="60">
        <f t="shared" si="126"/>
        <v>-2148.1243750000003</v>
      </c>
      <c r="O343" s="42"/>
      <c r="P343" s="14"/>
      <c r="Q343" s="34">
        <f>+SUM(START:END!Q343)</f>
        <v>566.41999999999996</v>
      </c>
      <c r="R343" s="42"/>
      <c r="S343" s="86">
        <f t="shared" si="125"/>
        <v>-11.600000000000023</v>
      </c>
      <c r="T343" s="14"/>
      <c r="U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96"/>
        <v>PiècesFrais bancaires</v>
      </c>
      <c r="B344" s="12" t="s">
        <v>104</v>
      </c>
      <c r="C344" s="105" t="s">
        <v>64</v>
      </c>
      <c r="D344" s="82"/>
      <c r="E344" s="14"/>
      <c r="F344" s="31">
        <f>+SUM(START:END!F344)</f>
        <v>6566.4021287532014</v>
      </c>
      <c r="G344" s="84"/>
      <c r="H344" s="14"/>
      <c r="I344" s="31">
        <f>+SUM(START:END!I344)</f>
        <v>6566.4021287532014</v>
      </c>
      <c r="J344" s="42"/>
      <c r="K344" s="14"/>
      <c r="L344" s="33">
        <f>+SUM(START:END!L344)</f>
        <v>5111.9560000000001</v>
      </c>
      <c r="M344" s="42"/>
      <c r="N344" s="60">
        <f t="shared" si="126"/>
        <v>-1454.4461287532013</v>
      </c>
      <c r="O344" s="42"/>
      <c r="P344" s="14"/>
      <c r="Q344" s="34">
        <f>+SUM(START:END!Q344)</f>
        <v>4561.1440000000002</v>
      </c>
      <c r="R344" s="42"/>
      <c r="S344" s="86">
        <f t="shared" si="125"/>
        <v>550.8119999999999</v>
      </c>
      <c r="T344" s="14"/>
      <c r="U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96"/>
        <v>Pièces[...]</v>
      </c>
      <c r="B345" s="12" t="s">
        <v>104</v>
      </c>
      <c r="C345" s="105" t="s">
        <v>21</v>
      </c>
      <c r="D345" s="82"/>
      <c r="E345" s="14"/>
      <c r="F345" s="31">
        <f>+SUM(START:END!F345)</f>
        <v>0</v>
      </c>
      <c r="G345" s="84"/>
      <c r="H345" s="14"/>
      <c r="I345" s="31">
        <f>+SUM(START:END!I345)</f>
        <v>0</v>
      </c>
      <c r="J345" s="42"/>
      <c r="K345" s="14"/>
      <c r="L345" s="34">
        <f>+SUM(START:END!L345)</f>
        <v>0</v>
      </c>
      <c r="M345" s="42"/>
      <c r="N345" s="60">
        <f t="shared" si="126"/>
        <v>0</v>
      </c>
      <c r="O345" s="42"/>
      <c r="P345" s="14"/>
      <c r="Q345" s="34">
        <f>+SUM(START:END!Q345)</f>
        <v>0</v>
      </c>
      <c r="R345" s="42"/>
      <c r="S345" s="86">
        <f t="shared" si="125"/>
        <v>0</v>
      </c>
      <c r="T345" s="14"/>
      <c r="U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96"/>
        <v>Pièces[...]</v>
      </c>
      <c r="B346" s="12" t="s">
        <v>104</v>
      </c>
      <c r="C346" s="105" t="s">
        <v>21</v>
      </c>
      <c r="D346" s="82"/>
      <c r="E346" s="14"/>
      <c r="F346" s="31">
        <f>+SUM(START:END!F346)</f>
        <v>0</v>
      </c>
      <c r="G346" s="84"/>
      <c r="H346" s="14"/>
      <c r="I346" s="31">
        <f>+SUM(START:END!I346)</f>
        <v>0</v>
      </c>
      <c r="J346" s="42"/>
      <c r="K346" s="14"/>
      <c r="L346" s="34">
        <f>+SUM(START:END!L346)</f>
        <v>0</v>
      </c>
      <c r="M346" s="42"/>
      <c r="N346" s="60">
        <f t="shared" si="126"/>
        <v>0</v>
      </c>
      <c r="O346" s="42"/>
      <c r="P346" s="14"/>
      <c r="Q346" s="34">
        <f>+SUM(START:END!Q346)</f>
        <v>0</v>
      </c>
      <c r="R346" s="42"/>
      <c r="S346" s="86">
        <f t="shared" si="125"/>
        <v>0</v>
      </c>
      <c r="T346" s="14"/>
      <c r="U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96"/>
        <v>Pièces[...]</v>
      </c>
      <c r="B347" s="12" t="s">
        <v>104</v>
      </c>
      <c r="C347" s="105" t="s">
        <v>21</v>
      </c>
      <c r="D347" s="82"/>
      <c r="E347" s="14"/>
      <c r="F347" s="31">
        <f>+SUM(START:END!F347)</f>
        <v>0</v>
      </c>
      <c r="G347" s="84"/>
      <c r="H347" s="14"/>
      <c r="I347" s="31">
        <f>+SUM(START:END!I347)</f>
        <v>0</v>
      </c>
      <c r="J347" s="42"/>
      <c r="K347" s="14"/>
      <c r="L347" s="34">
        <f>+SUM(START:END!L347)</f>
        <v>0</v>
      </c>
      <c r="M347" s="42"/>
      <c r="N347" s="60">
        <f t="shared" si="126"/>
        <v>0</v>
      </c>
      <c r="O347" s="42"/>
      <c r="P347" s="14"/>
      <c r="Q347" s="34">
        <f>+SUM(START:END!Q347)</f>
        <v>0</v>
      </c>
      <c r="R347" s="42"/>
      <c r="S347" s="86">
        <f t="shared" si="125"/>
        <v>0</v>
      </c>
      <c r="T347" s="14"/>
      <c r="U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6" t="s">
        <v>65</v>
      </c>
      <c r="D348" s="97" t="s">
        <v>40</v>
      </c>
      <c r="E348" s="98">
        <f>F348/F$313</f>
        <v>0.19384207562391209</v>
      </c>
      <c r="F348" s="99">
        <f>+SUM(F330:F347)</f>
        <v>66645.883955498808</v>
      </c>
      <c r="G348" s="100" t="s">
        <v>40</v>
      </c>
      <c r="H348" s="98">
        <f>I348/I$313</f>
        <v>0.19384207562391209</v>
      </c>
      <c r="I348" s="99">
        <f>+SUM(I330:I347)</f>
        <v>66645.883955498808</v>
      </c>
      <c r="J348" s="100" t="s">
        <v>40</v>
      </c>
      <c r="K348" s="98">
        <f>L348/L$313</f>
        <v>0.20982453480475052</v>
      </c>
      <c r="L348" s="99">
        <f>+SUM(L330:L347)</f>
        <v>72131.415999999997</v>
      </c>
      <c r="M348" s="103"/>
      <c r="N348" s="99">
        <f>+SUM(N330:N347)</f>
        <v>5485.5320445011885</v>
      </c>
      <c r="O348" s="100" t="s">
        <v>40</v>
      </c>
      <c r="P348" s="98">
        <f>Q348/Q$313</f>
        <v>0.16023292597554026</v>
      </c>
      <c r="Q348" s="99">
        <f>+SUM(Q330:Q347)</f>
        <v>49107.394</v>
      </c>
      <c r="R348" s="103"/>
      <c r="S348" s="104">
        <f>+SUM(S330:S347)</f>
        <v>23024.021999999997</v>
      </c>
      <c r="T348" s="14"/>
      <c r="U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4"/>
      <c r="F349" s="60"/>
      <c r="G349" s="91"/>
      <c r="H349" s="114"/>
      <c r="I349" s="60"/>
      <c r="J349" s="24"/>
      <c r="K349" s="114"/>
      <c r="L349" s="94"/>
      <c r="M349" s="24"/>
      <c r="N349" s="94"/>
      <c r="O349" s="24"/>
      <c r="P349" s="114"/>
      <c r="Q349" s="94"/>
      <c r="R349" s="24"/>
      <c r="S349" s="95"/>
      <c r="T349" s="14"/>
      <c r="U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6" t="s">
        <v>66</v>
      </c>
      <c r="D350" s="97" t="s">
        <v>40</v>
      </c>
      <c r="E350" s="98">
        <f>F350/F$313</f>
        <v>0.563196982082942</v>
      </c>
      <c r="F350" s="99">
        <f>F329+F348</f>
        <v>193635.77588186256</v>
      </c>
      <c r="G350" s="100" t="s">
        <v>40</v>
      </c>
      <c r="H350" s="98">
        <f>I350/I$313</f>
        <v>0.563196982082942</v>
      </c>
      <c r="I350" s="99">
        <f>I329+I348</f>
        <v>193635.77588186256</v>
      </c>
      <c r="J350" s="100" t="s">
        <v>40</v>
      </c>
      <c r="K350" s="98">
        <f>L350/L$313</f>
        <v>0.62163868377526765</v>
      </c>
      <c r="L350" s="99">
        <f>L329+L348</f>
        <v>213700.83600000001</v>
      </c>
      <c r="M350" s="103"/>
      <c r="N350" s="116">
        <f t="shared" ref="N350:N352" si="127">L350-I350</f>
        <v>20065.060118137451</v>
      </c>
      <c r="O350" s="100" t="s">
        <v>40</v>
      </c>
      <c r="P350" s="98">
        <f>Q350/Q$313</f>
        <v>0.57894201828174918</v>
      </c>
      <c r="Q350" s="99">
        <f>Q329+Q348</f>
        <v>177431.28399999999</v>
      </c>
      <c r="R350" s="103"/>
      <c r="S350" s="117">
        <f>L350-Q350</f>
        <v>36269.552000000025</v>
      </c>
      <c r="T350" s="14"/>
      <c r="U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f t="shared" si="127"/>
        <v>0</v>
      </c>
      <c r="O351" s="42"/>
      <c r="P351" s="14"/>
      <c r="Q351" s="60"/>
      <c r="R351" s="42"/>
      <c r="S351" s="86"/>
      <c r="T351" s="14"/>
      <c r="U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75" customHeight="1" thickBot="1">
      <c r="B352" s="7"/>
      <c r="C352" s="127" t="s">
        <v>73</v>
      </c>
      <c r="D352" s="156"/>
      <c r="E352" s="128"/>
      <c r="F352" s="130">
        <f>F313-F350</f>
        <v>150179.58897629968</v>
      </c>
      <c r="G352" s="157"/>
      <c r="H352" s="128"/>
      <c r="I352" s="130">
        <f>I313-I350</f>
        <v>150179.58897629968</v>
      </c>
      <c r="J352" s="158"/>
      <c r="K352" s="129"/>
      <c r="L352" s="130">
        <f>L313-L350</f>
        <v>130069.33399999997</v>
      </c>
      <c r="M352" s="158"/>
      <c r="N352" s="130">
        <f t="shared" si="127"/>
        <v>-20110.254976299708</v>
      </c>
      <c r="O352" s="158"/>
      <c r="P352" s="129"/>
      <c r="Q352" s="130">
        <f>Q313-Q350</f>
        <v>129043.766</v>
      </c>
      <c r="R352" s="158"/>
      <c r="S352" s="132">
        <f>L352-Q352</f>
        <v>1025.5679999999702</v>
      </c>
      <c r="T352" s="14"/>
      <c r="U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5"/>
      <c r="G353" s="82"/>
      <c r="H353" s="14"/>
      <c r="I353" s="115"/>
      <c r="J353" s="77"/>
      <c r="K353" s="77"/>
      <c r="L353" s="115"/>
      <c r="M353" s="77"/>
      <c r="N353" s="115"/>
      <c r="O353" s="77"/>
      <c r="P353" s="77"/>
      <c r="Q353" s="115"/>
      <c r="R353" s="77"/>
      <c r="S353" s="115"/>
      <c r="T353" s="14"/>
      <c r="U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customHeight="1">
      <c r="B354" s="7"/>
      <c r="C354" s="77"/>
      <c r="D354" s="82"/>
      <c r="E354" s="14"/>
      <c r="F354" s="115"/>
      <c r="G354" s="82"/>
      <c r="H354" s="14"/>
      <c r="I354" s="115">
        <f>+I193</f>
        <v>632673.06061653804</v>
      </c>
      <c r="J354" s="77"/>
      <c r="K354" s="77"/>
      <c r="L354" s="115">
        <f>+L193</f>
        <v>593892.84</v>
      </c>
      <c r="M354" s="77"/>
      <c r="N354" s="115">
        <f>+L354-I354</f>
        <v>-38780.220616538078</v>
      </c>
      <c r="O354" s="77"/>
      <c r="P354" s="77"/>
      <c r="Q354" s="115"/>
      <c r="R354" s="77"/>
      <c r="S354" s="115"/>
      <c r="T354" s="14"/>
      <c r="U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6" t="str">
        <f>+C290</f>
        <v>Conso</v>
      </c>
      <c r="D355" s="2"/>
      <c r="E355" s="2"/>
      <c r="F355" s="2"/>
      <c r="G355" s="2"/>
      <c r="H355" s="1"/>
      <c r="I355" s="1"/>
      <c r="J355" s="1"/>
      <c r="K355" s="3" t="s">
        <v>120</v>
      </c>
      <c r="L355" s="2"/>
      <c r="M355" s="2"/>
      <c r="N355" s="1"/>
      <c r="O355" s="1"/>
      <c r="P355" s="2"/>
      <c r="Q355" s="1"/>
      <c r="R355" s="2"/>
      <c r="S355" s="5" t="str">
        <f>$S$1</f>
        <v>Réalisé  Volks T2 2022</v>
      </c>
      <c r="T355" s="11"/>
      <c r="U355" s="11"/>
      <c r="X355" s="14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X356" s="14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customHeight="1" thickTop="1">
      <c r="B357" s="7"/>
      <c r="C357" s="13"/>
      <c r="D357" s="896" t="s">
        <v>5</v>
      </c>
      <c r="E357" s="897"/>
      <c r="F357" s="898"/>
      <c r="G357" s="894" t="s">
        <v>75</v>
      </c>
      <c r="H357" s="897"/>
      <c r="I357" s="898"/>
      <c r="J357" s="894" t="s">
        <v>7</v>
      </c>
      <c r="K357" s="897"/>
      <c r="L357" s="898"/>
      <c r="M357" s="894" t="s">
        <v>8</v>
      </c>
      <c r="N357" s="898"/>
      <c r="O357" s="896" t="s">
        <v>9</v>
      </c>
      <c r="P357" s="897"/>
      <c r="Q357" s="898"/>
      <c r="R357" s="894" t="s">
        <v>10</v>
      </c>
      <c r="S357" s="895"/>
      <c r="T357" s="11"/>
      <c r="U357" s="11"/>
      <c r="X357" s="14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customHeight="1" thickBot="1">
      <c r="A358" t="str">
        <f t="shared" ref="A358:A393" si="128">+B358&amp;C358</f>
        <v>Boutique</v>
      </c>
      <c r="B358" s="12" t="s">
        <v>120</v>
      </c>
      <c r="C358" s="30"/>
      <c r="D358" s="235" t="s">
        <v>85</v>
      </c>
      <c r="E358" s="235" t="s">
        <v>105</v>
      </c>
      <c r="F358" s="236" t="s">
        <v>13</v>
      </c>
      <c r="G358" s="237" t="s">
        <v>85</v>
      </c>
      <c r="H358" s="235" t="s">
        <v>105</v>
      </c>
      <c r="I358" s="236" t="s">
        <v>13</v>
      </c>
      <c r="J358" s="138" t="s">
        <v>85</v>
      </c>
      <c r="K358" s="81" t="s">
        <v>105</v>
      </c>
      <c r="L358" s="137" t="s">
        <v>13</v>
      </c>
      <c r="M358" s="138" t="s">
        <v>41</v>
      </c>
      <c r="N358" s="137" t="s">
        <v>13</v>
      </c>
      <c r="O358" s="138" t="s">
        <v>85</v>
      </c>
      <c r="P358" s="81" t="s">
        <v>105</v>
      </c>
      <c r="Q358" s="137" t="s">
        <v>13</v>
      </c>
      <c r="R358" s="138" t="s">
        <v>86</v>
      </c>
      <c r="S358" s="139" t="s">
        <v>13</v>
      </c>
      <c r="T358" s="11"/>
      <c r="U358" s="11"/>
      <c r="X358" s="14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customHeight="1" thickTop="1">
      <c r="A359" t="str">
        <f t="shared" si="128"/>
        <v>BoutiqueBoutique</v>
      </c>
      <c r="B359" s="12" t="s">
        <v>120</v>
      </c>
      <c r="C359" s="63" t="s">
        <v>120</v>
      </c>
      <c r="D359" s="238">
        <f>+SUM(START:END!D359)</f>
        <v>0</v>
      </c>
      <c r="E359" s="239">
        <f>IFERROR(F359/D359,0)</f>
        <v>0</v>
      </c>
      <c r="F359" s="240">
        <f>+SUM(START:END!F359)</f>
        <v>0</v>
      </c>
      <c r="G359" s="238">
        <f>+SUM(START:END!G359)</f>
        <v>0</v>
      </c>
      <c r="H359" s="239">
        <f>IFERROR(I359/G359,0)</f>
        <v>0</v>
      </c>
      <c r="I359" s="238">
        <f>+SUM(START:END!I359)</f>
        <v>0</v>
      </c>
      <c r="J359" s="241">
        <f>+SUM(START:END!J359)</f>
        <v>0</v>
      </c>
      <c r="K359" s="222">
        <f>IFERROR(L359/J359,0)</f>
        <v>0</v>
      </c>
      <c r="L359" s="242">
        <f>+SUM(START:END!L359)</f>
        <v>0</v>
      </c>
      <c r="M359" s="223">
        <f>IF(G359=0,0,(+J359-G359)/G359)</f>
        <v>0</v>
      </c>
      <c r="N359" s="224">
        <f>L359-I359</f>
        <v>0</v>
      </c>
      <c r="O359" s="241">
        <f>+SUM(START:END!O359)</f>
        <v>0</v>
      </c>
      <c r="P359" s="222">
        <f>IFERROR(Q359/O359,0)</f>
        <v>0</v>
      </c>
      <c r="Q359" s="242">
        <f>+SUM(START:END!Q359)</f>
        <v>0</v>
      </c>
      <c r="R359" s="223">
        <f>IF(O359=0,0,(J359-O359)/O359)</f>
        <v>0</v>
      </c>
      <c r="S359" s="225">
        <f>L359-Q359</f>
        <v>0</v>
      </c>
      <c r="T359" s="11"/>
      <c r="U359" s="11"/>
      <c r="X359" s="243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customHeight="1" thickBot="1">
      <c r="A360" t="str">
        <f t="shared" si="128"/>
        <v>Boutique</v>
      </c>
      <c r="B360" s="12" t="s">
        <v>120</v>
      </c>
      <c r="C360" s="226"/>
      <c r="D360" s="227"/>
      <c r="E360" s="228"/>
      <c r="F360" s="229"/>
      <c r="G360" s="230"/>
      <c r="H360" s="228"/>
      <c r="I360" s="229"/>
      <c r="J360" s="230"/>
      <c r="K360" s="228"/>
      <c r="L360" s="229"/>
      <c r="M360" s="231"/>
      <c r="N360" s="75"/>
      <c r="O360" s="230"/>
      <c r="P360" s="228"/>
      <c r="Q360" s="229"/>
      <c r="R360" s="231"/>
      <c r="S360" s="76"/>
      <c r="T360" s="11"/>
      <c r="U360" s="11"/>
      <c r="X360" s="14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customHeight="1" thickTop="1">
      <c r="A361" t="str">
        <f t="shared" si="128"/>
        <v>BoutiqueTotal Dépt. Boutique</v>
      </c>
      <c r="B361" s="12" t="s">
        <v>120</v>
      </c>
      <c r="C361" s="54" t="s">
        <v>121</v>
      </c>
      <c r="D361" s="244">
        <f>+D359</f>
        <v>0</v>
      </c>
      <c r="E361" s="177">
        <f>IF(D361&lt;=0,0,F361/D361)</f>
        <v>0</v>
      </c>
      <c r="F361" s="179">
        <f t="shared" ref="F361" si="129">+F359</f>
        <v>0</v>
      </c>
      <c r="G361" s="178">
        <f>+G359</f>
        <v>0</v>
      </c>
      <c r="H361" s="177">
        <f>IF(G361&lt;=0,0,I361/G361)</f>
        <v>0</v>
      </c>
      <c r="I361" s="179">
        <f t="shared" ref="I361" si="130">+I359</f>
        <v>0</v>
      </c>
      <c r="J361" s="178">
        <f>+J359</f>
        <v>0</v>
      </c>
      <c r="K361" s="177">
        <f>IF(J361&lt;=0,0,L361/J361)</f>
        <v>0</v>
      </c>
      <c r="L361" s="179">
        <f t="shared" ref="L361" si="131">+L359</f>
        <v>0</v>
      </c>
      <c r="M361" s="245">
        <f>IF(G361=0,0,(+J361-G361)/G361)</f>
        <v>0</v>
      </c>
      <c r="N361" s="246">
        <f>L361-I361</f>
        <v>0</v>
      </c>
      <c r="O361" s="178">
        <f>+O359</f>
        <v>0</v>
      </c>
      <c r="P361" s="177">
        <f>IF(O361&lt;=0,0,Q361/O361)</f>
        <v>0</v>
      </c>
      <c r="Q361" s="179">
        <f t="shared" ref="Q361" si="132">+Q359</f>
        <v>0</v>
      </c>
      <c r="R361" s="42">
        <f>IF(O361=0,0,(J361-O361)/O361)</f>
        <v>0</v>
      </c>
      <c r="S361" s="45">
        <f>L361-Q361</f>
        <v>0</v>
      </c>
      <c r="T361" s="11"/>
      <c r="U361" s="11"/>
      <c r="X361" s="14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customHeight="1">
      <c r="A362" t="str">
        <f t="shared" si="128"/>
        <v>Boutique</v>
      </c>
      <c r="B362" s="12" t="s">
        <v>120</v>
      </c>
      <c r="C362" s="80"/>
      <c r="D362" s="14"/>
      <c r="E362" s="14"/>
      <c r="F362" s="60"/>
      <c r="G362" s="42"/>
      <c r="H362" s="247"/>
      <c r="I362" s="60"/>
      <c r="J362" s="42"/>
      <c r="K362" s="14"/>
      <c r="L362" s="41"/>
      <c r="M362" s="42"/>
      <c r="N362" s="248">
        <f>IF(H362=0,0,(+K362-H362)/H362)</f>
        <v>0</v>
      </c>
      <c r="O362" s="42"/>
      <c r="P362" s="14"/>
      <c r="Q362" s="41"/>
      <c r="R362" s="42"/>
      <c r="S362" s="62">
        <f>IF(Q361=0,0,S361/Q361)</f>
        <v>0</v>
      </c>
      <c r="T362" s="11"/>
      <c r="U362" s="11"/>
      <c r="X362" s="14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customHeight="1">
      <c r="A363" t="str">
        <f t="shared" si="128"/>
        <v>BoutiqueDEPENSES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X363" s="14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customHeight="1">
      <c r="A364" t="str">
        <f t="shared" si="128"/>
        <v>BoutiqueSalaires cadres</v>
      </c>
      <c r="B364" s="12" t="s">
        <v>120</v>
      </c>
      <c r="C364" s="105" t="s">
        <v>42</v>
      </c>
      <c r="D364" s="14"/>
      <c r="E364" s="14"/>
      <c r="F364" s="31">
        <f>+SUM(START:END!F364)</f>
        <v>0</v>
      </c>
      <c r="G364" s="42"/>
      <c r="H364" s="14"/>
      <c r="I364" s="31">
        <f>+SUM(START:END!I364)</f>
        <v>0</v>
      </c>
      <c r="J364" s="42"/>
      <c r="K364" s="14"/>
      <c r="L364" s="34">
        <f>+SUM(START:END!L364)</f>
        <v>0</v>
      </c>
      <c r="M364" s="42"/>
      <c r="N364" s="41"/>
      <c r="O364" s="42"/>
      <c r="P364" s="14"/>
      <c r="Q364" s="34">
        <f>+SUM(START:END!Q364)</f>
        <v>0</v>
      </c>
      <c r="R364" s="42"/>
      <c r="S364" s="35">
        <f>L364-Q364</f>
        <v>0</v>
      </c>
      <c r="T364" s="11"/>
      <c r="U364" s="11"/>
      <c r="X364" s="14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customHeight="1">
      <c r="A365" t="str">
        <f t="shared" si="128"/>
        <v>BoutiqueSalaires commis</v>
      </c>
      <c r="B365" s="12" t="s">
        <v>120</v>
      </c>
      <c r="C365" s="106" t="s">
        <v>43</v>
      </c>
      <c r="D365" s="82"/>
      <c r="E365" s="14"/>
      <c r="F365" s="23">
        <f>+SUM(START:END!F365)</f>
        <v>0</v>
      </c>
      <c r="G365" s="84"/>
      <c r="H365" s="14"/>
      <c r="I365" s="23">
        <f>+SUM(START:END!I365)</f>
        <v>0</v>
      </c>
      <c r="J365" s="42"/>
      <c r="K365" s="14"/>
      <c r="L365" s="23">
        <f>+SUM(START:END!L365)</f>
        <v>0</v>
      </c>
      <c r="M365" s="42"/>
      <c r="N365" s="60">
        <f t="shared" ref="N365:N393" si="133">L365-I365</f>
        <v>0</v>
      </c>
      <c r="O365" s="42"/>
      <c r="P365" s="14"/>
      <c r="Q365" s="23">
        <f>+SUM(START:END!Q365)</f>
        <v>0</v>
      </c>
      <c r="R365" s="42"/>
      <c r="S365" s="86">
        <f t="shared" ref="S365:S393" si="134">L365-Q365</f>
        <v>0</v>
      </c>
      <c r="T365" s="11"/>
      <c r="U365" s="11"/>
      <c r="X365" s="14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customHeight="1">
      <c r="A366" t="str">
        <f t="shared" si="128"/>
        <v>BoutiqueSalaires autres</v>
      </c>
      <c r="B366" s="12" t="s">
        <v>120</v>
      </c>
      <c r="C366" s="105" t="s">
        <v>44</v>
      </c>
      <c r="D366" s="107"/>
      <c r="E366" s="108"/>
      <c r="F366" s="31">
        <f>+SUM(START:END!F366)</f>
        <v>0</v>
      </c>
      <c r="G366" s="109"/>
      <c r="H366" s="108"/>
      <c r="I366" s="31">
        <f>+SUM(START:END!I366)</f>
        <v>0</v>
      </c>
      <c r="J366" s="110"/>
      <c r="K366" s="108"/>
      <c r="L366" s="34">
        <f>+SUM(START:END!L366)</f>
        <v>0</v>
      </c>
      <c r="M366" s="110"/>
      <c r="N366" s="112">
        <f t="shared" si="133"/>
        <v>0</v>
      </c>
      <c r="O366" s="110"/>
      <c r="P366" s="108"/>
      <c r="Q366" s="34">
        <f>+SUM(START:END!Q366)</f>
        <v>0</v>
      </c>
      <c r="R366" s="110"/>
      <c r="S366" s="113">
        <f t="shared" si="134"/>
        <v>0</v>
      </c>
      <c r="T366" s="11"/>
      <c r="U366" s="11"/>
      <c r="X366" s="14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customHeight="1">
      <c r="A367" t="str">
        <f t="shared" si="128"/>
        <v>BoutiqueSalaires spécialistes</v>
      </c>
      <c r="B367" s="12" t="s">
        <v>120</v>
      </c>
      <c r="C367" s="105" t="s">
        <v>45</v>
      </c>
      <c r="D367" s="82"/>
      <c r="E367" s="14"/>
      <c r="F367" s="31">
        <f>+SUM(START:END!F367)</f>
        <v>0</v>
      </c>
      <c r="G367" s="84"/>
      <c r="H367" s="14"/>
      <c r="I367" s="31">
        <f>+SUM(START:END!I367)</f>
        <v>0</v>
      </c>
      <c r="J367" s="42"/>
      <c r="K367" s="14"/>
      <c r="L367" s="34">
        <f>+SUM(START:END!L367)</f>
        <v>0</v>
      </c>
      <c r="M367" s="42"/>
      <c r="N367" s="60">
        <f t="shared" si="133"/>
        <v>0</v>
      </c>
      <c r="O367" s="42"/>
      <c r="P367" s="14"/>
      <c r="Q367" s="34">
        <f>+SUM(START:END!Q367)</f>
        <v>0</v>
      </c>
      <c r="R367" s="42"/>
      <c r="S367" s="86">
        <f t="shared" si="134"/>
        <v>0</v>
      </c>
      <c r="T367" s="11"/>
      <c r="U367" s="11"/>
      <c r="X367" s="14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28"/>
        <v>Boutique[...]</v>
      </c>
      <c r="B368" s="12" t="s">
        <v>120</v>
      </c>
      <c r="C368" s="30" t="s">
        <v>21</v>
      </c>
      <c r="D368" s="82"/>
      <c r="E368" s="14"/>
      <c r="F368" s="31">
        <f>+SUM(START:END!F368)</f>
        <v>0</v>
      </c>
      <c r="G368" s="84"/>
      <c r="H368" s="14"/>
      <c r="I368" s="31">
        <f>+SUM(START:END!I368)</f>
        <v>0</v>
      </c>
      <c r="J368" s="42"/>
      <c r="K368" s="14"/>
      <c r="L368" s="34">
        <f>+SUM(START:END!L368)</f>
        <v>0</v>
      </c>
      <c r="M368" s="42"/>
      <c r="N368" s="60">
        <f t="shared" si="133"/>
        <v>0</v>
      </c>
      <c r="O368" s="42"/>
      <c r="P368" s="14"/>
      <c r="Q368" s="34">
        <f>+SUM(START:END!Q368)</f>
        <v>0</v>
      </c>
      <c r="R368" s="42"/>
      <c r="S368" s="86">
        <f t="shared" si="134"/>
        <v>0</v>
      </c>
      <c r="T368" s="11"/>
      <c r="U368" s="11"/>
      <c r="X368" s="14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28"/>
        <v>Boutique[...]</v>
      </c>
      <c r="B369" s="12" t="s">
        <v>120</v>
      </c>
      <c r="C369" s="30" t="s">
        <v>21</v>
      </c>
      <c r="D369" s="82"/>
      <c r="E369" s="14"/>
      <c r="F369" s="31">
        <f>+SUM(START:END!F369)</f>
        <v>0</v>
      </c>
      <c r="G369" s="84"/>
      <c r="H369" s="14"/>
      <c r="I369" s="31">
        <f>+SUM(START:END!I369)</f>
        <v>0</v>
      </c>
      <c r="J369" s="42"/>
      <c r="K369" s="14"/>
      <c r="L369" s="34">
        <f>+SUM(START:END!L369)</f>
        <v>0</v>
      </c>
      <c r="M369" s="42"/>
      <c r="N369" s="60">
        <f t="shared" si="133"/>
        <v>0</v>
      </c>
      <c r="O369" s="42"/>
      <c r="P369" s="14"/>
      <c r="Q369" s="34">
        <f>+SUM(START:END!Q369)</f>
        <v>0</v>
      </c>
      <c r="R369" s="42"/>
      <c r="S369" s="86">
        <f t="shared" si="134"/>
        <v>0</v>
      </c>
      <c r="T369" s="11"/>
      <c r="U369" s="11"/>
      <c r="X369" s="14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28"/>
        <v>Boutique[...]</v>
      </c>
      <c r="B370" s="12" t="s">
        <v>120</v>
      </c>
      <c r="C370" s="30" t="s">
        <v>21</v>
      </c>
      <c r="D370" s="82"/>
      <c r="E370" s="14"/>
      <c r="F370" s="31">
        <f>+SUM(START:END!F370)</f>
        <v>0</v>
      </c>
      <c r="G370" s="84"/>
      <c r="H370" s="14"/>
      <c r="I370" s="31">
        <f>+SUM(START:END!I370)</f>
        <v>0</v>
      </c>
      <c r="J370" s="42"/>
      <c r="K370" s="14"/>
      <c r="L370" s="34">
        <f>+SUM(START:END!L370)</f>
        <v>0</v>
      </c>
      <c r="M370" s="42"/>
      <c r="N370" s="60">
        <f t="shared" si="133"/>
        <v>0</v>
      </c>
      <c r="O370" s="42"/>
      <c r="P370" s="14"/>
      <c r="Q370" s="34">
        <f>+SUM(START:END!Q370)</f>
        <v>0</v>
      </c>
      <c r="R370" s="42"/>
      <c r="S370" s="86">
        <f t="shared" si="134"/>
        <v>0</v>
      </c>
      <c r="T370" s="11"/>
      <c r="U370" s="11"/>
      <c r="X370" s="14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customHeight="1">
      <c r="A371" t="str">
        <f t="shared" si="128"/>
        <v>BoutiqueSalaires en absences</v>
      </c>
      <c r="B371" s="12" t="s">
        <v>120</v>
      </c>
      <c r="C371" s="106" t="s">
        <v>46</v>
      </c>
      <c r="D371" s="82"/>
      <c r="E371" s="14"/>
      <c r="F371" s="23">
        <f>+SUM(START:END!F371)</f>
        <v>0</v>
      </c>
      <c r="G371" s="84"/>
      <c r="H371" s="14"/>
      <c r="I371" s="23">
        <f>+SUM(START:END!I371)</f>
        <v>0</v>
      </c>
      <c r="J371" s="42"/>
      <c r="K371" s="14"/>
      <c r="L371" s="23">
        <f>+SUM(START:END!L371)</f>
        <v>0</v>
      </c>
      <c r="M371" s="42"/>
      <c r="N371" s="60">
        <f t="shared" si="133"/>
        <v>0</v>
      </c>
      <c r="O371" s="42"/>
      <c r="P371" s="14"/>
      <c r="Q371" s="23">
        <f>+SUM(START:END!Q371)</f>
        <v>0</v>
      </c>
      <c r="R371" s="42"/>
      <c r="S371" s="86">
        <f t="shared" si="134"/>
        <v>0</v>
      </c>
      <c r="T371" s="11"/>
      <c r="U371" s="11"/>
      <c r="X371" s="14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customHeight="1">
      <c r="A372" t="str">
        <f t="shared" si="128"/>
        <v>BoutiqueDéduction à la source</v>
      </c>
      <c r="B372" s="12" t="s">
        <v>120</v>
      </c>
      <c r="C372" s="105" t="s">
        <v>47</v>
      </c>
      <c r="D372" s="107"/>
      <c r="E372" s="108"/>
      <c r="F372" s="31">
        <f>+SUM(START:END!F372)</f>
        <v>0</v>
      </c>
      <c r="G372" s="109"/>
      <c r="H372" s="108"/>
      <c r="I372" s="31">
        <f>+SUM(START:END!I372)</f>
        <v>0</v>
      </c>
      <c r="J372" s="110"/>
      <c r="K372" s="108"/>
      <c r="L372" s="34">
        <f>+SUM(START:END!L372)</f>
        <v>0</v>
      </c>
      <c r="M372" s="110"/>
      <c r="N372" s="112">
        <f t="shared" si="133"/>
        <v>0</v>
      </c>
      <c r="O372" s="110"/>
      <c r="P372" s="108"/>
      <c r="Q372" s="34">
        <f>+SUM(START:END!Q372)</f>
        <v>0</v>
      </c>
      <c r="R372" s="110"/>
      <c r="S372" s="113">
        <f t="shared" si="134"/>
        <v>0</v>
      </c>
      <c r="T372" s="11"/>
      <c r="U372" s="11"/>
      <c r="X372" s="14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customHeight="1">
      <c r="A373" t="str">
        <f t="shared" si="128"/>
        <v>BoutiqueBénéfices marginaux</v>
      </c>
      <c r="B373" s="12" t="s">
        <v>120</v>
      </c>
      <c r="C373" s="105" t="s">
        <v>48</v>
      </c>
      <c r="D373" s="82"/>
      <c r="E373" s="14"/>
      <c r="F373" s="31">
        <f>+SUM(START:END!F373)</f>
        <v>0</v>
      </c>
      <c r="G373" s="84"/>
      <c r="H373" s="14"/>
      <c r="I373" s="31">
        <f>+SUM(START:END!I373)</f>
        <v>0</v>
      </c>
      <c r="J373" s="42"/>
      <c r="K373" s="14"/>
      <c r="L373" s="34">
        <f>+SUM(START:END!L373)</f>
        <v>0</v>
      </c>
      <c r="M373" s="42"/>
      <c r="N373" s="60">
        <f t="shared" si="133"/>
        <v>0</v>
      </c>
      <c r="O373" s="42"/>
      <c r="P373" s="14"/>
      <c r="Q373" s="34">
        <f>+SUM(START:END!Q373)</f>
        <v>0</v>
      </c>
      <c r="R373" s="42"/>
      <c r="S373" s="86">
        <f t="shared" si="134"/>
        <v>0</v>
      </c>
      <c r="T373" s="11"/>
      <c r="U373" s="11"/>
      <c r="X373" s="14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customHeight="1">
      <c r="A374" t="str">
        <f t="shared" si="128"/>
        <v>BoutiqueCsst</v>
      </c>
      <c r="B374" s="12" t="s">
        <v>120</v>
      </c>
      <c r="C374" s="105" t="s">
        <v>49</v>
      </c>
      <c r="D374" s="82"/>
      <c r="E374" s="14"/>
      <c r="F374" s="31">
        <f>+SUM(START:END!F374)</f>
        <v>0</v>
      </c>
      <c r="G374" s="84"/>
      <c r="H374" s="14"/>
      <c r="I374" s="31">
        <f>+SUM(START:END!I374)</f>
        <v>0</v>
      </c>
      <c r="J374" s="42"/>
      <c r="K374" s="14"/>
      <c r="L374" s="34">
        <f>+SUM(START:END!L374)</f>
        <v>0</v>
      </c>
      <c r="M374" s="42"/>
      <c r="N374" s="60">
        <f t="shared" si="133"/>
        <v>0</v>
      </c>
      <c r="O374" s="42"/>
      <c r="P374" s="14"/>
      <c r="Q374" s="34">
        <f>+SUM(START:END!Q374)</f>
        <v>0</v>
      </c>
      <c r="R374" s="42"/>
      <c r="S374" s="86">
        <f t="shared" si="134"/>
        <v>0</v>
      </c>
      <c r="T374" s="11"/>
      <c r="U374" s="11"/>
      <c r="X374" s="14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28"/>
        <v>Boutique[...]</v>
      </c>
      <c r="B375" s="12" t="s">
        <v>120</v>
      </c>
      <c r="C375" s="30" t="s">
        <v>21</v>
      </c>
      <c r="D375" s="89"/>
      <c r="E375" s="114"/>
      <c r="F375" s="31">
        <f>+SUM(START:END!F375)</f>
        <v>0</v>
      </c>
      <c r="G375" s="91"/>
      <c r="H375" s="114"/>
      <c r="I375" s="31">
        <f>+SUM(START:END!I375)</f>
        <v>0</v>
      </c>
      <c r="J375" s="24"/>
      <c r="K375" s="114"/>
      <c r="L375" s="34">
        <f>+SUM(START:END!L375)</f>
        <v>0</v>
      </c>
      <c r="M375" s="24"/>
      <c r="N375" s="94">
        <f t="shared" si="133"/>
        <v>0</v>
      </c>
      <c r="O375" s="24"/>
      <c r="P375" s="114"/>
      <c r="Q375" s="34">
        <f>+SUM(START:END!Q375)</f>
        <v>0</v>
      </c>
      <c r="R375" s="24"/>
      <c r="S375" s="95">
        <f t="shared" si="134"/>
        <v>0</v>
      </c>
      <c r="T375" s="11"/>
      <c r="U375" s="11"/>
      <c r="X375" s="14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customHeight="1">
      <c r="A376" t="str">
        <f t="shared" si="128"/>
        <v>BoutiqueTOTAL PERSONNEL</v>
      </c>
      <c r="B376" s="12" t="s">
        <v>120</v>
      </c>
      <c r="C376" s="96" t="s">
        <v>50</v>
      </c>
      <c r="D376" s="97" t="s">
        <v>40</v>
      </c>
      <c r="E376" s="98">
        <f>IFERROR(F376/F$359,0)</f>
        <v>0</v>
      </c>
      <c r="F376" s="99">
        <f>+SUM(F364:F375)</f>
        <v>0</v>
      </c>
      <c r="G376" s="100" t="s">
        <v>40</v>
      </c>
      <c r="H376" s="98">
        <f>IFERROR(I376/I$359,0)</f>
        <v>0</v>
      </c>
      <c r="I376" s="99">
        <f>+SUM(I364:I375)</f>
        <v>0</v>
      </c>
      <c r="J376" s="100" t="s">
        <v>40</v>
      </c>
      <c r="K376" s="98">
        <f>IFERROR(L376/L$359,0)</f>
        <v>0</v>
      </c>
      <c r="L376" s="99">
        <f>+SUM(L364:L375)</f>
        <v>0</v>
      </c>
      <c r="M376" s="151"/>
      <c r="N376" s="116">
        <f t="shared" si="133"/>
        <v>0</v>
      </c>
      <c r="O376" s="100" t="s">
        <v>40</v>
      </c>
      <c r="P376" s="98">
        <f>IFERROR(Q376/Q$359,0)</f>
        <v>0</v>
      </c>
      <c r="Q376" s="99">
        <f>+SUM(Q364:Q375)</f>
        <v>0</v>
      </c>
      <c r="R376" s="151"/>
      <c r="S376" s="117">
        <f t="shared" si="134"/>
        <v>0</v>
      </c>
      <c r="T376" s="11"/>
      <c r="U376" s="11"/>
      <c r="X376" s="14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customHeight="1">
      <c r="A377" t="str">
        <f t="shared" si="128"/>
        <v>BoutiquePublicité 2</v>
      </c>
      <c r="B377" s="12" t="s">
        <v>120</v>
      </c>
      <c r="C377" s="214" t="s">
        <v>51</v>
      </c>
      <c r="D377" s="82"/>
      <c r="E377" s="14"/>
      <c r="F377" s="31">
        <f>+SUM(START:END!F377)</f>
        <v>0</v>
      </c>
      <c r="G377" s="84"/>
      <c r="H377" s="14"/>
      <c r="I377" s="31">
        <f>+SUM(START:END!I377)</f>
        <v>0</v>
      </c>
      <c r="J377" s="42"/>
      <c r="K377" s="14"/>
      <c r="L377" s="34">
        <f>+SUM(START:END!L377)</f>
        <v>0</v>
      </c>
      <c r="M377" s="42"/>
      <c r="N377" s="60">
        <f t="shared" si="133"/>
        <v>0</v>
      </c>
      <c r="O377" s="42"/>
      <c r="P377" s="14"/>
      <c r="Q377" s="34">
        <f>+SUM(START:END!Q377)</f>
        <v>0</v>
      </c>
      <c r="R377" s="42"/>
      <c r="S377" s="86">
        <f t="shared" si="134"/>
        <v>0</v>
      </c>
      <c r="T377" s="11"/>
      <c r="U377" s="11"/>
      <c r="X377" s="14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customHeight="1">
      <c r="A378" t="str">
        <f t="shared" si="128"/>
        <v>BoutiqueService gratuit 2</v>
      </c>
      <c r="B378" s="12" t="s">
        <v>120</v>
      </c>
      <c r="C378" s="105" t="s">
        <v>52</v>
      </c>
      <c r="D378" s="82"/>
      <c r="E378" s="14"/>
      <c r="F378" s="31">
        <f>+SUM(START:END!F378)</f>
        <v>0</v>
      </c>
      <c r="G378" s="84"/>
      <c r="H378" s="14"/>
      <c r="I378" s="31">
        <f>+SUM(START:END!I378)</f>
        <v>0</v>
      </c>
      <c r="J378" s="42"/>
      <c r="K378" s="14"/>
      <c r="L378" s="34">
        <f>+SUM(START:END!L378)</f>
        <v>0</v>
      </c>
      <c r="M378" s="42"/>
      <c r="N378" s="60">
        <f t="shared" si="133"/>
        <v>0</v>
      </c>
      <c r="O378" s="42"/>
      <c r="P378" s="14"/>
      <c r="Q378" s="34">
        <f>+SUM(START:END!Q378)</f>
        <v>0</v>
      </c>
      <c r="R378" s="42"/>
      <c r="S378" s="86">
        <f t="shared" si="134"/>
        <v>0</v>
      </c>
      <c r="T378" s="11"/>
      <c r="U378" s="11"/>
      <c r="X378" s="14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customHeight="1">
      <c r="A379" t="str">
        <f t="shared" si="128"/>
        <v>BoutiqueFrais véhicules de cie</v>
      </c>
      <c r="B379" s="12" t="s">
        <v>120</v>
      </c>
      <c r="C379" s="106" t="s">
        <v>53</v>
      </c>
      <c r="D379" s="89"/>
      <c r="E379" s="114"/>
      <c r="F379" s="23">
        <f>+SUM(START:END!F379)</f>
        <v>0</v>
      </c>
      <c r="G379" s="91"/>
      <c r="H379" s="114"/>
      <c r="I379" s="23">
        <f>+SUM(START:END!I379)</f>
        <v>0</v>
      </c>
      <c r="J379" s="24"/>
      <c r="K379" s="114"/>
      <c r="L379" s="23">
        <f>+SUM(START:END!L379)</f>
        <v>0</v>
      </c>
      <c r="M379" s="24"/>
      <c r="N379" s="94">
        <f t="shared" si="133"/>
        <v>0</v>
      </c>
      <c r="O379" s="24"/>
      <c r="P379" s="114"/>
      <c r="Q379" s="23">
        <f>+SUM(START:END!Q379)</f>
        <v>0</v>
      </c>
      <c r="R379" s="24"/>
      <c r="S379" s="95">
        <f t="shared" si="134"/>
        <v>0</v>
      </c>
      <c r="T379" s="11"/>
      <c r="U379" s="11"/>
      <c r="X379" s="14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customHeight="1">
      <c r="A380" t="str">
        <f t="shared" si="128"/>
        <v>BoutiqueInformatique</v>
      </c>
      <c r="B380" s="12" t="s">
        <v>120</v>
      </c>
      <c r="C380" s="105" t="s">
        <v>54</v>
      </c>
      <c r="D380" s="82"/>
      <c r="E380" s="14"/>
      <c r="F380" s="31">
        <f>+SUM(START:END!F380)</f>
        <v>0</v>
      </c>
      <c r="G380" s="84"/>
      <c r="H380" s="14"/>
      <c r="I380" s="31">
        <f>+SUM(START:END!I380)</f>
        <v>0</v>
      </c>
      <c r="J380" s="42"/>
      <c r="K380" s="14"/>
      <c r="L380" s="34">
        <f>+SUM(START:END!L380)</f>
        <v>0</v>
      </c>
      <c r="M380" s="42"/>
      <c r="N380" s="60">
        <f t="shared" si="133"/>
        <v>0</v>
      </c>
      <c r="O380" s="42"/>
      <c r="P380" s="14"/>
      <c r="Q380" s="34">
        <f>+SUM(START:END!Q380)</f>
        <v>0</v>
      </c>
      <c r="R380" s="42"/>
      <c r="S380" s="86">
        <f t="shared" si="134"/>
        <v>0</v>
      </c>
      <c r="T380" s="11"/>
      <c r="U380" s="11"/>
      <c r="X380" s="14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customHeight="1">
      <c r="A381" t="str">
        <f t="shared" si="128"/>
        <v>BoutiqueFrais de déplacement</v>
      </c>
      <c r="B381" s="12" t="s">
        <v>120</v>
      </c>
      <c r="C381" s="105" t="s">
        <v>55</v>
      </c>
      <c r="D381" s="82"/>
      <c r="E381" s="14"/>
      <c r="F381" s="31">
        <f>+SUM(START:END!F381)</f>
        <v>0</v>
      </c>
      <c r="G381" s="84"/>
      <c r="H381" s="14"/>
      <c r="I381" s="31">
        <f>+SUM(START:END!I381)</f>
        <v>0</v>
      </c>
      <c r="J381" s="42"/>
      <c r="K381" s="14"/>
      <c r="L381" s="34">
        <f>+SUM(START:END!L381)</f>
        <v>0</v>
      </c>
      <c r="M381" s="42"/>
      <c r="N381" s="60">
        <f t="shared" si="133"/>
        <v>0</v>
      </c>
      <c r="O381" s="42"/>
      <c r="P381" s="14"/>
      <c r="Q381" s="34">
        <f>+SUM(START:END!Q381)</f>
        <v>0</v>
      </c>
      <c r="R381" s="42"/>
      <c r="S381" s="86">
        <f t="shared" si="134"/>
        <v>0</v>
      </c>
      <c r="T381" s="11"/>
      <c r="U381" s="11"/>
      <c r="X381" s="14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customHeight="1">
      <c r="A382" t="str">
        <f t="shared" si="128"/>
        <v>BoutiqueServices extérieurs</v>
      </c>
      <c r="B382" s="12" t="s">
        <v>120</v>
      </c>
      <c r="C382" s="105" t="s">
        <v>56</v>
      </c>
      <c r="D382" s="89"/>
      <c r="E382" s="114"/>
      <c r="F382" s="23">
        <f>+SUM(START:END!F382)</f>
        <v>0</v>
      </c>
      <c r="G382" s="91"/>
      <c r="H382" s="114"/>
      <c r="I382" s="23">
        <f>+SUM(START:END!I382)</f>
        <v>0</v>
      </c>
      <c r="J382" s="24"/>
      <c r="K382" s="114"/>
      <c r="L382" s="23">
        <f>+SUM(START:END!L382)</f>
        <v>0</v>
      </c>
      <c r="M382" s="24"/>
      <c r="N382" s="94">
        <f t="shared" si="133"/>
        <v>0</v>
      </c>
      <c r="O382" s="24"/>
      <c r="P382" s="114"/>
      <c r="Q382" s="23">
        <f>+SUM(START:END!Q382)</f>
        <v>0</v>
      </c>
      <c r="R382" s="24"/>
      <c r="S382" s="95">
        <f t="shared" si="134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customHeight="1">
      <c r="A383" t="str">
        <f t="shared" si="128"/>
        <v>BoutiqueFournitures autres</v>
      </c>
      <c r="B383" s="12" t="s">
        <v>120</v>
      </c>
      <c r="C383" s="214" t="s">
        <v>57</v>
      </c>
      <c r="D383" s="82"/>
      <c r="E383" s="14"/>
      <c r="F383" s="31">
        <f>+SUM(START:END!F383)</f>
        <v>0</v>
      </c>
      <c r="G383" s="84"/>
      <c r="H383" s="14"/>
      <c r="I383" s="31">
        <f>+SUM(START:END!I383)</f>
        <v>0</v>
      </c>
      <c r="J383" s="42"/>
      <c r="K383" s="14"/>
      <c r="L383" s="34">
        <f>+SUM(START:END!L383)</f>
        <v>0</v>
      </c>
      <c r="M383" s="42"/>
      <c r="N383" s="60">
        <f t="shared" si="133"/>
        <v>0</v>
      </c>
      <c r="O383" s="42"/>
      <c r="P383" s="14"/>
      <c r="Q383" s="34">
        <f>+SUM(START:END!Q383)</f>
        <v>0</v>
      </c>
      <c r="R383" s="42"/>
      <c r="S383" s="86">
        <f t="shared" si="134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customHeight="1">
      <c r="A384" t="str">
        <f t="shared" si="128"/>
        <v>BoutiqueUniformes</v>
      </c>
      <c r="B384" s="12" t="s">
        <v>120</v>
      </c>
      <c r="C384" s="105" t="s">
        <v>58</v>
      </c>
      <c r="D384" s="82"/>
      <c r="E384" s="14"/>
      <c r="F384" s="31">
        <f>+SUM(START:END!F384)</f>
        <v>0</v>
      </c>
      <c r="G384" s="84"/>
      <c r="H384" s="14"/>
      <c r="I384" s="31">
        <f>+SUM(START:END!I384)</f>
        <v>0</v>
      </c>
      <c r="J384" s="42"/>
      <c r="K384" s="14"/>
      <c r="L384" s="34">
        <f>+SUM(START:END!L384)</f>
        <v>0</v>
      </c>
      <c r="M384" s="42"/>
      <c r="N384" s="60">
        <f t="shared" si="133"/>
        <v>0</v>
      </c>
      <c r="O384" s="42"/>
      <c r="P384" s="14"/>
      <c r="Q384" s="34">
        <f>+SUM(START:END!Q384)</f>
        <v>0</v>
      </c>
      <c r="R384" s="42"/>
      <c r="S384" s="86">
        <f t="shared" si="134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customHeight="1">
      <c r="A385" t="str">
        <f t="shared" si="128"/>
        <v>BoutiquePapeterie</v>
      </c>
      <c r="B385" s="12" t="s">
        <v>120</v>
      </c>
      <c r="C385" s="105" t="s">
        <v>59</v>
      </c>
      <c r="D385" s="82"/>
      <c r="E385" s="14"/>
      <c r="F385" s="31">
        <f>+SUM(START:END!F385)</f>
        <v>0</v>
      </c>
      <c r="G385" s="84"/>
      <c r="H385" s="14"/>
      <c r="I385" s="31">
        <f>+SUM(START:END!I385)</f>
        <v>0</v>
      </c>
      <c r="J385" s="42"/>
      <c r="K385" s="14"/>
      <c r="L385" s="34">
        <f>+SUM(START:END!L385)</f>
        <v>0</v>
      </c>
      <c r="M385" s="42"/>
      <c r="N385" s="60">
        <f t="shared" si="133"/>
        <v>0</v>
      </c>
      <c r="O385" s="42"/>
      <c r="P385" s="14"/>
      <c r="Q385" s="34">
        <f>+SUM(START:END!Q385)</f>
        <v>0</v>
      </c>
      <c r="R385" s="42"/>
      <c r="S385" s="86">
        <f t="shared" si="134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customHeight="1">
      <c r="A386" t="str">
        <f t="shared" si="128"/>
        <v>BoutiqueTéléphone</v>
      </c>
      <c r="B386" s="12" t="s">
        <v>120</v>
      </c>
      <c r="C386" s="105" t="s">
        <v>60</v>
      </c>
      <c r="D386" s="82"/>
      <c r="E386" s="14"/>
      <c r="F386" s="31">
        <f>+SUM(START:END!F386)</f>
        <v>0</v>
      </c>
      <c r="G386" s="84"/>
      <c r="H386" s="14"/>
      <c r="I386" s="31">
        <f>+SUM(START:END!I386)</f>
        <v>0</v>
      </c>
      <c r="J386" s="42"/>
      <c r="K386" s="14"/>
      <c r="L386" s="34">
        <f>+SUM(START:END!L386)</f>
        <v>0</v>
      </c>
      <c r="M386" s="42"/>
      <c r="N386" s="60">
        <f t="shared" si="133"/>
        <v>0</v>
      </c>
      <c r="O386" s="42"/>
      <c r="P386" s="14"/>
      <c r="Q386" s="34">
        <f>+SUM(START:END!Q386)</f>
        <v>0</v>
      </c>
      <c r="R386" s="42"/>
      <c r="S386" s="86">
        <f t="shared" si="134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customHeight="1">
      <c r="A387" t="str">
        <f t="shared" si="128"/>
        <v>BoutiqueFrais postaux</v>
      </c>
      <c r="B387" s="12" t="s">
        <v>120</v>
      </c>
      <c r="C387" s="105" t="s">
        <v>61</v>
      </c>
      <c r="D387" s="82"/>
      <c r="E387" s="14"/>
      <c r="F387" s="31">
        <f>+SUM(START:END!F387)</f>
        <v>0</v>
      </c>
      <c r="G387" s="84"/>
      <c r="H387" s="14"/>
      <c r="I387" s="31">
        <f>+SUM(START:END!I387)</f>
        <v>0</v>
      </c>
      <c r="J387" s="42"/>
      <c r="K387" s="14"/>
      <c r="L387" s="34">
        <f>+SUM(START:END!L387)</f>
        <v>0</v>
      </c>
      <c r="M387" s="42"/>
      <c r="N387" s="60">
        <f t="shared" si="133"/>
        <v>0</v>
      </c>
      <c r="O387" s="42"/>
      <c r="P387" s="14"/>
      <c r="Q387" s="34">
        <f>+SUM(START:END!Q387)</f>
        <v>0</v>
      </c>
      <c r="R387" s="42"/>
      <c r="S387" s="86">
        <f t="shared" si="134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customHeight="1">
      <c r="A388" t="str">
        <f t="shared" si="128"/>
        <v>BoutiqueDivers</v>
      </c>
      <c r="B388" s="12" t="s">
        <v>120</v>
      </c>
      <c r="C388" s="105" t="s">
        <v>62</v>
      </c>
      <c r="D388" s="82"/>
      <c r="E388" s="14"/>
      <c r="F388" s="31">
        <f>+SUM(START:END!F388)</f>
        <v>0</v>
      </c>
      <c r="G388" s="84"/>
      <c r="H388" s="14"/>
      <c r="I388" s="31">
        <f>+SUM(START:END!I388)</f>
        <v>0</v>
      </c>
      <c r="J388" s="42"/>
      <c r="K388" s="14"/>
      <c r="L388" s="34">
        <f>+SUM(START:END!L388)</f>
        <v>0</v>
      </c>
      <c r="M388" s="42"/>
      <c r="N388" s="60">
        <f t="shared" si="133"/>
        <v>0</v>
      </c>
      <c r="O388" s="42"/>
      <c r="P388" s="14"/>
      <c r="Q388" s="34">
        <f>+SUM(START:END!Q388)</f>
        <v>0</v>
      </c>
      <c r="R388" s="42"/>
      <c r="S388" s="86">
        <f t="shared" si="134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customHeight="1">
      <c r="A389" t="str">
        <f t="shared" si="128"/>
        <v>BoutiqueFormation</v>
      </c>
      <c r="B389" s="12" t="s">
        <v>120</v>
      </c>
      <c r="C389" s="105" t="s">
        <v>63</v>
      </c>
      <c r="D389" s="82"/>
      <c r="E389" s="14"/>
      <c r="F389" s="31">
        <f>+SUM(START:END!F389)</f>
        <v>0</v>
      </c>
      <c r="G389" s="84"/>
      <c r="H389" s="14"/>
      <c r="I389" s="31">
        <f>+SUM(START:END!I389)</f>
        <v>0</v>
      </c>
      <c r="J389" s="42"/>
      <c r="K389" s="14"/>
      <c r="L389" s="34">
        <f>+SUM(START:END!L389)</f>
        <v>0</v>
      </c>
      <c r="M389" s="42"/>
      <c r="N389" s="60">
        <f t="shared" si="133"/>
        <v>0</v>
      </c>
      <c r="O389" s="42"/>
      <c r="P389" s="14"/>
      <c r="Q389" s="34">
        <f>+SUM(START:END!Q389)</f>
        <v>0</v>
      </c>
      <c r="R389" s="42"/>
      <c r="S389" s="86">
        <f t="shared" si="134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customHeight="1">
      <c r="A390" t="str">
        <f t="shared" si="128"/>
        <v>BoutiqueFrais bancaires</v>
      </c>
      <c r="B390" s="12" t="s">
        <v>120</v>
      </c>
      <c r="C390" s="105" t="s">
        <v>64</v>
      </c>
      <c r="D390" s="82"/>
      <c r="E390" s="14"/>
      <c r="F390" s="31">
        <f>+SUM(START:END!F390)</f>
        <v>0</v>
      </c>
      <c r="G390" s="84"/>
      <c r="H390" s="14"/>
      <c r="I390" s="31">
        <f>+SUM(START:END!I390)</f>
        <v>0</v>
      </c>
      <c r="J390" s="42"/>
      <c r="K390" s="14"/>
      <c r="L390" s="34">
        <f>+SUM(START:END!L390)</f>
        <v>0</v>
      </c>
      <c r="M390" s="42"/>
      <c r="N390" s="60">
        <f t="shared" si="133"/>
        <v>0</v>
      </c>
      <c r="O390" s="42"/>
      <c r="P390" s="14"/>
      <c r="Q390" s="34">
        <f>+SUM(START:END!Q390)</f>
        <v>0</v>
      </c>
      <c r="R390" s="42"/>
      <c r="S390" s="86">
        <f t="shared" si="134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28"/>
        <v>Boutique[...]</v>
      </c>
      <c r="B391" s="12" t="s">
        <v>120</v>
      </c>
      <c r="C391" s="105" t="s">
        <v>21</v>
      </c>
      <c r="D391" s="82"/>
      <c r="E391" s="14"/>
      <c r="F391" s="31">
        <f>+SUM(START:END!F391)</f>
        <v>0</v>
      </c>
      <c r="G391" s="84"/>
      <c r="H391" s="14"/>
      <c r="I391" s="31">
        <f>+SUM(START:END!I391)</f>
        <v>0</v>
      </c>
      <c r="J391" s="42"/>
      <c r="K391" s="14"/>
      <c r="L391" s="34">
        <f>+SUM(START:END!L391)</f>
        <v>0</v>
      </c>
      <c r="M391" s="42"/>
      <c r="N391" s="60">
        <f t="shared" si="133"/>
        <v>0</v>
      </c>
      <c r="O391" s="42"/>
      <c r="P391" s="14"/>
      <c r="Q391" s="34">
        <f>+SUM(START:END!Q391)</f>
        <v>0</v>
      </c>
      <c r="R391" s="42"/>
      <c r="S391" s="86">
        <f t="shared" si="134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28"/>
        <v>Boutique[...]</v>
      </c>
      <c r="B392" s="12" t="s">
        <v>120</v>
      </c>
      <c r="C392" s="105" t="s">
        <v>21</v>
      </c>
      <c r="D392" s="82"/>
      <c r="E392" s="14"/>
      <c r="F392" s="31">
        <f>+SUM(START:END!F392)</f>
        <v>0</v>
      </c>
      <c r="G392" s="84"/>
      <c r="H392" s="14"/>
      <c r="I392" s="31">
        <f>+SUM(START:END!I392)</f>
        <v>0</v>
      </c>
      <c r="J392" s="42"/>
      <c r="K392" s="14"/>
      <c r="L392" s="34">
        <f>+SUM(START:END!L392)</f>
        <v>0</v>
      </c>
      <c r="M392" s="42"/>
      <c r="N392" s="60">
        <f t="shared" si="133"/>
        <v>0</v>
      </c>
      <c r="O392" s="42"/>
      <c r="P392" s="14"/>
      <c r="Q392" s="34">
        <f>+SUM(START:END!Q392)</f>
        <v>0</v>
      </c>
      <c r="R392" s="42"/>
      <c r="S392" s="86">
        <f t="shared" si="134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28"/>
        <v>Boutique[...]</v>
      </c>
      <c r="B393" s="12" t="s">
        <v>120</v>
      </c>
      <c r="C393" s="105" t="s">
        <v>21</v>
      </c>
      <c r="D393" s="89"/>
      <c r="E393" s="114"/>
      <c r="F393" s="31">
        <f>+SUM(START:END!F393)</f>
        <v>0</v>
      </c>
      <c r="G393" s="91"/>
      <c r="H393" s="114"/>
      <c r="I393" s="31">
        <f>+SUM(START:END!I393)</f>
        <v>0</v>
      </c>
      <c r="J393" s="24"/>
      <c r="K393" s="114"/>
      <c r="L393" s="34">
        <f>+SUM(START:END!L393)</f>
        <v>0</v>
      </c>
      <c r="M393" s="24"/>
      <c r="N393" s="94">
        <f t="shared" si="133"/>
        <v>0</v>
      </c>
      <c r="O393" s="24"/>
      <c r="P393" s="114"/>
      <c r="Q393" s="34">
        <f>+SUM(START:END!Q393)</f>
        <v>0</v>
      </c>
      <c r="R393" s="24"/>
      <c r="S393" s="95">
        <f t="shared" si="134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customHeight="1">
      <c r="B394" s="7"/>
      <c r="C394" s="96" t="s">
        <v>65</v>
      </c>
      <c r="D394" s="97" t="s">
        <v>40</v>
      </c>
      <c r="E394" s="98">
        <f>IFERROR(F394/F$359,0)</f>
        <v>0</v>
      </c>
      <c r="F394" s="99">
        <f>+SUM(F377:F393)</f>
        <v>0</v>
      </c>
      <c r="G394" s="100" t="s">
        <v>40</v>
      </c>
      <c r="H394" s="98">
        <f>IFERROR(I394/I$359,0)</f>
        <v>0</v>
      </c>
      <c r="I394" s="99">
        <f>+SUM(I377:I393)</f>
        <v>0</v>
      </c>
      <c r="J394" s="100" t="s">
        <v>40</v>
      </c>
      <c r="K394" s="98">
        <f>IFERROR(L394/L$359,0)</f>
        <v>0</v>
      </c>
      <c r="L394" s="99">
        <f>+SUM(L377:L393)</f>
        <v>0</v>
      </c>
      <c r="M394" s="151"/>
      <c r="N394" s="99">
        <f>+SUM(N377:N393)</f>
        <v>0</v>
      </c>
      <c r="O394" s="100" t="s">
        <v>40</v>
      </c>
      <c r="P394" s="98">
        <f>IFERROR(Q394/Q$359,0)</f>
        <v>0</v>
      </c>
      <c r="Q394" s="99">
        <f>+SUM(Q377:Q393)</f>
        <v>0</v>
      </c>
      <c r="R394" s="151"/>
      <c r="S394" s="117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49"/>
      <c r="T395" s="250"/>
      <c r="U395" s="250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customHeight="1">
      <c r="B396" s="7"/>
      <c r="C396" s="96" t="s">
        <v>66</v>
      </c>
      <c r="D396" s="97" t="s">
        <v>40</v>
      </c>
      <c r="E396" s="98">
        <f>IFERROR(F396/F$359,0)</f>
        <v>0</v>
      </c>
      <c r="F396" s="99">
        <f>F376+F394</f>
        <v>0</v>
      </c>
      <c r="G396" s="100" t="s">
        <v>40</v>
      </c>
      <c r="H396" s="98">
        <f>IFERROR(I396/I$359,0)</f>
        <v>0</v>
      </c>
      <c r="I396" s="99">
        <f>I376+I394</f>
        <v>0</v>
      </c>
      <c r="J396" s="100" t="s">
        <v>40</v>
      </c>
      <c r="K396" s="98">
        <f>IFERROR(L396/L$359,0)</f>
        <v>0</v>
      </c>
      <c r="L396" s="99">
        <f>L376+L394</f>
        <v>0</v>
      </c>
      <c r="M396" s="251"/>
      <c r="N396" s="99">
        <f>L396-I396</f>
        <v>0</v>
      </c>
      <c r="O396" s="100" t="s">
        <v>40</v>
      </c>
      <c r="P396" s="98">
        <f>IFERROR(Q396/Q$359,0)</f>
        <v>0</v>
      </c>
      <c r="Q396" s="99">
        <f>Q376+Q394</f>
        <v>0</v>
      </c>
      <c r="R396" s="103"/>
      <c r="S396" s="104">
        <f>L396-Q396</f>
        <v>0</v>
      </c>
      <c r="T396" s="250"/>
      <c r="U396" s="250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49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customHeight="1" thickTop="1" thickBot="1">
      <c r="B398" s="7"/>
      <c r="C398" s="252" t="s">
        <v>73</v>
      </c>
      <c r="D398" s="253"/>
      <c r="E398" s="253"/>
      <c r="F398" s="254">
        <f>F361-F396</f>
        <v>0</v>
      </c>
      <c r="G398" s="255"/>
      <c r="H398" s="253"/>
      <c r="I398" s="254">
        <f>I361-I396</f>
        <v>0</v>
      </c>
      <c r="J398" s="256"/>
      <c r="K398" s="257"/>
      <c r="L398" s="254">
        <f>L361-L396</f>
        <v>0</v>
      </c>
      <c r="M398" s="255"/>
      <c r="N398" s="254">
        <f>L398-I398</f>
        <v>0</v>
      </c>
      <c r="O398" s="256"/>
      <c r="P398" s="257"/>
      <c r="Q398" s="254">
        <f>Q361-Q396</f>
        <v>0</v>
      </c>
      <c r="R398" s="256"/>
      <c r="S398" s="258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7"/>
      <c r="D399" s="82"/>
      <c r="E399" s="14"/>
      <c r="F399" s="115"/>
      <c r="G399" s="82"/>
      <c r="H399" s="14"/>
      <c r="I399" s="115"/>
      <c r="J399" s="77"/>
      <c r="K399" s="77"/>
      <c r="L399" s="115"/>
      <c r="M399" s="77"/>
      <c r="N399" s="115"/>
      <c r="O399" s="77"/>
      <c r="P399" s="77"/>
      <c r="Q399" s="115"/>
      <c r="R399" s="77"/>
      <c r="S399" s="115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tr">
        <f>C1</f>
        <v>Conso</v>
      </c>
      <c r="W401" s="6"/>
      <c r="X401" s="6"/>
      <c r="Y401" s="6"/>
      <c r="Z401" s="1"/>
      <c r="AA401" s="1"/>
      <c r="AB401" s="6"/>
      <c r="AC401" s="6"/>
      <c r="AD401" s="1"/>
      <c r="AE401" s="3" t="s">
        <v>122</v>
      </c>
      <c r="AF401" s="6"/>
      <c r="AG401" s="6"/>
      <c r="AH401" s="1"/>
      <c r="AI401" s="1"/>
      <c r="AJ401" s="259"/>
      <c r="AK401" s="2"/>
      <c r="AL401" s="1"/>
      <c r="AM401" s="6"/>
      <c r="AN401" s="6"/>
      <c r="AO401" s="5" t="str">
        <f>$S$1</f>
        <v>Réalisé  Volks T2 2022</v>
      </c>
      <c r="AP401" s="250"/>
      <c r="AQ401" s="250"/>
      <c r="AR401" s="250"/>
      <c r="AS401" s="250"/>
      <c r="AT401" s="250"/>
      <c r="AU401" s="250"/>
      <c r="AV401" s="250"/>
      <c r="AW401" s="250"/>
      <c r="AX401" s="250"/>
      <c r="AY401" s="250"/>
      <c r="AZ401" s="250"/>
      <c r="BA401" s="250"/>
      <c r="BB401" s="250"/>
      <c r="BC401" s="250"/>
      <c r="BD401" s="250"/>
      <c r="BE401" s="250"/>
      <c r="BF401" s="250"/>
      <c r="BG401" s="250"/>
      <c r="BH401" s="250"/>
      <c r="BI401" s="250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60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0"/>
      <c r="AQ402" s="250"/>
      <c r="AR402" s="250"/>
      <c r="AS402" s="250"/>
      <c r="AT402" s="250"/>
      <c r="AU402" s="250"/>
      <c r="AV402" s="250"/>
      <c r="AW402" s="250"/>
      <c r="AX402" s="250"/>
      <c r="AY402" s="250"/>
      <c r="AZ402" s="250"/>
      <c r="BA402" s="250"/>
      <c r="BB402" s="250"/>
      <c r="BC402" s="250"/>
      <c r="BD402" s="250"/>
      <c r="BE402" s="250"/>
      <c r="BF402" s="250"/>
      <c r="BG402" s="250"/>
      <c r="BH402" s="250"/>
      <c r="BI402" s="250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61"/>
      <c r="W403" s="262"/>
      <c r="X403" s="903" t="s">
        <v>123</v>
      </c>
      <c r="Y403" s="901"/>
      <c r="Z403" s="904"/>
      <c r="AA403" s="900" t="s">
        <v>75</v>
      </c>
      <c r="AB403" s="901"/>
      <c r="AC403" s="904"/>
      <c r="AD403" s="900" t="s">
        <v>7</v>
      </c>
      <c r="AE403" s="901"/>
      <c r="AF403" s="904"/>
      <c r="AG403" s="900" t="s">
        <v>124</v>
      </c>
      <c r="AH403" s="901"/>
      <c r="AI403" s="904"/>
      <c r="AJ403" s="900" t="s">
        <v>125</v>
      </c>
      <c r="AK403" s="901"/>
      <c r="AL403" s="901"/>
      <c r="AM403" s="900" t="s">
        <v>126</v>
      </c>
      <c r="AN403" s="901"/>
      <c r="AO403" s="902"/>
      <c r="AP403" s="250"/>
      <c r="AQ403" s="250"/>
      <c r="AR403" s="250"/>
      <c r="AS403" s="250"/>
      <c r="AT403" s="250"/>
      <c r="AU403" s="250"/>
      <c r="AV403" s="250"/>
      <c r="AW403" s="250"/>
      <c r="AX403" s="250"/>
      <c r="AY403" s="250"/>
      <c r="AZ403" s="250"/>
      <c r="BA403" s="250"/>
      <c r="BB403" s="250"/>
      <c r="BC403" s="250"/>
      <c r="BD403" s="250"/>
      <c r="BE403" s="250"/>
      <c r="BF403" s="250"/>
      <c r="BG403" s="250"/>
      <c r="BH403" s="250"/>
      <c r="BI403" s="250"/>
    </row>
    <row r="404" spans="1:61" ht="15.75" customHeight="1">
      <c r="A404" t="str">
        <f t="shared" ref="A404:A483" si="135">+U404&amp;V404</f>
        <v/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8"/>
      <c r="W404" s="263" t="s">
        <v>127</v>
      </c>
      <c r="X404" s="263" t="s">
        <v>128</v>
      </c>
      <c r="Y404" s="263" t="s">
        <v>129</v>
      </c>
      <c r="Z404" s="264" t="s">
        <v>130</v>
      </c>
      <c r="AA404" s="263" t="s">
        <v>128</v>
      </c>
      <c r="AB404" s="263" t="s">
        <v>129</v>
      </c>
      <c r="AC404" s="264" t="s">
        <v>130</v>
      </c>
      <c r="AD404" s="265" t="s">
        <v>128</v>
      </c>
      <c r="AE404" s="263" t="s">
        <v>129</v>
      </c>
      <c r="AF404" s="263" t="s">
        <v>130</v>
      </c>
      <c r="AG404" s="265" t="s">
        <v>131</v>
      </c>
      <c r="AH404" s="263" t="s">
        <v>132</v>
      </c>
      <c r="AI404" s="263" t="s">
        <v>133</v>
      </c>
      <c r="AJ404" s="265" t="s">
        <v>128</v>
      </c>
      <c r="AK404" s="263" t="s">
        <v>129</v>
      </c>
      <c r="AL404" s="263" t="s">
        <v>130</v>
      </c>
      <c r="AM404" s="266" t="s">
        <v>131</v>
      </c>
      <c r="AN404" s="263" t="s">
        <v>132</v>
      </c>
      <c r="AO404" s="142" t="s">
        <v>133</v>
      </c>
      <c r="AP404" s="250"/>
      <c r="AQ404" s="250"/>
      <c r="AR404" s="250"/>
      <c r="AS404" s="250"/>
      <c r="AT404" s="250"/>
      <c r="AU404" s="250"/>
      <c r="AV404" s="250"/>
      <c r="AW404" s="250"/>
      <c r="AX404" s="250"/>
      <c r="AY404" s="250"/>
      <c r="AZ404" s="250"/>
      <c r="BA404" s="250"/>
      <c r="BB404" s="250"/>
      <c r="BC404" s="250"/>
      <c r="BD404" s="250"/>
      <c r="BE404" s="250"/>
      <c r="BF404" s="250"/>
      <c r="BG404" s="250"/>
      <c r="BH404" s="250"/>
      <c r="BI404" s="250"/>
    </row>
    <row r="405" spans="1:61" ht="15.75" customHeight="1">
      <c r="A405" t="str">
        <f t="shared" si="135"/>
        <v>Ventes nettes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50"/>
      <c r="U405" s="250"/>
      <c r="V405" s="106" t="s">
        <v>16</v>
      </c>
      <c r="W405" s="267"/>
      <c r="X405" s="267"/>
      <c r="Y405" s="267"/>
      <c r="Z405" s="268">
        <f>F5+F93+E193+E249+D313+D361</f>
        <v>16697117.513254795</v>
      </c>
      <c r="AA405" s="267"/>
      <c r="AB405" s="267"/>
      <c r="AC405" s="268">
        <f>I5+I93+H193+H249+G313+G361</f>
        <v>16697117.513254795</v>
      </c>
      <c r="AD405" s="269"/>
      <c r="AE405" s="270"/>
      <c r="AF405" s="270">
        <f>L5+L93+K193+K249+J313+J361</f>
        <v>14021676.639999999</v>
      </c>
      <c r="AG405" s="269"/>
      <c r="AH405" s="270"/>
      <c r="AI405" s="271"/>
      <c r="AJ405" s="269"/>
      <c r="AK405" s="270"/>
      <c r="AL405" s="270">
        <f>Q5+Q93+P193+P249+O313+O361</f>
        <v>17043862.639999997</v>
      </c>
      <c r="AM405" s="272"/>
      <c r="AN405" s="270"/>
      <c r="AO405" s="273"/>
      <c r="AP405" s="250"/>
      <c r="AQ405" s="250"/>
      <c r="AR405" s="250"/>
      <c r="AS405" s="250"/>
      <c r="AT405" s="250"/>
      <c r="AU405" s="250"/>
      <c r="AV405" s="250"/>
      <c r="AW405" s="250"/>
      <c r="AX405" s="250"/>
      <c r="AY405" s="250"/>
      <c r="AZ405" s="250"/>
      <c r="BA405" s="250"/>
      <c r="BB405" s="250"/>
      <c r="BC405" s="250"/>
      <c r="BD405" s="250"/>
      <c r="BE405" s="250"/>
      <c r="BF405" s="250"/>
      <c r="BG405" s="250"/>
      <c r="BH405" s="250"/>
      <c r="BI405" s="250"/>
    </row>
    <row r="406" spans="1:61" ht="15.75" customHeight="1">
      <c r="A406" t="str">
        <f t="shared" si="135"/>
        <v>Profit brut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50"/>
      <c r="U406" s="250"/>
      <c r="V406" s="274" t="s">
        <v>134</v>
      </c>
      <c r="W406" s="275"/>
      <c r="X406" s="275"/>
      <c r="Y406" s="275"/>
      <c r="Z406" s="276">
        <f>F27+F107+F193+F249+F313+F361</f>
        <v>2208574.0775203086</v>
      </c>
      <c r="AA406" s="275"/>
      <c r="AB406" s="275"/>
      <c r="AC406" s="276">
        <f>I27+I107+I193+I249+I313+I361</f>
        <v>2208574.0775203086</v>
      </c>
      <c r="AD406" s="277"/>
      <c r="AE406" s="278"/>
      <c r="AF406" s="278">
        <f>L27+L107+L193+L249+L313+L361</f>
        <v>2196862.6999999997</v>
      </c>
      <c r="AG406" s="277"/>
      <c r="AH406" s="278">
        <f>AF406-AC406</f>
        <v>-11711.37752030883</v>
      </c>
      <c r="AI406" s="279">
        <f>AH406/AC406</f>
        <v>-5.3026872132167094E-3</v>
      </c>
      <c r="AJ406" s="277"/>
      <c r="AK406" s="278"/>
      <c r="AL406" s="278">
        <f>Q27+Q107+Q193+Q249+Q313+Q361</f>
        <v>2012370.44</v>
      </c>
      <c r="AM406" s="280"/>
      <c r="AN406" s="278">
        <f>AF406-AL406</f>
        <v>184492.25999999978</v>
      </c>
      <c r="AO406" s="281">
        <f>IF(AL406=0,0,AN406/AL406)</f>
        <v>9.1679074753254569E-2</v>
      </c>
      <c r="AP406" s="250"/>
      <c r="AQ406" s="250"/>
      <c r="AR406" s="250"/>
      <c r="AS406" s="250"/>
      <c r="AT406" s="250"/>
      <c r="AU406" s="250"/>
      <c r="AV406" s="250"/>
      <c r="AW406" s="250"/>
      <c r="AX406" s="250"/>
      <c r="AY406" s="250"/>
      <c r="AZ406" s="250"/>
      <c r="BA406" s="250"/>
      <c r="BB406" s="250"/>
      <c r="BC406" s="250"/>
      <c r="BD406" s="250"/>
      <c r="BE406" s="250"/>
      <c r="BF406" s="250"/>
      <c r="BG406" s="250"/>
      <c r="BH406" s="250"/>
      <c r="BI406" s="250"/>
    </row>
    <row r="407" spans="1:61" ht="15.75" customHeight="1">
      <c r="A407" t="str">
        <f t="shared" si="135"/>
        <v>DÉPENSES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50"/>
      <c r="U407" s="250"/>
      <c r="V407" s="282" t="s">
        <v>135</v>
      </c>
      <c r="W407" s="283"/>
      <c r="X407" s="283"/>
      <c r="Y407" s="283"/>
      <c r="Z407" s="284"/>
      <c r="AA407" s="283"/>
      <c r="AB407" s="283"/>
      <c r="AC407" s="284"/>
      <c r="AD407" s="285"/>
      <c r="AE407" s="283"/>
      <c r="AF407" s="286"/>
      <c r="AG407" s="285"/>
      <c r="AH407" s="286"/>
      <c r="AI407" s="287"/>
      <c r="AJ407" s="285"/>
      <c r="AK407" s="283"/>
      <c r="AL407" s="286"/>
      <c r="AM407" s="288"/>
      <c r="AN407" s="286"/>
      <c r="AO407" s="289"/>
      <c r="AP407" s="250"/>
      <c r="AQ407" s="250"/>
      <c r="AR407" s="250"/>
      <c r="AS407" s="250"/>
      <c r="AT407" s="250"/>
      <c r="AU407" s="250"/>
      <c r="AV407" s="250"/>
      <c r="AW407" s="250"/>
      <c r="AX407" s="250"/>
      <c r="AY407" s="250"/>
      <c r="AZ407" s="250"/>
      <c r="BA407" s="250"/>
      <c r="BB407" s="250"/>
      <c r="BC407" s="250"/>
      <c r="BD407" s="250"/>
      <c r="BE407" s="250"/>
      <c r="BF407" s="250"/>
      <c r="BG407" s="250"/>
      <c r="BH407" s="250"/>
      <c r="BI407" s="250"/>
    </row>
    <row r="408" spans="1:61" ht="15.75" customHeight="1">
      <c r="A408" t="str">
        <f t="shared" si="135"/>
        <v>Comm. vendeurs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50"/>
      <c r="U408" s="250"/>
      <c r="V408" s="105" t="s">
        <v>32</v>
      </c>
      <c r="W408" s="290" t="s">
        <v>136</v>
      </c>
      <c r="X408" s="283"/>
      <c r="Y408" s="291">
        <f t="shared" ref="Y408:Y417" si="136">Z408/(D$13+D$96)</f>
        <v>595.66528174273856</v>
      </c>
      <c r="Z408" s="284">
        <f>+SUM(START:END!Z408)</f>
        <v>217499.78842457937</v>
      </c>
      <c r="AA408" s="283"/>
      <c r="AB408" s="291">
        <f t="shared" ref="AB408:AB417" si="137">IF(AC408=0,0,AC408/(G$13+G$96))</f>
        <v>595.66528174273856</v>
      </c>
      <c r="AC408" s="284">
        <f>+SUM(START:END!AC408)</f>
        <v>217499.78842457937</v>
      </c>
      <c r="AD408" s="292"/>
      <c r="AE408" s="291">
        <f t="shared" ref="AE408:AE413" si="138">IF(AF408=0,0,AF408/(J$13+J$96))</f>
        <v>974.75391111111117</v>
      </c>
      <c r="AF408" s="284">
        <f>+SUM(START:END!AF408)</f>
        <v>219319.63</v>
      </c>
      <c r="AG408" s="285">
        <f t="shared" ref="AG408:AH417" si="139">AE408-AB408</f>
        <v>379.08862936837261</v>
      </c>
      <c r="AH408" s="286">
        <f t="shared" si="139"/>
        <v>1819.8415754206362</v>
      </c>
      <c r="AI408" s="287">
        <f>IF(AC408=0,0,AH408/AC408)</f>
        <v>8.3670958422641765E-3</v>
      </c>
      <c r="AJ408" s="292"/>
      <c r="AK408" s="286">
        <f t="shared" ref="AK408:AK417" si="140">AL408/(O$13+O$96)</f>
        <v>580.59065714285714</v>
      </c>
      <c r="AL408" s="284">
        <f t="shared" ref="AL408:AL417" si="141">+SUMIF($C:$C,$V408,Q:Q)</f>
        <v>203206.72999999998</v>
      </c>
      <c r="AM408" s="288">
        <f t="shared" ref="AM408:AM417" si="142">AE408-Y408</f>
        <v>379.08862936837261</v>
      </c>
      <c r="AN408" s="286">
        <f t="shared" ref="AN408:AN430" si="143">AF408-AL408</f>
        <v>16112.900000000023</v>
      </c>
      <c r="AO408" s="293">
        <f>IF(AL408=0,0,AN408/AL408)</f>
        <v>7.9293141521444815E-2</v>
      </c>
      <c r="AP408" s="250"/>
      <c r="AQ408" s="250"/>
      <c r="AR408" s="7"/>
      <c r="AS408" s="250"/>
      <c r="AT408" s="250"/>
      <c r="AU408" s="250"/>
      <c r="AV408" s="250"/>
      <c r="AW408" s="250"/>
      <c r="AX408" s="250"/>
      <c r="AY408" s="250"/>
      <c r="AZ408" s="250"/>
      <c r="BA408" s="250"/>
      <c r="BB408" s="250"/>
      <c r="BC408" s="250"/>
      <c r="BD408" s="250"/>
      <c r="BE408" s="250"/>
      <c r="BF408" s="250"/>
      <c r="BG408" s="250"/>
      <c r="BH408" s="250"/>
      <c r="BI408" s="250"/>
    </row>
    <row r="409" spans="1:61" ht="15.75" customHeight="1">
      <c r="A409" t="str">
        <f t="shared" si="135"/>
        <v>Comm. F&amp;I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50"/>
      <c r="U409" s="250"/>
      <c r="V409" s="106" t="s">
        <v>33</v>
      </c>
      <c r="W409" s="294" t="s">
        <v>137</v>
      </c>
      <c r="X409" s="267"/>
      <c r="Y409" s="295">
        <f t="shared" si="136"/>
        <v>383.67851874172851</v>
      </c>
      <c r="Z409" s="268">
        <f>+SUM(START:END!Z409)</f>
        <v>140095.45160200074</v>
      </c>
      <c r="AA409" s="267"/>
      <c r="AB409" s="295">
        <f t="shared" si="137"/>
        <v>383.67851874172851</v>
      </c>
      <c r="AC409" s="268">
        <f>+SUM(START:END!AC409)</f>
        <v>140095.45160200074</v>
      </c>
      <c r="AD409" s="296"/>
      <c r="AE409" s="295">
        <f t="shared" si="138"/>
        <v>602.50484444444442</v>
      </c>
      <c r="AF409" s="268">
        <f>+SUM(START:END!AF409)</f>
        <v>135563.59</v>
      </c>
      <c r="AG409" s="269">
        <f t="shared" si="139"/>
        <v>218.82632570271591</v>
      </c>
      <c r="AH409" s="270">
        <f t="shared" si="139"/>
        <v>-4531.8616020007466</v>
      </c>
      <c r="AI409" s="297">
        <f t="shared" ref="AI409:AI417" si="144">IF(AC409=0,0,AH409/AC409)</f>
        <v>-3.234838497737514E-2</v>
      </c>
      <c r="AJ409" s="296"/>
      <c r="AK409" s="270">
        <f t="shared" si="140"/>
        <v>370.34157142857146</v>
      </c>
      <c r="AL409" s="268">
        <f t="shared" si="141"/>
        <v>129619.55</v>
      </c>
      <c r="AM409" s="272">
        <f t="shared" si="142"/>
        <v>218.82632570271591</v>
      </c>
      <c r="AN409" s="270">
        <f t="shared" si="143"/>
        <v>5944.0399999999936</v>
      </c>
      <c r="AO409" s="298">
        <f t="shared" ref="AO409:AO417" si="145">IF(AL409=0,0,AN409/AL409)</f>
        <v>4.5857588612211612E-2</v>
      </c>
      <c r="AP409" s="250"/>
      <c r="AQ409" s="250"/>
      <c r="AR409" s="14"/>
      <c r="AS409" s="250"/>
      <c r="AT409" s="250"/>
      <c r="AU409" s="250"/>
      <c r="AV409" s="250"/>
      <c r="AW409" s="250"/>
      <c r="AX409" s="250"/>
      <c r="AY409" s="250"/>
      <c r="AZ409" s="250"/>
      <c r="BA409" s="250"/>
      <c r="BB409" s="250"/>
      <c r="BC409" s="250"/>
      <c r="BD409" s="250"/>
      <c r="BE409" s="250"/>
      <c r="BF409" s="250"/>
      <c r="BG409" s="250"/>
      <c r="BH409" s="250"/>
      <c r="BI409" s="250"/>
    </row>
    <row r="410" spans="1:61" ht="15.75" customHeight="1">
      <c r="A410" t="str">
        <f t="shared" si="135"/>
        <v>Frais de livraison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50"/>
      <c r="U410" s="250"/>
      <c r="V410" s="105" t="s">
        <v>34</v>
      </c>
      <c r="W410" s="290" t="s">
        <v>138</v>
      </c>
      <c r="X410" s="283"/>
      <c r="Y410" s="291">
        <f t="shared" si="136"/>
        <v>140.55673830095034</v>
      </c>
      <c r="Z410" s="284">
        <f>+SUM(START:END!Z410)</f>
        <v>51322.54938992564</v>
      </c>
      <c r="AA410" s="283"/>
      <c r="AB410" s="291">
        <f t="shared" si="137"/>
        <v>140.55673830095034</v>
      </c>
      <c r="AC410" s="284">
        <f>+SUM(START:END!AC410)</f>
        <v>51322.54938992564</v>
      </c>
      <c r="AD410" s="292"/>
      <c r="AE410" s="291">
        <f t="shared" si="138"/>
        <v>70.215111111111113</v>
      </c>
      <c r="AF410" s="284">
        <f>+SUM(START:END!AF410)</f>
        <v>15798.400000000001</v>
      </c>
      <c r="AG410" s="285">
        <f t="shared" si="139"/>
        <v>-70.34162718983923</v>
      </c>
      <c r="AH410" s="286">
        <f t="shared" si="139"/>
        <v>-35524.149389925638</v>
      </c>
      <c r="AI410" s="287">
        <f t="shared" si="144"/>
        <v>-0.69217429399364272</v>
      </c>
      <c r="AJ410" s="292"/>
      <c r="AK410" s="286">
        <f t="shared" si="140"/>
        <v>98.945771428571433</v>
      </c>
      <c r="AL410" s="284">
        <f t="shared" si="141"/>
        <v>34631.020000000004</v>
      </c>
      <c r="AM410" s="288">
        <f t="shared" si="142"/>
        <v>-70.34162718983923</v>
      </c>
      <c r="AN410" s="286">
        <f t="shared" si="143"/>
        <v>-18832.620000000003</v>
      </c>
      <c r="AO410" s="293">
        <f t="shared" si="145"/>
        <v>-0.54380783471003746</v>
      </c>
      <c r="AP410" s="250"/>
      <c r="AQ410" s="250"/>
      <c r="AR410" s="14"/>
      <c r="AS410" s="250"/>
      <c r="AT410" s="250"/>
      <c r="AU410" s="250"/>
      <c r="AV410" s="250"/>
      <c r="AW410" s="250"/>
      <c r="AX410" s="250"/>
      <c r="AY410" s="250"/>
      <c r="AZ410" s="250"/>
      <c r="BA410" s="250"/>
      <c r="BB410" s="250"/>
      <c r="BC410" s="250"/>
      <c r="BD410" s="250"/>
      <c r="BE410" s="250"/>
      <c r="BF410" s="250"/>
      <c r="BG410" s="250"/>
      <c r="BH410" s="250"/>
      <c r="BI410" s="250"/>
    </row>
    <row r="411" spans="1:61" ht="15.75" customHeight="1">
      <c r="A411" t="str">
        <f t="shared" si="135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50"/>
      <c r="U411" s="250"/>
      <c r="V411" s="105" t="s">
        <v>35</v>
      </c>
      <c r="W411" s="290" t="s">
        <v>139</v>
      </c>
      <c r="X411" s="283"/>
      <c r="Y411" s="291">
        <f t="shared" si="136"/>
        <v>17.670801607856415</v>
      </c>
      <c r="Z411" s="284">
        <f>+SUM(START:END!Z411)</f>
        <v>6452.2740015279396</v>
      </c>
      <c r="AA411" s="283"/>
      <c r="AB411" s="291">
        <f t="shared" si="137"/>
        <v>17.670801607856415</v>
      </c>
      <c r="AC411" s="284">
        <f>+SUM(START:END!AC411)</f>
        <v>6452.2740015279396</v>
      </c>
      <c r="AD411" s="292"/>
      <c r="AE411" s="291">
        <f t="shared" si="138"/>
        <v>4.000977777777778</v>
      </c>
      <c r="AF411" s="284">
        <f>+SUM(START:END!AF411)</f>
        <v>900.22</v>
      </c>
      <c r="AG411" s="285">
        <f t="shared" si="139"/>
        <v>-13.669823830078638</v>
      </c>
      <c r="AH411" s="286">
        <f t="shared" si="139"/>
        <v>-5552.0540015279394</v>
      </c>
      <c r="AI411" s="287">
        <f t="shared" si="144"/>
        <v>-0.86048019662729414</v>
      </c>
      <c r="AJ411" s="292"/>
      <c r="AK411" s="286">
        <f t="shared" si="140"/>
        <v>2.5823714285714283</v>
      </c>
      <c r="AL411" s="284">
        <f t="shared" si="141"/>
        <v>903.82999999999993</v>
      </c>
      <c r="AM411" s="288">
        <f t="shared" si="142"/>
        <v>-13.669823830078638</v>
      </c>
      <c r="AN411" s="286">
        <f t="shared" si="143"/>
        <v>-3.6099999999999</v>
      </c>
      <c r="AO411" s="299">
        <f t="shared" si="145"/>
        <v>-3.9941139373553657E-3</v>
      </c>
      <c r="AP411" s="250"/>
      <c r="AQ411" s="250"/>
      <c r="AR411" s="14"/>
      <c r="AS411" s="250"/>
      <c r="AT411" s="250"/>
      <c r="AU411" s="250"/>
      <c r="AV411" s="250"/>
      <c r="AW411" s="250"/>
      <c r="AX411" s="250"/>
      <c r="AY411" s="250"/>
      <c r="AZ411" s="250"/>
      <c r="BA411" s="250"/>
      <c r="BB411" s="250"/>
      <c r="BC411" s="250"/>
      <c r="BD411" s="250"/>
      <c r="BE411" s="250"/>
      <c r="BF411" s="250"/>
      <c r="BG411" s="250"/>
      <c r="BH411" s="250"/>
      <c r="BI411" s="250"/>
    </row>
    <row r="412" spans="1:61" ht="15.75" customHeight="1">
      <c r="A412" t="str">
        <f t="shared" si="135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50"/>
      <c r="U412" s="250"/>
      <c r="V412" s="106" t="s">
        <v>36</v>
      </c>
      <c r="W412" s="294"/>
      <c r="X412" s="267"/>
      <c r="Y412" s="295">
        <f t="shared" si="136"/>
        <v>45.536367966687337</v>
      </c>
      <c r="Z412" s="268">
        <f>+SUM(START:END!Z412)</f>
        <v>16627.0398862289</v>
      </c>
      <c r="AA412" s="267"/>
      <c r="AB412" s="295">
        <f t="shared" si="137"/>
        <v>45.536367966687337</v>
      </c>
      <c r="AC412" s="268">
        <f>+SUM(START:END!AC412)</f>
        <v>16627.0398862289</v>
      </c>
      <c r="AD412" s="296"/>
      <c r="AE412" s="295">
        <f t="shared" si="138"/>
        <v>131.77173333333334</v>
      </c>
      <c r="AF412" s="268">
        <f>+SUM(START:END!AF412)</f>
        <v>29648.639999999999</v>
      </c>
      <c r="AG412" s="269">
        <f t="shared" si="139"/>
        <v>86.235365366646008</v>
      </c>
      <c r="AH412" s="270">
        <f t="shared" si="139"/>
        <v>13021.600113771099</v>
      </c>
      <c r="AI412" s="297">
        <f t="shared" si="144"/>
        <v>0.78315804874901673</v>
      </c>
      <c r="AJ412" s="296"/>
      <c r="AK412" s="270">
        <f t="shared" si="140"/>
        <v>51.401228571428575</v>
      </c>
      <c r="AL412" s="268">
        <f t="shared" si="141"/>
        <v>17990.43</v>
      </c>
      <c r="AM412" s="272">
        <f t="shared" si="142"/>
        <v>86.235365366646008</v>
      </c>
      <c r="AN412" s="270">
        <f t="shared" si="143"/>
        <v>11658.21</v>
      </c>
      <c r="AO412" s="298">
        <f t="shared" si="145"/>
        <v>0.6480228654901522</v>
      </c>
      <c r="AP412" s="250"/>
      <c r="AQ412" s="250"/>
      <c r="AR412" s="14"/>
      <c r="AS412" s="250"/>
      <c r="AT412" s="250"/>
      <c r="AU412" s="250"/>
      <c r="AV412" s="250"/>
      <c r="AW412" s="250"/>
      <c r="AX412" s="250"/>
      <c r="AY412" s="250"/>
      <c r="AZ412" s="250"/>
      <c r="BA412" s="250"/>
      <c r="BB412" s="250"/>
      <c r="BC412" s="250"/>
      <c r="BD412" s="250"/>
      <c r="BE412" s="250"/>
      <c r="BF412" s="250"/>
      <c r="BG412" s="250"/>
      <c r="BH412" s="250"/>
      <c r="BI412" s="250"/>
    </row>
    <row r="413" spans="1:61" ht="15.75" customHeight="1">
      <c r="A413" t="str">
        <f t="shared" si="135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50"/>
      <c r="U413" s="250"/>
      <c r="V413" s="105" t="s">
        <v>37</v>
      </c>
      <c r="W413" s="290" t="s">
        <v>140</v>
      </c>
      <c r="X413" s="287"/>
      <c r="Y413" s="291">
        <f t="shared" si="136"/>
        <v>149.43435595834688</v>
      </c>
      <c r="Z413" s="284">
        <f>+SUM(START:END!Z413)</f>
        <v>54564.101351035206</v>
      </c>
      <c r="AA413" s="287"/>
      <c r="AB413" s="291">
        <f t="shared" si="137"/>
        <v>149.43435595834688</v>
      </c>
      <c r="AC413" s="284">
        <f>+SUM(START:END!AC413)</f>
        <v>54564.101351035206</v>
      </c>
      <c r="AD413" s="292"/>
      <c r="AE413" s="291">
        <f t="shared" si="138"/>
        <v>246.47488888888884</v>
      </c>
      <c r="AF413" s="284">
        <f>+SUM(START:END!AF413)</f>
        <v>55456.849999999991</v>
      </c>
      <c r="AG413" s="285">
        <f t="shared" si="139"/>
        <v>97.040532930541957</v>
      </c>
      <c r="AH413" s="286">
        <f t="shared" si="139"/>
        <v>892.74864896478539</v>
      </c>
      <c r="AI413" s="287">
        <f t="shared" si="144"/>
        <v>1.6361465264887898E-2</v>
      </c>
      <c r="AJ413" s="292"/>
      <c r="AK413" s="286">
        <f t="shared" si="140"/>
        <v>111.16674285714286</v>
      </c>
      <c r="AL413" s="284">
        <f t="shared" si="141"/>
        <v>38908.36</v>
      </c>
      <c r="AM413" s="288">
        <f t="shared" si="142"/>
        <v>97.040532930541957</v>
      </c>
      <c r="AN413" s="286">
        <f t="shared" si="143"/>
        <v>16548.489999999991</v>
      </c>
      <c r="AO413" s="293">
        <f t="shared" si="145"/>
        <v>0.42531964852797677</v>
      </c>
      <c r="AP413" s="250"/>
      <c r="AQ413" s="250"/>
      <c r="AR413" s="14"/>
      <c r="AS413" s="250"/>
      <c r="AT413" s="250"/>
      <c r="AU413" s="250"/>
      <c r="AV413" s="250"/>
      <c r="AW413" s="250"/>
      <c r="AX413" s="250"/>
      <c r="AY413" s="250"/>
      <c r="AZ413" s="250"/>
      <c r="BA413" s="250"/>
      <c r="BB413" s="250"/>
      <c r="BC413" s="250"/>
      <c r="BD413" s="250"/>
      <c r="BE413" s="250"/>
      <c r="BF413" s="250"/>
      <c r="BG413" s="250"/>
      <c r="BH413" s="250"/>
      <c r="BI413" s="250"/>
    </row>
    <row r="414" spans="1:61" ht="15.75" customHeight="1">
      <c r="A414" t="str">
        <f t="shared" si="135"/>
        <v>Intérêt de gros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50"/>
      <c r="U414" s="250"/>
      <c r="V414" s="105" t="s">
        <v>38</v>
      </c>
      <c r="W414" s="290" t="s">
        <v>141</v>
      </c>
      <c r="X414" s="283"/>
      <c r="Y414" s="291">
        <f t="shared" si="136"/>
        <v>70.78404307318047</v>
      </c>
      <c r="Z414" s="284">
        <f>+SUM(START:END!Z414)</f>
        <v>25845.915254974057</v>
      </c>
      <c r="AA414" s="283"/>
      <c r="AB414" s="291">
        <f t="shared" si="137"/>
        <v>70.78404307318047</v>
      </c>
      <c r="AC414" s="284">
        <f>+SUM(START:END!AC414)</f>
        <v>25845.915254974057</v>
      </c>
      <c r="AD414" s="292"/>
      <c r="AE414" s="291">
        <f>IF(AF414=0,0,AF414/(J$13+J$13))</f>
        <v>28.283650793650793</v>
      </c>
      <c r="AF414" s="284">
        <f>+SUM(START:END!AF414)</f>
        <v>7127.48</v>
      </c>
      <c r="AG414" s="285">
        <f t="shared" si="139"/>
        <v>-42.500392279529677</v>
      </c>
      <c r="AH414" s="286">
        <f t="shared" si="139"/>
        <v>-18718.435254974058</v>
      </c>
      <c r="AI414" s="287">
        <f t="shared" si="144"/>
        <v>-0.72423185908928833</v>
      </c>
      <c r="AJ414" s="292"/>
      <c r="AK414" s="286">
        <f t="shared" si="140"/>
        <v>128.98705714285714</v>
      </c>
      <c r="AL414" s="284">
        <f t="shared" si="141"/>
        <v>45145.47</v>
      </c>
      <c r="AM414" s="288">
        <f t="shared" si="142"/>
        <v>-42.500392279529677</v>
      </c>
      <c r="AN414" s="286">
        <f t="shared" si="143"/>
        <v>-38017.990000000005</v>
      </c>
      <c r="AO414" s="293">
        <f t="shared" si="145"/>
        <v>-0.84212192275326858</v>
      </c>
      <c r="AP414" s="250"/>
      <c r="AQ414" s="250"/>
      <c r="AR414" s="14"/>
      <c r="AS414" s="250"/>
      <c r="AT414" s="250"/>
      <c r="AU414" s="250"/>
      <c r="AV414" s="250"/>
      <c r="AW414" s="250"/>
      <c r="AX414" s="250"/>
      <c r="AY414" s="250"/>
      <c r="AZ414" s="250"/>
      <c r="BA414" s="250"/>
      <c r="BB414" s="250"/>
      <c r="BC414" s="250"/>
      <c r="BD414" s="250"/>
      <c r="BE414" s="250"/>
      <c r="BF414" s="250"/>
      <c r="BG414" s="250"/>
      <c r="BH414" s="250"/>
      <c r="BI414" s="250"/>
    </row>
    <row r="415" spans="1:61" ht="15.75" hidden="1" customHeight="1">
      <c r="A415" t="str">
        <f t="shared" si="135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50"/>
      <c r="U415" s="250"/>
      <c r="V415" s="105" t="s">
        <v>21</v>
      </c>
      <c r="W415" s="290"/>
      <c r="X415" s="287"/>
      <c r="Y415" s="291">
        <f t="shared" si="136"/>
        <v>0</v>
      </c>
      <c r="Z415" s="284">
        <f t="shared" ref="Z415:Z417" si="146">+SUMIF($C:$C,$V415,F:F)</f>
        <v>0</v>
      </c>
      <c r="AA415" s="283"/>
      <c r="AB415" s="291">
        <f t="shared" si="137"/>
        <v>0</v>
      </c>
      <c r="AC415" s="284">
        <f t="shared" ref="AC415:AC417" si="147">+SUMIF($C:$C,$V415,I:I)</f>
        <v>0</v>
      </c>
      <c r="AD415" s="292"/>
      <c r="AE415" s="291">
        <f t="shared" ref="AE415:AE417" si="148">IF(AF415=0,0,AF415/(J$13+J$13))</f>
        <v>0</v>
      </c>
      <c r="AF415" s="284">
        <f t="shared" ref="AF415:AF417" si="149">+SUMIF($C:$C,$V415,L:L)</f>
        <v>0</v>
      </c>
      <c r="AG415" s="285">
        <f t="shared" si="139"/>
        <v>0</v>
      </c>
      <c r="AH415" s="286">
        <f t="shared" si="139"/>
        <v>0</v>
      </c>
      <c r="AI415" s="287">
        <f t="shared" si="144"/>
        <v>0</v>
      </c>
      <c r="AJ415" s="292"/>
      <c r="AK415" s="286">
        <f t="shared" si="140"/>
        <v>0</v>
      </c>
      <c r="AL415" s="284">
        <f t="shared" si="141"/>
        <v>0</v>
      </c>
      <c r="AM415" s="288">
        <f t="shared" si="142"/>
        <v>0</v>
      </c>
      <c r="AN415" s="286">
        <f t="shared" si="143"/>
        <v>0</v>
      </c>
      <c r="AO415" s="293">
        <f t="shared" si="145"/>
        <v>0</v>
      </c>
      <c r="AP415" s="250"/>
      <c r="AQ415" s="250"/>
      <c r="AR415" s="14"/>
      <c r="AS415" s="250"/>
      <c r="AT415" s="250"/>
      <c r="AU415" s="250"/>
      <c r="AV415" s="250"/>
      <c r="AW415" s="250"/>
      <c r="AX415" s="250"/>
      <c r="AY415" s="250"/>
      <c r="AZ415" s="250"/>
      <c r="BA415" s="250"/>
      <c r="BB415" s="250"/>
      <c r="BC415" s="250"/>
      <c r="BD415" s="250"/>
      <c r="BE415" s="250"/>
      <c r="BF415" s="250"/>
      <c r="BG415" s="250"/>
      <c r="BH415" s="250"/>
      <c r="BI415" s="250"/>
    </row>
    <row r="416" spans="1:61" ht="15.75" hidden="1" customHeight="1">
      <c r="A416" t="str">
        <f t="shared" si="135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50"/>
      <c r="U416" s="250"/>
      <c r="V416" s="105" t="s">
        <v>21</v>
      </c>
      <c r="W416" s="290"/>
      <c r="X416" s="287"/>
      <c r="Y416" s="291">
        <f t="shared" si="136"/>
        <v>0</v>
      </c>
      <c r="Z416" s="284">
        <f t="shared" si="146"/>
        <v>0</v>
      </c>
      <c r="AA416" s="283"/>
      <c r="AB416" s="291">
        <f t="shared" si="137"/>
        <v>0</v>
      </c>
      <c r="AC416" s="284">
        <f t="shared" si="147"/>
        <v>0</v>
      </c>
      <c r="AD416" s="292"/>
      <c r="AE416" s="291">
        <f t="shared" si="148"/>
        <v>0</v>
      </c>
      <c r="AF416" s="284">
        <f t="shared" si="149"/>
        <v>0</v>
      </c>
      <c r="AG416" s="285">
        <f t="shared" si="139"/>
        <v>0</v>
      </c>
      <c r="AH416" s="286">
        <f t="shared" si="139"/>
        <v>0</v>
      </c>
      <c r="AI416" s="287">
        <f t="shared" si="144"/>
        <v>0</v>
      </c>
      <c r="AJ416" s="292"/>
      <c r="AK416" s="286">
        <f t="shared" si="140"/>
        <v>0</v>
      </c>
      <c r="AL416" s="284">
        <f t="shared" si="141"/>
        <v>0</v>
      </c>
      <c r="AM416" s="288">
        <f t="shared" si="142"/>
        <v>0</v>
      </c>
      <c r="AN416" s="286">
        <f t="shared" si="143"/>
        <v>0</v>
      </c>
      <c r="AO416" s="293">
        <f t="shared" si="145"/>
        <v>0</v>
      </c>
      <c r="AP416" s="250"/>
      <c r="AQ416" s="250"/>
      <c r="AR416" s="14"/>
      <c r="AS416" s="250"/>
      <c r="AT416" s="250"/>
      <c r="AU416" s="250"/>
      <c r="AV416" s="250"/>
      <c r="AW416" s="250"/>
      <c r="AX416" s="250"/>
      <c r="AY416" s="250"/>
      <c r="AZ416" s="250"/>
      <c r="BA416" s="250"/>
      <c r="BB416" s="250"/>
      <c r="BC416" s="250"/>
      <c r="BD416" s="250"/>
      <c r="BE416" s="250"/>
      <c r="BF416" s="250"/>
      <c r="BG416" s="250"/>
      <c r="BH416" s="250"/>
      <c r="BI416" s="250"/>
    </row>
    <row r="417" spans="1:61" ht="15.75" hidden="1" customHeight="1">
      <c r="A417" t="str">
        <f t="shared" si="135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0"/>
      <c r="U417" s="250"/>
      <c r="V417" s="105" t="s">
        <v>21</v>
      </c>
      <c r="W417" s="290" t="s">
        <v>141</v>
      </c>
      <c r="X417" s="283"/>
      <c r="Y417" s="291">
        <f t="shared" si="136"/>
        <v>0</v>
      </c>
      <c r="Z417" s="284">
        <f t="shared" si="146"/>
        <v>0</v>
      </c>
      <c r="AA417" s="283"/>
      <c r="AB417" s="291">
        <f t="shared" si="137"/>
        <v>0</v>
      </c>
      <c r="AC417" s="284">
        <f t="shared" si="147"/>
        <v>0</v>
      </c>
      <c r="AD417" s="292"/>
      <c r="AE417" s="291">
        <f t="shared" si="148"/>
        <v>0</v>
      </c>
      <c r="AF417" s="284">
        <f t="shared" si="149"/>
        <v>0</v>
      </c>
      <c r="AG417" s="285">
        <f t="shared" si="139"/>
        <v>0</v>
      </c>
      <c r="AH417" s="286">
        <f t="shared" si="139"/>
        <v>0</v>
      </c>
      <c r="AI417" s="287">
        <f t="shared" si="144"/>
        <v>0</v>
      </c>
      <c r="AJ417" s="292"/>
      <c r="AK417" s="286">
        <f t="shared" si="140"/>
        <v>0</v>
      </c>
      <c r="AL417" s="284">
        <f t="shared" si="141"/>
        <v>0</v>
      </c>
      <c r="AM417" s="288">
        <f t="shared" si="142"/>
        <v>0</v>
      </c>
      <c r="AN417" s="286">
        <f t="shared" si="143"/>
        <v>0</v>
      </c>
      <c r="AO417" s="293">
        <f t="shared" si="145"/>
        <v>0</v>
      </c>
      <c r="AP417" s="250"/>
      <c r="AQ417" s="250"/>
      <c r="AR417" s="14"/>
      <c r="AS417" s="250"/>
      <c r="AT417" s="250"/>
      <c r="AU417" s="250"/>
      <c r="AV417" s="250"/>
      <c r="AW417" s="250"/>
      <c r="AX417" s="250"/>
      <c r="AY417" s="250"/>
      <c r="AZ417" s="250"/>
      <c r="BA417" s="250"/>
      <c r="BB417" s="250"/>
      <c r="BC417" s="250"/>
      <c r="BD417" s="250"/>
      <c r="BE417" s="250"/>
      <c r="BF417" s="250"/>
      <c r="BG417" s="250"/>
      <c r="BH417" s="250"/>
      <c r="BI417" s="250"/>
    </row>
    <row r="418" spans="1:61" ht="15.75" customHeight="1">
      <c r="A418" t="str">
        <f t="shared" si="135"/>
        <v>TOTAL VARIABLES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50"/>
      <c r="U418" s="250"/>
      <c r="V418" s="300" t="s">
        <v>39</v>
      </c>
      <c r="W418" s="301"/>
      <c r="X418" s="302">
        <f>Z418/Z406</f>
        <v>0.23200812013766836</v>
      </c>
      <c r="Y418" s="301"/>
      <c r="Z418" s="303">
        <f>SUM(Z408:Z417)</f>
        <v>512407.11991027184</v>
      </c>
      <c r="AA418" s="302">
        <f>AC418/AC406</f>
        <v>0.23200812013766836</v>
      </c>
      <c r="AB418" s="301"/>
      <c r="AC418" s="303">
        <f>SUM(AC408:AC417)</f>
        <v>512407.11991027184</v>
      </c>
      <c r="AD418" s="304">
        <f>AF418/AF406</f>
        <v>0.21112598889316114</v>
      </c>
      <c r="AE418" s="301"/>
      <c r="AF418" s="303">
        <f>SUM(AF408:AF417)</f>
        <v>463814.80999999994</v>
      </c>
      <c r="AG418" s="305"/>
      <c r="AH418" s="306">
        <f>AF418-AC418</f>
        <v>-48592.309910271899</v>
      </c>
      <c r="AI418" s="302">
        <f>AH418/AC418</f>
        <v>-9.4831449490360223E-2</v>
      </c>
      <c r="AJ418" s="304">
        <f>IF($AL$406=0,0,AL418/$AL$406)</f>
        <v>0.233756857410408</v>
      </c>
      <c r="AK418" s="301"/>
      <c r="AL418" s="303">
        <f>SUM(AL408:AL417)</f>
        <v>470405.39</v>
      </c>
      <c r="AM418" s="307"/>
      <c r="AN418" s="306">
        <f t="shared" si="143"/>
        <v>-6590.5800000000745</v>
      </c>
      <c r="AO418" s="281">
        <f>IF(AL418=0,0,AN418/AL418)</f>
        <v>-1.4010426198560511E-2</v>
      </c>
      <c r="AP418" s="250"/>
      <c r="AQ418" s="250"/>
      <c r="AR418" s="14"/>
      <c r="AS418" s="250"/>
      <c r="AT418" s="250"/>
      <c r="AU418" s="250"/>
      <c r="AV418" s="250"/>
      <c r="AW418" s="250"/>
      <c r="AX418" s="250"/>
      <c r="AY418" s="250"/>
      <c r="AZ418" s="250"/>
      <c r="BA418" s="250"/>
      <c r="BB418" s="250"/>
      <c r="BC418" s="250"/>
      <c r="BD418" s="250"/>
      <c r="BE418" s="250"/>
      <c r="BF418" s="250"/>
      <c r="BG418" s="250"/>
      <c r="BH418" s="250"/>
      <c r="BI418" s="250"/>
    </row>
    <row r="419" spans="1:61" ht="15.75" customHeight="1">
      <c r="A419" t="str">
        <f t="shared" si="135"/>
        <v>Salaires propriétaire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308"/>
      <c r="P419" s="159"/>
      <c r="Q419" s="11"/>
      <c r="R419" s="11"/>
      <c r="S419" s="11"/>
      <c r="T419" s="250"/>
      <c r="U419" s="250"/>
      <c r="V419" s="105" t="s">
        <v>142</v>
      </c>
      <c r="W419" s="290" t="s">
        <v>143</v>
      </c>
      <c r="X419" s="283"/>
      <c r="Y419" s="283"/>
      <c r="Z419" s="284">
        <f>+SUM(START:END!Z419)</f>
        <v>46038.810906666673</v>
      </c>
      <c r="AA419" s="292">
        <f>AC418/(AC406+AC480)</f>
        <v>0.19320186852979337</v>
      </c>
      <c r="AB419" s="283"/>
      <c r="AC419" s="284">
        <f>+SUM(START:END!AC419)</f>
        <v>46038.810906666673</v>
      </c>
      <c r="AD419" s="292">
        <f>AF418/(AF406+AF480)</f>
        <v>0.1875201581270855</v>
      </c>
      <c r="AE419" s="291"/>
      <c r="AF419" s="284">
        <f>+SUM(START:END!AF419)</f>
        <v>49810.409999999996</v>
      </c>
      <c r="AG419" s="285"/>
      <c r="AH419" s="286">
        <f t="shared" ref="AH419:AH430" si="150">AF419-AC419</f>
        <v>3771.5990933333233</v>
      </c>
      <c r="AI419" s="287">
        <f>IF(AC419=0,0,AH419/AC419)</f>
        <v>8.1922165648009276E-2</v>
      </c>
      <c r="AJ419" s="292"/>
      <c r="AK419" s="283"/>
      <c r="AL419" s="284">
        <f>+SUM(START:END!AL419)</f>
        <v>7589.17</v>
      </c>
      <c r="AM419" s="288"/>
      <c r="AN419" s="286">
        <f t="shared" si="143"/>
        <v>42221.24</v>
      </c>
      <c r="AO419" s="293">
        <f t="shared" ref="AO419:AO430" si="151">IF(AL419=0,0,AN419/AL419)</f>
        <v>5.5633540953753835</v>
      </c>
      <c r="AP419" s="250"/>
      <c r="AQ419" s="250"/>
      <c r="AR419" s="250"/>
      <c r="AS419" s="250"/>
      <c r="AT419" s="250"/>
      <c r="AU419" s="250"/>
      <c r="AV419" s="250"/>
      <c r="AW419" s="250"/>
      <c r="AX419" s="250"/>
      <c r="AY419" s="250"/>
      <c r="AZ419" s="250"/>
      <c r="BA419" s="250"/>
      <c r="BB419" s="250"/>
      <c r="BC419" s="250"/>
      <c r="BD419" s="250"/>
      <c r="BE419" s="250"/>
      <c r="BF419" s="250"/>
      <c r="BG419" s="250"/>
      <c r="BH419" s="250"/>
      <c r="BI419" s="250"/>
    </row>
    <row r="420" spans="1:61" ht="15.75" customHeight="1">
      <c r="A420" t="str">
        <f t="shared" si="135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308"/>
      <c r="P420" s="159"/>
      <c r="Q420" s="11"/>
      <c r="R420" s="11"/>
      <c r="S420" s="11"/>
      <c r="T420" s="250"/>
      <c r="U420" s="250"/>
      <c r="V420" s="105" t="s">
        <v>42</v>
      </c>
      <c r="W420" s="290" t="s">
        <v>144</v>
      </c>
      <c r="X420" s="283"/>
      <c r="Y420" s="283"/>
      <c r="Z420" s="284">
        <f>+SUM(START:END!Z420)</f>
        <v>114195.24904214559</v>
      </c>
      <c r="AA420" s="283"/>
      <c r="AB420" s="283"/>
      <c r="AC420" s="284">
        <f>+SUM(START:END!AC420)</f>
        <v>114195.24904214559</v>
      </c>
      <c r="AD420" s="292"/>
      <c r="AE420" s="291"/>
      <c r="AF420" s="284">
        <f>+SUM(START:END!AF420)</f>
        <v>115845.19999999998</v>
      </c>
      <c r="AG420" s="285"/>
      <c r="AH420" s="286">
        <f t="shared" si="150"/>
        <v>1649.9509578543948</v>
      </c>
      <c r="AI420" s="287">
        <f t="shared" ref="AI420:AI430" si="152">IF(AC420=0,0,AH420/AC420)</f>
        <v>1.444850789935625E-2</v>
      </c>
      <c r="AJ420" s="292"/>
      <c r="AK420" s="283"/>
      <c r="AL420" s="284">
        <f>+SUM(START:END!AL420)</f>
        <v>144630.11000000002</v>
      </c>
      <c r="AM420" s="288"/>
      <c r="AN420" s="286">
        <f t="shared" si="143"/>
        <v>-28784.910000000033</v>
      </c>
      <c r="AO420" s="293">
        <f t="shared" si="151"/>
        <v>-0.19902432487951527</v>
      </c>
      <c r="AP420" s="250"/>
      <c r="AQ420" s="250"/>
      <c r="AR420" s="250"/>
      <c r="AS420" s="250"/>
      <c r="AT420" s="250"/>
      <c r="AU420" s="250"/>
      <c r="AV420" s="250"/>
      <c r="AW420" s="250"/>
      <c r="AX420" s="250"/>
      <c r="AY420" s="250"/>
      <c r="AZ420" s="250"/>
      <c r="BA420" s="250"/>
      <c r="BB420" s="250"/>
      <c r="BC420" s="250"/>
      <c r="BD420" s="250"/>
      <c r="BE420" s="250"/>
      <c r="BF420" s="250"/>
      <c r="BG420" s="250"/>
      <c r="BH420" s="250"/>
      <c r="BI420" s="250"/>
    </row>
    <row r="421" spans="1:61" ht="15.75" customHeight="1">
      <c r="A421" t="str">
        <f t="shared" si="135"/>
        <v>Salaires commis</v>
      </c>
      <c r="B421" s="7"/>
      <c r="C421" s="250"/>
      <c r="D421" s="250"/>
      <c r="E421" s="250"/>
      <c r="F421" s="250"/>
      <c r="G421" s="250"/>
      <c r="H421" s="250"/>
      <c r="I421" s="250"/>
      <c r="J421" s="250"/>
      <c r="K421" s="250"/>
      <c r="L421" s="250"/>
      <c r="M421" s="250"/>
      <c r="N421" s="250"/>
      <c r="O421" s="309"/>
      <c r="P421" s="159"/>
      <c r="Q421" s="250"/>
      <c r="R421" s="250"/>
      <c r="S421" s="250"/>
      <c r="T421" s="250"/>
      <c r="U421" s="250"/>
      <c r="V421" s="106" t="s">
        <v>43</v>
      </c>
      <c r="W421" s="294" t="s">
        <v>145</v>
      </c>
      <c r="X421" s="267"/>
      <c r="Y421" s="267"/>
      <c r="Z421" s="268">
        <f>+SUM(START:END!Z421)</f>
        <v>79033.467567432963</v>
      </c>
      <c r="AA421" s="267"/>
      <c r="AB421" s="267"/>
      <c r="AC421" s="268">
        <f>+SUM(START:END!AC421)</f>
        <v>79033.467567432963</v>
      </c>
      <c r="AD421" s="296"/>
      <c r="AE421" s="295"/>
      <c r="AF421" s="268">
        <f>+SUM(START:END!AF421)</f>
        <v>65421.81</v>
      </c>
      <c r="AG421" s="269"/>
      <c r="AH421" s="270">
        <f t="shared" si="150"/>
        <v>-13611.657567432965</v>
      </c>
      <c r="AI421" s="297">
        <f t="shared" si="152"/>
        <v>-0.1722265008278831</v>
      </c>
      <c r="AJ421" s="296"/>
      <c r="AK421" s="267"/>
      <c r="AL421" s="268">
        <f>+SUM(START:END!AL421)</f>
        <v>76864.239999999991</v>
      </c>
      <c r="AM421" s="272"/>
      <c r="AN421" s="270">
        <f t="shared" si="143"/>
        <v>-11442.429999999993</v>
      </c>
      <c r="AO421" s="273">
        <f t="shared" si="151"/>
        <v>-0.14886545420861502</v>
      </c>
      <c r="AP421" s="250"/>
      <c r="AQ421" s="250"/>
      <c r="AR421" s="250"/>
      <c r="AS421" s="250"/>
      <c r="AT421" s="250"/>
      <c r="AU421" s="250"/>
      <c r="AV421" s="250"/>
      <c r="AW421" s="250"/>
      <c r="AX421" s="250"/>
      <c r="AY421" s="250"/>
      <c r="AZ421" s="250"/>
      <c r="BA421" s="250"/>
      <c r="BB421" s="250"/>
      <c r="BC421" s="250"/>
      <c r="BD421" s="250"/>
      <c r="BE421" s="250"/>
      <c r="BF421" s="250"/>
      <c r="BG421" s="250"/>
      <c r="BH421" s="250"/>
      <c r="BI421" s="250"/>
    </row>
    <row r="422" spans="1:61" ht="15.75" customHeight="1">
      <c r="A422" t="str">
        <f t="shared" si="135"/>
        <v>Salaires autres</v>
      </c>
      <c r="B422" s="7"/>
      <c r="C422" s="250"/>
      <c r="D422" s="250"/>
      <c r="E422" s="250"/>
      <c r="F422" s="250"/>
      <c r="G422" s="250"/>
      <c r="H422" s="250"/>
      <c r="I422" s="250"/>
      <c r="J422" s="250"/>
      <c r="K422" s="250"/>
      <c r="L422" s="250"/>
      <c r="M422" s="250"/>
      <c r="N422" s="250"/>
      <c r="O422" s="309"/>
      <c r="P422" s="159"/>
      <c r="Q422" s="250"/>
      <c r="R422" s="250"/>
      <c r="S422" s="250"/>
      <c r="T422" s="250"/>
      <c r="U422" s="250"/>
      <c r="V422" s="105" t="s">
        <v>44</v>
      </c>
      <c r="W422" s="290" t="s">
        <v>146</v>
      </c>
      <c r="X422" s="283"/>
      <c r="Y422" s="283"/>
      <c r="Z422" s="284">
        <f>+SUM(START:END!Z422)</f>
        <v>168243.17485977011</v>
      </c>
      <c r="AA422" s="283"/>
      <c r="AB422" s="283"/>
      <c r="AC422" s="284">
        <f>+SUM(START:END!AC422)</f>
        <v>168243.17485977011</v>
      </c>
      <c r="AD422" s="292"/>
      <c r="AE422" s="291"/>
      <c r="AF422" s="284">
        <f>+SUM(START:END!AF422)</f>
        <v>178699.66999999998</v>
      </c>
      <c r="AG422" s="285"/>
      <c r="AH422" s="286">
        <f t="shared" si="150"/>
        <v>10456.495140229876</v>
      </c>
      <c r="AI422" s="287">
        <f t="shared" si="152"/>
        <v>6.2151080713647465E-2</v>
      </c>
      <c r="AJ422" s="292"/>
      <c r="AK422" s="283"/>
      <c r="AL422" s="284">
        <f>+SUM(START:END!AL422)</f>
        <v>156989.76999999999</v>
      </c>
      <c r="AM422" s="288"/>
      <c r="AN422" s="286">
        <f t="shared" si="143"/>
        <v>21709.899999999994</v>
      </c>
      <c r="AO422" s="293">
        <f t="shared" si="151"/>
        <v>0.13828862861573715</v>
      </c>
      <c r="AP422" s="250"/>
      <c r="AQ422" s="250"/>
      <c r="AR422" s="250"/>
      <c r="AS422" s="250"/>
      <c r="AT422" s="250"/>
      <c r="AU422" s="250"/>
      <c r="AV422" s="250"/>
      <c r="AW422" s="250"/>
      <c r="AX422" s="250"/>
      <c r="AY422" s="250"/>
      <c r="AZ422" s="250"/>
      <c r="BA422" s="250"/>
      <c r="BB422" s="250"/>
      <c r="BC422" s="250"/>
      <c r="BD422" s="250"/>
      <c r="BE422" s="250"/>
      <c r="BF422" s="250"/>
      <c r="BG422" s="250"/>
      <c r="BH422" s="250"/>
      <c r="BI422" s="250"/>
    </row>
    <row r="423" spans="1:61" ht="15.75" customHeight="1">
      <c r="A423" t="str">
        <f t="shared" si="135"/>
        <v>Salaires spécialistes</v>
      </c>
      <c r="B423" s="7"/>
      <c r="C423" s="250"/>
      <c r="D423" s="250"/>
      <c r="E423" s="250"/>
      <c r="F423" s="250"/>
      <c r="G423" s="250"/>
      <c r="H423" s="250"/>
      <c r="I423" s="250"/>
      <c r="J423" s="250"/>
      <c r="K423" s="250"/>
      <c r="L423" s="250"/>
      <c r="M423" s="250"/>
      <c r="N423" s="250"/>
      <c r="O423" s="309"/>
      <c r="P423" s="159"/>
      <c r="Q423" s="250"/>
      <c r="R423" s="250"/>
      <c r="S423" s="250"/>
      <c r="T423" s="250"/>
      <c r="U423" s="250"/>
      <c r="V423" s="105" t="s">
        <v>45</v>
      </c>
      <c r="W423" s="290" t="s">
        <v>147</v>
      </c>
      <c r="X423" s="283"/>
      <c r="Y423" s="283"/>
      <c r="Z423" s="284">
        <f>+SUM(START:END!Z423)</f>
        <v>109074.09973712257</v>
      </c>
      <c r="AA423" s="283"/>
      <c r="AB423" s="283"/>
      <c r="AC423" s="284">
        <f>+SUM(START:END!AC423)</f>
        <v>109074.09973712257</v>
      </c>
      <c r="AD423" s="292"/>
      <c r="AE423" s="291"/>
      <c r="AF423" s="284">
        <f>+SUM(START:END!AF423)</f>
        <v>107013.44</v>
      </c>
      <c r="AG423" s="285"/>
      <c r="AH423" s="286">
        <f t="shared" si="150"/>
        <v>-2060.6597371225653</v>
      </c>
      <c r="AI423" s="287">
        <f t="shared" si="152"/>
        <v>-1.8892291956467414E-2</v>
      </c>
      <c r="AJ423" s="292"/>
      <c r="AK423" s="283"/>
      <c r="AL423" s="284">
        <f>+SUM(START:END!AL423)</f>
        <v>83288.55</v>
      </c>
      <c r="AM423" s="288"/>
      <c r="AN423" s="286">
        <f t="shared" si="143"/>
        <v>23724.89</v>
      </c>
      <c r="AO423" s="293">
        <f t="shared" si="151"/>
        <v>0.28485175933546686</v>
      </c>
      <c r="AP423" s="250"/>
      <c r="AQ423" s="250"/>
      <c r="AR423" s="250"/>
      <c r="AS423" s="250"/>
      <c r="AT423" s="250"/>
      <c r="AU423" s="250"/>
      <c r="AV423" s="250"/>
      <c r="AW423" s="250"/>
      <c r="AX423" s="250"/>
      <c r="AY423" s="250"/>
      <c r="AZ423" s="250"/>
      <c r="BA423" s="250"/>
      <c r="BB423" s="250"/>
      <c r="BC423" s="250"/>
      <c r="BD423" s="250"/>
      <c r="BE423" s="250"/>
      <c r="BF423" s="250"/>
      <c r="BG423" s="250"/>
      <c r="BH423" s="250"/>
      <c r="BI423" s="250"/>
    </row>
    <row r="424" spans="1:61" ht="15.75" hidden="1" customHeight="1">
      <c r="A424" t="str">
        <f t="shared" si="135"/>
        <v>[...]</v>
      </c>
      <c r="B424" s="7"/>
      <c r="C424" s="250"/>
      <c r="D424" s="250"/>
      <c r="E424" s="250"/>
      <c r="F424" s="250"/>
      <c r="G424" s="250"/>
      <c r="H424" s="250"/>
      <c r="I424" s="250"/>
      <c r="J424" s="250"/>
      <c r="K424" s="250"/>
      <c r="L424" s="250"/>
      <c r="M424" s="250"/>
      <c r="N424" s="250"/>
      <c r="O424" s="309"/>
      <c r="P424" s="159"/>
      <c r="Q424" s="250"/>
      <c r="R424" s="250"/>
      <c r="S424" s="250"/>
      <c r="T424" s="250"/>
      <c r="U424" s="250"/>
      <c r="V424" s="105" t="s">
        <v>21</v>
      </c>
      <c r="W424" s="290"/>
      <c r="X424" s="283"/>
      <c r="Y424" s="283"/>
      <c r="Z424" s="284">
        <f>+SUM(START:END!Z424)</f>
        <v>0</v>
      </c>
      <c r="AA424" s="283"/>
      <c r="AB424" s="283"/>
      <c r="AC424" s="284">
        <f>+SUM(START:END!AC424)</f>
        <v>0</v>
      </c>
      <c r="AD424" s="292"/>
      <c r="AE424" s="291"/>
      <c r="AF424" s="284">
        <f>+SUM(START:END!AF424)</f>
        <v>0</v>
      </c>
      <c r="AG424" s="285"/>
      <c r="AH424" s="286">
        <f t="shared" si="150"/>
        <v>0</v>
      </c>
      <c r="AI424" s="287">
        <f t="shared" si="152"/>
        <v>0</v>
      </c>
      <c r="AJ424" s="292"/>
      <c r="AK424" s="283"/>
      <c r="AL424" s="284">
        <f>+SUM(START:END!AL424)</f>
        <v>0</v>
      </c>
      <c r="AM424" s="288"/>
      <c r="AN424" s="286">
        <f t="shared" si="143"/>
        <v>0</v>
      </c>
      <c r="AO424" s="293">
        <f t="shared" si="151"/>
        <v>0</v>
      </c>
      <c r="AP424" s="250"/>
      <c r="AQ424" s="250"/>
      <c r="AR424" s="250"/>
      <c r="AS424" s="250"/>
      <c r="AT424" s="250"/>
      <c r="AU424" s="250"/>
      <c r="AV424" s="250"/>
      <c r="AW424" s="250"/>
      <c r="AX424" s="250"/>
      <c r="AY424" s="250"/>
      <c r="AZ424" s="250"/>
      <c r="BA424" s="250"/>
      <c r="BB424" s="250"/>
      <c r="BC424" s="250"/>
      <c r="BD424" s="250"/>
      <c r="BE424" s="250"/>
      <c r="BF424" s="250"/>
      <c r="BG424" s="250"/>
      <c r="BH424" s="250"/>
      <c r="BI424" s="250"/>
    </row>
    <row r="425" spans="1:61" ht="15.75" hidden="1" customHeight="1">
      <c r="A425" t="str">
        <f t="shared" si="135"/>
        <v>[...]</v>
      </c>
      <c r="B425" s="7"/>
      <c r="C425" s="250"/>
      <c r="D425" s="250"/>
      <c r="E425" s="250"/>
      <c r="F425" s="250"/>
      <c r="G425" s="250"/>
      <c r="H425" s="250"/>
      <c r="I425" s="250"/>
      <c r="J425" s="250"/>
      <c r="K425" s="250"/>
      <c r="L425" s="250"/>
      <c r="M425" s="250"/>
      <c r="N425" s="250"/>
      <c r="O425" s="309"/>
      <c r="P425" s="159"/>
      <c r="Q425" s="250"/>
      <c r="R425" s="250"/>
      <c r="S425" s="250"/>
      <c r="T425" s="250"/>
      <c r="U425" s="250"/>
      <c r="V425" s="105" t="s">
        <v>21</v>
      </c>
      <c r="W425" s="290"/>
      <c r="X425" s="283"/>
      <c r="Y425" s="283"/>
      <c r="Z425" s="284">
        <f>+SUM(START:END!Z425)</f>
        <v>0</v>
      </c>
      <c r="AA425" s="283"/>
      <c r="AB425" s="283"/>
      <c r="AC425" s="284">
        <f>+SUM(START:END!AC425)</f>
        <v>0</v>
      </c>
      <c r="AD425" s="292"/>
      <c r="AE425" s="291"/>
      <c r="AF425" s="284">
        <f>+SUM(START:END!AF425)</f>
        <v>0</v>
      </c>
      <c r="AG425" s="285"/>
      <c r="AH425" s="286">
        <f t="shared" si="150"/>
        <v>0</v>
      </c>
      <c r="AI425" s="287">
        <f t="shared" si="152"/>
        <v>0</v>
      </c>
      <c r="AJ425" s="292"/>
      <c r="AK425" s="283"/>
      <c r="AL425" s="284">
        <f>+SUM(START:END!AL425)</f>
        <v>0</v>
      </c>
      <c r="AM425" s="288"/>
      <c r="AN425" s="286">
        <f t="shared" si="143"/>
        <v>0</v>
      </c>
      <c r="AO425" s="293">
        <f t="shared" si="151"/>
        <v>0</v>
      </c>
      <c r="AP425" s="250"/>
      <c r="AQ425" s="250"/>
      <c r="AR425" s="250"/>
      <c r="AS425" s="250"/>
      <c r="AT425" s="250"/>
      <c r="AU425" s="250"/>
      <c r="AV425" s="250"/>
      <c r="AW425" s="250"/>
      <c r="AX425" s="250"/>
      <c r="AY425" s="250"/>
      <c r="AZ425" s="250"/>
      <c r="BA425" s="250"/>
      <c r="BB425" s="250"/>
      <c r="BC425" s="250"/>
      <c r="BD425" s="250"/>
      <c r="BE425" s="250"/>
      <c r="BF425" s="250"/>
      <c r="BG425" s="250"/>
      <c r="BH425" s="250"/>
      <c r="BI425" s="250"/>
    </row>
    <row r="426" spans="1:61" ht="15.75" hidden="1" customHeight="1">
      <c r="A426" t="str">
        <f t="shared" si="135"/>
        <v>[...]</v>
      </c>
      <c r="B426" s="7"/>
      <c r="C426" s="250"/>
      <c r="D426" s="250"/>
      <c r="E426" s="250"/>
      <c r="F426" s="250"/>
      <c r="G426" s="250"/>
      <c r="H426" s="250"/>
      <c r="I426" s="250"/>
      <c r="J426" s="250"/>
      <c r="K426" s="250"/>
      <c r="L426" s="250"/>
      <c r="M426" s="250"/>
      <c r="N426" s="250"/>
      <c r="O426" s="309"/>
      <c r="P426" s="159"/>
      <c r="Q426" s="250"/>
      <c r="R426" s="250"/>
      <c r="S426" s="250"/>
      <c r="T426" s="250"/>
      <c r="U426" s="250"/>
      <c r="V426" s="105" t="s">
        <v>21</v>
      </c>
      <c r="W426" s="290"/>
      <c r="X426" s="283"/>
      <c r="Y426" s="283"/>
      <c r="Z426" s="284">
        <f>+SUM(START:END!Z426)</f>
        <v>0</v>
      </c>
      <c r="AA426" s="283"/>
      <c r="AB426" s="283"/>
      <c r="AC426" s="284">
        <f>+SUM(START:END!AC426)</f>
        <v>0</v>
      </c>
      <c r="AD426" s="292"/>
      <c r="AE426" s="291"/>
      <c r="AF426" s="284">
        <f>+SUM(START:END!AF426)</f>
        <v>0</v>
      </c>
      <c r="AG426" s="285"/>
      <c r="AH426" s="286">
        <f t="shared" si="150"/>
        <v>0</v>
      </c>
      <c r="AI426" s="287">
        <f t="shared" si="152"/>
        <v>0</v>
      </c>
      <c r="AJ426" s="292"/>
      <c r="AK426" s="283"/>
      <c r="AL426" s="284">
        <f>+SUM(START:END!AL426)</f>
        <v>0</v>
      </c>
      <c r="AM426" s="288"/>
      <c r="AN426" s="286">
        <f t="shared" si="143"/>
        <v>0</v>
      </c>
      <c r="AO426" s="293">
        <f t="shared" si="151"/>
        <v>0</v>
      </c>
      <c r="AP426" s="250"/>
      <c r="AQ426" s="250"/>
      <c r="AR426" s="250"/>
      <c r="AS426" s="250"/>
      <c r="AT426" s="250"/>
      <c r="AU426" s="250"/>
      <c r="AV426" s="250"/>
      <c r="AW426" s="250"/>
      <c r="AX426" s="250"/>
      <c r="AY426" s="250"/>
      <c r="AZ426" s="250"/>
      <c r="BA426" s="250"/>
      <c r="BB426" s="250"/>
      <c r="BC426" s="250"/>
      <c r="BD426" s="250"/>
      <c r="BE426" s="250"/>
      <c r="BF426" s="250"/>
      <c r="BG426" s="250"/>
      <c r="BH426" s="250"/>
      <c r="BI426" s="250"/>
    </row>
    <row r="427" spans="1:61" ht="15.75" customHeight="1">
      <c r="A427" t="str">
        <f t="shared" si="135"/>
        <v>Salaires en absences</v>
      </c>
      <c r="B427" s="7"/>
      <c r="C427" s="250"/>
      <c r="D427" s="250"/>
      <c r="E427" s="250"/>
      <c r="F427" s="250"/>
      <c r="G427" s="250"/>
      <c r="H427" s="250"/>
      <c r="I427" s="250"/>
      <c r="J427" s="250"/>
      <c r="K427" s="250"/>
      <c r="L427" s="250"/>
      <c r="M427" s="250"/>
      <c r="N427" s="250"/>
      <c r="O427" s="309"/>
      <c r="P427" s="159"/>
      <c r="Q427" s="250"/>
      <c r="R427" s="250"/>
      <c r="S427" s="250"/>
      <c r="T427" s="250"/>
      <c r="U427" s="250"/>
      <c r="V427" s="106" t="s">
        <v>46</v>
      </c>
      <c r="W427" s="294" t="s">
        <v>148</v>
      </c>
      <c r="X427" s="267"/>
      <c r="Y427" s="267"/>
      <c r="Z427" s="268">
        <f>+SUM(START:END!Z427)</f>
        <v>124763.82530805276</v>
      </c>
      <c r="AA427" s="267"/>
      <c r="AB427" s="267"/>
      <c r="AC427" s="268">
        <f>+SUM(START:END!AC427)</f>
        <v>124763.82530805276</v>
      </c>
      <c r="AD427" s="296"/>
      <c r="AE427" s="295"/>
      <c r="AF427" s="268">
        <f>+SUM(START:END!AF427)</f>
        <v>123190.30000000002</v>
      </c>
      <c r="AG427" s="269"/>
      <c r="AH427" s="270">
        <f t="shared" si="150"/>
        <v>-1573.5253080527473</v>
      </c>
      <c r="AI427" s="297">
        <f t="shared" si="152"/>
        <v>-1.2612031605856715E-2</v>
      </c>
      <c r="AJ427" s="296"/>
      <c r="AK427" s="267"/>
      <c r="AL427" s="268">
        <f>+SUM(START:END!AL427)</f>
        <v>107368.88999999998</v>
      </c>
      <c r="AM427" s="272"/>
      <c r="AN427" s="270">
        <f t="shared" si="143"/>
        <v>15821.410000000033</v>
      </c>
      <c r="AO427" s="298">
        <f t="shared" si="151"/>
        <v>0.14735562601047691</v>
      </c>
      <c r="AP427" s="250"/>
      <c r="AQ427" s="250"/>
      <c r="AR427" s="250"/>
      <c r="AS427" s="250"/>
      <c r="AT427" s="250"/>
      <c r="AU427" s="250"/>
      <c r="AV427" s="250"/>
      <c r="AW427" s="250"/>
      <c r="AX427" s="250"/>
      <c r="AY427" s="250"/>
      <c r="AZ427" s="250"/>
      <c r="BA427" s="250"/>
      <c r="BB427" s="250"/>
      <c r="BC427" s="250"/>
      <c r="BD427" s="250"/>
      <c r="BE427" s="250"/>
      <c r="BF427" s="250"/>
      <c r="BG427" s="250"/>
      <c r="BH427" s="250"/>
      <c r="BI427" s="250"/>
    </row>
    <row r="428" spans="1:61" ht="15.75" customHeight="1">
      <c r="A428" t="str">
        <f t="shared" si="135"/>
        <v>Déduction à la source</v>
      </c>
      <c r="B428" s="7"/>
      <c r="C428" s="250"/>
      <c r="D428" s="250"/>
      <c r="E428" s="250"/>
      <c r="F428" s="250"/>
      <c r="G428" s="250"/>
      <c r="H428" s="250"/>
      <c r="I428" s="250"/>
      <c r="J428" s="250"/>
      <c r="K428" s="250"/>
      <c r="L428" s="250"/>
      <c r="M428" s="250"/>
      <c r="N428" s="250"/>
      <c r="O428" s="309"/>
      <c r="P428" s="159"/>
      <c r="Q428" s="250"/>
      <c r="R428" s="250"/>
      <c r="S428" s="250"/>
      <c r="T428" s="250"/>
      <c r="U428" s="250"/>
      <c r="V428" s="105" t="s">
        <v>47</v>
      </c>
      <c r="W428" s="290" t="s">
        <v>149</v>
      </c>
      <c r="X428" s="283"/>
      <c r="Y428" s="283"/>
      <c r="Z428" s="284">
        <f>+SUM(START:END!Z428)</f>
        <v>111738.79457025124</v>
      </c>
      <c r="AA428" s="283"/>
      <c r="AB428" s="283"/>
      <c r="AC428" s="284">
        <f>+SUM(START:END!AC428)</f>
        <v>111738.79457025124</v>
      </c>
      <c r="AD428" s="292"/>
      <c r="AE428" s="291"/>
      <c r="AF428" s="284">
        <f>+SUM(START:END!AF428)</f>
        <v>130223.44</v>
      </c>
      <c r="AG428" s="285"/>
      <c r="AH428" s="286">
        <f t="shared" si="150"/>
        <v>18484.645429748765</v>
      </c>
      <c r="AI428" s="287">
        <f t="shared" si="152"/>
        <v>0.16542728513262503</v>
      </c>
      <c r="AJ428" s="292"/>
      <c r="AK428" s="283"/>
      <c r="AL428" s="284">
        <f>+SUM(START:END!AL428)</f>
        <v>107692.34000000001</v>
      </c>
      <c r="AM428" s="288"/>
      <c r="AN428" s="286">
        <f t="shared" si="143"/>
        <v>22531.099999999991</v>
      </c>
      <c r="AO428" s="293">
        <f t="shared" si="151"/>
        <v>0.20921729437766873</v>
      </c>
      <c r="AP428" s="250"/>
      <c r="AQ428" s="250"/>
      <c r="AR428" s="250"/>
      <c r="AS428" s="250"/>
      <c r="AT428" s="250"/>
      <c r="AU428" s="250"/>
      <c r="AV428" s="250"/>
      <c r="AW428" s="250"/>
      <c r="AX428" s="250"/>
      <c r="AY428" s="250"/>
      <c r="AZ428" s="250"/>
      <c r="BA428" s="250"/>
      <c r="BB428" s="250"/>
      <c r="BC428" s="250"/>
      <c r="BD428" s="250"/>
      <c r="BE428" s="250"/>
      <c r="BF428" s="250"/>
      <c r="BG428" s="250"/>
      <c r="BH428" s="250"/>
      <c r="BI428" s="250"/>
    </row>
    <row r="429" spans="1:61" ht="15.75" customHeight="1">
      <c r="A429" t="str">
        <f t="shared" si="135"/>
        <v>Bénéfices marginaux</v>
      </c>
      <c r="B429" s="7"/>
      <c r="C429" s="250"/>
      <c r="D429" s="250"/>
      <c r="E429" s="250"/>
      <c r="F429" s="250"/>
      <c r="G429" s="250"/>
      <c r="H429" s="250"/>
      <c r="I429" s="250"/>
      <c r="J429" s="250"/>
      <c r="K429" s="250"/>
      <c r="L429" s="250"/>
      <c r="M429" s="250"/>
      <c r="N429" s="250"/>
      <c r="O429" s="309"/>
      <c r="P429" s="159"/>
      <c r="Q429" s="250"/>
      <c r="R429" s="250"/>
      <c r="S429" s="250"/>
      <c r="T429" s="250"/>
      <c r="U429" s="250"/>
      <c r="V429" s="105" t="s">
        <v>48</v>
      </c>
      <c r="W429" s="290" t="s">
        <v>150</v>
      </c>
      <c r="X429" s="283"/>
      <c r="Y429" s="283"/>
      <c r="Z429" s="284">
        <f>+SUM(START:END!Z429)</f>
        <v>88733.748629317182</v>
      </c>
      <c r="AA429" s="283"/>
      <c r="AB429" s="283"/>
      <c r="AC429" s="284">
        <f>+SUM(START:END!AC429)</f>
        <v>88733.748629317182</v>
      </c>
      <c r="AD429" s="292"/>
      <c r="AE429" s="291"/>
      <c r="AF429" s="284">
        <f>+SUM(START:END!AF429)</f>
        <v>70106.559999999998</v>
      </c>
      <c r="AG429" s="285"/>
      <c r="AH429" s="286">
        <f t="shared" si="150"/>
        <v>-18627.188629317185</v>
      </c>
      <c r="AI429" s="287">
        <f t="shared" si="152"/>
        <v>-0.20992225525297886</v>
      </c>
      <c r="AJ429" s="292"/>
      <c r="AK429" s="283"/>
      <c r="AL429" s="284">
        <f>+SUM(START:END!AL429)</f>
        <v>84890.340000000011</v>
      </c>
      <c r="AM429" s="288"/>
      <c r="AN429" s="286">
        <f t="shared" si="143"/>
        <v>-14783.780000000013</v>
      </c>
      <c r="AO429" s="293">
        <f t="shared" si="151"/>
        <v>-0.17415149945211683</v>
      </c>
      <c r="AP429" s="250"/>
      <c r="AQ429" s="250"/>
      <c r="AR429" s="250"/>
      <c r="AS429" s="250"/>
      <c r="AT429" s="250"/>
      <c r="AU429" s="250"/>
      <c r="AV429" s="250"/>
      <c r="AW429" s="250"/>
      <c r="AX429" s="250"/>
      <c r="AY429" s="250"/>
      <c r="AZ429" s="250"/>
      <c r="BA429" s="250"/>
      <c r="BB429" s="250"/>
      <c r="BC429" s="250"/>
      <c r="BD429" s="250"/>
      <c r="BE429" s="250"/>
      <c r="BF429" s="250"/>
      <c r="BG429" s="250"/>
      <c r="BH429" s="250"/>
      <c r="BI429" s="250"/>
    </row>
    <row r="430" spans="1:61" ht="15.75" customHeight="1">
      <c r="A430" t="str">
        <f t="shared" si="135"/>
        <v>Csst</v>
      </c>
      <c r="B430" s="7"/>
      <c r="C430" s="250"/>
      <c r="D430" s="250"/>
      <c r="E430" s="250"/>
      <c r="F430" s="250"/>
      <c r="G430" s="250"/>
      <c r="H430" s="250"/>
      <c r="I430" s="250"/>
      <c r="J430" s="250"/>
      <c r="K430" s="250"/>
      <c r="L430" s="250"/>
      <c r="M430" s="250"/>
      <c r="N430" s="250"/>
      <c r="O430" s="309"/>
      <c r="P430" s="159"/>
      <c r="Q430" s="250"/>
      <c r="R430" s="250"/>
      <c r="S430" s="250"/>
      <c r="T430" s="250"/>
      <c r="U430" s="250"/>
      <c r="V430" s="105" t="s">
        <v>49</v>
      </c>
      <c r="W430" s="290"/>
      <c r="X430" s="283"/>
      <c r="Y430" s="283"/>
      <c r="Z430" s="284">
        <f>+SUM(START:END!Z430)</f>
        <v>36150.786478610695</v>
      </c>
      <c r="AA430" s="283"/>
      <c r="AB430" s="283"/>
      <c r="AC430" s="284">
        <f>+SUM(START:END!AC430)</f>
        <v>36150.786478610695</v>
      </c>
      <c r="AD430" s="292"/>
      <c r="AE430" s="291"/>
      <c r="AF430" s="284">
        <f>+SUM(START:END!AF430)</f>
        <v>53295.14</v>
      </c>
      <c r="AG430" s="285"/>
      <c r="AH430" s="286">
        <f t="shared" si="150"/>
        <v>17144.353521389305</v>
      </c>
      <c r="AI430" s="310">
        <f t="shared" si="152"/>
        <v>0.47424565801723539</v>
      </c>
      <c r="AJ430" s="292"/>
      <c r="AK430" s="283"/>
      <c r="AL430" s="284">
        <f>+SUM(START:END!AL430)</f>
        <v>30501.289999999997</v>
      </c>
      <c r="AM430" s="288"/>
      <c r="AN430" s="286">
        <f t="shared" si="143"/>
        <v>22793.850000000002</v>
      </c>
      <c r="AO430" s="293">
        <f t="shared" si="151"/>
        <v>0.74730773682031171</v>
      </c>
      <c r="AP430" s="250"/>
      <c r="AQ430" s="250"/>
      <c r="AR430" s="250"/>
      <c r="AS430" s="250"/>
      <c r="AT430" s="250"/>
      <c r="AU430" s="250"/>
      <c r="AV430" s="250"/>
      <c r="AW430" s="250"/>
      <c r="AX430" s="250"/>
      <c r="AY430" s="250"/>
      <c r="AZ430" s="250"/>
      <c r="BA430" s="250"/>
      <c r="BB430" s="250"/>
      <c r="BC430" s="250"/>
      <c r="BD430" s="250"/>
      <c r="BE430" s="250"/>
      <c r="BF430" s="250"/>
      <c r="BG430" s="250"/>
      <c r="BH430" s="250"/>
      <c r="BI430" s="250"/>
    </row>
    <row r="431" spans="1:61" ht="15.75" hidden="1" customHeight="1">
      <c r="A431" t="str">
        <f t="shared" si="135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50"/>
      <c r="U431" s="250"/>
      <c r="V431" s="30" t="s">
        <v>21</v>
      </c>
      <c r="W431" s="290"/>
      <c r="X431" s="283"/>
      <c r="Y431" s="291"/>
      <c r="Z431" s="284">
        <f>+SUM(START:END!Z431)</f>
        <v>0</v>
      </c>
      <c r="AA431" s="283"/>
      <c r="AB431" s="291"/>
      <c r="AC431" s="284">
        <f>+SUM(START:END!AC431)</f>
        <v>0</v>
      </c>
      <c r="AD431" s="292"/>
      <c r="AE431" s="291"/>
      <c r="AF431" s="284">
        <f>+SUM(START:END!AF431)</f>
        <v>0</v>
      </c>
      <c r="AG431" s="285"/>
      <c r="AH431" s="286"/>
      <c r="AI431" s="287"/>
      <c r="AJ431" s="292"/>
      <c r="AK431" s="286"/>
      <c r="AL431" s="284">
        <f>+SUM(START:END!AL431)</f>
        <v>0</v>
      </c>
      <c r="AM431" s="288"/>
      <c r="AN431" s="286"/>
      <c r="AO431" s="298"/>
      <c r="AP431" s="250"/>
      <c r="AQ431" s="250"/>
      <c r="AR431" s="250"/>
      <c r="AS431" s="250"/>
      <c r="AT431" s="250"/>
      <c r="AU431" s="250"/>
      <c r="AV431" s="250"/>
      <c r="AW431" s="250"/>
      <c r="AX431" s="250"/>
      <c r="AY431" s="250"/>
      <c r="AZ431" s="250"/>
      <c r="BA431" s="250"/>
      <c r="BB431" s="250"/>
      <c r="BC431" s="250"/>
      <c r="BD431" s="250"/>
      <c r="BE431" s="250"/>
      <c r="BF431" s="250"/>
      <c r="BG431" s="250"/>
      <c r="BH431" s="250"/>
      <c r="BI431" s="250"/>
    </row>
    <row r="432" spans="1:61" ht="15.75" customHeight="1">
      <c r="A432" t="str">
        <f t="shared" si="135"/>
        <v>TOTAL PERSONNEL</v>
      </c>
      <c r="B432" s="7"/>
      <c r="C432" s="250"/>
      <c r="D432" s="250"/>
      <c r="E432" s="250"/>
      <c r="F432" s="250"/>
      <c r="G432" s="250"/>
      <c r="H432" s="250"/>
      <c r="I432" s="250"/>
      <c r="J432" s="250"/>
      <c r="K432" s="250"/>
      <c r="L432" s="250"/>
      <c r="M432" s="250"/>
      <c r="R432" s="250"/>
      <c r="S432" s="250"/>
      <c r="T432" s="250"/>
      <c r="U432" s="250"/>
      <c r="V432" s="300" t="s">
        <v>50</v>
      </c>
      <c r="W432" s="301"/>
      <c r="X432" s="302">
        <f>Z432/Z406</f>
        <v>0.3975288698874519</v>
      </c>
      <c r="Y432" s="301"/>
      <c r="Z432" s="303">
        <f>SUM(Z419:Z431)</f>
        <v>877971.95709936984</v>
      </c>
      <c r="AA432" s="302">
        <f>AC432/AC406</f>
        <v>0.3975288698874519</v>
      </c>
      <c r="AB432" s="301"/>
      <c r="AC432" s="303">
        <f>SUM(AC419:AC431)</f>
        <v>877971.95709936984</v>
      </c>
      <c r="AD432" s="304">
        <f>AF432/AF406</f>
        <v>0.40676459662226511</v>
      </c>
      <c r="AE432" s="311"/>
      <c r="AF432" s="303">
        <f>SUM(AF419:AF431)</f>
        <v>893605.97000000009</v>
      </c>
      <c r="AG432" s="312"/>
      <c r="AH432" s="306">
        <f t="shared" ref="AH432:AH450" si="153">AF432-AC432</f>
        <v>15634.012900630245</v>
      </c>
      <c r="AI432" s="302">
        <f>AH432/AC432</f>
        <v>1.7806961571166412E-2</v>
      </c>
      <c r="AJ432" s="304">
        <f>IF($AL$406=0,0,AL432/$AL$406)</f>
        <v>0.39744904024728167</v>
      </c>
      <c r="AK432" s="301"/>
      <c r="AL432" s="303">
        <f>SUM(AL419:AL431)</f>
        <v>799814.7</v>
      </c>
      <c r="AM432" s="313"/>
      <c r="AN432" s="306">
        <f t="shared" ref="AN432:AN450" si="154">AF432-AL432</f>
        <v>93791.270000000135</v>
      </c>
      <c r="AO432" s="281">
        <f>IF(AL432=0,0,AN432/AL432)</f>
        <v>0.11726624929499313</v>
      </c>
      <c r="AP432" s="250"/>
      <c r="AQ432" s="250"/>
      <c r="AR432" s="250"/>
      <c r="AS432" s="250"/>
      <c r="AT432" s="250"/>
      <c r="AU432" s="250"/>
      <c r="AV432" s="250"/>
      <c r="AW432" s="250"/>
      <c r="AX432" s="250"/>
      <c r="AY432" s="250"/>
      <c r="AZ432" s="250"/>
      <c r="BA432" s="250"/>
      <c r="BB432" s="250"/>
      <c r="BC432" s="250"/>
      <c r="BD432" s="250"/>
      <c r="BE432" s="250"/>
      <c r="BF432" s="250"/>
      <c r="BG432" s="250"/>
      <c r="BH432" s="250"/>
      <c r="BI432" s="250"/>
    </row>
    <row r="433" spans="1:62" ht="15.75" customHeight="1">
      <c r="A433" t="str">
        <f t="shared" si="135"/>
        <v>Publicité 2</v>
      </c>
      <c r="B433" s="7"/>
      <c r="C433" s="250"/>
      <c r="D433" s="250"/>
      <c r="E433" s="250"/>
      <c r="F433" s="250"/>
      <c r="G433" s="250"/>
      <c r="H433" s="250"/>
      <c r="I433" s="250"/>
      <c r="J433" s="250"/>
      <c r="K433" s="250"/>
      <c r="L433" s="250"/>
      <c r="M433" s="250"/>
      <c r="N433" s="250"/>
      <c r="O433" s="250"/>
      <c r="P433" s="250"/>
      <c r="Q433" s="314"/>
      <c r="S433" s="468"/>
      <c r="T433" s="250"/>
      <c r="U433" s="250"/>
      <c r="V433" s="214" t="s">
        <v>51</v>
      </c>
      <c r="W433" s="315" t="s">
        <v>140</v>
      </c>
      <c r="X433" s="316"/>
      <c r="Y433" s="316"/>
      <c r="Z433" s="317">
        <f>+SUM(START:END!Z433)</f>
        <v>31932.75</v>
      </c>
      <c r="AA433" s="316">
        <f>AC432/(AC406+AC480)</f>
        <v>0.33103720857364588</v>
      </c>
      <c r="AB433" s="316"/>
      <c r="AC433" s="317">
        <f>+SUM(START:END!AC433)</f>
        <v>31932.75</v>
      </c>
      <c r="AD433" s="316">
        <f>AF432/(AF406+AF480)</f>
        <v>0.36128456699713329</v>
      </c>
      <c r="AE433" s="319"/>
      <c r="AF433" s="317">
        <f>+SUM(START:END!AF433)</f>
        <v>53887.740000000005</v>
      </c>
      <c r="AG433" s="318"/>
      <c r="AH433" s="320">
        <f t="shared" si="153"/>
        <v>21954.990000000005</v>
      </c>
      <c r="AI433" s="321">
        <f>IF(AC433=0,0,AH433/AC433)</f>
        <v>0.68753834229748467</v>
      </c>
      <c r="AJ433" s="318"/>
      <c r="AK433" s="316"/>
      <c r="AL433" s="317">
        <f t="shared" ref="AL433:AL450" si="155">+SUMIF($C:$C,$V433,Q:Q)</f>
        <v>25445.39</v>
      </c>
      <c r="AM433" s="322"/>
      <c r="AN433" s="320">
        <f t="shared" si="154"/>
        <v>28442.350000000006</v>
      </c>
      <c r="AO433" s="289">
        <f t="shared" ref="AO433:AO450" si="156">IF(AL433=0,0,AN433/AL433)</f>
        <v>1.1177800772556445</v>
      </c>
      <c r="AP433" s="250"/>
      <c r="AQ433" s="250"/>
      <c r="AR433" s="250"/>
      <c r="AS433" s="250"/>
      <c r="AT433" s="250"/>
      <c r="AU433" s="250"/>
      <c r="AV433" s="250"/>
      <c r="AW433" s="250"/>
      <c r="AX433" s="250"/>
      <c r="AY433" s="250"/>
      <c r="AZ433" s="250"/>
      <c r="BA433" s="250"/>
      <c r="BB433" s="250"/>
      <c r="BC433" s="250"/>
      <c r="BD433" s="250"/>
      <c r="BE433" s="250"/>
      <c r="BF433" s="250"/>
      <c r="BG433" s="250"/>
      <c r="BH433" s="250"/>
      <c r="BI433" s="250"/>
    </row>
    <row r="434" spans="1:62" ht="15.75" customHeight="1">
      <c r="A434" t="str">
        <f t="shared" si="135"/>
        <v>Service gratuit 2</v>
      </c>
      <c r="B434" s="7"/>
      <c r="C434" s="250"/>
      <c r="D434" s="250"/>
      <c r="E434" s="250"/>
      <c r="F434" s="250"/>
      <c r="G434" s="250"/>
      <c r="H434" s="250"/>
      <c r="I434" s="250"/>
      <c r="J434" s="250"/>
      <c r="K434" s="250"/>
      <c r="L434" s="250"/>
      <c r="M434" s="250"/>
      <c r="N434" s="250"/>
      <c r="O434" s="250"/>
      <c r="Q434" s="314"/>
      <c r="S434" s="250"/>
      <c r="T434" s="250"/>
      <c r="U434" s="250"/>
      <c r="V434" s="105" t="s">
        <v>52</v>
      </c>
      <c r="W434" s="290" t="s">
        <v>151</v>
      </c>
      <c r="X434" s="283"/>
      <c r="Y434" s="283"/>
      <c r="Z434" s="284">
        <f>+SUM(START:END!Z434)</f>
        <v>14191.595251225874</v>
      </c>
      <c r="AA434" s="283"/>
      <c r="AB434" s="283"/>
      <c r="AC434" s="284">
        <f>+SUM(START:END!AC434)</f>
        <v>14191.595251225874</v>
      </c>
      <c r="AD434" s="292"/>
      <c r="AE434" s="291"/>
      <c r="AF434" s="284">
        <f>+SUM(START:END!AF434)</f>
        <v>15446.32</v>
      </c>
      <c r="AG434" s="285"/>
      <c r="AH434" s="286">
        <f t="shared" si="153"/>
        <v>1254.7247487741261</v>
      </c>
      <c r="AI434" s="287">
        <f t="shared" ref="AI434:AI450" si="157">IF(AC434=0,0,AH434/AC434)</f>
        <v>8.8413228151059522E-2</v>
      </c>
      <c r="AJ434" s="292"/>
      <c r="AK434" s="283"/>
      <c r="AL434" s="284">
        <f t="shared" si="155"/>
        <v>13233.58</v>
      </c>
      <c r="AM434" s="288"/>
      <c r="AN434" s="286">
        <f t="shared" si="154"/>
        <v>2212.7399999999998</v>
      </c>
      <c r="AO434" s="293">
        <f t="shared" si="156"/>
        <v>0.16720645509378412</v>
      </c>
      <c r="AP434" s="250"/>
      <c r="AQ434" s="250"/>
      <c r="AR434" s="250"/>
      <c r="AS434" s="250"/>
      <c r="AT434" s="250"/>
      <c r="AU434" s="250"/>
      <c r="AV434" s="250"/>
      <c r="AW434" s="250"/>
      <c r="AX434" s="250"/>
      <c r="AY434" s="250"/>
      <c r="AZ434" s="250"/>
      <c r="BA434" s="250"/>
      <c r="BB434" s="250"/>
      <c r="BC434" s="250"/>
      <c r="BD434" s="250"/>
      <c r="BE434" s="250"/>
      <c r="BF434" s="250"/>
      <c r="BG434" s="250"/>
      <c r="BH434" s="250"/>
      <c r="BI434" s="250"/>
    </row>
    <row r="435" spans="1:62" ht="15.75" customHeight="1">
      <c r="A435" t="str">
        <f t="shared" si="135"/>
        <v>Frais véhicules de cie</v>
      </c>
      <c r="B435" s="7"/>
      <c r="C435" s="250"/>
      <c r="D435" s="250"/>
      <c r="E435" s="250"/>
      <c r="F435" s="250"/>
      <c r="G435" s="250"/>
      <c r="H435" s="250"/>
      <c r="I435" s="250"/>
      <c r="J435" s="250"/>
      <c r="K435" s="250"/>
      <c r="L435" s="250"/>
      <c r="M435" s="250"/>
      <c r="N435" s="250"/>
      <c r="O435" s="250"/>
      <c r="P435" s="250"/>
      <c r="Q435" s="314"/>
      <c r="S435" s="250"/>
      <c r="T435" s="250"/>
      <c r="U435" s="250"/>
      <c r="V435" s="106" t="s">
        <v>53</v>
      </c>
      <c r="W435" s="294" t="s">
        <v>152</v>
      </c>
      <c r="X435" s="267"/>
      <c r="Y435" s="267"/>
      <c r="Z435" s="268">
        <f>+SUM(START:END!Z435)</f>
        <v>72863.66333333333</v>
      </c>
      <c r="AA435" s="267"/>
      <c r="AB435" s="267"/>
      <c r="AC435" s="268">
        <f>+SUM(START:END!AC435)</f>
        <v>72863.66333333333</v>
      </c>
      <c r="AD435" s="296"/>
      <c r="AE435" s="295"/>
      <c r="AF435" s="268">
        <f>+SUM(START:END!AF435)</f>
        <v>66149.489999999991</v>
      </c>
      <c r="AG435" s="269"/>
      <c r="AH435" s="270">
        <f t="shared" si="153"/>
        <v>-6714.1733333333395</v>
      </c>
      <c r="AI435" s="297">
        <f t="shared" si="157"/>
        <v>-9.2147073399502968E-2</v>
      </c>
      <c r="AJ435" s="296"/>
      <c r="AK435" s="267"/>
      <c r="AL435" s="268">
        <f t="shared" si="155"/>
        <v>67139.31</v>
      </c>
      <c r="AM435" s="272"/>
      <c r="AN435" s="270">
        <f t="shared" si="154"/>
        <v>-989.82000000000698</v>
      </c>
      <c r="AO435" s="273">
        <f t="shared" si="156"/>
        <v>-1.4742778857870405E-2</v>
      </c>
      <c r="AP435" s="250"/>
      <c r="AQ435" s="250"/>
      <c r="AR435" s="250"/>
      <c r="AS435" s="250"/>
      <c r="AT435" s="250"/>
      <c r="AU435" s="250"/>
      <c r="AV435" s="250"/>
      <c r="AW435" s="250"/>
      <c r="AX435" s="250"/>
      <c r="AY435" s="250"/>
      <c r="AZ435" s="250"/>
      <c r="BA435" s="250"/>
      <c r="BB435" s="250"/>
      <c r="BC435" s="250"/>
      <c r="BD435" s="250"/>
      <c r="BE435" s="250"/>
      <c r="BF435" s="250"/>
      <c r="BG435" s="250"/>
      <c r="BH435" s="250"/>
      <c r="BI435" s="250"/>
      <c r="BJ435" s="250"/>
    </row>
    <row r="436" spans="1:62" ht="15.75" customHeight="1">
      <c r="A436" t="str">
        <f t="shared" si="135"/>
        <v>Informatique</v>
      </c>
      <c r="B436" s="7"/>
      <c r="C436" s="250"/>
      <c r="D436" s="250"/>
      <c r="E436" s="250"/>
      <c r="F436" s="250"/>
      <c r="G436" s="250"/>
      <c r="H436" s="250"/>
      <c r="I436" s="250"/>
      <c r="J436" s="250"/>
      <c r="K436" s="250"/>
      <c r="L436" s="250"/>
      <c r="M436" s="250"/>
      <c r="N436" s="250"/>
      <c r="O436" s="250"/>
      <c r="P436" s="250"/>
      <c r="Q436" s="314"/>
      <c r="S436" s="250"/>
      <c r="T436" s="250"/>
      <c r="U436" s="250"/>
      <c r="V436" s="105" t="s">
        <v>54</v>
      </c>
      <c r="W436" s="290" t="s">
        <v>153</v>
      </c>
      <c r="X436" s="283"/>
      <c r="Y436" s="283"/>
      <c r="Z436" s="284">
        <f>+SUM(START:END!Z436)</f>
        <v>60102.62775</v>
      </c>
      <c r="AA436" s="283"/>
      <c r="AB436" s="283"/>
      <c r="AC436" s="284">
        <f>+SUM(START:END!AC436)</f>
        <v>60102.62775</v>
      </c>
      <c r="AD436" s="292"/>
      <c r="AE436" s="291"/>
      <c r="AF436" s="284">
        <f>+SUM(START:END!AF436)</f>
        <v>57217.509999999995</v>
      </c>
      <c r="AG436" s="285"/>
      <c r="AH436" s="286">
        <f t="shared" si="153"/>
        <v>-2885.1177500000049</v>
      </c>
      <c r="AI436" s="287">
        <f t="shared" si="157"/>
        <v>-4.800318818007096E-2</v>
      </c>
      <c r="AJ436" s="292"/>
      <c r="AK436" s="283"/>
      <c r="AL436" s="284">
        <f t="shared" si="155"/>
        <v>48061.77</v>
      </c>
      <c r="AM436" s="288"/>
      <c r="AN436" s="286">
        <f t="shared" si="154"/>
        <v>9155.739999999998</v>
      </c>
      <c r="AO436" s="293">
        <f t="shared" si="156"/>
        <v>0.19049943437372363</v>
      </c>
      <c r="AP436" s="250"/>
      <c r="AQ436" s="250"/>
      <c r="AR436" s="250"/>
      <c r="AS436" s="250"/>
      <c r="AT436" s="250"/>
      <c r="AU436" s="250"/>
      <c r="AV436" s="250"/>
      <c r="AW436" s="250"/>
      <c r="AX436" s="250"/>
      <c r="AY436" s="250"/>
      <c r="AZ436" s="250"/>
      <c r="BA436" s="250"/>
      <c r="BB436" s="250"/>
      <c r="BC436" s="250"/>
      <c r="BD436" s="250"/>
      <c r="BE436" s="250"/>
      <c r="BF436" s="250"/>
      <c r="BG436" s="250"/>
      <c r="BH436" s="250"/>
      <c r="BI436" s="250"/>
      <c r="BJ436" s="250"/>
    </row>
    <row r="437" spans="1:62" ht="15.75" customHeight="1">
      <c r="A437" t="str">
        <f t="shared" si="135"/>
        <v>Frais de déplacement</v>
      </c>
      <c r="B437" s="7"/>
      <c r="C437" s="250"/>
      <c r="D437" s="250"/>
      <c r="E437" s="250"/>
      <c r="F437" s="250"/>
      <c r="G437" s="250"/>
      <c r="H437" s="250"/>
      <c r="I437" s="250"/>
      <c r="J437" s="250"/>
      <c r="K437" s="250"/>
      <c r="L437" s="250"/>
      <c r="M437" s="250"/>
      <c r="N437" s="250"/>
      <c r="O437" s="250"/>
      <c r="P437" s="250"/>
      <c r="Q437" s="314"/>
      <c r="S437" s="250"/>
      <c r="T437" s="250"/>
      <c r="U437" s="250"/>
      <c r="V437" s="105" t="s">
        <v>55</v>
      </c>
      <c r="W437" s="290" t="s">
        <v>154</v>
      </c>
      <c r="X437" s="283"/>
      <c r="Y437" s="283"/>
      <c r="Z437" s="284">
        <f>+SUM(START:END!Z437)</f>
        <v>7426.3293750000012</v>
      </c>
      <c r="AA437" s="283"/>
      <c r="AB437" s="283"/>
      <c r="AC437" s="284">
        <f>+SUM(START:END!AC437)</f>
        <v>7426.3293750000012</v>
      </c>
      <c r="AD437" s="292"/>
      <c r="AE437" s="291"/>
      <c r="AF437" s="284">
        <f>+SUM(START:END!AF437)</f>
        <v>14845.619999999999</v>
      </c>
      <c r="AG437" s="285"/>
      <c r="AH437" s="286">
        <f t="shared" si="153"/>
        <v>7419.2906249999978</v>
      </c>
      <c r="AI437" s="287">
        <f t="shared" si="157"/>
        <v>0.99905218989832334</v>
      </c>
      <c r="AJ437" s="292"/>
      <c r="AK437" s="283"/>
      <c r="AL437" s="284">
        <f t="shared" si="155"/>
        <v>4940.38</v>
      </c>
      <c r="AM437" s="288"/>
      <c r="AN437" s="286">
        <f t="shared" si="154"/>
        <v>9905.239999999998</v>
      </c>
      <c r="AO437" s="293">
        <f t="shared" si="156"/>
        <v>2.0049550844267037</v>
      </c>
      <c r="AP437" s="250"/>
      <c r="AQ437" s="250"/>
      <c r="AR437" s="250"/>
      <c r="AS437" s="250"/>
      <c r="AT437" s="250"/>
      <c r="AU437" s="250"/>
      <c r="AV437" s="250"/>
      <c r="AW437" s="250"/>
      <c r="AX437" s="250"/>
      <c r="AY437" s="250"/>
      <c r="AZ437" s="250"/>
      <c r="BA437" s="250"/>
      <c r="BB437" s="250"/>
      <c r="BC437" s="250"/>
      <c r="BD437" s="250"/>
      <c r="BE437" s="250"/>
      <c r="BF437" s="250"/>
      <c r="BG437" s="250"/>
      <c r="BH437" s="250"/>
      <c r="BI437" s="250"/>
      <c r="BJ437" s="250"/>
    </row>
    <row r="438" spans="1:62" ht="15.75" customHeight="1">
      <c r="A438" t="str">
        <f t="shared" si="135"/>
        <v>Services extérieurs</v>
      </c>
      <c r="B438" s="7"/>
      <c r="C438" s="250"/>
      <c r="D438" s="250"/>
      <c r="E438" s="250"/>
      <c r="F438" s="250"/>
      <c r="G438" s="250"/>
      <c r="H438" s="250"/>
      <c r="I438" s="250"/>
      <c r="J438" s="250"/>
      <c r="K438" s="250"/>
      <c r="L438" s="250"/>
      <c r="M438" s="250"/>
      <c r="N438" s="250"/>
      <c r="O438" s="250"/>
      <c r="P438" s="250"/>
      <c r="Q438" s="314"/>
      <c r="S438" s="250"/>
      <c r="T438" s="250"/>
      <c r="U438" s="250"/>
      <c r="V438" s="105" t="s">
        <v>56</v>
      </c>
      <c r="W438" s="290" t="s">
        <v>155</v>
      </c>
      <c r="X438" s="283"/>
      <c r="Y438" s="283"/>
      <c r="Z438" s="284">
        <f>+SUM(START:END!Z438)</f>
        <v>66782.300666666677</v>
      </c>
      <c r="AA438" s="283"/>
      <c r="AB438" s="283"/>
      <c r="AC438" s="284">
        <f>+SUM(START:END!AC438)</f>
        <v>66782.300666666677</v>
      </c>
      <c r="AD438" s="292"/>
      <c r="AE438" s="291"/>
      <c r="AF438" s="284">
        <f>+SUM(START:END!AF438)</f>
        <v>60205.399999999994</v>
      </c>
      <c r="AG438" s="285"/>
      <c r="AH438" s="286">
        <f t="shared" si="153"/>
        <v>-6576.9006666666828</v>
      </c>
      <c r="AI438" s="287">
        <f t="shared" si="157"/>
        <v>-9.8482690788001537E-2</v>
      </c>
      <c r="AJ438" s="292"/>
      <c r="AK438" s="283"/>
      <c r="AL438" s="284">
        <f t="shared" si="155"/>
        <v>56574.369999999995</v>
      </c>
      <c r="AM438" s="288"/>
      <c r="AN438" s="286">
        <f t="shared" si="154"/>
        <v>3631.0299999999988</v>
      </c>
      <c r="AO438" s="293">
        <f t="shared" si="156"/>
        <v>6.4181536621618573E-2</v>
      </c>
      <c r="AP438" s="250"/>
      <c r="AQ438" s="250"/>
      <c r="AR438" s="250"/>
      <c r="AS438" s="250"/>
      <c r="AT438" s="250"/>
      <c r="AU438" s="250"/>
      <c r="AV438" s="250"/>
      <c r="AW438" s="250"/>
      <c r="AX438" s="250"/>
      <c r="AY438" s="250"/>
      <c r="AZ438" s="250"/>
      <c r="BA438" s="250"/>
      <c r="BB438" s="250"/>
      <c r="BC438" s="250"/>
      <c r="BD438" s="250"/>
      <c r="BE438" s="250"/>
      <c r="BF438" s="250"/>
      <c r="BG438" s="250"/>
      <c r="BH438" s="250"/>
      <c r="BI438" s="250"/>
      <c r="BJ438" s="250"/>
    </row>
    <row r="439" spans="1:62" ht="15.75" customHeight="1">
      <c r="B439" s="7"/>
      <c r="C439" s="250"/>
      <c r="D439" s="250"/>
      <c r="E439" s="250"/>
      <c r="F439" s="250"/>
      <c r="G439" s="250"/>
      <c r="H439" s="250"/>
      <c r="I439" s="250"/>
      <c r="J439" s="250"/>
      <c r="K439" s="250"/>
      <c r="L439" s="250"/>
      <c r="M439" s="250"/>
      <c r="N439" s="250"/>
      <c r="O439" s="250"/>
      <c r="P439" s="250"/>
      <c r="Q439" s="314"/>
      <c r="S439" s="250"/>
      <c r="T439" s="250"/>
      <c r="U439" s="250"/>
      <c r="V439" s="215" t="s">
        <v>99</v>
      </c>
      <c r="W439" s="323"/>
      <c r="X439" s="324"/>
      <c r="Y439" s="324"/>
      <c r="Z439" s="325">
        <f>+SUM(START:END!Z439)</f>
        <v>0</v>
      </c>
      <c r="AA439" s="324"/>
      <c r="AB439" s="324"/>
      <c r="AC439" s="325">
        <f>+SUM(START:END!AC439)</f>
        <v>0</v>
      </c>
      <c r="AD439" s="326"/>
      <c r="AE439" s="327"/>
      <c r="AF439" s="325">
        <f>+SUM(START:END!AF439)</f>
        <v>0</v>
      </c>
      <c r="AG439" s="328"/>
      <c r="AH439" s="329">
        <f t="shared" si="153"/>
        <v>0</v>
      </c>
      <c r="AI439" s="330">
        <f t="shared" si="157"/>
        <v>0</v>
      </c>
      <c r="AJ439" s="326"/>
      <c r="AK439" s="324"/>
      <c r="AL439" s="325">
        <f t="shared" si="155"/>
        <v>0</v>
      </c>
      <c r="AM439" s="331"/>
      <c r="AN439" s="329">
        <f t="shared" si="154"/>
        <v>0</v>
      </c>
      <c r="AO439" s="332">
        <f t="shared" si="156"/>
        <v>0</v>
      </c>
      <c r="AP439" s="250"/>
      <c r="AQ439" s="250"/>
      <c r="AR439" s="250"/>
      <c r="AS439" s="250"/>
      <c r="AT439" s="250"/>
      <c r="AU439" s="250"/>
      <c r="AV439" s="250"/>
      <c r="AW439" s="250"/>
      <c r="AX439" s="250"/>
      <c r="AY439" s="250"/>
      <c r="AZ439" s="250"/>
      <c r="BA439" s="250"/>
      <c r="BB439" s="250"/>
      <c r="BC439" s="250"/>
      <c r="BD439" s="250"/>
      <c r="BE439" s="250"/>
      <c r="BF439" s="250"/>
      <c r="BG439" s="250"/>
      <c r="BH439" s="250"/>
      <c r="BI439" s="250"/>
      <c r="BJ439" s="250"/>
    </row>
    <row r="440" spans="1:62" ht="15.75" customHeight="1">
      <c r="A440" t="str">
        <f t="shared" si="135"/>
        <v>Fournitures autres</v>
      </c>
      <c r="B440" s="7"/>
      <c r="C440" s="250"/>
      <c r="D440" s="250"/>
      <c r="E440" s="250"/>
      <c r="F440" s="250"/>
      <c r="G440" s="250"/>
      <c r="H440" s="250"/>
      <c r="I440" s="250"/>
      <c r="J440" s="250"/>
      <c r="K440" s="250"/>
      <c r="L440" s="250"/>
      <c r="M440" s="250"/>
      <c r="N440" s="250"/>
      <c r="O440" s="250"/>
      <c r="P440" s="333"/>
      <c r="Q440" s="314"/>
      <c r="R440" s="250"/>
      <c r="S440" s="250"/>
      <c r="T440" s="250"/>
      <c r="U440" s="250"/>
      <c r="V440" s="105" t="s">
        <v>57</v>
      </c>
      <c r="W440" s="290" t="s">
        <v>156</v>
      </c>
      <c r="X440" s="283"/>
      <c r="Y440" s="291"/>
      <c r="Z440" s="284">
        <f>+SUM(START:END!Z440)</f>
        <v>5159.8976571568555</v>
      </c>
      <c r="AA440" s="283"/>
      <c r="AB440" s="291"/>
      <c r="AC440" s="284">
        <f>+SUM(START:END!AC440)</f>
        <v>5159.8976571568555</v>
      </c>
      <c r="AD440" s="292"/>
      <c r="AE440" s="291"/>
      <c r="AF440" s="284">
        <f>+SUM(START:END!AF440)</f>
        <v>8336.81</v>
      </c>
      <c r="AG440" s="285"/>
      <c r="AH440" s="286">
        <f t="shared" si="153"/>
        <v>3176.912342843144</v>
      </c>
      <c r="AI440" s="287">
        <f t="shared" si="157"/>
        <v>0.615692898179234</v>
      </c>
      <c r="AJ440" s="292"/>
      <c r="AK440" s="283"/>
      <c r="AL440" s="284">
        <f t="shared" si="155"/>
        <v>4977.45</v>
      </c>
      <c r="AM440" s="288"/>
      <c r="AN440" s="286">
        <f t="shared" si="154"/>
        <v>3359.3599999999997</v>
      </c>
      <c r="AO440" s="293">
        <f t="shared" si="156"/>
        <v>0.67491587057629909</v>
      </c>
      <c r="AP440" s="250"/>
      <c r="AQ440" s="250"/>
      <c r="AR440" s="250"/>
      <c r="AS440" s="250"/>
      <c r="AT440" s="250"/>
      <c r="AU440" s="250"/>
      <c r="AV440" s="250"/>
      <c r="AW440" s="250"/>
      <c r="AX440" s="250"/>
      <c r="AY440" s="250"/>
      <c r="AZ440" s="250"/>
      <c r="BA440" s="250"/>
      <c r="BB440" s="250"/>
      <c r="BC440" s="250"/>
      <c r="BD440" s="250"/>
      <c r="BE440" s="250"/>
      <c r="BF440" s="250"/>
      <c r="BG440" s="250"/>
      <c r="BH440" s="250"/>
      <c r="BI440" s="250"/>
      <c r="BJ440" s="250"/>
    </row>
    <row r="441" spans="1:62" ht="15.75" customHeight="1">
      <c r="A441" t="str">
        <f t="shared" si="135"/>
        <v>Uniformes</v>
      </c>
      <c r="B441" s="7"/>
      <c r="C441" s="250"/>
      <c r="D441" s="250"/>
      <c r="E441" s="250"/>
      <c r="F441" s="250"/>
      <c r="G441" s="250"/>
      <c r="H441" s="250"/>
      <c r="I441" s="250"/>
      <c r="J441" s="250"/>
      <c r="K441" s="250"/>
      <c r="L441" s="250"/>
      <c r="M441" s="250"/>
      <c r="N441" s="250"/>
      <c r="O441" s="250"/>
      <c r="Q441" s="314"/>
      <c r="S441" s="250"/>
      <c r="T441" s="250"/>
      <c r="U441" s="250"/>
      <c r="V441" s="105" t="s">
        <v>58</v>
      </c>
      <c r="W441" s="290" t="s">
        <v>157</v>
      </c>
      <c r="X441" s="283"/>
      <c r="Y441" s="283"/>
      <c r="Z441" s="284">
        <f>+SUM(START:END!Z441)</f>
        <v>2741.833972749017</v>
      </c>
      <c r="AA441" s="283"/>
      <c r="AB441" s="283"/>
      <c r="AC441" s="284">
        <f>+SUM(START:END!AC441)</f>
        <v>2741.833972749017</v>
      </c>
      <c r="AD441" s="292"/>
      <c r="AE441" s="291"/>
      <c r="AF441" s="284">
        <f>+SUM(START:END!AF441)</f>
        <v>7538.11</v>
      </c>
      <c r="AG441" s="285"/>
      <c r="AH441" s="286">
        <f t="shared" si="153"/>
        <v>4796.2760272509822</v>
      </c>
      <c r="AI441" s="310">
        <f t="shared" si="157"/>
        <v>1.7492948424014678</v>
      </c>
      <c r="AJ441" s="292"/>
      <c r="AK441" s="283"/>
      <c r="AL441" s="284">
        <f t="shared" si="155"/>
        <v>1473.6999999999998</v>
      </c>
      <c r="AM441" s="288"/>
      <c r="AN441" s="286">
        <f t="shared" si="154"/>
        <v>6064.41</v>
      </c>
      <c r="AO441" s="293">
        <f t="shared" si="156"/>
        <v>4.1150912668792836</v>
      </c>
      <c r="AP441" s="250"/>
      <c r="AQ441" s="250"/>
      <c r="AR441" s="250"/>
      <c r="AS441" s="250"/>
      <c r="AT441" s="250"/>
      <c r="AU441" s="250"/>
      <c r="AV441" s="250"/>
      <c r="AW441" s="250"/>
      <c r="AX441" s="250"/>
      <c r="AY441" s="250"/>
      <c r="AZ441" s="250"/>
      <c r="BA441" s="250"/>
      <c r="BB441" s="250"/>
      <c r="BC441" s="250"/>
      <c r="BD441" s="250"/>
      <c r="BE441" s="250"/>
      <c r="BF441" s="250"/>
      <c r="BG441" s="250"/>
      <c r="BH441" s="250"/>
      <c r="BI441" s="250"/>
      <c r="BJ441" s="250"/>
    </row>
    <row r="442" spans="1:62" ht="15.75" customHeight="1">
      <c r="A442" t="str">
        <f t="shared" si="135"/>
        <v>Papeterie</v>
      </c>
      <c r="B442" s="7"/>
      <c r="C442" s="250"/>
      <c r="D442" s="250"/>
      <c r="E442" s="250"/>
      <c r="F442" s="250"/>
      <c r="G442" s="250"/>
      <c r="H442" s="250"/>
      <c r="I442" s="250"/>
      <c r="J442" s="250"/>
      <c r="K442" s="250"/>
      <c r="L442" s="250"/>
      <c r="M442" s="250"/>
      <c r="N442" s="250"/>
      <c r="O442" s="250"/>
      <c r="P442" s="333"/>
      <c r="Q442" s="314"/>
      <c r="R442" s="250"/>
      <c r="S442" s="250"/>
      <c r="T442" s="250"/>
      <c r="U442" s="250"/>
      <c r="V442" s="105" t="s">
        <v>59</v>
      </c>
      <c r="W442" s="290" t="s">
        <v>158</v>
      </c>
      <c r="X442" s="283"/>
      <c r="Y442" s="283"/>
      <c r="Z442" s="284">
        <f>+SUM(START:END!Z442)</f>
        <v>6120.6029999999992</v>
      </c>
      <c r="AA442" s="283"/>
      <c r="AB442" s="283"/>
      <c r="AC442" s="284">
        <f>+SUM(START:END!AC442)</f>
        <v>6120.6029999999992</v>
      </c>
      <c r="AD442" s="292"/>
      <c r="AE442" s="291"/>
      <c r="AF442" s="284">
        <f>+SUM(START:END!AF442)</f>
        <v>7875.03</v>
      </c>
      <c r="AG442" s="285"/>
      <c r="AH442" s="286">
        <f t="shared" si="153"/>
        <v>1754.4270000000006</v>
      </c>
      <c r="AI442" s="287">
        <f t="shared" si="157"/>
        <v>0.28664283568138643</v>
      </c>
      <c r="AJ442" s="292"/>
      <c r="AK442" s="283"/>
      <c r="AL442" s="284">
        <f t="shared" si="155"/>
        <v>7417.1100000000006</v>
      </c>
      <c r="AM442" s="288"/>
      <c r="AN442" s="286">
        <f t="shared" si="154"/>
        <v>457.91999999999916</v>
      </c>
      <c r="AO442" s="293">
        <f t="shared" si="156"/>
        <v>6.1738332045769728E-2</v>
      </c>
      <c r="AP442" s="250"/>
      <c r="AQ442" s="250"/>
      <c r="AR442" s="250"/>
      <c r="AS442" s="250"/>
      <c r="AT442" s="250"/>
      <c r="AU442" s="250"/>
      <c r="AV442" s="250"/>
      <c r="AW442" s="250"/>
      <c r="AX442" s="250"/>
      <c r="AY442" s="250"/>
      <c r="AZ442" s="250"/>
      <c r="BA442" s="250"/>
      <c r="BB442" s="250"/>
      <c r="BC442" s="250"/>
      <c r="BD442" s="250"/>
      <c r="BE442" s="250"/>
      <c r="BF442" s="250"/>
      <c r="BG442" s="250"/>
      <c r="BH442" s="250"/>
      <c r="BI442" s="250"/>
      <c r="BJ442" s="250"/>
    </row>
    <row r="443" spans="1:62" ht="15.75" customHeight="1">
      <c r="A443" t="str">
        <f t="shared" si="135"/>
        <v>Téléphone</v>
      </c>
      <c r="B443" s="7"/>
      <c r="C443" s="250"/>
      <c r="D443" s="250"/>
      <c r="E443" s="250"/>
      <c r="F443" s="250"/>
      <c r="G443" s="250"/>
      <c r="H443" s="250"/>
      <c r="I443" s="250"/>
      <c r="J443" s="250"/>
      <c r="K443" s="250"/>
      <c r="L443" s="250"/>
      <c r="M443" s="250"/>
      <c r="N443" s="250"/>
      <c r="O443" s="250"/>
      <c r="P443" s="250"/>
      <c r="Q443" s="314"/>
      <c r="S443" s="250"/>
      <c r="T443" s="250"/>
      <c r="U443" s="250"/>
      <c r="V443" s="105" t="s">
        <v>60</v>
      </c>
      <c r="W443" s="290" t="s">
        <v>159</v>
      </c>
      <c r="X443" s="283"/>
      <c r="Y443" s="283"/>
      <c r="Z443" s="284">
        <f>+SUM(START:END!Z443)</f>
        <v>2826.2299375000002</v>
      </c>
      <c r="AA443" s="283"/>
      <c r="AB443" s="283"/>
      <c r="AC443" s="284">
        <f>+SUM(START:END!AC443)</f>
        <v>2826.2299375000002</v>
      </c>
      <c r="AD443" s="292"/>
      <c r="AE443" s="291"/>
      <c r="AF443" s="284">
        <f>+SUM(START:END!AF443)</f>
        <v>2247.8200000000002</v>
      </c>
      <c r="AG443" s="285"/>
      <c r="AH443" s="286">
        <f t="shared" si="153"/>
        <v>-578.40993750000007</v>
      </c>
      <c r="AI443" s="310">
        <f t="shared" si="157"/>
        <v>-0.20465777742473582</v>
      </c>
      <c r="AJ443" s="292"/>
      <c r="AK443" s="283"/>
      <c r="AL443" s="284">
        <f t="shared" si="155"/>
        <v>1825.33</v>
      </c>
      <c r="AM443" s="288"/>
      <c r="AN443" s="286">
        <f t="shared" si="154"/>
        <v>422.49000000000024</v>
      </c>
      <c r="AO443" s="293">
        <f t="shared" si="156"/>
        <v>0.23145951690927133</v>
      </c>
      <c r="AP443" s="250"/>
      <c r="AQ443" s="250"/>
      <c r="AR443" s="250"/>
      <c r="AS443" s="250"/>
      <c r="AT443" s="250"/>
      <c r="AU443" s="250"/>
      <c r="AV443" s="250"/>
      <c r="AW443" s="250"/>
      <c r="AX443" s="250"/>
      <c r="AY443" s="250"/>
      <c r="AZ443" s="250"/>
      <c r="BA443" s="250"/>
      <c r="BB443" s="250"/>
      <c r="BC443" s="250"/>
      <c r="BD443" s="250"/>
      <c r="BE443" s="250"/>
      <c r="BF443" s="250"/>
      <c r="BG443" s="250"/>
      <c r="BH443" s="250"/>
      <c r="BI443" s="250"/>
      <c r="BJ443" s="250"/>
    </row>
    <row r="444" spans="1:62" ht="15.75" customHeight="1">
      <c r="A444" t="str">
        <f t="shared" si="135"/>
        <v>Frais postaux</v>
      </c>
      <c r="B444" s="7"/>
      <c r="C444" s="250"/>
      <c r="D444" s="250"/>
      <c r="E444" s="250"/>
      <c r="F444" s="250"/>
      <c r="G444" s="250"/>
      <c r="H444" s="250"/>
      <c r="I444" s="250"/>
      <c r="J444" s="250"/>
      <c r="K444" s="250"/>
      <c r="L444" s="250"/>
      <c r="M444" s="250"/>
      <c r="N444" s="250"/>
      <c r="O444" s="250"/>
      <c r="P444" s="250"/>
      <c r="Q444" s="314"/>
      <c r="S444" s="250"/>
      <c r="T444" s="250"/>
      <c r="U444" s="250"/>
      <c r="V444" s="105" t="s">
        <v>61</v>
      </c>
      <c r="W444" s="290" t="s">
        <v>160</v>
      </c>
      <c r="X444" s="283"/>
      <c r="Y444" s="283"/>
      <c r="Z444" s="284">
        <f>+SUM(START:END!Z444)</f>
        <v>1508.5975624999996</v>
      </c>
      <c r="AA444" s="283"/>
      <c r="AB444" s="283"/>
      <c r="AC444" s="284">
        <f>+SUM(START:END!AC444)</f>
        <v>1508.5975624999996</v>
      </c>
      <c r="AD444" s="292"/>
      <c r="AE444" s="291"/>
      <c r="AF444" s="284">
        <f>+SUM(START:END!AF444)</f>
        <v>860</v>
      </c>
      <c r="AG444" s="285"/>
      <c r="AH444" s="286">
        <f t="shared" si="153"/>
        <v>-648.59756249999964</v>
      </c>
      <c r="AI444" s="287">
        <f t="shared" si="157"/>
        <v>-0.42993411803288645</v>
      </c>
      <c r="AJ444" s="292"/>
      <c r="AK444" s="283"/>
      <c r="AL444" s="284">
        <f t="shared" si="155"/>
        <v>982.43000000000006</v>
      </c>
      <c r="AM444" s="288"/>
      <c r="AN444" s="286">
        <f t="shared" si="154"/>
        <v>-122.43000000000006</v>
      </c>
      <c r="AO444" s="293">
        <f t="shared" si="156"/>
        <v>-0.12461956577058932</v>
      </c>
      <c r="AP444" s="250"/>
      <c r="AQ444" s="250"/>
      <c r="AR444" s="250"/>
      <c r="AS444" s="250"/>
      <c r="AT444" s="250"/>
      <c r="AU444" s="250"/>
      <c r="AV444" s="250"/>
      <c r="AW444" s="250"/>
      <c r="AX444" s="250"/>
      <c r="AY444" s="250"/>
      <c r="AZ444" s="250"/>
      <c r="BA444" s="250"/>
      <c r="BB444" s="250"/>
      <c r="BC444" s="250"/>
      <c r="BD444" s="250"/>
      <c r="BE444" s="250"/>
      <c r="BF444" s="250"/>
      <c r="BG444" s="250"/>
      <c r="BH444" s="250"/>
      <c r="BI444" s="250"/>
      <c r="BJ444" s="250"/>
    </row>
    <row r="445" spans="1:62" ht="15.75" customHeight="1">
      <c r="A445" t="str">
        <f t="shared" si="135"/>
        <v>Divers</v>
      </c>
      <c r="B445" s="7"/>
      <c r="C445" s="250"/>
      <c r="D445" s="250"/>
      <c r="E445" s="250"/>
      <c r="F445" s="250"/>
      <c r="G445" s="250"/>
      <c r="H445" s="250"/>
      <c r="I445" s="250"/>
      <c r="J445" s="250"/>
      <c r="K445" s="250"/>
      <c r="L445" s="250"/>
      <c r="M445" s="250"/>
      <c r="N445" s="250"/>
      <c r="O445" s="250"/>
      <c r="P445" s="250"/>
      <c r="Q445" s="314"/>
      <c r="R445" s="250"/>
      <c r="S445" s="250"/>
      <c r="T445" s="250"/>
      <c r="U445" s="250"/>
      <c r="V445" s="105" t="s">
        <v>62</v>
      </c>
      <c r="W445" s="290" t="s">
        <v>161</v>
      </c>
      <c r="X445" s="283"/>
      <c r="Y445" s="291"/>
      <c r="Z445" s="284">
        <f>+SUM(START:END!Z445)</f>
        <v>7277.1899374999975</v>
      </c>
      <c r="AA445" s="283"/>
      <c r="AB445" s="291"/>
      <c r="AC445" s="284">
        <f>+SUM(START:END!AC445)</f>
        <v>7277.1899374999975</v>
      </c>
      <c r="AD445" s="292"/>
      <c r="AE445" s="291"/>
      <c r="AF445" s="284">
        <f>+SUM(START:END!AF445)</f>
        <v>4457.8499999999995</v>
      </c>
      <c r="AG445" s="285"/>
      <c r="AH445" s="286">
        <f t="shared" si="153"/>
        <v>-2819.3399374999981</v>
      </c>
      <c r="AI445" s="310">
        <f t="shared" si="157"/>
        <v>-0.38742151320961027</v>
      </c>
      <c r="AJ445" s="292"/>
      <c r="AK445" s="283"/>
      <c r="AL445" s="284">
        <f t="shared" si="155"/>
        <v>8315.2799999999988</v>
      </c>
      <c r="AM445" s="288"/>
      <c r="AN445" s="286">
        <f t="shared" si="154"/>
        <v>-3857.4299999999994</v>
      </c>
      <c r="AO445" s="293">
        <f t="shared" si="156"/>
        <v>-0.46389658556296359</v>
      </c>
      <c r="AP445" s="250"/>
      <c r="AQ445" s="250"/>
      <c r="AR445" s="250"/>
      <c r="AS445" s="250"/>
      <c r="AT445" s="250"/>
      <c r="AU445" s="250"/>
      <c r="AV445" s="250"/>
      <c r="AW445" s="250"/>
      <c r="AX445" s="250"/>
      <c r="AY445" s="250"/>
      <c r="AZ445" s="250"/>
      <c r="BA445" s="250"/>
      <c r="BB445" s="250"/>
      <c r="BC445" s="250"/>
      <c r="BD445" s="250"/>
      <c r="BE445" s="250"/>
      <c r="BF445" s="250"/>
      <c r="BG445" s="250"/>
      <c r="BH445" s="250"/>
      <c r="BI445" s="250"/>
      <c r="BJ445" s="250"/>
    </row>
    <row r="446" spans="1:62" ht="15.75" customHeight="1">
      <c r="A446" t="str">
        <f t="shared" si="135"/>
        <v>Formation</v>
      </c>
      <c r="B446" s="7"/>
      <c r="C446" s="250"/>
      <c r="D446" s="250"/>
      <c r="E446" s="250"/>
      <c r="F446" s="250"/>
      <c r="G446" s="250"/>
      <c r="H446" s="250"/>
      <c r="I446" s="250"/>
      <c r="J446" s="250"/>
      <c r="K446" s="250"/>
      <c r="L446" s="250"/>
      <c r="M446" s="250"/>
      <c r="N446" s="250"/>
      <c r="O446" s="250"/>
      <c r="P446" s="250"/>
      <c r="Q446" s="314"/>
      <c r="R446" s="250"/>
      <c r="S446" s="250"/>
      <c r="T446" s="250"/>
      <c r="U446" s="250"/>
      <c r="V446" s="105" t="s">
        <v>63</v>
      </c>
      <c r="W446" s="290" t="s">
        <v>162</v>
      </c>
      <c r="X446" s="283"/>
      <c r="Y446" s="291"/>
      <c r="Z446" s="284">
        <f>+SUM(START:END!Z446)</f>
        <v>10811.7775</v>
      </c>
      <c r="AA446" s="283"/>
      <c r="AB446" s="291"/>
      <c r="AC446" s="284">
        <f>+SUM(START:END!AC446)</f>
        <v>10811.7775</v>
      </c>
      <c r="AD446" s="292"/>
      <c r="AE446" s="291"/>
      <c r="AF446" s="284">
        <f>+SUM(START:END!AF446)</f>
        <v>9828.7400000000016</v>
      </c>
      <c r="AG446" s="285"/>
      <c r="AH446" s="286">
        <f t="shared" si="153"/>
        <v>-983.03749999999854</v>
      </c>
      <c r="AI446" s="287">
        <f t="shared" si="157"/>
        <v>-9.0922838543430862E-2</v>
      </c>
      <c r="AJ446" s="292"/>
      <c r="AK446" s="283"/>
      <c r="AL446" s="284">
        <f t="shared" si="155"/>
        <v>9187.630000000001</v>
      </c>
      <c r="AM446" s="288"/>
      <c r="AN446" s="286">
        <f t="shared" si="154"/>
        <v>641.11000000000058</v>
      </c>
      <c r="AO446" s="293">
        <f t="shared" si="156"/>
        <v>6.9779692913188765E-2</v>
      </c>
      <c r="AP446" s="250"/>
      <c r="AQ446" s="250"/>
      <c r="AR446" s="250"/>
      <c r="AS446" s="250"/>
      <c r="AT446" s="250"/>
      <c r="AU446" s="250"/>
      <c r="AV446" s="250"/>
      <c r="AW446" s="250"/>
      <c r="AX446" s="250"/>
      <c r="AY446" s="250"/>
      <c r="AZ446" s="250"/>
      <c r="BA446" s="250"/>
      <c r="BB446" s="250"/>
      <c r="BC446" s="250"/>
      <c r="BD446" s="250"/>
      <c r="BE446" s="250"/>
      <c r="BF446" s="250"/>
      <c r="BG446" s="250"/>
      <c r="BH446" s="250"/>
      <c r="BI446" s="250"/>
      <c r="BJ446" s="250"/>
    </row>
    <row r="447" spans="1:62" ht="15.75" customHeight="1">
      <c r="A447" t="str">
        <f t="shared" si="135"/>
        <v>Frais bancaires</v>
      </c>
      <c r="B447" s="7"/>
      <c r="C447" s="250"/>
      <c r="D447" s="250"/>
      <c r="E447" s="250"/>
      <c r="F447" s="250"/>
      <c r="G447" s="250"/>
      <c r="H447" s="250"/>
      <c r="I447" s="250"/>
      <c r="J447" s="250"/>
      <c r="K447" s="250"/>
      <c r="L447" s="250"/>
      <c r="M447" s="250"/>
      <c r="N447" s="250"/>
      <c r="O447" s="250"/>
      <c r="P447" s="250"/>
      <c r="Q447" s="314"/>
      <c r="R447" s="250"/>
      <c r="S447" s="250"/>
      <c r="T447" s="250"/>
      <c r="U447" s="250"/>
      <c r="V447" s="105" t="s">
        <v>64</v>
      </c>
      <c r="W447" s="290" t="s">
        <v>163</v>
      </c>
      <c r="X447" s="283"/>
      <c r="Y447" s="291"/>
      <c r="Z447" s="284">
        <f>+SUM(START:END!Z447)</f>
        <v>26265.608515012806</v>
      </c>
      <c r="AA447" s="283"/>
      <c r="AB447" s="291"/>
      <c r="AC447" s="284">
        <f>+SUM(START:END!AC447)</f>
        <v>26265.608515012806</v>
      </c>
      <c r="AD447" s="292"/>
      <c r="AE447" s="291"/>
      <c r="AF447" s="284">
        <f>+SUM(START:END!AF447)</f>
        <v>25559.78</v>
      </c>
      <c r="AG447" s="285"/>
      <c r="AH447" s="286">
        <f t="shared" si="153"/>
        <v>-705.82851501280675</v>
      </c>
      <c r="AI447" s="287">
        <f t="shared" si="157"/>
        <v>-2.6872726539321247E-2</v>
      </c>
      <c r="AJ447" s="292"/>
      <c r="AK447" s="283"/>
      <c r="AL447" s="284">
        <f t="shared" si="155"/>
        <v>22805.72</v>
      </c>
      <c r="AM447" s="288"/>
      <c r="AN447" s="286">
        <f t="shared" si="154"/>
        <v>2754.0599999999977</v>
      </c>
      <c r="AO447" s="293">
        <f t="shared" si="156"/>
        <v>0.1207618088795266</v>
      </c>
      <c r="AP447" s="250"/>
      <c r="AQ447" s="250"/>
      <c r="AR447" s="250"/>
      <c r="AS447" s="250"/>
      <c r="AT447" s="250"/>
      <c r="AU447" s="250"/>
      <c r="AV447" s="250"/>
      <c r="AW447" s="250"/>
      <c r="AX447" s="250"/>
      <c r="AY447" s="250"/>
      <c r="AZ447" s="250"/>
      <c r="BA447" s="250"/>
      <c r="BB447" s="250"/>
      <c r="BC447" s="250"/>
      <c r="BD447" s="250"/>
      <c r="BE447" s="250"/>
      <c r="BF447" s="250"/>
      <c r="BG447" s="250"/>
      <c r="BH447" s="250"/>
      <c r="BI447" s="250"/>
      <c r="BJ447" s="250"/>
    </row>
    <row r="448" spans="1:62" ht="15.75" customHeight="1">
      <c r="A448" t="str">
        <f t="shared" si="135"/>
        <v>Mitsubishi</v>
      </c>
      <c r="B448" s="7"/>
      <c r="C448" s="250"/>
      <c r="D448" s="250"/>
      <c r="E448" s="250"/>
      <c r="F448" s="250"/>
      <c r="G448" s="250"/>
      <c r="H448" s="250"/>
      <c r="I448" s="250"/>
      <c r="J448" s="250"/>
      <c r="K448" s="250"/>
      <c r="L448" s="250"/>
      <c r="M448" s="250"/>
      <c r="N448" s="250"/>
      <c r="O448" s="250"/>
      <c r="P448" s="250"/>
      <c r="Q448" s="314"/>
      <c r="R448" s="250"/>
      <c r="S448" s="250"/>
      <c r="T448" s="250"/>
      <c r="U448" s="250"/>
      <c r="V448" s="105" t="s">
        <v>216</v>
      </c>
      <c r="W448" s="290"/>
      <c r="X448" s="283"/>
      <c r="Y448" s="291"/>
      <c r="Z448" s="284">
        <f>+SUM(START:END!Z448)</f>
        <v>0</v>
      </c>
      <c r="AA448" s="283"/>
      <c r="AB448" s="291"/>
      <c r="AC448" s="284">
        <f>+SUM(START:END!AC448)</f>
        <v>0</v>
      </c>
      <c r="AD448" s="292"/>
      <c r="AE448" s="291"/>
      <c r="AF448" s="284">
        <f>+SUM(START:END!AF448)</f>
        <v>0</v>
      </c>
      <c r="AG448" s="285"/>
      <c r="AH448" s="286">
        <f t="shared" si="153"/>
        <v>0</v>
      </c>
      <c r="AI448" s="287">
        <f t="shared" si="157"/>
        <v>0</v>
      </c>
      <c r="AJ448" s="292"/>
      <c r="AK448" s="283"/>
      <c r="AL448" s="284">
        <f t="shared" si="155"/>
        <v>0</v>
      </c>
      <c r="AM448" s="288"/>
      <c r="AN448" s="286">
        <f t="shared" si="154"/>
        <v>0</v>
      </c>
      <c r="AO448" s="293">
        <f t="shared" si="156"/>
        <v>0</v>
      </c>
      <c r="AP448" s="250"/>
      <c r="AQ448" s="250"/>
      <c r="AR448" s="250"/>
      <c r="AS448" s="250"/>
      <c r="AT448" s="250"/>
      <c r="AU448" s="250"/>
      <c r="AV448" s="250"/>
      <c r="AW448" s="250"/>
      <c r="AX448" s="250"/>
      <c r="AY448" s="250"/>
      <c r="AZ448" s="250"/>
      <c r="BA448" s="250"/>
      <c r="BB448" s="250"/>
      <c r="BC448" s="250"/>
      <c r="BD448" s="250"/>
      <c r="BE448" s="250"/>
      <c r="BF448" s="250"/>
      <c r="BG448" s="250"/>
      <c r="BH448" s="250"/>
      <c r="BI448" s="250"/>
      <c r="BJ448" s="250"/>
    </row>
    <row r="449" spans="1:62" ht="15.75" customHeight="1">
      <c r="A449" t="str">
        <f t="shared" si="135"/>
        <v>[...]</v>
      </c>
      <c r="B449" s="7"/>
      <c r="C449" s="250"/>
      <c r="D449" s="250"/>
      <c r="E449" s="250"/>
      <c r="F449" s="250"/>
      <c r="G449" s="250"/>
      <c r="H449" s="250"/>
      <c r="I449" s="250"/>
      <c r="J449" s="250"/>
      <c r="K449" s="250"/>
      <c r="L449" s="250"/>
      <c r="M449" s="250"/>
      <c r="N449" s="250"/>
      <c r="O449" s="250"/>
      <c r="P449" s="250"/>
      <c r="Q449" s="314"/>
      <c r="R449" s="250"/>
      <c r="S449" s="250"/>
      <c r="T449" s="250"/>
      <c r="U449" s="250"/>
      <c r="V449" s="105" t="s">
        <v>21</v>
      </c>
      <c r="W449" s="290"/>
      <c r="X449" s="283"/>
      <c r="Y449" s="291"/>
      <c r="Z449" s="284">
        <f>+SUM(START:END!Z449)</f>
        <v>0</v>
      </c>
      <c r="AA449" s="283"/>
      <c r="AB449" s="291"/>
      <c r="AC449" s="284">
        <f>+SUM(START:END!AC449)</f>
        <v>0</v>
      </c>
      <c r="AD449" s="292"/>
      <c r="AE449" s="291"/>
      <c r="AF449" s="284">
        <f>+SUM(START:END!AF449)</f>
        <v>0</v>
      </c>
      <c r="AG449" s="285"/>
      <c r="AH449" s="286">
        <f t="shared" si="153"/>
        <v>0</v>
      </c>
      <c r="AI449" s="287">
        <f t="shared" si="157"/>
        <v>0</v>
      </c>
      <c r="AJ449" s="292"/>
      <c r="AK449" s="283"/>
      <c r="AL449" s="284">
        <f t="shared" si="155"/>
        <v>0</v>
      </c>
      <c r="AM449" s="288"/>
      <c r="AN449" s="286">
        <f t="shared" si="154"/>
        <v>0</v>
      </c>
      <c r="AO449" s="293">
        <f t="shared" si="156"/>
        <v>0</v>
      </c>
      <c r="AP449" s="250"/>
      <c r="AQ449" s="250"/>
      <c r="AR449" s="250"/>
      <c r="AS449" s="250"/>
      <c r="AT449" s="250"/>
      <c r="AU449" s="250"/>
      <c r="AV449" s="250"/>
      <c r="AW449" s="250"/>
      <c r="AX449" s="250"/>
      <c r="AY449" s="250"/>
      <c r="AZ449" s="250"/>
      <c r="BA449" s="250"/>
      <c r="BB449" s="250"/>
      <c r="BC449" s="250"/>
      <c r="BD449" s="250"/>
      <c r="BE449" s="250"/>
      <c r="BF449" s="250"/>
      <c r="BG449" s="250"/>
      <c r="BH449" s="250"/>
      <c r="BI449" s="250"/>
      <c r="BJ449" s="250"/>
    </row>
    <row r="450" spans="1:62" ht="15.75" customHeight="1">
      <c r="A450" t="str">
        <f t="shared" si="135"/>
        <v>[...]</v>
      </c>
      <c r="B450" s="7"/>
      <c r="C450" s="250"/>
      <c r="D450" s="250"/>
      <c r="E450" s="250"/>
      <c r="F450" s="250"/>
      <c r="G450" s="250"/>
      <c r="H450" s="250"/>
      <c r="I450" s="250"/>
      <c r="J450" s="250"/>
      <c r="K450" s="250"/>
      <c r="L450" s="250"/>
      <c r="M450" s="250"/>
      <c r="N450" s="250"/>
      <c r="O450" s="250"/>
      <c r="P450" s="333"/>
      <c r="Q450" s="314"/>
      <c r="R450" s="250"/>
      <c r="S450" s="250"/>
      <c r="T450" s="250"/>
      <c r="U450" s="250"/>
      <c r="V450" s="105" t="s">
        <v>21</v>
      </c>
      <c r="W450" s="290"/>
      <c r="X450" s="283"/>
      <c r="Y450" s="291"/>
      <c r="Z450" s="284">
        <f>+SUM(START:END!Z450)</f>
        <v>0</v>
      </c>
      <c r="AA450" s="283"/>
      <c r="AB450" s="291"/>
      <c r="AC450" s="284">
        <f>+SUM(START:END!AC450)</f>
        <v>0</v>
      </c>
      <c r="AD450" s="292"/>
      <c r="AE450" s="291"/>
      <c r="AF450" s="284">
        <f>+SUM(START:END!AF450)</f>
        <v>0</v>
      </c>
      <c r="AG450" s="285"/>
      <c r="AH450" s="286">
        <f t="shared" si="153"/>
        <v>0</v>
      </c>
      <c r="AI450" s="287">
        <f t="shared" si="157"/>
        <v>0</v>
      </c>
      <c r="AJ450" s="292"/>
      <c r="AK450" s="283"/>
      <c r="AL450" s="284">
        <f t="shared" si="155"/>
        <v>0</v>
      </c>
      <c r="AM450" s="288"/>
      <c r="AN450" s="286">
        <f t="shared" si="154"/>
        <v>0</v>
      </c>
      <c r="AO450" s="293">
        <f t="shared" si="156"/>
        <v>0</v>
      </c>
      <c r="AP450" s="250"/>
      <c r="AQ450" s="250"/>
      <c r="AR450" s="250"/>
      <c r="AS450" s="250"/>
      <c r="AT450" s="250"/>
      <c r="AU450" s="250"/>
      <c r="AV450" s="250"/>
      <c r="AW450" s="250"/>
      <c r="AX450" s="250"/>
      <c r="AY450" s="250"/>
      <c r="AZ450" s="250"/>
      <c r="BA450" s="250"/>
      <c r="BB450" s="250"/>
      <c r="BC450" s="250"/>
      <c r="BD450" s="250"/>
      <c r="BE450" s="250"/>
      <c r="BF450" s="250"/>
      <c r="BG450" s="250"/>
      <c r="BH450" s="250"/>
      <c r="BI450" s="250"/>
      <c r="BJ450" s="250"/>
    </row>
    <row r="451" spans="1:62" ht="15.75" customHeight="1">
      <c r="A451" t="str">
        <f t="shared" si="135"/>
        <v>TOTAL SEMI-FIXES</v>
      </c>
      <c r="B451" s="7"/>
      <c r="C451" s="250"/>
      <c r="D451" s="250"/>
      <c r="E451" s="250"/>
      <c r="F451" s="250"/>
      <c r="G451" s="250"/>
      <c r="H451" s="250"/>
      <c r="I451" s="250"/>
      <c r="J451" s="250"/>
      <c r="K451" s="250"/>
      <c r="L451" s="250"/>
      <c r="M451" s="250"/>
      <c r="N451" s="250"/>
      <c r="O451" s="250"/>
      <c r="P451" s="250"/>
      <c r="Q451" s="314"/>
      <c r="R451" s="250"/>
      <c r="S451" s="250"/>
      <c r="T451" s="250"/>
      <c r="U451" s="250"/>
      <c r="V451" s="300" t="s">
        <v>65</v>
      </c>
      <c r="W451" s="334"/>
      <c r="X451" s="302">
        <f>Z451/+Z406</f>
        <v>0.14308372432472269</v>
      </c>
      <c r="Y451" s="301"/>
      <c r="Z451" s="303">
        <f>+SUM(Z433:Z450)</f>
        <v>316011.00445864454</v>
      </c>
      <c r="AA451" s="302">
        <f>AC451/+AC406</f>
        <v>0.14308372432472269</v>
      </c>
      <c r="AB451" s="301"/>
      <c r="AC451" s="303">
        <f>+SUM(START:END!AC451)</f>
        <v>316011.00445864454</v>
      </c>
      <c r="AD451" s="304">
        <f>AF451/AF406</f>
        <v>0.15224265949801963</v>
      </c>
      <c r="AE451" s="301"/>
      <c r="AF451" s="303">
        <f>+SUM(AF433:AF450)</f>
        <v>334456.21999999997</v>
      </c>
      <c r="AG451" s="312"/>
      <c r="AH451" s="335">
        <f>+SUM(AH433:AH450)</f>
        <v>18445.215541355428</v>
      </c>
      <c r="AI451" s="302">
        <f>AH451/AC451</f>
        <v>5.8368902605001848E-2</v>
      </c>
      <c r="AJ451" s="304">
        <f>IF($AL$406=0,0,AL451/$AL$406)</f>
        <v>0.13535253976400088</v>
      </c>
      <c r="AK451" s="302"/>
      <c r="AL451" s="303">
        <f>+SUM(AL433:AL450)</f>
        <v>272379.44999999995</v>
      </c>
      <c r="AM451" s="313"/>
      <c r="AN451" s="306">
        <f>+SUM(AN433:AN450)</f>
        <v>62076.769999999982</v>
      </c>
      <c r="AO451" s="336">
        <f>IF(AL451=0,0,AN451/AL451)</f>
        <v>0.22790548259055518</v>
      </c>
      <c r="AP451" s="250"/>
      <c r="AQ451" s="250"/>
      <c r="AR451" s="250"/>
      <c r="AS451" s="250"/>
      <c r="AT451" s="250"/>
      <c r="AU451" s="250"/>
      <c r="AV451" s="250"/>
      <c r="AW451" s="250"/>
      <c r="AX451" s="250"/>
      <c r="AY451" s="250"/>
      <c r="AZ451" s="250"/>
      <c r="BA451" s="250"/>
      <c r="BB451" s="250"/>
      <c r="BC451" s="250"/>
      <c r="BD451" s="250"/>
      <c r="BE451" s="250"/>
      <c r="BF451" s="250"/>
      <c r="BG451" s="250"/>
      <c r="BH451" s="250"/>
      <c r="BI451" s="250"/>
      <c r="BJ451" s="250"/>
    </row>
    <row r="452" spans="1:62" ht="15.75" customHeight="1">
      <c r="A452" t="str">
        <f t="shared" si="135"/>
        <v>Loyer</v>
      </c>
      <c r="B452" s="7"/>
      <c r="C452" s="250"/>
      <c r="D452" s="250"/>
      <c r="E452" s="250"/>
      <c r="F452" s="250"/>
      <c r="G452" s="250"/>
      <c r="H452" s="250"/>
      <c r="I452" s="250"/>
      <c r="J452" s="250"/>
      <c r="K452" s="250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105" t="s">
        <v>164</v>
      </c>
      <c r="W452" s="290" t="s">
        <v>165</v>
      </c>
      <c r="X452" s="283"/>
      <c r="Y452" s="291"/>
      <c r="Z452" s="284">
        <f>+SUM(START:END!Z452)</f>
        <v>78000</v>
      </c>
      <c r="AA452" s="283"/>
      <c r="AB452" s="291"/>
      <c r="AC452" s="284">
        <f>+SUM(START:END!AC452)</f>
        <v>78000</v>
      </c>
      <c r="AD452" s="292"/>
      <c r="AE452" s="291"/>
      <c r="AF452" s="284">
        <f>+SUM(START:END!AF452)</f>
        <v>78000</v>
      </c>
      <c r="AG452" s="285"/>
      <c r="AH452" s="286">
        <f t="shared" ref="AH452:AH460" si="158">AF452-AC452</f>
        <v>0</v>
      </c>
      <c r="AI452" s="287">
        <f>IF(AC452=0,0,AH452/AC452)</f>
        <v>0</v>
      </c>
      <c r="AJ452" s="292"/>
      <c r="AK452" s="283"/>
      <c r="AL452" s="284">
        <f>+SUM(START:END!AL452)</f>
        <v>78000</v>
      </c>
      <c r="AM452" s="288"/>
      <c r="AN452" s="286">
        <f t="shared" ref="AN452:AN460" si="159">AF452-AL452</f>
        <v>0</v>
      </c>
      <c r="AO452" s="293">
        <f t="shared" ref="AO452:AO460" si="160">IF(AL452=0,0,AN452/AL452)</f>
        <v>0</v>
      </c>
      <c r="AP452" s="250"/>
      <c r="AQ452" s="250"/>
      <c r="AR452" s="250"/>
      <c r="AS452" s="250"/>
      <c r="AT452" s="250"/>
      <c r="AU452" s="250"/>
      <c r="AV452" s="250"/>
      <c r="AW452" s="250"/>
      <c r="AX452" s="250"/>
      <c r="AY452" s="250"/>
      <c r="AZ452" s="250"/>
      <c r="BA452" s="250"/>
      <c r="BB452" s="250"/>
      <c r="BC452" s="250"/>
      <c r="BD452" s="250"/>
      <c r="BE452" s="250"/>
      <c r="BF452" s="250"/>
      <c r="BG452" s="250"/>
      <c r="BH452" s="250"/>
      <c r="BI452" s="250"/>
      <c r="BJ452" s="250"/>
    </row>
    <row r="453" spans="1:62" ht="15.75" customHeight="1">
      <c r="A453" t="str">
        <f t="shared" si="135"/>
        <v>Taxes foncières</v>
      </c>
      <c r="B453" s="7"/>
      <c r="C453" s="250"/>
      <c r="D453" s="250"/>
      <c r="E453" s="250"/>
      <c r="F453" s="250"/>
      <c r="G453" s="250"/>
      <c r="H453" s="250"/>
      <c r="I453" s="250"/>
      <c r="J453" s="250"/>
      <c r="K453" s="250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105" t="s">
        <v>166</v>
      </c>
      <c r="W453" s="290" t="s">
        <v>167</v>
      </c>
      <c r="X453" s="283"/>
      <c r="Y453" s="291"/>
      <c r="Z453" s="284">
        <f>+SUM(START:END!Z453)</f>
        <v>14790.749999999996</v>
      </c>
      <c r="AA453" s="283"/>
      <c r="AB453" s="291"/>
      <c r="AC453" s="284">
        <f>+SUM(START:END!AC453)</f>
        <v>14790.749999999996</v>
      </c>
      <c r="AD453" s="292"/>
      <c r="AE453" s="291"/>
      <c r="AF453" s="284">
        <f>+SUM(START:END!AF453)</f>
        <v>14790</v>
      </c>
      <c r="AG453" s="285"/>
      <c r="AH453" s="286">
        <f t="shared" si="158"/>
        <v>-0.74999999999636202</v>
      </c>
      <c r="AI453" s="287">
        <f t="shared" ref="AI453:AI460" si="161">IF(AC453=0,0,AH453/AC453)</f>
        <v>-5.0707367780292563E-5</v>
      </c>
      <c r="AJ453" s="292"/>
      <c r="AK453" s="283"/>
      <c r="AL453" s="284">
        <f>+SUM(START:END!AL453)</f>
        <v>14430</v>
      </c>
      <c r="AM453" s="288"/>
      <c r="AN453" s="286">
        <f t="shared" si="159"/>
        <v>360</v>
      </c>
      <c r="AO453" s="293">
        <f t="shared" si="160"/>
        <v>2.4948024948024949E-2</v>
      </c>
      <c r="AP453" s="250"/>
      <c r="AQ453" s="250"/>
      <c r="AR453" s="250"/>
      <c r="AS453" s="250"/>
      <c r="AT453" s="250"/>
      <c r="AU453" s="250"/>
      <c r="AV453" s="250"/>
      <c r="AW453" s="250"/>
      <c r="AX453" s="250"/>
      <c r="AY453" s="250"/>
      <c r="AZ453" s="250"/>
      <c r="BA453" s="250"/>
      <c r="BB453" s="250"/>
      <c r="BC453" s="250"/>
      <c r="BD453" s="250"/>
      <c r="BE453" s="250"/>
      <c r="BF453" s="250"/>
      <c r="BG453" s="250"/>
      <c r="BH453" s="250"/>
      <c r="BI453" s="250"/>
      <c r="BJ453" s="250"/>
    </row>
    <row r="454" spans="1:62" ht="15.75" customHeight="1">
      <c r="A454" t="str">
        <f t="shared" si="135"/>
        <v>Taxes d`affaires</v>
      </c>
      <c r="B454" s="7"/>
      <c r="C454" s="250"/>
      <c r="D454" s="250"/>
      <c r="E454" s="250"/>
      <c r="F454" s="250"/>
      <c r="G454" s="250"/>
      <c r="H454" s="250"/>
      <c r="I454" s="250"/>
      <c r="J454" s="250"/>
      <c r="K454" s="250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106" t="s">
        <v>168</v>
      </c>
      <c r="W454" s="294" t="s">
        <v>169</v>
      </c>
      <c r="X454" s="267"/>
      <c r="Y454" s="295"/>
      <c r="Z454" s="268">
        <f>+SUM(START:END!Z454)</f>
        <v>9839.9999999999982</v>
      </c>
      <c r="AA454" s="267"/>
      <c r="AB454" s="295"/>
      <c r="AC454" s="268">
        <f>+SUM(START:END!AC454)</f>
        <v>9839.9999999999982</v>
      </c>
      <c r="AD454" s="296"/>
      <c r="AE454" s="295"/>
      <c r="AF454" s="268">
        <f>+SUM(START:END!AF454)</f>
        <v>9839.9999999999982</v>
      </c>
      <c r="AG454" s="269"/>
      <c r="AH454" s="270">
        <f t="shared" si="158"/>
        <v>0</v>
      </c>
      <c r="AI454" s="297">
        <f t="shared" si="161"/>
        <v>0</v>
      </c>
      <c r="AJ454" s="296"/>
      <c r="AK454" s="267"/>
      <c r="AL454" s="268">
        <f>+SUM(START:END!AL454)</f>
        <v>9600</v>
      </c>
      <c r="AM454" s="272"/>
      <c r="AN454" s="270">
        <f t="shared" si="159"/>
        <v>239.99999999999818</v>
      </c>
      <c r="AO454" s="273">
        <f t="shared" si="160"/>
        <v>2.4999999999999811E-2</v>
      </c>
      <c r="AP454" s="250"/>
      <c r="AQ454" s="250"/>
      <c r="AR454" s="250"/>
      <c r="AS454" s="250"/>
      <c r="AT454" s="250"/>
      <c r="AU454" s="250"/>
      <c r="AV454" s="250"/>
      <c r="AW454" s="250"/>
      <c r="AX454" s="250"/>
      <c r="AY454" s="250"/>
      <c r="AZ454" s="250"/>
      <c r="BA454" s="250"/>
      <c r="BB454" s="250"/>
      <c r="BC454" s="250"/>
      <c r="BD454" s="250"/>
      <c r="BE454" s="250"/>
      <c r="BF454" s="250"/>
      <c r="BG454" s="250"/>
      <c r="BH454" s="250"/>
      <c r="BI454" s="250"/>
      <c r="BJ454" s="250"/>
    </row>
    <row r="455" spans="1:62" ht="15.75" customHeight="1">
      <c r="A455" t="str">
        <f t="shared" si="135"/>
        <v>Taxe sur le capital</v>
      </c>
      <c r="B455" s="7"/>
      <c r="C455" s="250"/>
      <c r="D455" s="250"/>
      <c r="E455" s="250"/>
      <c r="F455" s="250"/>
      <c r="G455" s="250"/>
      <c r="H455" s="250"/>
      <c r="I455" s="250"/>
      <c r="J455" s="250"/>
      <c r="K455" s="250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105" t="s">
        <v>170</v>
      </c>
      <c r="W455" s="290"/>
      <c r="X455" s="283"/>
      <c r="Y455" s="291"/>
      <c r="Z455" s="284">
        <f>+SUM(START:END!Z455)</f>
        <v>0</v>
      </c>
      <c r="AA455" s="283"/>
      <c r="AB455" s="291"/>
      <c r="AC455" s="284">
        <f>+SUM(START:END!AC455)</f>
        <v>0</v>
      </c>
      <c r="AD455" s="292"/>
      <c r="AE455" s="291"/>
      <c r="AF455" s="284">
        <f>+SUM(START:END!AF455)</f>
        <v>0</v>
      </c>
      <c r="AG455" s="285"/>
      <c r="AH455" s="286">
        <f t="shared" si="158"/>
        <v>0</v>
      </c>
      <c r="AI455" s="287">
        <f t="shared" si="161"/>
        <v>0</v>
      </c>
      <c r="AJ455" s="292"/>
      <c r="AK455" s="283"/>
      <c r="AL455" s="284">
        <f>+SUM(START:END!AL455)</f>
        <v>0</v>
      </c>
      <c r="AM455" s="288"/>
      <c r="AN455" s="286">
        <f t="shared" si="159"/>
        <v>0</v>
      </c>
      <c r="AO455" s="293">
        <f t="shared" si="160"/>
        <v>0</v>
      </c>
      <c r="AP455" s="250"/>
      <c r="AQ455" s="250"/>
      <c r="AR455" s="250"/>
      <c r="AS455" s="250"/>
      <c r="AT455" s="250"/>
      <c r="AU455" s="250"/>
      <c r="AV455" s="250"/>
      <c r="AW455" s="250"/>
      <c r="AX455" s="250"/>
      <c r="AY455" s="250"/>
      <c r="AZ455" s="250"/>
      <c r="BA455" s="250"/>
      <c r="BB455" s="250"/>
      <c r="BC455" s="250"/>
      <c r="BD455" s="250"/>
      <c r="BE455" s="250"/>
      <c r="BF455" s="250"/>
      <c r="BG455" s="250"/>
      <c r="BH455" s="250"/>
      <c r="BI455" s="250"/>
      <c r="BJ455" s="250"/>
    </row>
    <row r="456" spans="1:62" ht="15.75" customHeight="1">
      <c r="A456" t="str">
        <f t="shared" si="135"/>
        <v>Assurances</v>
      </c>
      <c r="B456" s="7"/>
      <c r="C456" s="250"/>
      <c r="D456" s="250"/>
      <c r="E456" s="250"/>
      <c r="F456" s="250"/>
      <c r="G456" s="250"/>
      <c r="H456" s="250"/>
      <c r="I456" s="250"/>
      <c r="J456" s="250"/>
      <c r="K456" s="250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106" t="s">
        <v>171</v>
      </c>
      <c r="W456" s="294" t="s">
        <v>172</v>
      </c>
      <c r="X456" s="267"/>
      <c r="Y456" s="295"/>
      <c r="Z456" s="268">
        <f>+SUM(START:END!Z456)</f>
        <v>12811.749999999996</v>
      </c>
      <c r="AA456" s="267"/>
      <c r="AB456" s="295"/>
      <c r="AC456" s="268">
        <f>+SUM(START:END!AC456)</f>
        <v>12811.749999999996</v>
      </c>
      <c r="AD456" s="296"/>
      <c r="AE456" s="295"/>
      <c r="AF456" s="268">
        <f>+SUM(START:END!AF456)</f>
        <v>12813</v>
      </c>
      <c r="AG456" s="269"/>
      <c r="AH456" s="270">
        <f t="shared" si="158"/>
        <v>1.250000000003638</v>
      </c>
      <c r="AI456" s="297">
        <f t="shared" si="161"/>
        <v>9.7566686830732595E-5</v>
      </c>
      <c r="AJ456" s="296"/>
      <c r="AK456" s="267"/>
      <c r="AL456" s="268">
        <f>+SUM(START:END!AL456)</f>
        <v>11124.33</v>
      </c>
      <c r="AM456" s="272"/>
      <c r="AN456" s="270">
        <f t="shared" si="159"/>
        <v>1688.67</v>
      </c>
      <c r="AO456" s="273">
        <f t="shared" si="160"/>
        <v>0.15179970389227937</v>
      </c>
      <c r="AP456" s="250"/>
      <c r="AQ456" s="250"/>
      <c r="AR456" s="250"/>
      <c r="AS456" s="250"/>
      <c r="AT456" s="250"/>
      <c r="AU456" s="250"/>
      <c r="AV456" s="250"/>
      <c r="AW456" s="250"/>
      <c r="AX456" s="250"/>
      <c r="AY456" s="250"/>
      <c r="AZ456" s="250"/>
      <c r="BA456" s="250"/>
      <c r="BB456" s="250"/>
      <c r="BC456" s="250"/>
      <c r="BD456" s="250"/>
      <c r="BE456" s="250"/>
      <c r="BF456" s="250"/>
      <c r="BG456" s="250"/>
      <c r="BH456" s="250"/>
      <c r="BI456" s="250"/>
      <c r="BJ456" s="250"/>
    </row>
    <row r="457" spans="1:62" ht="15.75" customHeight="1">
      <c r="A457" t="str">
        <f t="shared" si="135"/>
        <v>Chauffage, éclairage</v>
      </c>
      <c r="B457" s="7"/>
      <c r="C457" s="250"/>
      <c r="D457" s="250"/>
      <c r="E457" s="250"/>
      <c r="F457" s="250"/>
      <c r="G457" s="250"/>
      <c r="H457" s="250"/>
      <c r="I457" s="250"/>
      <c r="J457" s="250"/>
      <c r="K457" s="250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105" t="s">
        <v>173</v>
      </c>
      <c r="W457" s="290" t="s">
        <v>174</v>
      </c>
      <c r="X457" s="337"/>
      <c r="Y457" s="338"/>
      <c r="Z457" s="284">
        <f>+SUM(START:END!Z457)</f>
        <v>8515.4591250000012</v>
      </c>
      <c r="AA457" s="337"/>
      <c r="AB457" s="338"/>
      <c r="AC457" s="284">
        <f>+SUM(START:END!AC457)</f>
        <v>8515.4591250000012</v>
      </c>
      <c r="AD457" s="292"/>
      <c r="AE457" s="291"/>
      <c r="AF457" s="284">
        <f>+SUM(START:END!AF457)</f>
        <v>3735.32</v>
      </c>
      <c r="AG457" s="285"/>
      <c r="AH457" s="883">
        <f t="shared" si="158"/>
        <v>-4780.1391250000015</v>
      </c>
      <c r="AI457" s="287">
        <f t="shared" si="161"/>
        <v>-0.56134837298041762</v>
      </c>
      <c r="AJ457" s="292"/>
      <c r="AK457" s="283"/>
      <c r="AL457" s="284">
        <f>+SUM(START:END!AL457)</f>
        <v>7560.88</v>
      </c>
      <c r="AM457" s="288"/>
      <c r="AN457" s="286">
        <f t="shared" si="159"/>
        <v>-3825.56</v>
      </c>
      <c r="AO457" s="293">
        <f t="shared" si="160"/>
        <v>-0.505967559331718</v>
      </c>
      <c r="AP457" s="250"/>
      <c r="AQ457" s="250"/>
      <c r="AR457" s="250"/>
      <c r="AS457" s="250"/>
      <c r="AT457" s="250"/>
      <c r="AU457" s="250"/>
      <c r="AV457" s="250"/>
      <c r="AW457" s="250"/>
      <c r="AX457" s="250"/>
      <c r="AY457" s="250"/>
      <c r="AZ457" s="250"/>
      <c r="BA457" s="250"/>
      <c r="BB457" s="250"/>
      <c r="BC457" s="250"/>
      <c r="BD457" s="250"/>
      <c r="BE457" s="250"/>
      <c r="BF457" s="250"/>
      <c r="BG457" s="250"/>
      <c r="BH457" s="250"/>
      <c r="BI457" s="250"/>
      <c r="BJ457" s="250"/>
    </row>
    <row r="458" spans="1:62" ht="15.75" customHeight="1">
      <c r="A458" t="str">
        <f t="shared" si="135"/>
        <v>Honoraires</v>
      </c>
      <c r="B458" s="7"/>
      <c r="C458" s="250"/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105" t="s">
        <v>175</v>
      </c>
      <c r="W458" s="290" t="s">
        <v>176</v>
      </c>
      <c r="X458" s="283"/>
      <c r="Y458" s="291"/>
      <c r="Z458" s="284">
        <f>+SUM(START:END!Z458)</f>
        <v>18368.5</v>
      </c>
      <c r="AA458" s="283"/>
      <c r="AB458" s="291"/>
      <c r="AC458" s="284">
        <f>+SUM(START:END!AC458)</f>
        <v>18368.5</v>
      </c>
      <c r="AD458" s="292"/>
      <c r="AE458" s="291"/>
      <c r="AF458" s="284">
        <f>+SUM(START:END!AF458)</f>
        <v>18369.989999999998</v>
      </c>
      <c r="AG458" s="285"/>
      <c r="AH458" s="286">
        <f t="shared" si="158"/>
        <v>1.4899999999979627</v>
      </c>
      <c r="AI458" s="287">
        <f t="shared" si="161"/>
        <v>8.1117129868958418E-5</v>
      </c>
      <c r="AJ458" s="292"/>
      <c r="AK458" s="283"/>
      <c r="AL458" s="284">
        <f>+SUM(START:END!AL458)</f>
        <v>21360.55</v>
      </c>
      <c r="AM458" s="288"/>
      <c r="AN458" s="286">
        <f t="shared" si="159"/>
        <v>-2990.5600000000013</v>
      </c>
      <c r="AO458" s="293">
        <f t="shared" si="160"/>
        <v>-0.14000388566773803</v>
      </c>
      <c r="AP458" s="250"/>
      <c r="AQ458" s="250"/>
      <c r="AR458" s="250"/>
      <c r="AS458" s="250"/>
      <c r="AT458" s="250"/>
      <c r="AU458" s="250"/>
      <c r="AV458" s="250"/>
      <c r="AW458" s="250"/>
      <c r="AX458" s="250"/>
      <c r="AY458" s="250"/>
      <c r="AZ458" s="250"/>
      <c r="BA458" s="250"/>
      <c r="BB458" s="250"/>
      <c r="BC458" s="250"/>
      <c r="BD458" s="250"/>
      <c r="BE458" s="250"/>
      <c r="BF458" s="250"/>
      <c r="BG458" s="250"/>
      <c r="BH458" s="250"/>
      <c r="BI458" s="250"/>
      <c r="BJ458" s="250"/>
    </row>
    <row r="459" spans="1:62" ht="15.75" customHeight="1">
      <c r="A459" t="str">
        <f t="shared" si="135"/>
        <v>Réparation équipement</v>
      </c>
      <c r="B459" s="7"/>
      <c r="C459" s="250"/>
      <c r="D459" s="250"/>
      <c r="E459" s="250"/>
      <c r="F459" s="250"/>
      <c r="G459" s="250"/>
      <c r="H459" s="250"/>
      <c r="I459" s="250"/>
      <c r="J459" s="250"/>
      <c r="K459" s="250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106" t="s">
        <v>177</v>
      </c>
      <c r="W459" s="294" t="s">
        <v>178</v>
      </c>
      <c r="X459" s="267"/>
      <c r="Y459" s="295"/>
      <c r="Z459" s="268">
        <f>+SUM(START:END!Z459)</f>
        <v>3566.5797499999999</v>
      </c>
      <c r="AA459" s="267"/>
      <c r="AB459" s="295"/>
      <c r="AC459" s="268">
        <f>+SUM(START:END!AC459)</f>
        <v>3566.5797499999999</v>
      </c>
      <c r="AD459" s="296"/>
      <c r="AE459" s="295"/>
      <c r="AF459" s="268">
        <f>+SUM(START:END!AF459)</f>
        <v>4641.5200000000004</v>
      </c>
      <c r="AG459" s="269"/>
      <c r="AH459" s="270">
        <f t="shared" si="158"/>
        <v>1074.9402500000006</v>
      </c>
      <c r="AI459" s="297">
        <f t="shared" si="161"/>
        <v>0.30139246150320925</v>
      </c>
      <c r="AJ459" s="296"/>
      <c r="AK459" s="267"/>
      <c r="AL459" s="268">
        <f>+SUM(START:END!AL459)</f>
        <v>2231.77</v>
      </c>
      <c r="AM459" s="272"/>
      <c r="AN459" s="270">
        <f t="shared" si="159"/>
        <v>2409.7500000000005</v>
      </c>
      <c r="AO459" s="273">
        <f t="shared" si="160"/>
        <v>1.0797483611662495</v>
      </c>
      <c r="AP459" s="250"/>
      <c r="AQ459" s="250"/>
      <c r="AR459" s="250"/>
      <c r="AS459" s="250"/>
      <c r="AT459" s="250"/>
      <c r="AU459" s="250"/>
      <c r="AV459" s="250"/>
      <c r="AW459" s="250"/>
      <c r="AX459" s="250"/>
      <c r="AY459" s="250"/>
      <c r="AZ459" s="250"/>
      <c r="BA459" s="250"/>
      <c r="BB459" s="250"/>
      <c r="BC459" s="250"/>
      <c r="BD459" s="250"/>
      <c r="BE459" s="250"/>
      <c r="BF459" s="250"/>
      <c r="BG459" s="250"/>
      <c r="BH459" s="250"/>
      <c r="BI459" s="250"/>
      <c r="BJ459" s="250"/>
    </row>
    <row r="460" spans="1:62" ht="15.75" customHeight="1">
      <c r="A460" t="str">
        <f t="shared" si="135"/>
        <v>Location équipement</v>
      </c>
      <c r="B460" s="7"/>
      <c r="C460" s="250"/>
      <c r="D460" s="250"/>
      <c r="E460" s="250"/>
      <c r="F460" s="250"/>
      <c r="G460" s="250"/>
      <c r="H460" s="250"/>
      <c r="I460" s="250"/>
      <c r="J460" s="250"/>
      <c r="K460" s="250"/>
      <c r="L460" s="250"/>
      <c r="M460" s="250"/>
      <c r="N460" s="250"/>
      <c r="O460" s="250"/>
      <c r="P460" s="250"/>
      <c r="Q460" s="250"/>
      <c r="R460" s="250"/>
      <c r="S460" s="250"/>
      <c r="T460" s="250"/>
      <c r="U460" s="339"/>
      <c r="V460" s="105" t="s">
        <v>179</v>
      </c>
      <c r="W460" s="290" t="s">
        <v>180</v>
      </c>
      <c r="X460" s="283"/>
      <c r="Y460" s="291"/>
      <c r="Z460" s="284">
        <f>+SUM(START:END!Z460)</f>
        <v>691.875</v>
      </c>
      <c r="AA460" s="283"/>
      <c r="AB460" s="291"/>
      <c r="AC460" s="284">
        <f>+SUM(START:END!AC460)</f>
        <v>691.875</v>
      </c>
      <c r="AD460" s="292"/>
      <c r="AE460" s="291"/>
      <c r="AF460" s="284">
        <f>+SUM(START:END!AF460)</f>
        <v>0</v>
      </c>
      <c r="AG460" s="285"/>
      <c r="AH460" s="286">
        <f t="shared" si="158"/>
        <v>-691.875</v>
      </c>
      <c r="AI460" s="340">
        <f t="shared" si="161"/>
        <v>-1</v>
      </c>
      <c r="AJ460" s="283"/>
      <c r="AK460" s="283"/>
      <c r="AL460" s="284">
        <f>+SUM(START:END!AL460)</f>
        <v>0</v>
      </c>
      <c r="AM460" s="288"/>
      <c r="AN460" s="286">
        <f t="shared" si="159"/>
        <v>0</v>
      </c>
      <c r="AO460" s="293">
        <f t="shared" si="160"/>
        <v>0</v>
      </c>
      <c r="AP460" s="250"/>
      <c r="AQ460" s="250"/>
      <c r="AR460" s="250"/>
      <c r="AS460" s="250"/>
      <c r="AT460" s="250"/>
      <c r="AU460" s="250"/>
      <c r="AV460" s="250"/>
      <c r="AW460" s="250"/>
      <c r="AX460" s="250"/>
      <c r="AY460" s="250"/>
      <c r="AZ460" s="250"/>
      <c r="BA460" s="250"/>
      <c r="BB460" s="250"/>
      <c r="BC460" s="250"/>
      <c r="BD460" s="250"/>
      <c r="BE460" s="250"/>
      <c r="BF460" s="250"/>
      <c r="BG460" s="250"/>
      <c r="BH460" s="250"/>
      <c r="BI460" s="250"/>
      <c r="BJ460" s="250"/>
    </row>
    <row r="461" spans="1:62" ht="15.75" customHeight="1">
      <c r="A461" t="str">
        <f t="shared" si="135"/>
        <v>Dons</v>
      </c>
      <c r="B461" s="7"/>
      <c r="C461" s="250"/>
      <c r="D461" s="250"/>
      <c r="E461" s="250"/>
      <c r="F461" s="250"/>
      <c r="G461" s="250"/>
      <c r="H461" s="250"/>
      <c r="I461" s="250"/>
      <c r="J461" s="250"/>
      <c r="K461" s="250"/>
      <c r="L461" s="250"/>
      <c r="M461" s="250"/>
      <c r="N461" s="250"/>
      <c r="O461" s="250"/>
      <c r="P461" s="250"/>
      <c r="Q461" s="250"/>
      <c r="R461" s="250"/>
      <c r="S461" s="250"/>
      <c r="T461" s="250"/>
      <c r="U461" s="339"/>
      <c r="V461" s="105" t="s">
        <v>181</v>
      </c>
      <c r="W461" s="290" t="s">
        <v>182</v>
      </c>
      <c r="X461" s="283"/>
      <c r="Y461" s="291"/>
      <c r="Z461" s="284">
        <f>+SUM(START:END!Z461)</f>
        <v>0</v>
      </c>
      <c r="AA461" s="283"/>
      <c r="AB461" s="291"/>
      <c r="AC461" s="284">
        <f>+SUM(START:END!AC461)</f>
        <v>0</v>
      </c>
      <c r="AD461" s="292"/>
      <c r="AE461" s="291"/>
      <c r="AF461" s="284">
        <f>+SUM(START:END!AF461)</f>
        <v>0</v>
      </c>
      <c r="AG461" s="285"/>
      <c r="AH461" s="286">
        <v>0</v>
      </c>
      <c r="AI461" s="310">
        <v>0</v>
      </c>
      <c r="AJ461" s="283"/>
      <c r="AK461" s="283"/>
      <c r="AL461" s="284">
        <f>+SUM(START:END!AL461)</f>
        <v>0</v>
      </c>
      <c r="AM461" s="288"/>
      <c r="AN461" s="286">
        <v>0</v>
      </c>
      <c r="AO461" s="293">
        <v>0</v>
      </c>
      <c r="AP461" s="250"/>
      <c r="AQ461" s="250"/>
      <c r="AR461" s="250"/>
      <c r="AS461" s="250"/>
      <c r="AT461" s="250"/>
      <c r="AU461" s="250"/>
      <c r="AV461" s="250"/>
      <c r="AW461" s="250"/>
      <c r="AX461" s="250"/>
      <c r="AY461" s="250"/>
      <c r="AZ461" s="250"/>
      <c r="BA461" s="250"/>
      <c r="BB461" s="250"/>
      <c r="BC461" s="250"/>
      <c r="BD461" s="250"/>
      <c r="BE461" s="250"/>
      <c r="BF461" s="250"/>
      <c r="BG461" s="250"/>
      <c r="BH461" s="250"/>
      <c r="BI461" s="250"/>
      <c r="BJ461" s="250"/>
    </row>
    <row r="462" spans="1:62" ht="15.75" hidden="1" customHeight="1">
      <c r="A462" t="str">
        <f t="shared" si="135"/>
        <v>[...]</v>
      </c>
      <c r="B462" s="7"/>
      <c r="C462" s="250"/>
      <c r="D462" s="250"/>
      <c r="E462" s="250"/>
      <c r="F462" s="250"/>
      <c r="G462" s="250"/>
      <c r="H462" s="250"/>
      <c r="I462" s="250"/>
      <c r="J462" s="250"/>
      <c r="K462" s="250"/>
      <c r="L462" s="250"/>
      <c r="M462" s="250"/>
      <c r="N462" s="250"/>
      <c r="O462" s="250"/>
      <c r="P462" s="250"/>
      <c r="Q462" s="250"/>
      <c r="R462" s="250"/>
      <c r="S462" s="250"/>
      <c r="T462" s="250"/>
      <c r="U462" s="339"/>
      <c r="V462" s="105" t="s">
        <v>21</v>
      </c>
      <c r="W462" s="290"/>
      <c r="X462" s="283"/>
      <c r="Y462" s="291"/>
      <c r="Z462" s="284">
        <f>+SUM(START:END!Z462)</f>
        <v>0</v>
      </c>
      <c r="AA462" s="283"/>
      <c r="AB462" s="291"/>
      <c r="AC462" s="284">
        <f>+SUM(START:END!AC462)</f>
        <v>0</v>
      </c>
      <c r="AD462" s="292"/>
      <c r="AE462" s="291"/>
      <c r="AF462" s="284">
        <f>+SUM(START:END!AF462)</f>
        <v>0</v>
      </c>
      <c r="AG462" s="285"/>
      <c r="AH462" s="286">
        <v>0</v>
      </c>
      <c r="AI462" s="310">
        <v>1</v>
      </c>
      <c r="AJ462" s="283"/>
      <c r="AK462" s="283"/>
      <c r="AL462" s="284">
        <f>+SUM(START:END!AL462)</f>
        <v>0</v>
      </c>
      <c r="AM462" s="288"/>
      <c r="AN462" s="286">
        <v>0</v>
      </c>
      <c r="AO462" s="293">
        <v>1</v>
      </c>
      <c r="AP462" s="250"/>
      <c r="AQ462" s="250"/>
      <c r="AR462" s="250"/>
      <c r="AS462" s="250"/>
      <c r="AT462" s="250"/>
      <c r="AU462" s="250"/>
      <c r="AV462" s="250"/>
      <c r="AW462" s="250"/>
      <c r="AX462" s="250"/>
      <c r="AY462" s="250"/>
      <c r="AZ462" s="250"/>
      <c r="BA462" s="250"/>
      <c r="BB462" s="250"/>
      <c r="BC462" s="250"/>
      <c r="BD462" s="250"/>
      <c r="BE462" s="250"/>
      <c r="BF462" s="250"/>
      <c r="BG462" s="250"/>
      <c r="BH462" s="250"/>
      <c r="BI462" s="250"/>
      <c r="BJ462" s="250"/>
    </row>
    <row r="463" spans="1:62" ht="15.75" hidden="1" customHeight="1">
      <c r="A463" t="str">
        <f t="shared" si="135"/>
        <v>[...]</v>
      </c>
      <c r="B463" s="7"/>
      <c r="C463" s="250"/>
      <c r="D463" s="250"/>
      <c r="E463" s="250"/>
      <c r="F463" s="250"/>
      <c r="G463" s="250"/>
      <c r="H463" s="250"/>
      <c r="I463" s="250"/>
      <c r="J463" s="250"/>
      <c r="K463" s="250"/>
      <c r="L463" s="250"/>
      <c r="M463" s="250"/>
      <c r="N463" s="250"/>
      <c r="O463" s="250"/>
      <c r="P463" s="250"/>
      <c r="Q463" s="250"/>
      <c r="R463" s="250"/>
      <c r="S463" s="250"/>
      <c r="T463" s="250"/>
      <c r="U463" s="339"/>
      <c r="V463" s="105" t="s">
        <v>21</v>
      </c>
      <c r="W463" s="290"/>
      <c r="X463" s="283"/>
      <c r="Y463" s="291"/>
      <c r="Z463" s="284">
        <f>+SUM(START:END!Z463)</f>
        <v>0</v>
      </c>
      <c r="AA463" s="283"/>
      <c r="AB463" s="291"/>
      <c r="AC463" s="284">
        <f>+SUM(START:END!AC463)</f>
        <v>0</v>
      </c>
      <c r="AD463" s="292"/>
      <c r="AE463" s="291"/>
      <c r="AF463" s="284">
        <f>+SUM(START:END!AF463)</f>
        <v>0</v>
      </c>
      <c r="AG463" s="285"/>
      <c r="AH463" s="286">
        <v>0</v>
      </c>
      <c r="AI463" s="310">
        <v>2</v>
      </c>
      <c r="AJ463" s="283"/>
      <c r="AK463" s="283"/>
      <c r="AL463" s="284">
        <f>+SUM(START:END!AL463)</f>
        <v>0</v>
      </c>
      <c r="AM463" s="288"/>
      <c r="AN463" s="286">
        <v>0</v>
      </c>
      <c r="AO463" s="293">
        <v>2</v>
      </c>
      <c r="AP463" s="250"/>
      <c r="AQ463" s="250"/>
      <c r="AR463" s="250"/>
      <c r="AS463" s="250"/>
      <c r="AT463" s="250"/>
      <c r="AU463" s="250"/>
      <c r="AV463" s="250"/>
      <c r="AW463" s="250"/>
      <c r="AX463" s="250"/>
      <c r="AY463" s="250"/>
      <c r="AZ463" s="250"/>
      <c r="BA463" s="250"/>
      <c r="BB463" s="250"/>
      <c r="BC463" s="250"/>
      <c r="BD463" s="250"/>
      <c r="BE463" s="250"/>
      <c r="BF463" s="250"/>
      <c r="BG463" s="250"/>
      <c r="BH463" s="250"/>
      <c r="BI463" s="250"/>
      <c r="BJ463" s="250"/>
    </row>
    <row r="464" spans="1:62" ht="15.75" hidden="1" customHeight="1">
      <c r="A464" t="str">
        <f t="shared" si="135"/>
        <v>[...]</v>
      </c>
      <c r="B464" s="7"/>
      <c r="C464" s="250"/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105" t="s">
        <v>21</v>
      </c>
      <c r="W464" s="290"/>
      <c r="X464" s="283"/>
      <c r="Y464" s="291"/>
      <c r="Z464" s="284">
        <f>+SUM(START:END!Z464)</f>
        <v>0</v>
      </c>
      <c r="AA464" s="283"/>
      <c r="AB464" s="291"/>
      <c r="AC464" s="284">
        <f>+SUM(START:END!AC464)</f>
        <v>0</v>
      </c>
      <c r="AD464" s="292"/>
      <c r="AE464" s="291"/>
      <c r="AF464" s="284">
        <f>+SUM(START:END!AF464)</f>
        <v>0</v>
      </c>
      <c r="AG464" s="285"/>
      <c r="AH464" s="286">
        <v>0</v>
      </c>
      <c r="AI464" s="310">
        <v>3</v>
      </c>
      <c r="AJ464" s="283"/>
      <c r="AK464" s="283"/>
      <c r="AL464" s="284">
        <f>+SUM(START:END!AL464)</f>
        <v>0</v>
      </c>
      <c r="AM464" s="288"/>
      <c r="AN464" s="286">
        <v>0</v>
      </c>
      <c r="AO464" s="293">
        <v>3</v>
      </c>
      <c r="AP464" s="250"/>
      <c r="AQ464" s="250"/>
      <c r="AR464" s="250"/>
      <c r="AS464" s="250"/>
      <c r="AT464" s="250"/>
      <c r="AU464" s="250"/>
      <c r="AV464" s="250"/>
      <c r="AW464" s="250"/>
      <c r="AX464" s="250"/>
      <c r="AY464" s="250"/>
      <c r="AZ464" s="250"/>
      <c r="BA464" s="250"/>
      <c r="BB464" s="250"/>
      <c r="BC464" s="250"/>
      <c r="BD464" s="250"/>
      <c r="BE464" s="250"/>
      <c r="BF464" s="250"/>
      <c r="BG464" s="250"/>
      <c r="BH464" s="250"/>
      <c r="BI464" s="250"/>
      <c r="BJ464" s="250"/>
    </row>
    <row r="465" spans="1:62" ht="15.75" customHeight="1">
      <c r="A465" t="str">
        <f t="shared" si="135"/>
        <v>TOTAL DÉPENSES FIXES</v>
      </c>
      <c r="B465" s="7"/>
      <c r="C465" s="250"/>
      <c r="D465" s="250"/>
      <c r="E465" s="250"/>
      <c r="F465" s="250"/>
      <c r="G465" s="250"/>
      <c r="H465" s="250"/>
      <c r="I465" s="250"/>
      <c r="J465" s="250"/>
      <c r="K465" s="250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300" t="s">
        <v>183</v>
      </c>
      <c r="W465" s="301"/>
      <c r="X465" s="302">
        <f>Z465/+Z406</f>
        <v>6.6370838708556784E-2</v>
      </c>
      <c r="Y465" s="301"/>
      <c r="Z465" s="303">
        <f>SUM(Z452:Z464)</f>
        <v>146584.913875</v>
      </c>
      <c r="AA465" s="302">
        <f>AC465/+AC406</f>
        <v>6.6370838708556784E-2</v>
      </c>
      <c r="AB465" s="301"/>
      <c r="AC465" s="303">
        <f>SUM(AC452:AC464)</f>
        <v>146584.913875</v>
      </c>
      <c r="AD465" s="304">
        <f>AF465/AF406</f>
        <v>6.4724040332607036E-2</v>
      </c>
      <c r="AE465" s="301"/>
      <c r="AF465" s="303">
        <f>SUM(AF452:AF464)</f>
        <v>142189.82999999999</v>
      </c>
      <c r="AG465" s="312"/>
      <c r="AH465" s="341">
        <f>SUM(AH452:AH464)</f>
        <v>-4395.0838749999957</v>
      </c>
      <c r="AI465" s="302">
        <f>IF(AC465=0,0,AH465/AC465)</f>
        <v>-2.9983193759951961E-2</v>
      </c>
      <c r="AJ465" s="304">
        <f>IF($AL$406=0,0,AL465/$AL$406)</f>
        <v>7.1710221503750574E-2</v>
      </c>
      <c r="AK465" s="302"/>
      <c r="AL465" s="303">
        <f>SUM(AL452:AL464)</f>
        <v>144307.53</v>
      </c>
      <c r="AM465" s="313"/>
      <c r="AN465" s="306">
        <f>SUM(AN452:AN464)</f>
        <v>-2117.7000000000021</v>
      </c>
      <c r="AO465" s="336">
        <f>IF(AL465=0,0,AN465/AL465)</f>
        <v>-1.4674909895554322E-2</v>
      </c>
      <c r="AP465" s="250"/>
      <c r="AQ465" s="250"/>
      <c r="AR465" s="250"/>
      <c r="AS465" s="250"/>
      <c r="AT465" s="250"/>
      <c r="AU465" s="250"/>
      <c r="AV465" s="250"/>
      <c r="AW465" s="250"/>
      <c r="AX465" s="250"/>
      <c r="AY465" s="250"/>
      <c r="AZ465" s="250"/>
      <c r="BA465" s="250"/>
      <c r="BB465" s="250"/>
      <c r="BC465" s="250"/>
      <c r="BD465" s="250"/>
      <c r="BE465" s="250"/>
      <c r="BF465" s="250"/>
      <c r="BG465" s="250"/>
      <c r="BH465" s="250"/>
      <c r="BI465" s="250"/>
      <c r="BJ465" s="250"/>
    </row>
    <row r="466" spans="1:62" ht="15.75" customHeight="1">
      <c r="A466" t="str">
        <f t="shared" si="135"/>
        <v/>
      </c>
      <c r="B466" s="7"/>
      <c r="C466" s="250"/>
      <c r="D466" s="250"/>
      <c r="E466" s="250"/>
      <c r="F466" s="250"/>
      <c r="G466" s="250"/>
      <c r="H466" s="250"/>
      <c r="I466" s="250"/>
      <c r="J466" s="250"/>
      <c r="K466" s="250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105"/>
      <c r="W466" s="283"/>
      <c r="X466" s="283"/>
      <c r="Y466" s="283"/>
      <c r="Z466" s="342"/>
      <c r="AA466" s="283"/>
      <c r="AB466" s="283"/>
      <c r="AC466" s="342"/>
      <c r="AD466" s="292"/>
      <c r="AE466" s="283"/>
      <c r="AF466" s="342"/>
      <c r="AG466" s="292"/>
      <c r="AH466" s="286">
        <f t="shared" ref="AH466:AH480" si="162">AF466-AC466</f>
        <v>0</v>
      </c>
      <c r="AI466" s="287"/>
      <c r="AJ466" s="292"/>
      <c r="AK466" s="283"/>
      <c r="AL466" s="342"/>
      <c r="AM466" s="343"/>
      <c r="AN466" s="286">
        <f t="shared" ref="AN466:AN482" si="163">AF466-AL466</f>
        <v>0</v>
      </c>
      <c r="AO466" s="344">
        <f>IF(AL466=0,0,AN466/AL466)</f>
        <v>0</v>
      </c>
      <c r="AP466" s="250"/>
      <c r="AQ466" s="250"/>
      <c r="AR466" s="250"/>
      <c r="AS466" s="250"/>
      <c r="AT466" s="250"/>
      <c r="AU466" s="250"/>
      <c r="AV466" s="250"/>
      <c r="AW466" s="250"/>
      <c r="AX466" s="250"/>
      <c r="AY466" s="250"/>
      <c r="AZ466" s="250"/>
      <c r="BA466" s="250"/>
      <c r="BB466" s="250"/>
      <c r="BC466" s="250"/>
      <c r="BD466" s="250"/>
      <c r="BE466" s="250"/>
      <c r="BF466" s="250"/>
      <c r="BG466" s="250"/>
      <c r="BH466" s="250"/>
      <c r="BI466" s="250"/>
      <c r="BJ466" s="250"/>
    </row>
    <row r="467" spans="1:62" ht="15.75" customHeight="1">
      <c r="A467" t="str">
        <f t="shared" si="135"/>
        <v>TOTAL DES DÉPENSES</v>
      </c>
      <c r="B467" s="7"/>
      <c r="C467" s="250"/>
      <c r="D467" s="250"/>
      <c r="E467" s="250"/>
      <c r="F467" s="250"/>
      <c r="G467" s="250"/>
      <c r="H467" s="250"/>
      <c r="I467" s="250"/>
      <c r="J467" s="250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300" t="s">
        <v>66</v>
      </c>
      <c r="W467" s="301"/>
      <c r="X467" s="302">
        <f>Z467/+Z406</f>
        <v>0.83899155305839968</v>
      </c>
      <c r="Y467" s="301"/>
      <c r="Z467" s="303">
        <f>Z418+Z432+Z451+Z465</f>
        <v>1852974.9953432861</v>
      </c>
      <c r="AA467" s="302">
        <f>AC467/+AC406</f>
        <v>0.83899155305839968</v>
      </c>
      <c r="AB467" s="301"/>
      <c r="AC467" s="303">
        <f>AC418+AC432+AC451+AC465</f>
        <v>1852974.9953432861</v>
      </c>
      <c r="AD467" s="304">
        <f>AF467/AF406</f>
        <v>0.83485728534605297</v>
      </c>
      <c r="AE467" s="301"/>
      <c r="AF467" s="303">
        <f>AF418+AF432+AF451+AF465</f>
        <v>1834066.83</v>
      </c>
      <c r="AG467" s="312"/>
      <c r="AH467" s="306">
        <f t="shared" si="162"/>
        <v>-18908.165343286004</v>
      </c>
      <c r="AI467" s="302">
        <f>AH467/AC467</f>
        <v>-1.0204220451330502E-2</v>
      </c>
      <c r="AJ467" s="304">
        <f>IF($AL$406=0,0,AL467/$AL$406)</f>
        <v>0.83826865892544111</v>
      </c>
      <c r="AK467" s="302"/>
      <c r="AL467" s="303">
        <f>AL418+AL432+AL451+AL465</f>
        <v>1686907.0699999998</v>
      </c>
      <c r="AM467" s="313"/>
      <c r="AN467" s="306">
        <f t="shared" si="163"/>
        <v>147159.76000000024</v>
      </c>
      <c r="AO467" s="281">
        <f>IF(AL467=0,0,AN467/AL467)</f>
        <v>8.7236435614678087E-2</v>
      </c>
      <c r="AP467" s="250"/>
      <c r="AQ467" s="250"/>
      <c r="AR467" s="250"/>
      <c r="AS467" s="250"/>
      <c r="AT467" s="250"/>
      <c r="AU467" s="250"/>
      <c r="AV467" s="250"/>
      <c r="AW467" s="250"/>
      <c r="AX467" s="250"/>
      <c r="AY467" s="250"/>
      <c r="AZ467" s="250"/>
      <c r="BA467" s="250"/>
      <c r="BB467" s="250"/>
      <c r="BC467" s="250"/>
      <c r="BD467" s="250"/>
      <c r="BE467" s="250"/>
      <c r="BF467" s="250"/>
      <c r="BG467" s="250"/>
      <c r="BH467" s="250"/>
      <c r="BI467" s="250"/>
      <c r="BJ467" s="250"/>
    </row>
    <row r="468" spans="1:62" ht="15.75" customHeight="1">
      <c r="A468" t="str">
        <f t="shared" si="135"/>
        <v>Revenus autres</v>
      </c>
      <c r="B468" s="7"/>
      <c r="C468" s="250"/>
      <c r="D468" s="250"/>
      <c r="E468" s="250"/>
      <c r="F468" s="250"/>
      <c r="G468" s="250"/>
      <c r="H468" s="250"/>
      <c r="I468" s="250"/>
      <c r="J468" s="250"/>
      <c r="K468" s="250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105" t="s">
        <v>184</v>
      </c>
      <c r="W468" s="338"/>
      <c r="X468" s="338"/>
      <c r="Y468" s="283"/>
      <c r="Z468" s="317">
        <f>+SUM(START:END!Z468)</f>
        <v>19696.239999999998</v>
      </c>
      <c r="AA468" s="345"/>
      <c r="AB468" s="346"/>
      <c r="AC468" s="317">
        <f>+SUM(START:END!AC468)</f>
        <v>19696.239999999998</v>
      </c>
      <c r="AD468" s="347"/>
      <c r="AE468" s="346"/>
      <c r="AF468" s="284">
        <f>+SUM(START:END!AF468)</f>
        <v>16480.88</v>
      </c>
      <c r="AG468" s="348"/>
      <c r="AH468" s="286">
        <f t="shared" si="162"/>
        <v>-3215.3599999999969</v>
      </c>
      <c r="AI468" s="340">
        <f t="shared" ref="AI468:AI478" si="164">IF(AH468=0,0,AH468/AC468)</f>
        <v>-0.16324740153450595</v>
      </c>
      <c r="AJ468" s="347"/>
      <c r="AK468" s="345"/>
      <c r="AL468" s="349">
        <f>+SUM(START:END!AL468)</f>
        <v>24129.58</v>
      </c>
      <c r="AM468" s="350"/>
      <c r="AN468" s="286">
        <f t="shared" si="163"/>
        <v>-7648.7000000000007</v>
      </c>
      <c r="AO468" s="293">
        <f>IF(AL468=0,0,AN468/AL468)</f>
        <v>-0.31698438182512917</v>
      </c>
      <c r="AP468" s="250"/>
      <c r="AQ468" s="250"/>
      <c r="AR468" s="250"/>
      <c r="AS468" s="250"/>
      <c r="AT468" s="250"/>
      <c r="AU468" s="250"/>
      <c r="AV468" s="250"/>
      <c r="AW468" s="250"/>
      <c r="AX468" s="250"/>
      <c r="AY468" s="250"/>
      <c r="AZ468" s="250"/>
      <c r="BA468" s="250"/>
      <c r="BB468" s="250"/>
      <c r="BC468" s="250"/>
      <c r="BD468" s="250"/>
      <c r="BE468" s="250"/>
      <c r="BF468" s="250"/>
      <c r="BG468" s="250"/>
      <c r="BH468" s="250"/>
      <c r="BI468" s="250"/>
      <c r="BJ468" s="250"/>
    </row>
    <row r="469" spans="1:62" ht="30" customHeight="1">
      <c r="A469" t="str">
        <f t="shared" si="135"/>
        <v>Holdbacks</v>
      </c>
      <c r="B469" s="7"/>
      <c r="C469" s="250"/>
      <c r="D469" s="250"/>
      <c r="E469" s="250"/>
      <c r="F469" s="250"/>
      <c r="G469" s="250"/>
      <c r="H469" s="250"/>
      <c r="I469" s="250"/>
      <c r="J469" s="250"/>
      <c r="K469" s="250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105" t="s">
        <v>70</v>
      </c>
      <c r="W469" s="283"/>
      <c r="X469" s="283"/>
      <c r="Y469" s="283"/>
      <c r="Z469" s="284">
        <f>+SUM(START:END!Z469)</f>
        <v>263603.88802409632</v>
      </c>
      <c r="AA469" s="337"/>
      <c r="AB469" s="338"/>
      <c r="AC469" s="284">
        <f>+SUM(START:END!AC469)</f>
        <v>263603.88802409632</v>
      </c>
      <c r="AD469" s="351"/>
      <c r="AE469" s="338"/>
      <c r="AF469" s="284">
        <f>+SUM(START:END!AF469)</f>
        <v>156084</v>
      </c>
      <c r="AG469" s="352"/>
      <c r="AH469" s="286">
        <f t="shared" si="162"/>
        <v>-107519.88802409632</v>
      </c>
      <c r="AI469" s="310">
        <f>IF(AC469=0,0,AH469/AC469)</f>
        <v>-0.40788430258004316</v>
      </c>
      <c r="AJ469" s="351"/>
      <c r="AK469" s="337"/>
      <c r="AL469" s="353">
        <f>+SUM(START:END!AL469)</f>
        <v>270355</v>
      </c>
      <c r="AM469" s="354"/>
      <c r="AN469" s="286">
        <f t="shared" si="163"/>
        <v>-114271</v>
      </c>
      <c r="AO469" s="293">
        <f>IF(AL469=0,0,AN469/AL469)</f>
        <v>-0.42267019289452756</v>
      </c>
      <c r="AP469" s="250"/>
      <c r="AQ469" s="250"/>
      <c r="AR469" s="250"/>
      <c r="AS469" s="250"/>
      <c r="AT469" s="250"/>
      <c r="AU469" s="250"/>
      <c r="AV469" s="250"/>
      <c r="AW469" s="250"/>
      <c r="AX469" s="250"/>
      <c r="AY469" s="250"/>
      <c r="AZ469" s="250"/>
      <c r="BA469" s="250"/>
      <c r="BB469" s="250"/>
      <c r="BC469" s="250"/>
      <c r="BD469" s="250"/>
      <c r="BE469" s="250"/>
      <c r="BF469" s="250"/>
      <c r="BG469" s="250"/>
      <c r="BH469" s="250"/>
      <c r="BI469" s="250"/>
      <c r="BJ469" s="250"/>
    </row>
    <row r="470" spans="1:62" ht="15.75" customHeight="1">
      <c r="A470" t="str">
        <f t="shared" si="135"/>
        <v>Variable Margin Program</v>
      </c>
      <c r="B470" s="7"/>
      <c r="C470" s="250"/>
      <c r="D470" s="250"/>
      <c r="E470" s="250"/>
      <c r="F470" s="250"/>
      <c r="G470" s="250"/>
      <c r="H470" s="250"/>
      <c r="I470" s="250"/>
      <c r="J470" s="250"/>
      <c r="K470" s="250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105" t="s">
        <v>67</v>
      </c>
      <c r="W470" s="283"/>
      <c r="X470" s="283"/>
      <c r="Y470" s="283"/>
      <c r="Z470" s="284">
        <f>+SUM(START:END!Z470)</f>
        <v>20185.2</v>
      </c>
      <c r="AA470" s="337"/>
      <c r="AB470" s="338"/>
      <c r="AC470" s="284">
        <f>+SUM(START:END!AC470)</f>
        <v>20185.2</v>
      </c>
      <c r="AD470" s="351"/>
      <c r="AE470" s="338"/>
      <c r="AF470" s="284">
        <f>+SUM(START:END!AF470)</f>
        <v>22000</v>
      </c>
      <c r="AG470" s="352"/>
      <c r="AH470" s="286">
        <f t="shared" si="162"/>
        <v>1814.7999999999993</v>
      </c>
      <c r="AI470" s="310">
        <f t="shared" si="164"/>
        <v>8.9907456948655415E-2</v>
      </c>
      <c r="AJ470" s="351"/>
      <c r="AK470" s="337"/>
      <c r="AL470" s="353">
        <f>+SUM(START:END!AL470)</f>
        <v>0</v>
      </c>
      <c r="AM470" s="354"/>
      <c r="AN470" s="286">
        <f t="shared" si="163"/>
        <v>22000</v>
      </c>
      <c r="AO470" s="293">
        <f t="shared" ref="AO470:AO479" si="165">IF(AL470=0,0,AN470/AL470)</f>
        <v>0</v>
      </c>
      <c r="AP470" s="250"/>
      <c r="AQ470" s="250"/>
      <c r="AR470" s="250"/>
      <c r="AS470" s="250"/>
      <c r="AT470" s="250"/>
      <c r="AU470" s="250"/>
      <c r="AV470" s="250"/>
      <c r="AW470" s="250"/>
      <c r="AX470" s="250"/>
      <c r="AY470" s="250"/>
      <c r="AZ470" s="250"/>
      <c r="BA470" s="250"/>
      <c r="BB470" s="250"/>
      <c r="BC470" s="250"/>
      <c r="BD470" s="250"/>
      <c r="BE470" s="250"/>
      <c r="BF470" s="250"/>
      <c r="BG470" s="250"/>
      <c r="BH470" s="250"/>
      <c r="BI470" s="250"/>
      <c r="BJ470" s="250"/>
    </row>
    <row r="471" spans="1:62" ht="15.75" customHeight="1">
      <c r="A471" t="str">
        <f t="shared" si="135"/>
        <v>Floorplan assistance 1%</v>
      </c>
      <c r="B471" s="7"/>
      <c r="C471" s="250"/>
      <c r="D471" s="250"/>
      <c r="E471" s="250"/>
      <c r="F471" s="250"/>
      <c r="G471" s="250"/>
      <c r="H471" s="250"/>
      <c r="I471" s="250"/>
      <c r="J471" s="250"/>
      <c r="K471" s="250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105" t="s">
        <v>68</v>
      </c>
      <c r="W471" s="283"/>
      <c r="X471" s="283"/>
      <c r="Y471" s="283"/>
      <c r="Z471" s="284">
        <f>+SUM(START:END!Z471)</f>
        <v>0</v>
      </c>
      <c r="AA471" s="337"/>
      <c r="AB471" s="338"/>
      <c r="AC471" s="284">
        <f>+SUM(START:END!AC471)</f>
        <v>0</v>
      </c>
      <c r="AD471" s="351"/>
      <c r="AE471" s="338"/>
      <c r="AF471" s="284">
        <f>+SUM(START:END!AF471)</f>
        <v>0</v>
      </c>
      <c r="AG471" s="352"/>
      <c r="AH471" s="286">
        <f t="shared" si="162"/>
        <v>0</v>
      </c>
      <c r="AI471" s="310">
        <f t="shared" si="164"/>
        <v>0</v>
      </c>
      <c r="AJ471" s="351"/>
      <c r="AK471" s="337"/>
      <c r="AL471" s="353">
        <f>+SUM(START:END!AL471)</f>
        <v>0</v>
      </c>
      <c r="AM471" s="354"/>
      <c r="AN471" s="286">
        <f t="shared" si="163"/>
        <v>0</v>
      </c>
      <c r="AO471" s="293">
        <f t="shared" si="165"/>
        <v>0</v>
      </c>
      <c r="AP471" s="250"/>
      <c r="AQ471" s="250"/>
      <c r="AR471" s="250"/>
      <c r="AS471" s="250"/>
      <c r="AT471" s="250"/>
      <c r="AU471" s="250"/>
      <c r="AV471" s="250"/>
      <c r="AW471" s="250"/>
      <c r="AX471" s="250"/>
      <c r="AY471" s="250"/>
      <c r="AZ471" s="250"/>
      <c r="BA471" s="250"/>
      <c r="BB471" s="250"/>
      <c r="BC471" s="250"/>
      <c r="BD471" s="250"/>
      <c r="BE471" s="250"/>
      <c r="BF471" s="250"/>
      <c r="BG471" s="250"/>
      <c r="BH471" s="250"/>
      <c r="BI471" s="250"/>
      <c r="BJ471" s="250"/>
    </row>
    <row r="472" spans="1:62" ht="15.75" customHeight="1">
      <c r="A472" t="str">
        <f t="shared" si="135"/>
        <v>Programme neuf 3</v>
      </c>
      <c r="B472" s="7"/>
      <c r="C472" s="250"/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105" t="s">
        <v>69</v>
      </c>
      <c r="W472" s="283"/>
      <c r="X472" s="283"/>
      <c r="Y472" s="283"/>
      <c r="Z472" s="284">
        <f>+SUM(START:END!Z472)</f>
        <v>0</v>
      </c>
      <c r="AA472" s="337"/>
      <c r="AB472" s="338"/>
      <c r="AC472" s="284">
        <f>+SUM(START:END!AC472)</f>
        <v>0</v>
      </c>
      <c r="AD472" s="351"/>
      <c r="AE472" s="338"/>
      <c r="AF472" s="284">
        <f>+SUM(START:END!AF472)</f>
        <v>0</v>
      </c>
      <c r="AG472" s="352"/>
      <c r="AH472" s="286">
        <f t="shared" si="162"/>
        <v>0</v>
      </c>
      <c r="AI472" s="310">
        <f t="shared" si="164"/>
        <v>0</v>
      </c>
      <c r="AJ472" s="351"/>
      <c r="AK472" s="337"/>
      <c r="AL472" s="353">
        <f>+SUM(START:END!AL472)</f>
        <v>0</v>
      </c>
      <c r="AM472" s="354"/>
      <c r="AN472" s="286">
        <f t="shared" si="163"/>
        <v>0</v>
      </c>
      <c r="AO472" s="293">
        <f t="shared" si="165"/>
        <v>0</v>
      </c>
      <c r="AP472" s="250"/>
      <c r="AQ472" s="250"/>
      <c r="AR472" s="250"/>
      <c r="AS472" s="250"/>
      <c r="AT472" s="250"/>
      <c r="AU472" s="250"/>
      <c r="AV472" s="250"/>
      <c r="AW472" s="250"/>
      <c r="AX472" s="250"/>
      <c r="AY472" s="250"/>
      <c r="AZ472" s="250"/>
      <c r="BA472" s="250"/>
      <c r="BB472" s="250"/>
      <c r="BC472" s="250"/>
      <c r="BD472" s="250"/>
      <c r="BE472" s="250"/>
      <c r="BF472" s="250"/>
      <c r="BG472" s="250"/>
      <c r="BH472" s="250"/>
      <c r="BI472" s="250"/>
      <c r="BJ472" s="250"/>
    </row>
    <row r="473" spans="1:62" ht="15.75" customHeight="1">
      <c r="A473" t="str">
        <f t="shared" si="135"/>
        <v>Remarketing Bonus</v>
      </c>
      <c r="B473" s="7"/>
      <c r="C473" s="250"/>
      <c r="D473" s="250"/>
      <c r="E473" s="250"/>
      <c r="F473" s="250"/>
      <c r="G473" s="250"/>
      <c r="H473" s="250"/>
      <c r="I473" s="250"/>
      <c r="J473" s="250"/>
      <c r="K473" s="250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105" t="s">
        <v>81</v>
      </c>
      <c r="W473" s="283"/>
      <c r="X473" s="283"/>
      <c r="Y473" s="283"/>
      <c r="Z473" s="284">
        <f>+SUM(START:END!Z473)</f>
        <v>0</v>
      </c>
      <c r="AA473" s="337"/>
      <c r="AB473" s="338"/>
      <c r="AC473" s="284">
        <f>+SUM(START:END!AC473)</f>
        <v>0</v>
      </c>
      <c r="AD473" s="351"/>
      <c r="AE473" s="338"/>
      <c r="AF473" s="284">
        <f>+SUM(START:END!AF473)</f>
        <v>0</v>
      </c>
      <c r="AG473" s="352"/>
      <c r="AH473" s="286">
        <f t="shared" si="162"/>
        <v>0</v>
      </c>
      <c r="AI473" s="310">
        <f t="shared" si="164"/>
        <v>0</v>
      </c>
      <c r="AJ473" s="351"/>
      <c r="AK473" s="337"/>
      <c r="AL473" s="353">
        <f>+SUM(START:END!AL473)</f>
        <v>0</v>
      </c>
      <c r="AM473" s="354"/>
      <c r="AN473" s="286">
        <f t="shared" si="163"/>
        <v>0</v>
      </c>
      <c r="AO473" s="293">
        <f t="shared" si="165"/>
        <v>0</v>
      </c>
      <c r="AP473" s="250"/>
      <c r="AQ473" s="250"/>
      <c r="AR473" s="250"/>
      <c r="AS473" s="250"/>
      <c r="AT473" s="250"/>
      <c r="AU473" s="250"/>
      <c r="AV473" s="250"/>
      <c r="AW473" s="250"/>
      <c r="AX473" s="250"/>
      <c r="AY473" s="250"/>
      <c r="AZ473" s="250"/>
      <c r="BA473" s="250"/>
      <c r="BB473" s="250"/>
      <c r="BC473" s="250"/>
      <c r="BD473" s="250"/>
      <c r="BE473" s="250"/>
      <c r="BF473" s="250"/>
      <c r="BG473" s="250"/>
      <c r="BH473" s="250"/>
      <c r="BI473" s="250"/>
      <c r="BJ473" s="250"/>
    </row>
    <row r="474" spans="1:62" ht="15.75" customHeight="1">
      <c r="A474" t="str">
        <f t="shared" si="135"/>
        <v>Programme used 2</v>
      </c>
      <c r="B474" s="7"/>
      <c r="C474" s="250"/>
      <c r="D474" s="250"/>
      <c r="E474" s="250"/>
      <c r="F474" s="250"/>
      <c r="G474" s="250"/>
      <c r="H474" s="250"/>
      <c r="I474" s="250"/>
      <c r="J474" s="250"/>
      <c r="K474" s="250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105" t="s">
        <v>82</v>
      </c>
      <c r="W474" s="283"/>
      <c r="X474" s="283"/>
      <c r="Y474" s="283"/>
      <c r="Z474" s="284">
        <f>+SUM(START:END!Z474)</f>
        <v>0</v>
      </c>
      <c r="AA474" s="337"/>
      <c r="AB474" s="338"/>
      <c r="AC474" s="284">
        <f>+SUM(START:END!AC474)</f>
        <v>0</v>
      </c>
      <c r="AD474" s="351"/>
      <c r="AE474" s="338"/>
      <c r="AF474" s="284">
        <f>+SUM(START:END!AF474)</f>
        <v>0</v>
      </c>
      <c r="AG474" s="352"/>
      <c r="AH474" s="286">
        <f t="shared" si="162"/>
        <v>0</v>
      </c>
      <c r="AI474" s="310">
        <f t="shared" si="164"/>
        <v>0</v>
      </c>
      <c r="AJ474" s="351"/>
      <c r="AK474" s="337"/>
      <c r="AL474" s="353">
        <f>+SUM(START:END!AL474)</f>
        <v>0</v>
      </c>
      <c r="AM474" s="354"/>
      <c r="AN474" s="286">
        <f t="shared" si="163"/>
        <v>0</v>
      </c>
      <c r="AO474" s="293">
        <f t="shared" si="165"/>
        <v>0</v>
      </c>
      <c r="AP474" s="250"/>
      <c r="AQ474" s="250"/>
      <c r="AR474" s="250"/>
      <c r="AS474" s="250"/>
      <c r="AT474" s="250"/>
      <c r="AU474" s="250"/>
      <c r="AV474" s="250"/>
      <c r="AW474" s="250"/>
      <c r="AX474" s="250"/>
      <c r="AY474" s="250"/>
      <c r="AZ474" s="250"/>
      <c r="BA474" s="250"/>
      <c r="BB474" s="250"/>
      <c r="BC474" s="250"/>
      <c r="BD474" s="250"/>
      <c r="BE474" s="250"/>
      <c r="BF474" s="250"/>
      <c r="BG474" s="250"/>
      <c r="BH474" s="250"/>
      <c r="BI474" s="250"/>
      <c r="BJ474" s="250"/>
    </row>
    <row r="475" spans="1:62" ht="15.75" customHeight="1">
      <c r="A475" t="str">
        <f t="shared" si="135"/>
        <v>Programme used 3</v>
      </c>
      <c r="B475" s="7"/>
      <c r="C475" s="250"/>
      <c r="D475" s="250"/>
      <c r="E475" s="250"/>
      <c r="F475" s="250"/>
      <c r="G475" s="250"/>
      <c r="H475" s="250"/>
      <c r="I475" s="250"/>
      <c r="J475" s="250"/>
      <c r="K475" s="250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105" t="s">
        <v>83</v>
      </c>
      <c r="W475" s="283"/>
      <c r="X475" s="283"/>
      <c r="Y475" s="283"/>
      <c r="Z475" s="284">
        <f>+SUM(START:END!Z475)</f>
        <v>0</v>
      </c>
      <c r="AA475" s="337"/>
      <c r="AB475" s="338"/>
      <c r="AC475" s="284">
        <f>+SUM(START:END!AC475)</f>
        <v>0</v>
      </c>
      <c r="AD475" s="351"/>
      <c r="AE475" s="338"/>
      <c r="AF475" s="284">
        <f>+SUM(START:END!AF475)</f>
        <v>0</v>
      </c>
      <c r="AG475" s="352"/>
      <c r="AH475" s="286">
        <f t="shared" si="162"/>
        <v>0</v>
      </c>
      <c r="AI475" s="310">
        <f t="shared" si="164"/>
        <v>0</v>
      </c>
      <c r="AJ475" s="351"/>
      <c r="AK475" s="337"/>
      <c r="AL475" s="353">
        <f>+SUM(START:END!AL475)</f>
        <v>0</v>
      </c>
      <c r="AM475" s="354"/>
      <c r="AN475" s="286">
        <f t="shared" si="163"/>
        <v>0</v>
      </c>
      <c r="AO475" s="293">
        <f t="shared" si="165"/>
        <v>0</v>
      </c>
      <c r="AP475" s="250"/>
      <c r="AQ475" s="250"/>
      <c r="AR475" s="250"/>
      <c r="AS475" s="250"/>
      <c r="AT475" s="250"/>
      <c r="AU475" s="250"/>
      <c r="AV475" s="250"/>
      <c r="AW475" s="250"/>
      <c r="AX475" s="250"/>
      <c r="AY475" s="250"/>
      <c r="AZ475" s="250"/>
      <c r="BA475" s="250"/>
      <c r="BB475" s="250"/>
      <c r="BC475" s="250"/>
      <c r="BD475" s="250"/>
      <c r="BE475" s="250"/>
      <c r="BF475" s="250"/>
      <c r="BG475" s="250"/>
      <c r="BH475" s="250"/>
      <c r="BI475" s="250"/>
      <c r="BJ475" s="250"/>
    </row>
    <row r="476" spans="1:62" ht="15.75" customHeight="1">
      <c r="A476" t="str">
        <f t="shared" si="135"/>
        <v>Facility Fund</v>
      </c>
      <c r="B476" s="7"/>
      <c r="C476" s="250"/>
      <c r="D476" s="250"/>
      <c r="E476" s="250"/>
      <c r="F476" s="250"/>
      <c r="G476" s="250"/>
      <c r="H476" s="250"/>
      <c r="I476" s="250"/>
      <c r="J476" s="250"/>
      <c r="K476" s="250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105" t="s">
        <v>198</v>
      </c>
      <c r="W476" s="283"/>
      <c r="X476" s="283"/>
      <c r="Y476" s="283"/>
      <c r="Z476" s="284">
        <f>+SUM(START:END!Z476)</f>
        <v>0</v>
      </c>
      <c r="AA476" s="337"/>
      <c r="AB476" s="338"/>
      <c r="AC476" s="284">
        <f>+SUM(START:END!AC476)</f>
        <v>0</v>
      </c>
      <c r="AD476" s="351"/>
      <c r="AE476" s="338"/>
      <c r="AF476" s="284">
        <f>+SUM(START:END!AF476)</f>
        <v>0</v>
      </c>
      <c r="AG476" s="352"/>
      <c r="AH476" s="286">
        <f t="shared" si="162"/>
        <v>0</v>
      </c>
      <c r="AI476" s="310">
        <f t="shared" si="164"/>
        <v>0</v>
      </c>
      <c r="AJ476" s="351"/>
      <c r="AK476" s="337"/>
      <c r="AL476" s="353">
        <f>+SUM(START:END!AL476)</f>
        <v>0</v>
      </c>
      <c r="AM476" s="354"/>
      <c r="AN476" s="286">
        <f t="shared" si="163"/>
        <v>0</v>
      </c>
      <c r="AO476" s="293">
        <f t="shared" si="165"/>
        <v>0</v>
      </c>
      <c r="AP476" s="250"/>
      <c r="AQ476" s="250"/>
      <c r="AR476" s="250"/>
      <c r="AS476" s="250"/>
      <c r="AT476" s="250"/>
      <c r="AU476" s="250"/>
      <c r="AV476" s="250"/>
      <c r="AW476" s="250"/>
      <c r="AX476" s="250"/>
      <c r="AY476" s="250"/>
      <c r="AZ476" s="250"/>
      <c r="BA476" s="250"/>
      <c r="BB476" s="250"/>
      <c r="BC476" s="250"/>
      <c r="BD476" s="250"/>
      <c r="BE476" s="250"/>
      <c r="BF476" s="250"/>
      <c r="BG476" s="250"/>
      <c r="BH476" s="250"/>
      <c r="BI476" s="250"/>
      <c r="BJ476" s="250"/>
    </row>
    <row r="477" spans="1:62" ht="15.75" hidden="1" customHeight="1">
      <c r="A477" t="str">
        <f t="shared" si="135"/>
        <v>[...]</v>
      </c>
      <c r="B477" s="7"/>
      <c r="C477" s="250"/>
      <c r="D477" s="250"/>
      <c r="E477" s="250"/>
      <c r="F477" s="250"/>
      <c r="G477" s="250"/>
      <c r="H477" s="250"/>
      <c r="I477" s="250"/>
      <c r="J477" s="250"/>
      <c r="K477" s="250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105" t="s">
        <v>21</v>
      </c>
      <c r="W477" s="283"/>
      <c r="X477" s="283"/>
      <c r="Y477" s="283"/>
      <c r="Z477" s="284">
        <f>+SUM(START:END!Z477)</f>
        <v>0</v>
      </c>
      <c r="AA477" s="337"/>
      <c r="AB477" s="338"/>
      <c r="AC477" s="284">
        <f>+SUM(START:END!AC477)</f>
        <v>0</v>
      </c>
      <c r="AD477" s="351"/>
      <c r="AE477" s="338"/>
      <c r="AF477" s="284">
        <f>+SUM(START:END!AF477)</f>
        <v>0</v>
      </c>
      <c r="AG477" s="352"/>
      <c r="AH477" s="286">
        <f t="shared" si="162"/>
        <v>0</v>
      </c>
      <c r="AI477" s="310">
        <f t="shared" si="164"/>
        <v>0</v>
      </c>
      <c r="AJ477" s="351"/>
      <c r="AK477" s="337"/>
      <c r="AL477" s="353">
        <f>+SUM(START:END!AL477)</f>
        <v>0</v>
      </c>
      <c r="AM477" s="354"/>
      <c r="AN477" s="286">
        <f t="shared" si="163"/>
        <v>0</v>
      </c>
      <c r="AO477" s="293">
        <f t="shared" si="165"/>
        <v>0</v>
      </c>
      <c r="AP477" s="250"/>
      <c r="AQ477" s="250"/>
      <c r="AR477" s="250"/>
      <c r="AS477" s="250"/>
      <c r="AT477" s="250"/>
      <c r="AU477" s="250"/>
      <c r="AV477" s="250"/>
      <c r="AW477" s="250"/>
      <c r="AX477" s="250"/>
      <c r="AY477" s="250"/>
      <c r="AZ477" s="250"/>
      <c r="BA477" s="250"/>
      <c r="BB477" s="250"/>
      <c r="BC477" s="250"/>
      <c r="BD477" s="250"/>
      <c r="BE477" s="250"/>
      <c r="BF477" s="250"/>
      <c r="BG477" s="250"/>
      <c r="BH477" s="250"/>
      <c r="BI477" s="250"/>
      <c r="BJ477" s="250"/>
    </row>
    <row r="478" spans="1:62" ht="15.75" hidden="1" customHeight="1">
      <c r="A478" t="str">
        <f t="shared" si="135"/>
        <v>[...]</v>
      </c>
      <c r="B478" s="7"/>
      <c r="C478" s="250"/>
      <c r="D478" s="250"/>
      <c r="E478" s="250"/>
      <c r="F478" s="250"/>
      <c r="G478" s="250"/>
      <c r="H478" s="250"/>
      <c r="I478" s="250"/>
      <c r="J478" s="250"/>
      <c r="K478" s="250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105" t="s">
        <v>21</v>
      </c>
      <c r="W478" s="283"/>
      <c r="X478" s="283"/>
      <c r="Y478" s="283"/>
      <c r="Z478" s="284">
        <f>+SUM(START:END!Z478)</f>
        <v>0</v>
      </c>
      <c r="AA478" s="337"/>
      <c r="AB478" s="338"/>
      <c r="AC478" s="284">
        <f>+SUM(START:END!AC478)</f>
        <v>0</v>
      </c>
      <c r="AD478" s="351"/>
      <c r="AE478" s="338"/>
      <c r="AF478" s="284">
        <f>+SUM(START:END!AF478)</f>
        <v>0</v>
      </c>
      <c r="AG478" s="352"/>
      <c r="AH478" s="286">
        <f t="shared" si="162"/>
        <v>0</v>
      </c>
      <c r="AI478" s="310">
        <f t="shared" si="164"/>
        <v>0</v>
      </c>
      <c r="AJ478" s="351"/>
      <c r="AK478" s="337"/>
      <c r="AL478" s="353">
        <f>+SUM(START:END!AL478)</f>
        <v>0</v>
      </c>
      <c r="AM478" s="354"/>
      <c r="AN478" s="286">
        <f t="shared" si="163"/>
        <v>0</v>
      </c>
      <c r="AO478" s="293">
        <f t="shared" si="165"/>
        <v>0</v>
      </c>
      <c r="AP478" s="250"/>
      <c r="AQ478" s="250"/>
      <c r="AR478" s="250"/>
      <c r="AS478" s="250"/>
      <c r="AT478" s="250"/>
      <c r="AU478" s="250"/>
      <c r="AV478" s="250"/>
      <c r="AW478" s="250"/>
      <c r="AX478" s="250"/>
      <c r="AY478" s="250"/>
      <c r="AZ478" s="250"/>
      <c r="BA478" s="250"/>
      <c r="BB478" s="250"/>
      <c r="BC478" s="250"/>
      <c r="BD478" s="250"/>
      <c r="BE478" s="250"/>
      <c r="BF478" s="250"/>
      <c r="BG478" s="250"/>
      <c r="BH478" s="250"/>
      <c r="BI478" s="250"/>
      <c r="BJ478" s="250"/>
    </row>
    <row r="479" spans="1:62" ht="15.75" customHeight="1">
      <c r="A479" t="str">
        <f t="shared" si="135"/>
        <v>Frais administration</v>
      </c>
      <c r="B479" s="7"/>
      <c r="C479" s="250"/>
      <c r="D479" s="250"/>
      <c r="E479" s="250"/>
      <c r="F479" s="250"/>
      <c r="G479" s="250"/>
      <c r="H479" s="250"/>
      <c r="I479" s="250"/>
      <c r="J479" s="250"/>
      <c r="K479" s="250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106" t="s">
        <v>71</v>
      </c>
      <c r="W479" s="283"/>
      <c r="X479" s="283"/>
      <c r="Y479" s="283"/>
      <c r="Z479" s="284">
        <f>+SUM(START:END!Z479)</f>
        <v>140125.70948337382</v>
      </c>
      <c r="AA479" s="337"/>
      <c r="AB479" s="338"/>
      <c r="AC479" s="284">
        <f>+SUM(START:END!AC479)</f>
        <v>140125.70948337382</v>
      </c>
      <c r="AD479" s="351"/>
      <c r="AE479" s="338"/>
      <c r="AF479" s="284">
        <f>+SUM(START:END!AF479)</f>
        <v>81985.489999999991</v>
      </c>
      <c r="AG479" s="352"/>
      <c r="AH479" s="286">
        <f t="shared" si="162"/>
        <v>-58140.219483373832</v>
      </c>
      <c r="AI479" s="310">
        <f>IF(AH479=0,0,AH479/AC479)</f>
        <v>-0.41491471977362071</v>
      </c>
      <c r="AJ479" s="351"/>
      <c r="AK479" s="337"/>
      <c r="AL479" s="353">
        <f>+SUM(START:END!AL479)</f>
        <v>110648</v>
      </c>
      <c r="AM479" s="354"/>
      <c r="AN479" s="286">
        <f t="shared" si="163"/>
        <v>-28662.510000000009</v>
      </c>
      <c r="AO479" s="293">
        <f t="shared" si="165"/>
        <v>-0.25904227821560272</v>
      </c>
      <c r="AP479" s="250"/>
      <c r="AQ479" s="250"/>
      <c r="AR479" s="250"/>
      <c r="AS479" s="250"/>
      <c r="AT479" s="250"/>
      <c r="AU479" s="250"/>
      <c r="AV479" s="250"/>
      <c r="AW479" s="250"/>
      <c r="AX479" s="250"/>
      <c r="AY479" s="250"/>
      <c r="AZ479" s="250"/>
      <c r="BA479" s="250"/>
      <c r="BB479" s="250"/>
      <c r="BC479" s="250"/>
      <c r="BD479" s="250"/>
      <c r="BE479" s="250"/>
      <c r="BF479" s="250"/>
      <c r="BG479" s="250"/>
      <c r="BH479" s="250"/>
      <c r="BI479" s="250"/>
      <c r="BJ479" s="250"/>
    </row>
    <row r="480" spans="1:62" ht="15.75" customHeight="1">
      <c r="A480" t="str">
        <f t="shared" si="135"/>
        <v>TOTAL AUTRES REVENUS</v>
      </c>
      <c r="B480" s="7"/>
      <c r="C480" s="250"/>
      <c r="D480" s="250"/>
      <c r="E480" s="250"/>
      <c r="F480" s="250"/>
      <c r="G480" s="250"/>
      <c r="H480" s="250"/>
      <c r="I480" s="250"/>
      <c r="J480" s="250"/>
      <c r="K480" s="250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300" t="s">
        <v>185</v>
      </c>
      <c r="W480" s="301"/>
      <c r="X480" s="302">
        <f>Z480/+Z406</f>
        <v>0.20085857296918808</v>
      </c>
      <c r="Y480" s="334"/>
      <c r="Z480" s="303">
        <f>SUM(Z468:Z479)</f>
        <v>443611.03750747012</v>
      </c>
      <c r="AA480" s="302">
        <f>AC480/+AC406</f>
        <v>0.20085857296918808</v>
      </c>
      <c r="AB480" s="334"/>
      <c r="AC480" s="303">
        <f>SUM(AC468:AC479)</f>
        <v>443611.03750747012</v>
      </c>
      <c r="AD480" s="302">
        <f>AF480/+AF406</f>
        <v>0.12588423027074019</v>
      </c>
      <c r="AE480" s="334"/>
      <c r="AF480" s="303">
        <f>SUM(AF468:AF479)</f>
        <v>276550.37</v>
      </c>
      <c r="AG480" s="312"/>
      <c r="AH480" s="306">
        <f t="shared" si="162"/>
        <v>-167060.66750747012</v>
      </c>
      <c r="AI480" s="302">
        <f>AH480/AC480</f>
        <v>-0.37659267552524983</v>
      </c>
      <c r="AJ480" s="355"/>
      <c r="AK480" s="356"/>
      <c r="AL480" s="303">
        <f>SUM(AL468:AL479)</f>
        <v>405132.58</v>
      </c>
      <c r="AM480" s="357"/>
      <c r="AN480" s="306">
        <f t="shared" si="163"/>
        <v>-128582.21000000002</v>
      </c>
      <c r="AO480" s="336">
        <f>IF(AL480=0,0,AN480/AL480)</f>
        <v>-0.31738304038643356</v>
      </c>
      <c r="AP480" s="250"/>
      <c r="AQ480" s="358"/>
      <c r="AR480" s="314"/>
      <c r="AS480" s="250"/>
      <c r="AT480" s="250"/>
      <c r="AU480" s="250"/>
      <c r="AV480" s="250"/>
      <c r="AW480" s="250"/>
      <c r="AX480" s="250"/>
      <c r="AY480" s="250"/>
      <c r="AZ480" s="250"/>
      <c r="BA480" s="250"/>
      <c r="BB480" s="250"/>
      <c r="BC480" s="250"/>
      <c r="BD480" s="250"/>
      <c r="BE480" s="250"/>
      <c r="BF480" s="250"/>
      <c r="BG480" s="250"/>
      <c r="BH480" s="250"/>
      <c r="BI480" s="250"/>
      <c r="BJ480" s="250"/>
    </row>
    <row r="481" spans="1:62" ht="15.75" customHeight="1" thickBot="1">
      <c r="A481" t="str">
        <f t="shared" si="135"/>
        <v/>
      </c>
      <c r="B481" s="7"/>
      <c r="C481" s="250"/>
      <c r="D481" s="250"/>
      <c r="E481" s="250"/>
      <c r="F481" s="250"/>
      <c r="G481" s="250"/>
      <c r="H481" s="250"/>
      <c r="I481" s="250"/>
      <c r="J481" s="250"/>
      <c r="K481" s="250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359"/>
      <c r="W481" s="360"/>
      <c r="X481" s="360"/>
      <c r="Y481" s="361"/>
      <c r="Z481" s="362">
        <f>+SUM(START:END!Z480)</f>
        <v>443611.03750747012</v>
      </c>
      <c r="AA481" s="360"/>
      <c r="AB481" s="363"/>
      <c r="AC481" s="362"/>
      <c r="AD481" s="360"/>
      <c r="AE481" s="363"/>
      <c r="AF481" s="364"/>
      <c r="AG481" s="365"/>
      <c r="AH481" s="366"/>
      <c r="AI481" s="367"/>
      <c r="AJ481" s="368"/>
      <c r="AK481" s="369"/>
      <c r="AL481" s="364"/>
      <c r="AM481" s="370"/>
      <c r="AN481" s="366">
        <f t="shared" si="163"/>
        <v>0</v>
      </c>
      <c r="AO481" s="371">
        <f t="shared" ref="AO481" si="166">IF(AL481=0,0,AN481/AL481)</f>
        <v>0</v>
      </c>
      <c r="AP481" s="250"/>
      <c r="AQ481" s="250"/>
      <c r="AR481" s="250"/>
      <c r="AS481" s="250"/>
      <c r="AT481" s="250"/>
      <c r="AU481" s="250"/>
      <c r="AV481" s="250"/>
      <c r="AW481" s="250"/>
      <c r="AX481" s="250"/>
      <c r="AY481" s="250"/>
      <c r="AZ481" s="250"/>
      <c r="BA481" s="250"/>
      <c r="BB481" s="250"/>
      <c r="BC481" s="250"/>
      <c r="BD481" s="250"/>
      <c r="BE481" s="250"/>
      <c r="BF481" s="250"/>
      <c r="BG481" s="250"/>
      <c r="BH481" s="250"/>
      <c r="BI481" s="250"/>
      <c r="BJ481" s="250"/>
    </row>
    <row r="482" spans="1:62" ht="15.75" customHeight="1" thickTop="1" thickBot="1">
      <c r="A482" t="str">
        <f t="shared" si="135"/>
        <v>BAIIA OPÉRATIONNEL</v>
      </c>
      <c r="B482" s="7"/>
      <c r="C482" s="250"/>
      <c r="D482" s="250"/>
      <c r="E482" s="250"/>
      <c r="F482" s="250"/>
      <c r="G482" s="250"/>
      <c r="H482" s="250"/>
      <c r="I482" s="250"/>
      <c r="J482" s="250"/>
      <c r="K482" s="250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372" t="s">
        <v>186</v>
      </c>
      <c r="W482" s="373"/>
      <c r="X482" s="374" t="s">
        <v>187</v>
      </c>
      <c r="Y482" s="375">
        <f>Z482/Z405</f>
        <v>4.7865155111356784E-2</v>
      </c>
      <c r="Z482" s="376">
        <f>Z406-Z467+Z480</f>
        <v>799210.11968449259</v>
      </c>
      <c r="AA482" s="374" t="s">
        <v>187</v>
      </c>
      <c r="AB482" s="375">
        <f>AC482/AC405</f>
        <v>4.7865155111356784E-2</v>
      </c>
      <c r="AC482" s="376">
        <f>AC406-AC467+AC480</f>
        <v>799210.11968449259</v>
      </c>
      <c r="AD482" s="374" t="s">
        <v>187</v>
      </c>
      <c r="AE482" s="375">
        <f>AF482/AF405</f>
        <v>4.5596989319816442E-2</v>
      </c>
      <c r="AF482" s="377">
        <f>AF406-AF467+AF480</f>
        <v>639346.23999999964</v>
      </c>
      <c r="AG482" s="378"/>
      <c r="AH482" s="378">
        <f>AF482-AC482</f>
        <v>-159863.87968449295</v>
      </c>
      <c r="AI482" s="379">
        <f>AH482/AC482</f>
        <v>-0.20002734668525352</v>
      </c>
      <c r="AJ482" s="380" t="s">
        <v>187</v>
      </c>
      <c r="AK482" s="375">
        <f>IF($AL$405=0,0,AL482/$AL$405)</f>
        <v>4.2865632364659817E-2</v>
      </c>
      <c r="AL482" s="377">
        <f>AL406-AL467+AL480</f>
        <v>730595.95000000019</v>
      </c>
      <c r="AM482" s="381"/>
      <c r="AN482" s="377">
        <f t="shared" si="163"/>
        <v>-91249.710000000545</v>
      </c>
      <c r="AO482" s="382">
        <f>IF(AL482=0,0,AN482/AL482)</f>
        <v>-0.12489764007041172</v>
      </c>
      <c r="AP482" s="250"/>
      <c r="AQ482" s="250"/>
      <c r="AR482" s="250"/>
      <c r="AS482" s="250"/>
      <c r="AT482" s="250"/>
      <c r="AU482" s="250"/>
      <c r="AV482" s="250"/>
      <c r="AW482" s="250"/>
      <c r="AX482" s="250"/>
      <c r="AY482" s="250"/>
      <c r="AZ482" s="250"/>
      <c r="BA482" s="250"/>
      <c r="BB482" s="250"/>
      <c r="BC482" s="250"/>
      <c r="BD482" s="250"/>
      <c r="BE482" s="250"/>
      <c r="BF482" s="250"/>
      <c r="BG482" s="250"/>
      <c r="BH482" s="250"/>
      <c r="BI482" s="250"/>
      <c r="BJ482" s="250"/>
    </row>
    <row r="483" spans="1:62" ht="15.75" customHeight="1" thickTop="1">
      <c r="A483" t="str">
        <f t="shared" si="135"/>
        <v/>
      </c>
      <c r="B483" s="7"/>
      <c r="C483" s="250"/>
      <c r="D483" s="250"/>
      <c r="E483" s="250"/>
      <c r="F483" s="250"/>
      <c r="G483" s="250"/>
      <c r="H483" s="250"/>
      <c r="I483" s="250"/>
      <c r="J483" s="250"/>
      <c r="K483" s="250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6"/>
      <c r="W483" s="6"/>
      <c r="X483" s="6"/>
      <c r="Y483" s="6"/>
      <c r="Z483" s="83">
        <f>+SUM(START:END!Z482)</f>
        <v>799210.11968449294</v>
      </c>
      <c r="AA483" s="14"/>
      <c r="AB483" s="14"/>
      <c r="AC483" s="83"/>
      <c r="AD483" s="14"/>
      <c r="AE483" s="14"/>
      <c r="AF483" s="383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0"/>
      <c r="AQ483" s="250"/>
      <c r="AR483" s="250"/>
      <c r="AS483" s="250"/>
      <c r="AT483" s="250"/>
      <c r="AU483" s="250"/>
      <c r="AV483" s="250"/>
      <c r="AW483" s="250"/>
      <c r="AX483" s="250"/>
      <c r="AY483" s="250"/>
      <c r="AZ483" s="250"/>
      <c r="BA483" s="250"/>
      <c r="BB483" s="250"/>
      <c r="BC483" s="250"/>
      <c r="BD483" s="250"/>
      <c r="BE483" s="250"/>
      <c r="BF483" s="250"/>
      <c r="BG483" s="250"/>
      <c r="BH483" s="250"/>
      <c r="BI483" s="250"/>
      <c r="BJ483" s="250"/>
    </row>
    <row r="484" spans="1:62" ht="35.25" customHeight="1">
      <c r="A484" t="str">
        <f t="shared" ref="A484:A498" si="167">+U484&amp;V484</f>
        <v>Conso</v>
      </c>
      <c r="B484" s="7"/>
      <c r="C484" s="250"/>
      <c r="D484" s="250"/>
      <c r="E484" s="250"/>
      <c r="F484" s="250"/>
      <c r="G484" s="250"/>
      <c r="H484" s="250"/>
      <c r="I484" s="250"/>
      <c r="J484" s="250"/>
      <c r="K484" s="250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6" t="str">
        <f>C1</f>
        <v>Conso</v>
      </c>
      <c r="W484" s="6"/>
      <c r="X484" s="6"/>
      <c r="Y484" s="6"/>
      <c r="Z484" s="1"/>
      <c r="AA484" s="1"/>
      <c r="AB484" s="6"/>
      <c r="AC484" s="6"/>
      <c r="AD484" s="1"/>
      <c r="AE484" s="3" t="s">
        <v>188</v>
      </c>
      <c r="AF484" s="6"/>
      <c r="AG484" s="6"/>
      <c r="AH484" s="1"/>
      <c r="AI484" s="1"/>
      <c r="AJ484" s="259"/>
      <c r="AK484" s="2"/>
      <c r="AL484" s="1"/>
      <c r="AM484" s="6"/>
      <c r="AN484" s="6"/>
      <c r="AO484" s="5" t="str">
        <f>$S$1</f>
        <v>Réalisé  Volks T2 2022</v>
      </c>
      <c r="AP484" s="250"/>
      <c r="AQ484" s="250"/>
      <c r="AR484" s="250"/>
      <c r="AS484" s="250"/>
      <c r="AT484" s="250"/>
      <c r="AU484" s="250"/>
      <c r="AV484" s="250"/>
      <c r="AW484" s="250"/>
      <c r="AX484" s="250"/>
      <c r="AY484" s="250"/>
      <c r="AZ484" s="250"/>
      <c r="BA484" s="250"/>
      <c r="BB484" s="250"/>
      <c r="BC484" s="250"/>
      <c r="BD484" s="250"/>
      <c r="BE484" s="250"/>
      <c r="BF484" s="250"/>
      <c r="BG484" s="250"/>
      <c r="BH484" s="250"/>
      <c r="BI484" s="250"/>
      <c r="BJ484" s="250"/>
    </row>
    <row r="485" spans="1:62" ht="15.75" customHeight="1">
      <c r="A485" t="str">
        <f t="shared" si="167"/>
        <v/>
      </c>
      <c r="B485" s="7"/>
      <c r="C485" s="250"/>
      <c r="D485" s="250"/>
      <c r="E485" s="250"/>
      <c r="F485" s="250"/>
      <c r="G485" s="250"/>
      <c r="H485" s="250"/>
      <c r="I485" s="250"/>
      <c r="J485" s="250"/>
      <c r="K485" s="250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83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0"/>
      <c r="AQ485" s="250"/>
      <c r="AR485" s="250"/>
      <c r="AS485" s="250"/>
      <c r="AT485" s="250"/>
      <c r="AU485" s="250"/>
      <c r="AV485" s="250"/>
      <c r="AW485" s="250"/>
      <c r="AX485" s="250"/>
      <c r="AY485" s="250"/>
      <c r="AZ485" s="250"/>
      <c r="BA485" s="250"/>
      <c r="BB485" s="250"/>
      <c r="BC485" s="250"/>
      <c r="BD485" s="250"/>
      <c r="BE485" s="250"/>
      <c r="BF485" s="250"/>
      <c r="BG485" s="250"/>
      <c r="BH485" s="250"/>
      <c r="BI485" s="250"/>
      <c r="BJ485" s="250"/>
    </row>
    <row r="486" spans="1:62" ht="15.75" customHeight="1">
      <c r="A486" t="str">
        <f t="shared" si="167"/>
        <v/>
      </c>
      <c r="B486" s="7"/>
      <c r="C486" s="250"/>
      <c r="D486" s="250"/>
      <c r="E486" s="250"/>
      <c r="F486" s="250"/>
      <c r="G486" s="250"/>
      <c r="H486" s="250"/>
      <c r="I486" s="250"/>
      <c r="J486" s="250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83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0"/>
      <c r="AQ486" s="250"/>
      <c r="AR486" s="250"/>
      <c r="AS486" s="250"/>
      <c r="AT486" s="250"/>
      <c r="AU486" s="250"/>
      <c r="AV486" s="250"/>
      <c r="AW486" s="250"/>
      <c r="AX486" s="250"/>
      <c r="AY486" s="250"/>
      <c r="AZ486" s="250"/>
      <c r="BA486" s="250"/>
      <c r="BB486" s="250"/>
      <c r="BC486" s="250"/>
      <c r="BD486" s="250"/>
      <c r="BE486" s="250"/>
      <c r="BF486" s="250"/>
      <c r="BG486" s="250"/>
      <c r="BH486" s="250"/>
      <c r="BI486" s="250"/>
      <c r="BJ486" s="250"/>
    </row>
    <row r="487" spans="1:62" ht="15.75" customHeight="1" thickBot="1">
      <c r="A487" t="str">
        <f t="shared" si="167"/>
        <v/>
      </c>
      <c r="B487" s="7"/>
      <c r="C487" s="250"/>
      <c r="D487" s="250"/>
      <c r="E487" s="250"/>
      <c r="F487" s="250"/>
      <c r="G487" s="250"/>
      <c r="H487" s="250"/>
      <c r="I487" s="250"/>
      <c r="J487" s="250"/>
      <c r="K487" s="250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83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0"/>
      <c r="AQ487" s="250"/>
      <c r="AR487" s="250"/>
      <c r="AS487" s="250"/>
      <c r="AT487" s="250"/>
      <c r="AU487" s="250"/>
      <c r="AV487" s="250"/>
      <c r="AW487" s="250"/>
      <c r="AX487" s="250"/>
      <c r="AY487" s="250"/>
      <c r="AZ487" s="250"/>
      <c r="BA487" s="250"/>
      <c r="BB487" s="250"/>
      <c r="BC487" s="250"/>
      <c r="BD487" s="250"/>
      <c r="BE487" s="250"/>
      <c r="BF487" s="250"/>
      <c r="BG487" s="250"/>
      <c r="BH487" s="250"/>
      <c r="BI487" s="250"/>
      <c r="BJ487" s="250"/>
    </row>
    <row r="488" spans="1:62" ht="15.75" customHeight="1" thickTop="1" thickBot="1">
      <c r="A488" t="str">
        <f t="shared" si="167"/>
        <v>BAIIA OPÉRATIONNEL</v>
      </c>
      <c r="B488" s="7"/>
      <c r="C488" s="250"/>
      <c r="D488" s="250"/>
      <c r="E488" s="250"/>
      <c r="F488" s="250"/>
      <c r="G488" s="250"/>
      <c r="H488" s="250"/>
      <c r="I488" s="250"/>
      <c r="J488" s="250"/>
      <c r="K488" s="250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384" t="s">
        <v>186</v>
      </c>
      <c r="W488" s="385"/>
      <c r="X488" s="386" t="s">
        <v>187</v>
      </c>
      <c r="Y488" s="387">
        <f>Z488/Z405</f>
        <v>4.7865155111356784E-2</v>
      </c>
      <c r="Z488" s="388">
        <f>Z482</f>
        <v>799210.11968449259</v>
      </c>
      <c r="AA488" s="386" t="s">
        <v>187</v>
      </c>
      <c r="AB488" s="387">
        <f>AC488/AC405</f>
        <v>4.7865155111356784E-2</v>
      </c>
      <c r="AC488" s="388">
        <f>AC482</f>
        <v>799210.11968449259</v>
      </c>
      <c r="AD488" s="386" t="s">
        <v>187</v>
      </c>
      <c r="AE488" s="387">
        <f>AF488/AF405</f>
        <v>4.5596989319816442E-2</v>
      </c>
      <c r="AF488" s="388">
        <f>AF482</f>
        <v>639346.23999999964</v>
      </c>
      <c r="AG488" s="389"/>
      <c r="AH488" s="378">
        <f>AF488-AC488</f>
        <v>-159863.87968449295</v>
      </c>
      <c r="AI488" s="379">
        <f>AH488/AC488</f>
        <v>-0.20002734668525352</v>
      </c>
      <c r="AJ488" s="386" t="s">
        <v>187</v>
      </c>
      <c r="AK488" s="387">
        <f>IF($AL$405=0,0,AL488/$AL$405)</f>
        <v>4.2865632364659817E-2</v>
      </c>
      <c r="AL488" s="390">
        <f>AL482</f>
        <v>730595.95000000019</v>
      </c>
      <c r="AM488" s="391"/>
      <c r="AN488" s="392">
        <f>AF488-AL488</f>
        <v>-91249.710000000545</v>
      </c>
      <c r="AO488" s="393">
        <f>IF(AL488=0,0,AN488/AL488)</f>
        <v>-0.12489764007041172</v>
      </c>
      <c r="AP488" s="250"/>
      <c r="AQ488" s="250"/>
      <c r="AR488" s="250"/>
      <c r="AS488" s="250"/>
      <c r="AT488" s="250"/>
      <c r="AU488" s="250"/>
      <c r="AV488" s="250"/>
      <c r="AW488" s="250"/>
      <c r="AX488" s="250"/>
      <c r="AY488" s="250"/>
      <c r="AZ488" s="250"/>
      <c r="BA488" s="250"/>
      <c r="BB488" s="250"/>
      <c r="BC488" s="250"/>
      <c r="BD488" s="250"/>
      <c r="BE488" s="250"/>
      <c r="BF488" s="250"/>
      <c r="BG488" s="250"/>
      <c r="BH488" s="250"/>
      <c r="BI488" s="250"/>
      <c r="BJ488" s="250"/>
    </row>
    <row r="489" spans="1:62" ht="15.75" customHeight="1" thickTop="1">
      <c r="A489" t="str">
        <f t="shared" si="167"/>
        <v/>
      </c>
      <c r="B489" s="7"/>
      <c r="C489" s="250"/>
      <c r="D489" s="250"/>
      <c r="E489" s="250"/>
      <c r="F489" s="314"/>
      <c r="G489" s="250"/>
      <c r="H489" s="250"/>
      <c r="I489" s="314"/>
      <c r="J489" s="250"/>
      <c r="K489" s="250"/>
      <c r="L489" s="250"/>
      <c r="M489" s="314"/>
      <c r="N489" s="250"/>
      <c r="O489" s="250"/>
      <c r="P489" s="250"/>
      <c r="Q489" s="314"/>
      <c r="R489" s="314"/>
      <c r="S489" s="314"/>
      <c r="T489" s="339"/>
      <c r="U489" s="339"/>
      <c r="V489" s="394"/>
      <c r="W489" s="250"/>
      <c r="X489" s="250"/>
      <c r="Y489" s="250"/>
      <c r="Z489" s="395"/>
      <c r="AA489" s="250"/>
      <c r="AB489" s="250"/>
      <c r="AC489" s="396"/>
      <c r="AD489" s="250"/>
      <c r="AE489" s="250"/>
      <c r="AF489" s="396">
        <f>+SUM(START:END!AF489)</f>
        <v>0</v>
      </c>
      <c r="AG489" s="250"/>
      <c r="AH489" s="250"/>
      <c r="AI489" s="396"/>
      <c r="AJ489" s="250"/>
      <c r="AK489" s="250"/>
      <c r="AL489" s="397"/>
      <c r="AM489" s="398"/>
      <c r="AN489" s="250"/>
      <c r="AO489" s="399"/>
      <c r="AP489" s="250"/>
      <c r="AQ489" s="250"/>
      <c r="AR489" s="250"/>
      <c r="AS489" s="250"/>
      <c r="AT489" s="250"/>
      <c r="AU489" s="250"/>
      <c r="AV489" s="250"/>
      <c r="AW489" s="250"/>
      <c r="AX489" s="250"/>
      <c r="AY489" s="250"/>
      <c r="AZ489" s="250"/>
      <c r="BA489" s="250"/>
      <c r="BB489" s="250"/>
      <c r="BC489" s="250"/>
      <c r="BD489" s="250"/>
      <c r="BE489" s="250"/>
      <c r="BF489" s="250"/>
      <c r="BG489" s="250"/>
      <c r="BH489" s="250"/>
      <c r="BI489" s="250"/>
      <c r="BJ489" s="250"/>
    </row>
    <row r="490" spans="1:62" ht="15.75" customHeight="1">
      <c r="A490" t="str">
        <f t="shared" si="167"/>
        <v>Amortissement</v>
      </c>
      <c r="B490" s="7"/>
      <c r="C490" s="250"/>
      <c r="D490" s="250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105" t="s">
        <v>189</v>
      </c>
      <c r="W490" s="290"/>
      <c r="X490" s="283"/>
      <c r="Y490" s="291"/>
      <c r="Z490" s="284">
        <f>+SUM(START:END!Z490)</f>
        <v>22404.75</v>
      </c>
      <c r="AA490" s="283"/>
      <c r="AB490" s="291"/>
      <c r="AC490" s="284">
        <f>+SUM(START:END!AC490)</f>
        <v>22404.75</v>
      </c>
      <c r="AD490" s="283"/>
      <c r="AE490" s="291"/>
      <c r="AF490" s="284">
        <f>+SUM(START:END!AF490)</f>
        <v>12943.5</v>
      </c>
      <c r="AG490" s="283"/>
      <c r="AH490" s="286">
        <f t="shared" ref="AH490:AH496" si="168">AF490-AC490</f>
        <v>-9461.25</v>
      </c>
      <c r="AI490" s="310">
        <f>IF(AC490=0,0,AH490/AC490)</f>
        <v>-0.42228768453118198</v>
      </c>
      <c r="AJ490" s="283"/>
      <c r="AK490" s="283"/>
      <c r="AL490" s="284">
        <f>+SUM(START:END!AL490)</f>
        <v>-19435</v>
      </c>
      <c r="AM490" s="288"/>
      <c r="AN490" s="286">
        <f t="shared" ref="AN490:AN496" si="169">AF490-AL490</f>
        <v>32378.5</v>
      </c>
      <c r="AO490" s="293">
        <f>IF(AL490=0,0,AN490/AL490)</f>
        <v>-1.6659891947517365</v>
      </c>
      <c r="AP490" s="250"/>
      <c r="AQ490" s="250"/>
      <c r="AR490" s="250"/>
      <c r="AS490" s="250"/>
      <c r="AT490" s="250"/>
      <c r="AU490" s="250"/>
      <c r="AV490" s="250"/>
      <c r="AW490" s="250"/>
      <c r="AX490" s="250"/>
      <c r="AY490" s="250"/>
      <c r="AZ490" s="250"/>
      <c r="BA490" s="250"/>
      <c r="BB490" s="250"/>
      <c r="BC490" s="250"/>
      <c r="BD490" s="250"/>
      <c r="BE490" s="250"/>
      <c r="BF490" s="250"/>
      <c r="BG490" s="250"/>
      <c r="BH490" s="250"/>
      <c r="BI490" s="250"/>
      <c r="BJ490" s="250"/>
    </row>
    <row r="491" spans="1:62" ht="15.75" customHeight="1">
      <c r="A491" t="str">
        <f t="shared" si="167"/>
        <v>Intérêts sur marge</v>
      </c>
      <c r="B491" s="7"/>
      <c r="C491" s="250"/>
      <c r="D491" s="250"/>
      <c r="E491" s="250"/>
      <c r="F491" s="314"/>
      <c r="G491" s="250"/>
      <c r="H491" s="250"/>
      <c r="I491" s="314"/>
      <c r="J491" s="250"/>
      <c r="K491" s="250"/>
      <c r="L491" s="250"/>
      <c r="M491" s="314"/>
      <c r="N491" s="250"/>
      <c r="O491" s="250"/>
      <c r="P491" s="250"/>
      <c r="Q491" s="314"/>
      <c r="R491" s="314"/>
      <c r="S491" s="314"/>
      <c r="T491" s="250"/>
      <c r="U491" s="250"/>
      <c r="V491" s="105" t="s">
        <v>190</v>
      </c>
      <c r="W491" s="11"/>
      <c r="X491" s="11"/>
      <c r="Y491" s="11"/>
      <c r="Z491" s="284">
        <f>+SUM(START:END!Z491)</f>
        <v>0</v>
      </c>
      <c r="AA491" s="11"/>
      <c r="AB491" s="11"/>
      <c r="AC491" s="284">
        <f>+SUM(START:END!AC491)</f>
        <v>0</v>
      </c>
      <c r="AD491" s="11"/>
      <c r="AE491" s="14"/>
      <c r="AF491" s="284">
        <f>+SUM(START:END!AF491)</f>
        <v>0</v>
      </c>
      <c r="AG491" s="11"/>
      <c r="AH491" s="286">
        <f t="shared" si="168"/>
        <v>0</v>
      </c>
      <c r="AI491" s="310">
        <f t="shared" ref="AI491:AI496" si="170">IF(AC491=0,0,AH491/AC491)</f>
        <v>0</v>
      </c>
      <c r="AJ491" s="11"/>
      <c r="AK491" s="11"/>
      <c r="AL491" s="284">
        <f>+SUM(START:END!AL491)</f>
        <v>-1509.45</v>
      </c>
      <c r="AM491" s="400"/>
      <c r="AN491" s="286">
        <f t="shared" si="169"/>
        <v>1509.45</v>
      </c>
      <c r="AO491" s="293">
        <f t="shared" ref="AO491:AO496" si="171">IF(AL491=0,0,AN491/AL491)</f>
        <v>-1</v>
      </c>
      <c r="AP491" s="250"/>
      <c r="AQ491" s="250"/>
      <c r="AR491" s="250"/>
      <c r="AS491" s="250"/>
      <c r="AT491" s="250"/>
      <c r="AU491" s="250"/>
      <c r="AV491" s="250"/>
      <c r="AW491" s="250"/>
      <c r="AX491" s="250"/>
      <c r="AY491" s="250"/>
      <c r="AZ491" s="250"/>
      <c r="BA491" s="250"/>
      <c r="BB491" s="250"/>
      <c r="BC491" s="250"/>
      <c r="BD491" s="250"/>
      <c r="BE491" s="250"/>
      <c r="BF491" s="250"/>
      <c r="BG491" s="250"/>
      <c r="BH491" s="250"/>
      <c r="BI491" s="250"/>
      <c r="BJ491" s="250"/>
    </row>
    <row r="492" spans="1:62" ht="15.75" customHeight="1">
      <c r="A492" t="str">
        <f t="shared" si="167"/>
        <v>Intérêts sur prêt</v>
      </c>
      <c r="B492" s="7"/>
      <c r="C492" s="250"/>
      <c r="D492" s="250"/>
      <c r="E492" s="250"/>
      <c r="F492" s="314"/>
      <c r="G492" s="250"/>
      <c r="H492" s="250"/>
      <c r="I492" s="314"/>
      <c r="J492" s="250"/>
      <c r="K492" s="250"/>
      <c r="L492" s="250"/>
      <c r="M492" s="314"/>
      <c r="N492" s="250"/>
      <c r="O492" s="250"/>
      <c r="P492" s="250"/>
      <c r="Q492" s="314"/>
      <c r="R492" s="314"/>
      <c r="S492" s="314"/>
      <c r="T492" s="250"/>
      <c r="U492" s="250"/>
      <c r="V492" s="105" t="s">
        <v>191</v>
      </c>
      <c r="W492" s="14"/>
      <c r="X492" s="14"/>
      <c r="Y492" s="14"/>
      <c r="Z492" s="284">
        <f>+SUM(START:END!Z492)</f>
        <v>1296.6300000000001</v>
      </c>
      <c r="AA492" s="11"/>
      <c r="AB492" s="11"/>
      <c r="AC492" s="284">
        <f>+SUM(START:END!AC492)</f>
        <v>1296.6300000000001</v>
      </c>
      <c r="AD492" s="11"/>
      <c r="AE492" s="14"/>
      <c r="AF492" s="284">
        <f>+SUM(START:END!AF492)</f>
        <v>1280.3700000000001</v>
      </c>
      <c r="AG492" s="11"/>
      <c r="AH492" s="286">
        <f t="shared" si="168"/>
        <v>-16.259999999999991</v>
      </c>
      <c r="AI492" s="310">
        <f t="shared" si="170"/>
        <v>-1.2540200365563029E-2</v>
      </c>
      <c r="AJ492" s="11"/>
      <c r="AK492" s="11"/>
      <c r="AL492" s="284">
        <f>+SUM(START:END!AL492)</f>
        <v>1711.7699999999998</v>
      </c>
      <c r="AM492" s="400"/>
      <c r="AN492" s="286">
        <f t="shared" si="169"/>
        <v>-431.39999999999964</v>
      </c>
      <c r="AO492" s="293">
        <f t="shared" si="171"/>
        <v>-0.25201983911389947</v>
      </c>
      <c r="AP492" s="250"/>
      <c r="AQ492" s="250"/>
      <c r="AR492" s="250"/>
      <c r="AS492" s="250"/>
      <c r="AT492" s="250"/>
      <c r="AU492" s="250"/>
      <c r="AV492" s="250"/>
      <c r="AW492" s="250"/>
      <c r="AX492" s="250"/>
      <c r="AY492" s="250"/>
      <c r="AZ492" s="250"/>
      <c r="BA492" s="250"/>
      <c r="BB492" s="250"/>
      <c r="BC492" s="250"/>
      <c r="BD492" s="250"/>
      <c r="BE492" s="250"/>
      <c r="BF492" s="250"/>
      <c r="BG492" s="250"/>
      <c r="BH492" s="250"/>
      <c r="BI492" s="250"/>
      <c r="BJ492" s="250"/>
    </row>
    <row r="493" spans="1:62" ht="15.75" customHeight="1">
      <c r="A493" t="str">
        <f t="shared" si="167"/>
        <v>Intérêts sur avance</v>
      </c>
      <c r="B493" s="7"/>
      <c r="C493" s="250"/>
      <c r="D493" s="250"/>
      <c r="E493" s="250"/>
      <c r="F493" s="314"/>
      <c r="G493" s="250"/>
      <c r="H493" s="250"/>
      <c r="I493" s="314"/>
      <c r="J493" s="250"/>
      <c r="K493" s="250"/>
      <c r="L493" s="250"/>
      <c r="M493" s="314"/>
      <c r="N493" s="250"/>
      <c r="O493" s="250"/>
      <c r="P493" s="250"/>
      <c r="Q493" s="314"/>
      <c r="R493" s="314"/>
      <c r="S493" s="314"/>
      <c r="T493" s="250"/>
      <c r="U493" s="250"/>
      <c r="V493" s="105" t="s">
        <v>192</v>
      </c>
      <c r="W493" s="14"/>
      <c r="X493" s="14"/>
      <c r="Y493" s="14"/>
      <c r="Z493" s="284">
        <f>+SUM(START:END!Z493)</f>
        <v>0</v>
      </c>
      <c r="AA493" s="11"/>
      <c r="AB493" s="11"/>
      <c r="AC493" s="284">
        <f>+SUM(START:END!AC493)</f>
        <v>0</v>
      </c>
      <c r="AD493" s="11"/>
      <c r="AE493" s="14"/>
      <c r="AF493" s="284">
        <f>+SUM(START:END!AF493)</f>
        <v>0</v>
      </c>
      <c r="AG493" s="11"/>
      <c r="AH493" s="286">
        <f t="shared" si="168"/>
        <v>0</v>
      </c>
      <c r="AI493" s="310">
        <f t="shared" si="170"/>
        <v>0</v>
      </c>
      <c r="AJ493" s="11"/>
      <c r="AK493" s="11"/>
      <c r="AL493" s="284">
        <f>+SUM(START:END!AL493)</f>
        <v>0</v>
      </c>
      <c r="AM493" s="400"/>
      <c r="AN493" s="286">
        <f t="shared" si="169"/>
        <v>0</v>
      </c>
      <c r="AO493" s="293">
        <f t="shared" si="171"/>
        <v>0</v>
      </c>
      <c r="AP493" s="250"/>
      <c r="AQ493" s="250"/>
      <c r="AR493" s="250"/>
      <c r="AS493" s="250"/>
      <c r="AT493" s="250"/>
      <c r="AU493" s="250"/>
      <c r="AV493" s="250"/>
      <c r="AW493" s="250"/>
      <c r="AX493" s="250"/>
      <c r="AY493" s="250"/>
      <c r="AZ493" s="250"/>
      <c r="BA493" s="250"/>
      <c r="BB493" s="250"/>
      <c r="BC493" s="250"/>
      <c r="BD493" s="250"/>
      <c r="BE493" s="250"/>
      <c r="BF493" s="250"/>
      <c r="BG493" s="250"/>
      <c r="BH493" s="250"/>
      <c r="BI493" s="250"/>
      <c r="BJ493" s="250"/>
    </row>
    <row r="494" spans="1:62" ht="15.75" customHeight="1" thickBot="1">
      <c r="A494" t="str">
        <f t="shared" si="167"/>
        <v>Intérêts sur hypothèque</v>
      </c>
      <c r="B494" s="7"/>
      <c r="C494" s="250"/>
      <c r="D494" s="250"/>
      <c r="E494" s="250"/>
      <c r="F494" s="314"/>
      <c r="G494" s="250"/>
      <c r="H494" s="250"/>
      <c r="I494" s="314"/>
      <c r="J494" s="250"/>
      <c r="K494" s="250"/>
      <c r="L494" s="250"/>
      <c r="M494" s="314"/>
      <c r="N494" s="250"/>
      <c r="O494" s="250"/>
      <c r="P494" s="250"/>
      <c r="Q494" s="314"/>
      <c r="R494" s="314"/>
      <c r="S494" s="314"/>
      <c r="T494" s="250"/>
      <c r="U494" s="250"/>
      <c r="V494" s="105" t="s">
        <v>193</v>
      </c>
      <c r="W494" s="14"/>
      <c r="X494" s="14"/>
      <c r="Y494" s="14"/>
      <c r="Z494" s="284">
        <f>+SUM(START:END!Z494)</f>
        <v>0</v>
      </c>
      <c r="AA494" s="11"/>
      <c r="AB494" s="11"/>
      <c r="AC494" s="284">
        <f>+SUM(START:END!AC494)</f>
        <v>0</v>
      </c>
      <c r="AD494" s="11"/>
      <c r="AE494" s="14"/>
      <c r="AF494" s="284">
        <f>+SUM(START:END!AF494)</f>
        <v>0</v>
      </c>
      <c r="AG494" s="11"/>
      <c r="AH494" s="286">
        <f t="shared" si="168"/>
        <v>0</v>
      </c>
      <c r="AI494" s="310">
        <f t="shared" si="170"/>
        <v>0</v>
      </c>
      <c r="AJ494" s="11"/>
      <c r="AK494" s="11"/>
      <c r="AL494" s="284">
        <f>+SUM(START:END!AL494)</f>
        <v>0</v>
      </c>
      <c r="AM494" s="400"/>
      <c r="AN494" s="286">
        <f t="shared" si="169"/>
        <v>0</v>
      </c>
      <c r="AO494" s="293">
        <f t="shared" si="171"/>
        <v>0</v>
      </c>
      <c r="AP494" s="250"/>
      <c r="AQ494" s="250"/>
      <c r="AR494" s="250"/>
      <c r="AS494" s="250"/>
      <c r="AT494" s="250"/>
      <c r="AU494" s="250"/>
      <c r="AV494" s="250"/>
      <c r="AW494" s="250"/>
      <c r="AX494" s="250"/>
      <c r="AY494" s="250"/>
      <c r="AZ494" s="250"/>
      <c r="BA494" s="250"/>
      <c r="BB494" s="250"/>
      <c r="BC494" s="250"/>
      <c r="BD494" s="250"/>
      <c r="BE494" s="250"/>
      <c r="BF494" s="250"/>
      <c r="BG494" s="250"/>
      <c r="BH494" s="250"/>
      <c r="BI494" s="250"/>
      <c r="BJ494" s="250"/>
    </row>
    <row r="495" spans="1:62" ht="15.75" hidden="1" customHeight="1">
      <c r="A495" t="str">
        <f t="shared" si="167"/>
        <v>[...]</v>
      </c>
      <c r="B495" s="7"/>
      <c r="C495" s="250"/>
      <c r="D495" s="250"/>
      <c r="E495" s="250"/>
      <c r="F495" s="314"/>
      <c r="G495" s="250"/>
      <c r="H495" s="250"/>
      <c r="I495" s="314"/>
      <c r="J495" s="250"/>
      <c r="K495" s="250"/>
      <c r="L495" s="250"/>
      <c r="M495" s="314"/>
      <c r="N495" s="250"/>
      <c r="O495" s="250"/>
      <c r="P495" s="250"/>
      <c r="Q495" s="314"/>
      <c r="R495" s="314"/>
      <c r="S495" s="314"/>
      <c r="T495" s="250"/>
      <c r="U495" s="250"/>
      <c r="V495" s="105" t="s">
        <v>21</v>
      </c>
      <c r="W495" s="14"/>
      <c r="X495" s="14"/>
      <c r="Y495" s="14"/>
      <c r="Z495" s="284">
        <f>+SUM(START:END!Z495)</f>
        <v>0</v>
      </c>
      <c r="AA495" s="11"/>
      <c r="AB495" s="11"/>
      <c r="AC495" s="284">
        <f>+SUM(START:END!AC495)</f>
        <v>0</v>
      </c>
      <c r="AD495" s="11"/>
      <c r="AE495" s="14"/>
      <c r="AF495" s="284">
        <f>+SUM(START:END!AF495)</f>
        <v>0</v>
      </c>
      <c r="AG495" s="11"/>
      <c r="AH495" s="286">
        <f t="shared" si="168"/>
        <v>0</v>
      </c>
      <c r="AI495" s="310">
        <f t="shared" si="170"/>
        <v>0</v>
      </c>
      <c r="AJ495" s="11"/>
      <c r="AK495" s="11"/>
      <c r="AL495" s="284">
        <f>+SUM(START:END!AL495)</f>
        <v>0</v>
      </c>
      <c r="AM495" s="400"/>
      <c r="AN495" s="286">
        <f t="shared" si="169"/>
        <v>0</v>
      </c>
      <c r="AO495" s="293">
        <f t="shared" si="171"/>
        <v>0</v>
      </c>
      <c r="AP495" s="250"/>
      <c r="AQ495" s="250"/>
      <c r="AR495" s="250"/>
      <c r="AS495" s="250"/>
      <c r="AT495" s="250"/>
      <c r="AU495" s="250"/>
      <c r="AV495" s="250"/>
      <c r="AW495" s="250"/>
      <c r="AX495" s="250"/>
      <c r="AY495" s="250"/>
      <c r="AZ495" s="250"/>
      <c r="BA495" s="250"/>
      <c r="BB495" s="250"/>
      <c r="BC495" s="250"/>
      <c r="BD495" s="250"/>
      <c r="BE495" s="250"/>
      <c r="BF495" s="250"/>
      <c r="BG495" s="250"/>
      <c r="BH495" s="250"/>
      <c r="BI495" s="250"/>
      <c r="BJ495" s="250"/>
    </row>
    <row r="496" spans="1:62" ht="15.75" hidden="1" customHeight="1" thickBot="1">
      <c r="A496" t="str">
        <f t="shared" si="167"/>
        <v>[...]</v>
      </c>
      <c r="B496" s="7"/>
      <c r="C496" s="250"/>
      <c r="D496" s="250"/>
      <c r="E496" s="250"/>
      <c r="F496" s="314"/>
      <c r="G496" s="250"/>
      <c r="H496" s="250"/>
      <c r="I496" s="314"/>
      <c r="J496" s="250"/>
      <c r="K496" s="250"/>
      <c r="L496" s="250"/>
      <c r="M496" s="314"/>
      <c r="N496" s="250"/>
      <c r="O496" s="250"/>
      <c r="P496" s="250"/>
      <c r="Q496" s="314"/>
      <c r="R496" s="314"/>
      <c r="S496" s="314"/>
      <c r="T496" s="250"/>
      <c r="U496" s="250"/>
      <c r="V496" s="105" t="s">
        <v>21</v>
      </c>
      <c r="W496" s="14"/>
      <c r="X496" s="250"/>
      <c r="Y496" s="14"/>
      <c r="Z496" s="284">
        <f>+SUM(START:END!Z496)</f>
        <v>0</v>
      </c>
      <c r="AA496" s="11"/>
      <c r="AB496" s="11"/>
      <c r="AC496" s="284">
        <f>+SUM(START:END!AC496)</f>
        <v>0</v>
      </c>
      <c r="AD496" s="11"/>
      <c r="AE496" s="14"/>
      <c r="AF496" s="284">
        <f>+SUM(START:END!AF496)</f>
        <v>0</v>
      </c>
      <c r="AG496" s="11"/>
      <c r="AH496" s="286">
        <f t="shared" si="168"/>
        <v>0</v>
      </c>
      <c r="AI496" s="310">
        <f t="shared" si="170"/>
        <v>0</v>
      </c>
      <c r="AJ496" s="11"/>
      <c r="AK496" s="11"/>
      <c r="AL496" s="284">
        <f>+SUM(START:END!AL496)</f>
        <v>0</v>
      </c>
      <c r="AM496" s="400"/>
      <c r="AN496" s="286">
        <f t="shared" si="169"/>
        <v>0</v>
      </c>
      <c r="AO496" s="293">
        <f t="shared" si="171"/>
        <v>0</v>
      </c>
      <c r="AP496" s="250"/>
      <c r="AQ496" s="250"/>
      <c r="AR496" s="250"/>
      <c r="AS496" s="250"/>
      <c r="AT496" s="250"/>
      <c r="AU496" s="250"/>
      <c r="AV496" s="250"/>
      <c r="AW496" s="250"/>
      <c r="AX496" s="250"/>
      <c r="AY496" s="250"/>
      <c r="AZ496" s="250"/>
      <c r="BA496" s="250"/>
      <c r="BB496" s="250"/>
      <c r="BC496" s="250"/>
      <c r="BD496" s="250"/>
      <c r="BE496" s="250"/>
      <c r="BF496" s="250"/>
      <c r="BG496" s="250"/>
      <c r="BH496" s="250"/>
      <c r="BI496" s="250"/>
      <c r="BJ496" s="250"/>
    </row>
    <row r="497" spans="1:62" ht="15.75" customHeight="1" thickTop="1" thickBot="1">
      <c r="A497" t="str">
        <f t="shared" si="167"/>
        <v>Profit Net</v>
      </c>
      <c r="B497" s="7"/>
      <c r="C497" s="250"/>
      <c r="D497" s="250"/>
      <c r="E497" s="250"/>
      <c r="F497" s="314"/>
      <c r="G497" s="250"/>
      <c r="H497" s="250"/>
      <c r="I497" s="314"/>
      <c r="J497" s="250"/>
      <c r="K497" s="250"/>
      <c r="L497" s="250"/>
      <c r="M497" s="314"/>
      <c r="N497" s="250"/>
      <c r="O497" s="250"/>
      <c r="P497" s="250"/>
      <c r="Q497" s="314"/>
      <c r="R497" s="314"/>
      <c r="S497" s="314"/>
      <c r="T497" s="250"/>
      <c r="U497" s="250"/>
      <c r="V497" s="372" t="s">
        <v>194</v>
      </c>
      <c r="W497" s="373"/>
      <c r="X497" s="374" t="s">
        <v>187</v>
      </c>
      <c r="Y497" s="375">
        <f>Z497/Z405</f>
        <v>4.6445665790449446E-2</v>
      </c>
      <c r="Z497" s="376">
        <f>Z488-Z490-Z491-Z492-Z496-Z493-Z494</f>
        <v>775508.73968449258</v>
      </c>
      <c r="AA497" s="374" t="s">
        <v>187</v>
      </c>
      <c r="AB497" s="375">
        <f>AC497/AC405</f>
        <v>4.6445665790449446E-2</v>
      </c>
      <c r="AC497" s="376">
        <f>AC488-AC490-AC491-AC492-AC496-AC493-AC494</f>
        <v>775508.73968449258</v>
      </c>
      <c r="AD497" s="374" t="s">
        <v>187</v>
      </c>
      <c r="AE497" s="375">
        <f>AF497/AF405</f>
        <v>4.4582569263984947E-2</v>
      </c>
      <c r="AF497" s="377">
        <f>AF488-AF490-AF491-AF492-AF496-AF493-AF494</f>
        <v>625122.36999999965</v>
      </c>
      <c r="AG497" s="378"/>
      <c r="AH497" s="378">
        <f>AH488-AH490-AH491-AH492-AH496-AH493-AH494</f>
        <v>-150386.36968449294</v>
      </c>
      <c r="AI497" s="379">
        <f>AH497/AC497</f>
        <v>-0.19391963235085657</v>
      </c>
      <c r="AJ497" s="380" t="s">
        <v>187</v>
      </c>
      <c r="AK497" s="375">
        <f>IF($AL$405=0,0,AL497/$AL$405)</f>
        <v>4.399405497673034E-2</v>
      </c>
      <c r="AL497" s="377">
        <f>AL488-AL490-AL491-AL492-AL496-AL493-AL494</f>
        <v>749828.63000000012</v>
      </c>
      <c r="AM497" s="381"/>
      <c r="AN497" s="377">
        <f>AN488-AN490-AN491-AN492-AN496-AN493-AN494</f>
        <v>-124706.26000000055</v>
      </c>
      <c r="AO497" s="401">
        <f>IF(AL497=0,0,AN497/AL497)</f>
        <v>-0.16631301474845062</v>
      </c>
      <c r="AP497" s="250"/>
      <c r="AQ497" s="250"/>
      <c r="AR497" s="250"/>
      <c r="AS497" s="250"/>
      <c r="AT497" s="250"/>
      <c r="AU497" s="250"/>
      <c r="AV497" s="250"/>
      <c r="AW497" s="250"/>
      <c r="AX497" s="250"/>
      <c r="AY497" s="250"/>
      <c r="AZ497" s="250"/>
      <c r="BA497" s="250"/>
      <c r="BB497" s="250"/>
      <c r="BC497" s="250"/>
      <c r="BD497" s="250"/>
      <c r="BE497" s="250"/>
      <c r="BF497" s="250"/>
      <c r="BG497" s="250"/>
      <c r="BH497" s="250"/>
      <c r="BI497" s="250"/>
      <c r="BJ497" s="250"/>
    </row>
    <row r="498" spans="1:62" ht="15.75" customHeight="1" thickTop="1">
      <c r="A498" t="str">
        <f t="shared" si="167"/>
        <v/>
      </c>
      <c r="B498" s="7"/>
      <c r="C498" s="250"/>
      <c r="D498" s="250"/>
      <c r="E498" s="250"/>
      <c r="F498" s="314"/>
      <c r="G498" s="250"/>
      <c r="H498" s="250"/>
      <c r="I498" s="314"/>
      <c r="J498" s="250"/>
      <c r="K498" s="250"/>
      <c r="L498" s="250"/>
      <c r="M498" s="314"/>
      <c r="N498" s="250"/>
      <c r="O498" s="250"/>
      <c r="P498" s="250"/>
      <c r="Q498" s="314"/>
      <c r="R498" s="314"/>
      <c r="S498" s="314"/>
      <c r="T498" s="250"/>
      <c r="U498" s="250"/>
      <c r="V498" s="250"/>
      <c r="W498" s="250"/>
      <c r="X498" s="250"/>
      <c r="Y498" s="250"/>
      <c r="Z498" s="250"/>
      <c r="AA498" s="250"/>
      <c r="AB498" s="250"/>
      <c r="AC498" s="250"/>
      <c r="AD498" s="250"/>
      <c r="AE498" s="402"/>
      <c r="AF498" s="403"/>
      <c r="AG498" s="250"/>
      <c r="AH498" s="250"/>
      <c r="AI498" s="250"/>
      <c r="AJ498" s="250"/>
      <c r="AK498" s="250"/>
      <c r="AL498" s="250"/>
      <c r="AM498" s="250"/>
      <c r="AN498" s="250"/>
      <c r="AO498" s="250"/>
      <c r="AP498" s="250"/>
      <c r="AQ498" s="250"/>
      <c r="AR498" s="250"/>
      <c r="AS498" s="250"/>
      <c r="AT498" s="250"/>
      <c r="AU498" s="250"/>
      <c r="AV498" s="250"/>
      <c r="AW498" s="250"/>
      <c r="AX498" s="250"/>
      <c r="AY498" s="250"/>
      <c r="AZ498" s="250"/>
      <c r="BA498" s="250"/>
      <c r="BB498" s="250"/>
      <c r="BC498" s="250"/>
      <c r="BD498" s="250"/>
      <c r="BE498" s="250"/>
      <c r="BF498" s="250"/>
      <c r="BG498" s="250"/>
      <c r="BH498" s="250"/>
      <c r="BI498" s="250"/>
      <c r="BJ498" s="250"/>
    </row>
    <row r="499" spans="1:62" ht="15.75" customHeight="1">
      <c r="B499" s="7"/>
      <c r="C499" s="250"/>
      <c r="D499" s="250"/>
      <c r="E499" s="250"/>
      <c r="F499" s="314"/>
      <c r="G499" s="250"/>
      <c r="H499" s="250"/>
      <c r="I499" s="314"/>
      <c r="J499" s="250"/>
      <c r="K499" s="250"/>
      <c r="L499" s="250"/>
      <c r="M499" s="314"/>
      <c r="N499" s="250"/>
      <c r="O499" s="250"/>
      <c r="P499" s="250"/>
      <c r="Q499" s="314"/>
      <c r="R499" s="314"/>
      <c r="S499" s="314"/>
      <c r="T499" s="250"/>
      <c r="U499" s="250"/>
      <c r="V499" s="250"/>
      <c r="W499" s="250"/>
      <c r="X499" s="250"/>
      <c r="Y499" s="250"/>
      <c r="Z499" s="314"/>
      <c r="AA499" s="250"/>
      <c r="AB499" s="250"/>
      <c r="AC499" s="250"/>
      <c r="AD499" s="250"/>
      <c r="AE499" s="250"/>
      <c r="AF499" s="354"/>
      <c r="AG499" s="250"/>
      <c r="AH499" s="250"/>
      <c r="AI499" s="250"/>
      <c r="AJ499" s="250"/>
      <c r="AK499" s="250"/>
      <c r="AL499" s="250"/>
      <c r="AM499" s="250"/>
      <c r="AN499" s="250"/>
      <c r="AO499" s="250"/>
      <c r="AP499" s="250"/>
      <c r="AQ499" s="250"/>
      <c r="AR499" s="250"/>
      <c r="AS499" s="250"/>
      <c r="AT499" s="250"/>
      <c r="AU499" s="250"/>
      <c r="AV499" s="250"/>
      <c r="AW499" s="250"/>
      <c r="AX499" s="250"/>
      <c r="AY499" s="250"/>
      <c r="AZ499" s="250"/>
      <c r="BA499" s="250"/>
      <c r="BB499" s="250"/>
      <c r="BC499" s="250"/>
      <c r="BD499" s="250"/>
      <c r="BE499" s="250"/>
      <c r="BF499" s="250"/>
      <c r="BG499" s="250"/>
      <c r="BH499" s="250"/>
      <c r="BI499" s="250"/>
      <c r="BJ499" s="250"/>
    </row>
    <row r="500" spans="1:62" ht="15.75" customHeight="1">
      <c r="B500" s="7"/>
      <c r="C500" s="250"/>
      <c r="D500" s="250"/>
      <c r="E500" s="250"/>
      <c r="F500" s="314"/>
      <c r="G500" s="250"/>
      <c r="H500" s="250"/>
      <c r="I500" s="314"/>
      <c r="J500" s="250"/>
      <c r="K500" s="250"/>
      <c r="L500" s="250"/>
      <c r="M500" s="314"/>
      <c r="N500" s="250"/>
      <c r="O500" s="250"/>
      <c r="P500" s="250"/>
      <c r="Q500" s="314"/>
      <c r="R500" s="314"/>
      <c r="S500" s="314"/>
      <c r="T500" s="339"/>
      <c r="U500" s="339"/>
      <c r="V500" s="250"/>
      <c r="W500" s="250"/>
      <c r="X500" s="250"/>
      <c r="Y500" s="250"/>
      <c r="Z500" s="314"/>
      <c r="AA500" s="250"/>
      <c r="AB500" s="250"/>
      <c r="AC500" s="250"/>
      <c r="AD500" s="250"/>
      <c r="AE500" s="250"/>
      <c r="AF500" s="250"/>
      <c r="AG500" s="250"/>
      <c r="AH500" s="250"/>
      <c r="AI500" s="250"/>
      <c r="AJ500" s="250"/>
      <c r="AK500" s="250"/>
      <c r="AL500" s="250"/>
      <c r="AM500" s="250"/>
      <c r="AN500" s="250"/>
      <c r="AO500" s="250"/>
      <c r="AP500" s="250"/>
      <c r="AQ500" s="250"/>
      <c r="AR500" s="250"/>
      <c r="AS500" s="250"/>
      <c r="AT500" s="250"/>
      <c r="AU500" s="250"/>
      <c r="AV500" s="250"/>
      <c r="AW500" s="250"/>
      <c r="AX500" s="250"/>
      <c r="AY500" s="250"/>
      <c r="AZ500" s="250"/>
      <c r="BA500" s="250"/>
      <c r="BB500" s="250"/>
      <c r="BC500" s="250"/>
      <c r="BD500" s="250"/>
      <c r="BE500" s="250"/>
      <c r="BF500" s="250"/>
      <c r="BG500" s="250"/>
      <c r="BH500" s="250"/>
      <c r="BI500" s="250"/>
      <c r="BJ500" s="250"/>
    </row>
    <row r="501" spans="1:62" ht="15.75" customHeight="1">
      <c r="B501" s="7"/>
      <c r="C501" s="250"/>
      <c r="D501" s="250"/>
      <c r="E501" s="250"/>
      <c r="F501" s="314"/>
      <c r="G501" s="250"/>
      <c r="H501" s="250"/>
      <c r="I501" s="314"/>
      <c r="J501" s="250"/>
      <c r="K501" s="250"/>
      <c r="L501" s="250"/>
      <c r="M501" s="314"/>
      <c r="N501" s="250"/>
      <c r="O501" s="250"/>
      <c r="P501" s="250"/>
      <c r="Q501" s="314"/>
      <c r="R501" s="314"/>
      <c r="S501" s="314"/>
      <c r="T501" s="339"/>
      <c r="U501" s="339"/>
      <c r="V501" s="250"/>
      <c r="W501" s="250"/>
      <c r="X501" s="250"/>
      <c r="Y501" s="250"/>
      <c r="Z501" s="314"/>
      <c r="AA501" s="250"/>
      <c r="AB501" s="250"/>
      <c r="AC501" s="250"/>
      <c r="AD501" s="250"/>
      <c r="AE501" s="250"/>
      <c r="AF501" s="404"/>
      <c r="AG501" s="250"/>
      <c r="AH501" s="250"/>
      <c r="AI501" s="250"/>
      <c r="AJ501" s="250"/>
      <c r="AK501" s="250"/>
      <c r="AL501" s="250"/>
      <c r="AM501" s="250"/>
      <c r="AN501" s="250"/>
      <c r="AO501" s="250"/>
      <c r="AP501" s="250"/>
      <c r="AQ501" s="250"/>
      <c r="AR501" s="250"/>
      <c r="AS501" s="250"/>
      <c r="AT501" s="250"/>
      <c r="AU501" s="250"/>
      <c r="AV501" s="250"/>
      <c r="AW501" s="250"/>
      <c r="AX501" s="250"/>
      <c r="AY501" s="250"/>
      <c r="AZ501" s="250"/>
      <c r="BA501" s="250"/>
      <c r="BB501" s="250"/>
      <c r="BC501" s="250"/>
      <c r="BD501" s="250"/>
      <c r="BE501" s="250"/>
      <c r="BF501" s="250"/>
      <c r="BG501" s="250"/>
      <c r="BH501" s="250"/>
      <c r="BI501" s="250"/>
      <c r="BJ501" s="250"/>
    </row>
    <row r="502" spans="1:62" ht="15.75" customHeight="1">
      <c r="B502" s="7"/>
      <c r="C502" s="250"/>
      <c r="D502" s="250"/>
      <c r="E502" s="250"/>
      <c r="F502" s="314"/>
      <c r="G502" s="250"/>
      <c r="H502" s="250"/>
      <c r="I502" s="314"/>
      <c r="J502" s="250"/>
      <c r="K502" s="250"/>
      <c r="L502" s="250"/>
      <c r="M502" s="314"/>
      <c r="N502" s="250"/>
      <c r="O502" s="250"/>
      <c r="P502" s="250"/>
      <c r="Q502" s="314"/>
      <c r="R502" s="314"/>
      <c r="S502" s="314"/>
      <c r="T502" s="339"/>
      <c r="U502" s="339"/>
      <c r="V502" s="250"/>
      <c r="W502" s="250"/>
      <c r="X502" s="250"/>
      <c r="Y502" s="250"/>
      <c r="Z502" s="250"/>
      <c r="AA502" s="250"/>
      <c r="AB502" s="250"/>
      <c r="AC502" s="250"/>
      <c r="AD502" s="250"/>
      <c r="AE502" s="250"/>
      <c r="AF502" s="314"/>
      <c r="AG502" s="250"/>
      <c r="AH502" s="250"/>
      <c r="AI502" s="250"/>
      <c r="AJ502" s="250"/>
      <c r="AK502" s="250"/>
      <c r="AL502" s="250"/>
      <c r="AM502" s="250"/>
      <c r="AN502" s="250"/>
      <c r="AO502" s="250"/>
      <c r="AP502" s="250"/>
      <c r="AQ502" s="250"/>
      <c r="AR502" s="250"/>
      <c r="AS502" s="250"/>
      <c r="AT502" s="250"/>
      <c r="AU502" s="250"/>
      <c r="AV502" s="250"/>
      <c r="AW502" s="250"/>
      <c r="AX502" s="250"/>
      <c r="AY502" s="250"/>
      <c r="AZ502" s="250"/>
      <c r="BA502" s="250"/>
      <c r="BB502" s="250"/>
      <c r="BC502" s="250"/>
      <c r="BD502" s="250"/>
      <c r="BE502" s="250"/>
      <c r="BF502" s="250"/>
      <c r="BG502" s="250"/>
      <c r="BH502" s="250"/>
      <c r="BI502" s="250"/>
      <c r="BJ502" s="250"/>
    </row>
    <row r="503" spans="1:62" ht="15.75" customHeight="1">
      <c r="B503" s="7"/>
      <c r="C503" s="250"/>
      <c r="D503" s="250"/>
      <c r="E503" s="250"/>
      <c r="F503" s="314"/>
      <c r="G503" s="250"/>
      <c r="H503" s="250"/>
      <c r="I503" s="314"/>
      <c r="J503" s="250"/>
      <c r="K503" s="250"/>
      <c r="L503" s="250"/>
      <c r="M503" s="314"/>
      <c r="N503" s="250"/>
      <c r="O503" s="250"/>
      <c r="P503" s="250"/>
      <c r="Q503" s="314"/>
      <c r="R503" s="314"/>
      <c r="S503" s="314"/>
      <c r="T503" s="339"/>
      <c r="U503" s="339"/>
      <c r="V503" s="250"/>
      <c r="W503" s="250"/>
      <c r="X503" s="250"/>
      <c r="Y503" s="250"/>
      <c r="Z503" s="250"/>
      <c r="AA503" s="250"/>
      <c r="AB503" s="250"/>
      <c r="AC503" s="250"/>
      <c r="AD503" s="250"/>
      <c r="AE503" s="250"/>
      <c r="AF503" s="314"/>
      <c r="AG503" s="250"/>
      <c r="AH503" s="250"/>
      <c r="AI503" s="250"/>
      <c r="AJ503" s="250"/>
      <c r="AK503" s="250"/>
      <c r="AL503" s="250"/>
      <c r="AM503" s="250"/>
      <c r="AN503" s="250"/>
      <c r="AO503" s="250"/>
      <c r="AP503" s="250"/>
      <c r="AQ503" s="250"/>
      <c r="AR503" s="250"/>
      <c r="AS503" s="250"/>
      <c r="AT503" s="250"/>
      <c r="AU503" s="250"/>
      <c r="AV503" s="250"/>
      <c r="AW503" s="250"/>
      <c r="AX503" s="250"/>
      <c r="AY503" s="250"/>
      <c r="AZ503" s="250"/>
      <c r="BA503" s="250"/>
      <c r="BB503" s="250"/>
      <c r="BC503" s="250"/>
      <c r="BD503" s="250"/>
      <c r="BE503" s="250"/>
      <c r="BF503" s="250"/>
      <c r="BG503" s="250"/>
      <c r="BH503" s="250"/>
      <c r="BI503" s="250"/>
      <c r="BJ503" s="250"/>
    </row>
    <row r="504" spans="1:62" ht="15.75" customHeight="1">
      <c r="B504" s="7"/>
      <c r="C504" s="250"/>
      <c r="D504" s="250"/>
      <c r="E504" s="250"/>
      <c r="F504" s="314"/>
      <c r="G504" s="250"/>
      <c r="H504" s="250"/>
      <c r="I504" s="314"/>
      <c r="J504" s="250"/>
      <c r="K504" s="250"/>
      <c r="L504" s="250"/>
      <c r="M504" s="314"/>
      <c r="N504" s="250"/>
      <c r="O504" s="250"/>
      <c r="P504" s="250"/>
      <c r="Q504" s="314"/>
      <c r="R504" s="314"/>
      <c r="S504" s="314"/>
      <c r="T504" s="339"/>
      <c r="U504" s="339"/>
      <c r="V504" s="250"/>
      <c r="W504" s="250"/>
      <c r="X504" s="250"/>
      <c r="Y504" s="250"/>
      <c r="Z504" s="250"/>
      <c r="AA504" s="250"/>
      <c r="AB504" s="250"/>
      <c r="AC504" s="250"/>
      <c r="AD504" s="250"/>
      <c r="AE504" s="250"/>
      <c r="AF504" s="250"/>
      <c r="AG504" s="250"/>
      <c r="AH504" s="250"/>
      <c r="AI504" s="250"/>
      <c r="AJ504" s="250"/>
      <c r="AK504" s="250"/>
      <c r="AL504" s="250"/>
      <c r="AM504" s="250"/>
      <c r="AN504" s="250"/>
      <c r="AO504" s="250"/>
      <c r="AP504" s="250"/>
      <c r="AQ504" s="250"/>
      <c r="AR504" s="250"/>
      <c r="AS504" s="250"/>
      <c r="AT504" s="250"/>
      <c r="AU504" s="250"/>
      <c r="AV504" s="250"/>
      <c r="AW504" s="250"/>
      <c r="AX504" s="250"/>
      <c r="AY504" s="250"/>
      <c r="AZ504" s="250"/>
      <c r="BA504" s="250"/>
      <c r="BB504" s="250"/>
      <c r="BC504" s="250"/>
      <c r="BD504" s="250"/>
      <c r="BE504" s="250"/>
      <c r="BF504" s="250"/>
      <c r="BG504" s="250"/>
      <c r="BH504" s="250"/>
      <c r="BI504" s="250"/>
      <c r="BJ504" s="250"/>
    </row>
    <row r="505" spans="1:62" ht="15.75" customHeight="1">
      <c r="B505" s="7"/>
      <c r="C505" s="250"/>
      <c r="D505" s="250"/>
      <c r="E505" s="250"/>
      <c r="F505" s="314"/>
      <c r="G505" s="250"/>
      <c r="H505" s="250"/>
      <c r="I505" s="314"/>
      <c r="J505" s="250"/>
      <c r="K505" s="250"/>
      <c r="L505" s="250"/>
      <c r="M505" s="314"/>
      <c r="N505" s="250"/>
      <c r="O505" s="250"/>
      <c r="P505" s="250"/>
      <c r="Q505" s="314"/>
      <c r="R505" s="314"/>
      <c r="S505" s="314"/>
      <c r="T505" s="339"/>
      <c r="U505" s="339"/>
      <c r="V505" s="250"/>
      <c r="W505" s="250"/>
      <c r="X505" s="250"/>
      <c r="Y505" s="250"/>
      <c r="Z505" s="250"/>
      <c r="AA505" s="250"/>
      <c r="AB505" s="250"/>
      <c r="AC505" s="250"/>
      <c r="AD505" s="250"/>
      <c r="AE505" s="250"/>
      <c r="AF505" s="314"/>
      <c r="AG505" s="250"/>
      <c r="AH505" s="250"/>
      <c r="AI505" s="250"/>
      <c r="AJ505" s="250"/>
      <c r="AK505" s="250"/>
      <c r="AL505" s="314"/>
      <c r="AM505" s="250"/>
      <c r="AN505" s="250"/>
      <c r="AO505" s="250"/>
      <c r="AP505" s="250"/>
      <c r="AQ505" s="250"/>
      <c r="AR505" s="250"/>
      <c r="AS505" s="250"/>
      <c r="AT505" s="250"/>
      <c r="AU505" s="250"/>
      <c r="AV505" s="250"/>
      <c r="AW505" s="250"/>
      <c r="AX505" s="250"/>
      <c r="AY505" s="250"/>
      <c r="AZ505" s="250"/>
      <c r="BA505" s="250"/>
      <c r="BB505" s="250"/>
      <c r="BC505" s="250"/>
      <c r="BD505" s="250"/>
      <c r="BE505" s="250"/>
      <c r="BF505" s="250"/>
      <c r="BG505" s="250"/>
      <c r="BH505" s="250"/>
      <c r="BI505" s="250"/>
      <c r="BJ505" s="250"/>
    </row>
    <row r="506" spans="1:62" ht="15.75" customHeight="1">
      <c r="B506" s="7"/>
      <c r="C506" s="250"/>
      <c r="D506" s="250"/>
      <c r="E506" s="250"/>
      <c r="F506" s="314"/>
      <c r="G506" s="250"/>
      <c r="H506" s="250"/>
      <c r="I506" s="314"/>
      <c r="J506" s="250"/>
      <c r="K506" s="250"/>
      <c r="L506" s="250"/>
      <c r="M506" s="314"/>
      <c r="N506" s="250"/>
      <c r="O506" s="250"/>
      <c r="P506" s="250"/>
      <c r="Q506" s="314"/>
      <c r="R506" s="314"/>
      <c r="S506" s="314"/>
      <c r="T506" s="339"/>
      <c r="U506" s="339"/>
      <c r="V506" s="250"/>
      <c r="W506" s="250"/>
      <c r="X506" s="250"/>
      <c r="Y506" s="250"/>
      <c r="Z506" s="250"/>
      <c r="AA506" s="250"/>
      <c r="AB506" s="250"/>
      <c r="AC506" s="250"/>
      <c r="AD506" s="250"/>
      <c r="AE506" s="250"/>
      <c r="AF506" s="250"/>
      <c r="AG506" s="250"/>
      <c r="AH506" s="250"/>
      <c r="AI506" s="250"/>
      <c r="AJ506" s="250"/>
      <c r="AK506" s="250"/>
      <c r="AL506" s="250"/>
      <c r="AM506" s="250"/>
      <c r="AN506" s="250"/>
      <c r="AO506" s="250"/>
      <c r="AP506" s="250"/>
      <c r="AQ506" s="250"/>
      <c r="AR506" s="250"/>
      <c r="AS506" s="250"/>
      <c r="AT506" s="250"/>
      <c r="AU506" s="250"/>
      <c r="AV506" s="250"/>
      <c r="AW506" s="250"/>
      <c r="AX506" s="250"/>
      <c r="AY506" s="250"/>
      <c r="AZ506" s="250"/>
      <c r="BA506" s="250"/>
      <c r="BB506" s="250"/>
      <c r="BC506" s="250"/>
      <c r="BD506" s="250"/>
      <c r="BE506" s="250"/>
      <c r="BF506" s="250"/>
      <c r="BG506" s="250"/>
      <c r="BH506" s="250"/>
      <c r="BI506" s="250"/>
      <c r="BJ506" s="250"/>
    </row>
    <row r="507" spans="1:62" ht="15.75" customHeight="1">
      <c r="B507" s="7"/>
      <c r="C507" s="250"/>
      <c r="D507" s="250"/>
      <c r="E507" s="250"/>
      <c r="F507" s="314"/>
      <c r="G507" s="250"/>
      <c r="H507" s="250"/>
      <c r="I507" s="314"/>
      <c r="J507" s="250"/>
      <c r="K507" s="250"/>
      <c r="L507" s="250"/>
      <c r="M507" s="314"/>
      <c r="N507" s="250"/>
      <c r="O507" s="250"/>
      <c r="P507" s="250"/>
      <c r="Q507" s="314"/>
      <c r="R507" s="314"/>
      <c r="S507" s="314"/>
      <c r="T507" s="339"/>
      <c r="U507" s="339"/>
      <c r="V507" s="250"/>
      <c r="W507" s="339"/>
      <c r="X507" s="339"/>
      <c r="Y507" s="250"/>
      <c r="Z507" s="250"/>
      <c r="AA507" s="250"/>
      <c r="AB507" s="250"/>
      <c r="AC507" s="250"/>
      <c r="AD507" s="250"/>
      <c r="AE507" s="250"/>
      <c r="AF507" s="250"/>
      <c r="AG507" s="250"/>
      <c r="AH507" s="250"/>
      <c r="AI507" s="250"/>
      <c r="AJ507" s="250"/>
      <c r="AK507" s="250"/>
      <c r="AL507" s="250"/>
      <c r="AM507" s="250"/>
      <c r="AN507" s="250"/>
      <c r="AO507" s="250"/>
      <c r="AP507" s="250"/>
      <c r="AQ507" s="250"/>
      <c r="AR507" s="250"/>
      <c r="AS507" s="250"/>
      <c r="AT507" s="250"/>
      <c r="AU507" s="250"/>
      <c r="AV507" s="250"/>
      <c r="AW507" s="250"/>
      <c r="AX507" s="250"/>
      <c r="AY507" s="250"/>
      <c r="AZ507" s="250"/>
      <c r="BA507" s="250"/>
      <c r="BB507" s="250"/>
      <c r="BC507" s="250"/>
      <c r="BD507" s="250"/>
      <c r="BE507" s="250"/>
      <c r="BF507" s="250"/>
      <c r="BG507" s="250"/>
      <c r="BH507" s="250"/>
      <c r="BI507" s="250"/>
      <c r="BJ507" s="250"/>
    </row>
    <row r="508" spans="1:62" ht="15.75" customHeight="1">
      <c r="B508" s="7"/>
      <c r="C508" s="250"/>
      <c r="D508" s="250"/>
      <c r="E508" s="250"/>
      <c r="F508" s="314"/>
      <c r="G508" s="250"/>
      <c r="H508" s="250"/>
      <c r="I508" s="314"/>
      <c r="J508" s="250"/>
      <c r="K508" s="250"/>
      <c r="L508" s="250"/>
      <c r="M508" s="314"/>
      <c r="N508" s="250"/>
      <c r="O508" s="250"/>
      <c r="P508" s="250"/>
      <c r="Q508" s="314"/>
      <c r="R508" s="314"/>
      <c r="S508" s="314"/>
      <c r="T508" s="339"/>
      <c r="U508" s="339"/>
      <c r="V508" s="250"/>
      <c r="W508" s="339"/>
      <c r="X508" s="339"/>
      <c r="Y508" s="250"/>
      <c r="Z508" s="250"/>
      <c r="AA508" s="250"/>
      <c r="AB508" s="250"/>
      <c r="AC508" s="250"/>
      <c r="AD508" s="250"/>
      <c r="AE508" s="250"/>
      <c r="AF508" s="250"/>
      <c r="AG508" s="250"/>
      <c r="AH508" s="250"/>
      <c r="AI508" s="250"/>
      <c r="AJ508" s="250"/>
      <c r="AK508" s="250"/>
      <c r="AL508" s="250"/>
      <c r="AM508" s="250"/>
      <c r="AN508" s="250"/>
      <c r="AO508" s="250"/>
      <c r="AP508" s="250"/>
      <c r="AQ508" s="250"/>
      <c r="AR508" s="250"/>
      <c r="AS508" s="250"/>
      <c r="AT508" s="250"/>
      <c r="AU508" s="250"/>
      <c r="AV508" s="250"/>
      <c r="AW508" s="250"/>
      <c r="AX508" s="250"/>
      <c r="AY508" s="250"/>
      <c r="AZ508" s="250"/>
      <c r="BA508" s="250"/>
      <c r="BB508" s="250"/>
      <c r="BC508" s="250"/>
      <c r="BD508" s="250"/>
      <c r="BE508" s="250"/>
      <c r="BF508" s="250"/>
      <c r="BG508" s="250"/>
      <c r="BH508" s="250"/>
      <c r="BI508" s="250"/>
      <c r="BJ508" s="250"/>
    </row>
    <row r="509" spans="1:62" ht="15.75" customHeight="1">
      <c r="B509" s="7"/>
      <c r="C509" s="250"/>
      <c r="D509" s="250"/>
      <c r="E509" s="250"/>
      <c r="F509" s="314"/>
      <c r="G509" s="250"/>
      <c r="H509" s="250"/>
      <c r="I509" s="314"/>
      <c r="J509" s="250"/>
      <c r="K509" s="250"/>
      <c r="L509" s="250"/>
      <c r="M509" s="314"/>
      <c r="N509" s="250"/>
      <c r="O509" s="250"/>
      <c r="P509" s="250"/>
      <c r="Q509" s="314"/>
      <c r="R509" s="314"/>
      <c r="S509" s="314"/>
      <c r="T509" s="339"/>
      <c r="U509" s="339"/>
      <c r="V509" s="250"/>
      <c r="W509" s="339"/>
      <c r="X509" s="339"/>
      <c r="Y509" s="250"/>
      <c r="Z509" s="250"/>
      <c r="AA509" s="250"/>
      <c r="AB509" s="250"/>
      <c r="AC509" s="250"/>
      <c r="AD509" s="250"/>
      <c r="AE509" s="250"/>
      <c r="AF509" s="250"/>
      <c r="AG509" s="250"/>
      <c r="AH509" s="250"/>
      <c r="AI509" s="250"/>
      <c r="AJ509" s="250"/>
      <c r="AK509" s="250"/>
      <c r="AL509" s="250"/>
      <c r="AM509" s="250"/>
      <c r="AN509" s="250"/>
      <c r="AO509" s="250"/>
      <c r="AP509" s="250"/>
      <c r="AQ509" s="250"/>
      <c r="AR509" s="250"/>
      <c r="AS509" s="250"/>
      <c r="AT509" s="250"/>
      <c r="AU509" s="250"/>
      <c r="AV509" s="250"/>
      <c r="AW509" s="250"/>
      <c r="AX509" s="250"/>
      <c r="AY509" s="250"/>
      <c r="AZ509" s="250"/>
      <c r="BA509" s="250"/>
      <c r="BB509" s="250"/>
      <c r="BC509" s="250"/>
      <c r="BD509" s="250"/>
      <c r="BE509" s="250"/>
      <c r="BF509" s="250"/>
      <c r="BG509" s="250"/>
      <c r="BH509" s="250"/>
      <c r="BI509" s="250"/>
      <c r="BJ509" s="250"/>
    </row>
    <row r="510" spans="1:62" ht="15.75" customHeight="1">
      <c r="B510" s="7"/>
      <c r="C510" s="250"/>
      <c r="D510" s="250"/>
      <c r="E510" s="250"/>
      <c r="F510" s="314"/>
      <c r="G510" s="250"/>
      <c r="H510" s="250"/>
      <c r="I510" s="314"/>
      <c r="J510" s="250"/>
      <c r="K510" s="250"/>
      <c r="L510" s="250"/>
      <c r="M510" s="314"/>
      <c r="N510" s="250"/>
      <c r="O510" s="250"/>
      <c r="P510" s="250"/>
      <c r="Q510" s="314"/>
      <c r="R510" s="314"/>
      <c r="S510" s="314"/>
      <c r="T510" s="339"/>
      <c r="U510" s="339"/>
      <c r="V510" s="250"/>
      <c r="W510" s="339"/>
      <c r="X510" s="339"/>
      <c r="Y510" s="250"/>
      <c r="Z510" s="250"/>
      <c r="AA510" s="250"/>
      <c r="AB510" s="250"/>
      <c r="AC510" s="250"/>
      <c r="AD510" s="250"/>
      <c r="AE510" s="250"/>
      <c r="AF510" s="250"/>
      <c r="AG510" s="250"/>
      <c r="AH510" s="250"/>
      <c r="AI510" s="250"/>
      <c r="AJ510" s="250"/>
      <c r="AK510" s="250"/>
      <c r="AL510" s="250"/>
      <c r="AM510" s="250"/>
      <c r="AN510" s="250"/>
      <c r="AO510" s="250"/>
      <c r="AP510" s="250"/>
      <c r="AQ510" s="250"/>
      <c r="AR510" s="250"/>
      <c r="AS510" s="250"/>
      <c r="AT510" s="250"/>
      <c r="AU510" s="250"/>
      <c r="AV510" s="250"/>
      <c r="AW510" s="250"/>
      <c r="AX510" s="250"/>
      <c r="AY510" s="250"/>
      <c r="AZ510" s="250"/>
      <c r="BA510" s="250"/>
      <c r="BB510" s="250"/>
      <c r="BC510" s="250"/>
      <c r="BD510" s="250"/>
      <c r="BE510" s="250"/>
      <c r="BF510" s="250"/>
      <c r="BG510" s="250"/>
      <c r="BH510" s="250"/>
      <c r="BI510" s="250"/>
      <c r="BJ510" s="250"/>
    </row>
    <row r="511" spans="1:62" ht="15.75" customHeight="1">
      <c r="B511" s="7"/>
      <c r="C511" s="250"/>
      <c r="D511" s="250"/>
      <c r="E511" s="250"/>
      <c r="F511" s="314"/>
      <c r="G511" s="250"/>
      <c r="H511" s="250"/>
      <c r="I511" s="314"/>
      <c r="J511" s="250"/>
      <c r="K511" s="250"/>
      <c r="L511" s="250"/>
      <c r="M511" s="314"/>
      <c r="N511" s="250"/>
      <c r="O511" s="250"/>
      <c r="P511" s="250"/>
      <c r="Q511" s="314"/>
      <c r="R511" s="314"/>
      <c r="S511" s="314"/>
      <c r="T511" s="339"/>
      <c r="U511" s="339"/>
      <c r="V511" s="250"/>
      <c r="W511" s="339"/>
      <c r="X511" s="339"/>
      <c r="Y511" s="250"/>
      <c r="Z511" s="250"/>
      <c r="AA511" s="250"/>
      <c r="AB511" s="250"/>
      <c r="AC511" s="250"/>
      <c r="AD511" s="250"/>
      <c r="AE511" s="250"/>
      <c r="AF511" s="250"/>
      <c r="AG511" s="250"/>
      <c r="AH511" s="250"/>
      <c r="AI511" s="250"/>
      <c r="AJ511" s="250"/>
      <c r="AK511" s="250"/>
      <c r="AL511" s="250"/>
      <c r="AM511" s="250"/>
      <c r="AN511" s="250"/>
      <c r="AO511" s="250"/>
      <c r="AP511" s="250"/>
      <c r="AQ511" s="250"/>
      <c r="AR511" s="250"/>
      <c r="AS511" s="250"/>
      <c r="AT511" s="250"/>
      <c r="AU511" s="250"/>
      <c r="AV511" s="250"/>
      <c r="AW511" s="250"/>
      <c r="AX511" s="250"/>
      <c r="AY511" s="250"/>
      <c r="AZ511" s="250"/>
      <c r="BA511" s="250"/>
      <c r="BB511" s="250"/>
      <c r="BC511" s="250"/>
      <c r="BD511" s="250"/>
      <c r="BE511" s="250"/>
      <c r="BF511" s="250"/>
      <c r="BG511" s="250"/>
      <c r="BH511" s="250"/>
      <c r="BI511" s="250"/>
      <c r="BJ511" s="250"/>
    </row>
    <row r="512" spans="1:62" ht="15.75" customHeight="1">
      <c r="B512" s="7"/>
      <c r="C512" s="250"/>
      <c r="D512" s="250"/>
      <c r="E512" s="250"/>
      <c r="F512" s="314"/>
      <c r="G512" s="250"/>
      <c r="H512" s="250"/>
      <c r="I512" s="314"/>
      <c r="J512" s="250"/>
      <c r="K512" s="250"/>
      <c r="L512" s="250"/>
      <c r="M512" s="314"/>
      <c r="N512" s="250"/>
      <c r="O512" s="250"/>
      <c r="P512" s="250"/>
      <c r="Q512" s="314"/>
      <c r="R512" s="314"/>
      <c r="S512" s="314"/>
      <c r="T512" s="339"/>
      <c r="U512" s="339"/>
      <c r="V512" s="339"/>
      <c r="W512" s="339"/>
      <c r="X512" s="339"/>
      <c r="Y512" s="250"/>
      <c r="Z512" s="250"/>
      <c r="AA512" s="250"/>
      <c r="AB512" s="250"/>
      <c r="AC512" s="250"/>
      <c r="AD512" s="250"/>
      <c r="AE512" s="250"/>
      <c r="AF512" s="250"/>
      <c r="AG512" s="250"/>
      <c r="AH512" s="250"/>
      <c r="AI512" s="250"/>
      <c r="AJ512" s="250"/>
      <c r="AK512" s="250"/>
      <c r="AL512" s="250"/>
      <c r="AM512" s="250"/>
      <c r="AN512" s="250"/>
      <c r="AO512" s="250"/>
      <c r="AP512" s="250"/>
      <c r="AQ512" s="250"/>
      <c r="AR512" s="250"/>
      <c r="AS512" s="250"/>
      <c r="AT512" s="250"/>
      <c r="AU512" s="250"/>
      <c r="AV512" s="250"/>
      <c r="AW512" s="250"/>
      <c r="AX512" s="250"/>
      <c r="AY512" s="250"/>
      <c r="AZ512" s="250"/>
      <c r="BA512" s="250"/>
      <c r="BB512" s="250"/>
      <c r="BC512" s="250"/>
      <c r="BD512" s="250"/>
      <c r="BE512" s="250"/>
      <c r="BF512" s="250"/>
      <c r="BG512" s="250"/>
      <c r="BH512" s="250"/>
      <c r="BI512" s="250"/>
      <c r="BJ512" s="250"/>
    </row>
    <row r="513" spans="2:62" ht="15.75" customHeight="1">
      <c r="B513" s="7"/>
      <c r="C513" s="405"/>
      <c r="D513" s="339"/>
      <c r="E513" s="339"/>
      <c r="F513" s="406"/>
      <c r="G513" s="339"/>
      <c r="H513" s="339"/>
      <c r="I513" s="406"/>
      <c r="J513" s="339"/>
      <c r="K513" s="339"/>
      <c r="L513" s="339"/>
      <c r="M513" s="406"/>
      <c r="N513" s="339"/>
      <c r="O513" s="339"/>
      <c r="P513" s="339"/>
      <c r="Q513" s="406"/>
      <c r="R513" s="406"/>
      <c r="S513" s="406"/>
      <c r="T513" s="339"/>
      <c r="U513" s="339"/>
      <c r="V513" s="339"/>
      <c r="W513" s="339"/>
      <c r="X513" s="339"/>
      <c r="Y513" s="250"/>
      <c r="Z513" s="250"/>
      <c r="AA513" s="250"/>
      <c r="AB513" s="250"/>
      <c r="AC513" s="250"/>
      <c r="AD513" s="250"/>
      <c r="AE513" s="250"/>
      <c r="AF513" s="250"/>
      <c r="AG513" s="250"/>
      <c r="AH513" s="250"/>
      <c r="AI513" s="250"/>
      <c r="AJ513" s="250"/>
      <c r="AK513" s="250"/>
      <c r="AL513" s="250"/>
      <c r="AM513" s="250"/>
      <c r="AN513" s="250"/>
      <c r="AO513" s="250"/>
      <c r="AP513" s="250"/>
      <c r="AQ513" s="250"/>
      <c r="AR513" s="250"/>
      <c r="AS513" s="250"/>
      <c r="AT513" s="250"/>
      <c r="AU513" s="250"/>
      <c r="AV513" s="250"/>
      <c r="AW513" s="250"/>
      <c r="AX513" s="250"/>
      <c r="AY513" s="250"/>
      <c r="AZ513" s="250"/>
      <c r="BA513" s="250"/>
      <c r="BB513" s="250"/>
      <c r="BC513" s="250"/>
      <c r="BD513" s="250"/>
      <c r="BE513" s="250"/>
      <c r="BF513" s="250"/>
      <c r="BG513" s="250"/>
      <c r="BH513" s="250"/>
      <c r="BI513" s="250"/>
      <c r="BJ513" s="250"/>
    </row>
    <row r="514" spans="2:62" ht="15.75" customHeight="1">
      <c r="B514" s="7"/>
      <c r="C514" s="407"/>
      <c r="D514" s="339"/>
      <c r="E514" s="339"/>
      <c r="F514" s="406"/>
      <c r="G514" s="339"/>
      <c r="H514" s="339"/>
      <c r="I514" s="406"/>
      <c r="J514" s="339"/>
      <c r="K514" s="339"/>
      <c r="L514" s="339"/>
      <c r="M514" s="406"/>
      <c r="N514" s="339"/>
      <c r="O514" s="339"/>
      <c r="P514" s="339"/>
      <c r="Q514" s="406"/>
      <c r="R514" s="406"/>
      <c r="S514" s="406"/>
      <c r="T514" s="339"/>
      <c r="U514" s="339"/>
      <c r="V514" s="339"/>
      <c r="W514" s="339"/>
      <c r="X514" s="339"/>
      <c r="Y514" s="250"/>
      <c r="Z514" s="250"/>
      <c r="AA514" s="250"/>
      <c r="AB514" s="250"/>
      <c r="AC514" s="250"/>
      <c r="AD514" s="250"/>
      <c r="AE514" s="250"/>
      <c r="AF514" s="250"/>
      <c r="AG514" s="250"/>
      <c r="AH514" s="250"/>
      <c r="AI514" s="250"/>
      <c r="AJ514" s="250"/>
      <c r="AK514" s="250"/>
      <c r="AL514" s="250"/>
      <c r="AM514" s="250"/>
      <c r="AN514" s="250"/>
      <c r="AO514" s="250"/>
      <c r="AP514" s="250"/>
      <c r="AQ514" s="250"/>
      <c r="AR514" s="250"/>
      <c r="AS514" s="250"/>
      <c r="AT514" s="250"/>
      <c r="AU514" s="250"/>
      <c r="AV514" s="250"/>
      <c r="AW514" s="250"/>
      <c r="AX514" s="250"/>
      <c r="AY514" s="250"/>
      <c r="AZ514" s="250"/>
      <c r="BA514" s="250"/>
      <c r="BB514" s="250"/>
      <c r="BC514" s="250"/>
      <c r="BD514" s="250"/>
      <c r="BE514" s="250"/>
      <c r="BF514" s="250"/>
      <c r="BG514" s="250"/>
      <c r="BH514" s="250"/>
      <c r="BI514" s="250"/>
      <c r="BJ514" s="250"/>
    </row>
    <row r="515" spans="2:62" ht="15.75" customHeight="1">
      <c r="B515" s="7"/>
      <c r="C515" s="339"/>
      <c r="D515" s="339"/>
      <c r="E515" s="339"/>
      <c r="F515" s="406"/>
      <c r="G515" s="339"/>
      <c r="H515" s="339"/>
      <c r="I515" s="406"/>
      <c r="J515" s="339"/>
      <c r="K515" s="339"/>
      <c r="L515" s="339"/>
      <c r="M515" s="406"/>
      <c r="N515" s="339"/>
      <c r="O515" s="339"/>
      <c r="P515" s="339"/>
      <c r="Q515" s="406"/>
      <c r="R515" s="406"/>
      <c r="S515" s="406"/>
      <c r="T515" s="339"/>
      <c r="U515" s="339"/>
      <c r="V515" s="339"/>
      <c r="W515" s="339"/>
      <c r="X515" s="339"/>
      <c r="Y515" s="250"/>
      <c r="Z515" s="250"/>
      <c r="AA515" s="250"/>
      <c r="AB515" s="250"/>
      <c r="AC515" s="250"/>
      <c r="AD515" s="250"/>
      <c r="AE515" s="250"/>
      <c r="AF515" s="250"/>
      <c r="AG515" s="250"/>
      <c r="AH515" s="250"/>
      <c r="AI515" s="250"/>
      <c r="AJ515" s="250"/>
      <c r="AK515" s="250"/>
      <c r="AL515" s="250"/>
      <c r="AM515" s="250"/>
      <c r="AN515" s="250"/>
      <c r="AO515" s="250"/>
      <c r="AP515" s="250"/>
      <c r="AQ515" s="250"/>
      <c r="AR515" s="250"/>
      <c r="AS515" s="250"/>
      <c r="AT515" s="250"/>
      <c r="AU515" s="250"/>
      <c r="AV515" s="250"/>
      <c r="AW515" s="250"/>
      <c r="AX515" s="250"/>
      <c r="AY515" s="250"/>
      <c r="AZ515" s="250"/>
      <c r="BA515" s="250"/>
      <c r="BB515" s="250"/>
      <c r="BC515" s="250"/>
      <c r="BD515" s="250"/>
      <c r="BE515" s="250"/>
      <c r="BF515" s="250"/>
      <c r="BG515" s="250"/>
      <c r="BH515" s="250"/>
      <c r="BI515" s="250"/>
      <c r="BJ515" s="250"/>
    </row>
    <row r="516" spans="2:62" ht="15.75" customHeight="1">
      <c r="B516" s="7"/>
      <c r="C516" s="339"/>
      <c r="D516" s="339"/>
      <c r="E516" s="339"/>
      <c r="F516" s="339"/>
      <c r="G516" s="339"/>
      <c r="H516" s="339"/>
      <c r="I516" s="339"/>
      <c r="J516" s="405"/>
      <c r="K516" s="405"/>
      <c r="L516" s="405"/>
      <c r="M516" s="406"/>
      <c r="N516" s="339"/>
      <c r="O516" s="339"/>
      <c r="P516" s="339"/>
      <c r="Q516" s="339"/>
      <c r="R516" s="339"/>
      <c r="S516" s="406"/>
      <c r="T516" s="339"/>
      <c r="U516" s="339"/>
      <c r="V516" s="339"/>
      <c r="W516" s="339"/>
      <c r="X516" s="339"/>
      <c r="Y516" s="250"/>
      <c r="Z516" s="250"/>
      <c r="AA516" s="250"/>
      <c r="AB516" s="250"/>
      <c r="AC516" s="250"/>
      <c r="AD516" s="250"/>
      <c r="AE516" s="250"/>
      <c r="AF516" s="250"/>
      <c r="AG516" s="250"/>
      <c r="AH516" s="250"/>
      <c r="AI516" s="250"/>
      <c r="AJ516" s="250"/>
      <c r="AK516" s="250"/>
      <c r="AL516" s="250"/>
      <c r="AM516" s="250"/>
      <c r="AN516" s="250"/>
      <c r="AO516" s="250"/>
      <c r="AP516" s="250"/>
      <c r="AQ516" s="250"/>
      <c r="AR516" s="250"/>
      <c r="AS516" s="250"/>
      <c r="AT516" s="250"/>
      <c r="AU516" s="250"/>
      <c r="AV516" s="250"/>
      <c r="AW516" s="250"/>
      <c r="AX516" s="250"/>
      <c r="AY516" s="250"/>
      <c r="AZ516" s="250"/>
      <c r="BA516" s="250"/>
      <c r="BB516" s="250"/>
      <c r="BC516" s="250"/>
      <c r="BD516" s="250"/>
      <c r="BE516" s="250"/>
      <c r="BF516" s="250"/>
      <c r="BG516" s="250"/>
      <c r="BH516" s="250"/>
      <c r="BI516" s="250"/>
      <c r="BJ516" s="250"/>
    </row>
    <row r="517" spans="2:62" ht="15.75" customHeight="1">
      <c r="B517" s="7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406"/>
      <c r="N517" s="339"/>
      <c r="O517" s="339"/>
      <c r="P517" s="339"/>
      <c r="Q517" s="339"/>
      <c r="R517" s="339"/>
      <c r="S517" s="406"/>
      <c r="T517" s="339"/>
      <c r="U517" s="339"/>
      <c r="V517" s="339"/>
      <c r="W517" s="339"/>
      <c r="X517" s="339"/>
      <c r="Y517" s="250"/>
      <c r="Z517" s="250"/>
      <c r="AA517" s="250"/>
      <c r="AB517" s="250"/>
      <c r="AC517" s="250"/>
      <c r="AD517" s="250"/>
      <c r="AE517" s="250"/>
      <c r="AF517" s="250"/>
      <c r="AG517" s="250"/>
      <c r="AH517" s="250"/>
      <c r="AI517" s="250"/>
      <c r="AJ517" s="250"/>
      <c r="AK517" s="250"/>
      <c r="AL517" s="250"/>
      <c r="AM517" s="250"/>
      <c r="AN517" s="250"/>
      <c r="AO517" s="250"/>
      <c r="AP517" s="250"/>
      <c r="AQ517" s="250"/>
      <c r="AR517" s="250"/>
      <c r="AS517" s="250"/>
      <c r="AT517" s="250"/>
      <c r="AU517" s="250"/>
      <c r="AV517" s="250"/>
      <c r="AW517" s="250"/>
      <c r="AX517" s="250"/>
      <c r="AY517" s="250"/>
      <c r="AZ517" s="250"/>
      <c r="BA517" s="250"/>
      <c r="BB517" s="250"/>
      <c r="BC517" s="250"/>
      <c r="BD517" s="250"/>
      <c r="BE517" s="250"/>
      <c r="BF517" s="250"/>
      <c r="BG517" s="250"/>
      <c r="BH517" s="250"/>
      <c r="BI517" s="250"/>
      <c r="BJ517" s="250"/>
    </row>
    <row r="518" spans="2:62" ht="15.75" customHeight="1">
      <c r="B518" s="7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406"/>
      <c r="N518" s="339"/>
      <c r="O518" s="339"/>
      <c r="P518" s="339"/>
      <c r="Q518" s="339"/>
      <c r="R518" s="339"/>
      <c r="S518" s="406"/>
      <c r="T518" s="339"/>
      <c r="U518" s="339"/>
      <c r="V518" s="339"/>
      <c r="W518" s="339"/>
      <c r="X518" s="339"/>
      <c r="Y518" s="250"/>
      <c r="Z518" s="250"/>
      <c r="AA518" s="250"/>
      <c r="AB518" s="250"/>
      <c r="AC518" s="250"/>
      <c r="AD518" s="250"/>
      <c r="AE518" s="250"/>
      <c r="AF518" s="250"/>
      <c r="AG518" s="250"/>
      <c r="AH518" s="250"/>
      <c r="AI518" s="250"/>
      <c r="AJ518" s="250"/>
      <c r="AK518" s="250"/>
      <c r="AL518" s="250"/>
      <c r="AM518" s="250"/>
      <c r="AN518" s="250"/>
      <c r="AO518" s="250"/>
      <c r="AP518" s="250"/>
      <c r="AQ518" s="250"/>
      <c r="AR518" s="250"/>
      <c r="AS518" s="250"/>
      <c r="AT518" s="250"/>
      <c r="AU518" s="250"/>
      <c r="AV518" s="250"/>
      <c r="AW518" s="250"/>
      <c r="AX518" s="250"/>
      <c r="AY518" s="250"/>
      <c r="AZ518" s="250"/>
      <c r="BA518" s="250"/>
      <c r="BB518" s="250"/>
      <c r="BC518" s="250"/>
      <c r="BD518" s="250"/>
      <c r="BE518" s="250"/>
      <c r="BF518" s="250"/>
      <c r="BG518" s="250"/>
      <c r="BH518" s="250"/>
      <c r="BI518" s="250"/>
      <c r="BJ518" s="250"/>
    </row>
    <row r="519" spans="2:62" ht="15.75" customHeight="1">
      <c r="B519" s="7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406"/>
      <c r="N519" s="339"/>
      <c r="O519" s="339"/>
      <c r="P519" s="339"/>
      <c r="Q519" s="339"/>
      <c r="R519" s="339"/>
      <c r="S519" s="406"/>
      <c r="T519" s="339"/>
      <c r="U519" s="339"/>
      <c r="V519" s="339"/>
      <c r="W519" s="339"/>
      <c r="X519" s="339"/>
      <c r="Y519" s="250"/>
      <c r="Z519" s="250"/>
      <c r="AA519" s="250"/>
      <c r="AB519" s="250"/>
      <c r="AC519" s="250"/>
      <c r="AD519" s="250"/>
      <c r="AE519" s="250"/>
      <c r="AF519" s="250"/>
      <c r="AG519" s="250"/>
      <c r="AH519" s="250"/>
      <c r="AI519" s="250"/>
      <c r="AJ519" s="250"/>
      <c r="AK519" s="250"/>
      <c r="AL519" s="250"/>
      <c r="AM519" s="250"/>
      <c r="AN519" s="250"/>
      <c r="AO519" s="250"/>
      <c r="AP519" s="250"/>
      <c r="AQ519" s="250"/>
      <c r="AR519" s="250"/>
      <c r="AS519" s="250"/>
      <c r="AT519" s="250"/>
      <c r="AU519" s="250"/>
      <c r="AV519" s="250"/>
      <c r="AW519" s="250"/>
      <c r="AX519" s="250"/>
      <c r="AY519" s="250"/>
      <c r="AZ519" s="250"/>
      <c r="BA519" s="250"/>
      <c r="BB519" s="250"/>
      <c r="BC519" s="250"/>
      <c r="BD519" s="250"/>
      <c r="BE519" s="250"/>
      <c r="BF519" s="250"/>
      <c r="BG519" s="250"/>
      <c r="BH519" s="250"/>
      <c r="BI519" s="250"/>
      <c r="BJ519" s="250"/>
    </row>
    <row r="520" spans="2:62" ht="15.75" customHeight="1">
      <c r="B520" s="7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406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250"/>
      <c r="Z520" s="250"/>
      <c r="AA520" s="250"/>
      <c r="AB520" s="250"/>
      <c r="AC520" s="250"/>
      <c r="AD520" s="250"/>
      <c r="AE520" s="250"/>
      <c r="AF520" s="250"/>
      <c r="AG520" s="250"/>
      <c r="AH520" s="250"/>
      <c r="AI520" s="250"/>
      <c r="AJ520" s="250"/>
      <c r="AK520" s="250"/>
      <c r="AL520" s="250"/>
      <c r="AM520" s="250"/>
      <c r="AN520" s="250"/>
      <c r="AO520" s="250"/>
      <c r="AP520" s="250"/>
      <c r="AQ520" s="250"/>
      <c r="AR520" s="250"/>
      <c r="AS520" s="250"/>
      <c r="AT520" s="250"/>
      <c r="AU520" s="250"/>
      <c r="AV520" s="250"/>
      <c r="AW520" s="250"/>
      <c r="AX520" s="250"/>
      <c r="AY520" s="250"/>
      <c r="AZ520" s="250"/>
      <c r="BA520" s="250"/>
      <c r="BB520" s="250"/>
      <c r="BC520" s="250"/>
      <c r="BD520" s="250"/>
      <c r="BE520" s="250"/>
      <c r="BF520" s="250"/>
      <c r="BG520" s="250"/>
      <c r="BH520" s="250"/>
      <c r="BI520" s="250"/>
      <c r="BJ520" s="250"/>
    </row>
    <row r="521" spans="2:62" ht="15.75" customHeight="1">
      <c r="B521" s="7"/>
      <c r="C521" s="339"/>
      <c r="D521" s="339"/>
      <c r="E521" s="339"/>
      <c r="F521" s="339"/>
      <c r="G521" s="339"/>
      <c r="H521" s="339"/>
      <c r="I521" s="339"/>
      <c r="J521" s="405"/>
      <c r="K521" s="405"/>
      <c r="L521" s="405"/>
      <c r="M521" s="408"/>
      <c r="N521" s="405"/>
      <c r="O521" s="405"/>
      <c r="P521" s="405"/>
      <c r="Q521" s="339"/>
      <c r="R521" s="339"/>
      <c r="S521" s="405"/>
      <c r="T521" s="339"/>
      <c r="U521" s="339"/>
      <c r="V521" s="339"/>
      <c r="W521" s="339"/>
      <c r="X521" s="339"/>
      <c r="Y521" s="250"/>
      <c r="Z521" s="250"/>
      <c r="AA521" s="250"/>
      <c r="AB521" s="250"/>
      <c r="AC521" s="250"/>
      <c r="AD521" s="250"/>
      <c r="AE521" s="250"/>
      <c r="AF521" s="250"/>
      <c r="AG521" s="250"/>
      <c r="AH521" s="250"/>
      <c r="AI521" s="250"/>
      <c r="AJ521" s="250"/>
      <c r="AK521" s="250"/>
      <c r="AL521" s="250"/>
      <c r="AM521" s="250"/>
      <c r="AN521" s="250"/>
      <c r="AO521" s="250"/>
      <c r="AP521" s="250"/>
      <c r="AQ521" s="250"/>
      <c r="AR521" s="250"/>
      <c r="AS521" s="250"/>
      <c r="AT521" s="250"/>
      <c r="AU521" s="250"/>
      <c r="AV521" s="250"/>
      <c r="AW521" s="250"/>
      <c r="AX521" s="250"/>
      <c r="AY521" s="250"/>
      <c r="AZ521" s="250"/>
      <c r="BA521" s="250"/>
      <c r="BB521" s="250"/>
      <c r="BC521" s="250"/>
      <c r="BD521" s="250"/>
      <c r="BE521" s="250"/>
      <c r="BF521" s="250"/>
      <c r="BG521" s="250"/>
      <c r="BH521" s="250"/>
      <c r="BI521" s="250"/>
      <c r="BJ521" s="250"/>
    </row>
    <row r="522" spans="2:62" ht="15.75" customHeight="1">
      <c r="B522" s="7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33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250"/>
      <c r="Z522" s="250"/>
      <c r="AA522" s="250"/>
      <c r="AB522" s="250"/>
      <c r="AC522" s="250"/>
      <c r="AD522" s="250"/>
      <c r="AE522" s="250"/>
      <c r="AF522" s="250"/>
      <c r="AG522" s="250"/>
      <c r="AH522" s="250"/>
      <c r="AI522" s="250"/>
      <c r="AJ522" s="250"/>
      <c r="AK522" s="250"/>
      <c r="AL522" s="250"/>
      <c r="AM522" s="250"/>
      <c r="AN522" s="250"/>
      <c r="AO522" s="250"/>
      <c r="AP522" s="250"/>
      <c r="AQ522" s="250"/>
      <c r="AR522" s="250"/>
      <c r="AS522" s="250"/>
      <c r="AT522" s="250"/>
      <c r="AU522" s="250"/>
      <c r="AV522" s="250"/>
      <c r="AW522" s="250"/>
      <c r="AX522" s="250"/>
      <c r="AY522" s="250"/>
      <c r="AZ522" s="250"/>
      <c r="BA522" s="250"/>
      <c r="BB522" s="250"/>
      <c r="BC522" s="250"/>
      <c r="BD522" s="250"/>
      <c r="BE522" s="250"/>
      <c r="BF522" s="250"/>
      <c r="BG522" s="250"/>
      <c r="BH522" s="250"/>
      <c r="BI522" s="250"/>
      <c r="BJ522" s="250"/>
    </row>
    <row r="523" spans="2:62" ht="15.75" customHeight="1">
      <c r="B523" s="7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33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250"/>
      <c r="Z523" s="250"/>
      <c r="AA523" s="250"/>
      <c r="AB523" s="250"/>
      <c r="AC523" s="250"/>
      <c r="AD523" s="250"/>
      <c r="AE523" s="250"/>
      <c r="AF523" s="250"/>
      <c r="AG523" s="250"/>
      <c r="AH523" s="250"/>
      <c r="AI523" s="250"/>
      <c r="AJ523" s="250"/>
      <c r="AK523" s="250"/>
      <c r="AL523" s="250"/>
      <c r="AM523" s="250"/>
      <c r="AN523" s="250"/>
      <c r="AO523" s="250"/>
      <c r="AP523" s="250"/>
      <c r="AQ523" s="250"/>
      <c r="AR523" s="250"/>
      <c r="AS523" s="250"/>
      <c r="AT523" s="250"/>
      <c r="AU523" s="250"/>
      <c r="AV523" s="250"/>
      <c r="AW523" s="250"/>
      <c r="AX523" s="250"/>
      <c r="AY523" s="250"/>
      <c r="AZ523" s="250"/>
      <c r="BA523" s="250"/>
      <c r="BB523" s="250"/>
      <c r="BC523" s="250"/>
      <c r="BD523" s="250"/>
      <c r="BE523" s="250"/>
      <c r="BF523" s="250"/>
      <c r="BG523" s="250"/>
      <c r="BH523" s="250"/>
      <c r="BI523" s="250"/>
      <c r="BJ523" s="250"/>
    </row>
    <row r="524" spans="2:62" ht="15.75" customHeight="1">
      <c r="B524" s="7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33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250"/>
      <c r="Z524" s="250"/>
      <c r="AA524" s="250"/>
      <c r="AB524" s="250"/>
      <c r="AC524" s="250"/>
      <c r="AD524" s="250"/>
      <c r="AE524" s="250"/>
      <c r="AF524" s="250"/>
      <c r="AG524" s="250"/>
      <c r="AH524" s="250"/>
      <c r="AI524" s="250"/>
      <c r="AJ524" s="250"/>
      <c r="AK524" s="250"/>
      <c r="AL524" s="250"/>
      <c r="AM524" s="250"/>
      <c r="AN524" s="250"/>
      <c r="AO524" s="250"/>
      <c r="AP524" s="250"/>
      <c r="AQ524" s="250"/>
      <c r="AR524" s="250"/>
      <c r="AS524" s="250"/>
      <c r="AT524" s="250"/>
      <c r="AU524" s="250"/>
      <c r="AV524" s="250"/>
      <c r="AW524" s="250"/>
      <c r="AX524" s="250"/>
      <c r="AY524" s="250"/>
      <c r="AZ524" s="250"/>
      <c r="BA524" s="250"/>
      <c r="BB524" s="250"/>
      <c r="BC524" s="250"/>
      <c r="BD524" s="250"/>
      <c r="BE524" s="250"/>
      <c r="BF524" s="250"/>
      <c r="BG524" s="250"/>
      <c r="BH524" s="250"/>
      <c r="BI524" s="250"/>
      <c r="BJ524" s="250"/>
    </row>
    <row r="525" spans="2:62" ht="15.75" customHeight="1">
      <c r="B525" s="7"/>
      <c r="C525" s="409"/>
      <c r="D525" s="410"/>
      <c r="E525" s="410"/>
      <c r="F525" s="410"/>
      <c r="G525" s="410"/>
      <c r="H525" s="410"/>
      <c r="I525" s="410"/>
      <c r="J525" s="410"/>
      <c r="K525" s="410"/>
      <c r="L525" s="410"/>
      <c r="M525" s="410"/>
      <c r="N525" s="410"/>
      <c r="O525" s="410"/>
      <c r="P525" s="410"/>
      <c r="Q525" s="410"/>
      <c r="R525" s="410"/>
      <c r="S525" s="410"/>
      <c r="T525" s="339"/>
      <c r="U525" s="339"/>
      <c r="V525" s="339"/>
      <c r="W525" s="339"/>
      <c r="X525" s="339"/>
      <c r="Y525" s="250"/>
      <c r="Z525" s="250"/>
      <c r="AA525" s="250"/>
      <c r="AB525" s="250"/>
      <c r="AC525" s="250"/>
      <c r="AD525" s="250"/>
      <c r="AE525" s="250"/>
      <c r="AF525" s="250"/>
      <c r="AG525" s="250"/>
      <c r="AH525" s="250"/>
      <c r="AI525" s="250"/>
      <c r="AJ525" s="250"/>
      <c r="AK525" s="250"/>
      <c r="AL525" s="250"/>
      <c r="AM525" s="250"/>
      <c r="AN525" s="250"/>
      <c r="AO525" s="250"/>
      <c r="AP525" s="250"/>
      <c r="AQ525" s="250"/>
      <c r="AR525" s="250"/>
      <c r="AS525" s="250"/>
      <c r="AT525" s="250"/>
      <c r="AU525" s="250"/>
      <c r="AV525" s="250"/>
      <c r="AW525" s="250"/>
      <c r="AX525" s="250"/>
      <c r="AY525" s="250"/>
      <c r="AZ525" s="250"/>
      <c r="BA525" s="250"/>
      <c r="BB525" s="250"/>
      <c r="BC525" s="250"/>
      <c r="BD525" s="250"/>
      <c r="BE525" s="250"/>
      <c r="BF525" s="250"/>
      <c r="BG525" s="250"/>
      <c r="BH525" s="250"/>
      <c r="BI525" s="250"/>
      <c r="BJ525" s="250"/>
    </row>
    <row r="526" spans="2:62" ht="15.75" customHeight="1">
      <c r="B526" s="7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339"/>
      <c r="N526" s="339"/>
      <c r="O526" s="339"/>
      <c r="P526" s="339"/>
      <c r="Q526" s="411"/>
      <c r="R526" s="339"/>
      <c r="S526" s="339"/>
      <c r="T526" s="339"/>
      <c r="U526" s="339"/>
      <c r="V526" s="339"/>
      <c r="W526" s="339"/>
      <c r="X526" s="339"/>
      <c r="Y526" s="250"/>
      <c r="Z526" s="250"/>
      <c r="AA526" s="250"/>
      <c r="AB526" s="250"/>
      <c r="AC526" s="250"/>
      <c r="AD526" s="250"/>
      <c r="AE526" s="250"/>
      <c r="AF526" s="250"/>
      <c r="AG526" s="250"/>
      <c r="AH526" s="250"/>
      <c r="AI526" s="250"/>
      <c r="AJ526" s="250"/>
      <c r="AK526" s="250"/>
      <c r="AL526" s="250"/>
      <c r="AM526" s="250"/>
      <c r="AN526" s="250"/>
      <c r="AO526" s="250"/>
      <c r="AP526" s="250"/>
      <c r="AQ526" s="250"/>
      <c r="AR526" s="250"/>
      <c r="AS526" s="250"/>
      <c r="AT526" s="250"/>
      <c r="AU526" s="250"/>
      <c r="AV526" s="250"/>
      <c r="AW526" s="250"/>
      <c r="AX526" s="250"/>
      <c r="AY526" s="250"/>
      <c r="AZ526" s="250"/>
      <c r="BA526" s="250"/>
      <c r="BB526" s="250"/>
      <c r="BC526" s="250"/>
      <c r="BD526" s="250"/>
      <c r="BE526" s="250"/>
      <c r="BF526" s="250"/>
      <c r="BG526" s="250"/>
      <c r="BH526" s="250"/>
      <c r="BI526" s="250"/>
      <c r="BJ526" s="250"/>
    </row>
    <row r="527" spans="2:62" ht="15.75" customHeight="1">
      <c r="B527" s="7"/>
      <c r="C527" s="339"/>
      <c r="D527" s="339"/>
      <c r="E527" s="339"/>
      <c r="F527" s="339"/>
      <c r="G527" s="339"/>
      <c r="H527" s="339"/>
      <c r="I527" s="339"/>
      <c r="J527" s="339"/>
      <c r="K527" s="339"/>
      <c r="L527" s="412"/>
      <c r="M527" s="413"/>
      <c r="N527" s="413"/>
      <c r="O527" s="339"/>
      <c r="P527" s="412"/>
      <c r="Q527" s="413"/>
      <c r="R527" s="413"/>
      <c r="S527" s="412"/>
      <c r="T527" s="339"/>
      <c r="U527" s="339"/>
      <c r="V527" s="339"/>
      <c r="W527" s="339"/>
      <c r="X527" s="339"/>
      <c r="Y527" s="250"/>
      <c r="Z527" s="250"/>
      <c r="AA527" s="250"/>
      <c r="AB527" s="250"/>
      <c r="AC527" s="250"/>
      <c r="AD527" s="250"/>
      <c r="AE527" s="250"/>
      <c r="AF527" s="250"/>
      <c r="AG527" s="250"/>
      <c r="AH527" s="250"/>
      <c r="AI527" s="250"/>
      <c r="AJ527" s="250"/>
      <c r="AK527" s="250"/>
      <c r="AL527" s="250"/>
      <c r="AM527" s="250"/>
      <c r="AN527" s="250"/>
      <c r="AO527" s="250"/>
      <c r="AP527" s="250"/>
      <c r="AQ527" s="250"/>
      <c r="AR527" s="250"/>
      <c r="AS527" s="250"/>
      <c r="AT527" s="250"/>
      <c r="AU527" s="250"/>
      <c r="AV527" s="250"/>
      <c r="AW527" s="250"/>
      <c r="AX527" s="250"/>
      <c r="AY527" s="250"/>
      <c r="AZ527" s="250"/>
      <c r="BA527" s="250"/>
      <c r="BB527" s="250"/>
      <c r="BC527" s="250"/>
      <c r="BD527" s="250"/>
      <c r="BE527" s="250"/>
      <c r="BF527" s="250"/>
      <c r="BG527" s="250"/>
      <c r="BH527" s="250"/>
      <c r="BI527" s="250"/>
      <c r="BJ527" s="250"/>
    </row>
    <row r="528" spans="2:62" ht="15.75" customHeight="1">
      <c r="B528" s="7"/>
      <c r="C528" s="339"/>
      <c r="D528" s="339"/>
      <c r="E528" s="412"/>
      <c r="F528" s="414"/>
      <c r="G528" s="339"/>
      <c r="H528" s="412"/>
      <c r="I528" s="414"/>
      <c r="J528" s="413"/>
      <c r="K528" s="405"/>
      <c r="L528" s="412"/>
      <c r="M528" s="413"/>
      <c r="N528" s="413"/>
      <c r="O528" s="405"/>
      <c r="P528" s="412"/>
      <c r="Q528" s="413"/>
      <c r="R528" s="413"/>
      <c r="S528" s="412"/>
      <c r="T528" s="339"/>
      <c r="U528" s="339"/>
      <c r="V528" s="339"/>
      <c r="W528" s="339"/>
      <c r="X528" s="339"/>
      <c r="Y528" s="250"/>
      <c r="Z528" s="250"/>
      <c r="AA528" s="250"/>
      <c r="AB528" s="250"/>
      <c r="AC528" s="250"/>
      <c r="AD528" s="250"/>
      <c r="AE528" s="250"/>
      <c r="AF528" s="250"/>
      <c r="AG528" s="250"/>
      <c r="AH528" s="250"/>
      <c r="AI528" s="250"/>
      <c r="AJ528" s="250"/>
      <c r="AK528" s="250"/>
      <c r="AL528" s="250"/>
      <c r="AM528" s="250"/>
      <c r="AN528" s="250"/>
      <c r="AO528" s="250"/>
      <c r="AP528" s="250"/>
      <c r="AQ528" s="250"/>
      <c r="AR528" s="250"/>
      <c r="AS528" s="250"/>
      <c r="AT528" s="250"/>
      <c r="AU528" s="250"/>
      <c r="AV528" s="250"/>
      <c r="AW528" s="250"/>
      <c r="AX528" s="250"/>
      <c r="AY528" s="250"/>
      <c r="AZ528" s="250"/>
      <c r="BA528" s="250"/>
      <c r="BB528" s="250"/>
      <c r="BC528" s="250"/>
      <c r="BD528" s="250"/>
      <c r="BE528" s="250"/>
      <c r="BF528" s="250"/>
      <c r="BG528" s="250"/>
      <c r="BH528" s="250"/>
      <c r="BI528" s="250"/>
      <c r="BJ528" s="250"/>
    </row>
    <row r="529" spans="2:62" ht="15.75" customHeight="1">
      <c r="B529" s="7"/>
      <c r="C529" s="339"/>
      <c r="D529" s="415"/>
      <c r="E529" s="414"/>
      <c r="F529" s="414"/>
      <c r="G529" s="415"/>
      <c r="H529" s="414"/>
      <c r="I529" s="414"/>
      <c r="J529" s="414"/>
      <c r="K529" s="414"/>
      <c r="L529" s="414"/>
      <c r="M529" s="414"/>
      <c r="N529" s="414"/>
      <c r="O529" s="414"/>
      <c r="P529" s="414"/>
      <c r="Q529" s="414"/>
      <c r="R529" s="414"/>
      <c r="S529" s="414"/>
      <c r="T529" s="339"/>
      <c r="U529" s="339"/>
      <c r="V529" s="339"/>
      <c r="W529" s="339"/>
      <c r="X529" s="339"/>
      <c r="Y529" s="250"/>
      <c r="Z529" s="250"/>
      <c r="AA529" s="250"/>
      <c r="AB529" s="250"/>
      <c r="AC529" s="250"/>
      <c r="AD529" s="250"/>
      <c r="AE529" s="250"/>
      <c r="AF529" s="250"/>
      <c r="AG529" s="250"/>
      <c r="AH529" s="250"/>
      <c r="AI529" s="250"/>
      <c r="AJ529" s="250"/>
      <c r="AK529" s="250"/>
      <c r="AL529" s="250"/>
      <c r="AM529" s="250"/>
      <c r="AN529" s="250"/>
      <c r="AO529" s="250"/>
      <c r="AP529" s="250"/>
      <c r="AQ529" s="250"/>
      <c r="AR529" s="250"/>
      <c r="AS529" s="250"/>
      <c r="AT529" s="250"/>
      <c r="AU529" s="250"/>
      <c r="AV529" s="250"/>
      <c r="AW529" s="250"/>
      <c r="AX529" s="250"/>
      <c r="AY529" s="250"/>
      <c r="AZ529" s="250"/>
      <c r="BA529" s="250"/>
      <c r="BB529" s="250"/>
      <c r="BC529" s="250"/>
      <c r="BD529" s="250"/>
      <c r="BE529" s="250"/>
      <c r="BF529" s="250"/>
      <c r="BG529" s="250"/>
      <c r="BH529" s="250"/>
      <c r="BI529" s="250"/>
      <c r="BJ529" s="250"/>
    </row>
    <row r="530" spans="2:62" ht="15.75" customHeight="1">
      <c r="B530" s="7"/>
      <c r="C530" s="405"/>
      <c r="D530" s="339"/>
      <c r="E530" s="339"/>
      <c r="F530" s="339"/>
      <c r="G530" s="339"/>
      <c r="H530" s="339"/>
      <c r="I530" s="339"/>
      <c r="J530" s="339"/>
      <c r="K530" s="339"/>
      <c r="L530" s="339"/>
      <c r="M530" s="33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250"/>
      <c r="Z530" s="250"/>
      <c r="AA530" s="250"/>
      <c r="AB530" s="250"/>
      <c r="AC530" s="250"/>
      <c r="AD530" s="250"/>
      <c r="AE530" s="250"/>
      <c r="AF530" s="250"/>
      <c r="AG530" s="250"/>
      <c r="AH530" s="250"/>
      <c r="AI530" s="250"/>
      <c r="AJ530" s="250"/>
      <c r="AK530" s="250"/>
      <c r="AL530" s="250"/>
      <c r="AM530" s="250"/>
      <c r="AN530" s="250"/>
      <c r="AO530" s="250"/>
      <c r="AP530" s="250"/>
      <c r="AQ530" s="250"/>
      <c r="AR530" s="250"/>
      <c r="AS530" s="250"/>
      <c r="AT530" s="250"/>
      <c r="AU530" s="250"/>
      <c r="AV530" s="250"/>
      <c r="AW530" s="250"/>
      <c r="AX530" s="250"/>
      <c r="AY530" s="250"/>
      <c r="AZ530" s="250"/>
      <c r="BA530" s="250"/>
      <c r="BB530" s="250"/>
      <c r="BC530" s="250"/>
      <c r="BD530" s="250"/>
      <c r="BE530" s="250"/>
      <c r="BF530" s="250"/>
      <c r="BG530" s="250"/>
      <c r="BH530" s="250"/>
      <c r="BI530" s="250"/>
      <c r="BJ530" s="250"/>
    </row>
    <row r="531" spans="2:62" ht="15.75" customHeight="1">
      <c r="B531" s="7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33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250"/>
      <c r="Z531" s="250"/>
      <c r="AA531" s="250"/>
      <c r="AB531" s="250"/>
      <c r="AC531" s="250"/>
      <c r="AD531" s="250"/>
      <c r="AE531" s="250"/>
      <c r="AF531" s="250"/>
      <c r="AG531" s="250"/>
      <c r="AH531" s="250"/>
      <c r="AI531" s="250"/>
      <c r="AJ531" s="250"/>
      <c r="AK531" s="250"/>
      <c r="AL531" s="250"/>
      <c r="AM531" s="250"/>
      <c r="AN531" s="250"/>
      <c r="AO531" s="250"/>
      <c r="AP531" s="250"/>
      <c r="AQ531" s="250"/>
      <c r="AR531" s="250"/>
      <c r="AS531" s="250"/>
      <c r="AT531" s="250"/>
      <c r="AU531" s="250"/>
      <c r="AV531" s="250"/>
      <c r="AW531" s="250"/>
      <c r="AX531" s="250"/>
      <c r="AY531" s="250"/>
      <c r="AZ531" s="250"/>
      <c r="BA531" s="250"/>
      <c r="BB531" s="250"/>
      <c r="BC531" s="250"/>
      <c r="BD531" s="250"/>
      <c r="BE531" s="250"/>
      <c r="BF531" s="250"/>
      <c r="BG531" s="250"/>
      <c r="BH531" s="250"/>
      <c r="BI531" s="250"/>
      <c r="BJ531" s="250"/>
    </row>
    <row r="532" spans="2:62" ht="15.75" customHeight="1">
      <c r="B532" s="7"/>
      <c r="C532" s="339"/>
      <c r="D532" s="339"/>
      <c r="E532" s="406"/>
      <c r="F532" s="416"/>
      <c r="G532" s="339"/>
      <c r="H532" s="406"/>
      <c r="I532" s="416"/>
      <c r="J532" s="416"/>
      <c r="K532" s="406"/>
      <c r="L532" s="416"/>
      <c r="M532" s="406"/>
      <c r="N532" s="416"/>
      <c r="O532" s="406"/>
      <c r="P532" s="416"/>
      <c r="Q532" s="406"/>
      <c r="R532" s="406"/>
      <c r="S532" s="406"/>
      <c r="T532" s="339"/>
      <c r="U532" s="339"/>
      <c r="V532" s="339"/>
      <c r="W532" s="339"/>
      <c r="X532" s="339"/>
      <c r="Y532" s="250"/>
      <c r="Z532" s="250"/>
      <c r="AA532" s="250"/>
      <c r="AB532" s="250"/>
      <c r="AC532" s="250"/>
      <c r="AD532" s="250"/>
      <c r="AE532" s="250"/>
      <c r="AF532" s="250"/>
      <c r="AG532" s="250"/>
      <c r="AH532" s="250"/>
      <c r="AI532" s="250"/>
      <c r="AJ532" s="250"/>
      <c r="AK532" s="250"/>
      <c r="AL532" s="250"/>
      <c r="AM532" s="250"/>
      <c r="AN532" s="250"/>
      <c r="AO532" s="250"/>
      <c r="AP532" s="250"/>
      <c r="AQ532" s="250"/>
      <c r="AR532" s="250"/>
      <c r="AS532" s="250"/>
      <c r="AT532" s="250"/>
      <c r="AU532" s="250"/>
      <c r="AV532" s="250"/>
      <c r="AW532" s="250"/>
      <c r="AX532" s="250"/>
      <c r="AY532" s="250"/>
      <c r="AZ532" s="250"/>
      <c r="BA532" s="250"/>
      <c r="BB532" s="250"/>
      <c r="BC532" s="250"/>
      <c r="BD532" s="250"/>
      <c r="BE532" s="250"/>
      <c r="BF532" s="250"/>
      <c r="BG532" s="250"/>
      <c r="BH532" s="250"/>
      <c r="BI532" s="250"/>
      <c r="BJ532" s="250"/>
    </row>
    <row r="533" spans="2:62" ht="15.75" customHeight="1">
      <c r="B533" s="7"/>
      <c r="C533" s="339"/>
      <c r="D533" s="339"/>
      <c r="E533" s="406"/>
      <c r="F533" s="416"/>
      <c r="G533" s="339"/>
      <c r="H533" s="406"/>
      <c r="I533" s="416"/>
      <c r="J533" s="416"/>
      <c r="K533" s="406"/>
      <c r="L533" s="416"/>
      <c r="M533" s="406"/>
      <c r="N533" s="416"/>
      <c r="O533" s="406"/>
      <c r="P533" s="416"/>
      <c r="Q533" s="406"/>
      <c r="R533" s="406"/>
      <c r="S533" s="406"/>
      <c r="T533" s="339"/>
      <c r="U533" s="339"/>
      <c r="V533" s="339"/>
      <c r="W533" s="339"/>
      <c r="X533" s="339"/>
      <c r="Y533" s="250"/>
      <c r="Z533" s="250"/>
      <c r="AA533" s="250"/>
      <c r="AB533" s="250"/>
      <c r="AC533" s="250"/>
      <c r="AD533" s="250"/>
      <c r="AE533" s="250"/>
      <c r="AF533" s="250"/>
      <c r="AG533" s="250"/>
      <c r="AH533" s="250"/>
      <c r="AI533" s="250"/>
      <c r="AJ533" s="250"/>
      <c r="AK533" s="250"/>
      <c r="AL533" s="250"/>
      <c r="AM533" s="250"/>
      <c r="AN533" s="250"/>
      <c r="AO533" s="250"/>
      <c r="AP533" s="250"/>
      <c r="AQ533" s="250"/>
      <c r="AR533" s="250"/>
      <c r="AS533" s="250"/>
      <c r="AT533" s="250"/>
      <c r="AU533" s="250"/>
      <c r="AV533" s="250"/>
      <c r="AW533" s="250"/>
      <c r="AX533" s="250"/>
      <c r="AY533" s="250"/>
      <c r="AZ533" s="250"/>
      <c r="BA533" s="250"/>
      <c r="BB533" s="250"/>
      <c r="BC533" s="250"/>
      <c r="BD533" s="250"/>
      <c r="BE533" s="250"/>
      <c r="BF533" s="250"/>
      <c r="BG533" s="250"/>
      <c r="BH533" s="250"/>
      <c r="BI533" s="250"/>
      <c r="BJ533" s="250"/>
    </row>
    <row r="534" spans="2:62" ht="15.75" customHeight="1">
      <c r="B534" s="7"/>
      <c r="C534" s="339"/>
      <c r="D534" s="339"/>
      <c r="E534" s="406"/>
      <c r="F534" s="416"/>
      <c r="G534" s="339"/>
      <c r="H534" s="406"/>
      <c r="I534" s="416"/>
      <c r="J534" s="416"/>
      <c r="K534" s="406"/>
      <c r="L534" s="416"/>
      <c r="M534" s="406"/>
      <c r="N534" s="416"/>
      <c r="O534" s="406"/>
      <c r="P534" s="416"/>
      <c r="Q534" s="406"/>
      <c r="R534" s="406"/>
      <c r="S534" s="406"/>
      <c r="T534" s="339"/>
      <c r="U534" s="339"/>
      <c r="V534" s="339"/>
      <c r="W534" s="339"/>
      <c r="X534" s="339"/>
      <c r="Y534" s="250"/>
      <c r="Z534" s="250"/>
      <c r="AA534" s="250"/>
      <c r="AB534" s="250"/>
      <c r="AC534" s="250"/>
      <c r="AD534" s="250"/>
      <c r="AE534" s="250"/>
      <c r="AF534" s="250"/>
      <c r="AG534" s="250"/>
      <c r="AH534" s="250"/>
      <c r="AI534" s="250"/>
      <c r="AJ534" s="250"/>
      <c r="AK534" s="250"/>
      <c r="AL534" s="250"/>
      <c r="AM534" s="250"/>
      <c r="AN534" s="250"/>
      <c r="AO534" s="250"/>
      <c r="AP534" s="250"/>
      <c r="AQ534" s="250"/>
      <c r="AR534" s="250"/>
      <c r="AS534" s="250"/>
      <c r="AT534" s="250"/>
      <c r="AU534" s="250"/>
      <c r="AV534" s="250"/>
      <c r="AW534" s="250"/>
      <c r="AX534" s="250"/>
      <c r="AY534" s="250"/>
      <c r="AZ534" s="250"/>
      <c r="BA534" s="250"/>
      <c r="BB534" s="250"/>
      <c r="BC534" s="250"/>
      <c r="BD534" s="250"/>
      <c r="BE534" s="250"/>
      <c r="BF534" s="250"/>
      <c r="BG534" s="250"/>
      <c r="BH534" s="250"/>
      <c r="BI534" s="250"/>
      <c r="BJ534" s="250"/>
    </row>
    <row r="535" spans="2:62" ht="15.75" customHeight="1">
      <c r="B535" s="7"/>
      <c r="C535" s="339"/>
      <c r="D535" s="339"/>
      <c r="E535" s="406"/>
      <c r="F535" s="416"/>
      <c r="G535" s="339"/>
      <c r="H535" s="406"/>
      <c r="I535" s="416"/>
      <c r="J535" s="416"/>
      <c r="K535" s="406"/>
      <c r="L535" s="416"/>
      <c r="M535" s="406"/>
      <c r="N535" s="416"/>
      <c r="O535" s="406"/>
      <c r="P535" s="416"/>
      <c r="Q535" s="406"/>
      <c r="R535" s="406"/>
      <c r="S535" s="406"/>
      <c r="T535" s="339"/>
      <c r="U535" s="339"/>
      <c r="V535" s="339"/>
      <c r="W535" s="339"/>
      <c r="X535" s="339"/>
      <c r="Y535" s="250"/>
      <c r="Z535" s="250"/>
      <c r="AA535" s="250"/>
      <c r="AB535" s="250"/>
      <c r="AC535" s="250"/>
      <c r="AD535" s="250"/>
      <c r="AE535" s="250"/>
      <c r="AF535" s="250"/>
      <c r="AG535" s="250"/>
      <c r="AH535" s="250"/>
      <c r="AI535" s="250"/>
      <c r="AJ535" s="250"/>
      <c r="AK535" s="250"/>
      <c r="AL535" s="250"/>
      <c r="AM535" s="250"/>
      <c r="AN535" s="250"/>
      <c r="AO535" s="250"/>
      <c r="AP535" s="250"/>
      <c r="AQ535" s="250"/>
      <c r="AR535" s="250"/>
      <c r="AS535" s="250"/>
      <c r="AT535" s="250"/>
      <c r="AU535" s="250"/>
      <c r="AV535" s="250"/>
      <c r="AW535" s="250"/>
      <c r="AX535" s="250"/>
      <c r="AY535" s="250"/>
      <c r="AZ535" s="250"/>
      <c r="BA535" s="250"/>
      <c r="BB535" s="250"/>
      <c r="BC535" s="250"/>
      <c r="BD535" s="250"/>
      <c r="BE535" s="250"/>
      <c r="BF535" s="250"/>
      <c r="BG535" s="250"/>
      <c r="BH535" s="250"/>
      <c r="BI535" s="250"/>
      <c r="BJ535" s="250"/>
    </row>
    <row r="536" spans="2:62" ht="15.75" customHeight="1">
      <c r="B536" s="7"/>
      <c r="C536" s="339"/>
      <c r="D536" s="339"/>
      <c r="E536" s="406"/>
      <c r="F536" s="416"/>
      <c r="G536" s="339"/>
      <c r="H536" s="406"/>
      <c r="I536" s="416"/>
      <c r="J536" s="416"/>
      <c r="K536" s="406"/>
      <c r="L536" s="416"/>
      <c r="M536" s="406"/>
      <c r="N536" s="416"/>
      <c r="O536" s="406"/>
      <c r="P536" s="416"/>
      <c r="Q536" s="406"/>
      <c r="R536" s="406"/>
      <c r="S536" s="339"/>
      <c r="T536" s="339"/>
      <c r="U536" s="339"/>
      <c r="V536" s="339"/>
      <c r="W536" s="339"/>
      <c r="X536" s="339"/>
      <c r="Y536" s="250"/>
      <c r="Z536" s="250"/>
      <c r="AA536" s="250"/>
      <c r="AB536" s="250"/>
      <c r="AC536" s="250"/>
      <c r="AD536" s="250"/>
      <c r="AE536" s="250"/>
      <c r="AF536" s="250"/>
      <c r="AG536" s="250"/>
      <c r="AH536" s="250"/>
      <c r="AI536" s="250"/>
      <c r="AJ536" s="250"/>
      <c r="AK536" s="250"/>
      <c r="AL536" s="250"/>
      <c r="AM536" s="250"/>
      <c r="AN536" s="250"/>
      <c r="AO536" s="250"/>
      <c r="AP536" s="250"/>
      <c r="AQ536" s="250"/>
      <c r="AR536" s="250"/>
      <c r="AS536" s="250"/>
      <c r="AT536" s="250"/>
      <c r="AU536" s="250"/>
      <c r="AV536" s="250"/>
      <c r="AW536" s="250"/>
      <c r="AX536" s="250"/>
      <c r="AY536" s="250"/>
      <c r="AZ536" s="250"/>
      <c r="BA536" s="250"/>
      <c r="BB536" s="250"/>
      <c r="BC536" s="250"/>
      <c r="BD536" s="250"/>
      <c r="BE536" s="250"/>
      <c r="BF536" s="250"/>
      <c r="BG536" s="250"/>
      <c r="BH536" s="250"/>
      <c r="BI536" s="250"/>
      <c r="BJ536" s="250"/>
    </row>
    <row r="537" spans="2:62" ht="15.75" customHeight="1">
      <c r="B537" s="7"/>
      <c r="C537" s="339"/>
      <c r="D537" s="339"/>
      <c r="E537" s="406"/>
      <c r="F537" s="416"/>
      <c r="G537" s="339"/>
      <c r="H537" s="406"/>
      <c r="I537" s="416"/>
      <c r="J537" s="416"/>
      <c r="K537" s="406"/>
      <c r="L537" s="416"/>
      <c r="M537" s="406"/>
      <c r="N537" s="416"/>
      <c r="O537" s="406"/>
      <c r="P537" s="416"/>
      <c r="Q537" s="406"/>
      <c r="R537" s="406"/>
      <c r="S537" s="406"/>
      <c r="T537" s="339"/>
      <c r="U537" s="339"/>
      <c r="V537" s="339"/>
      <c r="W537" s="339"/>
      <c r="X537" s="339"/>
      <c r="Y537" s="250"/>
      <c r="Z537" s="250"/>
      <c r="AA537" s="250"/>
      <c r="AB537" s="250"/>
      <c r="AC537" s="250"/>
      <c r="AD537" s="250"/>
      <c r="AE537" s="250"/>
      <c r="AF537" s="250"/>
      <c r="AG537" s="250"/>
      <c r="AH537" s="250"/>
      <c r="AI537" s="250"/>
      <c r="AJ537" s="250"/>
      <c r="AK537" s="250"/>
      <c r="AL537" s="250"/>
      <c r="AM537" s="250"/>
      <c r="AN537" s="250"/>
      <c r="AO537" s="250"/>
      <c r="AP537" s="250"/>
      <c r="AQ537" s="250"/>
      <c r="AR537" s="250"/>
      <c r="AS537" s="250"/>
      <c r="AT537" s="250"/>
      <c r="AU537" s="250"/>
      <c r="AV537" s="250"/>
      <c r="AW537" s="250"/>
      <c r="AX537" s="250"/>
      <c r="AY537" s="250"/>
      <c r="AZ537" s="250"/>
      <c r="BA537" s="250"/>
      <c r="BB537" s="250"/>
      <c r="BC537" s="250"/>
      <c r="BD537" s="250"/>
      <c r="BE537" s="250"/>
      <c r="BF537" s="250"/>
      <c r="BG537" s="250"/>
      <c r="BH537" s="250"/>
      <c r="BI537" s="250"/>
      <c r="BJ537" s="250"/>
    </row>
    <row r="538" spans="2:62" ht="15.75" customHeight="1">
      <c r="B538" s="7"/>
      <c r="C538" s="339"/>
      <c r="D538" s="339"/>
      <c r="E538" s="406"/>
      <c r="F538" s="417"/>
      <c r="G538" s="339"/>
      <c r="H538" s="406"/>
      <c r="I538" s="417"/>
      <c r="J538" s="416"/>
      <c r="K538" s="406"/>
      <c r="L538" s="416"/>
      <c r="M538" s="406"/>
      <c r="N538" s="416"/>
      <c r="O538" s="406"/>
      <c r="P538" s="339"/>
      <c r="Q538" s="339"/>
      <c r="R538" s="406"/>
      <c r="S538" s="406"/>
      <c r="T538" s="339"/>
      <c r="U538" s="339"/>
      <c r="V538" s="339"/>
      <c r="W538" s="339"/>
      <c r="X538" s="339"/>
      <c r="Y538" s="250"/>
      <c r="Z538" s="250"/>
      <c r="AA538" s="250"/>
      <c r="AB538" s="250"/>
      <c r="AC538" s="250"/>
      <c r="AD538" s="250"/>
      <c r="AE538" s="250"/>
      <c r="AF538" s="250"/>
      <c r="AG538" s="250"/>
      <c r="AH538" s="250"/>
      <c r="AI538" s="250"/>
      <c r="AJ538" s="250"/>
      <c r="AK538" s="250"/>
      <c r="AL538" s="250"/>
      <c r="AM538" s="250"/>
      <c r="AN538" s="250"/>
      <c r="AO538" s="250"/>
      <c r="AP538" s="250"/>
      <c r="AQ538" s="250"/>
      <c r="AR538" s="250"/>
      <c r="AS538" s="250"/>
      <c r="AT538" s="250"/>
      <c r="AU538" s="250"/>
      <c r="AV538" s="250"/>
      <c r="AW538" s="250"/>
      <c r="AX538" s="250"/>
      <c r="AY538" s="250"/>
      <c r="AZ538" s="250"/>
      <c r="BA538" s="250"/>
      <c r="BB538" s="250"/>
      <c r="BC538" s="250"/>
      <c r="BD538" s="250"/>
      <c r="BE538" s="250"/>
      <c r="BF538" s="250"/>
      <c r="BG538" s="250"/>
      <c r="BH538" s="250"/>
      <c r="BI538" s="250"/>
      <c r="BJ538" s="250"/>
    </row>
    <row r="539" spans="2:62" ht="15.75" customHeight="1">
      <c r="B539" s="7"/>
      <c r="C539" s="405"/>
      <c r="D539" s="405"/>
      <c r="E539" s="408"/>
      <c r="F539" s="418"/>
      <c r="G539" s="405"/>
      <c r="H539" s="408"/>
      <c r="I539" s="418"/>
      <c r="J539" s="418"/>
      <c r="K539" s="408"/>
      <c r="L539" s="418"/>
      <c r="M539" s="408"/>
      <c r="N539" s="418"/>
      <c r="O539" s="408"/>
      <c r="P539" s="418"/>
      <c r="Q539" s="408"/>
      <c r="R539" s="408"/>
      <c r="S539" s="405"/>
      <c r="T539" s="339"/>
      <c r="U539" s="339"/>
      <c r="V539" s="339"/>
      <c r="W539" s="339"/>
      <c r="X539" s="339"/>
      <c r="Y539" s="250"/>
      <c r="Z539" s="250"/>
      <c r="AA539" s="250"/>
      <c r="AB539" s="250"/>
      <c r="AC539" s="250"/>
      <c r="AD539" s="250"/>
      <c r="AE539" s="250"/>
      <c r="AF539" s="250"/>
      <c r="AG539" s="250"/>
      <c r="AH539" s="250"/>
      <c r="AI539" s="250"/>
      <c r="AJ539" s="250"/>
      <c r="AK539" s="250"/>
      <c r="AL539" s="250"/>
      <c r="AM539" s="250"/>
      <c r="AN539" s="250"/>
      <c r="AO539" s="250"/>
      <c r="AP539" s="250"/>
      <c r="AQ539" s="250"/>
      <c r="AR539" s="250"/>
      <c r="AS539" s="250"/>
      <c r="AT539" s="250"/>
      <c r="AU539" s="250"/>
      <c r="AV539" s="250"/>
      <c r="AW539" s="250"/>
      <c r="AX539" s="250"/>
      <c r="AY539" s="250"/>
      <c r="AZ539" s="250"/>
      <c r="BA539" s="250"/>
      <c r="BB539" s="250"/>
      <c r="BC539" s="250"/>
      <c r="BD539" s="250"/>
      <c r="BE539" s="250"/>
      <c r="BF539" s="250"/>
      <c r="BG539" s="250"/>
      <c r="BH539" s="250"/>
      <c r="BI539" s="250"/>
      <c r="BJ539" s="250"/>
    </row>
    <row r="540" spans="2:62" ht="15.75" customHeight="1">
      <c r="B540" s="7"/>
      <c r="C540" s="339"/>
      <c r="D540" s="339"/>
      <c r="E540" s="406"/>
      <c r="F540" s="339"/>
      <c r="G540" s="339"/>
      <c r="H540" s="406"/>
      <c r="I540" s="339"/>
      <c r="J540" s="416"/>
      <c r="K540" s="406"/>
      <c r="L540" s="416"/>
      <c r="M540" s="406"/>
      <c r="N540" s="416"/>
      <c r="O540" s="406"/>
      <c r="P540" s="405"/>
      <c r="Q540" s="418"/>
      <c r="R540" s="418"/>
      <c r="S540" s="339"/>
      <c r="T540" s="339"/>
      <c r="U540" s="339"/>
      <c r="V540" s="339"/>
      <c r="W540" s="339"/>
      <c r="X540" s="339"/>
      <c r="Y540" s="250"/>
      <c r="Z540" s="250"/>
      <c r="AA540" s="250"/>
      <c r="AB540" s="250"/>
      <c r="AC540" s="250"/>
      <c r="AD540" s="250"/>
      <c r="AE540" s="250"/>
      <c r="AF540" s="250"/>
      <c r="AG540" s="250"/>
      <c r="AH540" s="250"/>
      <c r="AI540" s="250"/>
      <c r="AJ540" s="250"/>
      <c r="AK540" s="250"/>
      <c r="AL540" s="250"/>
      <c r="AM540" s="250"/>
      <c r="AN540" s="250"/>
      <c r="AO540" s="250"/>
      <c r="AP540" s="250"/>
      <c r="AQ540" s="250"/>
      <c r="AR540" s="250"/>
      <c r="AS540" s="250"/>
      <c r="AT540" s="250"/>
      <c r="AU540" s="250"/>
      <c r="AV540" s="250"/>
      <c r="AW540" s="250"/>
      <c r="AX540" s="250"/>
      <c r="AY540" s="250"/>
      <c r="AZ540" s="250"/>
      <c r="BA540" s="250"/>
      <c r="BB540" s="250"/>
      <c r="BC540" s="250"/>
      <c r="BD540" s="250"/>
      <c r="BE540" s="250"/>
      <c r="BF540" s="250"/>
      <c r="BG540" s="250"/>
      <c r="BH540" s="250"/>
      <c r="BI540" s="250"/>
      <c r="BJ540" s="250"/>
    </row>
    <row r="541" spans="2:62" ht="15.75" customHeight="1">
      <c r="B541" s="7"/>
      <c r="C541" s="339"/>
      <c r="D541" s="339"/>
      <c r="E541" s="406"/>
      <c r="F541" s="339"/>
      <c r="G541" s="339"/>
      <c r="H541" s="406"/>
      <c r="I541" s="339"/>
      <c r="J541" s="416"/>
      <c r="K541" s="406"/>
      <c r="L541" s="416"/>
      <c r="M541" s="406"/>
      <c r="N541" s="416"/>
      <c r="O541" s="406"/>
      <c r="P541" s="339"/>
      <c r="Q541" s="339"/>
      <c r="R541" s="406"/>
      <c r="S541" s="339"/>
      <c r="T541" s="339"/>
      <c r="U541" s="339"/>
      <c r="V541" s="339"/>
      <c r="W541" s="339"/>
      <c r="X541" s="339"/>
      <c r="Y541" s="250"/>
      <c r="Z541" s="250"/>
      <c r="AA541" s="250"/>
      <c r="AB541" s="250"/>
      <c r="AC541" s="250"/>
      <c r="AD541" s="250"/>
      <c r="AE541" s="250"/>
      <c r="AF541" s="250"/>
      <c r="AG541" s="250"/>
      <c r="AH541" s="250"/>
      <c r="AI541" s="250"/>
      <c r="AJ541" s="250"/>
      <c r="AK541" s="250"/>
      <c r="AL541" s="250"/>
      <c r="AM541" s="250"/>
      <c r="AN541" s="250"/>
      <c r="AO541" s="250"/>
      <c r="AP541" s="250"/>
      <c r="AQ541" s="250"/>
      <c r="AR541" s="250"/>
      <c r="AS541" s="250"/>
      <c r="AT541" s="250"/>
      <c r="AU541" s="250"/>
      <c r="AV541" s="250"/>
      <c r="AW541" s="250"/>
      <c r="AX541" s="250"/>
      <c r="AY541" s="250"/>
      <c r="AZ541" s="250"/>
      <c r="BA541" s="250"/>
      <c r="BB541" s="250"/>
      <c r="BC541" s="250"/>
      <c r="BD541" s="250"/>
      <c r="BE541" s="250"/>
      <c r="BF541" s="250"/>
      <c r="BG541" s="250"/>
      <c r="BH541" s="250"/>
      <c r="BI541" s="250"/>
      <c r="BJ541" s="250"/>
    </row>
    <row r="542" spans="2:62" ht="15.75" customHeight="1">
      <c r="B542" s="7"/>
      <c r="C542" s="405"/>
      <c r="D542" s="339"/>
      <c r="E542" s="406"/>
      <c r="F542" s="339"/>
      <c r="G542" s="339"/>
      <c r="H542" s="406"/>
      <c r="I542" s="339"/>
      <c r="J542" s="416"/>
      <c r="K542" s="406"/>
      <c r="L542" s="416"/>
      <c r="M542" s="406"/>
      <c r="N542" s="416"/>
      <c r="O542" s="406"/>
      <c r="P542" s="339"/>
      <c r="Q542" s="339"/>
      <c r="R542" s="406"/>
      <c r="S542" s="339"/>
      <c r="T542" s="339"/>
      <c r="U542" s="339"/>
      <c r="V542" s="339"/>
      <c r="W542" s="339"/>
      <c r="X542" s="339"/>
      <c r="Y542" s="250"/>
      <c r="Z542" s="250"/>
      <c r="AA542" s="250"/>
      <c r="AB542" s="250"/>
      <c r="AC542" s="250"/>
      <c r="AD542" s="250"/>
      <c r="AE542" s="250"/>
      <c r="AF542" s="250"/>
      <c r="AG542" s="250"/>
      <c r="AH542" s="250"/>
      <c r="AI542" s="250"/>
      <c r="AJ542" s="250"/>
      <c r="AK542" s="250"/>
      <c r="AL542" s="250"/>
      <c r="AM542" s="250"/>
      <c r="AN542" s="250"/>
      <c r="AO542" s="250"/>
      <c r="AP542" s="250"/>
      <c r="AQ542" s="250"/>
      <c r="AR542" s="250"/>
      <c r="AS542" s="250"/>
      <c r="AT542" s="250"/>
      <c r="AU542" s="250"/>
      <c r="AV542" s="250"/>
      <c r="AW542" s="250"/>
      <c r="AX542" s="250"/>
      <c r="AY542" s="250"/>
      <c r="AZ542" s="250"/>
      <c r="BA542" s="250"/>
      <c r="BB542" s="250"/>
      <c r="BC542" s="250"/>
      <c r="BD542" s="250"/>
      <c r="BE542" s="250"/>
      <c r="BF542" s="250"/>
      <c r="BG542" s="250"/>
      <c r="BH542" s="250"/>
      <c r="BI542" s="250"/>
      <c r="BJ542" s="250"/>
    </row>
    <row r="543" spans="2:62" ht="15.75" customHeight="1">
      <c r="B543" s="7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33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250"/>
      <c r="Z543" s="250"/>
      <c r="AA543" s="250"/>
      <c r="AB543" s="250"/>
      <c r="AC543" s="250"/>
      <c r="AD543" s="250"/>
      <c r="AE543" s="250"/>
      <c r="AF543" s="250"/>
      <c r="AG543" s="250"/>
      <c r="AH543" s="250"/>
      <c r="AI543" s="250"/>
      <c r="AJ543" s="250"/>
      <c r="AK543" s="250"/>
      <c r="AL543" s="250"/>
      <c r="AM543" s="250"/>
      <c r="AN543" s="250"/>
      <c r="AO543" s="250"/>
      <c r="AP543" s="250"/>
      <c r="AQ543" s="250"/>
      <c r="AR543" s="250"/>
      <c r="AS543" s="250"/>
      <c r="AT543" s="250"/>
      <c r="AU543" s="250"/>
      <c r="AV543" s="250"/>
      <c r="AW543" s="250"/>
      <c r="AX543" s="250"/>
      <c r="AY543" s="250"/>
      <c r="AZ543" s="250"/>
      <c r="BA543" s="250"/>
      <c r="BB543" s="250"/>
      <c r="BC543" s="250"/>
      <c r="BD543" s="250"/>
      <c r="BE543" s="250"/>
      <c r="BF543" s="250"/>
      <c r="BG543" s="250"/>
      <c r="BH543" s="250"/>
      <c r="BI543" s="250"/>
      <c r="BJ543" s="250"/>
    </row>
    <row r="544" spans="2:62" ht="15.75" customHeight="1">
      <c r="B544" s="7"/>
      <c r="C544" s="339"/>
      <c r="D544" s="339"/>
      <c r="E544" s="406"/>
      <c r="F544" s="416"/>
      <c r="G544" s="339"/>
      <c r="H544" s="406"/>
      <c r="I544" s="416"/>
      <c r="J544" s="416"/>
      <c r="K544" s="339"/>
      <c r="L544" s="416"/>
      <c r="M544" s="339"/>
      <c r="N544" s="416"/>
      <c r="O544" s="339"/>
      <c r="P544" s="416"/>
      <c r="Q544" s="406"/>
      <c r="R544" s="406"/>
      <c r="S544" s="339"/>
      <c r="T544" s="339"/>
      <c r="U544" s="339"/>
      <c r="V544" s="339"/>
      <c r="W544" s="339"/>
      <c r="X544" s="339"/>
      <c r="Y544" s="250"/>
      <c r="Z544" s="250"/>
      <c r="AA544" s="250"/>
      <c r="AB544" s="250"/>
      <c r="AC544" s="250"/>
      <c r="AD544" s="250"/>
      <c r="AE544" s="250"/>
      <c r="AF544" s="250"/>
      <c r="AG544" s="250"/>
      <c r="AH544" s="250"/>
      <c r="AI544" s="250"/>
      <c r="AJ544" s="250"/>
      <c r="AK544" s="250"/>
      <c r="AL544" s="250"/>
      <c r="AM544" s="250"/>
      <c r="AN544" s="250"/>
      <c r="AO544" s="250"/>
      <c r="AP544" s="250"/>
      <c r="AQ544" s="250"/>
      <c r="AR544" s="250"/>
      <c r="AS544" s="250"/>
      <c r="AT544" s="250"/>
      <c r="AU544" s="250"/>
      <c r="AV544" s="250"/>
      <c r="AW544" s="250"/>
      <c r="AX544" s="250"/>
      <c r="AY544" s="250"/>
      <c r="AZ544" s="250"/>
      <c r="BA544" s="250"/>
      <c r="BB544" s="250"/>
      <c r="BC544" s="250"/>
      <c r="BD544" s="250"/>
      <c r="BE544" s="250"/>
      <c r="BF544" s="250"/>
      <c r="BG544" s="250"/>
      <c r="BH544" s="250"/>
      <c r="BI544" s="250"/>
      <c r="BJ544" s="250"/>
    </row>
    <row r="545" spans="2:62" ht="15.75" customHeight="1">
      <c r="B545" s="7"/>
      <c r="C545" s="339"/>
      <c r="D545" s="339"/>
      <c r="E545" s="406"/>
      <c r="F545" s="417"/>
      <c r="G545" s="339"/>
      <c r="H545" s="406"/>
      <c r="I545" s="417"/>
      <c r="J545" s="416"/>
      <c r="K545" s="406"/>
      <c r="L545" s="416"/>
      <c r="M545" s="406"/>
      <c r="N545" s="416"/>
      <c r="O545" s="406"/>
      <c r="P545" s="339"/>
      <c r="Q545" s="416"/>
      <c r="R545" s="416"/>
      <c r="S545" s="406"/>
      <c r="T545" s="339"/>
      <c r="U545" s="339"/>
      <c r="V545" s="339"/>
      <c r="W545" s="339"/>
      <c r="X545" s="339"/>
      <c r="Y545" s="250"/>
      <c r="Z545" s="250"/>
      <c r="AA545" s="250"/>
      <c r="AB545" s="250"/>
      <c r="AC545" s="250"/>
      <c r="AD545" s="250"/>
      <c r="AE545" s="250"/>
      <c r="AF545" s="250"/>
      <c r="AG545" s="250"/>
      <c r="AH545" s="250"/>
      <c r="AI545" s="250"/>
      <c r="AJ545" s="250"/>
      <c r="AK545" s="250"/>
      <c r="AL545" s="250"/>
      <c r="AM545" s="250"/>
      <c r="AN545" s="250"/>
      <c r="AO545" s="250"/>
      <c r="AP545" s="250"/>
      <c r="AQ545" s="250"/>
      <c r="AR545" s="250"/>
      <c r="AS545" s="250"/>
      <c r="AT545" s="250"/>
      <c r="AU545" s="250"/>
      <c r="AV545" s="250"/>
      <c r="AW545" s="250"/>
      <c r="AX545" s="250"/>
      <c r="AY545" s="250"/>
      <c r="AZ545" s="250"/>
      <c r="BA545" s="250"/>
      <c r="BB545" s="250"/>
      <c r="BC545" s="250"/>
      <c r="BD545" s="250"/>
      <c r="BE545" s="250"/>
      <c r="BF545" s="250"/>
      <c r="BG545" s="250"/>
      <c r="BH545" s="250"/>
      <c r="BI545" s="250"/>
      <c r="BJ545" s="250"/>
    </row>
    <row r="546" spans="2:62" ht="15.75" customHeight="1">
      <c r="B546" s="7"/>
      <c r="C546" s="339"/>
      <c r="D546" s="339"/>
      <c r="E546" s="406"/>
      <c r="F546" s="417"/>
      <c r="G546" s="339"/>
      <c r="H546" s="406"/>
      <c r="I546" s="417"/>
      <c r="J546" s="416"/>
      <c r="K546" s="406"/>
      <c r="L546" s="416"/>
      <c r="M546" s="406"/>
      <c r="N546" s="416"/>
      <c r="O546" s="406"/>
      <c r="P546" s="339"/>
      <c r="Q546" s="339"/>
      <c r="R546" s="406"/>
      <c r="S546" s="406"/>
      <c r="T546" s="339"/>
      <c r="U546" s="339"/>
      <c r="V546" s="339"/>
      <c r="W546" s="339"/>
      <c r="X546" s="339"/>
      <c r="Y546" s="250"/>
      <c r="Z546" s="250"/>
      <c r="AA546" s="250"/>
      <c r="AB546" s="250"/>
      <c r="AC546" s="250"/>
      <c r="AD546" s="250"/>
      <c r="AE546" s="250"/>
      <c r="AF546" s="250"/>
      <c r="AG546" s="250"/>
      <c r="AH546" s="250"/>
      <c r="AI546" s="250"/>
      <c r="AJ546" s="250"/>
      <c r="AK546" s="250"/>
      <c r="AL546" s="250"/>
      <c r="AM546" s="250"/>
      <c r="AN546" s="250"/>
      <c r="AO546" s="250"/>
      <c r="AP546" s="250"/>
      <c r="AQ546" s="250"/>
      <c r="AR546" s="250"/>
      <c r="AS546" s="250"/>
      <c r="AT546" s="250"/>
      <c r="AU546" s="250"/>
      <c r="AV546" s="250"/>
      <c r="AW546" s="250"/>
      <c r="AX546" s="250"/>
      <c r="AY546" s="250"/>
      <c r="AZ546" s="250"/>
      <c r="BA546" s="250"/>
      <c r="BB546" s="250"/>
      <c r="BC546" s="250"/>
      <c r="BD546" s="250"/>
      <c r="BE546" s="250"/>
      <c r="BF546" s="250"/>
      <c r="BG546" s="250"/>
      <c r="BH546" s="250"/>
      <c r="BI546" s="250"/>
      <c r="BJ546" s="250"/>
    </row>
    <row r="547" spans="2:62" ht="15.75" customHeight="1">
      <c r="B547" s="7"/>
      <c r="C547" s="339"/>
      <c r="D547" s="339"/>
      <c r="E547" s="406"/>
      <c r="F547" s="416"/>
      <c r="G547" s="339"/>
      <c r="H547" s="406"/>
      <c r="I547" s="416"/>
      <c r="J547" s="416"/>
      <c r="K547" s="406"/>
      <c r="L547" s="416"/>
      <c r="M547" s="406"/>
      <c r="N547" s="416"/>
      <c r="O547" s="406"/>
      <c r="P547" s="339"/>
      <c r="Q547" s="339"/>
      <c r="R547" s="406"/>
      <c r="S547" s="339"/>
      <c r="T547" s="339"/>
      <c r="U547" s="339"/>
      <c r="V547" s="339"/>
      <c r="W547" s="339"/>
      <c r="X547" s="339"/>
      <c r="Y547" s="250"/>
      <c r="Z547" s="250"/>
      <c r="AA547" s="250"/>
      <c r="AB547" s="250"/>
      <c r="AC547" s="250"/>
      <c r="AD547" s="250"/>
      <c r="AE547" s="250"/>
      <c r="AF547" s="250"/>
      <c r="AG547" s="250"/>
      <c r="AH547" s="250"/>
      <c r="AI547" s="250"/>
      <c r="AJ547" s="250"/>
      <c r="AK547" s="250"/>
      <c r="AL547" s="250"/>
      <c r="AM547" s="250"/>
      <c r="AN547" s="250"/>
      <c r="AO547" s="250"/>
      <c r="AP547" s="250"/>
      <c r="AQ547" s="250"/>
      <c r="AR547" s="250"/>
      <c r="AS547" s="250"/>
      <c r="AT547" s="250"/>
      <c r="AU547" s="250"/>
      <c r="AV547" s="250"/>
      <c r="AW547" s="250"/>
      <c r="AX547" s="250"/>
      <c r="AY547" s="250"/>
      <c r="AZ547" s="250"/>
      <c r="BA547" s="250"/>
      <c r="BB547" s="250"/>
      <c r="BC547" s="250"/>
      <c r="BD547" s="250"/>
      <c r="BE547" s="250"/>
      <c r="BF547" s="250"/>
      <c r="BG547" s="250"/>
      <c r="BH547" s="250"/>
      <c r="BI547" s="250"/>
      <c r="BJ547" s="250"/>
    </row>
    <row r="548" spans="2:62" ht="15.75" customHeight="1">
      <c r="B548" s="7"/>
      <c r="C548" s="405"/>
      <c r="D548" s="405"/>
      <c r="E548" s="408"/>
      <c r="F548" s="418"/>
      <c r="G548" s="405"/>
      <c r="H548" s="408"/>
      <c r="I548" s="418"/>
      <c r="J548" s="418"/>
      <c r="K548" s="408"/>
      <c r="L548" s="418"/>
      <c r="M548" s="408"/>
      <c r="N548" s="418"/>
      <c r="O548" s="408"/>
      <c r="P548" s="418"/>
      <c r="Q548" s="405"/>
      <c r="R548" s="408"/>
      <c r="S548" s="405"/>
      <c r="T548" s="339"/>
      <c r="U548" s="339"/>
      <c r="V548" s="339"/>
      <c r="W548" s="339"/>
      <c r="X548" s="339"/>
      <c r="Y548" s="250"/>
      <c r="Z548" s="250"/>
      <c r="AA548" s="250"/>
      <c r="AB548" s="250"/>
      <c r="AC548" s="250"/>
      <c r="AD548" s="250"/>
      <c r="AE548" s="250"/>
      <c r="AF548" s="250"/>
      <c r="AG548" s="250"/>
      <c r="AH548" s="250"/>
      <c r="AI548" s="250"/>
      <c r="AJ548" s="250"/>
      <c r="AK548" s="250"/>
      <c r="AL548" s="250"/>
      <c r="AM548" s="250"/>
      <c r="AN548" s="250"/>
      <c r="AO548" s="250"/>
      <c r="AP548" s="250"/>
      <c r="AQ548" s="250"/>
      <c r="AR548" s="250"/>
      <c r="AS548" s="250"/>
      <c r="AT548" s="250"/>
      <c r="AU548" s="250"/>
      <c r="AV548" s="250"/>
      <c r="AW548" s="250"/>
      <c r="AX548" s="250"/>
      <c r="AY548" s="250"/>
      <c r="AZ548" s="250"/>
      <c r="BA548" s="250"/>
      <c r="BB548" s="250"/>
      <c r="BC548" s="250"/>
      <c r="BD548" s="250"/>
      <c r="BE548" s="250"/>
      <c r="BF548" s="250"/>
      <c r="BG548" s="250"/>
      <c r="BH548" s="250"/>
      <c r="BI548" s="250"/>
      <c r="BJ548" s="250"/>
    </row>
    <row r="549" spans="2:62" ht="15.75" customHeight="1">
      <c r="B549" s="7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339"/>
      <c r="N549" s="339"/>
      <c r="O549" s="339"/>
      <c r="P549" s="405"/>
      <c r="Q549" s="418"/>
      <c r="R549" s="418"/>
      <c r="S549" s="339"/>
      <c r="T549" s="339"/>
      <c r="U549" s="339"/>
      <c r="V549" s="339"/>
      <c r="W549" s="339"/>
      <c r="X549" s="339"/>
      <c r="Y549" s="250"/>
      <c r="Z549" s="250"/>
      <c r="AA549" s="250"/>
      <c r="AB549" s="250"/>
      <c r="AC549" s="250"/>
      <c r="AD549" s="250"/>
      <c r="AE549" s="250"/>
      <c r="AF549" s="250"/>
      <c r="AG549" s="250"/>
      <c r="AH549" s="250"/>
      <c r="AI549" s="250"/>
      <c r="AJ549" s="250"/>
      <c r="AK549" s="250"/>
      <c r="AL549" s="250"/>
      <c r="AM549" s="250"/>
      <c r="AN549" s="250"/>
      <c r="AO549" s="250"/>
      <c r="AP549" s="250"/>
      <c r="AQ549" s="250"/>
      <c r="AR549" s="250"/>
      <c r="AS549" s="250"/>
      <c r="AT549" s="250"/>
      <c r="AU549" s="250"/>
      <c r="AV549" s="250"/>
      <c r="AW549" s="250"/>
      <c r="AX549" s="250"/>
      <c r="AY549" s="250"/>
      <c r="AZ549" s="250"/>
      <c r="BA549" s="250"/>
      <c r="BB549" s="250"/>
      <c r="BC549" s="250"/>
      <c r="BD549" s="250"/>
      <c r="BE549" s="250"/>
      <c r="BF549" s="250"/>
      <c r="BG549" s="250"/>
      <c r="BH549" s="250"/>
      <c r="BI549" s="250"/>
      <c r="BJ549" s="250"/>
    </row>
    <row r="550" spans="2:62" ht="15.75" customHeight="1">
      <c r="B550" s="7"/>
      <c r="C550" s="339"/>
      <c r="D550" s="339"/>
      <c r="E550" s="406"/>
      <c r="F550" s="416"/>
      <c r="G550" s="339"/>
      <c r="H550" s="406"/>
      <c r="I550" s="416"/>
      <c r="J550" s="416"/>
      <c r="K550" s="406"/>
      <c r="L550" s="416"/>
      <c r="M550" s="406"/>
      <c r="N550" s="416"/>
      <c r="O550" s="406"/>
      <c r="P550" s="339"/>
      <c r="Q550" s="339"/>
      <c r="R550" s="406"/>
      <c r="S550" s="339"/>
      <c r="T550" s="339"/>
      <c r="U550" s="339"/>
      <c r="V550" s="339"/>
      <c r="W550" s="339"/>
      <c r="X550" s="339"/>
      <c r="Y550" s="250"/>
      <c r="Z550" s="250"/>
      <c r="AA550" s="250"/>
      <c r="AB550" s="250"/>
      <c r="AC550" s="250"/>
      <c r="AD550" s="250"/>
      <c r="AE550" s="250"/>
      <c r="AF550" s="250"/>
      <c r="AG550" s="250"/>
      <c r="AH550" s="250"/>
      <c r="AI550" s="250"/>
      <c r="AJ550" s="250"/>
      <c r="AK550" s="250"/>
      <c r="AL550" s="250"/>
      <c r="AM550" s="250"/>
      <c r="AN550" s="250"/>
      <c r="AO550" s="250"/>
      <c r="AP550" s="250"/>
      <c r="AQ550" s="250"/>
      <c r="AR550" s="250"/>
      <c r="AS550" s="250"/>
      <c r="AT550" s="250"/>
      <c r="AU550" s="250"/>
      <c r="AV550" s="250"/>
      <c r="AW550" s="250"/>
      <c r="AX550" s="250"/>
      <c r="AY550" s="250"/>
      <c r="AZ550" s="250"/>
      <c r="BA550" s="250"/>
      <c r="BB550" s="250"/>
      <c r="BC550" s="250"/>
      <c r="BD550" s="250"/>
      <c r="BE550" s="250"/>
      <c r="BF550" s="250"/>
      <c r="BG550" s="250"/>
      <c r="BH550" s="250"/>
      <c r="BI550" s="250"/>
      <c r="BJ550" s="250"/>
    </row>
    <row r="551" spans="2:62" ht="15.75" customHeight="1">
      <c r="B551" s="7"/>
      <c r="C551" s="405"/>
      <c r="D551" s="339"/>
      <c r="E551" s="406"/>
      <c r="F551" s="416"/>
      <c r="G551" s="339"/>
      <c r="H551" s="406"/>
      <c r="I551" s="416"/>
      <c r="J551" s="416"/>
      <c r="K551" s="406"/>
      <c r="L551" s="416"/>
      <c r="M551" s="406"/>
      <c r="N551" s="416"/>
      <c r="O551" s="406"/>
      <c r="P551" s="339"/>
      <c r="Q551" s="339"/>
      <c r="R551" s="406"/>
      <c r="S551" s="339"/>
      <c r="T551" s="339"/>
      <c r="U551" s="339"/>
      <c r="V551" s="339"/>
      <c r="W551" s="339"/>
      <c r="X551" s="339"/>
      <c r="Y551" s="250"/>
      <c r="Z551" s="250"/>
      <c r="AA551" s="250"/>
      <c r="AB551" s="250"/>
      <c r="AC551" s="250"/>
      <c r="AD551" s="250"/>
      <c r="AE551" s="250"/>
      <c r="AF551" s="250"/>
      <c r="AG551" s="250"/>
      <c r="AH551" s="250"/>
      <c r="AI551" s="250"/>
      <c r="AJ551" s="250"/>
      <c r="AK551" s="250"/>
      <c r="AL551" s="250"/>
      <c r="AM551" s="250"/>
      <c r="AN551" s="250"/>
      <c r="AO551" s="250"/>
      <c r="AP551" s="250"/>
      <c r="AQ551" s="250"/>
      <c r="AR551" s="250"/>
      <c r="AS551" s="250"/>
      <c r="AT551" s="250"/>
      <c r="AU551" s="250"/>
      <c r="AV551" s="250"/>
      <c r="AW551" s="250"/>
      <c r="AX551" s="250"/>
      <c r="AY551" s="250"/>
      <c r="AZ551" s="250"/>
      <c r="BA551" s="250"/>
      <c r="BB551" s="250"/>
      <c r="BC551" s="250"/>
      <c r="BD551" s="250"/>
      <c r="BE551" s="250"/>
      <c r="BF551" s="250"/>
      <c r="BG551" s="250"/>
      <c r="BH551" s="250"/>
      <c r="BI551" s="250"/>
      <c r="BJ551" s="250"/>
    </row>
    <row r="552" spans="2:62" ht="15.75" customHeight="1">
      <c r="B552" s="7"/>
      <c r="C552" s="339"/>
      <c r="D552" s="339"/>
      <c r="E552" s="406"/>
      <c r="F552" s="416"/>
      <c r="G552" s="339"/>
      <c r="H552" s="406"/>
      <c r="I552" s="416"/>
      <c r="J552" s="416"/>
      <c r="K552" s="406"/>
      <c r="L552" s="416"/>
      <c r="M552" s="406"/>
      <c r="N552" s="416"/>
      <c r="O552" s="406"/>
      <c r="P552" s="339"/>
      <c r="Q552" s="339"/>
      <c r="R552" s="406"/>
      <c r="S552" s="339"/>
      <c r="T552" s="339"/>
      <c r="U552" s="339"/>
      <c r="V552" s="339"/>
      <c r="W552" s="339"/>
      <c r="X552" s="339"/>
      <c r="Y552" s="250"/>
      <c r="Z552" s="250"/>
      <c r="AA552" s="250"/>
      <c r="AB552" s="250"/>
      <c r="AC552" s="250"/>
      <c r="AD552" s="250"/>
      <c r="AE552" s="250"/>
      <c r="AF552" s="250"/>
      <c r="AG552" s="250"/>
      <c r="AH552" s="250"/>
      <c r="AI552" s="250"/>
      <c r="AJ552" s="250"/>
      <c r="AK552" s="250"/>
      <c r="AL552" s="250"/>
      <c r="AM552" s="250"/>
      <c r="AN552" s="250"/>
      <c r="AO552" s="250"/>
      <c r="AP552" s="250"/>
      <c r="AQ552" s="250"/>
      <c r="AR552" s="250"/>
      <c r="AS552" s="250"/>
      <c r="AT552" s="250"/>
      <c r="AU552" s="250"/>
      <c r="AV552" s="250"/>
      <c r="AW552" s="250"/>
      <c r="AX552" s="250"/>
      <c r="AY552" s="250"/>
      <c r="AZ552" s="250"/>
      <c r="BA552" s="250"/>
      <c r="BB552" s="250"/>
      <c r="BC552" s="250"/>
      <c r="BD552" s="250"/>
      <c r="BE552" s="250"/>
      <c r="BF552" s="250"/>
      <c r="BG552" s="250"/>
      <c r="BH552" s="250"/>
      <c r="BI552" s="250"/>
      <c r="BJ552" s="250"/>
    </row>
    <row r="553" spans="2:62" ht="15.75" customHeight="1">
      <c r="B553" s="7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339"/>
      <c r="N553" s="339"/>
      <c r="O553" s="339"/>
      <c r="P553" s="416"/>
      <c r="Q553" s="406"/>
      <c r="R553" s="339"/>
      <c r="S553" s="406"/>
      <c r="T553" s="339"/>
      <c r="U553" s="339"/>
      <c r="V553" s="339"/>
      <c r="W553" s="339"/>
      <c r="X553" s="339"/>
      <c r="Y553" s="250"/>
      <c r="Z553" s="250"/>
      <c r="AA553" s="250"/>
      <c r="AB553" s="250"/>
      <c r="AC553" s="250"/>
      <c r="AD553" s="250"/>
      <c r="AE553" s="250"/>
      <c r="AF553" s="250"/>
      <c r="AG553" s="250"/>
      <c r="AH553" s="250"/>
      <c r="AI553" s="250"/>
      <c r="AJ553" s="250"/>
      <c r="AK553" s="250"/>
      <c r="AL553" s="250"/>
      <c r="AM553" s="250"/>
      <c r="AN553" s="250"/>
      <c r="AO553" s="250"/>
      <c r="AP553" s="250"/>
      <c r="AQ553" s="250"/>
      <c r="AR553" s="250"/>
      <c r="AS553" s="250"/>
      <c r="AT553" s="250"/>
      <c r="AU553" s="250"/>
      <c r="AV553" s="250"/>
      <c r="AW553" s="250"/>
      <c r="AX553" s="250"/>
      <c r="AY553" s="250"/>
      <c r="AZ553" s="250"/>
      <c r="BA553" s="250"/>
      <c r="BB553" s="250"/>
      <c r="BC553" s="250"/>
      <c r="BD553" s="250"/>
      <c r="BE553" s="250"/>
      <c r="BF553" s="250"/>
      <c r="BG553" s="250"/>
      <c r="BH553" s="250"/>
      <c r="BI553" s="250"/>
      <c r="BJ553" s="250"/>
    </row>
    <row r="554" spans="2:62" ht="15.75" customHeight="1">
      <c r="B554" s="7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339"/>
      <c r="N554" s="339"/>
      <c r="O554" s="339"/>
      <c r="P554" s="416"/>
      <c r="Q554" s="406"/>
      <c r="R554" s="339"/>
      <c r="S554" s="406"/>
      <c r="T554" s="339"/>
      <c r="U554" s="339"/>
      <c r="V554" s="339"/>
      <c r="W554" s="339"/>
      <c r="X554" s="339"/>
      <c r="Y554" s="250"/>
      <c r="Z554" s="250"/>
      <c r="AA554" s="250"/>
      <c r="AB554" s="250"/>
      <c r="AC554" s="250"/>
      <c r="AD554" s="250"/>
      <c r="AE554" s="250"/>
      <c r="AF554" s="250"/>
      <c r="AG554" s="250"/>
      <c r="AH554" s="250"/>
      <c r="AI554" s="250"/>
      <c r="AJ554" s="250"/>
      <c r="AK554" s="250"/>
      <c r="AL554" s="250"/>
      <c r="AM554" s="250"/>
      <c r="AN554" s="250"/>
      <c r="AO554" s="250"/>
      <c r="AP554" s="250"/>
      <c r="AQ554" s="250"/>
      <c r="AR554" s="250"/>
      <c r="AS554" s="250"/>
      <c r="AT554" s="250"/>
      <c r="AU554" s="250"/>
      <c r="AV554" s="250"/>
      <c r="AW554" s="250"/>
      <c r="AX554" s="250"/>
      <c r="AY554" s="250"/>
      <c r="AZ554" s="250"/>
      <c r="BA554" s="250"/>
      <c r="BB554" s="250"/>
      <c r="BC554" s="250"/>
      <c r="BD554" s="250"/>
      <c r="BE554" s="250"/>
      <c r="BF554" s="250"/>
      <c r="BG554" s="250"/>
      <c r="BH554" s="250"/>
      <c r="BI554" s="250"/>
      <c r="BJ554" s="250"/>
    </row>
    <row r="555" spans="2:62" ht="15.75" customHeight="1">
      <c r="B555" s="7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339"/>
      <c r="N555" s="339"/>
      <c r="O555" s="339"/>
      <c r="P555" s="416"/>
      <c r="Q555" s="406"/>
      <c r="R555" s="339"/>
      <c r="S555" s="406"/>
      <c r="T555" s="339"/>
      <c r="U555" s="339"/>
      <c r="V555" s="339"/>
      <c r="W555" s="339"/>
      <c r="X555" s="339"/>
      <c r="Y555" s="250"/>
      <c r="Z555" s="250"/>
      <c r="AA555" s="250"/>
      <c r="AB555" s="250"/>
      <c r="AC555" s="250"/>
      <c r="AD555" s="250"/>
      <c r="AE555" s="250"/>
      <c r="AF555" s="250"/>
      <c r="AG555" s="250"/>
      <c r="AH555" s="250"/>
      <c r="AI555" s="250"/>
      <c r="AJ555" s="250"/>
      <c r="AK555" s="250"/>
      <c r="AL555" s="250"/>
      <c r="AM555" s="250"/>
      <c r="AN555" s="250"/>
      <c r="AO555" s="250"/>
      <c r="AP555" s="250"/>
      <c r="AQ555" s="250"/>
      <c r="AR555" s="250"/>
      <c r="AS555" s="250"/>
      <c r="AT555" s="250"/>
      <c r="AU555" s="250"/>
      <c r="AV555" s="250"/>
      <c r="AW555" s="250"/>
      <c r="AX555" s="250"/>
      <c r="AY555" s="250"/>
      <c r="AZ555" s="250"/>
      <c r="BA555" s="250"/>
      <c r="BB555" s="250"/>
      <c r="BC555" s="250"/>
      <c r="BD555" s="250"/>
      <c r="BE555" s="250"/>
      <c r="BF555" s="250"/>
      <c r="BG555" s="250"/>
      <c r="BH555" s="250"/>
      <c r="BI555" s="250"/>
      <c r="BJ555" s="250"/>
    </row>
    <row r="556" spans="2:62" ht="15.75" customHeight="1">
      <c r="B556" s="7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339"/>
      <c r="N556" s="339"/>
      <c r="O556" s="339"/>
      <c r="P556" s="416"/>
      <c r="Q556" s="406"/>
      <c r="R556" s="339"/>
      <c r="S556" s="406"/>
      <c r="T556" s="339"/>
      <c r="U556" s="339"/>
      <c r="V556" s="339"/>
      <c r="W556" s="339"/>
      <c r="X556" s="339"/>
      <c r="Y556" s="250"/>
      <c r="Z556" s="250"/>
      <c r="AA556" s="250"/>
      <c r="AB556" s="250"/>
      <c r="AC556" s="250"/>
      <c r="AD556" s="250"/>
      <c r="AE556" s="250"/>
      <c r="AF556" s="250"/>
      <c r="AG556" s="250"/>
      <c r="AH556" s="250"/>
      <c r="AI556" s="250"/>
      <c r="AJ556" s="250"/>
      <c r="AK556" s="250"/>
      <c r="AL556" s="250"/>
      <c r="AM556" s="250"/>
      <c r="AN556" s="250"/>
      <c r="AO556" s="250"/>
      <c r="AP556" s="250"/>
      <c r="AQ556" s="250"/>
      <c r="AR556" s="250"/>
      <c r="AS556" s="250"/>
      <c r="AT556" s="250"/>
      <c r="AU556" s="250"/>
      <c r="AV556" s="250"/>
      <c r="AW556" s="250"/>
      <c r="AX556" s="250"/>
      <c r="AY556" s="250"/>
      <c r="AZ556" s="250"/>
      <c r="BA556" s="250"/>
      <c r="BB556" s="250"/>
      <c r="BC556" s="250"/>
      <c r="BD556" s="250"/>
      <c r="BE556" s="250"/>
      <c r="BF556" s="250"/>
      <c r="BG556" s="250"/>
      <c r="BH556" s="250"/>
      <c r="BI556" s="250"/>
      <c r="BJ556" s="250"/>
    </row>
    <row r="557" spans="2:62" ht="15.75" customHeight="1">
      <c r="B557" s="7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339"/>
      <c r="N557" s="339"/>
      <c r="O557" s="339"/>
      <c r="P557" s="416"/>
      <c r="Q557" s="406"/>
      <c r="R557" s="339"/>
      <c r="S557" s="406"/>
      <c r="T557" s="339"/>
      <c r="U557" s="339"/>
      <c r="V557" s="339"/>
      <c r="W557" s="339"/>
      <c r="X557" s="339"/>
      <c r="Y557" s="250"/>
      <c r="Z557" s="250"/>
      <c r="AA557" s="250"/>
      <c r="AB557" s="250"/>
      <c r="AC557" s="250"/>
      <c r="AD557" s="250"/>
      <c r="AE557" s="250"/>
      <c r="AF557" s="250"/>
      <c r="AG557" s="250"/>
      <c r="AH557" s="250"/>
      <c r="AI557" s="250"/>
      <c r="AJ557" s="250"/>
      <c r="AK557" s="250"/>
      <c r="AL557" s="250"/>
      <c r="AM557" s="250"/>
      <c r="AN557" s="250"/>
      <c r="AO557" s="250"/>
      <c r="AP557" s="250"/>
      <c r="AQ557" s="250"/>
      <c r="AR557" s="250"/>
      <c r="AS557" s="250"/>
      <c r="AT557" s="250"/>
      <c r="AU557" s="250"/>
      <c r="AV557" s="250"/>
      <c r="AW557" s="250"/>
      <c r="AX557" s="250"/>
      <c r="AY557" s="250"/>
      <c r="AZ557" s="250"/>
      <c r="BA557" s="250"/>
      <c r="BB557" s="250"/>
      <c r="BC557" s="250"/>
      <c r="BD557" s="250"/>
      <c r="BE557" s="250"/>
      <c r="BF557" s="250"/>
      <c r="BG557" s="250"/>
      <c r="BH557" s="250"/>
      <c r="BI557" s="250"/>
      <c r="BJ557" s="250"/>
    </row>
    <row r="558" spans="2:62" ht="15.75" customHeight="1">
      <c r="B558" s="7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339"/>
      <c r="N558" s="339"/>
      <c r="O558" s="339"/>
      <c r="P558" s="416"/>
      <c r="Q558" s="406"/>
      <c r="R558" s="339"/>
      <c r="S558" s="406"/>
      <c r="T558" s="339"/>
      <c r="U558" s="339"/>
      <c r="V558" s="339"/>
      <c r="W558" s="339"/>
      <c r="X558" s="339"/>
      <c r="Y558" s="250"/>
      <c r="Z558" s="250"/>
      <c r="AA558" s="250"/>
      <c r="AB558" s="250"/>
      <c r="AC558" s="250"/>
      <c r="AD558" s="250"/>
      <c r="AE558" s="250"/>
      <c r="AF558" s="250"/>
      <c r="AG558" s="250"/>
      <c r="AH558" s="250"/>
      <c r="AI558" s="250"/>
      <c r="AJ558" s="250"/>
      <c r="AK558" s="250"/>
      <c r="AL558" s="250"/>
      <c r="AM558" s="250"/>
      <c r="AN558" s="250"/>
      <c r="AO558" s="250"/>
      <c r="AP558" s="250"/>
      <c r="AQ558" s="250"/>
      <c r="AR558" s="250"/>
      <c r="AS558" s="250"/>
      <c r="AT558" s="250"/>
      <c r="AU558" s="250"/>
      <c r="AV558" s="250"/>
      <c r="AW558" s="250"/>
      <c r="AX558" s="250"/>
      <c r="AY558" s="250"/>
      <c r="AZ558" s="250"/>
      <c r="BA558" s="250"/>
      <c r="BB558" s="250"/>
      <c r="BC558" s="250"/>
      <c r="BD558" s="250"/>
      <c r="BE558" s="250"/>
      <c r="BF558" s="250"/>
      <c r="BG558" s="250"/>
      <c r="BH558" s="250"/>
      <c r="BI558" s="250"/>
      <c r="BJ558" s="250"/>
    </row>
    <row r="559" spans="2:62" ht="15.75" customHeight="1">
      <c r="B559" s="7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339"/>
      <c r="N559" s="339"/>
      <c r="O559" s="339"/>
      <c r="P559" s="416"/>
      <c r="Q559" s="406"/>
      <c r="R559" s="339"/>
      <c r="S559" s="406"/>
      <c r="T559" s="339"/>
      <c r="U559" s="339"/>
      <c r="V559" s="339"/>
      <c r="W559" s="339"/>
      <c r="X559" s="339"/>
      <c r="Y559" s="250"/>
      <c r="Z559" s="250"/>
      <c r="AA559" s="250"/>
      <c r="AB559" s="250"/>
      <c r="AC559" s="250"/>
      <c r="AD559" s="250"/>
      <c r="AE559" s="250"/>
      <c r="AF559" s="250"/>
      <c r="AG559" s="250"/>
      <c r="AH559" s="250"/>
      <c r="AI559" s="250"/>
      <c r="AJ559" s="250"/>
      <c r="AK559" s="250"/>
      <c r="AL559" s="250"/>
      <c r="AM559" s="250"/>
      <c r="AN559" s="250"/>
      <c r="AO559" s="250"/>
      <c r="AP559" s="250"/>
      <c r="AQ559" s="250"/>
      <c r="AR559" s="250"/>
      <c r="AS559" s="250"/>
      <c r="AT559" s="250"/>
      <c r="AU559" s="250"/>
      <c r="AV559" s="250"/>
      <c r="AW559" s="250"/>
      <c r="AX559" s="250"/>
      <c r="AY559" s="250"/>
      <c r="AZ559" s="250"/>
      <c r="BA559" s="250"/>
      <c r="BB559" s="250"/>
      <c r="BC559" s="250"/>
      <c r="BD559" s="250"/>
      <c r="BE559" s="250"/>
      <c r="BF559" s="250"/>
      <c r="BG559" s="250"/>
      <c r="BH559" s="250"/>
      <c r="BI559" s="250"/>
      <c r="BJ559" s="250"/>
    </row>
    <row r="560" spans="2:62" ht="15.75" customHeight="1">
      <c r="B560" s="7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339"/>
      <c r="N560" s="339"/>
      <c r="O560" s="339"/>
      <c r="P560" s="416"/>
      <c r="Q560" s="406"/>
      <c r="R560" s="339"/>
      <c r="S560" s="406"/>
      <c r="T560" s="339"/>
      <c r="U560" s="339"/>
      <c r="V560" s="339"/>
      <c r="W560" s="339"/>
      <c r="X560" s="339"/>
      <c r="Y560" s="250"/>
      <c r="Z560" s="250"/>
      <c r="AA560" s="250"/>
      <c r="AB560" s="250"/>
      <c r="AC560" s="250"/>
      <c r="AD560" s="250"/>
      <c r="AE560" s="250"/>
      <c r="AF560" s="250"/>
      <c r="AG560" s="250"/>
      <c r="AH560" s="250"/>
      <c r="AI560" s="250"/>
      <c r="AJ560" s="250"/>
      <c r="AK560" s="250"/>
      <c r="AL560" s="250"/>
      <c r="AM560" s="250"/>
      <c r="AN560" s="250"/>
      <c r="AO560" s="250"/>
      <c r="AP560" s="250"/>
      <c r="AQ560" s="250"/>
      <c r="AR560" s="250"/>
      <c r="AS560" s="250"/>
      <c r="AT560" s="250"/>
      <c r="AU560" s="250"/>
      <c r="AV560" s="250"/>
      <c r="AW560" s="250"/>
      <c r="AX560" s="250"/>
      <c r="AY560" s="250"/>
      <c r="AZ560" s="250"/>
      <c r="BA560" s="250"/>
      <c r="BB560" s="250"/>
      <c r="BC560" s="250"/>
      <c r="BD560" s="250"/>
      <c r="BE560" s="250"/>
      <c r="BF560" s="250"/>
      <c r="BG560" s="250"/>
      <c r="BH560" s="250"/>
      <c r="BI560" s="250"/>
      <c r="BJ560" s="250"/>
    </row>
    <row r="561" spans="2:62" ht="15.75" customHeight="1">
      <c r="B561" s="7"/>
      <c r="C561" s="405"/>
      <c r="D561" s="405"/>
      <c r="E561" s="339"/>
      <c r="F561" s="339"/>
      <c r="G561" s="405"/>
      <c r="H561" s="339"/>
      <c r="I561" s="339"/>
      <c r="J561" s="339"/>
      <c r="K561" s="339"/>
      <c r="L561" s="339"/>
      <c r="M561" s="339"/>
      <c r="N561" s="339"/>
      <c r="O561" s="339"/>
      <c r="P561" s="418"/>
      <c r="Q561" s="408"/>
      <c r="R561" s="339"/>
      <c r="S561" s="408"/>
      <c r="T561" s="339"/>
      <c r="U561" s="339"/>
      <c r="V561" s="339"/>
      <c r="W561" s="339"/>
      <c r="X561" s="339"/>
      <c r="Y561" s="250"/>
      <c r="Z561" s="250"/>
      <c r="AA561" s="250"/>
      <c r="AB561" s="250"/>
      <c r="AC561" s="250"/>
      <c r="AD561" s="250"/>
      <c r="AE561" s="250"/>
      <c r="AF561" s="250"/>
      <c r="AG561" s="250"/>
      <c r="AH561" s="250"/>
      <c r="AI561" s="250"/>
      <c r="AJ561" s="250"/>
      <c r="AK561" s="250"/>
      <c r="AL561" s="250"/>
      <c r="AM561" s="250"/>
      <c r="AN561" s="250"/>
      <c r="AO561" s="250"/>
      <c r="AP561" s="250"/>
      <c r="AQ561" s="250"/>
      <c r="AR561" s="250"/>
      <c r="AS561" s="250"/>
      <c r="AT561" s="250"/>
      <c r="AU561" s="250"/>
      <c r="AV561" s="250"/>
      <c r="AW561" s="250"/>
      <c r="AX561" s="250"/>
      <c r="AY561" s="250"/>
      <c r="AZ561" s="250"/>
      <c r="BA561" s="250"/>
      <c r="BB561" s="250"/>
      <c r="BC561" s="250"/>
      <c r="BD561" s="250"/>
      <c r="BE561" s="250"/>
      <c r="BF561" s="250"/>
      <c r="BG561" s="250"/>
      <c r="BH561" s="250"/>
      <c r="BI561" s="250"/>
      <c r="BJ561" s="250"/>
    </row>
    <row r="562" spans="2:62" ht="15.75" customHeight="1">
      <c r="B562" s="7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339"/>
      <c r="N562" s="339"/>
      <c r="O562" s="339"/>
      <c r="P562" s="418"/>
      <c r="Q562" s="418"/>
      <c r="R562" s="339"/>
      <c r="S562" s="339"/>
      <c r="T562" s="339"/>
      <c r="U562" s="339"/>
      <c r="V562" s="339"/>
      <c r="W562" s="339"/>
      <c r="X562" s="339"/>
      <c r="Y562" s="250"/>
      <c r="Z562" s="250"/>
      <c r="AA562" s="250"/>
      <c r="AB562" s="250"/>
      <c r="AC562" s="250"/>
      <c r="AD562" s="250"/>
      <c r="AE562" s="250"/>
      <c r="AF562" s="250"/>
      <c r="AG562" s="250"/>
      <c r="AH562" s="250"/>
      <c r="AI562" s="250"/>
      <c r="AJ562" s="250"/>
      <c r="AK562" s="250"/>
      <c r="AL562" s="250"/>
      <c r="AM562" s="250"/>
      <c r="AN562" s="250"/>
      <c r="AO562" s="250"/>
      <c r="AP562" s="250"/>
      <c r="AQ562" s="250"/>
      <c r="AR562" s="250"/>
      <c r="AS562" s="250"/>
      <c r="AT562" s="250"/>
      <c r="AU562" s="250"/>
      <c r="AV562" s="250"/>
      <c r="AW562" s="250"/>
      <c r="AX562" s="250"/>
      <c r="AY562" s="250"/>
      <c r="AZ562" s="250"/>
      <c r="BA562" s="250"/>
      <c r="BB562" s="250"/>
      <c r="BC562" s="250"/>
      <c r="BD562" s="250"/>
      <c r="BE562" s="250"/>
      <c r="BF562" s="250"/>
      <c r="BG562" s="250"/>
      <c r="BH562" s="250"/>
      <c r="BI562" s="250"/>
      <c r="BJ562" s="250"/>
    </row>
    <row r="563" spans="2:62" ht="15.75" customHeight="1">
      <c r="B563" s="7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339"/>
      <c r="N563" s="339"/>
      <c r="O563" s="339"/>
      <c r="P563" s="416"/>
      <c r="Q563" s="406"/>
      <c r="R563" s="339"/>
      <c r="S563" s="406"/>
      <c r="T563" s="339"/>
      <c r="U563" s="339"/>
      <c r="V563" s="339"/>
      <c r="W563" s="339"/>
      <c r="X563" s="339"/>
      <c r="Y563" s="250"/>
      <c r="Z563" s="250"/>
      <c r="AA563" s="250"/>
      <c r="AB563" s="250"/>
      <c r="AC563" s="250"/>
      <c r="AD563" s="250"/>
      <c r="AE563" s="250"/>
      <c r="AF563" s="250"/>
      <c r="AG563" s="250"/>
      <c r="AH563" s="250"/>
      <c r="AI563" s="250"/>
      <c r="AJ563" s="250"/>
      <c r="AK563" s="250"/>
      <c r="AL563" s="250"/>
      <c r="AM563" s="250"/>
      <c r="AN563" s="250"/>
      <c r="AO563" s="250"/>
      <c r="AP563" s="250"/>
      <c r="AQ563" s="250"/>
      <c r="AR563" s="250"/>
      <c r="AS563" s="250"/>
      <c r="AT563" s="250"/>
      <c r="AU563" s="250"/>
      <c r="AV563" s="250"/>
      <c r="AW563" s="250"/>
      <c r="AX563" s="250"/>
      <c r="AY563" s="250"/>
      <c r="AZ563" s="250"/>
      <c r="BA563" s="250"/>
      <c r="BB563" s="250"/>
      <c r="BC563" s="250"/>
      <c r="BD563" s="250"/>
      <c r="BE563" s="250"/>
      <c r="BF563" s="250"/>
      <c r="BG563" s="250"/>
      <c r="BH563" s="250"/>
      <c r="BI563" s="250"/>
      <c r="BJ563" s="250"/>
    </row>
    <row r="564" spans="2:62" ht="15.75" customHeight="1">
      <c r="B564" s="7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339"/>
      <c r="N564" s="339"/>
      <c r="O564" s="339"/>
      <c r="P564" s="416"/>
      <c r="Q564" s="406"/>
      <c r="R564" s="339"/>
      <c r="S564" s="406"/>
      <c r="T564" s="339"/>
      <c r="U564" s="339"/>
      <c r="V564" s="339"/>
      <c r="W564" s="339"/>
      <c r="X564" s="339"/>
      <c r="Y564" s="250"/>
      <c r="Z564" s="250"/>
      <c r="AA564" s="250"/>
      <c r="AB564" s="250"/>
      <c r="AC564" s="250"/>
      <c r="AD564" s="250"/>
      <c r="AE564" s="250"/>
      <c r="AF564" s="250"/>
      <c r="AG564" s="250"/>
      <c r="AH564" s="250"/>
      <c r="AI564" s="250"/>
      <c r="AJ564" s="250"/>
      <c r="AK564" s="250"/>
      <c r="AL564" s="250"/>
      <c r="AM564" s="250"/>
      <c r="AN564" s="250"/>
      <c r="AO564" s="250"/>
      <c r="AP564" s="250"/>
      <c r="AQ564" s="250"/>
      <c r="AR564" s="250"/>
      <c r="AS564" s="250"/>
      <c r="AT564" s="250"/>
      <c r="AU564" s="250"/>
      <c r="AV564" s="250"/>
      <c r="AW564" s="250"/>
      <c r="AX564" s="250"/>
      <c r="AY564" s="250"/>
      <c r="AZ564" s="250"/>
      <c r="BA564" s="250"/>
      <c r="BB564" s="250"/>
      <c r="BC564" s="250"/>
      <c r="BD564" s="250"/>
      <c r="BE564" s="250"/>
      <c r="BF564" s="250"/>
      <c r="BG564" s="250"/>
      <c r="BH564" s="250"/>
      <c r="BI564" s="250"/>
      <c r="BJ564" s="250"/>
    </row>
    <row r="565" spans="2:62" ht="15.75" customHeight="1">
      <c r="B565" s="7"/>
      <c r="C565" s="405"/>
      <c r="D565" s="339"/>
      <c r="E565" s="339"/>
      <c r="F565" s="339"/>
      <c r="G565" s="339"/>
      <c r="H565" s="339"/>
      <c r="I565" s="339"/>
      <c r="J565" s="339"/>
      <c r="K565" s="339"/>
      <c r="L565" s="339"/>
      <c r="M565" s="339"/>
      <c r="N565" s="339"/>
      <c r="O565" s="339"/>
      <c r="P565" s="418"/>
      <c r="Q565" s="408"/>
      <c r="R565" s="339"/>
      <c r="S565" s="408"/>
      <c r="T565" s="339"/>
      <c r="U565" s="339"/>
      <c r="V565" s="339"/>
      <c r="W565" s="339"/>
      <c r="X565" s="339"/>
      <c r="Y565" s="250"/>
      <c r="Z565" s="250"/>
      <c r="AA565" s="250"/>
      <c r="AB565" s="250"/>
      <c r="AC565" s="250"/>
      <c r="AD565" s="250"/>
      <c r="AE565" s="250"/>
      <c r="AF565" s="250"/>
      <c r="AG565" s="250"/>
      <c r="AH565" s="250"/>
      <c r="AI565" s="250"/>
      <c r="AJ565" s="250"/>
      <c r="AK565" s="250"/>
      <c r="AL565" s="250"/>
      <c r="AM565" s="250"/>
      <c r="AN565" s="250"/>
      <c r="AO565" s="250"/>
      <c r="AP565" s="250"/>
      <c r="AQ565" s="250"/>
      <c r="AR565" s="250"/>
      <c r="AS565" s="250"/>
      <c r="AT565" s="250"/>
      <c r="AU565" s="250"/>
      <c r="AV565" s="250"/>
      <c r="AW565" s="250"/>
      <c r="AX565" s="250"/>
      <c r="AY565" s="250"/>
      <c r="AZ565" s="250"/>
      <c r="BA565" s="250"/>
      <c r="BB565" s="250"/>
      <c r="BC565" s="250"/>
      <c r="BD565" s="250"/>
      <c r="BE565" s="250"/>
      <c r="BF565" s="250"/>
      <c r="BG565" s="250"/>
      <c r="BH565" s="250"/>
      <c r="BI565" s="250"/>
      <c r="BJ565" s="250"/>
    </row>
    <row r="566" spans="2:62" ht="15.75" customHeight="1">
      <c r="B566" s="7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339"/>
      <c r="N566" s="339"/>
      <c r="O566" s="339"/>
      <c r="P566" s="418"/>
      <c r="Q566" s="418"/>
      <c r="R566" s="339"/>
      <c r="S566" s="339"/>
      <c r="T566" s="339"/>
      <c r="U566" s="339"/>
      <c r="V566" s="339"/>
      <c r="W566" s="339"/>
      <c r="X566" s="339"/>
      <c r="Y566" s="250"/>
      <c r="Z566" s="250"/>
      <c r="AA566" s="250"/>
      <c r="AB566" s="250"/>
      <c r="AC566" s="250"/>
      <c r="AD566" s="250"/>
      <c r="AE566" s="250"/>
      <c r="AF566" s="250"/>
      <c r="AG566" s="250"/>
      <c r="AH566" s="250"/>
      <c r="AI566" s="250"/>
      <c r="AJ566" s="250"/>
      <c r="AK566" s="250"/>
      <c r="AL566" s="250"/>
      <c r="AM566" s="250"/>
      <c r="AN566" s="250"/>
      <c r="AO566" s="250"/>
      <c r="AP566" s="250"/>
      <c r="AQ566" s="250"/>
      <c r="AR566" s="250"/>
      <c r="AS566" s="250"/>
      <c r="AT566" s="250"/>
      <c r="AU566" s="250"/>
      <c r="AV566" s="250"/>
      <c r="AW566" s="250"/>
      <c r="AX566" s="250"/>
      <c r="AY566" s="250"/>
      <c r="AZ566" s="250"/>
      <c r="BA566" s="250"/>
      <c r="BB566" s="250"/>
      <c r="BC566" s="250"/>
      <c r="BD566" s="250"/>
      <c r="BE566" s="250"/>
      <c r="BF566" s="250"/>
      <c r="BG566" s="250"/>
      <c r="BH566" s="250"/>
      <c r="BI566" s="250"/>
      <c r="BJ566" s="250"/>
    </row>
    <row r="567" spans="2:62" ht="15.75" customHeight="1">
      <c r="B567" s="7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339"/>
      <c r="N567" s="339"/>
      <c r="O567" s="339"/>
      <c r="P567" s="416"/>
      <c r="Q567" s="406"/>
      <c r="R567" s="339"/>
      <c r="S567" s="406"/>
      <c r="T567" s="339"/>
      <c r="U567" s="339"/>
      <c r="V567" s="339"/>
      <c r="W567" s="339"/>
      <c r="X567" s="339"/>
      <c r="Y567" s="250"/>
      <c r="Z567" s="250"/>
      <c r="AA567" s="250"/>
      <c r="AB567" s="250"/>
      <c r="AC567" s="250"/>
      <c r="AD567" s="250"/>
      <c r="AE567" s="250"/>
      <c r="AF567" s="250"/>
      <c r="AG567" s="250"/>
      <c r="AH567" s="250"/>
      <c r="AI567" s="250"/>
      <c r="AJ567" s="250"/>
      <c r="AK567" s="250"/>
      <c r="AL567" s="250"/>
      <c r="AM567" s="250"/>
      <c r="AN567" s="250"/>
      <c r="AO567" s="250"/>
      <c r="AP567" s="250"/>
      <c r="AQ567" s="250"/>
      <c r="AR567" s="250"/>
      <c r="AS567" s="250"/>
      <c r="AT567" s="250"/>
      <c r="AU567" s="250"/>
      <c r="AV567" s="250"/>
      <c r="AW567" s="250"/>
      <c r="AX567" s="250"/>
      <c r="AY567" s="250"/>
      <c r="AZ567" s="250"/>
      <c r="BA567" s="250"/>
      <c r="BB567" s="250"/>
      <c r="BC567" s="250"/>
      <c r="BD567" s="250"/>
      <c r="BE567" s="250"/>
      <c r="BF567" s="250"/>
      <c r="BG567" s="250"/>
      <c r="BH567" s="250"/>
      <c r="BI567" s="250"/>
      <c r="BJ567" s="250"/>
    </row>
    <row r="568" spans="2:62" ht="15.75" customHeight="1">
      <c r="B568" s="7"/>
      <c r="C568" s="405"/>
      <c r="D568" s="405"/>
      <c r="E568" s="339"/>
      <c r="F568" s="339"/>
      <c r="G568" s="405"/>
      <c r="H568" s="339"/>
      <c r="I568" s="339"/>
      <c r="J568" s="339"/>
      <c r="K568" s="339"/>
      <c r="L568" s="339"/>
      <c r="M568" s="339"/>
      <c r="N568" s="339"/>
      <c r="O568" s="339"/>
      <c r="P568" s="418"/>
      <c r="Q568" s="408"/>
      <c r="R568" s="339"/>
      <c r="S568" s="408"/>
      <c r="T568" s="339"/>
      <c r="U568" s="339"/>
      <c r="V568" s="339"/>
      <c r="W568" s="339"/>
      <c r="X568" s="339"/>
      <c r="Y568" s="250"/>
      <c r="Z568" s="250"/>
      <c r="AA568" s="250"/>
      <c r="AB568" s="250"/>
      <c r="AC568" s="250"/>
      <c r="AD568" s="250"/>
      <c r="AE568" s="250"/>
      <c r="AF568" s="250"/>
      <c r="AG568" s="250"/>
      <c r="AH568" s="250"/>
      <c r="AI568" s="250"/>
      <c r="AJ568" s="250"/>
      <c r="AK568" s="250"/>
      <c r="AL568" s="250"/>
      <c r="AM568" s="250"/>
      <c r="AN568" s="250"/>
      <c r="AO568" s="250"/>
      <c r="AP568" s="250"/>
      <c r="AQ568" s="250"/>
      <c r="AR568" s="250"/>
      <c r="AS568" s="250"/>
      <c r="AT568" s="250"/>
      <c r="AU568" s="250"/>
      <c r="AV568" s="250"/>
      <c r="AW568" s="250"/>
      <c r="AX568" s="250"/>
      <c r="AY568" s="250"/>
      <c r="AZ568" s="250"/>
      <c r="BA568" s="250"/>
      <c r="BB568" s="250"/>
      <c r="BC568" s="250"/>
      <c r="BD568" s="250"/>
      <c r="BE568" s="250"/>
      <c r="BF568" s="250"/>
      <c r="BG568" s="250"/>
      <c r="BH568" s="250"/>
      <c r="BI568" s="250"/>
      <c r="BJ568" s="250"/>
    </row>
    <row r="569" spans="2:62" ht="15.75" customHeight="1">
      <c r="B569" s="7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339"/>
      <c r="N569" s="339"/>
      <c r="O569" s="339"/>
      <c r="P569" s="418"/>
      <c r="Q569" s="418"/>
      <c r="R569" s="339"/>
      <c r="S569" s="339"/>
      <c r="T569" s="339"/>
      <c r="U569" s="339"/>
      <c r="V569" s="339"/>
      <c r="W569" s="339"/>
      <c r="X569" s="339"/>
      <c r="Y569" s="250"/>
      <c r="Z569" s="250"/>
      <c r="AA569" s="250"/>
      <c r="AB569" s="250"/>
      <c r="AC569" s="250"/>
      <c r="AD569" s="250"/>
      <c r="AE569" s="250"/>
      <c r="AF569" s="250"/>
      <c r="AG569" s="250"/>
      <c r="AH569" s="250"/>
      <c r="AI569" s="250"/>
      <c r="AJ569" s="250"/>
      <c r="AK569" s="250"/>
      <c r="AL569" s="250"/>
      <c r="AM569" s="250"/>
      <c r="AN569" s="250"/>
      <c r="AO569" s="250"/>
      <c r="AP569" s="250"/>
      <c r="AQ569" s="250"/>
      <c r="AR569" s="250"/>
      <c r="AS569" s="250"/>
      <c r="AT569" s="250"/>
      <c r="AU569" s="250"/>
      <c r="AV569" s="250"/>
      <c r="AW569" s="250"/>
      <c r="AX569" s="250"/>
      <c r="AY569" s="250"/>
      <c r="AZ569" s="250"/>
      <c r="BA569" s="250"/>
      <c r="BB569" s="250"/>
      <c r="BC569" s="250"/>
      <c r="BD569" s="250"/>
      <c r="BE569" s="250"/>
      <c r="BF569" s="250"/>
      <c r="BG569" s="250"/>
      <c r="BH569" s="250"/>
      <c r="BI569" s="250"/>
      <c r="BJ569" s="250"/>
    </row>
    <row r="570" spans="2:62" ht="15.75" customHeight="1">
      <c r="B570" s="7"/>
      <c r="C570" s="339"/>
      <c r="D570" s="339"/>
      <c r="E570" s="406"/>
      <c r="F570" s="416"/>
      <c r="G570" s="339"/>
      <c r="H570" s="406"/>
      <c r="I570" s="416"/>
      <c r="J570" s="416"/>
      <c r="K570" s="406"/>
      <c r="L570" s="416"/>
      <c r="M570" s="406"/>
      <c r="N570" s="416"/>
      <c r="O570" s="406"/>
      <c r="P570" s="416"/>
      <c r="Q570" s="406"/>
      <c r="R570" s="406"/>
      <c r="S570" s="339"/>
      <c r="T570" s="339"/>
      <c r="U570" s="339"/>
      <c r="V570" s="339"/>
      <c r="W570" s="339"/>
      <c r="X570" s="339"/>
      <c r="Y570" s="250"/>
      <c r="Z570" s="250"/>
      <c r="AA570" s="250"/>
      <c r="AB570" s="250"/>
      <c r="AC570" s="250"/>
      <c r="AD570" s="250"/>
      <c r="AE570" s="250"/>
      <c r="AF570" s="250"/>
      <c r="AG570" s="250"/>
      <c r="AH570" s="250"/>
      <c r="AI570" s="250"/>
      <c r="AJ570" s="250"/>
      <c r="AK570" s="250"/>
      <c r="AL570" s="250"/>
      <c r="AM570" s="250"/>
      <c r="AN570" s="250"/>
      <c r="AO570" s="250"/>
      <c r="AP570" s="250"/>
      <c r="AQ570" s="250"/>
      <c r="AR570" s="250"/>
      <c r="AS570" s="250"/>
      <c r="AT570" s="250"/>
      <c r="AU570" s="250"/>
      <c r="AV570" s="250"/>
      <c r="AW570" s="250"/>
      <c r="AX570" s="250"/>
      <c r="AY570" s="250"/>
      <c r="AZ570" s="250"/>
      <c r="BA570" s="250"/>
      <c r="BB570" s="250"/>
      <c r="BC570" s="250"/>
      <c r="BD570" s="250"/>
      <c r="BE570" s="250"/>
      <c r="BF570" s="250"/>
      <c r="BG570" s="250"/>
      <c r="BH570" s="250"/>
      <c r="BI570" s="250"/>
      <c r="BJ570" s="250"/>
    </row>
    <row r="571" spans="2:62" ht="15.75" customHeight="1">
      <c r="B571" s="7"/>
      <c r="C571" s="405"/>
      <c r="D571" s="405"/>
      <c r="E571" s="408"/>
      <c r="F571" s="418"/>
      <c r="G571" s="405"/>
      <c r="H571" s="408"/>
      <c r="I571" s="418"/>
      <c r="J571" s="418"/>
      <c r="K571" s="408"/>
      <c r="L571" s="418"/>
      <c r="M571" s="408"/>
      <c r="N571" s="418"/>
      <c r="O571" s="408"/>
      <c r="P571" s="418"/>
      <c r="Q571" s="408"/>
      <c r="R571" s="408"/>
      <c r="S571" s="408"/>
      <c r="T571" s="339"/>
      <c r="U571" s="339"/>
      <c r="V571" s="339"/>
      <c r="W571" s="339"/>
      <c r="X571" s="339"/>
      <c r="Y571" s="250"/>
      <c r="Z571" s="250"/>
      <c r="AA571" s="250"/>
      <c r="AB571" s="250"/>
      <c r="AC571" s="250"/>
      <c r="AD571" s="250"/>
      <c r="AE571" s="250"/>
      <c r="AF571" s="250"/>
      <c r="AG571" s="250"/>
      <c r="AH571" s="250"/>
      <c r="AI571" s="250"/>
      <c r="AJ571" s="250"/>
      <c r="AK571" s="250"/>
      <c r="AL571" s="250"/>
      <c r="AM571" s="250"/>
      <c r="AN571" s="250"/>
      <c r="AO571" s="250"/>
      <c r="AP571" s="250"/>
      <c r="AQ571" s="250"/>
      <c r="AR571" s="250"/>
      <c r="AS571" s="250"/>
      <c r="AT571" s="250"/>
      <c r="AU571" s="250"/>
      <c r="AV571" s="250"/>
      <c r="AW571" s="250"/>
      <c r="AX571" s="250"/>
      <c r="AY571" s="250"/>
      <c r="AZ571" s="250"/>
      <c r="BA571" s="250"/>
      <c r="BB571" s="250"/>
      <c r="BC571" s="250"/>
      <c r="BD571" s="250"/>
      <c r="BE571" s="250"/>
      <c r="BF571" s="250"/>
      <c r="BG571" s="250"/>
      <c r="BH571" s="250"/>
      <c r="BI571" s="250"/>
      <c r="BJ571" s="250"/>
    </row>
    <row r="572" spans="2:62" ht="15.75" customHeight="1">
      <c r="B572" s="7"/>
      <c r="C572" s="339"/>
      <c r="D572" s="339"/>
      <c r="E572" s="406"/>
      <c r="F572" s="416"/>
      <c r="G572" s="339"/>
      <c r="H572" s="406"/>
      <c r="I572" s="416"/>
      <c r="J572" s="406"/>
      <c r="K572" s="416"/>
      <c r="L572" s="406"/>
      <c r="M572" s="339"/>
      <c r="N572" s="406"/>
      <c r="O572" s="416"/>
      <c r="P572" s="408"/>
      <c r="Q572" s="418"/>
      <c r="R572" s="418"/>
      <c r="S572" s="406"/>
      <c r="T572" s="339"/>
      <c r="U572" s="339"/>
      <c r="V572" s="339"/>
      <c r="W572" s="339"/>
      <c r="X572" s="339"/>
      <c r="Y572" s="250"/>
      <c r="Z572" s="250"/>
      <c r="AA572" s="250"/>
      <c r="AB572" s="250"/>
      <c r="AC572" s="250"/>
      <c r="AD572" s="250"/>
      <c r="AE572" s="250"/>
      <c r="AF572" s="250"/>
      <c r="AG572" s="250"/>
      <c r="AH572" s="250"/>
      <c r="AI572" s="250"/>
      <c r="AJ572" s="250"/>
      <c r="AK572" s="250"/>
      <c r="AL572" s="250"/>
      <c r="AM572" s="250"/>
      <c r="AN572" s="250"/>
      <c r="AO572" s="250"/>
      <c r="AP572" s="250"/>
      <c r="AQ572" s="250"/>
      <c r="AR572" s="250"/>
      <c r="AS572" s="250"/>
      <c r="AT572" s="250"/>
      <c r="AU572" s="250"/>
      <c r="AV572" s="250"/>
      <c r="AW572" s="250"/>
      <c r="AX572" s="250"/>
      <c r="AY572" s="250"/>
      <c r="AZ572" s="250"/>
      <c r="BA572" s="250"/>
      <c r="BB572" s="250"/>
      <c r="BC572" s="250"/>
      <c r="BD572" s="250"/>
      <c r="BE572" s="250"/>
      <c r="BF572" s="250"/>
      <c r="BG572" s="250"/>
      <c r="BH572" s="250"/>
      <c r="BI572" s="250"/>
      <c r="BJ572" s="250"/>
    </row>
    <row r="573" spans="2:62" ht="15.75" customHeight="1">
      <c r="B573" s="7"/>
      <c r="C573" s="339"/>
      <c r="D573" s="339"/>
      <c r="E573" s="406"/>
      <c r="F573" s="416"/>
      <c r="G573" s="339"/>
      <c r="H573" s="406"/>
      <c r="I573" s="416"/>
      <c r="J573" s="406"/>
      <c r="K573" s="416"/>
      <c r="L573" s="406"/>
      <c r="M573" s="339"/>
      <c r="N573" s="406"/>
      <c r="O573" s="416"/>
      <c r="P573" s="406"/>
      <c r="Q573" s="339"/>
      <c r="R573" s="416"/>
      <c r="S573" s="406"/>
      <c r="T573" s="339"/>
      <c r="U573" s="339"/>
      <c r="V573" s="339"/>
      <c r="W573" s="339"/>
      <c r="X573" s="339"/>
      <c r="Y573" s="250"/>
      <c r="Z573" s="250"/>
      <c r="AA573" s="250"/>
      <c r="AB573" s="250"/>
      <c r="AC573" s="250"/>
      <c r="AD573" s="250"/>
      <c r="AE573" s="250"/>
      <c r="AF573" s="250"/>
      <c r="AG573" s="250"/>
      <c r="AH573" s="250"/>
      <c r="AI573" s="250"/>
      <c r="AJ573" s="250"/>
      <c r="AK573" s="250"/>
      <c r="AL573" s="250"/>
      <c r="AM573" s="250"/>
      <c r="AN573" s="250"/>
      <c r="AO573" s="250"/>
      <c r="AP573" s="250"/>
      <c r="AQ573" s="250"/>
      <c r="AR573" s="250"/>
      <c r="AS573" s="250"/>
      <c r="AT573" s="250"/>
      <c r="AU573" s="250"/>
      <c r="AV573" s="250"/>
      <c r="AW573" s="250"/>
      <c r="AX573" s="250"/>
      <c r="AY573" s="250"/>
      <c r="AZ573" s="250"/>
      <c r="BA573" s="250"/>
      <c r="BB573" s="250"/>
      <c r="BC573" s="250"/>
      <c r="BD573" s="250"/>
      <c r="BE573" s="250"/>
      <c r="BF573" s="250"/>
      <c r="BG573" s="250"/>
      <c r="BH573" s="250"/>
      <c r="BI573" s="250"/>
      <c r="BJ573" s="250"/>
    </row>
    <row r="574" spans="2:62" ht="15.75" customHeight="1">
      <c r="B574" s="7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339"/>
      <c r="N574" s="339"/>
      <c r="O574" s="339"/>
      <c r="P574" s="339"/>
      <c r="Q574" s="339"/>
      <c r="R574" s="416"/>
      <c r="S574" s="406"/>
      <c r="T574" s="339"/>
      <c r="U574" s="339"/>
      <c r="V574" s="339"/>
      <c r="W574" s="339"/>
      <c r="X574" s="339"/>
      <c r="Y574" s="250"/>
      <c r="Z574" s="250"/>
      <c r="AA574" s="250"/>
      <c r="AB574" s="250"/>
      <c r="AC574" s="250"/>
      <c r="AD574" s="250"/>
      <c r="AE574" s="250"/>
      <c r="AF574" s="250"/>
      <c r="AG574" s="250"/>
      <c r="AH574" s="250"/>
      <c r="AI574" s="250"/>
      <c r="AJ574" s="250"/>
      <c r="AK574" s="250"/>
      <c r="AL574" s="250"/>
      <c r="AM574" s="250"/>
      <c r="AN574" s="250"/>
      <c r="AO574" s="250"/>
      <c r="AP574" s="250"/>
      <c r="AQ574" s="250"/>
      <c r="AR574" s="250"/>
      <c r="AS574" s="250"/>
      <c r="AT574" s="250"/>
      <c r="AU574" s="250"/>
      <c r="AV574" s="250"/>
      <c r="AW574" s="250"/>
      <c r="AX574" s="250"/>
      <c r="AY574" s="250"/>
      <c r="AZ574" s="250"/>
      <c r="BA574" s="250"/>
      <c r="BB574" s="250"/>
      <c r="BC574" s="250"/>
      <c r="BD574" s="250"/>
      <c r="BE574" s="250"/>
      <c r="BF574" s="250"/>
      <c r="BG574" s="250"/>
      <c r="BH574" s="250"/>
      <c r="BI574" s="250"/>
      <c r="BJ574" s="250"/>
    </row>
    <row r="575" spans="2:62" ht="15.75" customHeight="1">
      <c r="B575" s="7"/>
      <c r="C575" s="339"/>
      <c r="D575" s="339"/>
      <c r="E575" s="406"/>
      <c r="F575" s="416"/>
      <c r="G575" s="339"/>
      <c r="H575" s="406"/>
      <c r="I575" s="416"/>
      <c r="J575" s="406"/>
      <c r="K575" s="416"/>
      <c r="L575" s="406"/>
      <c r="M575" s="339"/>
      <c r="N575" s="406"/>
      <c r="O575" s="416"/>
      <c r="P575" s="406"/>
      <c r="Q575" s="339"/>
      <c r="R575" s="416"/>
      <c r="S575" s="406"/>
      <c r="T575" s="339"/>
      <c r="U575" s="339"/>
      <c r="V575" s="339"/>
      <c r="W575" s="339"/>
      <c r="X575" s="339"/>
      <c r="Y575" s="250"/>
      <c r="Z575" s="250"/>
      <c r="AA575" s="250"/>
      <c r="AB575" s="250"/>
      <c r="AC575" s="250"/>
      <c r="AD575" s="250"/>
      <c r="AE575" s="250"/>
      <c r="AF575" s="250"/>
      <c r="AG575" s="250"/>
      <c r="AH575" s="250"/>
      <c r="AI575" s="250"/>
      <c r="AJ575" s="250"/>
      <c r="AK575" s="250"/>
      <c r="AL575" s="250"/>
      <c r="AM575" s="250"/>
      <c r="AN575" s="250"/>
      <c r="AO575" s="250"/>
      <c r="AP575" s="250"/>
      <c r="AQ575" s="250"/>
      <c r="AR575" s="250"/>
      <c r="AS575" s="250"/>
      <c r="AT575" s="250"/>
      <c r="AU575" s="250"/>
      <c r="AV575" s="250"/>
      <c r="AW575" s="250"/>
      <c r="AX575" s="250"/>
      <c r="AY575" s="250"/>
      <c r="AZ575" s="250"/>
      <c r="BA575" s="250"/>
      <c r="BB575" s="250"/>
      <c r="BC575" s="250"/>
      <c r="BD575" s="250"/>
      <c r="BE575" s="250"/>
      <c r="BF575" s="250"/>
      <c r="BG575" s="250"/>
      <c r="BH575" s="250"/>
      <c r="BI575" s="250"/>
      <c r="BJ575" s="250"/>
    </row>
    <row r="576" spans="2:62" ht="15.75" customHeight="1">
      <c r="B576" s="7"/>
      <c r="C576" s="339"/>
      <c r="D576" s="339"/>
      <c r="E576" s="406"/>
      <c r="F576" s="416"/>
      <c r="G576" s="339"/>
      <c r="H576" s="406"/>
      <c r="I576" s="416"/>
      <c r="J576" s="406"/>
      <c r="K576" s="416"/>
      <c r="L576" s="406"/>
      <c r="M576" s="339"/>
      <c r="N576" s="406"/>
      <c r="O576" s="416"/>
      <c r="P576" s="406"/>
      <c r="Q576" s="339"/>
      <c r="R576" s="416"/>
      <c r="S576" s="406"/>
      <c r="T576" s="339"/>
      <c r="U576" s="339"/>
      <c r="V576" s="339"/>
      <c r="W576" s="339"/>
      <c r="X576" s="339"/>
      <c r="Y576" s="250"/>
      <c r="Z576" s="250"/>
      <c r="AA576" s="250"/>
      <c r="AB576" s="250"/>
      <c r="AC576" s="250"/>
      <c r="AD576" s="250"/>
      <c r="AE576" s="250"/>
      <c r="AF576" s="250"/>
      <c r="AG576" s="250"/>
      <c r="AH576" s="250"/>
      <c r="AI576" s="250"/>
      <c r="AJ576" s="250"/>
      <c r="AK576" s="250"/>
      <c r="AL576" s="250"/>
      <c r="AM576" s="250"/>
      <c r="AN576" s="250"/>
      <c r="AO576" s="250"/>
      <c r="AP576" s="250"/>
      <c r="AQ576" s="250"/>
      <c r="AR576" s="250"/>
      <c r="AS576" s="250"/>
      <c r="AT576" s="250"/>
      <c r="AU576" s="250"/>
      <c r="AV576" s="250"/>
      <c r="AW576" s="250"/>
      <c r="AX576" s="250"/>
      <c r="AY576" s="250"/>
      <c r="AZ576" s="250"/>
      <c r="BA576" s="250"/>
      <c r="BB576" s="250"/>
      <c r="BC576" s="250"/>
      <c r="BD576" s="250"/>
      <c r="BE576" s="250"/>
      <c r="BF576" s="250"/>
      <c r="BG576" s="250"/>
      <c r="BH576" s="250"/>
      <c r="BI576" s="250"/>
      <c r="BJ576" s="250"/>
    </row>
    <row r="577" spans="2:62" ht="15.75" customHeight="1">
      <c r="B577" s="7"/>
      <c r="C577" s="339"/>
      <c r="D577" s="339"/>
      <c r="E577" s="406"/>
      <c r="F577" s="416"/>
      <c r="G577" s="339"/>
      <c r="H577" s="406"/>
      <c r="I577" s="416"/>
      <c r="J577" s="406"/>
      <c r="K577" s="416"/>
      <c r="L577" s="406"/>
      <c r="M577" s="339"/>
      <c r="N577" s="406"/>
      <c r="O577" s="416"/>
      <c r="P577" s="406"/>
      <c r="Q577" s="339"/>
      <c r="R577" s="416"/>
      <c r="S577" s="406"/>
      <c r="T577" s="339"/>
      <c r="U577" s="339"/>
      <c r="V577" s="339"/>
      <c r="W577" s="339"/>
      <c r="X577" s="339"/>
      <c r="Y577" s="250"/>
      <c r="Z577" s="250"/>
      <c r="AA577" s="250"/>
      <c r="AB577" s="250"/>
      <c r="AC577" s="250"/>
      <c r="AD577" s="250"/>
      <c r="AE577" s="250"/>
      <c r="AF577" s="250"/>
      <c r="AG577" s="250"/>
      <c r="AH577" s="250"/>
      <c r="AI577" s="250"/>
      <c r="AJ577" s="250"/>
      <c r="AK577" s="250"/>
      <c r="AL577" s="250"/>
      <c r="AM577" s="250"/>
      <c r="AN577" s="250"/>
      <c r="AO577" s="250"/>
      <c r="AP577" s="250"/>
      <c r="AQ577" s="250"/>
      <c r="AR577" s="250"/>
      <c r="AS577" s="250"/>
      <c r="AT577" s="250"/>
      <c r="AU577" s="250"/>
      <c r="AV577" s="250"/>
      <c r="AW577" s="250"/>
      <c r="AX577" s="250"/>
      <c r="AY577" s="250"/>
      <c r="AZ577" s="250"/>
      <c r="BA577" s="250"/>
      <c r="BB577" s="250"/>
      <c r="BC577" s="250"/>
      <c r="BD577" s="250"/>
      <c r="BE577" s="250"/>
      <c r="BF577" s="250"/>
      <c r="BG577" s="250"/>
      <c r="BH577" s="250"/>
      <c r="BI577" s="250"/>
      <c r="BJ577" s="250"/>
    </row>
    <row r="578" spans="2:62" ht="15.75" customHeight="1">
      <c r="B578" s="7"/>
      <c r="C578" s="339"/>
      <c r="D578" s="339"/>
      <c r="E578" s="406"/>
      <c r="F578" s="416"/>
      <c r="G578" s="339"/>
      <c r="H578" s="406"/>
      <c r="I578" s="416"/>
      <c r="J578" s="406"/>
      <c r="K578" s="416"/>
      <c r="L578" s="406"/>
      <c r="M578" s="339"/>
      <c r="N578" s="406"/>
      <c r="O578" s="416"/>
      <c r="P578" s="406"/>
      <c r="Q578" s="339"/>
      <c r="R578" s="416"/>
      <c r="S578" s="406"/>
      <c r="T578" s="339"/>
      <c r="U578" s="339"/>
      <c r="V578" s="339"/>
      <c r="W578" s="339"/>
      <c r="X578" s="339"/>
      <c r="Y578" s="250"/>
      <c r="Z578" s="250"/>
      <c r="AA578" s="250"/>
      <c r="AB578" s="250"/>
      <c r="AC578" s="250"/>
      <c r="AD578" s="250"/>
      <c r="AE578" s="250"/>
      <c r="AF578" s="250"/>
      <c r="AG578" s="250"/>
      <c r="AH578" s="250"/>
      <c r="AI578" s="250"/>
      <c r="AJ578" s="250"/>
      <c r="AK578" s="250"/>
      <c r="AL578" s="250"/>
      <c r="AM578" s="250"/>
      <c r="AN578" s="250"/>
      <c r="AO578" s="250"/>
      <c r="AP578" s="250"/>
      <c r="AQ578" s="250"/>
      <c r="AR578" s="250"/>
      <c r="AS578" s="250"/>
      <c r="AT578" s="250"/>
      <c r="AU578" s="250"/>
      <c r="AV578" s="250"/>
      <c r="AW578" s="250"/>
      <c r="AX578" s="250"/>
      <c r="AY578" s="250"/>
      <c r="AZ578" s="250"/>
      <c r="BA578" s="250"/>
      <c r="BB578" s="250"/>
      <c r="BC578" s="250"/>
      <c r="BD578" s="250"/>
      <c r="BE578" s="250"/>
      <c r="BF578" s="250"/>
      <c r="BG578" s="250"/>
      <c r="BH578" s="250"/>
      <c r="BI578" s="250"/>
      <c r="BJ578" s="250"/>
    </row>
    <row r="579" spans="2:62" ht="15.75" customHeight="1">
      <c r="B579" s="7"/>
      <c r="C579" s="339"/>
      <c r="D579" s="339"/>
      <c r="E579" s="406"/>
      <c r="F579" s="416"/>
      <c r="G579" s="339"/>
      <c r="H579" s="406"/>
      <c r="I579" s="416"/>
      <c r="J579" s="406"/>
      <c r="K579" s="416"/>
      <c r="L579" s="406"/>
      <c r="M579" s="339"/>
      <c r="N579" s="406"/>
      <c r="O579" s="416"/>
      <c r="P579" s="406"/>
      <c r="Q579" s="339"/>
      <c r="R579" s="416"/>
      <c r="S579" s="406"/>
      <c r="T579" s="339"/>
      <c r="U579" s="339"/>
      <c r="V579" s="339"/>
      <c r="W579" s="339"/>
      <c r="X579" s="339"/>
      <c r="Y579" s="250"/>
      <c r="Z579" s="250"/>
      <c r="AA579" s="250"/>
      <c r="AB579" s="250"/>
      <c r="AC579" s="250"/>
      <c r="AD579" s="250"/>
      <c r="AE579" s="250"/>
      <c r="AF579" s="250"/>
      <c r="AG579" s="250"/>
      <c r="AH579" s="250"/>
      <c r="AI579" s="250"/>
      <c r="AJ579" s="250"/>
      <c r="AK579" s="250"/>
      <c r="AL579" s="250"/>
      <c r="AM579" s="250"/>
      <c r="AN579" s="250"/>
      <c r="AO579" s="250"/>
      <c r="AP579" s="250"/>
      <c r="AQ579" s="250"/>
      <c r="AR579" s="250"/>
      <c r="AS579" s="250"/>
      <c r="AT579" s="250"/>
      <c r="AU579" s="250"/>
      <c r="AV579" s="250"/>
      <c r="AW579" s="250"/>
      <c r="AX579" s="250"/>
      <c r="AY579" s="250"/>
      <c r="AZ579" s="250"/>
      <c r="BA579" s="250"/>
      <c r="BB579" s="250"/>
      <c r="BC579" s="250"/>
      <c r="BD579" s="250"/>
      <c r="BE579" s="250"/>
      <c r="BF579" s="250"/>
      <c r="BG579" s="250"/>
      <c r="BH579" s="250"/>
      <c r="BI579" s="250"/>
      <c r="BJ579" s="250"/>
    </row>
    <row r="580" spans="2:62" ht="15.75" customHeight="1">
      <c r="B580" s="7"/>
      <c r="C580" s="339"/>
      <c r="D580" s="339"/>
      <c r="E580" s="406"/>
      <c r="F580" s="416"/>
      <c r="G580" s="339"/>
      <c r="H580" s="406"/>
      <c r="I580" s="416"/>
      <c r="J580" s="406"/>
      <c r="K580" s="416"/>
      <c r="L580" s="406"/>
      <c r="M580" s="339"/>
      <c r="N580" s="406"/>
      <c r="O580" s="416"/>
      <c r="P580" s="406"/>
      <c r="Q580" s="339"/>
      <c r="R580" s="416"/>
      <c r="S580" s="406"/>
      <c r="T580" s="339"/>
      <c r="U580" s="339"/>
      <c r="V580" s="339"/>
      <c r="W580" s="339"/>
      <c r="X580" s="339"/>
      <c r="Y580" s="250"/>
      <c r="Z580" s="250"/>
      <c r="AA580" s="250"/>
      <c r="AB580" s="250"/>
      <c r="AC580" s="250"/>
      <c r="AD580" s="250"/>
      <c r="AE580" s="250"/>
      <c r="AF580" s="250"/>
      <c r="AG580" s="250"/>
      <c r="AH580" s="250"/>
      <c r="AI580" s="250"/>
      <c r="AJ580" s="250"/>
      <c r="AK580" s="250"/>
      <c r="AL580" s="250"/>
      <c r="AM580" s="250"/>
      <c r="AN580" s="250"/>
      <c r="AO580" s="250"/>
      <c r="AP580" s="250"/>
      <c r="AQ580" s="250"/>
      <c r="AR580" s="250"/>
      <c r="AS580" s="250"/>
      <c r="AT580" s="250"/>
      <c r="AU580" s="250"/>
      <c r="AV580" s="250"/>
      <c r="AW580" s="250"/>
      <c r="AX580" s="250"/>
      <c r="AY580" s="250"/>
      <c r="AZ580" s="250"/>
      <c r="BA580" s="250"/>
      <c r="BB580" s="250"/>
      <c r="BC580" s="250"/>
      <c r="BD580" s="250"/>
      <c r="BE580" s="250"/>
      <c r="BF580" s="250"/>
      <c r="BG580" s="250"/>
      <c r="BH580" s="250"/>
      <c r="BI580" s="250"/>
      <c r="BJ580" s="250"/>
    </row>
    <row r="581" spans="2:62" ht="15.75" customHeight="1">
      <c r="B581" s="7"/>
      <c r="C581" s="339"/>
      <c r="D581" s="339"/>
      <c r="E581" s="406"/>
      <c r="F581" s="416"/>
      <c r="G581" s="339"/>
      <c r="H581" s="406"/>
      <c r="I581" s="416"/>
      <c r="J581" s="406"/>
      <c r="K581" s="416"/>
      <c r="L581" s="406"/>
      <c r="M581" s="339"/>
      <c r="N581" s="406"/>
      <c r="O581" s="416"/>
      <c r="P581" s="406"/>
      <c r="Q581" s="339"/>
      <c r="R581" s="416"/>
      <c r="S581" s="406"/>
      <c r="T581" s="339"/>
      <c r="U581" s="339"/>
      <c r="V581" s="339"/>
      <c r="W581" s="339"/>
      <c r="X581" s="339"/>
      <c r="Y581" s="250"/>
      <c r="Z581" s="250"/>
      <c r="AA581" s="250"/>
      <c r="AB581" s="250"/>
      <c r="AC581" s="250"/>
      <c r="AD581" s="250"/>
      <c r="AE581" s="250"/>
      <c r="AF581" s="250"/>
      <c r="AG581" s="250"/>
      <c r="AH581" s="250"/>
      <c r="AI581" s="250"/>
      <c r="AJ581" s="250"/>
      <c r="AK581" s="250"/>
      <c r="AL581" s="250"/>
      <c r="AM581" s="250"/>
      <c r="AN581" s="250"/>
      <c r="AO581" s="250"/>
      <c r="AP581" s="250"/>
      <c r="AQ581" s="250"/>
      <c r="AR581" s="250"/>
      <c r="AS581" s="250"/>
      <c r="AT581" s="250"/>
      <c r="AU581" s="250"/>
      <c r="AV581" s="250"/>
      <c r="AW581" s="250"/>
      <c r="AX581" s="250"/>
      <c r="AY581" s="250"/>
      <c r="AZ581" s="250"/>
      <c r="BA581" s="250"/>
      <c r="BB581" s="250"/>
      <c r="BC581" s="250"/>
      <c r="BD581" s="250"/>
      <c r="BE581" s="250"/>
      <c r="BF581" s="250"/>
      <c r="BG581" s="250"/>
      <c r="BH581" s="250"/>
      <c r="BI581" s="250"/>
      <c r="BJ581" s="250"/>
    </row>
    <row r="582" spans="2:62" ht="15.75" customHeight="1">
      <c r="B582" s="7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33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250"/>
      <c r="Z582" s="250"/>
      <c r="AA582" s="250"/>
      <c r="AB582" s="250"/>
      <c r="AC582" s="250"/>
      <c r="AD582" s="250"/>
      <c r="AE582" s="250"/>
      <c r="AF582" s="250"/>
      <c r="AG582" s="250"/>
      <c r="AH582" s="250"/>
      <c r="AI582" s="250"/>
      <c r="AJ582" s="250"/>
      <c r="AK582" s="250"/>
      <c r="AL582" s="250"/>
      <c r="AM582" s="250"/>
      <c r="AN582" s="250"/>
      <c r="AO582" s="250"/>
      <c r="AP582" s="250"/>
      <c r="AQ582" s="250"/>
      <c r="AR582" s="250"/>
      <c r="AS582" s="250"/>
      <c r="AT582" s="250"/>
      <c r="AU582" s="250"/>
      <c r="AV582" s="250"/>
      <c r="AW582" s="250"/>
      <c r="AX582" s="250"/>
      <c r="AY582" s="250"/>
      <c r="AZ582" s="250"/>
      <c r="BA582" s="250"/>
      <c r="BB582" s="250"/>
      <c r="BC582" s="250"/>
      <c r="BD582" s="250"/>
      <c r="BE582" s="250"/>
      <c r="BF582" s="250"/>
      <c r="BG582" s="250"/>
      <c r="BH582" s="250"/>
      <c r="BI582" s="250"/>
      <c r="BJ582" s="250"/>
    </row>
    <row r="583" spans="2:62" ht="15.75" customHeight="1">
      <c r="B583" s="7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33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250"/>
      <c r="Z583" s="250"/>
      <c r="AA583" s="250"/>
      <c r="AB583" s="250"/>
      <c r="AC583" s="250"/>
      <c r="AD583" s="250"/>
      <c r="AE583" s="250"/>
      <c r="AF583" s="250"/>
      <c r="AG583" s="250"/>
      <c r="AH583" s="250"/>
      <c r="AI583" s="250"/>
      <c r="AJ583" s="250"/>
      <c r="AK583" s="250"/>
      <c r="AL583" s="250"/>
      <c r="AM583" s="250"/>
      <c r="AN583" s="250"/>
      <c r="AO583" s="250"/>
      <c r="AP583" s="250"/>
      <c r="AQ583" s="250"/>
      <c r="AR583" s="250"/>
      <c r="AS583" s="250"/>
      <c r="AT583" s="250"/>
      <c r="AU583" s="250"/>
      <c r="AV583" s="250"/>
      <c r="AW583" s="250"/>
      <c r="AX583" s="250"/>
      <c r="AY583" s="250"/>
      <c r="AZ583" s="250"/>
      <c r="BA583" s="250"/>
      <c r="BB583" s="250"/>
      <c r="BC583" s="250"/>
      <c r="BD583" s="250"/>
      <c r="BE583" s="250"/>
      <c r="BF583" s="250"/>
      <c r="BG583" s="250"/>
      <c r="BH583" s="250"/>
      <c r="BI583" s="250"/>
      <c r="BJ583" s="250"/>
    </row>
    <row r="584" spans="2:62" ht="15.75" customHeight="1">
      <c r="B584" s="7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33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250"/>
      <c r="Z584" s="250"/>
      <c r="AA584" s="250"/>
      <c r="AB584" s="250"/>
      <c r="AC584" s="250"/>
      <c r="AD584" s="250"/>
      <c r="AE584" s="250"/>
      <c r="AF584" s="250"/>
      <c r="AG584" s="250"/>
      <c r="AH584" s="250"/>
      <c r="AI584" s="250"/>
      <c r="AJ584" s="250"/>
      <c r="AK584" s="250"/>
      <c r="AL584" s="250"/>
      <c r="AM584" s="250"/>
      <c r="AN584" s="250"/>
      <c r="AO584" s="250"/>
      <c r="AP584" s="250"/>
      <c r="AQ584" s="250"/>
      <c r="AR584" s="250"/>
      <c r="AS584" s="250"/>
      <c r="AT584" s="250"/>
      <c r="AU584" s="250"/>
      <c r="AV584" s="250"/>
      <c r="AW584" s="250"/>
      <c r="AX584" s="250"/>
      <c r="AY584" s="250"/>
      <c r="AZ584" s="250"/>
      <c r="BA584" s="250"/>
      <c r="BB584" s="250"/>
      <c r="BC584" s="250"/>
      <c r="BD584" s="250"/>
      <c r="BE584" s="250"/>
      <c r="BF584" s="250"/>
      <c r="BG584" s="250"/>
      <c r="BH584" s="250"/>
      <c r="BI584" s="250"/>
      <c r="BJ584" s="250"/>
    </row>
    <row r="585" spans="2:62" ht="15.75" customHeight="1">
      <c r="B585" s="7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33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250"/>
      <c r="Z585" s="250"/>
      <c r="AA585" s="250"/>
      <c r="AB585" s="250"/>
      <c r="AC585" s="250"/>
      <c r="AD585" s="250"/>
      <c r="AE585" s="250"/>
      <c r="AF585" s="250"/>
      <c r="AG585" s="250"/>
      <c r="AH585" s="250"/>
      <c r="AI585" s="250"/>
      <c r="AJ585" s="250"/>
      <c r="AK585" s="250"/>
      <c r="AL585" s="250"/>
      <c r="AM585" s="250"/>
      <c r="AN585" s="250"/>
      <c r="AO585" s="250"/>
      <c r="AP585" s="250"/>
      <c r="AQ585" s="250"/>
      <c r="AR585" s="250"/>
      <c r="AS585" s="250"/>
      <c r="AT585" s="250"/>
      <c r="AU585" s="250"/>
      <c r="AV585" s="250"/>
      <c r="AW585" s="250"/>
      <c r="AX585" s="250"/>
      <c r="AY585" s="250"/>
      <c r="AZ585" s="250"/>
      <c r="BA585" s="250"/>
      <c r="BB585" s="250"/>
      <c r="BC585" s="250"/>
      <c r="BD585" s="250"/>
      <c r="BE585" s="250"/>
      <c r="BF585" s="250"/>
      <c r="BG585" s="250"/>
      <c r="BH585" s="250"/>
      <c r="BI585" s="250"/>
      <c r="BJ585" s="250"/>
    </row>
    <row r="586" spans="2:62" ht="15.75" customHeight="1">
      <c r="B586" s="7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33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250"/>
      <c r="Z586" s="250"/>
      <c r="AA586" s="250"/>
      <c r="AB586" s="250"/>
      <c r="AC586" s="250"/>
      <c r="AD586" s="250"/>
      <c r="AE586" s="250"/>
      <c r="AF586" s="250"/>
      <c r="AG586" s="250"/>
      <c r="AH586" s="250"/>
      <c r="AI586" s="250"/>
      <c r="AJ586" s="250"/>
      <c r="AK586" s="250"/>
      <c r="AL586" s="250"/>
      <c r="AM586" s="250"/>
      <c r="AN586" s="250"/>
      <c r="AO586" s="250"/>
      <c r="AP586" s="250"/>
      <c r="AQ586" s="250"/>
      <c r="AR586" s="250"/>
      <c r="AS586" s="250"/>
      <c r="AT586" s="250"/>
      <c r="AU586" s="250"/>
      <c r="AV586" s="250"/>
      <c r="AW586" s="250"/>
      <c r="AX586" s="250"/>
      <c r="AY586" s="250"/>
      <c r="AZ586" s="250"/>
      <c r="BA586" s="250"/>
      <c r="BB586" s="250"/>
      <c r="BC586" s="250"/>
      <c r="BD586" s="250"/>
      <c r="BE586" s="250"/>
      <c r="BF586" s="250"/>
      <c r="BG586" s="250"/>
      <c r="BH586" s="250"/>
      <c r="BI586" s="250"/>
      <c r="BJ586" s="250"/>
    </row>
    <row r="587" spans="2:62" ht="15.75" customHeight="1">
      <c r="B587" s="7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33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250"/>
      <c r="Z587" s="250"/>
      <c r="AA587" s="250"/>
      <c r="AB587" s="250"/>
      <c r="AC587" s="250"/>
      <c r="AD587" s="250"/>
      <c r="AE587" s="250"/>
      <c r="AF587" s="250"/>
      <c r="AG587" s="250"/>
      <c r="AH587" s="250"/>
      <c r="AI587" s="250"/>
      <c r="AJ587" s="250"/>
      <c r="AK587" s="250"/>
      <c r="AL587" s="250"/>
      <c r="AM587" s="250"/>
      <c r="AN587" s="250"/>
      <c r="AO587" s="250"/>
      <c r="AP587" s="250"/>
      <c r="AQ587" s="250"/>
      <c r="AR587" s="250"/>
      <c r="AS587" s="250"/>
      <c r="AT587" s="250"/>
      <c r="AU587" s="250"/>
      <c r="AV587" s="250"/>
      <c r="AW587" s="250"/>
      <c r="AX587" s="250"/>
      <c r="AY587" s="250"/>
      <c r="AZ587" s="250"/>
      <c r="BA587" s="250"/>
      <c r="BB587" s="250"/>
      <c r="BC587" s="250"/>
      <c r="BD587" s="250"/>
      <c r="BE587" s="250"/>
      <c r="BF587" s="250"/>
      <c r="BG587" s="250"/>
      <c r="BH587" s="250"/>
      <c r="BI587" s="250"/>
      <c r="BJ587" s="250"/>
    </row>
    <row r="588" spans="2:62" ht="15.75" customHeight="1">
      <c r="B588" s="7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33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250"/>
      <c r="Z588" s="250"/>
      <c r="AA588" s="250"/>
      <c r="AB588" s="250"/>
      <c r="AC588" s="250"/>
      <c r="AD588" s="250"/>
      <c r="AE588" s="250"/>
      <c r="AF588" s="250"/>
      <c r="AG588" s="250"/>
      <c r="AH588" s="250"/>
      <c r="AI588" s="250"/>
      <c r="AJ588" s="250"/>
      <c r="AK588" s="250"/>
      <c r="AL588" s="250"/>
      <c r="AM588" s="250"/>
      <c r="AN588" s="250"/>
      <c r="AO588" s="250"/>
      <c r="AP588" s="250"/>
      <c r="AQ588" s="250"/>
      <c r="AR588" s="250"/>
      <c r="AS588" s="250"/>
      <c r="AT588" s="250"/>
      <c r="AU588" s="250"/>
      <c r="AV588" s="250"/>
      <c r="AW588" s="250"/>
      <c r="AX588" s="250"/>
      <c r="AY588" s="250"/>
      <c r="AZ588" s="250"/>
      <c r="BA588" s="250"/>
      <c r="BB588" s="250"/>
      <c r="BC588" s="250"/>
      <c r="BD588" s="250"/>
      <c r="BE588" s="250"/>
      <c r="BF588" s="250"/>
      <c r="BG588" s="250"/>
      <c r="BH588" s="250"/>
      <c r="BI588" s="250"/>
      <c r="BJ588" s="250"/>
    </row>
    <row r="589" spans="2:62" ht="15.75" customHeight="1">
      <c r="B589" s="7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33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250"/>
      <c r="Z589" s="250"/>
      <c r="AA589" s="250"/>
      <c r="AB589" s="250"/>
      <c r="AC589" s="250"/>
      <c r="AD589" s="250"/>
      <c r="AE589" s="250"/>
      <c r="AF589" s="250"/>
      <c r="AG589" s="250"/>
      <c r="AH589" s="250"/>
      <c r="AI589" s="250"/>
      <c r="AJ589" s="250"/>
      <c r="AK589" s="250"/>
      <c r="AL589" s="250"/>
      <c r="AM589" s="250"/>
      <c r="AN589" s="250"/>
      <c r="AO589" s="250"/>
      <c r="AP589" s="250"/>
      <c r="AQ589" s="250"/>
      <c r="AR589" s="250"/>
      <c r="AS589" s="250"/>
      <c r="AT589" s="250"/>
      <c r="AU589" s="250"/>
      <c r="AV589" s="250"/>
      <c r="AW589" s="250"/>
      <c r="AX589" s="250"/>
      <c r="AY589" s="250"/>
      <c r="AZ589" s="250"/>
      <c r="BA589" s="250"/>
      <c r="BB589" s="250"/>
      <c r="BC589" s="250"/>
      <c r="BD589" s="250"/>
      <c r="BE589" s="250"/>
      <c r="BF589" s="250"/>
      <c r="BG589" s="250"/>
      <c r="BH589" s="250"/>
      <c r="BI589" s="250"/>
      <c r="BJ589" s="250"/>
    </row>
    <row r="590" spans="2:62" ht="15.75" customHeight="1">
      <c r="B590" s="7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33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250"/>
      <c r="Z590" s="250"/>
      <c r="AA590" s="250"/>
      <c r="AB590" s="250"/>
      <c r="AC590" s="250"/>
      <c r="AD590" s="250"/>
      <c r="AE590" s="250"/>
      <c r="AF590" s="250"/>
      <c r="AG590" s="250"/>
      <c r="AH590" s="250"/>
      <c r="AI590" s="250"/>
      <c r="AJ590" s="250"/>
      <c r="AK590" s="250"/>
      <c r="AL590" s="250"/>
      <c r="AM590" s="250"/>
      <c r="AN590" s="250"/>
      <c r="AO590" s="250"/>
      <c r="AP590" s="250"/>
      <c r="AQ590" s="250"/>
      <c r="AR590" s="250"/>
      <c r="AS590" s="250"/>
      <c r="AT590" s="250"/>
      <c r="AU590" s="250"/>
      <c r="AV590" s="250"/>
      <c r="AW590" s="250"/>
      <c r="AX590" s="250"/>
      <c r="AY590" s="250"/>
      <c r="AZ590" s="250"/>
      <c r="BA590" s="250"/>
      <c r="BB590" s="250"/>
      <c r="BC590" s="250"/>
      <c r="BD590" s="250"/>
      <c r="BE590" s="250"/>
      <c r="BF590" s="250"/>
      <c r="BG590" s="250"/>
      <c r="BH590" s="250"/>
      <c r="BI590" s="250"/>
      <c r="BJ590" s="250"/>
    </row>
    <row r="591" spans="2:62" ht="15.75" customHeight="1">
      <c r="B591" s="7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33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250"/>
      <c r="Z591" s="250"/>
      <c r="AA591" s="250"/>
      <c r="AB591" s="250"/>
      <c r="AC591" s="250"/>
      <c r="AD591" s="250"/>
      <c r="AE591" s="250"/>
      <c r="AF591" s="250"/>
      <c r="AG591" s="250"/>
      <c r="AH591" s="250"/>
      <c r="AI591" s="250"/>
      <c r="AJ591" s="250"/>
      <c r="AK591" s="250"/>
      <c r="AL591" s="250"/>
      <c r="AM591" s="250"/>
      <c r="AN591" s="250"/>
      <c r="AO591" s="250"/>
      <c r="AP591" s="250"/>
      <c r="AQ591" s="250"/>
      <c r="AR591" s="250"/>
      <c r="AS591" s="250"/>
      <c r="AT591" s="250"/>
      <c r="AU591" s="250"/>
      <c r="AV591" s="250"/>
      <c r="AW591" s="250"/>
      <c r="AX591" s="250"/>
      <c r="AY591" s="250"/>
      <c r="AZ591" s="250"/>
      <c r="BA591" s="250"/>
      <c r="BB591" s="250"/>
      <c r="BC591" s="250"/>
      <c r="BD591" s="250"/>
      <c r="BE591" s="250"/>
      <c r="BF591" s="250"/>
      <c r="BG591" s="250"/>
      <c r="BH591" s="250"/>
      <c r="BI591" s="250"/>
      <c r="BJ591" s="250"/>
    </row>
    <row r="592" spans="2:62" ht="15.75" customHeight="1">
      <c r="B592" s="7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33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250"/>
      <c r="Z592" s="250"/>
      <c r="AA592" s="250"/>
      <c r="AB592" s="250"/>
      <c r="AC592" s="250"/>
      <c r="AD592" s="250"/>
      <c r="AE592" s="250"/>
      <c r="AF592" s="250"/>
      <c r="AG592" s="250"/>
      <c r="AH592" s="250"/>
      <c r="AI592" s="250"/>
      <c r="AJ592" s="250"/>
      <c r="AK592" s="250"/>
      <c r="AL592" s="250"/>
      <c r="AM592" s="250"/>
      <c r="AN592" s="250"/>
      <c r="AO592" s="250"/>
      <c r="AP592" s="250"/>
      <c r="AQ592" s="250"/>
      <c r="AR592" s="250"/>
      <c r="AS592" s="250"/>
      <c r="AT592" s="250"/>
      <c r="AU592" s="250"/>
      <c r="AV592" s="250"/>
      <c r="AW592" s="250"/>
      <c r="AX592" s="250"/>
      <c r="AY592" s="250"/>
      <c r="AZ592" s="250"/>
      <c r="BA592" s="250"/>
      <c r="BB592" s="250"/>
      <c r="BC592" s="250"/>
      <c r="BD592" s="250"/>
      <c r="BE592" s="250"/>
      <c r="BF592" s="250"/>
      <c r="BG592" s="250"/>
      <c r="BH592" s="250"/>
      <c r="BI592" s="250"/>
      <c r="BJ592" s="250"/>
    </row>
    <row r="593" spans="2:62" ht="15.75" customHeight="1">
      <c r="B593" s="7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33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250"/>
      <c r="Z593" s="250"/>
      <c r="AA593" s="250"/>
      <c r="AB593" s="250"/>
      <c r="AC593" s="250"/>
      <c r="AD593" s="250"/>
      <c r="AE593" s="250"/>
      <c r="AF593" s="250"/>
      <c r="AG593" s="250"/>
      <c r="AH593" s="250"/>
      <c r="AI593" s="250"/>
      <c r="AJ593" s="250"/>
      <c r="AK593" s="250"/>
      <c r="AL593" s="250"/>
      <c r="AM593" s="250"/>
      <c r="AN593" s="250"/>
      <c r="AO593" s="250"/>
      <c r="AP593" s="250"/>
      <c r="AQ593" s="250"/>
      <c r="AR593" s="250"/>
      <c r="AS593" s="250"/>
      <c r="AT593" s="250"/>
      <c r="AU593" s="250"/>
      <c r="AV593" s="250"/>
      <c r="AW593" s="250"/>
      <c r="AX593" s="250"/>
      <c r="AY593" s="250"/>
      <c r="AZ593" s="250"/>
      <c r="BA593" s="250"/>
      <c r="BB593" s="250"/>
      <c r="BC593" s="250"/>
      <c r="BD593" s="250"/>
      <c r="BE593" s="250"/>
      <c r="BF593" s="250"/>
      <c r="BG593" s="250"/>
      <c r="BH593" s="250"/>
      <c r="BI593" s="250"/>
      <c r="BJ593" s="250"/>
    </row>
    <row r="594" spans="2:62" ht="15.75" customHeight="1">
      <c r="B594" s="7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33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250"/>
      <c r="Z594" s="250"/>
      <c r="AA594" s="250"/>
      <c r="AB594" s="250"/>
      <c r="AC594" s="250"/>
      <c r="AD594" s="250"/>
      <c r="AE594" s="250"/>
      <c r="AF594" s="250"/>
      <c r="AG594" s="250"/>
      <c r="AH594" s="250"/>
      <c r="AI594" s="250"/>
      <c r="AJ594" s="250"/>
      <c r="AK594" s="250"/>
      <c r="AL594" s="250"/>
      <c r="AM594" s="250"/>
      <c r="AN594" s="250"/>
      <c r="AO594" s="250"/>
      <c r="AP594" s="250"/>
      <c r="AQ594" s="250"/>
      <c r="AR594" s="250"/>
      <c r="AS594" s="250"/>
      <c r="AT594" s="250"/>
      <c r="AU594" s="250"/>
      <c r="AV594" s="250"/>
      <c r="AW594" s="250"/>
      <c r="AX594" s="250"/>
      <c r="AY594" s="250"/>
      <c r="AZ594" s="250"/>
      <c r="BA594" s="250"/>
      <c r="BB594" s="250"/>
      <c r="BC594" s="250"/>
      <c r="BD594" s="250"/>
      <c r="BE594" s="250"/>
      <c r="BF594" s="250"/>
      <c r="BG594" s="250"/>
      <c r="BH594" s="250"/>
      <c r="BI594" s="250"/>
      <c r="BJ594" s="250"/>
    </row>
    <row r="595" spans="2:62" ht="15.75" customHeight="1">
      <c r="B595" s="7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33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250"/>
      <c r="Z595" s="250"/>
      <c r="AA595" s="250"/>
      <c r="AB595" s="250"/>
      <c r="AC595" s="250"/>
      <c r="AD595" s="250"/>
      <c r="AE595" s="250"/>
      <c r="AF595" s="250"/>
      <c r="AG595" s="250"/>
      <c r="AH595" s="250"/>
      <c r="AI595" s="250"/>
      <c r="AJ595" s="250"/>
      <c r="AK595" s="250"/>
      <c r="AL595" s="250"/>
      <c r="AM595" s="250"/>
      <c r="AN595" s="250"/>
      <c r="AO595" s="250"/>
      <c r="AP595" s="250"/>
      <c r="AQ595" s="250"/>
      <c r="AR595" s="250"/>
      <c r="AS595" s="250"/>
      <c r="AT595" s="250"/>
      <c r="AU595" s="250"/>
      <c r="AV595" s="250"/>
      <c r="AW595" s="250"/>
      <c r="AX595" s="250"/>
      <c r="AY595" s="250"/>
      <c r="AZ595" s="250"/>
      <c r="BA595" s="250"/>
      <c r="BB595" s="250"/>
      <c r="BC595" s="250"/>
      <c r="BD595" s="250"/>
      <c r="BE595" s="250"/>
      <c r="BF595" s="250"/>
      <c r="BG595" s="250"/>
      <c r="BH595" s="250"/>
      <c r="BI595" s="250"/>
      <c r="BJ595" s="250"/>
    </row>
    <row r="596" spans="2:62" ht="15.75" customHeight="1">
      <c r="B596" s="7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33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250"/>
      <c r="Z596" s="250"/>
      <c r="AA596" s="250"/>
      <c r="AB596" s="250"/>
      <c r="AC596" s="250"/>
      <c r="AD596" s="250"/>
      <c r="AE596" s="250"/>
      <c r="AF596" s="250"/>
      <c r="AG596" s="250"/>
      <c r="AH596" s="250"/>
      <c r="AI596" s="250"/>
      <c r="AJ596" s="250"/>
      <c r="AK596" s="250"/>
      <c r="AL596" s="250"/>
      <c r="AM596" s="250"/>
      <c r="AN596" s="250"/>
      <c r="AO596" s="250"/>
      <c r="AP596" s="250"/>
      <c r="AQ596" s="250"/>
      <c r="AR596" s="250"/>
      <c r="AS596" s="250"/>
      <c r="AT596" s="250"/>
      <c r="AU596" s="250"/>
      <c r="AV596" s="250"/>
      <c r="AW596" s="250"/>
      <c r="AX596" s="250"/>
      <c r="AY596" s="250"/>
      <c r="AZ596" s="250"/>
      <c r="BA596" s="250"/>
      <c r="BB596" s="250"/>
      <c r="BC596" s="250"/>
      <c r="BD596" s="250"/>
      <c r="BE596" s="250"/>
      <c r="BF596" s="250"/>
      <c r="BG596" s="250"/>
      <c r="BH596" s="250"/>
      <c r="BI596" s="250"/>
      <c r="BJ596" s="250"/>
    </row>
    <row r="597" spans="2:62" ht="15.75" customHeight="1">
      <c r="B597" s="7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33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250"/>
      <c r="Z597" s="250"/>
      <c r="AA597" s="250"/>
      <c r="AB597" s="250"/>
      <c r="AC597" s="250"/>
      <c r="AD597" s="250"/>
      <c r="AE597" s="250"/>
      <c r="AF597" s="250"/>
      <c r="AG597" s="250"/>
      <c r="AH597" s="250"/>
      <c r="AI597" s="250"/>
      <c r="AJ597" s="250"/>
      <c r="AK597" s="250"/>
      <c r="AL597" s="250"/>
      <c r="AM597" s="250"/>
      <c r="AN597" s="250"/>
      <c r="AO597" s="250"/>
      <c r="AP597" s="250"/>
      <c r="AQ597" s="250"/>
      <c r="AR597" s="250"/>
      <c r="AS597" s="250"/>
      <c r="AT597" s="250"/>
      <c r="AU597" s="250"/>
      <c r="AV597" s="250"/>
      <c r="AW597" s="250"/>
      <c r="AX597" s="250"/>
      <c r="AY597" s="250"/>
      <c r="AZ597" s="250"/>
      <c r="BA597" s="250"/>
      <c r="BB597" s="250"/>
      <c r="BC597" s="250"/>
      <c r="BD597" s="250"/>
      <c r="BE597" s="250"/>
      <c r="BF597" s="250"/>
      <c r="BG597" s="250"/>
      <c r="BH597" s="250"/>
      <c r="BI597" s="250"/>
      <c r="BJ597" s="250"/>
    </row>
    <row r="598" spans="2:62" ht="15.75" customHeight="1">
      <c r="B598" s="7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33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250"/>
      <c r="Z598" s="250"/>
      <c r="AA598" s="250"/>
      <c r="AB598" s="250"/>
      <c r="AC598" s="250"/>
      <c r="AD598" s="250"/>
      <c r="AE598" s="250"/>
      <c r="AF598" s="250"/>
      <c r="AG598" s="250"/>
      <c r="AH598" s="250"/>
      <c r="AI598" s="250"/>
      <c r="AJ598" s="250"/>
      <c r="AK598" s="250"/>
      <c r="AL598" s="250"/>
      <c r="AM598" s="250"/>
      <c r="AN598" s="250"/>
      <c r="AO598" s="250"/>
      <c r="AP598" s="250"/>
      <c r="AQ598" s="250"/>
      <c r="AR598" s="250"/>
      <c r="AS598" s="250"/>
      <c r="AT598" s="250"/>
      <c r="AU598" s="250"/>
      <c r="AV598" s="250"/>
      <c r="AW598" s="250"/>
      <c r="AX598" s="250"/>
      <c r="AY598" s="250"/>
      <c r="AZ598" s="250"/>
      <c r="BA598" s="250"/>
      <c r="BB598" s="250"/>
      <c r="BC598" s="250"/>
      <c r="BD598" s="250"/>
      <c r="BE598" s="250"/>
      <c r="BF598" s="250"/>
      <c r="BG598" s="250"/>
      <c r="BH598" s="250"/>
      <c r="BI598" s="250"/>
      <c r="BJ598" s="250"/>
    </row>
    <row r="599" spans="2:62" ht="15.75" customHeight="1">
      <c r="B599" s="7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33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250"/>
      <c r="Z599" s="250"/>
      <c r="AA599" s="250"/>
      <c r="AB599" s="250"/>
      <c r="AC599" s="250"/>
      <c r="AD599" s="250"/>
      <c r="AE599" s="250"/>
      <c r="AF599" s="250"/>
      <c r="AG599" s="250"/>
      <c r="AH599" s="250"/>
      <c r="AI599" s="250"/>
      <c r="AJ599" s="250"/>
      <c r="AK599" s="250"/>
      <c r="AL599" s="250"/>
      <c r="AM599" s="250"/>
      <c r="AN599" s="250"/>
      <c r="AO599" s="250"/>
      <c r="AP599" s="250"/>
      <c r="AQ599" s="250"/>
      <c r="AR599" s="250"/>
      <c r="AS599" s="250"/>
      <c r="AT599" s="250"/>
      <c r="AU599" s="250"/>
      <c r="AV599" s="250"/>
      <c r="AW599" s="250"/>
      <c r="AX599" s="250"/>
      <c r="AY599" s="250"/>
      <c r="AZ599" s="250"/>
      <c r="BA599" s="250"/>
      <c r="BB599" s="250"/>
      <c r="BC599" s="250"/>
      <c r="BD599" s="250"/>
      <c r="BE599" s="250"/>
      <c r="BF599" s="250"/>
      <c r="BG599" s="250"/>
      <c r="BH599" s="250"/>
      <c r="BI599" s="250"/>
      <c r="BJ599" s="250"/>
    </row>
    <row r="600" spans="2:62" ht="15.75" customHeight="1">
      <c r="B600" s="7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33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250"/>
      <c r="Z600" s="250"/>
      <c r="AA600" s="250"/>
      <c r="AB600" s="250"/>
      <c r="AC600" s="250"/>
      <c r="AD600" s="250"/>
      <c r="AE600" s="250"/>
      <c r="AF600" s="250"/>
      <c r="AG600" s="250"/>
      <c r="AH600" s="250"/>
      <c r="AI600" s="250"/>
      <c r="AJ600" s="250"/>
      <c r="AK600" s="250"/>
      <c r="AL600" s="250"/>
      <c r="AM600" s="250"/>
      <c r="AN600" s="250"/>
      <c r="AO600" s="250"/>
      <c r="AP600" s="250"/>
      <c r="AQ600" s="250"/>
      <c r="AR600" s="250"/>
      <c r="AS600" s="250"/>
      <c r="AT600" s="250"/>
      <c r="AU600" s="250"/>
      <c r="AV600" s="250"/>
      <c r="AW600" s="250"/>
      <c r="AX600" s="250"/>
      <c r="AY600" s="250"/>
      <c r="AZ600" s="250"/>
      <c r="BA600" s="250"/>
      <c r="BB600" s="250"/>
      <c r="BC600" s="250"/>
      <c r="BD600" s="250"/>
      <c r="BE600" s="250"/>
      <c r="BF600" s="250"/>
      <c r="BG600" s="250"/>
      <c r="BH600" s="250"/>
      <c r="BI600" s="250"/>
      <c r="BJ600" s="250"/>
    </row>
    <row r="601" spans="2:62" ht="15.75" customHeight="1">
      <c r="B601" s="7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33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250"/>
      <c r="Z601" s="250"/>
      <c r="AA601" s="250"/>
      <c r="AB601" s="250"/>
      <c r="AC601" s="250"/>
      <c r="AD601" s="250"/>
      <c r="AE601" s="250"/>
      <c r="AF601" s="250"/>
      <c r="AG601" s="250"/>
      <c r="AH601" s="250"/>
      <c r="AI601" s="250"/>
      <c r="AJ601" s="250"/>
      <c r="AK601" s="250"/>
      <c r="AL601" s="250"/>
      <c r="AM601" s="250"/>
      <c r="AN601" s="250"/>
      <c r="AO601" s="250"/>
      <c r="AP601" s="250"/>
      <c r="AQ601" s="250"/>
      <c r="AR601" s="250"/>
      <c r="AS601" s="250"/>
      <c r="AT601" s="250"/>
      <c r="AU601" s="250"/>
      <c r="AV601" s="250"/>
      <c r="AW601" s="250"/>
      <c r="AX601" s="250"/>
      <c r="AY601" s="250"/>
      <c r="AZ601" s="250"/>
      <c r="BA601" s="250"/>
      <c r="BB601" s="250"/>
      <c r="BC601" s="250"/>
      <c r="BD601" s="250"/>
      <c r="BE601" s="250"/>
      <c r="BF601" s="250"/>
      <c r="BG601" s="250"/>
      <c r="BH601" s="250"/>
      <c r="BI601" s="250"/>
      <c r="BJ601" s="250"/>
    </row>
    <row r="602" spans="2:62" ht="15.75" customHeight="1">
      <c r="B602" s="7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33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250"/>
      <c r="Z602" s="250"/>
      <c r="AA602" s="250"/>
      <c r="AB602" s="250"/>
      <c r="AC602" s="250"/>
      <c r="AD602" s="250"/>
      <c r="AE602" s="250"/>
      <c r="AF602" s="250"/>
      <c r="AG602" s="250"/>
      <c r="AH602" s="250"/>
      <c r="AI602" s="250"/>
      <c r="AJ602" s="250"/>
      <c r="AK602" s="250"/>
      <c r="AL602" s="250"/>
      <c r="AM602" s="250"/>
      <c r="AN602" s="250"/>
      <c r="AO602" s="250"/>
      <c r="AP602" s="250"/>
      <c r="AQ602" s="250"/>
      <c r="AR602" s="250"/>
      <c r="AS602" s="250"/>
      <c r="AT602" s="250"/>
      <c r="AU602" s="250"/>
      <c r="AV602" s="250"/>
      <c r="AW602" s="250"/>
      <c r="AX602" s="250"/>
      <c r="AY602" s="250"/>
      <c r="AZ602" s="250"/>
      <c r="BA602" s="250"/>
      <c r="BB602" s="250"/>
      <c r="BC602" s="250"/>
      <c r="BD602" s="250"/>
      <c r="BE602" s="250"/>
      <c r="BF602" s="250"/>
      <c r="BG602" s="250"/>
      <c r="BH602" s="250"/>
      <c r="BI602" s="250"/>
      <c r="BJ602" s="250"/>
    </row>
    <row r="603" spans="2:62" ht="15.75" customHeight="1">
      <c r="B603" s="7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33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250"/>
      <c r="Z603" s="250"/>
      <c r="AA603" s="250"/>
      <c r="AB603" s="250"/>
      <c r="AC603" s="250"/>
      <c r="AD603" s="250"/>
      <c r="AE603" s="250"/>
      <c r="AF603" s="250"/>
      <c r="AG603" s="250"/>
      <c r="AH603" s="250"/>
      <c r="AI603" s="250"/>
      <c r="AJ603" s="250"/>
      <c r="AK603" s="250"/>
      <c r="AL603" s="250"/>
      <c r="AM603" s="250"/>
      <c r="AN603" s="250"/>
      <c r="AO603" s="250"/>
      <c r="AP603" s="250"/>
      <c r="AQ603" s="250"/>
      <c r="AR603" s="250"/>
      <c r="AS603" s="250"/>
      <c r="AT603" s="250"/>
      <c r="AU603" s="250"/>
      <c r="AV603" s="250"/>
      <c r="AW603" s="250"/>
      <c r="AX603" s="250"/>
      <c r="AY603" s="250"/>
      <c r="AZ603" s="250"/>
      <c r="BA603" s="250"/>
      <c r="BB603" s="250"/>
      <c r="BC603" s="250"/>
      <c r="BD603" s="250"/>
      <c r="BE603" s="250"/>
      <c r="BF603" s="250"/>
      <c r="BG603" s="250"/>
      <c r="BH603" s="250"/>
      <c r="BI603" s="250"/>
      <c r="BJ603" s="250"/>
    </row>
    <row r="604" spans="2:62" ht="15.75" customHeight="1">
      <c r="B604" s="7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33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250"/>
      <c r="Z604" s="250"/>
      <c r="AA604" s="250"/>
      <c r="AB604" s="250"/>
      <c r="AC604" s="250"/>
      <c r="AD604" s="250"/>
      <c r="AE604" s="250"/>
      <c r="AF604" s="250"/>
      <c r="AG604" s="250"/>
      <c r="AH604" s="250"/>
      <c r="AI604" s="250"/>
      <c r="AJ604" s="250"/>
      <c r="AK604" s="250"/>
      <c r="AL604" s="250"/>
      <c r="AM604" s="250"/>
      <c r="AN604" s="250"/>
      <c r="AO604" s="250"/>
      <c r="AP604" s="250"/>
      <c r="AQ604" s="250"/>
      <c r="AR604" s="250"/>
      <c r="AS604" s="250"/>
      <c r="AT604" s="250"/>
      <c r="AU604" s="250"/>
      <c r="AV604" s="250"/>
      <c r="AW604" s="250"/>
      <c r="AX604" s="250"/>
      <c r="AY604" s="250"/>
      <c r="AZ604" s="250"/>
      <c r="BA604" s="250"/>
      <c r="BB604" s="250"/>
      <c r="BC604" s="250"/>
      <c r="BD604" s="250"/>
      <c r="BE604" s="250"/>
      <c r="BF604" s="250"/>
      <c r="BG604" s="250"/>
      <c r="BH604" s="250"/>
      <c r="BI604" s="250"/>
      <c r="BJ604" s="250"/>
    </row>
    <row r="605" spans="2:62" ht="15.75" customHeight="1">
      <c r="B605" s="7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33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250"/>
      <c r="Z605" s="250"/>
      <c r="AA605" s="250"/>
      <c r="AB605" s="250"/>
      <c r="AC605" s="250"/>
      <c r="AD605" s="250"/>
      <c r="AE605" s="250"/>
      <c r="AF605" s="250"/>
      <c r="AG605" s="250"/>
      <c r="AH605" s="250"/>
      <c r="AI605" s="250"/>
      <c r="AJ605" s="250"/>
      <c r="AK605" s="250"/>
      <c r="AL605" s="250"/>
      <c r="AM605" s="250"/>
      <c r="AN605" s="250"/>
      <c r="AO605" s="250"/>
      <c r="AP605" s="250"/>
      <c r="AQ605" s="250"/>
      <c r="AR605" s="250"/>
      <c r="AS605" s="250"/>
      <c r="AT605" s="250"/>
      <c r="AU605" s="250"/>
      <c r="AV605" s="250"/>
      <c r="AW605" s="250"/>
      <c r="AX605" s="250"/>
      <c r="AY605" s="250"/>
      <c r="AZ605" s="250"/>
      <c r="BA605" s="250"/>
      <c r="BB605" s="250"/>
      <c r="BC605" s="250"/>
      <c r="BD605" s="250"/>
      <c r="BE605" s="250"/>
      <c r="BF605" s="250"/>
      <c r="BG605" s="250"/>
      <c r="BH605" s="250"/>
      <c r="BI605" s="250"/>
      <c r="BJ605" s="250"/>
    </row>
    <row r="606" spans="2:62" ht="15.75" customHeight="1">
      <c r="B606" s="7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33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250"/>
      <c r="Z606" s="250"/>
      <c r="AA606" s="250"/>
      <c r="AB606" s="250"/>
      <c r="AC606" s="250"/>
      <c r="AD606" s="250"/>
      <c r="AE606" s="250"/>
      <c r="AF606" s="250"/>
      <c r="AG606" s="250"/>
      <c r="AH606" s="250"/>
      <c r="AI606" s="250"/>
      <c r="AJ606" s="250"/>
      <c r="AK606" s="250"/>
      <c r="AL606" s="250"/>
      <c r="AM606" s="250"/>
      <c r="AN606" s="250"/>
      <c r="AO606" s="250"/>
      <c r="AP606" s="250"/>
      <c r="AQ606" s="250"/>
      <c r="AR606" s="250"/>
      <c r="AS606" s="250"/>
      <c r="AT606" s="250"/>
      <c r="AU606" s="250"/>
      <c r="AV606" s="250"/>
      <c r="AW606" s="250"/>
      <c r="AX606" s="250"/>
      <c r="AY606" s="250"/>
      <c r="AZ606" s="250"/>
      <c r="BA606" s="250"/>
      <c r="BB606" s="250"/>
      <c r="BC606" s="250"/>
      <c r="BD606" s="250"/>
      <c r="BE606" s="250"/>
      <c r="BF606" s="250"/>
      <c r="BG606" s="250"/>
      <c r="BH606" s="250"/>
      <c r="BI606" s="250"/>
      <c r="BJ606" s="250"/>
    </row>
    <row r="607" spans="2:62" ht="15.75" customHeight="1">
      <c r="B607" s="7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33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250"/>
      <c r="Z607" s="250"/>
      <c r="AA607" s="250"/>
      <c r="AB607" s="250"/>
      <c r="AC607" s="250"/>
      <c r="AD607" s="250"/>
      <c r="AE607" s="250"/>
      <c r="AF607" s="250"/>
      <c r="AG607" s="250"/>
      <c r="AH607" s="250"/>
      <c r="AI607" s="250"/>
      <c r="AJ607" s="250"/>
      <c r="AK607" s="250"/>
      <c r="AL607" s="250"/>
      <c r="AM607" s="250"/>
      <c r="AN607" s="250"/>
      <c r="AO607" s="250"/>
      <c r="AP607" s="250"/>
      <c r="AQ607" s="250"/>
      <c r="AR607" s="250"/>
      <c r="AS607" s="250"/>
      <c r="AT607" s="250"/>
      <c r="AU607" s="250"/>
      <c r="AV607" s="250"/>
      <c r="AW607" s="250"/>
      <c r="AX607" s="250"/>
      <c r="AY607" s="250"/>
      <c r="AZ607" s="250"/>
      <c r="BA607" s="250"/>
      <c r="BB607" s="250"/>
      <c r="BC607" s="250"/>
      <c r="BD607" s="250"/>
      <c r="BE607" s="250"/>
      <c r="BF607" s="250"/>
      <c r="BG607" s="250"/>
      <c r="BH607" s="250"/>
      <c r="BI607" s="250"/>
      <c r="BJ607" s="250"/>
    </row>
    <row r="608" spans="2:62" ht="15.75" customHeight="1">
      <c r="B608" s="7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33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250"/>
      <c r="Z608" s="250"/>
      <c r="AA608" s="250"/>
      <c r="AB608" s="250"/>
      <c r="AC608" s="250"/>
      <c r="AD608" s="250"/>
      <c r="AE608" s="250"/>
      <c r="AF608" s="250"/>
      <c r="AG608" s="250"/>
      <c r="AH608" s="250"/>
      <c r="AI608" s="250"/>
      <c r="AJ608" s="250"/>
      <c r="AK608" s="250"/>
      <c r="AL608" s="250"/>
      <c r="AM608" s="250"/>
      <c r="AN608" s="250"/>
      <c r="AO608" s="250"/>
      <c r="AP608" s="250"/>
      <c r="AQ608" s="250"/>
      <c r="AR608" s="250"/>
      <c r="AS608" s="250"/>
      <c r="AT608" s="250"/>
      <c r="AU608" s="250"/>
      <c r="AV608" s="250"/>
      <c r="AW608" s="250"/>
      <c r="AX608" s="250"/>
      <c r="AY608" s="250"/>
      <c r="AZ608" s="250"/>
      <c r="BA608" s="250"/>
      <c r="BB608" s="250"/>
      <c r="BC608" s="250"/>
      <c r="BD608" s="250"/>
      <c r="BE608" s="250"/>
      <c r="BF608" s="250"/>
      <c r="BG608" s="250"/>
      <c r="BH608" s="250"/>
      <c r="BI608" s="250"/>
      <c r="BJ608" s="250"/>
    </row>
    <row r="609" spans="2:62" ht="15.75" customHeight="1">
      <c r="B609" s="7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33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250"/>
      <c r="Z609" s="250"/>
      <c r="AA609" s="250"/>
      <c r="AB609" s="250"/>
      <c r="AC609" s="250"/>
      <c r="AD609" s="250"/>
      <c r="AE609" s="250"/>
      <c r="AF609" s="250"/>
      <c r="AG609" s="250"/>
      <c r="AH609" s="250"/>
      <c r="AI609" s="250"/>
      <c r="AJ609" s="250"/>
      <c r="AK609" s="250"/>
      <c r="AL609" s="250"/>
      <c r="AM609" s="250"/>
      <c r="AN609" s="250"/>
      <c r="AO609" s="250"/>
      <c r="AP609" s="250"/>
      <c r="AQ609" s="250"/>
      <c r="AR609" s="250"/>
      <c r="AS609" s="250"/>
      <c r="AT609" s="250"/>
      <c r="AU609" s="250"/>
      <c r="AV609" s="250"/>
      <c r="AW609" s="250"/>
      <c r="AX609" s="250"/>
      <c r="AY609" s="250"/>
      <c r="AZ609" s="250"/>
      <c r="BA609" s="250"/>
      <c r="BB609" s="250"/>
      <c r="BC609" s="250"/>
      <c r="BD609" s="250"/>
      <c r="BE609" s="250"/>
      <c r="BF609" s="250"/>
      <c r="BG609" s="250"/>
      <c r="BH609" s="250"/>
      <c r="BI609" s="250"/>
      <c r="BJ609" s="250"/>
    </row>
    <row r="610" spans="2:62" ht="15.75" customHeight="1">
      <c r="B610" s="7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33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250"/>
      <c r="Z610" s="250"/>
      <c r="AA610" s="250"/>
      <c r="AB610" s="250"/>
      <c r="AC610" s="250"/>
      <c r="AD610" s="250"/>
      <c r="AE610" s="250"/>
      <c r="AF610" s="250"/>
      <c r="AG610" s="250"/>
      <c r="AH610" s="250"/>
      <c r="AI610" s="250"/>
      <c r="AJ610" s="250"/>
      <c r="AK610" s="250"/>
      <c r="AL610" s="250"/>
      <c r="AM610" s="250"/>
      <c r="AN610" s="250"/>
      <c r="AO610" s="250"/>
      <c r="AP610" s="250"/>
      <c r="AQ610" s="250"/>
      <c r="AR610" s="250"/>
      <c r="AS610" s="250"/>
      <c r="AT610" s="250"/>
      <c r="AU610" s="250"/>
      <c r="AV610" s="250"/>
      <c r="AW610" s="250"/>
      <c r="AX610" s="250"/>
      <c r="AY610" s="250"/>
      <c r="AZ610" s="250"/>
      <c r="BA610" s="250"/>
      <c r="BB610" s="250"/>
      <c r="BC610" s="250"/>
      <c r="BD610" s="250"/>
      <c r="BE610" s="250"/>
      <c r="BF610" s="250"/>
      <c r="BG610" s="250"/>
      <c r="BH610" s="250"/>
      <c r="BI610" s="250"/>
      <c r="BJ610" s="250"/>
    </row>
    <row r="611" spans="2:62" ht="15.75" customHeight="1">
      <c r="B611" s="7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33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250"/>
      <c r="Z611" s="250"/>
      <c r="AA611" s="250"/>
      <c r="AB611" s="250"/>
      <c r="AC611" s="250"/>
      <c r="AD611" s="250"/>
      <c r="AE611" s="250"/>
      <c r="AF611" s="250"/>
      <c r="AG611" s="250"/>
      <c r="AH611" s="250"/>
      <c r="AI611" s="250"/>
      <c r="AJ611" s="250"/>
      <c r="AK611" s="250"/>
      <c r="AL611" s="250"/>
      <c r="AM611" s="250"/>
      <c r="AN611" s="250"/>
      <c r="AO611" s="250"/>
      <c r="AP611" s="250"/>
      <c r="AQ611" s="250"/>
      <c r="AR611" s="250"/>
      <c r="AS611" s="250"/>
      <c r="AT611" s="250"/>
      <c r="AU611" s="250"/>
      <c r="AV611" s="250"/>
      <c r="AW611" s="250"/>
      <c r="AX611" s="250"/>
      <c r="AY611" s="250"/>
      <c r="AZ611" s="250"/>
      <c r="BA611" s="250"/>
      <c r="BB611" s="250"/>
      <c r="BC611" s="250"/>
      <c r="BD611" s="250"/>
      <c r="BE611" s="250"/>
      <c r="BF611" s="250"/>
      <c r="BG611" s="250"/>
      <c r="BH611" s="250"/>
      <c r="BI611" s="250"/>
      <c r="BJ611" s="250"/>
    </row>
    <row r="612" spans="2:62" ht="15.75" customHeight="1">
      <c r="B612" s="7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33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250"/>
      <c r="Z612" s="250"/>
      <c r="AA612" s="250"/>
      <c r="AB612" s="250"/>
      <c r="AC612" s="250"/>
      <c r="AD612" s="250"/>
      <c r="AE612" s="250"/>
      <c r="AF612" s="250"/>
      <c r="AG612" s="250"/>
      <c r="AH612" s="250"/>
      <c r="AI612" s="250"/>
      <c r="AJ612" s="250"/>
      <c r="AK612" s="250"/>
      <c r="AL612" s="250"/>
      <c r="AM612" s="250"/>
      <c r="AN612" s="250"/>
      <c r="AO612" s="250"/>
      <c r="AP612" s="250"/>
      <c r="AQ612" s="250"/>
      <c r="AR612" s="250"/>
      <c r="AS612" s="250"/>
      <c r="AT612" s="250"/>
      <c r="AU612" s="250"/>
      <c r="AV612" s="250"/>
      <c r="AW612" s="250"/>
      <c r="AX612" s="250"/>
      <c r="AY612" s="250"/>
      <c r="AZ612" s="250"/>
      <c r="BA612" s="250"/>
      <c r="BB612" s="250"/>
      <c r="BC612" s="250"/>
      <c r="BD612" s="250"/>
      <c r="BE612" s="250"/>
      <c r="BF612" s="250"/>
      <c r="BG612" s="250"/>
      <c r="BH612" s="250"/>
      <c r="BI612" s="250"/>
      <c r="BJ612" s="250"/>
    </row>
    <row r="613" spans="2:62" ht="15.75" customHeight="1">
      <c r="B613" s="7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33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250"/>
      <c r="Z613" s="250"/>
      <c r="AA613" s="250"/>
      <c r="AB613" s="250"/>
      <c r="AC613" s="250"/>
      <c r="AD613" s="250"/>
      <c r="AE613" s="250"/>
      <c r="AF613" s="250"/>
      <c r="AG613" s="250"/>
      <c r="AH613" s="250"/>
      <c r="AI613" s="250"/>
      <c r="AJ613" s="250"/>
      <c r="AK613" s="250"/>
      <c r="AL613" s="250"/>
      <c r="AM613" s="250"/>
      <c r="AN613" s="250"/>
      <c r="AO613" s="250"/>
      <c r="AP613" s="250"/>
      <c r="AQ613" s="250"/>
      <c r="AR613" s="250"/>
      <c r="AS613" s="250"/>
      <c r="AT613" s="250"/>
      <c r="AU613" s="250"/>
      <c r="AV613" s="250"/>
      <c r="AW613" s="250"/>
      <c r="AX613" s="250"/>
      <c r="AY613" s="250"/>
      <c r="AZ613" s="250"/>
      <c r="BA613" s="250"/>
      <c r="BB613" s="250"/>
      <c r="BC613" s="250"/>
      <c r="BD613" s="250"/>
      <c r="BE613" s="250"/>
      <c r="BF613" s="250"/>
      <c r="BG613" s="250"/>
      <c r="BH613" s="250"/>
      <c r="BI613" s="250"/>
      <c r="BJ613" s="250"/>
    </row>
    <row r="614" spans="2:62" ht="15.75" customHeight="1">
      <c r="B614" s="7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33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250"/>
      <c r="Z614" s="250"/>
      <c r="AA614" s="250"/>
      <c r="AB614" s="250"/>
      <c r="AC614" s="250"/>
      <c r="AD614" s="250"/>
      <c r="AE614" s="250"/>
      <c r="AF614" s="250"/>
      <c r="AG614" s="250"/>
      <c r="AH614" s="250"/>
      <c r="AI614" s="250"/>
      <c r="AJ614" s="250"/>
      <c r="AK614" s="250"/>
      <c r="AL614" s="250"/>
      <c r="AM614" s="250"/>
      <c r="AN614" s="250"/>
      <c r="AO614" s="250"/>
      <c r="AP614" s="250"/>
      <c r="AQ614" s="250"/>
      <c r="AR614" s="250"/>
      <c r="AS614" s="250"/>
      <c r="AT614" s="250"/>
      <c r="AU614" s="250"/>
      <c r="AV614" s="250"/>
      <c r="AW614" s="250"/>
      <c r="AX614" s="250"/>
      <c r="AY614" s="250"/>
      <c r="AZ614" s="250"/>
      <c r="BA614" s="250"/>
      <c r="BB614" s="250"/>
      <c r="BC614" s="250"/>
      <c r="BD614" s="250"/>
      <c r="BE614" s="250"/>
      <c r="BF614" s="250"/>
      <c r="BG614" s="250"/>
      <c r="BH614" s="250"/>
      <c r="BI614" s="250"/>
      <c r="BJ614" s="250"/>
    </row>
    <row r="615" spans="2:62" ht="15.75" customHeight="1">
      <c r="B615" s="7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33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250"/>
      <c r="Z615" s="250"/>
      <c r="AA615" s="250"/>
      <c r="AB615" s="250"/>
      <c r="AC615" s="250"/>
      <c r="AD615" s="250"/>
      <c r="AE615" s="250"/>
      <c r="AF615" s="250"/>
      <c r="AG615" s="250"/>
      <c r="AH615" s="250"/>
      <c r="AI615" s="250"/>
      <c r="AJ615" s="250"/>
      <c r="AK615" s="250"/>
      <c r="AL615" s="250"/>
      <c r="AM615" s="250"/>
      <c r="AN615" s="250"/>
      <c r="AO615" s="250"/>
      <c r="AP615" s="250"/>
      <c r="AQ615" s="250"/>
      <c r="AR615" s="250"/>
      <c r="AS615" s="250"/>
      <c r="AT615" s="250"/>
      <c r="AU615" s="250"/>
      <c r="AV615" s="250"/>
      <c r="AW615" s="250"/>
      <c r="AX615" s="250"/>
      <c r="AY615" s="250"/>
      <c r="AZ615" s="250"/>
      <c r="BA615" s="250"/>
      <c r="BB615" s="250"/>
      <c r="BC615" s="250"/>
      <c r="BD615" s="250"/>
      <c r="BE615" s="250"/>
      <c r="BF615" s="250"/>
      <c r="BG615" s="250"/>
      <c r="BH615" s="250"/>
      <c r="BI615" s="250"/>
      <c r="BJ615" s="250"/>
    </row>
    <row r="616" spans="2:62" ht="15.75" customHeight="1">
      <c r="B616" s="7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33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250"/>
      <c r="Z616" s="250"/>
      <c r="AA616" s="250"/>
      <c r="AB616" s="250"/>
      <c r="AC616" s="250"/>
      <c r="AD616" s="250"/>
      <c r="AE616" s="250"/>
      <c r="AF616" s="250"/>
      <c r="AG616" s="250"/>
      <c r="AH616" s="250"/>
      <c r="AI616" s="250"/>
      <c r="AJ616" s="250"/>
      <c r="AK616" s="250"/>
      <c r="AL616" s="250"/>
      <c r="AM616" s="250"/>
      <c r="AN616" s="250"/>
      <c r="AO616" s="250"/>
      <c r="AP616" s="250"/>
      <c r="AQ616" s="250"/>
      <c r="AR616" s="250"/>
      <c r="AS616" s="250"/>
      <c r="AT616" s="250"/>
      <c r="AU616" s="250"/>
      <c r="AV616" s="250"/>
      <c r="AW616" s="250"/>
      <c r="AX616" s="250"/>
      <c r="AY616" s="250"/>
      <c r="AZ616" s="250"/>
      <c r="BA616" s="250"/>
      <c r="BB616" s="250"/>
      <c r="BC616" s="250"/>
      <c r="BD616" s="250"/>
      <c r="BE616" s="250"/>
      <c r="BF616" s="250"/>
      <c r="BG616" s="250"/>
      <c r="BH616" s="250"/>
      <c r="BI616" s="250"/>
      <c r="BJ616" s="250"/>
    </row>
    <row r="617" spans="2:62" ht="15.75" customHeight="1">
      <c r="B617" s="7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33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250"/>
      <c r="Z617" s="250"/>
      <c r="AA617" s="250"/>
      <c r="AB617" s="250"/>
      <c r="AC617" s="250"/>
      <c r="AD617" s="250"/>
      <c r="AE617" s="250"/>
      <c r="AF617" s="250"/>
      <c r="AG617" s="250"/>
      <c r="AH617" s="250"/>
      <c r="AI617" s="250"/>
      <c r="AJ617" s="250"/>
      <c r="AK617" s="250"/>
      <c r="AL617" s="250"/>
      <c r="AM617" s="250"/>
      <c r="AN617" s="250"/>
      <c r="AO617" s="250"/>
      <c r="AP617" s="250"/>
      <c r="AQ617" s="250"/>
      <c r="AR617" s="250"/>
      <c r="AS617" s="250"/>
      <c r="AT617" s="250"/>
      <c r="AU617" s="250"/>
      <c r="AV617" s="250"/>
      <c r="AW617" s="250"/>
      <c r="AX617" s="250"/>
      <c r="AY617" s="250"/>
      <c r="AZ617" s="250"/>
      <c r="BA617" s="250"/>
      <c r="BB617" s="250"/>
      <c r="BC617" s="250"/>
      <c r="BD617" s="250"/>
      <c r="BE617" s="250"/>
      <c r="BF617" s="250"/>
      <c r="BG617" s="250"/>
      <c r="BH617" s="250"/>
      <c r="BI617" s="250"/>
      <c r="BJ617" s="250"/>
    </row>
    <row r="618" spans="2:62" ht="15.75" customHeight="1">
      <c r="B618" s="7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33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250"/>
      <c r="Z618" s="250"/>
      <c r="AA618" s="250"/>
      <c r="AB618" s="250"/>
      <c r="AC618" s="250"/>
      <c r="AD618" s="250"/>
      <c r="AE618" s="250"/>
      <c r="AF618" s="250"/>
      <c r="AG618" s="250"/>
      <c r="AH618" s="250"/>
      <c r="AI618" s="250"/>
      <c r="AJ618" s="250"/>
      <c r="AK618" s="250"/>
      <c r="AL618" s="250"/>
      <c r="AM618" s="250"/>
      <c r="AN618" s="250"/>
      <c r="AO618" s="250"/>
      <c r="AP618" s="250"/>
      <c r="AQ618" s="250"/>
      <c r="AR618" s="250"/>
      <c r="AS618" s="250"/>
      <c r="AT618" s="250"/>
      <c r="AU618" s="250"/>
      <c r="AV618" s="250"/>
      <c r="AW618" s="250"/>
      <c r="AX618" s="250"/>
      <c r="AY618" s="250"/>
      <c r="AZ618" s="250"/>
      <c r="BA618" s="250"/>
      <c r="BB618" s="250"/>
      <c r="BC618" s="250"/>
      <c r="BD618" s="250"/>
      <c r="BE618" s="250"/>
      <c r="BF618" s="250"/>
      <c r="BG618" s="250"/>
      <c r="BH618" s="250"/>
      <c r="BI618" s="250"/>
      <c r="BJ618" s="250"/>
    </row>
    <row r="619" spans="2:62" ht="15.75" customHeight="1">
      <c r="B619" s="7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33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250"/>
      <c r="Z619" s="250"/>
      <c r="AA619" s="250"/>
      <c r="AB619" s="250"/>
      <c r="AC619" s="250"/>
      <c r="AD619" s="250"/>
      <c r="AE619" s="250"/>
      <c r="AF619" s="250"/>
      <c r="AG619" s="250"/>
      <c r="AH619" s="250"/>
      <c r="AI619" s="250"/>
      <c r="AJ619" s="250"/>
      <c r="AK619" s="250"/>
      <c r="AL619" s="250"/>
      <c r="AM619" s="250"/>
      <c r="AN619" s="250"/>
      <c r="AO619" s="250"/>
      <c r="AP619" s="250"/>
      <c r="AQ619" s="250"/>
      <c r="AR619" s="250"/>
      <c r="AS619" s="250"/>
      <c r="AT619" s="250"/>
      <c r="AU619" s="250"/>
      <c r="AV619" s="250"/>
      <c r="AW619" s="250"/>
      <c r="AX619" s="250"/>
      <c r="AY619" s="250"/>
      <c r="AZ619" s="250"/>
      <c r="BA619" s="250"/>
      <c r="BB619" s="250"/>
      <c r="BC619" s="250"/>
      <c r="BD619" s="250"/>
      <c r="BE619" s="250"/>
      <c r="BF619" s="250"/>
      <c r="BG619" s="250"/>
      <c r="BH619" s="250"/>
      <c r="BI619" s="250"/>
      <c r="BJ619" s="250"/>
    </row>
    <row r="620" spans="2:62" ht="15.75" customHeight="1">
      <c r="B620" s="7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33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250"/>
      <c r="Z620" s="250"/>
      <c r="AA620" s="250"/>
      <c r="AB620" s="250"/>
      <c r="AC620" s="250"/>
      <c r="AD620" s="250"/>
      <c r="AE620" s="250"/>
      <c r="AF620" s="250"/>
      <c r="AG620" s="250"/>
      <c r="AH620" s="250"/>
      <c r="AI620" s="250"/>
      <c r="AJ620" s="250"/>
      <c r="AK620" s="250"/>
      <c r="AL620" s="250"/>
      <c r="AM620" s="250"/>
      <c r="AN620" s="250"/>
      <c r="AO620" s="250"/>
      <c r="AP620" s="250"/>
      <c r="AQ620" s="250"/>
      <c r="AR620" s="250"/>
      <c r="AS620" s="250"/>
      <c r="AT620" s="250"/>
      <c r="AU620" s="250"/>
      <c r="AV620" s="250"/>
      <c r="AW620" s="250"/>
      <c r="AX620" s="250"/>
      <c r="AY620" s="250"/>
      <c r="AZ620" s="250"/>
      <c r="BA620" s="250"/>
      <c r="BB620" s="250"/>
      <c r="BC620" s="250"/>
      <c r="BD620" s="250"/>
      <c r="BE620" s="250"/>
      <c r="BF620" s="250"/>
      <c r="BG620" s="250"/>
      <c r="BH620" s="250"/>
      <c r="BI620" s="250"/>
      <c r="BJ620" s="250"/>
    </row>
    <row r="621" spans="2:62" ht="15.75" customHeight="1">
      <c r="B621" s="7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33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250"/>
      <c r="Z621" s="250"/>
      <c r="AA621" s="250"/>
      <c r="AB621" s="250"/>
      <c r="AC621" s="250"/>
      <c r="AD621" s="250"/>
      <c r="AE621" s="250"/>
      <c r="AF621" s="250"/>
      <c r="AG621" s="250"/>
      <c r="AH621" s="250"/>
      <c r="AI621" s="250"/>
      <c r="AJ621" s="250"/>
      <c r="AK621" s="250"/>
      <c r="AL621" s="250"/>
      <c r="AM621" s="250"/>
      <c r="AN621" s="250"/>
      <c r="AO621" s="250"/>
      <c r="AP621" s="250"/>
      <c r="AQ621" s="250"/>
      <c r="AR621" s="250"/>
      <c r="AS621" s="250"/>
      <c r="AT621" s="250"/>
      <c r="AU621" s="250"/>
      <c r="AV621" s="250"/>
      <c r="AW621" s="250"/>
      <c r="AX621" s="250"/>
      <c r="AY621" s="250"/>
      <c r="AZ621" s="250"/>
      <c r="BA621" s="250"/>
      <c r="BB621" s="250"/>
      <c r="BC621" s="250"/>
      <c r="BD621" s="250"/>
      <c r="BE621" s="250"/>
      <c r="BF621" s="250"/>
      <c r="BG621" s="250"/>
      <c r="BH621" s="250"/>
      <c r="BI621" s="250"/>
      <c r="BJ621" s="250"/>
    </row>
    <row r="622" spans="2:62" ht="15.75" customHeight="1">
      <c r="B622" s="7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33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250"/>
      <c r="Z622" s="250"/>
      <c r="AA622" s="250"/>
      <c r="AB622" s="250"/>
      <c r="AC622" s="250"/>
      <c r="AD622" s="250"/>
      <c r="AE622" s="250"/>
      <c r="AF622" s="250"/>
      <c r="AG622" s="250"/>
      <c r="AH622" s="250"/>
      <c r="AI622" s="250"/>
      <c r="AJ622" s="250"/>
      <c r="AK622" s="250"/>
      <c r="AL622" s="250"/>
      <c r="AM622" s="250"/>
      <c r="AN622" s="250"/>
      <c r="AO622" s="250"/>
      <c r="AP622" s="250"/>
      <c r="AQ622" s="250"/>
      <c r="AR622" s="250"/>
      <c r="AS622" s="250"/>
      <c r="AT622" s="250"/>
      <c r="AU622" s="250"/>
      <c r="AV622" s="250"/>
      <c r="AW622" s="250"/>
      <c r="AX622" s="250"/>
      <c r="AY622" s="250"/>
      <c r="AZ622" s="250"/>
      <c r="BA622" s="250"/>
      <c r="BB622" s="250"/>
      <c r="BC622" s="250"/>
      <c r="BD622" s="250"/>
      <c r="BE622" s="250"/>
      <c r="BF622" s="250"/>
      <c r="BG622" s="250"/>
      <c r="BH622" s="250"/>
      <c r="BI622" s="250"/>
      <c r="BJ622" s="250"/>
    </row>
    <row r="623" spans="2:62" ht="15.75" customHeight="1">
      <c r="B623" s="7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33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250"/>
      <c r="Z623" s="250"/>
      <c r="AA623" s="250"/>
      <c r="AB623" s="250"/>
      <c r="AC623" s="250"/>
      <c r="AD623" s="250"/>
      <c r="AE623" s="250"/>
      <c r="AF623" s="250"/>
      <c r="AG623" s="250"/>
      <c r="AH623" s="250"/>
      <c r="AI623" s="250"/>
      <c r="AJ623" s="250"/>
      <c r="AK623" s="250"/>
      <c r="AL623" s="250"/>
      <c r="AM623" s="250"/>
      <c r="AN623" s="250"/>
      <c r="AO623" s="250"/>
      <c r="AP623" s="250"/>
      <c r="AQ623" s="250"/>
      <c r="AR623" s="250"/>
      <c r="AS623" s="250"/>
      <c r="AT623" s="250"/>
      <c r="AU623" s="250"/>
      <c r="AV623" s="250"/>
      <c r="AW623" s="250"/>
      <c r="AX623" s="250"/>
      <c r="AY623" s="250"/>
      <c r="AZ623" s="250"/>
      <c r="BA623" s="250"/>
      <c r="BB623" s="250"/>
      <c r="BC623" s="250"/>
      <c r="BD623" s="250"/>
      <c r="BE623" s="250"/>
      <c r="BF623" s="250"/>
      <c r="BG623" s="250"/>
      <c r="BH623" s="250"/>
      <c r="BI623" s="250"/>
      <c r="BJ623" s="250"/>
    </row>
    <row r="624" spans="2:62" ht="15.75" customHeight="1">
      <c r="B624" s="7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33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250"/>
      <c r="Z624" s="250"/>
      <c r="AA624" s="250"/>
      <c r="AB624" s="250"/>
      <c r="AC624" s="250"/>
      <c r="AD624" s="250"/>
      <c r="AE624" s="250"/>
      <c r="AF624" s="250"/>
      <c r="AG624" s="250"/>
      <c r="AH624" s="250"/>
      <c r="AI624" s="250"/>
      <c r="AJ624" s="250"/>
      <c r="AK624" s="250"/>
      <c r="AL624" s="250"/>
      <c r="AM624" s="250"/>
      <c r="AN624" s="250"/>
      <c r="AO624" s="250"/>
      <c r="AP624" s="250"/>
      <c r="AQ624" s="250"/>
      <c r="AR624" s="250"/>
      <c r="AS624" s="250"/>
      <c r="AT624" s="250"/>
      <c r="AU624" s="250"/>
      <c r="AV624" s="250"/>
      <c r="AW624" s="250"/>
      <c r="AX624" s="250"/>
      <c r="AY624" s="250"/>
      <c r="AZ624" s="250"/>
      <c r="BA624" s="250"/>
      <c r="BB624" s="250"/>
      <c r="BC624" s="250"/>
      <c r="BD624" s="250"/>
      <c r="BE624" s="250"/>
      <c r="BF624" s="250"/>
      <c r="BG624" s="250"/>
      <c r="BH624" s="250"/>
      <c r="BI624" s="250"/>
      <c r="BJ624" s="250"/>
    </row>
    <row r="625" spans="2:62" ht="15.75" customHeight="1">
      <c r="B625" s="7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33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250"/>
      <c r="Z625" s="250"/>
      <c r="AA625" s="250"/>
      <c r="AB625" s="250"/>
      <c r="AC625" s="250"/>
      <c r="AD625" s="250"/>
      <c r="AE625" s="250"/>
      <c r="AF625" s="250"/>
      <c r="AG625" s="250"/>
      <c r="AH625" s="250"/>
      <c r="AI625" s="250"/>
      <c r="AJ625" s="250"/>
      <c r="AK625" s="250"/>
      <c r="AL625" s="250"/>
      <c r="AM625" s="250"/>
      <c r="AN625" s="250"/>
      <c r="AO625" s="250"/>
      <c r="AP625" s="250"/>
      <c r="AQ625" s="250"/>
      <c r="AR625" s="250"/>
      <c r="AS625" s="250"/>
      <c r="AT625" s="250"/>
      <c r="AU625" s="250"/>
      <c r="AV625" s="250"/>
      <c r="AW625" s="250"/>
      <c r="AX625" s="250"/>
      <c r="AY625" s="250"/>
      <c r="AZ625" s="250"/>
      <c r="BA625" s="250"/>
      <c r="BB625" s="250"/>
      <c r="BC625" s="250"/>
      <c r="BD625" s="250"/>
      <c r="BE625" s="250"/>
      <c r="BF625" s="250"/>
      <c r="BG625" s="250"/>
      <c r="BH625" s="250"/>
      <c r="BI625" s="250"/>
      <c r="BJ625" s="250"/>
    </row>
    <row r="626" spans="2:62" ht="15.75" customHeight="1">
      <c r="B626" s="7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33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250"/>
      <c r="Z626" s="250"/>
      <c r="AA626" s="250"/>
      <c r="AB626" s="250"/>
      <c r="AC626" s="250"/>
      <c r="AD626" s="250"/>
      <c r="AE626" s="250"/>
      <c r="AF626" s="250"/>
      <c r="AG626" s="250"/>
      <c r="AH626" s="250"/>
      <c r="AI626" s="250"/>
      <c r="AJ626" s="250"/>
      <c r="AK626" s="250"/>
      <c r="AL626" s="250"/>
      <c r="AM626" s="250"/>
      <c r="AN626" s="250"/>
      <c r="AO626" s="250"/>
      <c r="AP626" s="250"/>
      <c r="AQ626" s="250"/>
      <c r="AR626" s="250"/>
      <c r="AS626" s="250"/>
      <c r="AT626" s="250"/>
      <c r="AU626" s="250"/>
      <c r="AV626" s="250"/>
      <c r="AW626" s="250"/>
      <c r="AX626" s="250"/>
      <c r="AY626" s="250"/>
      <c r="AZ626" s="250"/>
      <c r="BA626" s="250"/>
      <c r="BB626" s="250"/>
      <c r="BC626" s="250"/>
      <c r="BD626" s="250"/>
      <c r="BE626" s="250"/>
      <c r="BF626" s="250"/>
      <c r="BG626" s="250"/>
      <c r="BH626" s="250"/>
      <c r="BI626" s="250"/>
      <c r="BJ626" s="250"/>
    </row>
    <row r="627" spans="2:62" ht="15.75" customHeight="1">
      <c r="B627" s="7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33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250"/>
      <c r="Z627" s="250"/>
      <c r="AA627" s="250"/>
      <c r="AB627" s="250"/>
      <c r="AC627" s="250"/>
      <c r="AD627" s="250"/>
      <c r="AE627" s="250"/>
      <c r="AF627" s="250"/>
      <c r="AG627" s="250"/>
      <c r="AH627" s="250"/>
      <c r="AI627" s="250"/>
      <c r="AJ627" s="250"/>
      <c r="AK627" s="250"/>
      <c r="AL627" s="250"/>
      <c r="AM627" s="250"/>
      <c r="AN627" s="250"/>
      <c r="AO627" s="250"/>
      <c r="AP627" s="250"/>
      <c r="AQ627" s="250"/>
      <c r="AR627" s="250"/>
      <c r="AS627" s="250"/>
      <c r="AT627" s="250"/>
      <c r="AU627" s="250"/>
      <c r="AV627" s="250"/>
      <c r="AW627" s="250"/>
      <c r="AX627" s="250"/>
      <c r="AY627" s="250"/>
      <c r="AZ627" s="250"/>
      <c r="BA627" s="250"/>
      <c r="BB627" s="250"/>
      <c r="BC627" s="250"/>
      <c r="BD627" s="250"/>
      <c r="BE627" s="250"/>
      <c r="BF627" s="250"/>
      <c r="BG627" s="250"/>
      <c r="BH627" s="250"/>
      <c r="BI627" s="250"/>
      <c r="BJ627" s="250"/>
    </row>
    <row r="628" spans="2:62" ht="15.75" customHeight="1">
      <c r="B628" s="7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33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250"/>
      <c r="Z628" s="250"/>
      <c r="AA628" s="250"/>
      <c r="AB628" s="250"/>
      <c r="AC628" s="250"/>
      <c r="AD628" s="250"/>
      <c r="AE628" s="250"/>
      <c r="AF628" s="250"/>
      <c r="AG628" s="250"/>
      <c r="AH628" s="250"/>
      <c r="AI628" s="250"/>
      <c r="AJ628" s="250"/>
      <c r="AK628" s="250"/>
      <c r="AL628" s="250"/>
      <c r="AM628" s="250"/>
      <c r="AN628" s="250"/>
      <c r="AO628" s="250"/>
      <c r="AP628" s="250"/>
      <c r="AQ628" s="250"/>
      <c r="AR628" s="250"/>
      <c r="AS628" s="250"/>
      <c r="AT628" s="250"/>
      <c r="AU628" s="250"/>
      <c r="AV628" s="250"/>
      <c r="AW628" s="250"/>
      <c r="AX628" s="250"/>
      <c r="AY628" s="250"/>
      <c r="AZ628" s="250"/>
      <c r="BA628" s="250"/>
      <c r="BB628" s="250"/>
      <c r="BC628" s="250"/>
      <c r="BD628" s="250"/>
      <c r="BE628" s="250"/>
      <c r="BF628" s="250"/>
      <c r="BG628" s="250"/>
      <c r="BH628" s="250"/>
      <c r="BI628" s="250"/>
      <c r="BJ628" s="250"/>
    </row>
    <row r="629" spans="2:62" ht="15.75" customHeight="1">
      <c r="B629" s="7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33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250"/>
      <c r="Z629" s="250"/>
      <c r="AA629" s="250"/>
      <c r="AB629" s="250"/>
      <c r="AC629" s="250"/>
      <c r="AD629" s="250"/>
      <c r="AE629" s="250"/>
      <c r="AF629" s="250"/>
      <c r="AG629" s="250"/>
      <c r="AH629" s="250"/>
      <c r="AI629" s="250"/>
      <c r="AJ629" s="250"/>
      <c r="AK629" s="250"/>
      <c r="AL629" s="250"/>
      <c r="AM629" s="250"/>
      <c r="AN629" s="250"/>
      <c r="AO629" s="250"/>
      <c r="AP629" s="250"/>
      <c r="AQ629" s="250"/>
      <c r="AR629" s="250"/>
      <c r="AS629" s="250"/>
      <c r="AT629" s="250"/>
      <c r="AU629" s="250"/>
      <c r="AV629" s="250"/>
      <c r="AW629" s="250"/>
      <c r="AX629" s="250"/>
      <c r="AY629" s="250"/>
      <c r="AZ629" s="250"/>
      <c r="BA629" s="250"/>
      <c r="BB629" s="250"/>
      <c r="BC629" s="250"/>
      <c r="BD629" s="250"/>
      <c r="BE629" s="250"/>
      <c r="BF629" s="250"/>
      <c r="BG629" s="250"/>
      <c r="BH629" s="250"/>
      <c r="BI629" s="250"/>
      <c r="BJ629" s="250"/>
    </row>
    <row r="630" spans="2:62" ht="15.75" customHeight="1">
      <c r="B630" s="7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33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250"/>
      <c r="Z630" s="250"/>
      <c r="AA630" s="250"/>
      <c r="AB630" s="250"/>
      <c r="AC630" s="250"/>
      <c r="AD630" s="250"/>
      <c r="AE630" s="250"/>
      <c r="AF630" s="250"/>
      <c r="AG630" s="250"/>
      <c r="AH630" s="250"/>
      <c r="AI630" s="250"/>
      <c r="AJ630" s="250"/>
      <c r="AK630" s="250"/>
      <c r="AL630" s="250"/>
      <c r="AM630" s="250"/>
      <c r="AN630" s="250"/>
      <c r="AO630" s="250"/>
      <c r="AP630" s="250"/>
      <c r="AQ630" s="250"/>
      <c r="AR630" s="250"/>
      <c r="AS630" s="250"/>
      <c r="AT630" s="250"/>
      <c r="AU630" s="250"/>
      <c r="AV630" s="250"/>
      <c r="AW630" s="250"/>
      <c r="AX630" s="250"/>
      <c r="AY630" s="250"/>
      <c r="AZ630" s="250"/>
      <c r="BA630" s="250"/>
      <c r="BB630" s="250"/>
      <c r="BC630" s="250"/>
      <c r="BD630" s="250"/>
      <c r="BE630" s="250"/>
      <c r="BF630" s="250"/>
      <c r="BG630" s="250"/>
      <c r="BH630" s="250"/>
      <c r="BI630" s="250"/>
      <c r="BJ630" s="250"/>
    </row>
    <row r="631" spans="2:62" ht="15.75" customHeight="1">
      <c r="B631" s="7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33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250"/>
      <c r="Z631" s="250"/>
      <c r="AA631" s="250"/>
      <c r="AB631" s="250"/>
      <c r="AC631" s="250"/>
      <c r="AD631" s="250"/>
      <c r="AE631" s="250"/>
      <c r="AF631" s="250"/>
      <c r="AG631" s="250"/>
      <c r="AH631" s="250"/>
      <c r="AI631" s="250"/>
      <c r="AJ631" s="250"/>
      <c r="AK631" s="250"/>
      <c r="AL631" s="250"/>
      <c r="AM631" s="250"/>
      <c r="AN631" s="250"/>
      <c r="AO631" s="250"/>
      <c r="AP631" s="250"/>
      <c r="AQ631" s="250"/>
      <c r="AR631" s="250"/>
      <c r="AS631" s="250"/>
      <c r="AT631" s="250"/>
      <c r="AU631" s="250"/>
      <c r="AV631" s="250"/>
      <c r="AW631" s="250"/>
      <c r="AX631" s="250"/>
      <c r="AY631" s="250"/>
      <c r="AZ631" s="250"/>
      <c r="BA631" s="250"/>
      <c r="BB631" s="250"/>
      <c r="BC631" s="250"/>
      <c r="BD631" s="250"/>
      <c r="BE631" s="250"/>
      <c r="BF631" s="250"/>
      <c r="BG631" s="250"/>
      <c r="BH631" s="250"/>
      <c r="BI631" s="250"/>
      <c r="BJ631" s="250"/>
    </row>
    <row r="632" spans="2:62" ht="15.75" customHeight="1">
      <c r="B632" s="7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33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250"/>
      <c r="Z632" s="250"/>
      <c r="AA632" s="250"/>
      <c r="AB632" s="250"/>
      <c r="AC632" s="250"/>
      <c r="AD632" s="250"/>
      <c r="AE632" s="250"/>
      <c r="AF632" s="250"/>
      <c r="AG632" s="250"/>
      <c r="AH632" s="250"/>
      <c r="AI632" s="250"/>
      <c r="AJ632" s="250"/>
      <c r="AK632" s="250"/>
      <c r="AL632" s="250"/>
      <c r="AM632" s="250"/>
      <c r="AN632" s="250"/>
      <c r="AO632" s="250"/>
      <c r="AP632" s="250"/>
      <c r="AQ632" s="250"/>
      <c r="AR632" s="250"/>
      <c r="AS632" s="250"/>
      <c r="AT632" s="250"/>
      <c r="AU632" s="250"/>
      <c r="AV632" s="250"/>
      <c r="AW632" s="250"/>
      <c r="AX632" s="250"/>
      <c r="AY632" s="250"/>
      <c r="AZ632" s="250"/>
      <c r="BA632" s="250"/>
      <c r="BB632" s="250"/>
      <c r="BC632" s="250"/>
      <c r="BD632" s="250"/>
      <c r="BE632" s="250"/>
      <c r="BF632" s="250"/>
      <c r="BG632" s="250"/>
      <c r="BH632" s="250"/>
      <c r="BI632" s="250"/>
      <c r="BJ632" s="250"/>
    </row>
    <row r="633" spans="2:62" ht="15.75" customHeight="1">
      <c r="B633" s="7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33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250"/>
      <c r="Z633" s="250"/>
      <c r="AA633" s="250"/>
      <c r="AB633" s="250"/>
      <c r="AC633" s="250"/>
      <c r="AD633" s="250"/>
      <c r="AE633" s="250"/>
      <c r="AF633" s="250"/>
      <c r="AG633" s="250"/>
      <c r="AH633" s="250"/>
      <c r="AI633" s="250"/>
      <c r="AJ633" s="250"/>
      <c r="AK633" s="250"/>
      <c r="AL633" s="250"/>
      <c r="AM633" s="250"/>
      <c r="AN633" s="250"/>
      <c r="AO633" s="250"/>
      <c r="AP633" s="250"/>
      <c r="AQ633" s="250"/>
      <c r="AR633" s="250"/>
      <c r="AS633" s="250"/>
      <c r="AT633" s="250"/>
      <c r="AU633" s="250"/>
      <c r="AV633" s="250"/>
      <c r="AW633" s="250"/>
      <c r="AX633" s="250"/>
      <c r="AY633" s="250"/>
      <c r="AZ633" s="250"/>
      <c r="BA633" s="250"/>
      <c r="BB633" s="250"/>
      <c r="BC633" s="250"/>
      <c r="BD633" s="250"/>
      <c r="BE633" s="250"/>
      <c r="BF633" s="250"/>
      <c r="BG633" s="250"/>
      <c r="BH633" s="250"/>
      <c r="BI633" s="250"/>
      <c r="BJ633" s="250"/>
    </row>
    <row r="634" spans="2:62" ht="15.75" customHeight="1">
      <c r="B634" s="7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33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250"/>
      <c r="Z634" s="250"/>
      <c r="AA634" s="250"/>
      <c r="AB634" s="250"/>
      <c r="AC634" s="250"/>
      <c r="AD634" s="250"/>
      <c r="AE634" s="250"/>
      <c r="AF634" s="250"/>
      <c r="AG634" s="250"/>
      <c r="AH634" s="250"/>
      <c r="AI634" s="250"/>
      <c r="AJ634" s="250"/>
      <c r="AK634" s="250"/>
      <c r="AL634" s="250"/>
      <c r="AM634" s="250"/>
      <c r="AN634" s="250"/>
      <c r="AO634" s="250"/>
      <c r="AP634" s="250"/>
      <c r="AQ634" s="250"/>
      <c r="AR634" s="250"/>
      <c r="AS634" s="250"/>
      <c r="AT634" s="250"/>
      <c r="AU634" s="250"/>
      <c r="AV634" s="250"/>
      <c r="AW634" s="250"/>
      <c r="AX634" s="250"/>
      <c r="AY634" s="250"/>
      <c r="AZ634" s="250"/>
      <c r="BA634" s="250"/>
      <c r="BB634" s="250"/>
      <c r="BC634" s="250"/>
      <c r="BD634" s="250"/>
      <c r="BE634" s="250"/>
      <c r="BF634" s="250"/>
      <c r="BG634" s="250"/>
      <c r="BH634" s="250"/>
      <c r="BI634" s="250"/>
      <c r="BJ634" s="250"/>
    </row>
    <row r="635" spans="2:62" ht="15.75" customHeight="1">
      <c r="B635" s="7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33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250"/>
      <c r="Z635" s="250"/>
      <c r="AA635" s="250"/>
      <c r="AB635" s="250"/>
      <c r="AC635" s="250"/>
      <c r="AD635" s="250"/>
      <c r="AE635" s="250"/>
      <c r="AF635" s="250"/>
      <c r="AG635" s="250"/>
      <c r="AH635" s="250"/>
      <c r="AI635" s="250"/>
      <c r="AJ635" s="250"/>
      <c r="AK635" s="250"/>
      <c r="AL635" s="250"/>
      <c r="AM635" s="250"/>
      <c r="AN635" s="250"/>
      <c r="AO635" s="250"/>
      <c r="AP635" s="250"/>
      <c r="AQ635" s="250"/>
      <c r="AR635" s="250"/>
      <c r="AS635" s="250"/>
      <c r="AT635" s="250"/>
      <c r="AU635" s="250"/>
      <c r="AV635" s="250"/>
      <c r="AW635" s="250"/>
      <c r="AX635" s="250"/>
      <c r="AY635" s="250"/>
      <c r="AZ635" s="250"/>
      <c r="BA635" s="250"/>
      <c r="BB635" s="250"/>
      <c r="BC635" s="250"/>
      <c r="BD635" s="250"/>
      <c r="BE635" s="250"/>
      <c r="BF635" s="250"/>
      <c r="BG635" s="250"/>
      <c r="BH635" s="250"/>
      <c r="BI635" s="250"/>
      <c r="BJ635" s="250"/>
    </row>
    <row r="636" spans="2:62" ht="15.75" customHeight="1">
      <c r="B636" s="7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33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250"/>
      <c r="Z636" s="250"/>
      <c r="AA636" s="250"/>
      <c r="AB636" s="250"/>
      <c r="AC636" s="250"/>
      <c r="AD636" s="250"/>
      <c r="AE636" s="250"/>
      <c r="AF636" s="250"/>
      <c r="AG636" s="250"/>
      <c r="AH636" s="250"/>
      <c r="AI636" s="250"/>
      <c r="AJ636" s="250"/>
      <c r="AK636" s="250"/>
      <c r="AL636" s="250"/>
      <c r="AM636" s="250"/>
      <c r="AN636" s="250"/>
      <c r="AO636" s="250"/>
      <c r="AP636" s="250"/>
      <c r="AQ636" s="250"/>
      <c r="AR636" s="250"/>
      <c r="AS636" s="250"/>
      <c r="AT636" s="250"/>
      <c r="AU636" s="250"/>
      <c r="AV636" s="250"/>
      <c r="AW636" s="250"/>
      <c r="AX636" s="250"/>
      <c r="AY636" s="250"/>
      <c r="AZ636" s="250"/>
      <c r="BA636" s="250"/>
      <c r="BB636" s="250"/>
      <c r="BC636" s="250"/>
      <c r="BD636" s="250"/>
      <c r="BE636" s="250"/>
      <c r="BF636" s="250"/>
      <c r="BG636" s="250"/>
      <c r="BH636" s="250"/>
      <c r="BI636" s="250"/>
      <c r="BJ636" s="250"/>
    </row>
    <row r="637" spans="2:62" ht="15.75" customHeight="1">
      <c r="B637" s="7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33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250"/>
      <c r="Z637" s="250"/>
      <c r="AA637" s="250"/>
      <c r="AB637" s="250"/>
      <c r="AC637" s="250"/>
      <c r="AD637" s="250"/>
      <c r="AE637" s="250"/>
      <c r="AF637" s="250"/>
      <c r="AG637" s="250"/>
      <c r="AH637" s="250"/>
      <c r="AI637" s="250"/>
      <c r="AJ637" s="250"/>
      <c r="AK637" s="250"/>
      <c r="AL637" s="250"/>
      <c r="AM637" s="250"/>
      <c r="AN637" s="250"/>
      <c r="AO637" s="250"/>
      <c r="AP637" s="250"/>
      <c r="AQ637" s="250"/>
      <c r="AR637" s="250"/>
      <c r="AS637" s="250"/>
      <c r="AT637" s="250"/>
      <c r="AU637" s="250"/>
      <c r="AV637" s="250"/>
      <c r="AW637" s="250"/>
      <c r="AX637" s="250"/>
      <c r="AY637" s="250"/>
      <c r="AZ637" s="250"/>
      <c r="BA637" s="250"/>
      <c r="BB637" s="250"/>
      <c r="BC637" s="250"/>
      <c r="BD637" s="250"/>
      <c r="BE637" s="250"/>
      <c r="BF637" s="250"/>
      <c r="BG637" s="250"/>
      <c r="BH637" s="250"/>
      <c r="BI637" s="250"/>
      <c r="BJ637" s="250"/>
    </row>
    <row r="638" spans="2:62" ht="15.75" customHeight="1">
      <c r="B638" s="7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33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250"/>
      <c r="Z638" s="250"/>
      <c r="AA638" s="250"/>
      <c r="AB638" s="250"/>
      <c r="AC638" s="250"/>
      <c r="AD638" s="250"/>
      <c r="AE638" s="250"/>
      <c r="AF638" s="250"/>
      <c r="AG638" s="250"/>
      <c r="AH638" s="250"/>
      <c r="AI638" s="250"/>
      <c r="AJ638" s="250"/>
      <c r="AK638" s="250"/>
      <c r="AL638" s="250"/>
      <c r="AM638" s="250"/>
      <c r="AN638" s="250"/>
      <c r="AO638" s="250"/>
      <c r="AP638" s="250"/>
      <c r="AQ638" s="250"/>
      <c r="AR638" s="250"/>
      <c r="AS638" s="250"/>
      <c r="AT638" s="250"/>
      <c r="AU638" s="250"/>
      <c r="AV638" s="250"/>
      <c r="AW638" s="250"/>
      <c r="AX638" s="250"/>
      <c r="AY638" s="250"/>
      <c r="AZ638" s="250"/>
      <c r="BA638" s="250"/>
      <c r="BB638" s="250"/>
      <c r="BC638" s="250"/>
      <c r="BD638" s="250"/>
      <c r="BE638" s="250"/>
      <c r="BF638" s="250"/>
      <c r="BG638" s="250"/>
      <c r="BH638" s="250"/>
      <c r="BI638" s="250"/>
      <c r="BJ638" s="250"/>
    </row>
    <row r="639" spans="2:62" ht="15.75" customHeight="1">
      <c r="B639" s="7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33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250"/>
      <c r="Z639" s="250"/>
      <c r="AA639" s="250"/>
      <c r="AB639" s="250"/>
      <c r="AC639" s="250"/>
      <c r="AD639" s="250"/>
      <c r="AE639" s="250"/>
      <c r="AF639" s="250"/>
      <c r="AG639" s="250"/>
      <c r="AH639" s="250"/>
      <c r="AI639" s="250"/>
      <c r="AJ639" s="250"/>
      <c r="AK639" s="250"/>
      <c r="AL639" s="250"/>
      <c r="AM639" s="250"/>
      <c r="AN639" s="250"/>
      <c r="AO639" s="250"/>
      <c r="AP639" s="250"/>
      <c r="AQ639" s="250"/>
      <c r="AR639" s="250"/>
      <c r="AS639" s="250"/>
      <c r="AT639" s="250"/>
      <c r="AU639" s="250"/>
      <c r="AV639" s="250"/>
      <c r="AW639" s="250"/>
      <c r="AX639" s="250"/>
      <c r="AY639" s="250"/>
      <c r="AZ639" s="250"/>
      <c r="BA639" s="250"/>
      <c r="BB639" s="250"/>
      <c r="BC639" s="250"/>
      <c r="BD639" s="250"/>
      <c r="BE639" s="250"/>
      <c r="BF639" s="250"/>
      <c r="BG639" s="250"/>
      <c r="BH639" s="250"/>
      <c r="BI639" s="250"/>
      <c r="BJ639" s="250"/>
    </row>
    <row r="640" spans="2:62" ht="15.75" customHeight="1">
      <c r="B640" s="7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33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250"/>
      <c r="Z640" s="250"/>
      <c r="AA640" s="250"/>
      <c r="AB640" s="250"/>
      <c r="AC640" s="250"/>
      <c r="AD640" s="250"/>
      <c r="AE640" s="250"/>
      <c r="AF640" s="250"/>
      <c r="AG640" s="250"/>
      <c r="AH640" s="250"/>
      <c r="AI640" s="250"/>
      <c r="AJ640" s="250"/>
      <c r="AK640" s="250"/>
      <c r="AL640" s="250"/>
      <c r="AM640" s="250"/>
      <c r="AN640" s="250"/>
      <c r="AO640" s="250"/>
      <c r="AP640" s="250"/>
      <c r="AQ640" s="250"/>
      <c r="AR640" s="250"/>
      <c r="AS640" s="250"/>
      <c r="AT640" s="250"/>
      <c r="AU640" s="250"/>
      <c r="AV640" s="250"/>
      <c r="AW640" s="250"/>
      <c r="AX640" s="250"/>
      <c r="AY640" s="250"/>
      <c r="AZ640" s="250"/>
      <c r="BA640" s="250"/>
      <c r="BB640" s="250"/>
      <c r="BC640" s="250"/>
      <c r="BD640" s="250"/>
      <c r="BE640" s="250"/>
      <c r="BF640" s="250"/>
      <c r="BG640" s="250"/>
      <c r="BH640" s="250"/>
      <c r="BI640" s="250"/>
      <c r="BJ640" s="250"/>
    </row>
    <row r="641" spans="2:62" ht="15.75" customHeight="1">
      <c r="B641" s="7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33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250"/>
      <c r="Z641" s="250"/>
      <c r="AA641" s="250"/>
      <c r="AB641" s="250"/>
      <c r="AC641" s="250"/>
      <c r="AD641" s="250"/>
      <c r="AE641" s="250"/>
      <c r="AF641" s="250"/>
      <c r="AG641" s="250"/>
      <c r="AH641" s="250"/>
      <c r="AI641" s="250"/>
      <c r="AJ641" s="250"/>
      <c r="AK641" s="250"/>
      <c r="AL641" s="250"/>
      <c r="AM641" s="250"/>
      <c r="AN641" s="250"/>
      <c r="AO641" s="250"/>
      <c r="AP641" s="250"/>
      <c r="AQ641" s="250"/>
      <c r="AR641" s="250"/>
      <c r="AS641" s="250"/>
      <c r="AT641" s="250"/>
      <c r="AU641" s="250"/>
      <c r="AV641" s="250"/>
      <c r="AW641" s="250"/>
      <c r="AX641" s="250"/>
      <c r="AY641" s="250"/>
      <c r="AZ641" s="250"/>
      <c r="BA641" s="250"/>
      <c r="BB641" s="250"/>
      <c r="BC641" s="250"/>
      <c r="BD641" s="250"/>
      <c r="BE641" s="250"/>
      <c r="BF641" s="250"/>
      <c r="BG641" s="250"/>
      <c r="BH641" s="250"/>
      <c r="BI641" s="250"/>
      <c r="BJ641" s="250"/>
    </row>
    <row r="642" spans="2:62" ht="15.75" customHeight="1">
      <c r="B642" s="7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33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250"/>
      <c r="Z642" s="250"/>
      <c r="AA642" s="250"/>
      <c r="AB642" s="250"/>
      <c r="AC642" s="250"/>
      <c r="AD642" s="250"/>
      <c r="AE642" s="250"/>
      <c r="AF642" s="250"/>
      <c r="AG642" s="250"/>
      <c r="AH642" s="250"/>
      <c r="AI642" s="250"/>
      <c r="AJ642" s="250"/>
      <c r="AK642" s="250"/>
      <c r="AL642" s="250"/>
      <c r="AM642" s="250"/>
      <c r="AN642" s="250"/>
      <c r="AO642" s="250"/>
      <c r="AP642" s="250"/>
      <c r="AQ642" s="250"/>
      <c r="AR642" s="250"/>
      <c r="AS642" s="250"/>
      <c r="AT642" s="250"/>
      <c r="AU642" s="250"/>
      <c r="AV642" s="250"/>
      <c r="AW642" s="250"/>
      <c r="AX642" s="250"/>
      <c r="AY642" s="250"/>
      <c r="AZ642" s="250"/>
      <c r="BA642" s="250"/>
      <c r="BB642" s="250"/>
      <c r="BC642" s="250"/>
      <c r="BD642" s="250"/>
      <c r="BE642" s="250"/>
      <c r="BF642" s="250"/>
      <c r="BG642" s="250"/>
      <c r="BH642" s="250"/>
      <c r="BI642" s="250"/>
      <c r="BJ642" s="250"/>
    </row>
    <row r="643" spans="2:62" ht="15.75" customHeight="1">
      <c r="B643" s="7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33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250"/>
      <c r="Z643" s="250"/>
      <c r="AA643" s="250"/>
      <c r="AB643" s="250"/>
      <c r="AC643" s="250"/>
      <c r="AD643" s="250"/>
      <c r="AE643" s="250"/>
      <c r="AF643" s="250"/>
      <c r="AG643" s="250"/>
      <c r="AH643" s="250"/>
      <c r="AI643" s="250"/>
      <c r="AJ643" s="250"/>
      <c r="AK643" s="250"/>
      <c r="AL643" s="250"/>
      <c r="AM643" s="250"/>
      <c r="AN643" s="250"/>
      <c r="AO643" s="250"/>
      <c r="AP643" s="250"/>
      <c r="AQ643" s="250"/>
      <c r="AR643" s="250"/>
      <c r="AS643" s="250"/>
      <c r="AT643" s="250"/>
      <c r="AU643" s="250"/>
      <c r="AV643" s="250"/>
      <c r="AW643" s="250"/>
      <c r="AX643" s="250"/>
      <c r="AY643" s="250"/>
      <c r="AZ643" s="250"/>
      <c r="BA643" s="250"/>
      <c r="BB643" s="250"/>
      <c r="BC643" s="250"/>
      <c r="BD643" s="250"/>
      <c r="BE643" s="250"/>
      <c r="BF643" s="250"/>
      <c r="BG643" s="250"/>
      <c r="BH643" s="250"/>
      <c r="BI643" s="250"/>
      <c r="BJ643" s="250"/>
    </row>
    <row r="644" spans="2:62" ht="15.75" customHeight="1">
      <c r="B644" s="7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33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250"/>
      <c r="Z644" s="250"/>
      <c r="AA644" s="250"/>
      <c r="AB644" s="250"/>
      <c r="AC644" s="250"/>
      <c r="AD644" s="250"/>
      <c r="AE644" s="250"/>
      <c r="AF644" s="250"/>
      <c r="AG644" s="250"/>
      <c r="AH644" s="250"/>
      <c r="AI644" s="250"/>
      <c r="AJ644" s="250"/>
      <c r="AK644" s="250"/>
      <c r="AL644" s="250"/>
      <c r="AM644" s="250"/>
      <c r="AN644" s="250"/>
      <c r="AO644" s="250"/>
      <c r="AP644" s="250"/>
      <c r="AQ644" s="250"/>
      <c r="AR644" s="250"/>
      <c r="AS644" s="250"/>
      <c r="AT644" s="250"/>
      <c r="AU644" s="250"/>
      <c r="AV644" s="250"/>
      <c r="AW644" s="250"/>
      <c r="AX644" s="250"/>
      <c r="AY644" s="250"/>
      <c r="AZ644" s="250"/>
      <c r="BA644" s="250"/>
      <c r="BB644" s="250"/>
      <c r="BC644" s="250"/>
      <c r="BD644" s="250"/>
      <c r="BE644" s="250"/>
      <c r="BF644" s="250"/>
      <c r="BG644" s="250"/>
      <c r="BH644" s="250"/>
      <c r="BI644" s="250"/>
      <c r="BJ644" s="250"/>
    </row>
    <row r="645" spans="2:62" ht="15.75" customHeight="1">
      <c r="B645" s="7"/>
      <c r="C645" s="419"/>
      <c r="D645" s="339"/>
      <c r="E645" s="339"/>
      <c r="F645" s="339"/>
      <c r="G645" s="339"/>
      <c r="H645" s="339"/>
      <c r="I645" s="339"/>
      <c r="J645" s="339"/>
      <c r="K645" s="339"/>
      <c r="L645" s="339"/>
      <c r="M645" s="339"/>
      <c r="N645" s="339"/>
      <c r="O645" s="420"/>
      <c r="P645" s="339"/>
      <c r="Q645" s="339"/>
      <c r="R645" s="339"/>
      <c r="S645" s="339"/>
      <c r="T645" s="339"/>
      <c r="U645" s="339"/>
      <c r="V645" s="339"/>
      <c r="W645" s="339"/>
      <c r="X645" s="339"/>
      <c r="Y645" s="250"/>
      <c r="Z645" s="250"/>
      <c r="AA645" s="250"/>
      <c r="AB645" s="250"/>
      <c r="AC645" s="250"/>
      <c r="AD645" s="250"/>
      <c r="AE645" s="250"/>
      <c r="AF645" s="250"/>
      <c r="AG645" s="250"/>
      <c r="AH645" s="250"/>
      <c r="AI645" s="250"/>
      <c r="AJ645" s="250"/>
      <c r="AK645" s="250"/>
      <c r="AL645" s="250"/>
      <c r="AM645" s="250"/>
      <c r="AN645" s="250"/>
      <c r="AO645" s="250"/>
      <c r="AP645" s="250"/>
      <c r="AQ645" s="250"/>
      <c r="AR645" s="250"/>
      <c r="AS645" s="250"/>
      <c r="AT645" s="250"/>
      <c r="AU645" s="250"/>
      <c r="AV645" s="250"/>
      <c r="AW645" s="250"/>
      <c r="AX645" s="250"/>
      <c r="AY645" s="250"/>
      <c r="AZ645" s="250"/>
      <c r="BA645" s="250"/>
      <c r="BB645" s="250"/>
      <c r="BC645" s="250"/>
      <c r="BD645" s="250"/>
      <c r="BE645" s="250"/>
      <c r="BF645" s="250"/>
      <c r="BG645" s="250"/>
      <c r="BH645" s="250"/>
      <c r="BI645" s="250"/>
      <c r="BJ645" s="250"/>
    </row>
    <row r="646" spans="2:62" ht="15.75" customHeight="1">
      <c r="B646" s="7"/>
      <c r="C646" s="409"/>
      <c r="D646" s="413"/>
      <c r="E646" s="413"/>
      <c r="F646" s="413"/>
      <c r="G646" s="413"/>
      <c r="H646" s="413"/>
      <c r="I646" s="413"/>
      <c r="J646" s="413"/>
      <c r="K646" s="413"/>
      <c r="L646" s="413"/>
      <c r="M646" s="413"/>
      <c r="N646" s="413"/>
      <c r="O646" s="413"/>
      <c r="P646" s="413"/>
      <c r="Q646" s="421"/>
      <c r="R646" s="413"/>
      <c r="S646" s="413"/>
      <c r="T646" s="339"/>
      <c r="U646" s="339"/>
      <c r="V646" s="339"/>
      <c r="W646" s="339"/>
      <c r="X646" s="339"/>
      <c r="Y646" s="250"/>
      <c r="Z646" s="250"/>
      <c r="AA646" s="250"/>
      <c r="AB646" s="250"/>
      <c r="AC646" s="250"/>
      <c r="AD646" s="250"/>
      <c r="AE646" s="250"/>
      <c r="AF646" s="250"/>
      <c r="AG646" s="250"/>
      <c r="AH646" s="250"/>
      <c r="AI646" s="250"/>
      <c r="AJ646" s="250"/>
      <c r="AK646" s="250"/>
      <c r="AL646" s="250"/>
      <c r="AM646" s="250"/>
      <c r="AN646" s="250"/>
      <c r="AO646" s="250"/>
      <c r="AP646" s="250"/>
      <c r="AQ646" s="250"/>
      <c r="AR646" s="250"/>
      <c r="AS646" s="250"/>
      <c r="AT646" s="250"/>
      <c r="AU646" s="250"/>
      <c r="AV646" s="250"/>
      <c r="AW646" s="250"/>
      <c r="AX646" s="250"/>
      <c r="AY646" s="250"/>
      <c r="AZ646" s="250"/>
      <c r="BA646" s="250"/>
      <c r="BB646" s="250"/>
      <c r="BC646" s="250"/>
      <c r="BD646" s="250"/>
      <c r="BE646" s="250"/>
      <c r="BF646" s="250"/>
      <c r="BG646" s="250"/>
      <c r="BH646" s="250"/>
      <c r="BI646" s="250"/>
      <c r="BJ646" s="250"/>
    </row>
    <row r="647" spans="2:62" ht="15.75" customHeight="1">
      <c r="B647" s="7"/>
      <c r="C647" s="339"/>
      <c r="D647" s="410"/>
      <c r="E647" s="410"/>
      <c r="F647" s="422"/>
      <c r="G647" s="410"/>
      <c r="H647" s="410"/>
      <c r="I647" s="422"/>
      <c r="J647" s="414"/>
      <c r="K647" s="414"/>
      <c r="L647" s="423"/>
      <c r="M647" s="414"/>
      <c r="N647" s="414"/>
      <c r="O647" s="414"/>
      <c r="P647" s="414"/>
      <c r="Q647" s="411"/>
      <c r="R647" s="410"/>
      <c r="S647" s="422"/>
      <c r="T647" s="339"/>
      <c r="U647" s="339"/>
      <c r="V647" s="339"/>
      <c r="W647" s="339"/>
      <c r="X647" s="339"/>
      <c r="Y647" s="250"/>
      <c r="Z647" s="250"/>
      <c r="AA647" s="250"/>
      <c r="AB647" s="250"/>
      <c r="AC647" s="250"/>
      <c r="AD647" s="250"/>
      <c r="AE647" s="250"/>
      <c r="AF647" s="250"/>
      <c r="AG647" s="250"/>
      <c r="AH647" s="250"/>
      <c r="AI647" s="250"/>
      <c r="AJ647" s="250"/>
      <c r="AK647" s="250"/>
      <c r="AL647" s="250"/>
      <c r="AM647" s="250"/>
      <c r="AN647" s="250"/>
      <c r="AO647" s="250"/>
      <c r="AP647" s="250"/>
      <c r="AQ647" s="250"/>
      <c r="AR647" s="250"/>
      <c r="AS647" s="250"/>
      <c r="AT647" s="250"/>
      <c r="AU647" s="250"/>
      <c r="AV647" s="250"/>
      <c r="AW647" s="250"/>
      <c r="AX647" s="250"/>
      <c r="AY647" s="250"/>
      <c r="AZ647" s="250"/>
      <c r="BA647" s="250"/>
      <c r="BB647" s="250"/>
      <c r="BC647" s="250"/>
      <c r="BD647" s="250"/>
      <c r="BE647" s="250"/>
      <c r="BF647" s="250"/>
      <c r="BG647" s="250"/>
      <c r="BH647" s="250"/>
      <c r="BI647" s="250"/>
      <c r="BJ647" s="250"/>
    </row>
    <row r="648" spans="2:62" ht="15.75" customHeight="1">
      <c r="B648" s="7"/>
      <c r="C648" s="424"/>
      <c r="D648" s="339"/>
      <c r="E648" s="339"/>
      <c r="F648" s="413"/>
      <c r="G648" s="339"/>
      <c r="H648" s="339"/>
      <c r="I648" s="413"/>
      <c r="J648" s="413"/>
      <c r="K648" s="413"/>
      <c r="L648" s="339"/>
      <c r="M648" s="413"/>
      <c r="N648" s="413"/>
      <c r="O648" s="339"/>
      <c r="P648" s="413"/>
      <c r="Q648" s="413"/>
      <c r="R648" s="339"/>
      <c r="S648" s="413"/>
      <c r="T648" s="339"/>
      <c r="U648" s="339"/>
      <c r="V648" s="339"/>
      <c r="W648" s="339"/>
      <c r="X648" s="339"/>
      <c r="Y648" s="250"/>
      <c r="Z648" s="250"/>
      <c r="AA648" s="250"/>
      <c r="AB648" s="250"/>
      <c r="AC648" s="250"/>
      <c r="AD648" s="250"/>
      <c r="AE648" s="250"/>
      <c r="AF648" s="250"/>
      <c r="AG648" s="250"/>
      <c r="AH648" s="250"/>
      <c r="AI648" s="250"/>
      <c r="AJ648" s="250"/>
      <c r="AK648" s="250"/>
      <c r="AL648" s="250"/>
      <c r="AM648" s="250"/>
      <c r="AN648" s="250"/>
      <c r="AO648" s="250"/>
      <c r="AP648" s="250"/>
      <c r="AQ648" s="250"/>
      <c r="AR648" s="250"/>
      <c r="AS648" s="250"/>
      <c r="AT648" s="250"/>
      <c r="AU648" s="250"/>
      <c r="AV648" s="250"/>
      <c r="AW648" s="250"/>
      <c r="AX648" s="250"/>
      <c r="AY648" s="250"/>
      <c r="AZ648" s="250"/>
      <c r="BA648" s="250"/>
      <c r="BB648" s="250"/>
      <c r="BC648" s="250"/>
      <c r="BD648" s="250"/>
      <c r="BE648" s="250"/>
      <c r="BF648" s="250"/>
      <c r="BG648" s="250"/>
      <c r="BH648" s="250"/>
      <c r="BI648" s="250"/>
      <c r="BJ648" s="250"/>
    </row>
    <row r="649" spans="2:62" ht="15.75" customHeight="1">
      <c r="B649" s="7"/>
      <c r="C649" s="339"/>
      <c r="D649" s="339"/>
      <c r="E649" s="339"/>
      <c r="F649" s="406"/>
      <c r="G649" s="339"/>
      <c r="H649" s="339"/>
      <c r="I649" s="406"/>
      <c r="J649" s="406"/>
      <c r="K649" s="406"/>
      <c r="L649" s="406"/>
      <c r="M649" s="406"/>
      <c r="N649" s="406"/>
      <c r="O649" s="406"/>
      <c r="P649" s="406"/>
      <c r="Q649" s="406"/>
      <c r="R649" s="406"/>
      <c r="S649" s="406"/>
      <c r="T649" s="339"/>
      <c r="U649" s="339"/>
      <c r="V649" s="339"/>
      <c r="W649" s="339"/>
      <c r="X649" s="339"/>
      <c r="Y649" s="250"/>
      <c r="Z649" s="250"/>
      <c r="AA649" s="250"/>
      <c r="AB649" s="250"/>
      <c r="AC649" s="250"/>
      <c r="AD649" s="250"/>
      <c r="AE649" s="250"/>
      <c r="AF649" s="250"/>
      <c r="AG649" s="250"/>
      <c r="AH649" s="250"/>
      <c r="AI649" s="250"/>
      <c r="AJ649" s="250"/>
      <c r="AK649" s="250"/>
      <c r="AL649" s="250"/>
      <c r="AM649" s="250"/>
      <c r="AN649" s="250"/>
      <c r="AO649" s="250"/>
      <c r="AP649" s="250"/>
      <c r="AQ649" s="250"/>
      <c r="AR649" s="250"/>
      <c r="AS649" s="250"/>
      <c r="AT649" s="250"/>
      <c r="AU649" s="250"/>
      <c r="AV649" s="250"/>
      <c r="AW649" s="250"/>
      <c r="AX649" s="250"/>
      <c r="AY649" s="250"/>
      <c r="AZ649" s="250"/>
      <c r="BA649" s="250"/>
      <c r="BB649" s="250"/>
      <c r="BC649" s="250"/>
      <c r="BD649" s="250"/>
      <c r="BE649" s="250"/>
      <c r="BF649" s="250"/>
      <c r="BG649" s="250"/>
      <c r="BH649" s="250"/>
      <c r="BI649" s="250"/>
      <c r="BJ649" s="250"/>
    </row>
    <row r="650" spans="2:62" ht="15.75" customHeight="1">
      <c r="B650" s="7"/>
      <c r="C650" s="405"/>
      <c r="D650" s="405"/>
      <c r="E650" s="405"/>
      <c r="F650" s="408"/>
      <c r="G650" s="405"/>
      <c r="H650" s="405"/>
      <c r="I650" s="408"/>
      <c r="J650" s="408"/>
      <c r="K650" s="408"/>
      <c r="L650" s="408"/>
      <c r="M650" s="408"/>
      <c r="N650" s="408"/>
      <c r="O650" s="408"/>
      <c r="P650" s="408"/>
      <c r="Q650" s="408"/>
      <c r="R650" s="408"/>
      <c r="S650" s="408"/>
      <c r="T650" s="339"/>
      <c r="U650" s="339"/>
      <c r="V650" s="339"/>
      <c r="W650" s="339"/>
      <c r="X650" s="339"/>
      <c r="Y650" s="250"/>
      <c r="Z650" s="250"/>
      <c r="AA650" s="250"/>
      <c r="AB650" s="250"/>
      <c r="AC650" s="250"/>
      <c r="AD650" s="250"/>
      <c r="AE650" s="250"/>
      <c r="AF650" s="250"/>
      <c r="AG650" s="250"/>
      <c r="AH650" s="250"/>
      <c r="AI650" s="250"/>
      <c r="AJ650" s="250"/>
      <c r="AK650" s="250"/>
      <c r="AL650" s="250"/>
      <c r="AM650" s="250"/>
      <c r="AN650" s="250"/>
      <c r="AO650" s="250"/>
      <c r="AP650" s="250"/>
      <c r="AQ650" s="250"/>
      <c r="AR650" s="250"/>
      <c r="AS650" s="250"/>
      <c r="AT650" s="250"/>
      <c r="AU650" s="250"/>
      <c r="AV650" s="250"/>
      <c r="AW650" s="250"/>
      <c r="AX650" s="250"/>
      <c r="AY650" s="250"/>
      <c r="AZ650" s="250"/>
      <c r="BA650" s="250"/>
      <c r="BB650" s="250"/>
      <c r="BC650" s="250"/>
      <c r="BD650" s="250"/>
      <c r="BE650" s="250"/>
      <c r="BF650" s="250"/>
      <c r="BG650" s="250"/>
      <c r="BH650" s="250"/>
      <c r="BI650" s="250"/>
      <c r="BJ650" s="250"/>
    </row>
    <row r="651" spans="2:62" ht="15.75" customHeight="1">
      <c r="B651" s="7"/>
      <c r="C651" s="339"/>
      <c r="D651" s="339"/>
      <c r="E651" s="339"/>
      <c r="F651" s="339"/>
      <c r="G651" s="339"/>
      <c r="H651" s="339"/>
      <c r="I651" s="339"/>
      <c r="J651" s="406"/>
      <c r="K651" s="406"/>
      <c r="L651" s="406"/>
      <c r="M651" s="406"/>
      <c r="N651" s="406"/>
      <c r="O651" s="406"/>
      <c r="P651" s="406"/>
      <c r="Q651" s="406"/>
      <c r="R651" s="406"/>
      <c r="S651" s="406"/>
      <c r="T651" s="339"/>
      <c r="U651" s="339"/>
      <c r="V651" s="339"/>
      <c r="W651" s="339"/>
      <c r="X651" s="339"/>
      <c r="Y651" s="250"/>
      <c r="Z651" s="250"/>
      <c r="AA651" s="250"/>
      <c r="AB651" s="250"/>
      <c r="AC651" s="250"/>
      <c r="AD651" s="250"/>
      <c r="AE651" s="250"/>
      <c r="AF651" s="250"/>
      <c r="AG651" s="250"/>
      <c r="AH651" s="250"/>
      <c r="AI651" s="250"/>
      <c r="AJ651" s="250"/>
      <c r="AK651" s="250"/>
      <c r="AL651" s="250"/>
      <c r="AM651" s="250"/>
      <c r="AN651" s="250"/>
      <c r="AO651" s="250"/>
      <c r="AP651" s="250"/>
      <c r="AQ651" s="250"/>
      <c r="AR651" s="250"/>
      <c r="AS651" s="250"/>
      <c r="AT651" s="250"/>
      <c r="AU651" s="250"/>
      <c r="AV651" s="250"/>
      <c r="AW651" s="250"/>
      <c r="AX651" s="250"/>
      <c r="AY651" s="250"/>
      <c r="AZ651" s="250"/>
      <c r="BA651" s="250"/>
      <c r="BB651" s="250"/>
      <c r="BC651" s="250"/>
      <c r="BD651" s="250"/>
      <c r="BE651" s="250"/>
      <c r="BF651" s="250"/>
      <c r="BG651" s="250"/>
      <c r="BH651" s="250"/>
      <c r="BI651" s="250"/>
      <c r="BJ651" s="250"/>
    </row>
    <row r="652" spans="2:62" ht="15.75" customHeight="1">
      <c r="B652" s="7"/>
      <c r="C652" s="339"/>
      <c r="D652" s="339"/>
      <c r="E652" s="339"/>
      <c r="F652" s="339"/>
      <c r="G652" s="339"/>
      <c r="H652" s="339"/>
      <c r="I652" s="339"/>
      <c r="J652" s="339"/>
      <c r="K652" s="406"/>
      <c r="L652" s="406"/>
      <c r="M652" s="339"/>
      <c r="N652" s="406"/>
      <c r="O652" s="406"/>
      <c r="P652" s="339"/>
      <c r="Q652" s="406"/>
      <c r="R652" s="406"/>
      <c r="S652" s="339"/>
      <c r="T652" s="339"/>
      <c r="U652" s="339"/>
      <c r="V652" s="339"/>
      <c r="W652" s="339"/>
      <c r="X652" s="339"/>
      <c r="Y652" s="250"/>
      <c r="Z652" s="250"/>
      <c r="AA652" s="250"/>
      <c r="AB652" s="250"/>
      <c r="AC652" s="250"/>
      <c r="AD652" s="250"/>
      <c r="AE652" s="250"/>
      <c r="AF652" s="250"/>
      <c r="AG652" s="250"/>
      <c r="AH652" s="250"/>
      <c r="AI652" s="250"/>
      <c r="AJ652" s="250"/>
      <c r="AK652" s="250"/>
      <c r="AL652" s="250"/>
      <c r="AM652" s="250"/>
      <c r="AN652" s="250"/>
      <c r="AO652" s="250"/>
      <c r="AP652" s="250"/>
      <c r="AQ652" s="250"/>
      <c r="AR652" s="250"/>
      <c r="AS652" s="250"/>
      <c r="AT652" s="250"/>
      <c r="AU652" s="250"/>
      <c r="AV652" s="250"/>
      <c r="AW652" s="250"/>
      <c r="AX652" s="250"/>
      <c r="AY652" s="250"/>
      <c r="AZ652" s="250"/>
      <c r="BA652" s="250"/>
      <c r="BB652" s="250"/>
      <c r="BC652" s="250"/>
      <c r="BD652" s="250"/>
      <c r="BE652" s="250"/>
      <c r="BF652" s="250"/>
      <c r="BG652" s="250"/>
      <c r="BH652" s="250"/>
      <c r="BI652" s="250"/>
      <c r="BJ652" s="250"/>
    </row>
    <row r="653" spans="2:62" ht="15.75" customHeight="1">
      <c r="B653" s="7"/>
      <c r="C653" s="339"/>
      <c r="D653" s="339"/>
      <c r="E653" s="339"/>
      <c r="F653" s="339"/>
      <c r="G653" s="339"/>
      <c r="H653" s="339"/>
      <c r="I653" s="339"/>
      <c r="J653" s="339"/>
      <c r="K653" s="406"/>
      <c r="L653" s="406"/>
      <c r="M653" s="339"/>
      <c r="N653" s="406"/>
      <c r="O653" s="406"/>
      <c r="P653" s="339"/>
      <c r="Q653" s="406"/>
      <c r="R653" s="406"/>
      <c r="S653" s="339"/>
      <c r="T653" s="339"/>
      <c r="U653" s="339"/>
      <c r="V653" s="339"/>
      <c r="W653" s="339"/>
      <c r="X653" s="339"/>
      <c r="Y653" s="250"/>
      <c r="Z653" s="250"/>
      <c r="AA653" s="250"/>
      <c r="AB653" s="250"/>
      <c r="AC653" s="250"/>
      <c r="AD653" s="250"/>
      <c r="AE653" s="250"/>
      <c r="AF653" s="250"/>
      <c r="AG653" s="250"/>
      <c r="AH653" s="250"/>
      <c r="AI653" s="250"/>
      <c r="AJ653" s="250"/>
      <c r="AK653" s="250"/>
      <c r="AL653" s="250"/>
      <c r="AM653" s="250"/>
      <c r="AN653" s="250"/>
      <c r="AO653" s="250"/>
      <c r="AP653" s="250"/>
      <c r="AQ653" s="250"/>
      <c r="AR653" s="250"/>
      <c r="AS653" s="250"/>
      <c r="AT653" s="250"/>
      <c r="AU653" s="250"/>
      <c r="AV653" s="250"/>
      <c r="AW653" s="250"/>
      <c r="AX653" s="250"/>
      <c r="AY653" s="250"/>
      <c r="AZ653" s="250"/>
      <c r="BA653" s="250"/>
      <c r="BB653" s="250"/>
      <c r="BC653" s="250"/>
      <c r="BD653" s="250"/>
      <c r="BE653" s="250"/>
      <c r="BF653" s="250"/>
      <c r="BG653" s="250"/>
      <c r="BH653" s="250"/>
      <c r="BI653" s="250"/>
      <c r="BJ653" s="250"/>
    </row>
    <row r="654" spans="2:62" ht="15.75" customHeight="1">
      <c r="B654" s="7"/>
      <c r="C654" s="339"/>
      <c r="D654" s="339"/>
      <c r="E654" s="339"/>
      <c r="F654" s="339"/>
      <c r="G654" s="339"/>
      <c r="H654" s="339"/>
      <c r="I654" s="339"/>
      <c r="J654" s="339"/>
      <c r="K654" s="406"/>
      <c r="L654" s="406"/>
      <c r="M654" s="339"/>
      <c r="N654" s="406"/>
      <c r="O654" s="406"/>
      <c r="P654" s="339"/>
      <c r="Q654" s="406"/>
      <c r="R654" s="406"/>
      <c r="S654" s="339"/>
      <c r="T654" s="339"/>
      <c r="U654" s="339"/>
      <c r="V654" s="339"/>
      <c r="W654" s="339"/>
      <c r="X654" s="339"/>
      <c r="Y654" s="250"/>
      <c r="Z654" s="250"/>
      <c r="AA654" s="250"/>
      <c r="AB654" s="250"/>
      <c r="AC654" s="250"/>
      <c r="AD654" s="250"/>
      <c r="AE654" s="250"/>
      <c r="AF654" s="250"/>
      <c r="AG654" s="250"/>
      <c r="AH654" s="250"/>
      <c r="AI654" s="250"/>
      <c r="AJ654" s="250"/>
      <c r="AK654" s="250"/>
      <c r="AL654" s="250"/>
      <c r="AM654" s="250"/>
      <c r="AN654" s="250"/>
      <c r="AO654" s="250"/>
      <c r="AP654" s="250"/>
      <c r="AQ654" s="250"/>
      <c r="AR654" s="250"/>
      <c r="AS654" s="250"/>
      <c r="AT654" s="250"/>
      <c r="AU654" s="250"/>
      <c r="AV654" s="250"/>
      <c r="AW654" s="250"/>
      <c r="AX654" s="250"/>
      <c r="AY654" s="250"/>
      <c r="AZ654" s="250"/>
      <c r="BA654" s="250"/>
      <c r="BB654" s="250"/>
      <c r="BC654" s="250"/>
      <c r="BD654" s="250"/>
      <c r="BE654" s="250"/>
      <c r="BF654" s="250"/>
      <c r="BG654" s="250"/>
      <c r="BH654" s="250"/>
      <c r="BI654" s="250"/>
      <c r="BJ654" s="250"/>
    </row>
    <row r="655" spans="2:62" ht="15.75" customHeight="1">
      <c r="B655" s="7"/>
      <c r="C655" s="339"/>
      <c r="D655" s="339"/>
      <c r="E655" s="339"/>
      <c r="F655" s="339"/>
      <c r="G655" s="339"/>
      <c r="H655" s="339"/>
      <c r="I655" s="339"/>
      <c r="J655" s="339"/>
      <c r="K655" s="406"/>
      <c r="L655" s="406"/>
      <c r="M655" s="339"/>
      <c r="N655" s="406"/>
      <c r="O655" s="406"/>
      <c r="P655" s="339"/>
      <c r="Q655" s="406"/>
      <c r="R655" s="406"/>
      <c r="S655" s="339"/>
      <c r="T655" s="339"/>
      <c r="U655" s="339"/>
      <c r="V655" s="339"/>
      <c r="W655" s="339"/>
      <c r="X655" s="339"/>
      <c r="Y655" s="250"/>
      <c r="Z655" s="250"/>
      <c r="AA655" s="250"/>
      <c r="AB655" s="250"/>
      <c r="AC655" s="250"/>
      <c r="AD655" s="250"/>
      <c r="AE655" s="250"/>
      <c r="AF655" s="250"/>
      <c r="AG655" s="250"/>
      <c r="AH655" s="250"/>
      <c r="AI655" s="250"/>
      <c r="AJ655" s="250"/>
      <c r="AK655" s="250"/>
      <c r="AL655" s="250"/>
      <c r="AM655" s="250"/>
      <c r="AN655" s="250"/>
      <c r="AO655" s="250"/>
      <c r="AP655" s="250"/>
      <c r="AQ655" s="250"/>
      <c r="AR655" s="250"/>
      <c r="AS655" s="250"/>
      <c r="AT655" s="250"/>
      <c r="AU655" s="250"/>
      <c r="AV655" s="250"/>
      <c r="AW655" s="250"/>
      <c r="AX655" s="250"/>
      <c r="AY655" s="250"/>
      <c r="AZ655" s="250"/>
      <c r="BA655" s="250"/>
      <c r="BB655" s="250"/>
      <c r="BC655" s="250"/>
      <c r="BD655" s="250"/>
      <c r="BE655" s="250"/>
      <c r="BF655" s="250"/>
      <c r="BG655" s="250"/>
      <c r="BH655" s="250"/>
      <c r="BI655" s="250"/>
      <c r="BJ655" s="250"/>
    </row>
    <row r="656" spans="2:62" ht="15.75" customHeight="1">
      <c r="B656" s="7"/>
      <c r="C656" s="339"/>
      <c r="D656" s="339"/>
      <c r="E656" s="339"/>
      <c r="F656" s="339"/>
      <c r="G656" s="339"/>
      <c r="H656" s="339"/>
      <c r="I656" s="339"/>
      <c r="J656" s="339"/>
      <c r="K656" s="406"/>
      <c r="L656" s="406"/>
      <c r="M656" s="339"/>
      <c r="N656" s="406"/>
      <c r="O656" s="406"/>
      <c r="P656" s="339"/>
      <c r="Q656" s="406"/>
      <c r="R656" s="406"/>
      <c r="S656" s="339"/>
      <c r="T656" s="339"/>
      <c r="U656" s="339"/>
      <c r="V656" s="339"/>
      <c r="W656" s="339"/>
      <c r="X656" s="339"/>
      <c r="Y656" s="250"/>
      <c r="Z656" s="250"/>
      <c r="AA656" s="250"/>
      <c r="AB656" s="250"/>
      <c r="AC656" s="250"/>
      <c r="AD656" s="250"/>
      <c r="AE656" s="250"/>
      <c r="AF656" s="250"/>
      <c r="AG656" s="250"/>
      <c r="AH656" s="250"/>
      <c r="AI656" s="250"/>
      <c r="AJ656" s="250"/>
      <c r="AK656" s="250"/>
      <c r="AL656" s="250"/>
      <c r="AM656" s="250"/>
      <c r="AN656" s="250"/>
      <c r="AO656" s="250"/>
      <c r="AP656" s="250"/>
      <c r="AQ656" s="250"/>
      <c r="AR656" s="250"/>
      <c r="AS656" s="250"/>
      <c r="AT656" s="250"/>
      <c r="AU656" s="250"/>
      <c r="AV656" s="250"/>
      <c r="AW656" s="250"/>
      <c r="AX656" s="250"/>
      <c r="AY656" s="250"/>
      <c r="AZ656" s="250"/>
      <c r="BA656" s="250"/>
      <c r="BB656" s="250"/>
      <c r="BC656" s="250"/>
      <c r="BD656" s="250"/>
      <c r="BE656" s="250"/>
      <c r="BF656" s="250"/>
      <c r="BG656" s="250"/>
      <c r="BH656" s="250"/>
      <c r="BI656" s="250"/>
      <c r="BJ656" s="250"/>
    </row>
    <row r="657" spans="2:62" ht="15.75" customHeight="1">
      <c r="B657" s="7"/>
      <c r="C657" s="339"/>
      <c r="D657" s="339"/>
      <c r="E657" s="339"/>
      <c r="F657" s="339"/>
      <c r="G657" s="339"/>
      <c r="H657" s="339"/>
      <c r="I657" s="339"/>
      <c r="J657" s="339"/>
      <c r="K657" s="406"/>
      <c r="L657" s="408"/>
      <c r="M657" s="339"/>
      <c r="N657" s="406"/>
      <c r="O657" s="406"/>
      <c r="P657" s="339"/>
      <c r="Q657" s="406"/>
      <c r="R657" s="408"/>
      <c r="S657" s="339"/>
      <c r="T657" s="339"/>
      <c r="U657" s="339"/>
      <c r="V657" s="339"/>
      <c r="W657" s="339"/>
      <c r="X657" s="339"/>
      <c r="Y657" s="250"/>
      <c r="Z657" s="250"/>
      <c r="AA657" s="250"/>
      <c r="AB657" s="250"/>
      <c r="AC657" s="250"/>
      <c r="AD657" s="250"/>
      <c r="AE657" s="250"/>
      <c r="AF657" s="250"/>
      <c r="AG657" s="250"/>
      <c r="AH657" s="250"/>
      <c r="AI657" s="250"/>
      <c r="AJ657" s="250"/>
      <c r="AK657" s="250"/>
      <c r="AL657" s="250"/>
      <c r="AM657" s="250"/>
      <c r="AN657" s="250"/>
      <c r="AO657" s="250"/>
      <c r="AP657" s="250"/>
      <c r="AQ657" s="250"/>
      <c r="AR657" s="250"/>
      <c r="AS657" s="250"/>
      <c r="AT657" s="250"/>
      <c r="AU657" s="250"/>
      <c r="AV657" s="250"/>
      <c r="AW657" s="250"/>
      <c r="AX657" s="250"/>
      <c r="AY657" s="250"/>
      <c r="AZ657" s="250"/>
      <c r="BA657" s="250"/>
      <c r="BB657" s="250"/>
      <c r="BC657" s="250"/>
      <c r="BD657" s="250"/>
      <c r="BE657" s="250"/>
      <c r="BF657" s="250"/>
      <c r="BG657" s="250"/>
      <c r="BH657" s="250"/>
      <c r="BI657" s="250"/>
      <c r="BJ657" s="250"/>
    </row>
    <row r="658" spans="2:62" ht="15.75" customHeight="1">
      <c r="B658" s="7"/>
      <c r="C658" s="339"/>
      <c r="D658" s="339"/>
      <c r="E658" s="339"/>
      <c r="F658" s="339"/>
      <c r="G658" s="339"/>
      <c r="H658" s="339"/>
      <c r="I658" s="339"/>
      <c r="J658" s="339"/>
      <c r="K658" s="406"/>
      <c r="L658" s="406"/>
      <c r="M658" s="339"/>
      <c r="N658" s="406"/>
      <c r="O658" s="406"/>
      <c r="P658" s="339"/>
      <c r="Q658" s="406"/>
      <c r="R658" s="406"/>
      <c r="S658" s="339"/>
      <c r="T658" s="339"/>
      <c r="U658" s="339"/>
      <c r="V658" s="339"/>
      <c r="W658" s="339"/>
      <c r="X658" s="339"/>
      <c r="Y658" s="250"/>
      <c r="Z658" s="250"/>
      <c r="AA658" s="250"/>
      <c r="AB658" s="250"/>
      <c r="AC658" s="250"/>
      <c r="AD658" s="250"/>
      <c r="AE658" s="250"/>
      <c r="AF658" s="250"/>
      <c r="AG658" s="250"/>
      <c r="AH658" s="250"/>
      <c r="AI658" s="250"/>
      <c r="AJ658" s="250"/>
      <c r="AK658" s="250"/>
      <c r="AL658" s="250"/>
      <c r="AM658" s="250"/>
      <c r="AN658" s="250"/>
      <c r="AO658" s="250"/>
      <c r="AP658" s="250"/>
      <c r="AQ658" s="250"/>
      <c r="AR658" s="250"/>
      <c r="AS658" s="250"/>
      <c r="AT658" s="250"/>
      <c r="AU658" s="250"/>
      <c r="AV658" s="250"/>
      <c r="AW658" s="250"/>
      <c r="AX658" s="250"/>
      <c r="AY658" s="250"/>
      <c r="AZ658" s="250"/>
      <c r="BA658" s="250"/>
      <c r="BB658" s="250"/>
      <c r="BC658" s="250"/>
      <c r="BD658" s="250"/>
      <c r="BE658" s="250"/>
      <c r="BF658" s="250"/>
      <c r="BG658" s="250"/>
      <c r="BH658" s="250"/>
      <c r="BI658" s="250"/>
      <c r="BJ658" s="250"/>
    </row>
    <row r="659" spans="2:62" ht="15.75" customHeight="1">
      <c r="B659" s="7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339"/>
      <c r="N659" s="408"/>
      <c r="O659" s="408"/>
      <c r="P659" s="339"/>
      <c r="Q659" s="408"/>
      <c r="R659" s="339"/>
      <c r="S659" s="339"/>
      <c r="T659" s="339"/>
      <c r="U659" s="339"/>
      <c r="V659" s="339"/>
      <c r="W659" s="339"/>
      <c r="X659" s="339"/>
      <c r="Y659" s="250"/>
      <c r="Z659" s="250"/>
      <c r="AA659" s="250"/>
      <c r="AB659" s="250"/>
      <c r="AC659" s="250"/>
      <c r="AD659" s="250"/>
      <c r="AE659" s="250"/>
      <c r="AF659" s="250"/>
      <c r="AG659" s="250"/>
      <c r="AH659" s="250"/>
      <c r="AI659" s="250"/>
      <c r="AJ659" s="250"/>
      <c r="AK659" s="250"/>
      <c r="AL659" s="250"/>
      <c r="AM659" s="250"/>
      <c r="AN659" s="250"/>
      <c r="AO659" s="250"/>
      <c r="AP659" s="250"/>
      <c r="AQ659" s="250"/>
      <c r="AR659" s="250"/>
      <c r="AS659" s="250"/>
      <c r="AT659" s="250"/>
      <c r="AU659" s="250"/>
      <c r="AV659" s="250"/>
      <c r="AW659" s="250"/>
      <c r="AX659" s="250"/>
      <c r="AY659" s="250"/>
      <c r="AZ659" s="250"/>
      <c r="BA659" s="250"/>
      <c r="BB659" s="250"/>
      <c r="BC659" s="250"/>
      <c r="BD659" s="250"/>
      <c r="BE659" s="250"/>
      <c r="BF659" s="250"/>
      <c r="BG659" s="250"/>
      <c r="BH659" s="250"/>
      <c r="BI659" s="250"/>
      <c r="BJ659" s="250"/>
    </row>
    <row r="660" spans="2:62" ht="15.75" customHeight="1">
      <c r="B660" s="7"/>
      <c r="C660" s="339"/>
      <c r="D660" s="339"/>
      <c r="E660" s="339"/>
      <c r="F660" s="339"/>
      <c r="G660" s="339"/>
      <c r="H660" s="339"/>
      <c r="I660" s="339"/>
      <c r="J660" s="339"/>
      <c r="K660" s="408"/>
      <c r="L660" s="408"/>
      <c r="M660" s="339"/>
      <c r="N660" s="406"/>
      <c r="O660" s="406"/>
      <c r="P660" s="339"/>
      <c r="Q660" s="406"/>
      <c r="R660" s="408"/>
      <c r="S660" s="339"/>
      <c r="T660" s="339"/>
      <c r="U660" s="339"/>
      <c r="V660" s="339"/>
      <c r="W660" s="339"/>
      <c r="X660" s="339"/>
      <c r="Y660" s="250"/>
      <c r="Z660" s="250"/>
      <c r="AA660" s="250"/>
      <c r="AB660" s="250"/>
      <c r="AC660" s="250"/>
      <c r="AD660" s="250"/>
      <c r="AE660" s="250"/>
      <c r="AF660" s="250"/>
      <c r="AG660" s="250"/>
      <c r="AH660" s="250"/>
      <c r="AI660" s="250"/>
      <c r="AJ660" s="250"/>
      <c r="AK660" s="250"/>
      <c r="AL660" s="250"/>
      <c r="AM660" s="250"/>
      <c r="AN660" s="250"/>
      <c r="AO660" s="250"/>
      <c r="AP660" s="250"/>
      <c r="AQ660" s="250"/>
      <c r="AR660" s="250"/>
      <c r="AS660" s="250"/>
      <c r="AT660" s="250"/>
      <c r="AU660" s="250"/>
      <c r="AV660" s="250"/>
      <c r="AW660" s="250"/>
      <c r="AX660" s="250"/>
      <c r="AY660" s="250"/>
      <c r="AZ660" s="250"/>
      <c r="BA660" s="250"/>
      <c r="BB660" s="250"/>
      <c r="BC660" s="250"/>
      <c r="BD660" s="250"/>
      <c r="BE660" s="250"/>
      <c r="BF660" s="250"/>
      <c r="BG660" s="250"/>
      <c r="BH660" s="250"/>
      <c r="BI660" s="250"/>
      <c r="BJ660" s="250"/>
    </row>
    <row r="661" spans="2:62" ht="15.75" customHeight="1">
      <c r="B661" s="7"/>
      <c r="C661" s="339"/>
      <c r="D661" s="339"/>
      <c r="E661" s="339"/>
      <c r="F661" s="339"/>
      <c r="G661" s="339"/>
      <c r="H661" s="339"/>
      <c r="I661" s="339"/>
      <c r="J661" s="339"/>
      <c r="K661" s="406"/>
      <c r="L661" s="406"/>
      <c r="M661" s="339"/>
      <c r="N661" s="406"/>
      <c r="O661" s="406"/>
      <c r="P661" s="339"/>
      <c r="Q661" s="406"/>
      <c r="R661" s="406"/>
      <c r="S661" s="339"/>
      <c r="T661" s="339"/>
      <c r="U661" s="339"/>
      <c r="V661" s="339"/>
      <c r="W661" s="339"/>
      <c r="X661" s="339"/>
      <c r="Y661" s="250"/>
      <c r="Z661" s="250"/>
      <c r="AA661" s="250"/>
      <c r="AB661" s="250"/>
      <c r="AC661" s="250"/>
      <c r="AD661" s="250"/>
      <c r="AE661" s="250"/>
      <c r="AF661" s="250"/>
      <c r="AG661" s="250"/>
      <c r="AH661" s="250"/>
      <c r="AI661" s="250"/>
      <c r="AJ661" s="250"/>
      <c r="AK661" s="250"/>
      <c r="AL661" s="250"/>
      <c r="AM661" s="250"/>
      <c r="AN661" s="250"/>
      <c r="AO661" s="250"/>
      <c r="AP661" s="250"/>
      <c r="AQ661" s="250"/>
      <c r="AR661" s="250"/>
      <c r="AS661" s="250"/>
      <c r="AT661" s="250"/>
      <c r="AU661" s="250"/>
      <c r="AV661" s="250"/>
      <c r="AW661" s="250"/>
      <c r="AX661" s="250"/>
      <c r="AY661" s="250"/>
      <c r="AZ661" s="250"/>
      <c r="BA661" s="250"/>
      <c r="BB661" s="250"/>
      <c r="BC661" s="250"/>
      <c r="BD661" s="250"/>
      <c r="BE661" s="250"/>
      <c r="BF661" s="250"/>
      <c r="BG661" s="250"/>
      <c r="BH661" s="250"/>
      <c r="BI661" s="250"/>
      <c r="BJ661" s="250"/>
    </row>
    <row r="662" spans="2:62" ht="15.75" customHeight="1">
      <c r="B662" s="7"/>
      <c r="C662" s="339"/>
      <c r="D662" s="339"/>
      <c r="E662" s="339"/>
      <c r="F662" s="339"/>
      <c r="G662" s="339"/>
      <c r="H662" s="339"/>
      <c r="I662" s="339"/>
      <c r="J662" s="339"/>
      <c r="K662" s="406"/>
      <c r="L662" s="406"/>
      <c r="M662" s="339"/>
      <c r="N662" s="406"/>
      <c r="O662" s="406"/>
      <c r="P662" s="339"/>
      <c r="Q662" s="406"/>
      <c r="R662" s="406"/>
      <c r="S662" s="339"/>
      <c r="T662" s="339"/>
      <c r="U662" s="339"/>
      <c r="V662" s="339"/>
      <c r="W662" s="339"/>
      <c r="X662" s="339"/>
      <c r="Y662" s="250"/>
      <c r="Z662" s="250"/>
      <c r="AA662" s="250"/>
      <c r="AB662" s="250"/>
      <c r="AC662" s="250"/>
      <c r="AD662" s="250"/>
      <c r="AE662" s="250"/>
      <c r="AF662" s="250"/>
      <c r="AG662" s="250"/>
      <c r="AH662" s="250"/>
      <c r="AI662" s="250"/>
      <c r="AJ662" s="250"/>
      <c r="AK662" s="250"/>
      <c r="AL662" s="250"/>
      <c r="AM662" s="250"/>
      <c r="AN662" s="250"/>
      <c r="AO662" s="250"/>
      <c r="AP662" s="250"/>
      <c r="AQ662" s="250"/>
      <c r="AR662" s="250"/>
      <c r="AS662" s="250"/>
      <c r="AT662" s="250"/>
      <c r="AU662" s="250"/>
      <c r="AV662" s="250"/>
      <c r="AW662" s="250"/>
      <c r="AX662" s="250"/>
      <c r="AY662" s="250"/>
      <c r="AZ662" s="250"/>
      <c r="BA662" s="250"/>
      <c r="BB662" s="250"/>
      <c r="BC662" s="250"/>
      <c r="BD662" s="250"/>
      <c r="BE662" s="250"/>
      <c r="BF662" s="250"/>
      <c r="BG662" s="250"/>
      <c r="BH662" s="250"/>
      <c r="BI662" s="250"/>
      <c r="BJ662" s="250"/>
    </row>
    <row r="663" spans="2:62" ht="15.75" customHeight="1">
      <c r="B663" s="7"/>
      <c r="C663" s="339"/>
      <c r="D663" s="339"/>
      <c r="E663" s="339"/>
      <c r="F663" s="339"/>
      <c r="G663" s="339"/>
      <c r="H663" s="339"/>
      <c r="I663" s="339"/>
      <c r="J663" s="339"/>
      <c r="K663" s="406"/>
      <c r="L663" s="406"/>
      <c r="M663" s="339"/>
      <c r="N663" s="406"/>
      <c r="O663" s="406"/>
      <c r="P663" s="339"/>
      <c r="Q663" s="406"/>
      <c r="R663" s="406"/>
      <c r="S663" s="339"/>
      <c r="T663" s="339"/>
      <c r="U663" s="339"/>
      <c r="V663" s="339"/>
      <c r="W663" s="339"/>
      <c r="X663" s="339"/>
      <c r="Y663" s="250"/>
      <c r="Z663" s="250"/>
      <c r="AA663" s="250"/>
      <c r="AB663" s="250"/>
      <c r="AC663" s="250"/>
      <c r="AD663" s="250"/>
      <c r="AE663" s="250"/>
      <c r="AF663" s="250"/>
      <c r="AG663" s="250"/>
      <c r="AH663" s="250"/>
      <c r="AI663" s="250"/>
      <c r="AJ663" s="250"/>
      <c r="AK663" s="250"/>
      <c r="AL663" s="250"/>
      <c r="AM663" s="250"/>
      <c r="AN663" s="250"/>
      <c r="AO663" s="250"/>
      <c r="AP663" s="250"/>
      <c r="AQ663" s="250"/>
      <c r="AR663" s="250"/>
      <c r="AS663" s="250"/>
      <c r="AT663" s="250"/>
      <c r="AU663" s="250"/>
      <c r="AV663" s="250"/>
      <c r="AW663" s="250"/>
      <c r="AX663" s="250"/>
      <c r="AY663" s="250"/>
      <c r="AZ663" s="250"/>
      <c r="BA663" s="250"/>
      <c r="BB663" s="250"/>
      <c r="BC663" s="250"/>
      <c r="BD663" s="250"/>
      <c r="BE663" s="250"/>
      <c r="BF663" s="250"/>
      <c r="BG663" s="250"/>
      <c r="BH663" s="250"/>
      <c r="BI663" s="250"/>
      <c r="BJ663" s="250"/>
    </row>
    <row r="664" spans="2:62" ht="15.75" customHeight="1">
      <c r="B664" s="7"/>
      <c r="C664" s="339"/>
      <c r="D664" s="339"/>
      <c r="E664" s="339"/>
      <c r="F664" s="339"/>
      <c r="G664" s="339"/>
      <c r="H664" s="339"/>
      <c r="I664" s="339"/>
      <c r="J664" s="339"/>
      <c r="K664" s="406"/>
      <c r="L664" s="406"/>
      <c r="M664" s="339"/>
      <c r="N664" s="406"/>
      <c r="O664" s="406"/>
      <c r="P664" s="339"/>
      <c r="Q664" s="406"/>
      <c r="R664" s="406"/>
      <c r="S664" s="339"/>
      <c r="T664" s="339"/>
      <c r="U664" s="339"/>
      <c r="V664" s="339"/>
      <c r="W664" s="339"/>
      <c r="X664" s="339"/>
      <c r="Y664" s="250"/>
      <c r="Z664" s="250"/>
      <c r="AA664" s="250"/>
      <c r="AB664" s="250"/>
      <c r="AC664" s="250"/>
      <c r="AD664" s="250"/>
      <c r="AE664" s="250"/>
      <c r="AF664" s="250"/>
      <c r="AG664" s="250"/>
      <c r="AH664" s="250"/>
      <c r="AI664" s="250"/>
      <c r="AJ664" s="250"/>
      <c r="AK664" s="250"/>
      <c r="AL664" s="250"/>
      <c r="AM664" s="250"/>
      <c r="AN664" s="250"/>
      <c r="AO664" s="250"/>
      <c r="AP664" s="250"/>
      <c r="AQ664" s="250"/>
      <c r="AR664" s="250"/>
      <c r="AS664" s="250"/>
      <c r="AT664" s="250"/>
      <c r="AU664" s="250"/>
      <c r="AV664" s="250"/>
      <c r="AW664" s="250"/>
      <c r="AX664" s="250"/>
      <c r="AY664" s="250"/>
      <c r="AZ664" s="250"/>
      <c r="BA664" s="250"/>
      <c r="BB664" s="250"/>
      <c r="BC664" s="250"/>
      <c r="BD664" s="250"/>
      <c r="BE664" s="250"/>
      <c r="BF664" s="250"/>
      <c r="BG664" s="250"/>
      <c r="BH664" s="250"/>
      <c r="BI664" s="250"/>
      <c r="BJ664" s="250"/>
    </row>
    <row r="665" spans="2:62" ht="15.75" customHeight="1">
      <c r="B665" s="7"/>
      <c r="C665" s="339"/>
      <c r="D665" s="339"/>
      <c r="E665" s="339"/>
      <c r="F665" s="339"/>
      <c r="G665" s="339"/>
      <c r="H665" s="339"/>
      <c r="I665" s="339"/>
      <c r="J665" s="339"/>
      <c r="K665" s="406"/>
      <c r="L665" s="406"/>
      <c r="M665" s="339"/>
      <c r="N665" s="406"/>
      <c r="O665" s="406"/>
      <c r="P665" s="339"/>
      <c r="Q665" s="406"/>
      <c r="R665" s="406"/>
      <c r="S665" s="339"/>
      <c r="T665" s="339"/>
      <c r="U665" s="339"/>
      <c r="V665" s="339"/>
      <c r="W665" s="339"/>
      <c r="X665" s="339"/>
      <c r="Y665" s="250"/>
      <c r="Z665" s="250"/>
      <c r="AA665" s="250"/>
      <c r="AB665" s="250"/>
      <c r="AC665" s="250"/>
      <c r="AD665" s="250"/>
      <c r="AE665" s="250"/>
      <c r="AF665" s="250"/>
      <c r="AG665" s="250"/>
      <c r="AH665" s="250"/>
      <c r="AI665" s="250"/>
      <c r="AJ665" s="250"/>
      <c r="AK665" s="250"/>
      <c r="AL665" s="250"/>
      <c r="AM665" s="250"/>
      <c r="AN665" s="250"/>
      <c r="AO665" s="250"/>
      <c r="AP665" s="250"/>
      <c r="AQ665" s="250"/>
      <c r="AR665" s="250"/>
      <c r="AS665" s="250"/>
      <c r="AT665" s="250"/>
      <c r="AU665" s="250"/>
      <c r="AV665" s="250"/>
      <c r="AW665" s="250"/>
      <c r="AX665" s="250"/>
      <c r="AY665" s="250"/>
      <c r="AZ665" s="250"/>
      <c r="BA665" s="250"/>
      <c r="BB665" s="250"/>
      <c r="BC665" s="250"/>
      <c r="BD665" s="250"/>
      <c r="BE665" s="250"/>
      <c r="BF665" s="250"/>
      <c r="BG665" s="250"/>
      <c r="BH665" s="250"/>
      <c r="BI665" s="250"/>
      <c r="BJ665" s="250"/>
    </row>
    <row r="666" spans="2:62" ht="15.75" customHeight="1">
      <c r="B666" s="7"/>
      <c r="C666" s="339"/>
      <c r="D666" s="339"/>
      <c r="E666" s="339"/>
      <c r="F666" s="339"/>
      <c r="G666" s="339"/>
      <c r="H666" s="339"/>
      <c r="I666" s="339"/>
      <c r="J666" s="339"/>
      <c r="K666" s="406"/>
      <c r="L666" s="406"/>
      <c r="M666" s="339"/>
      <c r="N666" s="406"/>
      <c r="O666" s="406"/>
      <c r="P666" s="339"/>
      <c r="Q666" s="406"/>
      <c r="R666" s="406"/>
      <c r="S666" s="339"/>
      <c r="T666" s="339"/>
      <c r="U666" s="339"/>
      <c r="V666" s="339"/>
      <c r="W666" s="339"/>
      <c r="X666" s="339"/>
      <c r="Y666" s="250"/>
      <c r="Z666" s="250"/>
      <c r="AA666" s="250"/>
      <c r="AB666" s="250"/>
      <c r="AC666" s="250"/>
      <c r="AD666" s="250"/>
      <c r="AE666" s="250"/>
      <c r="AF666" s="250"/>
      <c r="AG666" s="250"/>
      <c r="AH666" s="250"/>
      <c r="AI666" s="250"/>
      <c r="AJ666" s="250"/>
      <c r="AK666" s="250"/>
      <c r="AL666" s="250"/>
      <c r="AM666" s="250"/>
      <c r="AN666" s="250"/>
      <c r="AO666" s="250"/>
      <c r="AP666" s="250"/>
      <c r="AQ666" s="250"/>
      <c r="AR666" s="250"/>
      <c r="AS666" s="250"/>
      <c r="AT666" s="250"/>
      <c r="AU666" s="250"/>
      <c r="AV666" s="250"/>
      <c r="AW666" s="250"/>
      <c r="AX666" s="250"/>
      <c r="AY666" s="250"/>
      <c r="AZ666" s="250"/>
      <c r="BA666" s="250"/>
      <c r="BB666" s="250"/>
      <c r="BC666" s="250"/>
      <c r="BD666" s="250"/>
      <c r="BE666" s="250"/>
      <c r="BF666" s="250"/>
      <c r="BG666" s="250"/>
      <c r="BH666" s="250"/>
      <c r="BI666" s="250"/>
      <c r="BJ666" s="250"/>
    </row>
    <row r="667" spans="2:62" ht="15.75" customHeight="1">
      <c r="B667" s="7"/>
      <c r="C667" s="339"/>
      <c r="D667" s="339"/>
      <c r="E667" s="339"/>
      <c r="F667" s="339"/>
      <c r="G667" s="339"/>
      <c r="H667" s="339"/>
      <c r="I667" s="339"/>
      <c r="J667" s="339"/>
      <c r="K667" s="406"/>
      <c r="L667" s="406"/>
      <c r="M667" s="339"/>
      <c r="N667" s="406"/>
      <c r="O667" s="406"/>
      <c r="P667" s="339"/>
      <c r="Q667" s="406"/>
      <c r="R667" s="406"/>
      <c r="S667" s="339"/>
      <c r="T667" s="339"/>
      <c r="U667" s="339"/>
      <c r="V667" s="339"/>
      <c r="W667" s="339"/>
      <c r="X667" s="339"/>
      <c r="Y667" s="250"/>
      <c r="Z667" s="250"/>
      <c r="AA667" s="250"/>
      <c r="AB667" s="250"/>
      <c r="AC667" s="250"/>
      <c r="AD667" s="250"/>
      <c r="AE667" s="250"/>
      <c r="AF667" s="250"/>
      <c r="AG667" s="250"/>
      <c r="AH667" s="250"/>
      <c r="AI667" s="250"/>
      <c r="AJ667" s="250"/>
      <c r="AK667" s="250"/>
      <c r="AL667" s="250"/>
      <c r="AM667" s="250"/>
      <c r="AN667" s="250"/>
      <c r="AO667" s="250"/>
      <c r="AP667" s="250"/>
      <c r="AQ667" s="250"/>
      <c r="AR667" s="250"/>
      <c r="AS667" s="250"/>
      <c r="AT667" s="250"/>
      <c r="AU667" s="250"/>
      <c r="AV667" s="250"/>
      <c r="AW667" s="250"/>
      <c r="AX667" s="250"/>
      <c r="AY667" s="250"/>
      <c r="AZ667" s="250"/>
      <c r="BA667" s="250"/>
      <c r="BB667" s="250"/>
      <c r="BC667" s="250"/>
      <c r="BD667" s="250"/>
      <c r="BE667" s="250"/>
      <c r="BF667" s="250"/>
      <c r="BG667" s="250"/>
      <c r="BH667" s="250"/>
      <c r="BI667" s="250"/>
      <c r="BJ667" s="250"/>
    </row>
    <row r="668" spans="2:62" ht="15.75" customHeight="1">
      <c r="B668" s="7"/>
      <c r="C668" s="339"/>
      <c r="D668" s="339"/>
      <c r="E668" s="339"/>
      <c r="F668" s="339"/>
      <c r="G668" s="339"/>
      <c r="H668" s="339"/>
      <c r="I668" s="339"/>
      <c r="J668" s="339"/>
      <c r="K668" s="406"/>
      <c r="L668" s="406"/>
      <c r="M668" s="339"/>
      <c r="N668" s="406"/>
      <c r="O668" s="406"/>
      <c r="P668" s="339"/>
      <c r="Q668" s="406"/>
      <c r="R668" s="406"/>
      <c r="S668" s="339"/>
      <c r="T668" s="339"/>
      <c r="U668" s="339"/>
      <c r="V668" s="339"/>
      <c r="W668" s="339"/>
      <c r="X668" s="339"/>
      <c r="Y668" s="250"/>
      <c r="Z668" s="250"/>
      <c r="AA668" s="250"/>
      <c r="AB668" s="250"/>
      <c r="AC668" s="250"/>
      <c r="AD668" s="250"/>
      <c r="AE668" s="250"/>
      <c r="AF668" s="250"/>
      <c r="AG668" s="250"/>
      <c r="AH668" s="250"/>
      <c r="AI668" s="250"/>
      <c r="AJ668" s="250"/>
      <c r="AK668" s="250"/>
      <c r="AL668" s="250"/>
      <c r="AM668" s="250"/>
      <c r="AN668" s="250"/>
      <c r="AO668" s="250"/>
      <c r="AP668" s="250"/>
      <c r="AQ668" s="250"/>
      <c r="AR668" s="250"/>
      <c r="AS668" s="250"/>
      <c r="AT668" s="250"/>
      <c r="AU668" s="250"/>
      <c r="AV668" s="250"/>
      <c r="AW668" s="250"/>
      <c r="AX668" s="250"/>
      <c r="AY668" s="250"/>
      <c r="AZ668" s="250"/>
      <c r="BA668" s="250"/>
      <c r="BB668" s="250"/>
      <c r="BC668" s="250"/>
      <c r="BD668" s="250"/>
      <c r="BE668" s="250"/>
      <c r="BF668" s="250"/>
      <c r="BG668" s="250"/>
      <c r="BH668" s="250"/>
      <c r="BI668" s="250"/>
      <c r="BJ668" s="250"/>
    </row>
    <row r="669" spans="2:62" ht="15.75" customHeight="1">
      <c r="B669" s="7"/>
      <c r="C669" s="339"/>
      <c r="D669" s="339"/>
      <c r="E669" s="339"/>
      <c r="F669" s="339"/>
      <c r="G669" s="339"/>
      <c r="H669" s="339"/>
      <c r="I669" s="339"/>
      <c r="J669" s="339"/>
      <c r="K669" s="406"/>
      <c r="L669" s="406"/>
      <c r="M669" s="339"/>
      <c r="N669" s="408"/>
      <c r="O669" s="408"/>
      <c r="P669" s="339"/>
      <c r="Q669" s="408"/>
      <c r="R669" s="406"/>
      <c r="S669" s="339"/>
      <c r="T669" s="339"/>
      <c r="U669" s="339"/>
      <c r="V669" s="339"/>
      <c r="W669" s="339"/>
      <c r="X669" s="339"/>
      <c r="Y669" s="250"/>
      <c r="Z669" s="250"/>
      <c r="AA669" s="250"/>
      <c r="AB669" s="250"/>
      <c r="AC669" s="250"/>
      <c r="AD669" s="250"/>
      <c r="AE669" s="250"/>
      <c r="AF669" s="250"/>
      <c r="AG669" s="250"/>
      <c r="AH669" s="250"/>
      <c r="AI669" s="250"/>
      <c r="AJ669" s="250"/>
      <c r="AK669" s="250"/>
      <c r="AL669" s="250"/>
      <c r="AM669" s="250"/>
      <c r="AN669" s="250"/>
      <c r="AO669" s="250"/>
      <c r="AP669" s="250"/>
      <c r="AQ669" s="250"/>
      <c r="AR669" s="250"/>
      <c r="AS669" s="250"/>
      <c r="AT669" s="250"/>
      <c r="AU669" s="250"/>
      <c r="AV669" s="250"/>
      <c r="AW669" s="250"/>
      <c r="AX669" s="250"/>
      <c r="AY669" s="250"/>
      <c r="AZ669" s="250"/>
      <c r="BA669" s="250"/>
      <c r="BB669" s="250"/>
      <c r="BC669" s="250"/>
      <c r="BD669" s="250"/>
      <c r="BE669" s="250"/>
      <c r="BF669" s="250"/>
      <c r="BG669" s="250"/>
      <c r="BH669" s="250"/>
      <c r="BI669" s="250"/>
      <c r="BJ669" s="250"/>
    </row>
    <row r="670" spans="2:62" ht="15.75" customHeight="1">
      <c r="B670" s="7"/>
      <c r="C670" s="339"/>
      <c r="D670" s="339"/>
      <c r="E670" s="339"/>
      <c r="F670" s="339"/>
      <c r="G670" s="339"/>
      <c r="H670" s="339"/>
      <c r="I670" s="339"/>
      <c r="J670" s="339"/>
      <c r="K670" s="408"/>
      <c r="L670" s="408"/>
      <c r="M670" s="339"/>
      <c r="N670" s="406"/>
      <c r="O670" s="406"/>
      <c r="P670" s="339"/>
      <c r="Q670" s="406"/>
      <c r="R670" s="408"/>
      <c r="S670" s="339"/>
      <c r="T670" s="339"/>
      <c r="U670" s="339"/>
      <c r="V670" s="339"/>
      <c r="W670" s="339"/>
      <c r="X670" s="339"/>
      <c r="Y670" s="250"/>
      <c r="Z670" s="250"/>
      <c r="AA670" s="250"/>
      <c r="AB670" s="250"/>
      <c r="AC670" s="250"/>
      <c r="AD670" s="250"/>
      <c r="AE670" s="250"/>
      <c r="AF670" s="250"/>
      <c r="AG670" s="250"/>
      <c r="AH670" s="250"/>
      <c r="AI670" s="250"/>
      <c r="AJ670" s="250"/>
      <c r="AK670" s="250"/>
      <c r="AL670" s="250"/>
      <c r="AM670" s="250"/>
      <c r="AN670" s="250"/>
      <c r="AO670" s="250"/>
      <c r="AP670" s="250"/>
      <c r="AQ670" s="250"/>
      <c r="AR670" s="250"/>
      <c r="AS670" s="250"/>
      <c r="AT670" s="250"/>
      <c r="AU670" s="250"/>
      <c r="AV670" s="250"/>
      <c r="AW670" s="250"/>
      <c r="AX670" s="250"/>
      <c r="AY670" s="250"/>
      <c r="AZ670" s="250"/>
      <c r="BA670" s="250"/>
      <c r="BB670" s="250"/>
      <c r="BC670" s="250"/>
      <c r="BD670" s="250"/>
      <c r="BE670" s="250"/>
      <c r="BF670" s="250"/>
      <c r="BG670" s="250"/>
      <c r="BH670" s="250"/>
      <c r="BI670" s="250"/>
      <c r="BJ670" s="250"/>
    </row>
    <row r="671" spans="2:62" ht="15.75" customHeight="1">
      <c r="B671" s="7"/>
      <c r="C671" s="339"/>
      <c r="D671" s="339"/>
      <c r="E671" s="339"/>
      <c r="F671" s="339"/>
      <c r="G671" s="339"/>
      <c r="H671" s="339"/>
      <c r="I671" s="339"/>
      <c r="J671" s="339"/>
      <c r="K671" s="406"/>
      <c r="L671" s="406"/>
      <c r="M671" s="339"/>
      <c r="N671" s="406"/>
      <c r="O671" s="406"/>
      <c r="P671" s="339"/>
      <c r="Q671" s="406"/>
      <c r="R671" s="406"/>
      <c r="S671" s="339"/>
      <c r="T671" s="339"/>
      <c r="U671" s="339"/>
      <c r="V671" s="339"/>
      <c r="W671" s="339"/>
      <c r="X671" s="339"/>
      <c r="Y671" s="250"/>
      <c r="Z671" s="250"/>
      <c r="AA671" s="250"/>
      <c r="AB671" s="250"/>
      <c r="AC671" s="250"/>
      <c r="AD671" s="250"/>
      <c r="AE671" s="250"/>
      <c r="AF671" s="250"/>
      <c r="AG671" s="250"/>
      <c r="AH671" s="250"/>
      <c r="AI671" s="250"/>
      <c r="AJ671" s="250"/>
      <c r="AK671" s="250"/>
      <c r="AL671" s="250"/>
      <c r="AM671" s="250"/>
      <c r="AN671" s="250"/>
      <c r="AO671" s="250"/>
      <c r="AP671" s="250"/>
      <c r="AQ671" s="250"/>
      <c r="AR671" s="250"/>
      <c r="AS671" s="250"/>
      <c r="AT671" s="250"/>
      <c r="AU671" s="250"/>
      <c r="AV671" s="250"/>
      <c r="AW671" s="250"/>
      <c r="AX671" s="250"/>
      <c r="AY671" s="250"/>
      <c r="AZ671" s="250"/>
      <c r="BA671" s="250"/>
      <c r="BB671" s="250"/>
      <c r="BC671" s="250"/>
      <c r="BD671" s="250"/>
      <c r="BE671" s="250"/>
      <c r="BF671" s="250"/>
      <c r="BG671" s="250"/>
      <c r="BH671" s="250"/>
      <c r="BI671" s="250"/>
      <c r="BJ671" s="250"/>
    </row>
    <row r="672" spans="2:62" ht="15.75" customHeight="1">
      <c r="B672" s="7"/>
      <c r="C672" s="339"/>
      <c r="D672" s="339"/>
      <c r="E672" s="339"/>
      <c r="F672" s="339"/>
      <c r="G672" s="339"/>
      <c r="H672" s="339"/>
      <c r="I672" s="339"/>
      <c r="J672" s="339"/>
      <c r="K672" s="406"/>
      <c r="L672" s="406"/>
      <c r="M672" s="339"/>
      <c r="N672" s="406"/>
      <c r="O672" s="406"/>
      <c r="P672" s="339"/>
      <c r="Q672" s="406"/>
      <c r="R672" s="406"/>
      <c r="S672" s="339"/>
      <c r="T672" s="339"/>
      <c r="U672" s="339"/>
      <c r="V672" s="339"/>
      <c r="W672" s="339"/>
      <c r="X672" s="339"/>
      <c r="Y672" s="250"/>
      <c r="Z672" s="250"/>
      <c r="AA672" s="250"/>
      <c r="AB672" s="250"/>
      <c r="AC672" s="250"/>
      <c r="AD672" s="250"/>
      <c r="AE672" s="250"/>
      <c r="AF672" s="250"/>
      <c r="AG672" s="250"/>
      <c r="AH672" s="250"/>
      <c r="AI672" s="250"/>
      <c r="AJ672" s="250"/>
      <c r="AK672" s="250"/>
      <c r="AL672" s="250"/>
      <c r="AM672" s="250"/>
      <c r="AN672" s="250"/>
      <c r="AO672" s="250"/>
      <c r="AP672" s="250"/>
      <c r="AQ672" s="250"/>
      <c r="AR672" s="250"/>
      <c r="AS672" s="250"/>
      <c r="AT672" s="250"/>
      <c r="AU672" s="250"/>
      <c r="AV672" s="250"/>
      <c r="AW672" s="250"/>
      <c r="AX672" s="250"/>
      <c r="AY672" s="250"/>
      <c r="AZ672" s="250"/>
      <c r="BA672" s="250"/>
      <c r="BB672" s="250"/>
      <c r="BC672" s="250"/>
      <c r="BD672" s="250"/>
      <c r="BE672" s="250"/>
      <c r="BF672" s="250"/>
      <c r="BG672" s="250"/>
      <c r="BH672" s="250"/>
      <c r="BI672" s="250"/>
      <c r="BJ672" s="250"/>
    </row>
    <row r="673" spans="2:62" ht="15.75" customHeight="1">
      <c r="B673" s="7"/>
      <c r="C673" s="339"/>
      <c r="D673" s="339"/>
      <c r="E673" s="339"/>
      <c r="F673" s="339"/>
      <c r="G673" s="339"/>
      <c r="H673" s="339"/>
      <c r="I673" s="339"/>
      <c r="J673" s="339"/>
      <c r="K673" s="406"/>
      <c r="L673" s="406"/>
      <c r="M673" s="339"/>
      <c r="N673" s="406"/>
      <c r="O673" s="406"/>
      <c r="P673" s="339"/>
      <c r="Q673" s="406"/>
      <c r="R673" s="406"/>
      <c r="S673" s="339"/>
      <c r="T673" s="339"/>
      <c r="U673" s="339"/>
      <c r="V673" s="339"/>
      <c r="W673" s="339"/>
      <c r="X673" s="339"/>
      <c r="Y673" s="250"/>
      <c r="Z673" s="250"/>
      <c r="AA673" s="250"/>
      <c r="AB673" s="250"/>
      <c r="AC673" s="250"/>
      <c r="AD673" s="250"/>
      <c r="AE673" s="250"/>
      <c r="AF673" s="250"/>
      <c r="AG673" s="250"/>
      <c r="AH673" s="250"/>
      <c r="AI673" s="250"/>
      <c r="AJ673" s="250"/>
      <c r="AK673" s="250"/>
      <c r="AL673" s="250"/>
      <c r="AM673" s="250"/>
      <c r="AN673" s="250"/>
      <c r="AO673" s="250"/>
      <c r="AP673" s="250"/>
      <c r="AQ673" s="250"/>
      <c r="AR673" s="250"/>
      <c r="AS673" s="250"/>
      <c r="AT673" s="250"/>
      <c r="AU673" s="250"/>
      <c r="AV673" s="250"/>
      <c r="AW673" s="250"/>
      <c r="AX673" s="250"/>
      <c r="AY673" s="250"/>
      <c r="AZ673" s="250"/>
      <c r="BA673" s="250"/>
      <c r="BB673" s="250"/>
      <c r="BC673" s="250"/>
      <c r="BD673" s="250"/>
      <c r="BE673" s="250"/>
      <c r="BF673" s="250"/>
      <c r="BG673" s="250"/>
      <c r="BH673" s="250"/>
      <c r="BI673" s="250"/>
      <c r="BJ673" s="250"/>
    </row>
    <row r="674" spans="2:62" ht="15.75" customHeight="1">
      <c r="B674" s="7"/>
      <c r="C674" s="339"/>
      <c r="D674" s="339"/>
      <c r="E674" s="339"/>
      <c r="F674" s="339"/>
      <c r="G674" s="339"/>
      <c r="H674" s="339"/>
      <c r="I674" s="339"/>
      <c r="J674" s="339"/>
      <c r="K674" s="406"/>
      <c r="L674" s="406"/>
      <c r="M674" s="339"/>
      <c r="N674" s="406"/>
      <c r="O674" s="406"/>
      <c r="P674" s="339"/>
      <c r="Q674" s="406"/>
      <c r="R674" s="406"/>
      <c r="S674" s="339"/>
      <c r="T674" s="339"/>
      <c r="U674" s="339"/>
      <c r="V674" s="339"/>
      <c r="W674" s="339"/>
      <c r="X674" s="339"/>
      <c r="Y674" s="250"/>
      <c r="Z674" s="250"/>
      <c r="AA674" s="250"/>
      <c r="AB674" s="250"/>
      <c r="AC674" s="250"/>
      <c r="AD674" s="250"/>
      <c r="AE674" s="250"/>
      <c r="AF674" s="250"/>
      <c r="AG674" s="250"/>
      <c r="AH674" s="250"/>
      <c r="AI674" s="250"/>
      <c r="AJ674" s="250"/>
      <c r="AK674" s="250"/>
      <c r="AL674" s="250"/>
      <c r="AM674" s="250"/>
      <c r="AN674" s="250"/>
      <c r="AO674" s="250"/>
      <c r="AP674" s="250"/>
      <c r="AQ674" s="250"/>
      <c r="AR674" s="250"/>
      <c r="AS674" s="250"/>
      <c r="AT674" s="250"/>
      <c r="AU674" s="250"/>
      <c r="AV674" s="250"/>
      <c r="AW674" s="250"/>
      <c r="AX674" s="250"/>
      <c r="AY674" s="250"/>
      <c r="AZ674" s="250"/>
      <c r="BA674" s="250"/>
      <c r="BB674" s="250"/>
      <c r="BC674" s="250"/>
      <c r="BD674" s="250"/>
      <c r="BE674" s="250"/>
      <c r="BF674" s="250"/>
      <c r="BG674" s="250"/>
      <c r="BH674" s="250"/>
      <c r="BI674" s="250"/>
      <c r="BJ674" s="250"/>
    </row>
    <row r="675" spans="2:62" ht="15.75" customHeight="1">
      <c r="B675" s="7"/>
      <c r="C675" s="339"/>
      <c r="D675" s="339"/>
      <c r="E675" s="339"/>
      <c r="F675" s="339"/>
      <c r="G675" s="339"/>
      <c r="H675" s="339"/>
      <c r="I675" s="339"/>
      <c r="J675" s="339"/>
      <c r="K675" s="406"/>
      <c r="L675" s="406"/>
      <c r="M675" s="339"/>
      <c r="N675" s="406"/>
      <c r="O675" s="406"/>
      <c r="P675" s="339"/>
      <c r="Q675" s="406"/>
      <c r="R675" s="406"/>
      <c r="S675" s="339"/>
      <c r="T675" s="339"/>
      <c r="U675" s="339"/>
      <c r="V675" s="339"/>
      <c r="W675" s="339"/>
      <c r="X675" s="339"/>
      <c r="Y675" s="250"/>
      <c r="Z675" s="250"/>
      <c r="AA675" s="250"/>
      <c r="AB675" s="250"/>
      <c r="AC675" s="250"/>
      <c r="AD675" s="250"/>
      <c r="AE675" s="250"/>
      <c r="AF675" s="250"/>
      <c r="AG675" s="250"/>
      <c r="AH675" s="250"/>
      <c r="AI675" s="250"/>
      <c r="AJ675" s="250"/>
      <c r="AK675" s="250"/>
      <c r="AL675" s="250"/>
      <c r="AM675" s="250"/>
      <c r="AN675" s="250"/>
      <c r="AO675" s="250"/>
      <c r="AP675" s="250"/>
      <c r="AQ675" s="250"/>
      <c r="AR675" s="250"/>
      <c r="AS675" s="250"/>
      <c r="AT675" s="250"/>
      <c r="AU675" s="250"/>
      <c r="AV675" s="250"/>
      <c r="AW675" s="250"/>
      <c r="AX675" s="250"/>
      <c r="AY675" s="250"/>
      <c r="AZ675" s="250"/>
      <c r="BA675" s="250"/>
      <c r="BB675" s="250"/>
      <c r="BC675" s="250"/>
      <c r="BD675" s="250"/>
      <c r="BE675" s="250"/>
      <c r="BF675" s="250"/>
      <c r="BG675" s="250"/>
      <c r="BH675" s="250"/>
      <c r="BI675" s="250"/>
      <c r="BJ675" s="250"/>
    </row>
    <row r="676" spans="2:62" ht="15.75" customHeight="1">
      <c r="B676" s="7"/>
      <c r="C676" s="339"/>
      <c r="D676" s="339"/>
      <c r="E676" s="339"/>
      <c r="F676" s="339"/>
      <c r="G676" s="339"/>
      <c r="H676" s="339"/>
      <c r="I676" s="339"/>
      <c r="J676" s="339"/>
      <c r="K676" s="406"/>
      <c r="L676" s="406"/>
      <c r="M676" s="339"/>
      <c r="N676" s="406"/>
      <c r="O676" s="406"/>
      <c r="P676" s="339"/>
      <c r="Q676" s="406"/>
      <c r="R676" s="406"/>
      <c r="S676" s="339"/>
      <c r="T676" s="339"/>
      <c r="U676" s="339"/>
      <c r="V676" s="339"/>
      <c r="W676" s="339"/>
      <c r="X676" s="339"/>
      <c r="Y676" s="250"/>
      <c r="Z676" s="250"/>
      <c r="AA676" s="250"/>
      <c r="AB676" s="250"/>
      <c r="AC676" s="250"/>
      <c r="AD676" s="250"/>
      <c r="AE676" s="250"/>
      <c r="AF676" s="250"/>
      <c r="AG676" s="250"/>
      <c r="AH676" s="250"/>
      <c r="AI676" s="250"/>
      <c r="AJ676" s="250"/>
      <c r="AK676" s="250"/>
      <c r="AL676" s="250"/>
      <c r="AM676" s="250"/>
      <c r="AN676" s="250"/>
      <c r="AO676" s="250"/>
      <c r="AP676" s="250"/>
      <c r="AQ676" s="250"/>
      <c r="AR676" s="250"/>
      <c r="AS676" s="250"/>
      <c r="AT676" s="250"/>
      <c r="AU676" s="250"/>
      <c r="AV676" s="250"/>
      <c r="AW676" s="250"/>
      <c r="AX676" s="250"/>
      <c r="AY676" s="250"/>
      <c r="AZ676" s="250"/>
      <c r="BA676" s="250"/>
      <c r="BB676" s="250"/>
      <c r="BC676" s="250"/>
      <c r="BD676" s="250"/>
      <c r="BE676" s="250"/>
      <c r="BF676" s="250"/>
      <c r="BG676" s="250"/>
      <c r="BH676" s="250"/>
      <c r="BI676" s="250"/>
      <c r="BJ676" s="250"/>
    </row>
    <row r="677" spans="2:62" ht="15.75" customHeight="1">
      <c r="B677" s="7"/>
      <c r="C677" s="339"/>
      <c r="D677" s="339"/>
      <c r="E677" s="339"/>
      <c r="F677" s="339"/>
      <c r="G677" s="339"/>
      <c r="H677" s="339"/>
      <c r="I677" s="339"/>
      <c r="J677" s="339"/>
      <c r="K677" s="406"/>
      <c r="L677" s="406"/>
      <c r="M677" s="339"/>
      <c r="N677" s="406"/>
      <c r="O677" s="406"/>
      <c r="P677" s="339"/>
      <c r="Q677" s="406"/>
      <c r="R677" s="406"/>
      <c r="S677" s="339"/>
      <c r="T677" s="339"/>
      <c r="U677" s="339"/>
      <c r="V677" s="339"/>
      <c r="W677" s="339"/>
      <c r="X677" s="339"/>
      <c r="Y677" s="250"/>
      <c r="Z677" s="250"/>
      <c r="AA677" s="250"/>
      <c r="AB677" s="250"/>
      <c r="AC677" s="250"/>
      <c r="AD677" s="250"/>
      <c r="AE677" s="250"/>
      <c r="AF677" s="250"/>
      <c r="AG677" s="250"/>
      <c r="AH677" s="250"/>
      <c r="AI677" s="250"/>
      <c r="AJ677" s="250"/>
      <c r="AK677" s="250"/>
      <c r="AL677" s="250"/>
      <c r="AM677" s="250"/>
      <c r="AN677" s="250"/>
      <c r="AO677" s="250"/>
      <c r="AP677" s="250"/>
      <c r="AQ677" s="250"/>
      <c r="AR677" s="250"/>
      <c r="AS677" s="250"/>
      <c r="AT677" s="250"/>
      <c r="AU677" s="250"/>
      <c r="AV677" s="250"/>
      <c r="AW677" s="250"/>
      <c r="AX677" s="250"/>
      <c r="AY677" s="250"/>
      <c r="AZ677" s="250"/>
      <c r="BA677" s="250"/>
      <c r="BB677" s="250"/>
      <c r="BC677" s="250"/>
      <c r="BD677" s="250"/>
      <c r="BE677" s="250"/>
      <c r="BF677" s="250"/>
      <c r="BG677" s="250"/>
      <c r="BH677" s="250"/>
      <c r="BI677" s="250"/>
      <c r="BJ677" s="250"/>
    </row>
    <row r="678" spans="2:62" ht="15.75" customHeight="1">
      <c r="B678" s="7"/>
      <c r="C678" s="339"/>
      <c r="D678" s="339"/>
      <c r="E678" s="339"/>
      <c r="F678" s="339"/>
      <c r="G678" s="339"/>
      <c r="H678" s="339"/>
      <c r="I678" s="339"/>
      <c r="J678" s="339"/>
      <c r="K678" s="406"/>
      <c r="L678" s="406"/>
      <c r="M678" s="339"/>
      <c r="N678" s="406"/>
      <c r="O678" s="406"/>
      <c r="P678" s="339"/>
      <c r="Q678" s="406"/>
      <c r="R678" s="406"/>
      <c r="S678" s="339"/>
      <c r="T678" s="339"/>
      <c r="U678" s="339"/>
      <c r="V678" s="339"/>
      <c r="W678" s="339"/>
      <c r="X678" s="339"/>
      <c r="Y678" s="250"/>
      <c r="Z678" s="250"/>
      <c r="AA678" s="250"/>
      <c r="AB678" s="250"/>
      <c r="AC678" s="250"/>
      <c r="AD678" s="250"/>
      <c r="AE678" s="250"/>
      <c r="AF678" s="250"/>
      <c r="AG678" s="250"/>
      <c r="AH678" s="250"/>
      <c r="AI678" s="250"/>
      <c r="AJ678" s="250"/>
      <c r="AK678" s="250"/>
      <c r="AL678" s="250"/>
      <c r="AM678" s="250"/>
      <c r="AN678" s="250"/>
      <c r="AO678" s="250"/>
      <c r="AP678" s="250"/>
      <c r="AQ678" s="250"/>
      <c r="AR678" s="250"/>
      <c r="AS678" s="250"/>
      <c r="AT678" s="250"/>
      <c r="AU678" s="250"/>
      <c r="AV678" s="250"/>
      <c r="AW678" s="250"/>
      <c r="AX678" s="250"/>
      <c r="AY678" s="250"/>
      <c r="AZ678" s="250"/>
      <c r="BA678" s="250"/>
      <c r="BB678" s="250"/>
      <c r="BC678" s="250"/>
      <c r="BD678" s="250"/>
      <c r="BE678" s="250"/>
      <c r="BF678" s="250"/>
      <c r="BG678" s="250"/>
      <c r="BH678" s="250"/>
      <c r="BI678" s="250"/>
      <c r="BJ678" s="250"/>
    </row>
    <row r="679" spans="2:62" ht="15.75" customHeight="1">
      <c r="B679" s="7"/>
      <c r="C679" s="339"/>
      <c r="D679" s="339"/>
      <c r="E679" s="339"/>
      <c r="F679" s="339"/>
      <c r="G679" s="339"/>
      <c r="H679" s="339"/>
      <c r="I679" s="339"/>
      <c r="J679" s="339"/>
      <c r="K679" s="406"/>
      <c r="L679" s="406"/>
      <c r="M679" s="339"/>
      <c r="N679" s="406"/>
      <c r="O679" s="406"/>
      <c r="P679" s="339"/>
      <c r="Q679" s="406"/>
      <c r="R679" s="406"/>
      <c r="S679" s="339"/>
      <c r="T679" s="339"/>
      <c r="U679" s="339"/>
      <c r="V679" s="339"/>
      <c r="W679" s="339"/>
      <c r="X679" s="339"/>
      <c r="Y679" s="250"/>
      <c r="Z679" s="250"/>
      <c r="AA679" s="250"/>
      <c r="AB679" s="250"/>
      <c r="AC679" s="250"/>
      <c r="AD679" s="250"/>
      <c r="AE679" s="250"/>
      <c r="AF679" s="250"/>
      <c r="AG679" s="250"/>
      <c r="AH679" s="250"/>
      <c r="AI679" s="250"/>
      <c r="AJ679" s="250"/>
      <c r="AK679" s="250"/>
      <c r="AL679" s="250"/>
      <c r="AM679" s="250"/>
      <c r="AN679" s="250"/>
      <c r="AO679" s="250"/>
      <c r="AP679" s="250"/>
      <c r="AQ679" s="250"/>
      <c r="AR679" s="250"/>
      <c r="AS679" s="250"/>
      <c r="AT679" s="250"/>
      <c r="AU679" s="250"/>
      <c r="AV679" s="250"/>
      <c r="AW679" s="250"/>
      <c r="AX679" s="250"/>
      <c r="AY679" s="250"/>
      <c r="AZ679" s="250"/>
      <c r="BA679" s="250"/>
      <c r="BB679" s="250"/>
      <c r="BC679" s="250"/>
      <c r="BD679" s="250"/>
      <c r="BE679" s="250"/>
      <c r="BF679" s="250"/>
      <c r="BG679" s="250"/>
      <c r="BH679" s="250"/>
      <c r="BI679" s="250"/>
      <c r="BJ679" s="250"/>
    </row>
    <row r="680" spans="2:62" ht="15.75" customHeight="1">
      <c r="B680" s="7"/>
      <c r="C680" s="339"/>
      <c r="D680" s="339"/>
      <c r="E680" s="339"/>
      <c r="F680" s="339"/>
      <c r="G680" s="339"/>
      <c r="H680" s="339"/>
      <c r="I680" s="339"/>
      <c r="J680" s="339"/>
      <c r="K680" s="406"/>
      <c r="L680" s="406"/>
      <c r="M680" s="339"/>
      <c r="N680" s="406"/>
      <c r="O680" s="406"/>
      <c r="P680" s="339"/>
      <c r="Q680" s="406"/>
      <c r="R680" s="406"/>
      <c r="S680" s="339"/>
      <c r="T680" s="339"/>
      <c r="U680" s="339"/>
      <c r="V680" s="339"/>
      <c r="W680" s="339"/>
      <c r="X680" s="339"/>
      <c r="Y680" s="250"/>
      <c r="Z680" s="250"/>
      <c r="AA680" s="250"/>
      <c r="AB680" s="250"/>
      <c r="AC680" s="250"/>
      <c r="AD680" s="250"/>
      <c r="AE680" s="250"/>
      <c r="AF680" s="250"/>
      <c r="AG680" s="250"/>
      <c r="AH680" s="250"/>
      <c r="AI680" s="250"/>
      <c r="AJ680" s="250"/>
      <c r="AK680" s="250"/>
      <c r="AL680" s="250"/>
      <c r="AM680" s="250"/>
      <c r="AN680" s="250"/>
      <c r="AO680" s="250"/>
      <c r="AP680" s="250"/>
      <c r="AQ680" s="250"/>
      <c r="AR680" s="250"/>
      <c r="AS680" s="250"/>
      <c r="AT680" s="250"/>
      <c r="AU680" s="250"/>
      <c r="AV680" s="250"/>
      <c r="AW680" s="250"/>
      <c r="AX680" s="250"/>
      <c r="AY680" s="250"/>
      <c r="AZ680" s="250"/>
      <c r="BA680" s="250"/>
      <c r="BB680" s="250"/>
      <c r="BC680" s="250"/>
      <c r="BD680" s="250"/>
      <c r="BE680" s="250"/>
      <c r="BF680" s="250"/>
      <c r="BG680" s="250"/>
      <c r="BH680" s="250"/>
      <c r="BI680" s="250"/>
      <c r="BJ680" s="250"/>
    </row>
    <row r="681" spans="2:62" ht="15.75" customHeight="1">
      <c r="B681" s="7"/>
      <c r="C681" s="339"/>
      <c r="D681" s="339"/>
      <c r="E681" s="339"/>
      <c r="F681" s="339"/>
      <c r="G681" s="339"/>
      <c r="H681" s="339"/>
      <c r="I681" s="339"/>
      <c r="J681" s="339"/>
      <c r="K681" s="406"/>
      <c r="L681" s="406"/>
      <c r="M681" s="339"/>
      <c r="N681" s="406"/>
      <c r="O681" s="406"/>
      <c r="P681" s="339"/>
      <c r="Q681" s="406"/>
      <c r="R681" s="406"/>
      <c r="S681" s="339"/>
      <c r="T681" s="339"/>
      <c r="U681" s="339"/>
      <c r="V681" s="339"/>
      <c r="W681" s="339"/>
      <c r="X681" s="339"/>
      <c r="Y681" s="250"/>
      <c r="Z681" s="250"/>
      <c r="AA681" s="250"/>
      <c r="AB681" s="250"/>
      <c r="AC681" s="250"/>
      <c r="AD681" s="250"/>
      <c r="AE681" s="250"/>
      <c r="AF681" s="250"/>
      <c r="AG681" s="250"/>
      <c r="AH681" s="250"/>
      <c r="AI681" s="250"/>
      <c r="AJ681" s="250"/>
      <c r="AK681" s="250"/>
      <c r="AL681" s="250"/>
      <c r="AM681" s="250"/>
      <c r="AN681" s="250"/>
      <c r="AO681" s="250"/>
      <c r="AP681" s="250"/>
      <c r="AQ681" s="250"/>
      <c r="AR681" s="250"/>
      <c r="AS681" s="250"/>
      <c r="AT681" s="250"/>
      <c r="AU681" s="250"/>
      <c r="AV681" s="250"/>
      <c r="AW681" s="250"/>
      <c r="AX681" s="250"/>
      <c r="AY681" s="250"/>
      <c r="AZ681" s="250"/>
      <c r="BA681" s="250"/>
      <c r="BB681" s="250"/>
      <c r="BC681" s="250"/>
      <c r="BD681" s="250"/>
      <c r="BE681" s="250"/>
      <c r="BF681" s="250"/>
      <c r="BG681" s="250"/>
      <c r="BH681" s="250"/>
      <c r="BI681" s="250"/>
      <c r="BJ681" s="250"/>
    </row>
    <row r="682" spans="2:62" ht="15.75" customHeight="1">
      <c r="B682" s="7"/>
      <c r="C682" s="339"/>
      <c r="D682" s="339"/>
      <c r="E682" s="339"/>
      <c r="F682" s="339"/>
      <c r="G682" s="339"/>
      <c r="H682" s="339"/>
      <c r="I682" s="339"/>
      <c r="J682" s="339"/>
      <c r="K682" s="406"/>
      <c r="L682" s="406"/>
      <c r="M682" s="339"/>
      <c r="N682" s="406"/>
      <c r="O682" s="406"/>
      <c r="P682" s="339"/>
      <c r="Q682" s="406"/>
      <c r="R682" s="406"/>
      <c r="S682" s="339"/>
      <c r="T682" s="339"/>
      <c r="U682" s="339"/>
      <c r="V682" s="339"/>
      <c r="W682" s="339"/>
      <c r="X682" s="339"/>
      <c r="Y682" s="250"/>
      <c r="Z682" s="250"/>
      <c r="AA682" s="250"/>
      <c r="AB682" s="250"/>
      <c r="AC682" s="250"/>
      <c r="AD682" s="250"/>
      <c r="AE682" s="250"/>
      <c r="AF682" s="250"/>
      <c r="AG682" s="250"/>
      <c r="AH682" s="250"/>
      <c r="AI682" s="250"/>
      <c r="AJ682" s="250"/>
      <c r="AK682" s="250"/>
      <c r="AL682" s="250"/>
      <c r="AM682" s="250"/>
      <c r="AN682" s="250"/>
      <c r="AO682" s="250"/>
      <c r="AP682" s="250"/>
      <c r="AQ682" s="250"/>
      <c r="AR682" s="250"/>
      <c r="AS682" s="250"/>
      <c r="AT682" s="250"/>
      <c r="AU682" s="250"/>
      <c r="AV682" s="250"/>
      <c r="AW682" s="250"/>
      <c r="AX682" s="250"/>
      <c r="AY682" s="250"/>
      <c r="AZ682" s="250"/>
      <c r="BA682" s="250"/>
      <c r="BB682" s="250"/>
      <c r="BC682" s="250"/>
      <c r="BD682" s="250"/>
      <c r="BE682" s="250"/>
      <c r="BF682" s="250"/>
      <c r="BG682" s="250"/>
      <c r="BH682" s="250"/>
      <c r="BI682" s="250"/>
      <c r="BJ682" s="250"/>
    </row>
    <row r="683" spans="2:62" ht="15.75" customHeight="1">
      <c r="B683" s="7"/>
      <c r="C683" s="339"/>
      <c r="D683" s="339"/>
      <c r="E683" s="339"/>
      <c r="F683" s="339"/>
      <c r="G683" s="339"/>
      <c r="H683" s="339"/>
      <c r="I683" s="339"/>
      <c r="J683" s="339"/>
      <c r="K683" s="406"/>
      <c r="L683" s="406"/>
      <c r="M683" s="339"/>
      <c r="N683" s="406"/>
      <c r="O683" s="406"/>
      <c r="P683" s="339"/>
      <c r="Q683" s="406"/>
      <c r="R683" s="406"/>
      <c r="S683" s="339"/>
      <c r="T683" s="339"/>
      <c r="U683" s="339"/>
      <c r="V683" s="339"/>
      <c r="W683" s="339"/>
      <c r="X683" s="339"/>
      <c r="Y683" s="250"/>
      <c r="Z683" s="250"/>
      <c r="AA683" s="250"/>
      <c r="AB683" s="250"/>
      <c r="AC683" s="250"/>
      <c r="AD683" s="250"/>
      <c r="AE683" s="250"/>
      <c r="AF683" s="250"/>
      <c r="AG683" s="250"/>
      <c r="AH683" s="250"/>
      <c r="AI683" s="250"/>
      <c r="AJ683" s="250"/>
      <c r="AK683" s="250"/>
      <c r="AL683" s="250"/>
      <c r="AM683" s="250"/>
      <c r="AN683" s="250"/>
      <c r="AO683" s="250"/>
      <c r="AP683" s="250"/>
      <c r="AQ683" s="250"/>
      <c r="AR683" s="250"/>
      <c r="AS683" s="250"/>
      <c r="AT683" s="250"/>
      <c r="AU683" s="250"/>
      <c r="AV683" s="250"/>
      <c r="AW683" s="250"/>
      <c r="AX683" s="250"/>
      <c r="AY683" s="250"/>
      <c r="AZ683" s="250"/>
      <c r="BA683" s="250"/>
      <c r="BB683" s="250"/>
      <c r="BC683" s="250"/>
      <c r="BD683" s="250"/>
      <c r="BE683" s="250"/>
      <c r="BF683" s="250"/>
      <c r="BG683" s="250"/>
      <c r="BH683" s="250"/>
      <c r="BI683" s="250"/>
      <c r="BJ683" s="250"/>
    </row>
    <row r="684" spans="2:62" ht="15.75" customHeight="1">
      <c r="B684" s="7"/>
      <c r="C684" s="339"/>
      <c r="D684" s="339"/>
      <c r="E684" s="339"/>
      <c r="F684" s="339"/>
      <c r="G684" s="339"/>
      <c r="H684" s="339"/>
      <c r="I684" s="339"/>
      <c r="J684" s="339"/>
      <c r="K684" s="406"/>
      <c r="L684" s="406"/>
      <c r="M684" s="339"/>
      <c r="N684" s="339"/>
      <c r="O684" s="339"/>
      <c r="P684" s="339"/>
      <c r="Q684" s="339"/>
      <c r="R684" s="406"/>
      <c r="S684" s="339"/>
      <c r="T684" s="339"/>
      <c r="U684" s="339"/>
      <c r="V684" s="339"/>
      <c r="W684" s="339"/>
      <c r="X684" s="339"/>
      <c r="Y684" s="250"/>
      <c r="Z684" s="250"/>
      <c r="AA684" s="250"/>
      <c r="AB684" s="250"/>
      <c r="AC684" s="250"/>
      <c r="AD684" s="250"/>
      <c r="AE684" s="250"/>
      <c r="AF684" s="250"/>
      <c r="AG684" s="250"/>
      <c r="AH684" s="250"/>
      <c r="AI684" s="250"/>
      <c r="AJ684" s="250"/>
      <c r="AK684" s="250"/>
      <c r="AL684" s="250"/>
      <c r="AM684" s="250"/>
      <c r="AN684" s="250"/>
      <c r="AO684" s="250"/>
      <c r="AP684" s="250"/>
      <c r="AQ684" s="250"/>
      <c r="AR684" s="250"/>
      <c r="AS684" s="250"/>
      <c r="AT684" s="250"/>
      <c r="AU684" s="250"/>
      <c r="AV684" s="250"/>
      <c r="AW684" s="250"/>
      <c r="AX684" s="250"/>
      <c r="AY684" s="250"/>
      <c r="AZ684" s="250"/>
      <c r="BA684" s="250"/>
      <c r="BB684" s="250"/>
      <c r="BC684" s="250"/>
      <c r="BD684" s="250"/>
      <c r="BE684" s="250"/>
      <c r="BF684" s="250"/>
      <c r="BG684" s="250"/>
      <c r="BH684" s="250"/>
      <c r="BI684" s="250"/>
      <c r="BJ684" s="250"/>
    </row>
    <row r="685" spans="2:62" ht="15.75" customHeight="1">
      <c r="B685" s="7"/>
      <c r="C685" s="339"/>
      <c r="D685" s="339"/>
      <c r="E685" s="339"/>
      <c r="F685" s="339"/>
      <c r="G685" s="339"/>
      <c r="H685" s="339"/>
      <c r="I685" s="339"/>
      <c r="J685" s="339"/>
      <c r="K685" s="406"/>
      <c r="L685" s="406"/>
      <c r="M685" s="339"/>
      <c r="N685" s="408"/>
      <c r="O685" s="408"/>
      <c r="P685" s="339"/>
      <c r="Q685" s="408"/>
      <c r="R685" s="406"/>
      <c r="S685" s="339"/>
      <c r="T685" s="339"/>
      <c r="U685" s="339"/>
      <c r="V685" s="339"/>
      <c r="W685" s="339"/>
      <c r="X685" s="339"/>
      <c r="Y685" s="250"/>
      <c r="Z685" s="250"/>
      <c r="AA685" s="250"/>
      <c r="AB685" s="250"/>
      <c r="AC685" s="250"/>
      <c r="AD685" s="250"/>
      <c r="AE685" s="250"/>
      <c r="AF685" s="250"/>
      <c r="AG685" s="250"/>
      <c r="AH685" s="250"/>
      <c r="AI685" s="250"/>
      <c r="AJ685" s="250"/>
      <c r="AK685" s="250"/>
      <c r="AL685" s="250"/>
      <c r="AM685" s="250"/>
      <c r="AN685" s="250"/>
      <c r="AO685" s="250"/>
      <c r="AP685" s="250"/>
      <c r="AQ685" s="250"/>
      <c r="AR685" s="250"/>
      <c r="AS685" s="250"/>
      <c r="AT685" s="250"/>
      <c r="AU685" s="250"/>
      <c r="AV685" s="250"/>
      <c r="AW685" s="250"/>
      <c r="AX685" s="250"/>
      <c r="AY685" s="250"/>
      <c r="AZ685" s="250"/>
      <c r="BA685" s="250"/>
      <c r="BB685" s="250"/>
      <c r="BC685" s="250"/>
      <c r="BD685" s="250"/>
      <c r="BE685" s="250"/>
      <c r="BF685" s="250"/>
      <c r="BG685" s="250"/>
      <c r="BH685" s="250"/>
      <c r="BI685" s="250"/>
      <c r="BJ685" s="250"/>
    </row>
    <row r="686" spans="2:62" ht="15.75" customHeight="1">
      <c r="B686" s="7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339"/>
      <c r="N686" s="406"/>
      <c r="O686" s="406"/>
      <c r="P686" s="339"/>
      <c r="Q686" s="406"/>
      <c r="R686" s="339"/>
      <c r="S686" s="339"/>
      <c r="T686" s="339"/>
      <c r="U686" s="339"/>
      <c r="V686" s="339"/>
      <c r="W686" s="339"/>
      <c r="X686" s="339"/>
      <c r="Y686" s="250"/>
      <c r="Z686" s="250"/>
      <c r="AA686" s="250"/>
      <c r="AB686" s="250"/>
      <c r="AC686" s="250"/>
      <c r="AD686" s="250"/>
      <c r="AE686" s="250"/>
      <c r="AF686" s="250"/>
      <c r="AG686" s="250"/>
      <c r="AH686" s="250"/>
      <c r="AI686" s="250"/>
      <c r="AJ686" s="250"/>
      <c r="AK686" s="250"/>
      <c r="AL686" s="250"/>
      <c r="AM686" s="250"/>
      <c r="AN686" s="250"/>
      <c r="AO686" s="250"/>
      <c r="AP686" s="250"/>
      <c r="AQ686" s="250"/>
      <c r="AR686" s="250"/>
      <c r="AS686" s="250"/>
      <c r="AT686" s="250"/>
      <c r="AU686" s="250"/>
      <c r="AV686" s="250"/>
      <c r="AW686" s="250"/>
      <c r="AX686" s="250"/>
      <c r="AY686" s="250"/>
      <c r="AZ686" s="250"/>
      <c r="BA686" s="250"/>
      <c r="BB686" s="250"/>
      <c r="BC686" s="250"/>
      <c r="BD686" s="250"/>
      <c r="BE686" s="250"/>
      <c r="BF686" s="250"/>
      <c r="BG686" s="250"/>
      <c r="BH686" s="250"/>
      <c r="BI686" s="250"/>
      <c r="BJ686" s="250"/>
    </row>
    <row r="687" spans="2:62" ht="15.75" customHeight="1">
      <c r="B687" s="7"/>
      <c r="C687" s="339"/>
      <c r="D687" s="339"/>
      <c r="E687" s="339"/>
      <c r="F687" s="339"/>
      <c r="G687" s="339"/>
      <c r="H687" s="339"/>
      <c r="I687" s="339"/>
      <c r="J687" s="339"/>
      <c r="K687" s="408"/>
      <c r="L687" s="408"/>
      <c r="M687" s="339"/>
      <c r="N687" s="406"/>
      <c r="O687" s="406"/>
      <c r="P687" s="339"/>
      <c r="Q687" s="406"/>
      <c r="R687" s="408"/>
      <c r="S687" s="339"/>
      <c r="T687" s="339"/>
      <c r="U687" s="339"/>
      <c r="V687" s="339"/>
      <c r="W687" s="339"/>
      <c r="X687" s="339"/>
      <c r="Y687" s="250"/>
      <c r="Z687" s="250"/>
      <c r="AA687" s="250"/>
      <c r="AB687" s="250"/>
      <c r="AC687" s="250"/>
      <c r="AD687" s="250"/>
      <c r="AE687" s="250"/>
      <c r="AF687" s="250"/>
      <c r="AG687" s="250"/>
      <c r="AH687" s="250"/>
      <c r="AI687" s="250"/>
      <c r="AJ687" s="250"/>
      <c r="AK687" s="250"/>
      <c r="AL687" s="250"/>
      <c r="AM687" s="250"/>
      <c r="AN687" s="250"/>
      <c r="AO687" s="250"/>
      <c r="AP687" s="250"/>
      <c r="AQ687" s="250"/>
      <c r="AR687" s="250"/>
      <c r="AS687" s="250"/>
      <c r="AT687" s="250"/>
      <c r="AU687" s="250"/>
      <c r="AV687" s="250"/>
      <c r="AW687" s="250"/>
      <c r="AX687" s="250"/>
      <c r="AY687" s="250"/>
      <c r="AZ687" s="250"/>
      <c r="BA687" s="250"/>
      <c r="BB687" s="250"/>
      <c r="BC687" s="250"/>
      <c r="BD687" s="250"/>
      <c r="BE687" s="250"/>
      <c r="BF687" s="250"/>
      <c r="BG687" s="250"/>
      <c r="BH687" s="250"/>
      <c r="BI687" s="250"/>
      <c r="BJ687" s="250"/>
    </row>
    <row r="688" spans="2:62" ht="15.75" customHeight="1">
      <c r="B688" s="7"/>
      <c r="C688" s="339"/>
      <c r="D688" s="339"/>
      <c r="E688" s="339"/>
      <c r="F688" s="339"/>
      <c r="G688" s="339"/>
      <c r="H688" s="339"/>
      <c r="I688" s="339"/>
      <c r="J688" s="339"/>
      <c r="K688" s="406"/>
      <c r="L688" s="406"/>
      <c r="M688" s="339"/>
      <c r="N688" s="406"/>
      <c r="O688" s="406"/>
      <c r="P688" s="339"/>
      <c r="Q688" s="406"/>
      <c r="R688" s="406"/>
      <c r="S688" s="339"/>
      <c r="T688" s="339"/>
      <c r="U688" s="339"/>
      <c r="V688" s="339"/>
      <c r="W688" s="339"/>
      <c r="X688" s="339"/>
      <c r="Y688" s="250"/>
      <c r="Z688" s="250"/>
      <c r="AA688" s="250"/>
      <c r="AB688" s="250"/>
      <c r="AC688" s="250"/>
      <c r="AD688" s="250"/>
      <c r="AE688" s="250"/>
      <c r="AF688" s="250"/>
      <c r="AG688" s="250"/>
      <c r="AH688" s="250"/>
      <c r="AI688" s="250"/>
      <c r="AJ688" s="250"/>
      <c r="AK688" s="250"/>
      <c r="AL688" s="250"/>
      <c r="AM688" s="250"/>
      <c r="AN688" s="250"/>
      <c r="AO688" s="250"/>
      <c r="AP688" s="250"/>
      <c r="AQ688" s="250"/>
      <c r="AR688" s="250"/>
      <c r="AS688" s="250"/>
      <c r="AT688" s="250"/>
      <c r="AU688" s="250"/>
      <c r="AV688" s="250"/>
      <c r="AW688" s="250"/>
      <c r="AX688" s="250"/>
      <c r="AY688" s="250"/>
      <c r="AZ688" s="250"/>
      <c r="BA688" s="250"/>
      <c r="BB688" s="250"/>
      <c r="BC688" s="250"/>
      <c r="BD688" s="250"/>
      <c r="BE688" s="250"/>
      <c r="BF688" s="250"/>
      <c r="BG688" s="250"/>
      <c r="BH688" s="250"/>
      <c r="BI688" s="250"/>
      <c r="BJ688" s="250"/>
    </row>
    <row r="689" spans="2:62" ht="15.75" customHeight="1">
      <c r="B689" s="7"/>
      <c r="C689" s="339"/>
      <c r="D689" s="339"/>
      <c r="E689" s="339"/>
      <c r="F689" s="339"/>
      <c r="G689" s="339"/>
      <c r="H689" s="339"/>
      <c r="I689" s="339"/>
      <c r="J689" s="339"/>
      <c r="K689" s="406"/>
      <c r="L689" s="406"/>
      <c r="M689" s="339"/>
      <c r="N689" s="406"/>
      <c r="O689" s="406"/>
      <c r="P689" s="339"/>
      <c r="Q689" s="406"/>
      <c r="R689" s="406"/>
      <c r="S689" s="339"/>
      <c r="T689" s="339"/>
      <c r="U689" s="339"/>
      <c r="V689" s="339"/>
      <c r="W689" s="339"/>
      <c r="X689" s="339"/>
      <c r="Y689" s="250"/>
      <c r="Z689" s="250"/>
      <c r="AA689" s="250"/>
      <c r="AB689" s="250"/>
      <c r="AC689" s="250"/>
      <c r="AD689" s="250"/>
      <c r="AE689" s="250"/>
      <c r="AF689" s="250"/>
      <c r="AG689" s="250"/>
      <c r="AH689" s="250"/>
      <c r="AI689" s="250"/>
      <c r="AJ689" s="250"/>
      <c r="AK689" s="250"/>
      <c r="AL689" s="250"/>
      <c r="AM689" s="250"/>
      <c r="AN689" s="250"/>
      <c r="AO689" s="250"/>
      <c r="AP689" s="250"/>
      <c r="AQ689" s="250"/>
      <c r="AR689" s="250"/>
      <c r="AS689" s="250"/>
      <c r="AT689" s="250"/>
      <c r="AU689" s="250"/>
      <c r="AV689" s="250"/>
      <c r="AW689" s="250"/>
      <c r="AX689" s="250"/>
      <c r="AY689" s="250"/>
      <c r="AZ689" s="250"/>
      <c r="BA689" s="250"/>
      <c r="BB689" s="250"/>
      <c r="BC689" s="250"/>
      <c r="BD689" s="250"/>
      <c r="BE689" s="250"/>
      <c r="BF689" s="250"/>
      <c r="BG689" s="250"/>
      <c r="BH689" s="250"/>
      <c r="BI689" s="250"/>
      <c r="BJ689" s="250"/>
    </row>
    <row r="690" spans="2:62" ht="15.75" customHeight="1">
      <c r="B690" s="7"/>
      <c r="C690" s="339"/>
      <c r="D690" s="339"/>
      <c r="E690" s="339"/>
      <c r="F690" s="339"/>
      <c r="G690" s="339"/>
      <c r="H690" s="339"/>
      <c r="I690" s="339"/>
      <c r="J690" s="339"/>
      <c r="K690" s="406"/>
      <c r="L690" s="406"/>
      <c r="M690" s="339"/>
      <c r="N690" s="406"/>
      <c r="O690" s="406"/>
      <c r="P690" s="339"/>
      <c r="Q690" s="406"/>
      <c r="R690" s="406"/>
      <c r="S690" s="339"/>
      <c r="T690" s="339"/>
      <c r="U690" s="339"/>
      <c r="V690" s="339"/>
      <c r="W690" s="339"/>
      <c r="X690" s="339"/>
      <c r="Y690" s="250"/>
      <c r="Z690" s="250"/>
      <c r="AA690" s="250"/>
      <c r="AB690" s="250"/>
      <c r="AC690" s="250"/>
      <c r="AD690" s="250"/>
      <c r="AE690" s="250"/>
      <c r="AF690" s="250"/>
      <c r="AG690" s="250"/>
      <c r="AH690" s="250"/>
      <c r="AI690" s="250"/>
      <c r="AJ690" s="250"/>
      <c r="AK690" s="250"/>
      <c r="AL690" s="250"/>
      <c r="AM690" s="250"/>
      <c r="AN690" s="250"/>
      <c r="AO690" s="250"/>
      <c r="AP690" s="250"/>
      <c r="AQ690" s="250"/>
      <c r="AR690" s="250"/>
      <c r="AS690" s="250"/>
      <c r="AT690" s="250"/>
      <c r="AU690" s="250"/>
      <c r="AV690" s="250"/>
      <c r="AW690" s="250"/>
      <c r="AX690" s="250"/>
      <c r="AY690" s="250"/>
      <c r="AZ690" s="250"/>
      <c r="BA690" s="250"/>
      <c r="BB690" s="250"/>
      <c r="BC690" s="250"/>
      <c r="BD690" s="250"/>
      <c r="BE690" s="250"/>
      <c r="BF690" s="250"/>
      <c r="BG690" s="250"/>
      <c r="BH690" s="250"/>
      <c r="BI690" s="250"/>
      <c r="BJ690" s="250"/>
    </row>
    <row r="691" spans="2:62" ht="15.75" customHeight="1">
      <c r="B691" s="7"/>
      <c r="C691" s="339"/>
      <c r="D691" s="339"/>
      <c r="E691" s="339"/>
      <c r="F691" s="339"/>
      <c r="G691" s="339"/>
      <c r="H691" s="339"/>
      <c r="I691" s="339"/>
      <c r="J691" s="339"/>
      <c r="K691" s="406"/>
      <c r="L691" s="406"/>
      <c r="M691" s="339"/>
      <c r="N691" s="406"/>
      <c r="O691" s="406"/>
      <c r="P691" s="339"/>
      <c r="Q691" s="406"/>
      <c r="R691" s="406"/>
      <c r="S691" s="339"/>
      <c r="T691" s="339"/>
      <c r="U691" s="339"/>
      <c r="V691" s="339"/>
      <c r="W691" s="339"/>
      <c r="X691" s="339"/>
      <c r="Y691" s="250"/>
      <c r="Z691" s="250"/>
      <c r="AA691" s="250"/>
      <c r="AB691" s="250"/>
      <c r="AC691" s="250"/>
      <c r="AD691" s="250"/>
      <c r="AE691" s="250"/>
      <c r="AF691" s="250"/>
      <c r="AG691" s="250"/>
      <c r="AH691" s="250"/>
      <c r="AI691" s="250"/>
      <c r="AJ691" s="250"/>
      <c r="AK691" s="250"/>
      <c r="AL691" s="250"/>
      <c r="AM691" s="250"/>
      <c r="AN691" s="250"/>
      <c r="AO691" s="250"/>
      <c r="AP691" s="250"/>
      <c r="AQ691" s="250"/>
      <c r="AR691" s="250"/>
      <c r="AS691" s="250"/>
      <c r="AT691" s="250"/>
      <c r="AU691" s="250"/>
      <c r="AV691" s="250"/>
      <c r="AW691" s="250"/>
      <c r="AX691" s="250"/>
      <c r="AY691" s="250"/>
      <c r="AZ691" s="250"/>
      <c r="BA691" s="250"/>
      <c r="BB691" s="250"/>
      <c r="BC691" s="250"/>
      <c r="BD691" s="250"/>
      <c r="BE691" s="250"/>
      <c r="BF691" s="250"/>
      <c r="BG691" s="250"/>
      <c r="BH691" s="250"/>
      <c r="BI691" s="250"/>
      <c r="BJ691" s="250"/>
    </row>
    <row r="692" spans="2:62" ht="15.75" customHeight="1">
      <c r="B692" s="7"/>
      <c r="C692" s="339"/>
      <c r="D692" s="339"/>
      <c r="E692" s="339"/>
      <c r="F692" s="339"/>
      <c r="G692" s="339"/>
      <c r="H692" s="339"/>
      <c r="I692" s="339"/>
      <c r="J692" s="339"/>
      <c r="K692" s="406"/>
      <c r="L692" s="406"/>
      <c r="M692" s="339"/>
      <c r="N692" s="406"/>
      <c r="O692" s="406"/>
      <c r="P692" s="339"/>
      <c r="Q692" s="406"/>
      <c r="R692" s="406"/>
      <c r="S692" s="339"/>
      <c r="T692" s="339"/>
      <c r="U692" s="339"/>
      <c r="V692" s="339"/>
      <c r="W692" s="339"/>
      <c r="X692" s="339"/>
      <c r="Y692" s="250"/>
      <c r="Z692" s="250"/>
      <c r="AA692" s="250"/>
      <c r="AB692" s="250"/>
      <c r="AC692" s="250"/>
      <c r="AD692" s="250"/>
      <c r="AE692" s="250"/>
      <c r="AF692" s="250"/>
      <c r="AG692" s="250"/>
      <c r="AH692" s="250"/>
      <c r="AI692" s="250"/>
      <c r="AJ692" s="250"/>
      <c r="AK692" s="250"/>
      <c r="AL692" s="250"/>
      <c r="AM692" s="250"/>
      <c r="AN692" s="250"/>
      <c r="AO692" s="250"/>
      <c r="AP692" s="250"/>
      <c r="AQ692" s="250"/>
      <c r="AR692" s="250"/>
      <c r="AS692" s="250"/>
      <c r="AT692" s="250"/>
      <c r="AU692" s="250"/>
      <c r="AV692" s="250"/>
      <c r="AW692" s="250"/>
      <c r="AX692" s="250"/>
      <c r="AY692" s="250"/>
      <c r="AZ692" s="250"/>
      <c r="BA692" s="250"/>
      <c r="BB692" s="250"/>
      <c r="BC692" s="250"/>
      <c r="BD692" s="250"/>
      <c r="BE692" s="250"/>
      <c r="BF692" s="250"/>
      <c r="BG692" s="250"/>
      <c r="BH692" s="250"/>
      <c r="BI692" s="250"/>
      <c r="BJ692" s="250"/>
    </row>
    <row r="693" spans="2:62" ht="15.75" customHeight="1">
      <c r="B693" s="7"/>
      <c r="C693" s="339"/>
      <c r="D693" s="339"/>
      <c r="E693" s="339"/>
      <c r="F693" s="339"/>
      <c r="G693" s="339"/>
      <c r="H693" s="339"/>
      <c r="I693" s="339"/>
      <c r="J693" s="339"/>
      <c r="K693" s="406"/>
      <c r="L693" s="406"/>
      <c r="M693" s="339"/>
      <c r="N693" s="406"/>
      <c r="O693" s="406"/>
      <c r="P693" s="339"/>
      <c r="Q693" s="406"/>
      <c r="R693" s="406"/>
      <c r="S693" s="339"/>
      <c r="T693" s="339"/>
      <c r="U693" s="339"/>
      <c r="V693" s="339"/>
      <c r="W693" s="339"/>
      <c r="X693" s="339"/>
      <c r="Y693" s="250"/>
      <c r="Z693" s="250"/>
      <c r="AA693" s="250"/>
      <c r="AB693" s="250"/>
      <c r="AC693" s="250"/>
      <c r="AD693" s="250"/>
      <c r="AE693" s="250"/>
      <c r="AF693" s="250"/>
      <c r="AG693" s="250"/>
      <c r="AH693" s="250"/>
      <c r="AI693" s="250"/>
      <c r="AJ693" s="250"/>
      <c r="AK693" s="250"/>
      <c r="AL693" s="250"/>
      <c r="AM693" s="250"/>
      <c r="AN693" s="250"/>
      <c r="AO693" s="250"/>
      <c r="AP693" s="250"/>
      <c r="AQ693" s="250"/>
      <c r="AR693" s="250"/>
      <c r="AS693" s="250"/>
      <c r="AT693" s="250"/>
      <c r="AU693" s="250"/>
      <c r="AV693" s="250"/>
      <c r="AW693" s="250"/>
      <c r="AX693" s="250"/>
      <c r="AY693" s="250"/>
      <c r="AZ693" s="250"/>
      <c r="BA693" s="250"/>
      <c r="BB693" s="250"/>
      <c r="BC693" s="250"/>
      <c r="BD693" s="250"/>
      <c r="BE693" s="250"/>
      <c r="BF693" s="250"/>
      <c r="BG693" s="250"/>
      <c r="BH693" s="250"/>
      <c r="BI693" s="250"/>
      <c r="BJ693" s="250"/>
    </row>
    <row r="694" spans="2:62" ht="15.75" customHeight="1">
      <c r="B694" s="7"/>
      <c r="C694" s="339"/>
      <c r="D694" s="339"/>
      <c r="E694" s="339"/>
      <c r="F694" s="339"/>
      <c r="G694" s="339"/>
      <c r="H694" s="339"/>
      <c r="I694" s="339"/>
      <c r="J694" s="339"/>
      <c r="K694" s="406"/>
      <c r="L694" s="408"/>
      <c r="M694" s="339"/>
      <c r="N694" s="406"/>
      <c r="O694" s="406"/>
      <c r="P694" s="339"/>
      <c r="Q694" s="406"/>
      <c r="R694" s="408"/>
      <c r="S694" s="339"/>
      <c r="T694" s="339"/>
      <c r="U694" s="339"/>
      <c r="V694" s="339"/>
      <c r="W694" s="339"/>
      <c r="X694" s="339"/>
      <c r="Y694" s="250"/>
      <c r="Z694" s="250"/>
      <c r="AA694" s="250"/>
      <c r="AB694" s="250"/>
      <c r="AC694" s="250"/>
      <c r="AD694" s="250"/>
      <c r="AE694" s="250"/>
      <c r="AF694" s="250"/>
      <c r="AG694" s="250"/>
      <c r="AH694" s="250"/>
      <c r="AI694" s="250"/>
      <c r="AJ694" s="250"/>
      <c r="AK694" s="250"/>
      <c r="AL694" s="250"/>
      <c r="AM694" s="250"/>
      <c r="AN694" s="250"/>
      <c r="AO694" s="250"/>
      <c r="AP694" s="250"/>
      <c r="AQ694" s="250"/>
      <c r="AR694" s="250"/>
      <c r="AS694" s="250"/>
      <c r="AT694" s="250"/>
      <c r="AU694" s="250"/>
      <c r="AV694" s="250"/>
      <c r="AW694" s="250"/>
      <c r="AX694" s="250"/>
      <c r="AY694" s="250"/>
      <c r="AZ694" s="250"/>
      <c r="BA694" s="250"/>
      <c r="BB694" s="250"/>
      <c r="BC694" s="250"/>
      <c r="BD694" s="250"/>
      <c r="BE694" s="250"/>
      <c r="BF694" s="250"/>
      <c r="BG694" s="250"/>
      <c r="BH694" s="250"/>
      <c r="BI694" s="250"/>
      <c r="BJ694" s="250"/>
    </row>
    <row r="695" spans="2:62" ht="15.75" customHeight="1">
      <c r="B695" s="7"/>
      <c r="C695" s="339"/>
      <c r="D695" s="339"/>
      <c r="E695" s="339"/>
      <c r="F695" s="339"/>
      <c r="G695" s="339"/>
      <c r="H695" s="339"/>
      <c r="I695" s="339"/>
      <c r="J695" s="339"/>
      <c r="K695" s="406"/>
      <c r="L695" s="406"/>
      <c r="M695" s="339"/>
      <c r="N695" s="406"/>
      <c r="O695" s="406"/>
      <c r="P695" s="339"/>
      <c r="Q695" s="406"/>
      <c r="R695" s="406"/>
      <c r="S695" s="339"/>
      <c r="T695" s="339"/>
      <c r="U695" s="339"/>
      <c r="V695" s="339"/>
      <c r="W695" s="339"/>
      <c r="X695" s="339"/>
      <c r="Y695" s="250"/>
      <c r="Z695" s="250"/>
      <c r="AA695" s="250"/>
      <c r="AB695" s="250"/>
      <c r="AC695" s="250"/>
      <c r="AD695" s="250"/>
      <c r="AE695" s="250"/>
      <c r="AF695" s="250"/>
      <c r="AG695" s="250"/>
      <c r="AH695" s="250"/>
      <c r="AI695" s="250"/>
      <c r="AJ695" s="250"/>
      <c r="AK695" s="250"/>
      <c r="AL695" s="250"/>
      <c r="AM695" s="250"/>
      <c r="AN695" s="250"/>
      <c r="AO695" s="250"/>
      <c r="AP695" s="250"/>
      <c r="AQ695" s="250"/>
      <c r="AR695" s="250"/>
      <c r="AS695" s="250"/>
      <c r="AT695" s="250"/>
      <c r="AU695" s="250"/>
      <c r="AV695" s="250"/>
      <c r="AW695" s="250"/>
      <c r="AX695" s="250"/>
      <c r="AY695" s="250"/>
      <c r="AZ695" s="250"/>
      <c r="BA695" s="250"/>
      <c r="BB695" s="250"/>
      <c r="BC695" s="250"/>
      <c r="BD695" s="250"/>
      <c r="BE695" s="250"/>
      <c r="BF695" s="250"/>
      <c r="BG695" s="250"/>
      <c r="BH695" s="250"/>
      <c r="BI695" s="250"/>
      <c r="BJ695" s="250"/>
    </row>
    <row r="696" spans="2:62" ht="15.75" customHeight="1">
      <c r="B696" s="7"/>
      <c r="C696" s="339"/>
      <c r="D696" s="339"/>
      <c r="E696" s="339"/>
      <c r="F696" s="339"/>
      <c r="G696" s="339"/>
      <c r="H696" s="339"/>
      <c r="I696" s="339"/>
      <c r="J696" s="339"/>
      <c r="K696" s="406"/>
      <c r="L696" s="406"/>
      <c r="M696" s="339"/>
      <c r="N696" s="406"/>
      <c r="O696" s="406"/>
      <c r="P696" s="339"/>
      <c r="Q696" s="406"/>
      <c r="R696" s="406"/>
      <c r="S696" s="339"/>
      <c r="T696" s="339"/>
      <c r="U696" s="339"/>
      <c r="V696" s="339"/>
      <c r="W696" s="339"/>
      <c r="X696" s="339"/>
      <c r="Y696" s="250"/>
      <c r="Z696" s="250"/>
      <c r="AA696" s="250"/>
      <c r="AB696" s="250"/>
      <c r="AC696" s="250"/>
      <c r="AD696" s="250"/>
      <c r="AE696" s="250"/>
      <c r="AF696" s="250"/>
      <c r="AG696" s="250"/>
      <c r="AH696" s="250"/>
      <c r="AI696" s="250"/>
      <c r="AJ696" s="250"/>
      <c r="AK696" s="250"/>
      <c r="AL696" s="250"/>
      <c r="AM696" s="250"/>
      <c r="AN696" s="250"/>
      <c r="AO696" s="250"/>
      <c r="AP696" s="250"/>
      <c r="AQ696" s="250"/>
      <c r="AR696" s="250"/>
      <c r="AS696" s="250"/>
      <c r="AT696" s="250"/>
      <c r="AU696" s="250"/>
      <c r="AV696" s="250"/>
      <c r="AW696" s="250"/>
      <c r="AX696" s="250"/>
      <c r="AY696" s="250"/>
      <c r="AZ696" s="250"/>
      <c r="BA696" s="250"/>
      <c r="BB696" s="250"/>
      <c r="BC696" s="250"/>
      <c r="BD696" s="250"/>
      <c r="BE696" s="250"/>
      <c r="BF696" s="250"/>
      <c r="BG696" s="250"/>
      <c r="BH696" s="250"/>
      <c r="BI696" s="250"/>
      <c r="BJ696" s="250"/>
    </row>
    <row r="697" spans="2:62" ht="15.75" customHeight="1">
      <c r="B697" s="7"/>
      <c r="C697" s="339"/>
      <c r="D697" s="339"/>
      <c r="E697" s="339"/>
      <c r="F697" s="339"/>
      <c r="G697" s="339"/>
      <c r="H697" s="339"/>
      <c r="I697" s="339"/>
      <c r="J697" s="339"/>
      <c r="K697" s="406"/>
      <c r="L697" s="406"/>
      <c r="M697" s="339"/>
      <c r="N697" s="408"/>
      <c r="O697" s="408"/>
      <c r="P697" s="339"/>
      <c r="Q697" s="408"/>
      <c r="R697" s="406"/>
      <c r="S697" s="339"/>
      <c r="T697" s="339"/>
      <c r="U697" s="339"/>
      <c r="V697" s="339"/>
      <c r="W697" s="339"/>
      <c r="X697" s="339"/>
      <c r="Y697" s="250"/>
      <c r="Z697" s="250"/>
      <c r="AA697" s="250"/>
      <c r="AB697" s="250"/>
      <c r="AC697" s="250"/>
      <c r="AD697" s="250"/>
      <c r="AE697" s="250"/>
      <c r="AF697" s="250"/>
      <c r="AG697" s="250"/>
      <c r="AH697" s="250"/>
      <c r="AI697" s="250"/>
      <c r="AJ697" s="250"/>
      <c r="AK697" s="250"/>
      <c r="AL697" s="250"/>
      <c r="AM697" s="250"/>
      <c r="AN697" s="250"/>
      <c r="AO697" s="250"/>
      <c r="AP697" s="250"/>
      <c r="AQ697" s="250"/>
      <c r="AR697" s="250"/>
      <c r="AS697" s="250"/>
      <c r="AT697" s="250"/>
      <c r="AU697" s="250"/>
      <c r="AV697" s="250"/>
      <c r="AW697" s="250"/>
      <c r="AX697" s="250"/>
      <c r="AY697" s="250"/>
      <c r="AZ697" s="250"/>
      <c r="BA697" s="250"/>
      <c r="BB697" s="250"/>
      <c r="BC697" s="250"/>
      <c r="BD697" s="250"/>
      <c r="BE697" s="250"/>
      <c r="BF697" s="250"/>
      <c r="BG697" s="250"/>
      <c r="BH697" s="250"/>
      <c r="BI697" s="250"/>
      <c r="BJ697" s="250"/>
    </row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3:S3"/>
    <mergeCell ref="D3:F3"/>
    <mergeCell ref="G3:I3"/>
    <mergeCell ref="J3:L3"/>
    <mergeCell ref="M3:N3"/>
    <mergeCell ref="O3:Q3"/>
  </mergeCells>
  <phoneticPr fontId="31" type="noConversion"/>
  <conditionalFormatting sqref="K291 H168:I168 K168 J168:J170 J291:J292 H170:I170 H236:I236 K236 H291:I291 K170:L170 J90:J91 H90:I90 J3 K90 H25:L30 J236:J239 H238:I238 K238:L238 H308:L309 H303:L305 H293:L293 L18 F83:F85 L86:L90 H86:K88 H163:L163 H164 J164:K164 H165:K166 H233:K234 L233:L236 H289:K289 L289:L291 H83:L85 H231:L231 H232 J232:K232 J287:L287 J288:K288 H351:L351 H352:H354 J352:K354 J72:L72 H72 I121:L121 H152:L152 H348:L348 J399:K399 H399 J242:L242 H363:L363 J251:L252 H96:L97 I100:L100 H100:H103 L24 I13:J14 I16:J16 I104:L110 H134:L134 H312:L315 K306:K307 K311 I24:J24 J21:J23 I20:J20 J19 J101:K103 H135:H136 J135:K136 H155:H156 J155:K156 H364:H375 J364:K375 J284 I18:J18 I17 J49:L54 L6:L14 J31:K48 H31:H54 J111:K120 J122:K133 H105:H133 L125:L129 O122:P133 Q125:Q129 H228 J228:K228 J294:K302 L319:L324 J317:K347 H317:H347 J253:K274 K98:K99 L275:L284 L165:L168">
    <cfRule type="expression" dxfId="1343" priority="362" stopIfTrue="1">
      <formula>"esterreur(reference)"</formula>
    </cfRule>
  </conditionalFormatting>
  <conditionalFormatting sqref="M95:M96">
    <cfRule type="expression" dxfId="1342" priority="363" stopIfTrue="1">
      <formula>"esterreur(reference)"</formula>
    </cfRule>
  </conditionalFormatting>
  <conditionalFormatting sqref="J275:K280">
    <cfRule type="expression" dxfId="1341" priority="364" stopIfTrue="1">
      <formula>"esterreur(reference)"</formula>
    </cfRule>
  </conditionalFormatting>
  <conditionalFormatting sqref="L103">
    <cfRule type="expression" dxfId="1340" priority="335" stopIfTrue="1">
      <formula>"esterreur(reference)"</formula>
    </cfRule>
  </conditionalFormatting>
  <conditionalFormatting sqref="H141:H147 J141:K147">
    <cfRule type="expression" dxfId="1339" priority="366" stopIfTrue="1">
      <formula>"esterreur(reference)"</formula>
    </cfRule>
  </conditionalFormatting>
  <conditionalFormatting sqref="H137:H139 J137:K139">
    <cfRule type="expression" dxfId="1338" priority="367" stopIfTrue="1">
      <formula>"esterreur(reference)"</formula>
    </cfRule>
  </conditionalFormatting>
  <conditionalFormatting sqref="H140 J140:K140">
    <cfRule type="expression" dxfId="1337" priority="368" stopIfTrue="1">
      <formula>"esterreur(reference)"</formula>
    </cfRule>
  </conditionalFormatting>
  <conditionalFormatting sqref="L82">
    <cfRule type="expression" dxfId="1336" priority="342" stopIfTrue="1">
      <formula>"esterreur(reference)"</formula>
    </cfRule>
  </conditionalFormatting>
  <conditionalFormatting sqref="M311">
    <cfRule type="expression" dxfId="1335" priority="369" stopIfTrue="1">
      <formula>"esterreur(reference)"</formula>
    </cfRule>
  </conditionalFormatting>
  <conditionalFormatting sqref="R311">
    <cfRule type="expression" dxfId="1334" priority="370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1333" priority="371" operator="greaterThan">
      <formula>0</formula>
    </cfRule>
  </conditionalFormatting>
  <conditionalFormatting sqref="AH468:AI479">
    <cfRule type="cellIs" dxfId="1332" priority="372" operator="lessThan">
      <formula>0</formula>
    </cfRule>
  </conditionalFormatting>
  <conditionalFormatting sqref="AH491:AH496">
    <cfRule type="cellIs" dxfId="1331" priority="373" operator="greaterThan">
      <formula>0</formula>
    </cfRule>
  </conditionalFormatting>
  <conditionalFormatting sqref="J281:K282 J283">
    <cfRule type="expression" dxfId="1330" priority="374" stopIfTrue="1">
      <formula>"esterreur(reference)"</formula>
    </cfRule>
  </conditionalFormatting>
  <conditionalFormatting sqref="K356 J356:J357 H356:I356 L355:L356 H358:L358">
    <cfRule type="expression" dxfId="1329" priority="375" stopIfTrue="1">
      <formula>"esterreur(reference)"</formula>
    </cfRule>
  </conditionalFormatting>
  <conditionalFormatting sqref="H396">
    <cfRule type="expression" dxfId="1328" priority="376" stopIfTrue="1">
      <formula>"esterreur(reference)"</formula>
    </cfRule>
  </conditionalFormatting>
  <conditionalFormatting sqref="I376:L376 H377:H392 J377:K392">
    <cfRule type="expression" dxfId="1327" priority="377" stopIfTrue="1">
      <formula>"esterreur(reference)"</formula>
    </cfRule>
  </conditionalFormatting>
  <conditionalFormatting sqref="H397:L398 I396:L396 H395:L395 H393:H394 J393:K393">
    <cfRule type="expression" dxfId="1326" priority="378" stopIfTrue="1">
      <formula>"esterreur(reference)"</formula>
    </cfRule>
  </conditionalFormatting>
  <conditionalFormatting sqref="H360:L362 H359 K359">
    <cfRule type="expression" dxfId="1325" priority="379" stopIfTrue="1">
      <formula>"esterreur(reference)"</formula>
    </cfRule>
  </conditionalFormatting>
  <conditionalFormatting sqref="K394">
    <cfRule type="expression" dxfId="1324" priority="380" stopIfTrue="1">
      <formula>"esterreur(reference)"</formula>
    </cfRule>
  </conditionalFormatting>
  <conditionalFormatting sqref="H316:L316">
    <cfRule type="expression" dxfId="1323" priority="381" stopIfTrue="1">
      <formula>"esterreur(reference)"</formula>
    </cfRule>
  </conditionalFormatting>
  <conditionalFormatting sqref="L58">
    <cfRule type="expression" dxfId="1322" priority="352" stopIfTrue="1">
      <formula>"esterreur(reference)"</formula>
    </cfRule>
  </conditionalFormatting>
  <conditionalFormatting sqref="H55:H56 J55:K56 H71 J71:K71">
    <cfRule type="expression" dxfId="1321" priority="383" stopIfTrue="1">
      <formula>"esterreur(reference)"</formula>
    </cfRule>
  </conditionalFormatting>
  <conditionalFormatting sqref="J61:K70 H61:H70">
    <cfRule type="expression" dxfId="1320" priority="384" stopIfTrue="1">
      <formula>"esterreur(reference)"</formula>
    </cfRule>
  </conditionalFormatting>
  <conditionalFormatting sqref="H57:H59 J57:K59">
    <cfRule type="expression" dxfId="1319" priority="385" stopIfTrue="1">
      <formula>"esterreur(reference)"</formula>
    </cfRule>
  </conditionalFormatting>
  <conditionalFormatting sqref="H60 J60:K60">
    <cfRule type="expression" dxfId="1318" priority="386" stopIfTrue="1">
      <formula>"esterreur(reference)"</formula>
    </cfRule>
  </conditionalFormatting>
  <conditionalFormatting sqref="L19 L21:L23">
    <cfRule type="expression" dxfId="1317" priority="360" stopIfTrue="1">
      <formula>"esterreur(reference)"</formula>
    </cfRule>
  </conditionalFormatting>
  <conditionalFormatting sqref="L331:L347">
    <cfRule type="expression" dxfId="1316" priority="257" stopIfTrue="1">
      <formula>"esterreur(reference)"</formula>
    </cfRule>
  </conditionalFormatting>
  <conditionalFormatting sqref="L16:L17">
    <cfRule type="expression" dxfId="1315" priority="361" stopIfTrue="1">
      <formula>"esterreur(reference)"</formula>
    </cfRule>
  </conditionalFormatting>
  <conditionalFormatting sqref="L20">
    <cfRule type="expression" dxfId="1314" priority="359" stopIfTrue="1">
      <formula>"esterreur(reference)"</formula>
    </cfRule>
  </conditionalFormatting>
  <conditionalFormatting sqref="L325">
    <cfRule type="expression" dxfId="1313" priority="261" stopIfTrue="1">
      <formula>"esterreur(reference)"</formula>
    </cfRule>
  </conditionalFormatting>
  <conditionalFormatting sqref="L326">
    <cfRule type="expression" dxfId="1312" priority="260" stopIfTrue="1">
      <formula>"esterreur(reference)"</formula>
    </cfRule>
  </conditionalFormatting>
  <conditionalFormatting sqref="L327">
    <cfRule type="expression" dxfId="1311" priority="259" stopIfTrue="1">
      <formula>"esterreur(reference)"</formula>
    </cfRule>
  </conditionalFormatting>
  <conditionalFormatting sqref="L328">
    <cfRule type="expression" dxfId="1310" priority="258" stopIfTrue="1">
      <formula>"esterreur(reference)"</formula>
    </cfRule>
  </conditionalFormatting>
  <conditionalFormatting sqref="L42">
    <cfRule type="expression" dxfId="1309" priority="358" stopIfTrue="1">
      <formula>"esterreur(reference)"</formula>
    </cfRule>
  </conditionalFormatting>
  <conditionalFormatting sqref="L43">
    <cfRule type="expression" dxfId="1308" priority="357" stopIfTrue="1">
      <formula>"esterreur(reference)"</formula>
    </cfRule>
  </conditionalFormatting>
  <conditionalFormatting sqref="L44">
    <cfRule type="expression" dxfId="1307" priority="356" stopIfTrue="1">
      <formula>"esterreur(reference)"</formula>
    </cfRule>
  </conditionalFormatting>
  <conditionalFormatting sqref="L45:L48">
    <cfRule type="expression" dxfId="1306" priority="355" stopIfTrue="1">
      <formula>"esterreur(reference)"</formula>
    </cfRule>
  </conditionalFormatting>
  <conditionalFormatting sqref="L55">
    <cfRule type="expression" dxfId="1305" priority="354" stopIfTrue="1">
      <formula>"esterreur(reference)"</formula>
    </cfRule>
  </conditionalFormatting>
  <conditionalFormatting sqref="L56">
    <cfRule type="expression" dxfId="1304" priority="353" stopIfTrue="1">
      <formula>"esterreur(reference)"</formula>
    </cfRule>
  </conditionalFormatting>
  <conditionalFormatting sqref="L271">
    <cfRule type="expression" dxfId="1303" priority="272" stopIfTrue="1">
      <formula>"esterreur(reference)"</formula>
    </cfRule>
  </conditionalFormatting>
  <conditionalFormatting sqref="L61">
    <cfRule type="expression" dxfId="1302" priority="351" stopIfTrue="1">
      <formula>"esterreur(reference)"</formula>
    </cfRule>
  </conditionalFormatting>
  <conditionalFormatting sqref="L274">
    <cfRule type="expression" dxfId="1301" priority="270" stopIfTrue="1">
      <formula>"esterreur(reference)"</formula>
    </cfRule>
  </conditionalFormatting>
  <conditionalFormatting sqref="L63">
    <cfRule type="expression" dxfId="1300" priority="350" stopIfTrue="1">
      <formula>"esterreur(reference)"</formula>
    </cfRule>
  </conditionalFormatting>
  <conditionalFormatting sqref="L62">
    <cfRule type="expression" dxfId="1299" priority="349" stopIfTrue="1">
      <formula>"esterreur(reference)"</formula>
    </cfRule>
  </conditionalFormatting>
  <conditionalFormatting sqref="L64">
    <cfRule type="expression" dxfId="1298" priority="348" stopIfTrue="1">
      <formula>"esterreur(reference)"</formula>
    </cfRule>
  </conditionalFormatting>
  <conditionalFormatting sqref="L65">
    <cfRule type="expression" dxfId="1297" priority="347" stopIfTrue="1">
      <formula>"esterreur(reference)"</formula>
    </cfRule>
  </conditionalFormatting>
  <conditionalFormatting sqref="L69 L66:L67">
    <cfRule type="expression" dxfId="1296" priority="346" stopIfTrue="1">
      <formula>"esterreur(reference)"</formula>
    </cfRule>
  </conditionalFormatting>
  <conditionalFormatting sqref="L70">
    <cfRule type="expression" dxfId="1295" priority="345" stopIfTrue="1">
      <formula>"esterreur(reference)"</formula>
    </cfRule>
  </conditionalFormatting>
  <conditionalFormatting sqref="L76:L77">
    <cfRule type="expression" dxfId="1294" priority="344" stopIfTrue="1">
      <formula>"esterreur(reference)"</formula>
    </cfRule>
  </conditionalFormatting>
  <conditionalFormatting sqref="L78:L81">
    <cfRule type="expression" dxfId="1293" priority="343" stopIfTrue="1">
      <formula>"esterreur(reference)"</formula>
    </cfRule>
  </conditionalFormatting>
  <conditionalFormatting sqref="L57">
    <cfRule type="expression" dxfId="1292" priority="341" stopIfTrue="1">
      <formula>"esterreur(reference)"</formula>
    </cfRule>
  </conditionalFormatting>
  <conditionalFormatting sqref="L98:L99">
    <cfRule type="expression" dxfId="1291" priority="338" stopIfTrue="1">
      <formula>"esterreur(reference)"</formula>
    </cfRule>
  </conditionalFormatting>
  <conditionalFormatting sqref="L101">
    <cfRule type="expression" dxfId="1290" priority="337" stopIfTrue="1">
      <formula>"esterreur(reference)"</formula>
    </cfRule>
  </conditionalFormatting>
  <conditionalFormatting sqref="L102">
    <cfRule type="expression" dxfId="1289" priority="336" stopIfTrue="1">
      <formula>"esterreur(reference)"</formula>
    </cfRule>
  </conditionalFormatting>
  <conditionalFormatting sqref="L111">
    <cfRule type="expression" dxfId="1288" priority="334" stopIfTrue="1">
      <formula>"esterreur(reference)"</formula>
    </cfRule>
  </conditionalFormatting>
  <conditionalFormatting sqref="L112">
    <cfRule type="expression" dxfId="1287" priority="333" stopIfTrue="1">
      <formula>"esterreur(reference)"</formula>
    </cfRule>
  </conditionalFormatting>
  <conditionalFormatting sqref="L311">
    <cfRule type="expression" dxfId="1286" priority="264" stopIfTrue="1">
      <formula>"esterreur(reference)"</formula>
    </cfRule>
  </conditionalFormatting>
  <conditionalFormatting sqref="L114">
    <cfRule type="expression" dxfId="1285" priority="332" stopIfTrue="1">
      <formula>"esterreur(reference)"</formula>
    </cfRule>
  </conditionalFormatting>
  <conditionalFormatting sqref="L116:L119">
    <cfRule type="expression" dxfId="1284" priority="331" stopIfTrue="1">
      <formula>"esterreur(reference)"</formula>
    </cfRule>
  </conditionalFormatting>
  <conditionalFormatting sqref="L120">
    <cfRule type="expression" dxfId="1283" priority="330" stopIfTrue="1">
      <formula>"esterreur(reference)"</formula>
    </cfRule>
  </conditionalFormatting>
  <conditionalFormatting sqref="L130">
    <cfRule type="expression" dxfId="1282" priority="327" stopIfTrue="1">
      <formula>"esterreur(reference)"</formula>
    </cfRule>
  </conditionalFormatting>
  <conditionalFormatting sqref="L124">
    <cfRule type="expression" dxfId="1281" priority="329" stopIfTrue="1">
      <formula>"esterreur(reference)"</formula>
    </cfRule>
  </conditionalFormatting>
  <conditionalFormatting sqref="L123">
    <cfRule type="expression" dxfId="1280" priority="328" stopIfTrue="1">
      <formula>"esterreur(reference)"</formula>
    </cfRule>
  </conditionalFormatting>
  <conditionalFormatting sqref="L138">
    <cfRule type="expression" dxfId="1279" priority="321" stopIfTrue="1">
      <formula>"esterreur(reference)"</formula>
    </cfRule>
  </conditionalFormatting>
  <conditionalFormatting sqref="L131">
    <cfRule type="expression" dxfId="1278" priority="326" stopIfTrue="1">
      <formula>"esterreur(reference)"</formula>
    </cfRule>
  </conditionalFormatting>
  <conditionalFormatting sqref="L132">
    <cfRule type="expression" dxfId="1277" priority="325" stopIfTrue="1">
      <formula>"esterreur(reference)"</formula>
    </cfRule>
  </conditionalFormatting>
  <conditionalFormatting sqref="L133">
    <cfRule type="expression" dxfId="1276" priority="324" stopIfTrue="1">
      <formula>"esterreur(reference)"</formula>
    </cfRule>
  </conditionalFormatting>
  <conditionalFormatting sqref="L139">
    <cfRule type="expression" dxfId="1275" priority="320" stopIfTrue="1">
      <formula>"esterreur(reference)"</formula>
    </cfRule>
  </conditionalFormatting>
  <conditionalFormatting sqref="L136">
    <cfRule type="expression" dxfId="1274" priority="323" stopIfTrue="1">
      <formula>"esterreur(reference)"</formula>
    </cfRule>
  </conditionalFormatting>
  <conditionalFormatting sqref="L137">
    <cfRule type="expression" dxfId="1273" priority="322" stopIfTrue="1">
      <formula>"esterreur(reference)"</formula>
    </cfRule>
  </conditionalFormatting>
  <conditionalFormatting sqref="L140">
    <cfRule type="expression" dxfId="1272" priority="319" stopIfTrue="1">
      <formula>"esterreur(reference)"</formula>
    </cfRule>
  </conditionalFormatting>
  <conditionalFormatting sqref="L141">
    <cfRule type="expression" dxfId="1271" priority="318" stopIfTrue="1">
      <formula>"esterreur(reference)"</formula>
    </cfRule>
  </conditionalFormatting>
  <conditionalFormatting sqref="L142">
    <cfRule type="expression" dxfId="1270" priority="317" stopIfTrue="1">
      <formula>"esterreur(reference)"</formula>
    </cfRule>
  </conditionalFormatting>
  <conditionalFormatting sqref="L143">
    <cfRule type="expression" dxfId="1269" priority="316" stopIfTrue="1">
      <formula>"esterreur(reference)"</formula>
    </cfRule>
  </conditionalFormatting>
  <conditionalFormatting sqref="L144">
    <cfRule type="expression" dxfId="1268" priority="315" stopIfTrue="1">
      <formula>"esterreur(reference)"</formula>
    </cfRule>
  </conditionalFormatting>
  <conditionalFormatting sqref="L145">
    <cfRule type="expression" dxfId="1267" priority="314" stopIfTrue="1">
      <formula>"esterreur(reference)"</formula>
    </cfRule>
  </conditionalFormatting>
  <conditionalFormatting sqref="L146">
    <cfRule type="expression" dxfId="1266" priority="313" stopIfTrue="1">
      <formula>"esterreur(reference)"</formula>
    </cfRule>
  </conditionalFormatting>
  <conditionalFormatting sqref="L147">
    <cfRule type="expression" dxfId="1265" priority="312" stopIfTrue="1">
      <formula>"esterreur(reference)"</formula>
    </cfRule>
  </conditionalFormatting>
  <conditionalFormatting sqref="L155">
    <cfRule type="expression" dxfId="1264" priority="311" stopIfTrue="1">
      <formula>"esterreur(reference)"</formula>
    </cfRule>
  </conditionalFormatting>
  <conditionalFormatting sqref="L157">
    <cfRule type="expression" dxfId="1263" priority="309" stopIfTrue="1">
      <formula>"esterreur(reference)"</formula>
    </cfRule>
  </conditionalFormatting>
  <conditionalFormatting sqref="L156">
    <cfRule type="expression" dxfId="1262" priority="310" stopIfTrue="1">
      <formula>"esterreur(reference)"</formula>
    </cfRule>
  </conditionalFormatting>
  <conditionalFormatting sqref="L115">
    <cfRule type="expression" dxfId="1261" priority="308" stopIfTrue="1">
      <formula>"esterreur(reference)"</formula>
    </cfRule>
  </conditionalFormatting>
  <conditionalFormatting sqref="L113">
    <cfRule type="expression" dxfId="1260" priority="307" stopIfTrue="1">
      <formula>"esterreur(reference)"</formula>
    </cfRule>
  </conditionalFormatting>
  <conditionalFormatting sqref="L267">
    <cfRule type="expression" dxfId="1259" priority="276" stopIfTrue="1">
      <formula>"esterreur(reference)"</formula>
    </cfRule>
  </conditionalFormatting>
  <conditionalFormatting sqref="L268">
    <cfRule type="expression" dxfId="1258" priority="275" stopIfTrue="1">
      <formula>"esterreur(reference)"</formula>
    </cfRule>
  </conditionalFormatting>
  <conditionalFormatting sqref="L269">
    <cfRule type="expression" dxfId="1257" priority="274" stopIfTrue="1">
      <formula>"esterreur(reference)"</formula>
    </cfRule>
  </conditionalFormatting>
  <conditionalFormatting sqref="L270">
    <cfRule type="expression" dxfId="1256" priority="273" stopIfTrue="1">
      <formula>"esterreur(reference)"</formula>
    </cfRule>
  </conditionalFormatting>
  <conditionalFormatting sqref="L272:L273">
    <cfRule type="expression" dxfId="1255" priority="271" stopIfTrue="1">
      <formula>"esterreur(reference)"</formula>
    </cfRule>
  </conditionalFormatting>
  <conditionalFormatting sqref="L295:L300">
    <cfRule type="expression" dxfId="1254" priority="269" stopIfTrue="1">
      <formula>"esterreur(reference)"</formula>
    </cfRule>
  </conditionalFormatting>
  <conditionalFormatting sqref="L301">
    <cfRule type="expression" dxfId="1253" priority="268" stopIfTrue="1">
      <formula>"esterreur(reference)"</formula>
    </cfRule>
  </conditionalFormatting>
  <conditionalFormatting sqref="L302">
    <cfRule type="expression" dxfId="1252" priority="267" stopIfTrue="1">
      <formula>"esterreur(reference)"</formula>
    </cfRule>
  </conditionalFormatting>
  <conditionalFormatting sqref="L307">
    <cfRule type="expression" dxfId="1251" priority="265" stopIfTrue="1">
      <formula>"esterreur(reference)"</formula>
    </cfRule>
  </conditionalFormatting>
  <conditionalFormatting sqref="L306">
    <cfRule type="expression" dxfId="1250" priority="266" stopIfTrue="1">
      <formula>"esterreur(reference)"</formula>
    </cfRule>
  </conditionalFormatting>
  <conditionalFormatting sqref="L317">
    <cfRule type="expression" dxfId="1249" priority="263" stopIfTrue="1">
      <formula>"esterreur(reference)"</formula>
    </cfRule>
  </conditionalFormatting>
  <conditionalFormatting sqref="L318">
    <cfRule type="expression" dxfId="1248" priority="262" stopIfTrue="1">
      <formula>"esterreur(reference)"</formula>
    </cfRule>
  </conditionalFormatting>
  <conditionalFormatting sqref="L243">
    <cfRule type="expression" dxfId="1247" priority="289" stopIfTrue="1">
      <formula>"esterreur(reference)"</formula>
    </cfRule>
  </conditionalFormatting>
  <conditionalFormatting sqref="L246">
    <cfRule type="expression" dxfId="1246" priority="288" stopIfTrue="1">
      <formula>"esterreur(reference)"</formula>
    </cfRule>
  </conditionalFormatting>
  <conditionalFormatting sqref="L253">
    <cfRule type="expression" dxfId="1245" priority="287" stopIfTrue="1">
      <formula>"esterreur(reference)"</formula>
    </cfRule>
  </conditionalFormatting>
  <conditionalFormatting sqref="L254">
    <cfRule type="expression" dxfId="1244" priority="286" stopIfTrue="1">
      <formula>"esterreur(reference)"</formula>
    </cfRule>
  </conditionalFormatting>
  <conditionalFormatting sqref="L255">
    <cfRule type="expression" dxfId="1243" priority="285" stopIfTrue="1">
      <formula>"esterreur(reference)"</formula>
    </cfRule>
  </conditionalFormatting>
  <conditionalFormatting sqref="L256">
    <cfRule type="expression" dxfId="1242" priority="284" stopIfTrue="1">
      <formula>"esterreur(reference)"</formula>
    </cfRule>
  </conditionalFormatting>
  <conditionalFormatting sqref="L257">
    <cfRule type="expression" dxfId="1241" priority="283" stopIfTrue="1">
      <formula>"esterreur(reference)"</formula>
    </cfRule>
  </conditionalFormatting>
  <conditionalFormatting sqref="L258">
    <cfRule type="expression" dxfId="1240" priority="282" stopIfTrue="1">
      <formula>"esterreur(reference)"</formula>
    </cfRule>
  </conditionalFormatting>
  <conditionalFormatting sqref="L259">
    <cfRule type="expression" dxfId="1239" priority="281" stopIfTrue="1">
      <formula>"esterreur(reference)"</formula>
    </cfRule>
  </conditionalFormatting>
  <conditionalFormatting sqref="L260">
    <cfRule type="expression" dxfId="1238" priority="280" stopIfTrue="1">
      <formula>"esterreur(reference)"</formula>
    </cfRule>
  </conditionalFormatting>
  <conditionalFormatting sqref="L261">
    <cfRule type="expression" dxfId="1237" priority="279" stopIfTrue="1">
      <formula>"esterreur(reference)"</formula>
    </cfRule>
  </conditionalFormatting>
  <conditionalFormatting sqref="L262">
    <cfRule type="expression" dxfId="1236" priority="278" stopIfTrue="1">
      <formula>"esterreur(reference)"</formula>
    </cfRule>
  </conditionalFormatting>
  <conditionalFormatting sqref="L263:L264">
    <cfRule type="expression" dxfId="1235" priority="277" stopIfTrue="1">
      <formula>"esterreur(reference)"</formula>
    </cfRule>
  </conditionalFormatting>
  <conditionalFormatting sqref="K5">
    <cfRule type="expression" dxfId="1234" priority="256" stopIfTrue="1">
      <formula>"esterreur(reference)"</formula>
    </cfRule>
  </conditionalFormatting>
  <conditionalFormatting sqref="O61:P70">
    <cfRule type="expression" dxfId="1233" priority="224" stopIfTrue="1">
      <formula>"esterreur(reference)"</formula>
    </cfRule>
  </conditionalFormatting>
  <conditionalFormatting sqref="K243">
    <cfRule type="expression" dxfId="1232" priority="253" stopIfTrue="1">
      <formula>"esterreur(reference)"</formula>
    </cfRule>
  </conditionalFormatting>
  <conditionalFormatting sqref="K246">
    <cfRule type="expression" dxfId="1231" priority="252" stopIfTrue="1">
      <formula>"esterreur(reference)"</formula>
    </cfRule>
  </conditionalFormatting>
  <conditionalFormatting sqref="J306:J307">
    <cfRule type="expression" dxfId="1230" priority="251" stopIfTrue="1">
      <formula>"esterreur(reference)"</formula>
    </cfRule>
  </conditionalFormatting>
  <conditionalFormatting sqref="Q19 Q21:Q23">
    <cfRule type="expression" dxfId="1229" priority="220" stopIfTrue="1">
      <formula>"esterreur(reference)"</formula>
    </cfRule>
  </conditionalFormatting>
  <conditionalFormatting sqref="Q20">
    <cfRule type="expression" dxfId="1228" priority="219" stopIfTrue="1">
      <formula>"esterreur(reference)"</formula>
    </cfRule>
  </conditionalFormatting>
  <conditionalFormatting sqref="J311">
    <cfRule type="expression" dxfId="1227" priority="248" stopIfTrue="1">
      <formula>"esterreur(reference)"</formula>
    </cfRule>
  </conditionalFormatting>
  <conditionalFormatting sqref="L364:L375">
    <cfRule type="expression" dxfId="1226" priority="247" stopIfTrue="1">
      <formula>"esterreur(reference)"</formula>
    </cfRule>
  </conditionalFormatting>
  <conditionalFormatting sqref="L377:L393">
    <cfRule type="expression" dxfId="1225" priority="246" stopIfTrue="1">
      <formula>"esterreur(reference)"</formula>
    </cfRule>
  </conditionalFormatting>
  <conditionalFormatting sqref="K93">
    <cfRule type="expression" dxfId="1224" priority="245" stopIfTrue="1">
      <formula>"esterreur(reference)"</formula>
    </cfRule>
  </conditionalFormatting>
  <conditionalFormatting sqref="K239">
    <cfRule type="expression" dxfId="1223" priority="244" stopIfTrue="1">
      <formula>"esterreur(reference)"</formula>
    </cfRule>
  </conditionalFormatting>
  <conditionalFormatting sqref="L239">
    <cfRule type="expression" dxfId="1222" priority="243" stopIfTrue="1">
      <formula>"esterreur(reference)"</formula>
    </cfRule>
  </conditionalFormatting>
  <conditionalFormatting sqref="F183">
    <cfRule type="expression" dxfId="1221" priority="242" stopIfTrue="1">
      <formula>"esterreur(reference)"</formula>
    </cfRule>
  </conditionalFormatting>
  <conditionalFormatting sqref="J359">
    <cfRule type="expression" dxfId="1220" priority="241" stopIfTrue="1">
      <formula>"esterreur(reference)"</formula>
    </cfRule>
  </conditionalFormatting>
  <conditionalFormatting sqref="L359">
    <cfRule type="expression" dxfId="1219" priority="240" stopIfTrue="1">
      <formula>"esterreur(reference)"</formula>
    </cfRule>
  </conditionalFormatting>
  <conditionalFormatting sqref="S185">
    <cfRule type="expression" dxfId="1218" priority="239" stopIfTrue="1">
      <formula>"esterreur(reference)"</formula>
    </cfRule>
  </conditionalFormatting>
  <conditionalFormatting sqref="Q56">
    <cfRule type="expression" dxfId="1217" priority="210" stopIfTrue="1">
      <formula>"esterreur(reference)"</formula>
    </cfRule>
  </conditionalFormatting>
  <conditionalFormatting sqref="AO408:AO413">
    <cfRule type="cellIs" dxfId="1216" priority="237" operator="greaterThan">
      <formula>0</formula>
    </cfRule>
  </conditionalFormatting>
  <conditionalFormatting sqref="L71">
    <cfRule type="expression" dxfId="1215" priority="236" stopIfTrue="1">
      <formula>"esterreur(reference)"</formula>
    </cfRule>
  </conditionalFormatting>
  <conditionalFormatting sqref="Q66:Q69">
    <cfRule type="expression" dxfId="1214" priority="203" stopIfTrue="1">
      <formula>"esterreur(reference)"</formula>
    </cfRule>
  </conditionalFormatting>
  <conditionalFormatting sqref="L122">
    <cfRule type="expression" dxfId="1213" priority="235" stopIfTrue="1">
      <formula>"esterreur(reference)"</formula>
    </cfRule>
  </conditionalFormatting>
  <conditionalFormatting sqref="L266">
    <cfRule type="expression" dxfId="1212" priority="232" stopIfTrue="1">
      <formula>"esterreur(reference)"</formula>
    </cfRule>
  </conditionalFormatting>
  <conditionalFormatting sqref="L135">
    <cfRule type="expression" dxfId="1211" priority="234" stopIfTrue="1">
      <formula>"esterreur(reference)"</formula>
    </cfRule>
  </conditionalFormatting>
  <conditionalFormatting sqref="L330">
    <cfRule type="expression" dxfId="1210" priority="231" stopIfTrue="1">
      <formula>"esterreur(reference)"</formula>
    </cfRule>
  </conditionalFormatting>
  <conditionalFormatting sqref="L75">
    <cfRule type="expression" dxfId="1209" priority="230" stopIfTrue="1">
      <formula>"esterreur(reference)"</formula>
    </cfRule>
  </conditionalFormatting>
  <conditionalFormatting sqref="L60">
    <cfRule type="expression" dxfId="1208" priority="228" stopIfTrue="1">
      <formula>"esterreur(reference)"</formula>
    </cfRule>
  </conditionalFormatting>
  <conditionalFormatting sqref="L59">
    <cfRule type="expression" dxfId="1207" priority="229" stopIfTrue="1">
      <formula>"esterreur(reference)"</formula>
    </cfRule>
  </conditionalFormatting>
  <conditionalFormatting sqref="F5">
    <cfRule type="expression" dxfId="1206" priority="227" stopIfTrue="1">
      <formula>"esterreur(reference)"</formula>
    </cfRule>
  </conditionalFormatting>
  <conditionalFormatting sqref="O25:Q30 Q18 O83:Q85 O41:Q41 O72:Q72 Q24 O13:O14 O16 O18:O24 O49:Q54 O31:P40 O42:P48 Q6:Q14">
    <cfRule type="expression" dxfId="1205" priority="222" stopIfTrue="1">
      <formula>"esterreur(reference)"</formula>
    </cfRule>
  </conditionalFormatting>
  <conditionalFormatting sqref="P5">
    <cfRule type="expression" dxfId="1204" priority="199" stopIfTrue="1">
      <formula>"esterreur(reference)"</formula>
    </cfRule>
  </conditionalFormatting>
  <conditionalFormatting sqref="Q32">
    <cfRule type="expression" dxfId="1203" priority="217" stopIfTrue="1">
      <formula>"esterreur(reference)"</formula>
    </cfRule>
  </conditionalFormatting>
  <conditionalFormatting sqref="Q35">
    <cfRule type="expression" dxfId="1202" priority="216" stopIfTrue="1">
      <formula>"esterreur(reference)"</formula>
    </cfRule>
  </conditionalFormatting>
  <conditionalFormatting sqref="O55:P56 O71:P71">
    <cfRule type="expression" dxfId="1201" priority="223" stopIfTrue="1">
      <formula>"esterreur(reference)"</formula>
    </cfRule>
  </conditionalFormatting>
  <conditionalFormatting sqref="O57:P59">
    <cfRule type="expression" dxfId="1200" priority="225" stopIfTrue="1">
      <formula>"esterreur(reference)"</formula>
    </cfRule>
  </conditionalFormatting>
  <conditionalFormatting sqref="O60:P60">
    <cfRule type="expression" dxfId="1199" priority="226" stopIfTrue="1">
      <formula>"esterreur(reference)"</formula>
    </cfRule>
  </conditionalFormatting>
  <conditionalFormatting sqref="Q16:Q17">
    <cfRule type="expression" dxfId="1198" priority="221" stopIfTrue="1">
      <formula>"esterreur(reference)"</formula>
    </cfRule>
  </conditionalFormatting>
  <conditionalFormatting sqref="Q31 Q33:Q34">
    <cfRule type="expression" dxfId="1197" priority="218" stopIfTrue="1">
      <formula>"esterreur(reference)"</formula>
    </cfRule>
  </conditionalFormatting>
  <conditionalFormatting sqref="Q42">
    <cfRule type="expression" dxfId="1196" priority="215" stopIfTrue="1">
      <formula>"esterreur(reference)"</formula>
    </cfRule>
  </conditionalFormatting>
  <conditionalFormatting sqref="Q43">
    <cfRule type="expression" dxfId="1195" priority="214" stopIfTrue="1">
      <formula>"esterreur(reference)"</formula>
    </cfRule>
  </conditionalFormatting>
  <conditionalFormatting sqref="Q44">
    <cfRule type="expression" dxfId="1194" priority="213" stopIfTrue="1">
      <formula>"esterreur(reference)"</formula>
    </cfRule>
  </conditionalFormatting>
  <conditionalFormatting sqref="Q45:Q48">
    <cfRule type="expression" dxfId="1193" priority="212" stopIfTrue="1">
      <formula>"esterreur(reference)"</formula>
    </cfRule>
  </conditionalFormatting>
  <conditionalFormatting sqref="Q55">
    <cfRule type="expression" dxfId="1192" priority="211" stopIfTrue="1">
      <formula>"esterreur(reference)"</formula>
    </cfRule>
  </conditionalFormatting>
  <conditionalFormatting sqref="Q58">
    <cfRule type="expression" dxfId="1191" priority="209" stopIfTrue="1">
      <formula>"esterreur(reference)"</formula>
    </cfRule>
  </conditionalFormatting>
  <conditionalFormatting sqref="Q61">
    <cfRule type="expression" dxfId="1190" priority="208" stopIfTrue="1">
      <formula>"esterreur(reference)"</formula>
    </cfRule>
  </conditionalFormatting>
  <conditionalFormatting sqref="Q63">
    <cfRule type="expression" dxfId="1189" priority="207" stopIfTrue="1">
      <formula>"esterreur(reference)"</formula>
    </cfRule>
  </conditionalFormatting>
  <conditionalFormatting sqref="Q62">
    <cfRule type="expression" dxfId="1188" priority="206" stopIfTrue="1">
      <formula>"esterreur(reference)"</formula>
    </cfRule>
  </conditionalFormatting>
  <conditionalFormatting sqref="Q64">
    <cfRule type="expression" dxfId="1187" priority="205" stopIfTrue="1">
      <formula>"esterreur(reference)"</formula>
    </cfRule>
  </conditionalFormatting>
  <conditionalFormatting sqref="Q65">
    <cfRule type="expression" dxfId="1186" priority="204" stopIfTrue="1">
      <formula>"esterreur(reference)"</formula>
    </cfRule>
  </conditionalFormatting>
  <conditionalFormatting sqref="Q70">
    <cfRule type="expression" dxfId="1185" priority="202" stopIfTrue="1">
      <formula>"esterreur(reference)"</formula>
    </cfRule>
  </conditionalFormatting>
  <conditionalFormatting sqref="Q75:Q82">
    <cfRule type="expression" dxfId="1184" priority="201" stopIfTrue="1">
      <formula>"esterreur(reference)"</formula>
    </cfRule>
  </conditionalFormatting>
  <conditionalFormatting sqref="Q57">
    <cfRule type="expression" dxfId="1183" priority="200" stopIfTrue="1">
      <formula>"esterreur(reference)"</formula>
    </cfRule>
  </conditionalFormatting>
  <conditionalFormatting sqref="Q71">
    <cfRule type="expression" dxfId="1182" priority="197" stopIfTrue="1">
      <formula>"esterreur(reference)"</formula>
    </cfRule>
  </conditionalFormatting>
  <conditionalFormatting sqref="Q60">
    <cfRule type="expression" dxfId="1181" priority="195" stopIfTrue="1">
      <formula>"esterreur(reference)"</formula>
    </cfRule>
  </conditionalFormatting>
  <conditionalFormatting sqref="Q59">
    <cfRule type="expression" dxfId="1180" priority="196" stopIfTrue="1">
      <formula>"esterreur(reference)"</formula>
    </cfRule>
  </conditionalFormatting>
  <conditionalFormatting sqref="O163:Q163 O164:P164 O121:Q121 O152:Q152 O96:Q97 O100:Q100 O104:Q106 O134:Q134 O101:P103 O135:P136 O155:P156 O111:P120 P98:P99 O108:Q110">
    <cfRule type="expression" dxfId="1179" priority="190" stopIfTrue="1">
      <formula>"esterreur(reference)"</formula>
    </cfRule>
  </conditionalFormatting>
  <conditionalFormatting sqref="O141:P147">
    <cfRule type="expression" dxfId="1178" priority="191" stopIfTrue="1">
      <formula>"esterreur(reference)"</formula>
    </cfRule>
  </conditionalFormatting>
  <conditionalFormatting sqref="O137:P139">
    <cfRule type="expression" dxfId="1177" priority="192" stopIfTrue="1">
      <formula>"esterreur(reference)"</formula>
    </cfRule>
  </conditionalFormatting>
  <conditionalFormatting sqref="O140:P140">
    <cfRule type="expression" dxfId="1176" priority="193" stopIfTrue="1">
      <formula>"esterreur(reference)"</formula>
    </cfRule>
  </conditionalFormatting>
  <conditionalFormatting sqref="Q101">
    <cfRule type="expression" dxfId="1175" priority="187" stopIfTrue="1">
      <formula>"esterreur(reference)"</formula>
    </cfRule>
  </conditionalFormatting>
  <conditionalFormatting sqref="Q102">
    <cfRule type="expression" dxfId="1174" priority="186" stopIfTrue="1">
      <formula>"esterreur(reference)"</formula>
    </cfRule>
  </conditionalFormatting>
  <conditionalFormatting sqref="Q103">
    <cfRule type="expression" dxfId="1173" priority="185" stopIfTrue="1">
      <formula>"esterreur(reference)"</formula>
    </cfRule>
  </conditionalFormatting>
  <conditionalFormatting sqref="Q111">
    <cfRule type="expression" dxfId="1172" priority="184" stopIfTrue="1">
      <formula>"esterreur(reference)"</formula>
    </cfRule>
  </conditionalFormatting>
  <conditionalFormatting sqref="Q112">
    <cfRule type="expression" dxfId="1171" priority="183" stopIfTrue="1">
      <formula>"esterreur(reference)"</formula>
    </cfRule>
  </conditionalFormatting>
  <conditionalFormatting sqref="Q114">
    <cfRule type="expression" dxfId="1170" priority="182" stopIfTrue="1">
      <formula>"esterreur(reference)"</formula>
    </cfRule>
  </conditionalFormatting>
  <conditionalFormatting sqref="Q116:Q119">
    <cfRule type="expression" dxfId="1169" priority="181" stopIfTrue="1">
      <formula>"esterreur(reference)"</formula>
    </cfRule>
  </conditionalFormatting>
  <conditionalFormatting sqref="Q120">
    <cfRule type="expression" dxfId="1168" priority="180" stopIfTrue="1">
      <formula>"esterreur(reference)"</formula>
    </cfRule>
  </conditionalFormatting>
  <conditionalFormatting sqref="Q130">
    <cfRule type="expression" dxfId="1167" priority="177" stopIfTrue="1">
      <formula>"esterreur(reference)"</formula>
    </cfRule>
  </conditionalFormatting>
  <conditionalFormatting sqref="Q124">
    <cfRule type="expression" dxfId="1166" priority="179" stopIfTrue="1">
      <formula>"esterreur(reference)"</formula>
    </cfRule>
  </conditionalFormatting>
  <conditionalFormatting sqref="Q123">
    <cfRule type="expression" dxfId="1165" priority="178" stopIfTrue="1">
      <formula>"esterreur(reference)"</formula>
    </cfRule>
  </conditionalFormatting>
  <conditionalFormatting sqref="Q139">
    <cfRule type="expression" dxfId="1164" priority="170" stopIfTrue="1">
      <formula>"esterreur(reference)"</formula>
    </cfRule>
  </conditionalFormatting>
  <conditionalFormatting sqref="Q131">
    <cfRule type="expression" dxfId="1163" priority="176" stopIfTrue="1">
      <formula>"esterreur(reference)"</formula>
    </cfRule>
  </conditionalFormatting>
  <conditionalFormatting sqref="Q132">
    <cfRule type="expression" dxfId="1162" priority="175" stopIfTrue="1">
      <formula>"esterreur(reference)"</formula>
    </cfRule>
  </conditionalFormatting>
  <conditionalFormatting sqref="Q133">
    <cfRule type="expression" dxfId="1161" priority="174" stopIfTrue="1">
      <formula>"esterreur(reference)"</formula>
    </cfRule>
  </conditionalFormatting>
  <conditionalFormatting sqref="Q141">
    <cfRule type="expression" dxfId="1160" priority="168" stopIfTrue="1">
      <formula>"esterreur(reference)"</formula>
    </cfRule>
  </conditionalFormatting>
  <conditionalFormatting sqref="Q136">
    <cfRule type="expression" dxfId="1159" priority="173" stopIfTrue="1">
      <formula>"esterreur(reference)"</formula>
    </cfRule>
  </conditionalFormatting>
  <conditionalFormatting sqref="Q137">
    <cfRule type="expression" dxfId="1158" priority="172" stopIfTrue="1">
      <formula>"esterreur(reference)"</formula>
    </cfRule>
  </conditionalFormatting>
  <conditionalFormatting sqref="Q138">
    <cfRule type="expression" dxfId="1157" priority="171" stopIfTrue="1">
      <formula>"esterreur(reference)"</formula>
    </cfRule>
  </conditionalFormatting>
  <conditionalFormatting sqref="Q143">
    <cfRule type="expression" dxfId="1156" priority="166" stopIfTrue="1">
      <formula>"esterreur(reference)"</formula>
    </cfRule>
  </conditionalFormatting>
  <conditionalFormatting sqref="Q140">
    <cfRule type="expression" dxfId="1155" priority="169" stopIfTrue="1">
      <formula>"esterreur(reference)"</formula>
    </cfRule>
  </conditionalFormatting>
  <conditionalFormatting sqref="Q142">
    <cfRule type="expression" dxfId="1154" priority="167" stopIfTrue="1">
      <formula>"esterreur(reference)"</formula>
    </cfRule>
  </conditionalFormatting>
  <conditionalFormatting sqref="Q144">
    <cfRule type="expression" dxfId="1153" priority="165" stopIfTrue="1">
      <formula>"esterreur(reference)"</formula>
    </cfRule>
  </conditionalFormatting>
  <conditionalFormatting sqref="Q145">
    <cfRule type="expression" dxfId="1152" priority="164" stopIfTrue="1">
      <formula>"esterreur(reference)"</formula>
    </cfRule>
  </conditionalFormatting>
  <conditionalFormatting sqref="Q146">
    <cfRule type="expression" dxfId="1151" priority="163" stopIfTrue="1">
      <formula>"esterreur(reference)"</formula>
    </cfRule>
  </conditionalFormatting>
  <conditionalFormatting sqref="Q147">
    <cfRule type="expression" dxfId="1150" priority="162" stopIfTrue="1">
      <formula>"esterreur(reference)"</formula>
    </cfRule>
  </conditionalFormatting>
  <conditionalFormatting sqref="Q113">
    <cfRule type="expression" dxfId="1149" priority="159" stopIfTrue="1">
      <formula>"esterreur(reference)"</formula>
    </cfRule>
  </conditionalFormatting>
  <conditionalFormatting sqref="Q155:Q161">
    <cfRule type="expression" dxfId="1148" priority="161" stopIfTrue="1">
      <formula>"esterreur(reference)"</formula>
    </cfRule>
  </conditionalFormatting>
  <conditionalFormatting sqref="Q115">
    <cfRule type="expression" dxfId="1147" priority="160" stopIfTrue="1">
      <formula>"esterreur(reference)"</formula>
    </cfRule>
  </conditionalFormatting>
  <conditionalFormatting sqref="P93">
    <cfRule type="expression" dxfId="1146" priority="158" stopIfTrue="1">
      <formula>"esterreur(reference)"</formula>
    </cfRule>
  </conditionalFormatting>
  <conditionalFormatting sqref="Q122">
    <cfRule type="expression" dxfId="1145" priority="157" stopIfTrue="1">
      <formula>"esterreur(reference)"</formula>
    </cfRule>
  </conditionalFormatting>
  <conditionalFormatting sqref="Q135">
    <cfRule type="expression" dxfId="1144" priority="156" stopIfTrue="1">
      <formula>"esterreur(reference)"</formula>
    </cfRule>
  </conditionalFormatting>
  <conditionalFormatting sqref="O231:Q231 O232:P232 O228:P228">
    <cfRule type="expression" dxfId="1143" priority="153" stopIfTrue="1">
      <formula>"esterreur(reference)"</formula>
    </cfRule>
  </conditionalFormatting>
  <conditionalFormatting sqref="O316:Q316">
    <cfRule type="expression" dxfId="1142" priority="119" stopIfTrue="1">
      <formula>"esterreur(reference)"</formula>
    </cfRule>
  </conditionalFormatting>
  <conditionalFormatting sqref="O308:Q309 O303:Q305 O351:Q351 O352:P352 O348:Q348 O312:Q315 P306:P307 P311 O294:P302 Q319:Q324 O317:P347">
    <cfRule type="expression" dxfId="1141" priority="118" stopIfTrue="1">
      <formula>"esterreur(reference)"</formula>
    </cfRule>
  </conditionalFormatting>
  <conditionalFormatting sqref="Q294:Q300">
    <cfRule type="expression" dxfId="1140" priority="117" stopIfTrue="1">
      <formula>"esterreur(reference)"</formula>
    </cfRule>
  </conditionalFormatting>
  <conditionalFormatting sqref="Q301">
    <cfRule type="expression" dxfId="1139" priority="116" stopIfTrue="1">
      <formula>"esterreur(reference)"</formula>
    </cfRule>
  </conditionalFormatting>
  <conditionalFormatting sqref="Q302">
    <cfRule type="expression" dxfId="1138" priority="115" stopIfTrue="1">
      <formula>"esterreur(reference)"</formula>
    </cfRule>
  </conditionalFormatting>
  <conditionalFormatting sqref="Q306">
    <cfRule type="expression" dxfId="1137" priority="114" stopIfTrue="1">
      <formula>"esterreur(reference)"</formula>
    </cfRule>
  </conditionalFormatting>
  <conditionalFormatting sqref="Q307">
    <cfRule type="expression" dxfId="1136" priority="113" stopIfTrue="1">
      <formula>"esterreur(reference)"</formula>
    </cfRule>
  </conditionalFormatting>
  <conditionalFormatting sqref="Q311">
    <cfRule type="expression" dxfId="1135" priority="112" stopIfTrue="1">
      <formula>"esterreur(reference)"</formula>
    </cfRule>
  </conditionalFormatting>
  <conditionalFormatting sqref="Q318">
    <cfRule type="expression" dxfId="1134" priority="110" stopIfTrue="1">
      <formula>"esterreur(reference)"</formula>
    </cfRule>
  </conditionalFormatting>
  <conditionalFormatting sqref="Q317">
    <cfRule type="expression" dxfId="1133" priority="111" stopIfTrue="1">
      <formula>"esterreur(reference)"</formula>
    </cfRule>
  </conditionalFormatting>
  <conditionalFormatting sqref="Q325">
    <cfRule type="expression" dxfId="1132" priority="109" stopIfTrue="1">
      <formula>"esterreur(reference)"</formula>
    </cfRule>
  </conditionalFormatting>
  <conditionalFormatting sqref="Q326">
    <cfRule type="expression" dxfId="1131" priority="108" stopIfTrue="1">
      <formula>"esterreur(reference)"</formula>
    </cfRule>
  </conditionalFormatting>
  <conditionalFormatting sqref="Q327">
    <cfRule type="expression" dxfId="1130" priority="107" stopIfTrue="1">
      <formula>"esterreur(reference)"</formula>
    </cfRule>
  </conditionalFormatting>
  <conditionalFormatting sqref="Q328">
    <cfRule type="expression" dxfId="1129" priority="106" stopIfTrue="1">
      <formula>"esterreur(reference)"</formula>
    </cfRule>
  </conditionalFormatting>
  <conditionalFormatting sqref="Q331:Q347">
    <cfRule type="expression" dxfId="1128" priority="105" stopIfTrue="1">
      <formula>"esterreur(reference)"</formula>
    </cfRule>
  </conditionalFormatting>
  <conditionalFormatting sqref="O306:O307">
    <cfRule type="expression" dxfId="1127" priority="104" stopIfTrue="1">
      <formula>"esterreur(reference)"</formula>
    </cfRule>
  </conditionalFormatting>
  <conditionalFormatting sqref="O311">
    <cfRule type="expression" dxfId="1126" priority="103" stopIfTrue="1">
      <formula>"esterreur(reference)"</formula>
    </cfRule>
  </conditionalFormatting>
  <conditionalFormatting sqref="Q330">
    <cfRule type="expression" dxfId="1125" priority="102" stopIfTrue="1">
      <formula>"esterreur(reference)"</formula>
    </cfRule>
  </conditionalFormatting>
  <conditionalFormatting sqref="P394">
    <cfRule type="expression" dxfId="1124" priority="101" stopIfTrue="1">
      <formula>"esterreur(reference)"</formula>
    </cfRule>
  </conditionalFormatting>
  <conditionalFormatting sqref="O360:Q362 P359">
    <cfRule type="expression" dxfId="1123" priority="100" stopIfTrue="1">
      <formula>"esterreur(reference)"</formula>
    </cfRule>
  </conditionalFormatting>
  <conditionalFormatting sqref="O395:Q398 O393:P393">
    <cfRule type="expression" dxfId="1122" priority="99" stopIfTrue="1">
      <formula>"esterreur(reference)"</formula>
    </cfRule>
  </conditionalFormatting>
  <conditionalFormatting sqref="O376:Q376 O377:P392">
    <cfRule type="expression" dxfId="1121" priority="98" stopIfTrue="1">
      <formula>"esterreur(reference)"</formula>
    </cfRule>
  </conditionalFormatting>
  <conditionalFormatting sqref="O358:Q358">
    <cfRule type="expression" dxfId="1120" priority="97" stopIfTrue="1">
      <formula>"esterreur(reference)"</formula>
    </cfRule>
  </conditionalFormatting>
  <conditionalFormatting sqref="O363:Q363 O364:P375">
    <cfRule type="expression" dxfId="1119" priority="96" stopIfTrue="1">
      <formula>"esterreur(reference)"</formula>
    </cfRule>
  </conditionalFormatting>
  <conditionalFormatting sqref="Q364:Q375">
    <cfRule type="expression" dxfId="1118" priority="95" stopIfTrue="1">
      <formula>"esterreur(reference)"</formula>
    </cfRule>
  </conditionalFormatting>
  <conditionalFormatting sqref="Q377:Q393">
    <cfRule type="expression" dxfId="1117" priority="94" stopIfTrue="1">
      <formula>"esterreur(reference)"</formula>
    </cfRule>
  </conditionalFormatting>
  <conditionalFormatting sqref="O359">
    <cfRule type="expression" dxfId="1116" priority="93" stopIfTrue="1">
      <formula>"esterreur(reference)"</formula>
    </cfRule>
  </conditionalFormatting>
  <conditionalFormatting sqref="Q359">
    <cfRule type="expression" dxfId="1115" priority="92" stopIfTrue="1">
      <formula>"esterreur(reference)"</formula>
    </cfRule>
  </conditionalFormatting>
  <conditionalFormatting sqref="Q36:Q40">
    <cfRule type="expression" dxfId="1114" priority="91" stopIfTrue="1">
      <formula>"esterreur(reference)"</formula>
    </cfRule>
  </conditionalFormatting>
  <conditionalFormatting sqref="L68">
    <cfRule type="expression" dxfId="1113" priority="90" stopIfTrue="1">
      <formula>"esterreur(reference)"</formula>
    </cfRule>
  </conditionalFormatting>
  <conditionalFormatting sqref="Q149:Q151">
    <cfRule type="expression" dxfId="1112" priority="82" stopIfTrue="1">
      <formula>"esterreur(reference)"</formula>
    </cfRule>
  </conditionalFormatting>
  <conditionalFormatting sqref="H148 J148:K148">
    <cfRule type="expression" dxfId="1111" priority="89" stopIfTrue="1">
      <formula>"esterreur(reference)"</formula>
    </cfRule>
  </conditionalFormatting>
  <conditionalFormatting sqref="L148">
    <cfRule type="expression" dxfId="1110" priority="88" stopIfTrue="1">
      <formula>"esterreur(reference)"</formula>
    </cfRule>
  </conditionalFormatting>
  <conditionalFormatting sqref="O148:P148">
    <cfRule type="expression" dxfId="1109" priority="87" stopIfTrue="1">
      <formula>"esterreur(reference)"</formula>
    </cfRule>
  </conditionalFormatting>
  <conditionalFormatting sqref="Q148">
    <cfRule type="expression" dxfId="1108" priority="86" stopIfTrue="1">
      <formula>"esterreur(reference)"</formula>
    </cfRule>
  </conditionalFormatting>
  <conditionalFormatting sqref="H149:H151 J149:K151">
    <cfRule type="expression" dxfId="1107" priority="85" stopIfTrue="1">
      <formula>"esterreur(reference)"</formula>
    </cfRule>
  </conditionalFormatting>
  <conditionalFormatting sqref="L149:L151">
    <cfRule type="expression" dxfId="1106" priority="84" stopIfTrue="1">
      <formula>"esterreur(reference)"</formula>
    </cfRule>
  </conditionalFormatting>
  <conditionalFormatting sqref="O149:P151">
    <cfRule type="expression" dxfId="1105" priority="83" stopIfTrue="1">
      <formula>"esterreur(reference)"</formula>
    </cfRule>
  </conditionalFormatting>
  <conditionalFormatting sqref="L158:L161">
    <cfRule type="expression" dxfId="1104" priority="81" stopIfTrue="1">
      <formula>"esterreur(reference)"</formula>
    </cfRule>
  </conditionalFormatting>
  <conditionalFormatting sqref="AG414:AI417">
    <cfRule type="cellIs" dxfId="1103" priority="80" operator="greaterThan">
      <formula>0</formula>
    </cfRule>
  </conditionalFormatting>
  <conditionalFormatting sqref="AO414:AO417">
    <cfRule type="cellIs" dxfId="1102" priority="79" operator="greaterThan">
      <formula>0</formula>
    </cfRule>
  </conditionalFormatting>
  <conditionalFormatting sqref="Q98:Q99">
    <cfRule type="expression" dxfId="1101" priority="78" stopIfTrue="1">
      <formula>"esterreur(reference)"</formula>
    </cfRule>
  </conditionalFormatting>
  <conditionalFormatting sqref="L93">
    <cfRule type="expression" dxfId="1100" priority="77" stopIfTrue="1">
      <formula>"esterreur(reference)"</formula>
    </cfRule>
  </conditionalFormatting>
  <conditionalFormatting sqref="Q93">
    <cfRule type="expression" dxfId="1099" priority="76" stopIfTrue="1">
      <formula>"esterreur(reference)"</formula>
    </cfRule>
  </conditionalFormatting>
  <conditionalFormatting sqref="L5">
    <cfRule type="expression" dxfId="1098" priority="45" stopIfTrue="1">
      <formula>"esterreur(reference)"</formula>
    </cfRule>
  </conditionalFormatting>
  <conditionalFormatting sqref="I183">
    <cfRule type="expression" dxfId="1097" priority="43" stopIfTrue="1">
      <formula>"esterreur(reference)"</formula>
    </cfRule>
  </conditionalFormatting>
  <conditionalFormatting sqref="Q253">
    <cfRule type="expression" dxfId="1096" priority="35" stopIfTrue="1">
      <formula>"esterreur(reference)"</formula>
    </cfRule>
  </conditionalFormatting>
  <conditionalFormatting sqref="L183">
    <cfRule type="expression" dxfId="1095" priority="42" stopIfTrue="1">
      <formula>"esterreur(reference)"</formula>
    </cfRule>
  </conditionalFormatting>
  <conditionalFormatting sqref="Q183">
    <cfRule type="expression" dxfId="1094" priority="41" stopIfTrue="1">
      <formula>"esterreur(reference)"</formula>
    </cfRule>
  </conditionalFormatting>
  <conditionalFormatting sqref="O281:P282 O283">
    <cfRule type="expression" dxfId="1093" priority="40" stopIfTrue="1">
      <formula>"esterreur(reference)"</formula>
    </cfRule>
  </conditionalFormatting>
  <conditionalFormatting sqref="O275:P280">
    <cfRule type="expression" dxfId="1092" priority="39" stopIfTrue="1">
      <formula>"esterreur(reference)"</formula>
    </cfRule>
  </conditionalFormatting>
  <conditionalFormatting sqref="O287:Q287 O288:P288 O242:Q242 O251:Q252 O284 O253:P274 Q275:Q284">
    <cfRule type="expression" dxfId="1091" priority="38" stopIfTrue="1">
      <formula>"esterreur(reference)"</formula>
    </cfRule>
  </conditionalFormatting>
  <conditionalFormatting sqref="Q246">
    <cfRule type="expression" dxfId="1090" priority="36" stopIfTrue="1">
      <formula>"esterreur(reference)"</formula>
    </cfRule>
  </conditionalFormatting>
  <conditionalFormatting sqref="Q243">
    <cfRule type="expression" dxfId="1089" priority="37" stopIfTrue="1">
      <formula>"esterreur(reference)"</formula>
    </cfRule>
  </conditionalFormatting>
  <conditionalFormatting sqref="Q254">
    <cfRule type="expression" dxfId="1088" priority="34" stopIfTrue="1">
      <formula>"esterreur(reference)"</formula>
    </cfRule>
  </conditionalFormatting>
  <conditionalFormatting sqref="Q255">
    <cfRule type="expression" dxfId="1087" priority="33" stopIfTrue="1">
      <formula>"esterreur(reference)"</formula>
    </cfRule>
  </conditionalFormatting>
  <conditionalFormatting sqref="Q256">
    <cfRule type="expression" dxfId="1086" priority="32" stopIfTrue="1">
      <formula>"esterreur(reference)"</formula>
    </cfRule>
  </conditionalFormatting>
  <conditionalFormatting sqref="Q257">
    <cfRule type="expression" dxfId="1085" priority="31" stopIfTrue="1">
      <formula>"esterreur(reference)"</formula>
    </cfRule>
  </conditionalFormatting>
  <conditionalFormatting sqref="L240">
    <cfRule type="expression" dxfId="1084" priority="59" stopIfTrue="1">
      <formula>"esterreur(reference)"</formula>
    </cfRule>
  </conditionalFormatting>
  <conditionalFormatting sqref="K240">
    <cfRule type="expression" dxfId="1083" priority="58" stopIfTrue="1">
      <formula>"esterreur(reference)"</formula>
    </cfRule>
  </conditionalFormatting>
  <conditionalFormatting sqref="L294">
    <cfRule type="expression" dxfId="1082" priority="57" stopIfTrue="1">
      <formula>"esterreur(reference)"</formula>
    </cfRule>
  </conditionalFormatting>
  <conditionalFormatting sqref="Q260">
    <cfRule type="expression" dxfId="1081" priority="28" stopIfTrue="1">
      <formula>"esterreur(reference)"</formula>
    </cfRule>
  </conditionalFormatting>
  <conditionalFormatting sqref="Q268">
    <cfRule type="expression" dxfId="1080" priority="23" stopIfTrue="1">
      <formula>"esterreur(reference)"</formula>
    </cfRule>
  </conditionalFormatting>
  <conditionalFormatting sqref="Q270">
    <cfRule type="expression" dxfId="1079" priority="21" stopIfTrue="1">
      <formula>"esterreur(reference)"</formula>
    </cfRule>
  </conditionalFormatting>
  <conditionalFormatting sqref="Q262">
    <cfRule type="expression" dxfId="1078" priority="26" stopIfTrue="1">
      <formula>"esterreur(reference)"</formula>
    </cfRule>
  </conditionalFormatting>
  <conditionalFormatting sqref="Q261">
    <cfRule type="expression" dxfId="1077" priority="27" stopIfTrue="1">
      <formula>"esterreur(reference)"</formula>
    </cfRule>
  </conditionalFormatting>
  <conditionalFormatting sqref="Q263:Q264">
    <cfRule type="expression" dxfId="1076" priority="25" stopIfTrue="1">
      <formula>"esterreur(reference)"</formula>
    </cfRule>
  </conditionalFormatting>
  <conditionalFormatting sqref="Q267">
    <cfRule type="expression" dxfId="1075" priority="24" stopIfTrue="1">
      <formula>"esterreur(reference)"</formula>
    </cfRule>
  </conditionalFormatting>
  <conditionalFormatting sqref="Q269">
    <cfRule type="expression" dxfId="1074" priority="22" stopIfTrue="1">
      <formula>"esterreur(reference)"</formula>
    </cfRule>
  </conditionalFormatting>
  <conditionalFormatting sqref="Q271">
    <cfRule type="expression" dxfId="1073" priority="20" stopIfTrue="1">
      <formula>"esterreur(reference)"</formula>
    </cfRule>
  </conditionalFormatting>
  <conditionalFormatting sqref="G111:G112">
    <cfRule type="expression" dxfId="1072" priority="47" stopIfTrue="1">
      <formula>"esterreur(reference)"</formula>
    </cfRule>
  </conditionalFormatting>
  <conditionalFormatting sqref="I5">
    <cfRule type="expression" dxfId="1071" priority="46" stopIfTrue="1">
      <formula>"esterreur(reference)"</formula>
    </cfRule>
  </conditionalFormatting>
  <conditionalFormatting sqref="Q5">
    <cfRule type="expression" dxfId="1070" priority="44" stopIfTrue="1">
      <formula>"esterreur(reference)"</formula>
    </cfRule>
  </conditionalFormatting>
  <conditionalFormatting sqref="Q274">
    <cfRule type="expression" dxfId="1069" priority="18" stopIfTrue="1">
      <formula>"esterreur(reference)"</formula>
    </cfRule>
  </conditionalFormatting>
  <conditionalFormatting sqref="Q258">
    <cfRule type="expression" dxfId="1068" priority="30" stopIfTrue="1">
      <formula>"esterreur(reference)"</formula>
    </cfRule>
  </conditionalFormatting>
  <conditionalFormatting sqref="Q259">
    <cfRule type="expression" dxfId="1067" priority="29" stopIfTrue="1">
      <formula>"esterreur(reference)"</formula>
    </cfRule>
  </conditionalFormatting>
  <conditionalFormatting sqref="Q272:Q273">
    <cfRule type="expression" dxfId="1066" priority="19" stopIfTrue="1">
      <formula>"esterreur(reference)"</formula>
    </cfRule>
  </conditionalFormatting>
  <conditionalFormatting sqref="P243">
    <cfRule type="expression" dxfId="1065" priority="17" stopIfTrue="1">
      <formula>"esterreur(reference)"</formula>
    </cfRule>
  </conditionalFormatting>
  <conditionalFormatting sqref="P246">
    <cfRule type="expression" dxfId="1064" priority="16" stopIfTrue="1">
      <formula>"esterreur(reference)"</formula>
    </cfRule>
  </conditionalFormatting>
  <conditionalFormatting sqref="Q266">
    <cfRule type="expression" dxfId="1063" priority="15" stopIfTrue="1">
      <formula>"esterreur(reference)"</formula>
    </cfRule>
  </conditionalFormatting>
  <conditionalFormatting sqref="Q240">
    <cfRule type="expression" dxfId="1062" priority="14" stopIfTrue="1">
      <formula>"esterreur(reference)"</formula>
    </cfRule>
  </conditionalFormatting>
  <conditionalFormatting sqref="P240">
    <cfRule type="expression" dxfId="1061" priority="13" stopIfTrue="1">
      <formula>"esterreur(reference)"</formula>
    </cfRule>
  </conditionalFormatting>
  <conditionalFormatting sqref="K310">
    <cfRule type="expression" dxfId="1060" priority="10" stopIfTrue="1">
      <formula>"esterreur(reference)"</formula>
    </cfRule>
  </conditionalFormatting>
  <conditionalFormatting sqref="M310">
    <cfRule type="expression" dxfId="1059" priority="11" stopIfTrue="1">
      <formula>"esterreur(reference)"</formula>
    </cfRule>
  </conditionalFormatting>
  <conditionalFormatting sqref="R310">
    <cfRule type="expression" dxfId="1058" priority="12" stopIfTrue="1">
      <formula>"esterreur(reference)"</formula>
    </cfRule>
  </conditionalFormatting>
  <conditionalFormatting sqref="L310">
    <cfRule type="expression" dxfId="1057" priority="9" stopIfTrue="1">
      <formula>"esterreur(reference)"</formula>
    </cfRule>
  </conditionalFormatting>
  <conditionalFormatting sqref="J310">
    <cfRule type="expression" dxfId="1056" priority="8" stopIfTrue="1">
      <formula>"esterreur(reference)"</formula>
    </cfRule>
  </conditionalFormatting>
  <conditionalFormatting sqref="P310">
    <cfRule type="expression" dxfId="1055" priority="7" stopIfTrue="1">
      <formula>"esterreur(reference)"</formula>
    </cfRule>
  </conditionalFormatting>
  <conditionalFormatting sqref="Q310">
    <cfRule type="expression" dxfId="1054" priority="6" stopIfTrue="1">
      <formula>"esterreur(reference)"</formula>
    </cfRule>
  </conditionalFormatting>
  <conditionalFormatting sqref="O310">
    <cfRule type="expression" dxfId="1053" priority="5" stopIfTrue="1">
      <formula>"esterreur(reference)"</formula>
    </cfRule>
  </conditionalFormatting>
  <conditionalFormatting sqref="O107:Q107">
    <cfRule type="expression" dxfId="1052" priority="3" stopIfTrue="1">
      <formula>"esterreur(reference)"</formula>
    </cfRule>
  </conditionalFormatting>
  <conditionalFormatting sqref="G42">
    <cfRule type="expression" dxfId="1051" priority="2" stopIfTrue="1">
      <formula>"esterreur(reference)"</formula>
    </cfRule>
  </conditionalFormatting>
  <conditionalFormatting sqref="G55">
    <cfRule type="expression" dxfId="1050" priority="1" stopIfTrue="1">
      <formula>"esterreur(reference)"</formula>
    </cfRule>
  </conditionalFormatting>
  <printOptions horizontalCentered="1"/>
  <pageMargins left="0.23622047244094491" right="0.23622047244094491" top="0.51181102362204722" bottom="0.23622047244094491" header="0" footer="0"/>
  <pageSetup scale="42" fitToHeight="0" orientation="landscape" r:id="rId1"/>
  <headerFooter>
    <oddFooter>&amp;L&amp;9&amp;F&amp;R&amp;9&amp;P de &amp;N</oddFooter>
  </headerFooter>
  <rowBreaks count="14" manualBreakCount="14">
    <brk id="87" min="2" max="18" man="1"/>
    <brk id="166" min="1" max="1" man="1"/>
    <brk id="88" min="1" max="1" man="1"/>
    <brk id="166" min="2" max="18" man="1"/>
    <brk id="232" min="2" max="18" man="1"/>
    <brk id="234" min="1" max="1" man="1"/>
    <brk id="289" min="2" max="18" man="1"/>
    <brk id="352" min="2" max="18" man="1"/>
    <brk id="398" min="1" max="1" man="1"/>
    <brk id="482" min="1" max="1" man="1"/>
    <brk id="289" min="1" max="1" man="1"/>
    <brk id="482" min="21" max="40" man="1"/>
    <brk id="483" min="1" max="1" man="1"/>
    <brk id="35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sqref="A1:XFD1048576"/>
    </sheetView>
  </sheetViews>
  <sheetFormatPr baseColWidth="10"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697"/>
  <sheetViews>
    <sheetView zoomScale="60" zoomScaleNormal="60" workbookViewId="0"/>
  </sheetViews>
  <sheetFormatPr baseColWidth="10" defaultColWidth="12.59765625" defaultRowHeight="15" customHeight="1"/>
  <cols>
    <col min="1" max="1" width="24.09765625" style="493" customWidth="1"/>
    <col min="2" max="2" width="36" style="493" customWidth="1"/>
    <col min="3" max="3" width="34.59765625" style="493" customWidth="1"/>
    <col min="4" max="4" width="16.3984375" style="493" customWidth="1"/>
    <col min="5" max="5" width="15.59765625" style="493" customWidth="1"/>
    <col min="6" max="6" width="16.8984375" style="493" customWidth="1"/>
    <col min="7" max="7" width="17.69921875" style="493" customWidth="1"/>
    <col min="8" max="8" width="15.59765625" style="493" customWidth="1"/>
    <col min="9" max="9" width="15.8984375" style="493" customWidth="1"/>
    <col min="10" max="10" width="16.69921875" style="493" customWidth="1"/>
    <col min="11" max="11" width="14.5" style="493" customWidth="1"/>
    <col min="12" max="12" width="15.8984375" style="493" customWidth="1"/>
    <col min="13" max="13" width="12" style="493" customWidth="1"/>
    <col min="14" max="14" width="18.59765625" style="493" customWidth="1"/>
    <col min="15" max="15" width="16.3984375" style="493" customWidth="1"/>
    <col min="16" max="16" width="15.59765625" style="493" customWidth="1"/>
    <col min="17" max="17" width="16.3984375" style="493" customWidth="1"/>
    <col min="18" max="18" width="13.8984375" style="493" customWidth="1"/>
    <col min="19" max="19" width="18.59765625" style="493" customWidth="1"/>
    <col min="20" max="20" width="3" style="493" customWidth="1"/>
    <col min="21" max="21" width="13.09765625" style="493" customWidth="1"/>
    <col min="22" max="22" width="28.69921875" style="493" customWidth="1"/>
    <col min="23" max="23" width="12.19921875" style="493" customWidth="1"/>
    <col min="24" max="24" width="17.69921875" style="493" customWidth="1"/>
    <col min="25" max="25" width="10" style="493" customWidth="1"/>
    <col min="26" max="26" width="17.3984375" style="493" customWidth="1"/>
    <col min="27" max="27" width="10.8984375" style="493" customWidth="1"/>
    <col min="28" max="28" width="10" style="493" customWidth="1"/>
    <col min="29" max="29" width="17.5" style="493" customWidth="1"/>
    <col min="30" max="30" width="10.8984375" style="493" customWidth="1"/>
    <col min="31" max="31" width="12" style="493" customWidth="1"/>
    <col min="32" max="32" width="18.8984375" style="493" customWidth="1"/>
    <col min="33" max="33" width="10.8984375" style="493" customWidth="1"/>
    <col min="34" max="34" width="16.19921875" style="493" customWidth="1"/>
    <col min="35" max="35" width="12.3984375" style="493" customWidth="1"/>
    <col min="36" max="36" width="10.8984375" style="493" customWidth="1"/>
    <col min="37" max="37" width="10" style="493" customWidth="1"/>
    <col min="38" max="38" width="17.5" style="493" customWidth="1"/>
    <col min="39" max="39" width="10.8984375" style="493" customWidth="1"/>
    <col min="40" max="40" width="16" style="493" customWidth="1"/>
    <col min="41" max="41" width="12.3984375" style="493" customWidth="1"/>
    <col min="42" max="62" width="11" style="493" customWidth="1"/>
    <col min="63" max="16384" width="12.59765625" style="493"/>
  </cols>
  <sheetData>
    <row r="1" spans="1:40" ht="35.4">
      <c r="B1" s="494"/>
      <c r="C1" s="494" t="s">
        <v>228</v>
      </c>
      <c r="D1" s="2"/>
      <c r="E1" s="2"/>
      <c r="F1" s="2"/>
      <c r="G1" s="2"/>
      <c r="H1" s="494"/>
      <c r="I1" s="2"/>
      <c r="J1" s="494"/>
      <c r="K1" s="3" t="s">
        <v>0</v>
      </c>
      <c r="L1" s="2"/>
      <c r="M1" s="2"/>
      <c r="N1" s="495"/>
      <c r="O1" s="494"/>
      <c r="P1" s="2"/>
      <c r="Q1" s="494"/>
      <c r="R1" s="2"/>
      <c r="S1" s="5" t="s">
        <v>229</v>
      </c>
      <c r="T1" s="2" t="s">
        <v>1</v>
      </c>
      <c r="U1" s="496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</row>
    <row r="2" spans="1:40" ht="15" customHeight="1" thickBot="1">
      <c r="B2" s="49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217</v>
      </c>
      <c r="K2" s="9"/>
      <c r="L2" s="9" t="s">
        <v>214</v>
      </c>
      <c r="M2" s="498"/>
      <c r="N2" s="498"/>
      <c r="O2" s="9" t="s">
        <v>217</v>
      </c>
      <c r="P2" s="9"/>
      <c r="Q2" s="9" t="s">
        <v>214</v>
      </c>
      <c r="R2" s="498"/>
      <c r="S2" s="498"/>
      <c r="T2" s="498"/>
      <c r="U2" s="498"/>
      <c r="V2" s="493" t="s">
        <v>230</v>
      </c>
    </row>
    <row r="3" spans="1:40" ht="21.6" thickTop="1">
      <c r="B3" s="499"/>
      <c r="C3" s="500"/>
      <c r="D3" s="488" t="s">
        <v>5</v>
      </c>
      <c r="E3" s="501"/>
      <c r="F3" s="502"/>
      <c r="G3" s="489" t="s">
        <v>6</v>
      </c>
      <c r="H3" s="501"/>
      <c r="I3" s="502"/>
      <c r="J3" s="489" t="s">
        <v>7</v>
      </c>
      <c r="K3" s="501"/>
      <c r="L3" s="502"/>
      <c r="M3" s="489" t="s">
        <v>8</v>
      </c>
      <c r="N3" s="502"/>
      <c r="O3" s="488" t="s">
        <v>9</v>
      </c>
      <c r="P3" s="501"/>
      <c r="Q3" s="502"/>
      <c r="R3" s="489" t="s">
        <v>10</v>
      </c>
      <c r="S3" s="503"/>
      <c r="T3" s="504"/>
      <c r="U3" s="504"/>
      <c r="V3" s="493" t="s">
        <v>222</v>
      </c>
      <c r="W3" s="505">
        <v>0.45</v>
      </c>
      <c r="X3" s="499"/>
      <c r="Y3" s="499"/>
      <c r="Z3" s="499"/>
      <c r="AA3" s="499"/>
      <c r="AB3" s="499"/>
      <c r="AC3" s="499"/>
      <c r="AD3" s="499"/>
      <c r="AE3" s="499"/>
      <c r="AF3" s="499"/>
      <c r="AG3" s="499"/>
      <c r="AH3" s="499"/>
      <c r="AI3" s="499"/>
      <c r="AJ3" s="499"/>
      <c r="AK3" s="499"/>
      <c r="AL3" s="499"/>
      <c r="AM3" s="499"/>
      <c r="AN3" s="499"/>
    </row>
    <row r="4" spans="1:40" ht="20.399999999999999">
      <c r="B4" s="499"/>
      <c r="C4" s="506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504"/>
      <c r="U4" s="504"/>
      <c r="V4" s="493" t="s">
        <v>223</v>
      </c>
      <c r="W4" s="505">
        <v>0.1</v>
      </c>
      <c r="X4" s="499"/>
      <c r="Y4" s="499"/>
      <c r="Z4" s="499"/>
      <c r="AA4" s="499"/>
      <c r="AB4" s="499"/>
      <c r="AC4" s="499"/>
      <c r="AD4" s="499"/>
      <c r="AE4" s="499"/>
      <c r="AF4" s="499"/>
      <c r="AG4" s="499"/>
      <c r="AH4" s="499"/>
      <c r="AI4" s="499"/>
      <c r="AJ4" s="499"/>
      <c r="AK4" s="499"/>
      <c r="AL4" s="499"/>
      <c r="AM4" s="499"/>
      <c r="AN4" s="499"/>
    </row>
    <row r="5" spans="1:40" ht="20.399999999999999">
      <c r="A5" s="493" t="s">
        <v>231</v>
      </c>
      <c r="B5" s="499" t="s">
        <v>0</v>
      </c>
      <c r="C5" s="507" t="s">
        <v>16</v>
      </c>
      <c r="D5" s="22"/>
      <c r="E5" s="22"/>
      <c r="F5" s="508">
        <v>3254290.8344685077</v>
      </c>
      <c r="G5" s="509"/>
      <c r="H5" s="22"/>
      <c r="I5" s="25">
        <v>3254290.8344685077</v>
      </c>
      <c r="J5" s="509"/>
      <c r="K5" s="510"/>
      <c r="L5" s="508">
        <v>1766312.5499999998</v>
      </c>
      <c r="M5" s="27"/>
      <c r="N5" s="28"/>
      <c r="O5" s="509"/>
      <c r="P5" s="510"/>
      <c r="Q5" s="508">
        <v>3244693.3199999994</v>
      </c>
      <c r="R5" s="27"/>
      <c r="S5" s="29"/>
      <c r="T5" s="504"/>
      <c r="U5" s="504"/>
      <c r="V5" s="511" t="s">
        <v>218</v>
      </c>
      <c r="W5" s="512">
        <v>0.22500000000000001</v>
      </c>
      <c r="X5" s="499"/>
      <c r="Y5" s="499"/>
      <c r="Z5" s="499"/>
      <c r="AA5" s="499"/>
      <c r="AB5" s="499"/>
      <c r="AC5" s="499"/>
      <c r="AD5" s="499"/>
      <c r="AE5" s="499"/>
      <c r="AF5" s="499"/>
      <c r="AG5" s="499"/>
      <c r="AH5" s="499"/>
      <c r="AI5" s="499"/>
      <c r="AJ5" s="499"/>
      <c r="AK5" s="499"/>
      <c r="AL5" s="499"/>
      <c r="AM5" s="499"/>
      <c r="AN5" s="499"/>
    </row>
    <row r="6" spans="1:40" ht="20.399999999999999">
      <c r="A6" s="493" t="s">
        <v>232</v>
      </c>
      <c r="B6" s="499" t="s">
        <v>0</v>
      </c>
      <c r="C6" s="513" t="s">
        <v>17</v>
      </c>
      <c r="D6" s="514">
        <v>16.597590361445782</v>
      </c>
      <c r="E6" s="514">
        <v>1450.6297619047618</v>
      </c>
      <c r="F6" s="514">
        <v>24076.958554216864</v>
      </c>
      <c r="G6" s="515">
        <v>16.597590361445782</v>
      </c>
      <c r="H6" s="514">
        <v>1450.6297619047618</v>
      </c>
      <c r="I6" s="514">
        <v>24076.958554216864</v>
      </c>
      <c r="J6" s="515">
        <v>9</v>
      </c>
      <c r="K6" s="514">
        <v>2549.2733333333349</v>
      </c>
      <c r="L6" s="516">
        <v>22943.460000000014</v>
      </c>
      <c r="M6" s="515">
        <v>-7.597590361445782</v>
      </c>
      <c r="N6" s="517">
        <v>-1133.4985542168506</v>
      </c>
      <c r="O6" s="515">
        <v>24</v>
      </c>
      <c r="P6" s="514">
        <v>474.33791666666485</v>
      </c>
      <c r="Q6" s="516">
        <v>11384.109999999957</v>
      </c>
      <c r="R6" s="515">
        <v>-15</v>
      </c>
      <c r="S6" s="518">
        <v>11559.350000000057</v>
      </c>
      <c r="T6" s="504"/>
      <c r="U6" s="504"/>
      <c r="V6" s="511" t="s">
        <v>224</v>
      </c>
      <c r="W6" s="512">
        <v>2.5000000000000001E-2</v>
      </c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</row>
    <row r="7" spans="1:40" ht="20.399999999999999">
      <c r="A7" s="493" t="s">
        <v>233</v>
      </c>
      <c r="B7" s="499" t="s">
        <v>0</v>
      </c>
      <c r="C7" s="513" t="s">
        <v>18</v>
      </c>
      <c r="D7" s="514">
        <v>57.301204819277103</v>
      </c>
      <c r="E7" s="514">
        <v>2081.8275862068967</v>
      </c>
      <c r="F7" s="514">
        <v>119291.22891566265</v>
      </c>
      <c r="G7" s="515">
        <v>57.301204819277103</v>
      </c>
      <c r="H7" s="514">
        <v>2081.8275862068967</v>
      </c>
      <c r="I7" s="514">
        <v>119291.22891566265</v>
      </c>
      <c r="J7" s="515">
        <v>22</v>
      </c>
      <c r="K7" s="514">
        <v>3588.6731818181765</v>
      </c>
      <c r="L7" s="516">
        <v>78950.809999999881</v>
      </c>
      <c r="M7" s="515">
        <v>-35.301204819277103</v>
      </c>
      <c r="N7" s="517">
        <v>-40340.418915662769</v>
      </c>
      <c r="O7" s="515">
        <v>41</v>
      </c>
      <c r="P7" s="514">
        <v>2167.9160975609743</v>
      </c>
      <c r="Q7" s="516">
        <v>88884.559999999939</v>
      </c>
      <c r="R7" s="515">
        <v>-19</v>
      </c>
      <c r="S7" s="518">
        <v>-9933.7500000000582</v>
      </c>
      <c r="T7" s="504"/>
      <c r="U7" s="504"/>
      <c r="V7" s="493" t="s">
        <v>225</v>
      </c>
      <c r="W7" s="505">
        <v>0.2</v>
      </c>
      <c r="X7" s="499"/>
      <c r="Y7" s="499"/>
      <c r="Z7" s="499"/>
      <c r="AA7" s="499"/>
      <c r="AB7" s="499"/>
      <c r="AC7" s="499"/>
      <c r="AD7" s="499"/>
      <c r="AE7" s="499"/>
      <c r="AF7" s="499"/>
      <c r="AG7" s="499"/>
      <c r="AH7" s="499"/>
      <c r="AI7" s="499"/>
      <c r="AJ7" s="499"/>
      <c r="AK7" s="499"/>
      <c r="AL7" s="499"/>
      <c r="AM7" s="499"/>
      <c r="AN7" s="499"/>
    </row>
    <row r="8" spans="1:40" ht="20.399999999999999">
      <c r="A8" s="493" t="s">
        <v>234</v>
      </c>
      <c r="B8" s="499" t="s">
        <v>0</v>
      </c>
      <c r="C8" s="513" t="s">
        <v>19</v>
      </c>
      <c r="D8" s="514">
        <v>0</v>
      </c>
      <c r="E8" s="514">
        <v>0</v>
      </c>
      <c r="F8" s="514">
        <v>0</v>
      </c>
      <c r="G8" s="515">
        <v>0</v>
      </c>
      <c r="H8" s="514">
        <v>0</v>
      </c>
      <c r="I8" s="514">
        <v>0</v>
      </c>
      <c r="J8" s="515">
        <v>0</v>
      </c>
      <c r="K8" s="514">
        <v>0</v>
      </c>
      <c r="L8" s="516">
        <v>0</v>
      </c>
      <c r="M8" s="515">
        <v>0</v>
      </c>
      <c r="N8" s="517">
        <v>0</v>
      </c>
      <c r="O8" s="515">
        <v>0</v>
      </c>
      <c r="P8" s="514">
        <v>0</v>
      </c>
      <c r="Q8" s="516">
        <v>0</v>
      </c>
      <c r="R8" s="515">
        <v>0</v>
      </c>
      <c r="S8" s="518">
        <v>0</v>
      </c>
      <c r="T8" s="504"/>
      <c r="U8" s="504"/>
      <c r="W8" s="505">
        <v>1</v>
      </c>
      <c r="X8" s="499"/>
      <c r="Y8" s="499"/>
      <c r="Z8" s="499"/>
      <c r="AA8" s="499"/>
      <c r="AB8" s="499"/>
      <c r="AC8" s="499"/>
      <c r="AD8" s="499"/>
      <c r="AE8" s="499"/>
      <c r="AF8" s="499"/>
      <c r="AG8" s="499"/>
      <c r="AH8" s="499"/>
      <c r="AI8" s="499"/>
      <c r="AJ8" s="499"/>
      <c r="AK8" s="499"/>
      <c r="AL8" s="499"/>
      <c r="AM8" s="499"/>
      <c r="AN8" s="499"/>
    </row>
    <row r="9" spans="1:40" ht="20.399999999999999">
      <c r="A9" s="493" t="s">
        <v>235</v>
      </c>
      <c r="B9" s="499" t="s">
        <v>0</v>
      </c>
      <c r="C9" s="513" t="s">
        <v>20</v>
      </c>
      <c r="D9" s="514">
        <v>0</v>
      </c>
      <c r="E9" s="514">
        <v>0</v>
      </c>
      <c r="F9" s="514">
        <v>0</v>
      </c>
      <c r="G9" s="515">
        <v>0</v>
      </c>
      <c r="H9" s="514">
        <v>0</v>
      </c>
      <c r="I9" s="514">
        <v>0</v>
      </c>
      <c r="J9" s="515">
        <v>0</v>
      </c>
      <c r="K9" s="514">
        <v>0</v>
      </c>
      <c r="L9" s="516">
        <v>0</v>
      </c>
      <c r="M9" s="515">
        <v>0</v>
      </c>
      <c r="N9" s="517">
        <v>0</v>
      </c>
      <c r="O9" s="515">
        <v>0</v>
      </c>
      <c r="P9" s="514">
        <v>0</v>
      </c>
      <c r="Q9" s="516">
        <v>0</v>
      </c>
      <c r="R9" s="515">
        <v>0</v>
      </c>
      <c r="S9" s="518">
        <v>0</v>
      </c>
      <c r="T9" s="504"/>
      <c r="U9" s="504"/>
      <c r="V9" s="499"/>
      <c r="W9" s="499"/>
      <c r="X9" s="499"/>
      <c r="Y9" s="499"/>
      <c r="Z9" s="499"/>
      <c r="AA9" s="499"/>
      <c r="AB9" s="499"/>
      <c r="AC9" s="499"/>
      <c r="AD9" s="499"/>
      <c r="AE9" s="499"/>
      <c r="AF9" s="499"/>
      <c r="AG9" s="499"/>
      <c r="AH9" s="499"/>
      <c r="AI9" s="499"/>
      <c r="AJ9" s="499"/>
      <c r="AK9" s="499"/>
      <c r="AL9" s="499"/>
      <c r="AM9" s="499"/>
      <c r="AN9" s="499"/>
    </row>
    <row r="10" spans="1:40" ht="20.399999999999999" hidden="1">
      <c r="A10" s="493" t="s">
        <v>236</v>
      </c>
      <c r="B10" s="499" t="s">
        <v>0</v>
      </c>
      <c r="C10" s="513" t="s">
        <v>21</v>
      </c>
      <c r="D10" s="514">
        <v>0</v>
      </c>
      <c r="E10" s="514">
        <v>0</v>
      </c>
      <c r="F10" s="514">
        <v>0</v>
      </c>
      <c r="G10" s="515">
        <v>0</v>
      </c>
      <c r="H10" s="514">
        <v>0</v>
      </c>
      <c r="I10" s="514">
        <v>0</v>
      </c>
      <c r="J10" s="515">
        <v>0</v>
      </c>
      <c r="K10" s="514">
        <v>0</v>
      </c>
      <c r="L10" s="516">
        <v>0</v>
      </c>
      <c r="M10" s="515">
        <v>0</v>
      </c>
      <c r="N10" s="517">
        <v>0</v>
      </c>
      <c r="O10" s="515">
        <v>0</v>
      </c>
      <c r="P10" s="514">
        <v>0</v>
      </c>
      <c r="Q10" s="516">
        <v>0</v>
      </c>
      <c r="R10" s="515">
        <v>0</v>
      </c>
      <c r="S10" s="518">
        <v>0</v>
      </c>
      <c r="T10" s="504"/>
      <c r="U10" s="504"/>
      <c r="V10" s="499"/>
      <c r="W10" s="499"/>
      <c r="X10" s="499"/>
      <c r="Y10" s="499"/>
      <c r="Z10" s="499"/>
      <c r="AA10" s="499"/>
      <c r="AB10" s="499"/>
      <c r="AC10" s="499"/>
      <c r="AD10" s="499"/>
      <c r="AE10" s="499"/>
      <c r="AF10" s="499"/>
      <c r="AG10" s="499"/>
      <c r="AH10" s="499"/>
      <c r="AI10" s="499"/>
      <c r="AJ10" s="499"/>
      <c r="AK10" s="499"/>
      <c r="AL10" s="499"/>
      <c r="AM10" s="499"/>
      <c r="AN10" s="499"/>
    </row>
    <row r="11" spans="1:40" ht="20.399999999999999" hidden="1">
      <c r="A11" s="493" t="s">
        <v>236</v>
      </c>
      <c r="B11" s="499" t="s">
        <v>0</v>
      </c>
      <c r="C11" s="513" t="s">
        <v>21</v>
      </c>
      <c r="D11" s="514">
        <v>0</v>
      </c>
      <c r="E11" s="514">
        <v>0</v>
      </c>
      <c r="F11" s="514">
        <v>0</v>
      </c>
      <c r="G11" s="515">
        <v>0</v>
      </c>
      <c r="H11" s="514">
        <v>0</v>
      </c>
      <c r="I11" s="514">
        <v>0</v>
      </c>
      <c r="J11" s="515">
        <v>0</v>
      </c>
      <c r="K11" s="514">
        <v>0</v>
      </c>
      <c r="L11" s="516">
        <v>0</v>
      </c>
      <c r="M11" s="515">
        <v>0</v>
      </c>
      <c r="N11" s="517">
        <v>0</v>
      </c>
      <c r="O11" s="515">
        <v>0</v>
      </c>
      <c r="P11" s="514">
        <v>0</v>
      </c>
      <c r="Q11" s="516">
        <v>0</v>
      </c>
      <c r="R11" s="515">
        <v>0</v>
      </c>
      <c r="S11" s="518">
        <v>0</v>
      </c>
      <c r="T11" s="504"/>
      <c r="U11" s="504"/>
      <c r="V11" s="499"/>
      <c r="W11" s="499"/>
      <c r="X11" s="499"/>
      <c r="Y11" s="499"/>
      <c r="Z11" s="499"/>
      <c r="AA11" s="499"/>
      <c r="AB11" s="499"/>
      <c r="AC11" s="499"/>
      <c r="AD11" s="499"/>
      <c r="AE11" s="499"/>
      <c r="AF11" s="499"/>
      <c r="AG11" s="499"/>
      <c r="AH11" s="499"/>
      <c r="AI11" s="499"/>
      <c r="AJ11" s="499"/>
      <c r="AK11" s="499"/>
      <c r="AL11" s="499"/>
      <c r="AM11" s="499"/>
      <c r="AN11" s="499"/>
    </row>
    <row r="12" spans="1:40" ht="20.399999999999999" hidden="1">
      <c r="A12" s="493" t="s">
        <v>236</v>
      </c>
      <c r="B12" s="499" t="s">
        <v>0</v>
      </c>
      <c r="C12" s="513" t="s">
        <v>21</v>
      </c>
      <c r="D12" s="514">
        <v>0</v>
      </c>
      <c r="E12" s="514">
        <v>0</v>
      </c>
      <c r="F12" s="514">
        <v>0</v>
      </c>
      <c r="G12" s="515">
        <v>0</v>
      </c>
      <c r="H12" s="514">
        <v>0</v>
      </c>
      <c r="I12" s="514">
        <v>0</v>
      </c>
      <c r="J12" s="515">
        <v>0</v>
      </c>
      <c r="K12" s="514">
        <v>0</v>
      </c>
      <c r="L12" s="516">
        <v>0</v>
      </c>
      <c r="M12" s="515">
        <v>0</v>
      </c>
      <c r="N12" s="517">
        <v>0</v>
      </c>
      <c r="O12" s="515">
        <v>0</v>
      </c>
      <c r="P12" s="514">
        <v>0</v>
      </c>
      <c r="Q12" s="516">
        <v>0</v>
      </c>
      <c r="R12" s="515">
        <v>0</v>
      </c>
      <c r="S12" s="518">
        <v>0</v>
      </c>
      <c r="T12" s="504"/>
      <c r="U12" s="504"/>
      <c r="V12" s="499"/>
      <c r="W12" s="499"/>
      <c r="X12" s="499"/>
      <c r="Y12" s="499"/>
      <c r="Z12" s="499"/>
      <c r="AA12" s="499"/>
      <c r="AB12" s="499"/>
      <c r="AC12" s="499"/>
      <c r="AD12" s="499"/>
      <c r="AE12" s="499"/>
      <c r="AF12" s="499"/>
      <c r="AG12" s="499"/>
      <c r="AH12" s="499"/>
      <c r="AI12" s="499"/>
      <c r="AJ12" s="499"/>
      <c r="AK12" s="499"/>
      <c r="AL12" s="499"/>
      <c r="AM12" s="499"/>
      <c r="AN12" s="499"/>
    </row>
    <row r="13" spans="1:40" ht="21">
      <c r="A13" s="493" t="s">
        <v>237</v>
      </c>
      <c r="B13" s="499" t="s">
        <v>0</v>
      </c>
      <c r="C13" s="519" t="s">
        <v>22</v>
      </c>
      <c r="D13" s="520">
        <v>73.898795180722885</v>
      </c>
      <c r="E13" s="520">
        <v>1940.0612299465242</v>
      </c>
      <c r="F13" s="521">
        <v>143368.18746987951</v>
      </c>
      <c r="G13" s="522">
        <v>73.898795180722885</v>
      </c>
      <c r="H13" s="520">
        <v>1940.0612299465242</v>
      </c>
      <c r="I13" s="521">
        <v>143368.18746987951</v>
      </c>
      <c r="J13" s="522">
        <v>31</v>
      </c>
      <c r="K13" s="520">
        <v>3286.9119354838676</v>
      </c>
      <c r="L13" s="521">
        <v>101894.2699999999</v>
      </c>
      <c r="M13" s="522">
        <v>-42.898795180722885</v>
      </c>
      <c r="N13" s="521">
        <v>-41473.91746987962</v>
      </c>
      <c r="O13" s="522">
        <v>65</v>
      </c>
      <c r="P13" s="520">
        <v>1542.5949230769215</v>
      </c>
      <c r="Q13" s="521">
        <v>100268.6699999999</v>
      </c>
      <c r="R13" s="522">
        <v>-34</v>
      </c>
      <c r="S13" s="523">
        <v>1625.5999999999985</v>
      </c>
      <c r="T13" s="504"/>
      <c r="U13" s="504"/>
      <c r="V13" s="499"/>
      <c r="W13" s="499"/>
      <c r="X13" s="499"/>
      <c r="Y13" s="499"/>
      <c r="Z13" s="499"/>
      <c r="AA13" s="499"/>
      <c r="AB13" s="499"/>
      <c r="AC13" s="499"/>
      <c r="AD13" s="499"/>
      <c r="AE13" s="499"/>
      <c r="AF13" s="499"/>
      <c r="AG13" s="499"/>
      <c r="AH13" s="499"/>
      <c r="AI13" s="499"/>
      <c r="AJ13" s="499"/>
      <c r="AK13" s="499"/>
      <c r="AL13" s="499"/>
      <c r="AM13" s="499"/>
      <c r="AN13" s="499"/>
    </row>
    <row r="14" spans="1:40" ht="21">
      <c r="A14" s="493" t="s">
        <v>0</v>
      </c>
      <c r="B14" s="499" t="s">
        <v>0</v>
      </c>
      <c r="C14" s="513"/>
      <c r="D14" s="504"/>
      <c r="E14" s="514"/>
      <c r="F14" s="524"/>
      <c r="G14" s="525"/>
      <c r="H14" s="514"/>
      <c r="I14" s="524"/>
      <c r="J14" s="525"/>
      <c r="K14" s="514"/>
      <c r="L14" s="524"/>
      <c r="M14" s="526"/>
      <c r="N14" s="527"/>
      <c r="O14" s="525"/>
      <c r="P14" s="514"/>
      <c r="Q14" s="524"/>
      <c r="R14" s="526">
        <v>-0.52307692307692311</v>
      </c>
      <c r="S14" s="528">
        <v>1.6212442031992649E-2</v>
      </c>
      <c r="T14" s="504"/>
      <c r="U14" s="504"/>
      <c r="V14" s="499"/>
      <c r="W14" s="499"/>
      <c r="X14" s="499"/>
      <c r="Y14" s="499"/>
      <c r="Z14" s="499"/>
      <c r="AA14" s="499"/>
      <c r="AB14" s="499"/>
      <c r="AC14" s="499"/>
      <c r="AD14" s="499"/>
      <c r="AE14" s="499"/>
      <c r="AF14" s="499"/>
      <c r="AG14" s="499"/>
      <c r="AH14" s="499"/>
      <c r="AI14" s="499"/>
      <c r="AJ14" s="499"/>
      <c r="AK14" s="499"/>
      <c r="AL14" s="499"/>
      <c r="AM14" s="499"/>
      <c r="AN14" s="499"/>
    </row>
    <row r="15" spans="1:40" ht="21">
      <c r="A15" s="493" t="s">
        <v>238</v>
      </c>
      <c r="B15" s="499" t="s">
        <v>0</v>
      </c>
      <c r="C15" s="529" t="s">
        <v>23</v>
      </c>
      <c r="D15" s="510">
        <v>6.9156626506024095</v>
      </c>
      <c r="E15" s="510">
        <v>1386.1016187312016</v>
      </c>
      <c r="F15" s="508">
        <v>9585.8111945989112</v>
      </c>
      <c r="G15" s="530">
        <v>6.9156626506024095</v>
      </c>
      <c r="H15" s="531">
        <v>1386.1016187312016</v>
      </c>
      <c r="I15" s="532">
        <v>9585.8111945989112</v>
      </c>
      <c r="J15" s="533">
        <v>2</v>
      </c>
      <c r="K15" s="534">
        <v>4555.4749999999985</v>
      </c>
      <c r="L15" s="534">
        <v>9110.9499999999971</v>
      </c>
      <c r="M15" s="535">
        <v>-4.9156626506024095</v>
      </c>
      <c r="N15" s="532">
        <v>-474.86119459891415</v>
      </c>
      <c r="O15" s="533">
        <v>3</v>
      </c>
      <c r="P15" s="534">
        <v>1041.6766666666663</v>
      </c>
      <c r="Q15" s="534">
        <v>3125.0299999999988</v>
      </c>
      <c r="R15" s="535">
        <v>-1</v>
      </c>
      <c r="S15" s="536">
        <v>5985.9199999999983</v>
      </c>
      <c r="T15" s="504"/>
      <c r="U15" s="504"/>
      <c r="V15" s="537"/>
      <c r="W15" s="499"/>
      <c r="X15" s="499"/>
      <c r="Y15" s="499"/>
      <c r="Z15" s="499"/>
      <c r="AA15" s="499"/>
      <c r="AB15" s="499"/>
      <c r="AC15" s="499"/>
      <c r="AD15" s="499"/>
      <c r="AE15" s="499"/>
      <c r="AF15" s="499"/>
      <c r="AG15" s="499"/>
      <c r="AH15" s="499"/>
      <c r="AI15" s="499"/>
      <c r="AJ15" s="499"/>
      <c r="AK15" s="499"/>
      <c r="AL15" s="499"/>
      <c r="AM15" s="499"/>
      <c r="AN15" s="499"/>
    </row>
    <row r="16" spans="1:40" ht="21">
      <c r="A16" s="493" t="s">
        <v>0</v>
      </c>
      <c r="B16" s="499" t="s">
        <v>0</v>
      </c>
      <c r="C16" s="513"/>
      <c r="D16" s="504"/>
      <c r="E16" s="514"/>
      <c r="F16" s="524"/>
      <c r="G16" s="525"/>
      <c r="H16" s="514"/>
      <c r="I16" s="524"/>
      <c r="J16" s="525"/>
      <c r="K16" s="514"/>
      <c r="L16" s="517"/>
      <c r="M16" s="526"/>
      <c r="N16" s="527"/>
      <c r="O16" s="525"/>
      <c r="P16" s="514"/>
      <c r="Q16" s="517"/>
      <c r="R16" s="526"/>
      <c r="S16" s="528"/>
      <c r="T16" s="504"/>
      <c r="U16" s="504"/>
      <c r="V16" s="499"/>
      <c r="W16" s="499"/>
      <c r="X16" s="499"/>
      <c r="Y16" s="499"/>
      <c r="Z16" s="499"/>
      <c r="AA16" s="499"/>
      <c r="AB16" s="499"/>
      <c r="AC16" s="499"/>
      <c r="AD16" s="499"/>
      <c r="AE16" s="499"/>
      <c r="AF16" s="499"/>
      <c r="AG16" s="499"/>
      <c r="AH16" s="499"/>
      <c r="AI16" s="499"/>
      <c r="AJ16" s="499"/>
      <c r="AK16" s="499"/>
      <c r="AL16" s="499"/>
      <c r="AM16" s="499"/>
      <c r="AN16" s="499"/>
    </row>
    <row r="17" spans="1:40" ht="21">
      <c r="A17" s="493" t="s">
        <v>239</v>
      </c>
      <c r="B17" s="499" t="s">
        <v>0</v>
      </c>
      <c r="C17" s="538" t="s">
        <v>24</v>
      </c>
      <c r="D17" s="514">
        <v>1.2439949431099873</v>
      </c>
      <c r="E17" s="514">
        <v>1938.8731623598242</v>
      </c>
      <c r="F17" s="514">
        <v>2411.9484093072906</v>
      </c>
      <c r="G17" s="515">
        <v>1.2439949431099873</v>
      </c>
      <c r="H17" s="514">
        <v>1938.8731623598242</v>
      </c>
      <c r="I17" s="514">
        <v>2411.9484093072906</v>
      </c>
      <c r="J17" s="535">
        <v>0</v>
      </c>
      <c r="K17" s="514">
        <v>0</v>
      </c>
      <c r="L17" s="517">
        <v>0</v>
      </c>
      <c r="M17" s="535">
        <v>-1.2439949431099873</v>
      </c>
      <c r="N17" s="517">
        <v>-2411.9484093072906</v>
      </c>
      <c r="O17" s="535">
        <v>5</v>
      </c>
      <c r="P17" s="514">
        <v>2400.1159999999973</v>
      </c>
      <c r="Q17" s="517">
        <v>12000.579999999987</v>
      </c>
      <c r="R17" s="515">
        <v>-5</v>
      </c>
      <c r="S17" s="518">
        <v>-12000.579999999987</v>
      </c>
      <c r="T17" s="504"/>
      <c r="U17" s="504"/>
      <c r="V17" s="499"/>
      <c r="W17" s="499"/>
      <c r="X17" s="499"/>
      <c r="Y17" s="499"/>
      <c r="Z17" s="499"/>
      <c r="AA17" s="499"/>
      <c r="AB17" s="499"/>
      <c r="AC17" s="499"/>
      <c r="AD17" s="499"/>
      <c r="AE17" s="499"/>
      <c r="AF17" s="499"/>
      <c r="AG17" s="499"/>
      <c r="AH17" s="499"/>
      <c r="AI17" s="499"/>
      <c r="AJ17" s="499"/>
      <c r="AK17" s="499"/>
      <c r="AL17" s="499"/>
      <c r="AM17" s="499"/>
      <c r="AN17" s="499"/>
    </row>
    <row r="18" spans="1:40" ht="21">
      <c r="A18" s="493" t="s">
        <v>0</v>
      </c>
      <c r="B18" s="499" t="s">
        <v>0</v>
      </c>
      <c r="C18" s="519"/>
      <c r="D18" s="539"/>
      <c r="E18" s="539"/>
      <c r="F18" s="540"/>
      <c r="G18" s="541"/>
      <c r="H18" s="539"/>
      <c r="I18" s="540"/>
      <c r="J18" s="515"/>
      <c r="K18" s="539"/>
      <c r="L18" s="540"/>
      <c r="M18" s="515"/>
      <c r="N18" s="540"/>
      <c r="O18" s="515"/>
      <c r="P18" s="539"/>
      <c r="Q18" s="540"/>
      <c r="R18" s="541"/>
      <c r="S18" s="542"/>
      <c r="T18" s="504"/>
      <c r="U18" s="504"/>
      <c r="V18" s="499"/>
      <c r="W18" s="499"/>
      <c r="X18" s="499"/>
      <c r="Y18" s="499"/>
      <c r="Z18" s="499"/>
      <c r="AA18" s="499"/>
      <c r="AB18" s="499"/>
      <c r="AC18" s="499"/>
      <c r="AD18" s="499"/>
      <c r="AE18" s="499"/>
      <c r="AF18" s="499"/>
      <c r="AG18" s="499"/>
      <c r="AH18" s="499"/>
      <c r="AI18" s="499"/>
      <c r="AJ18" s="499"/>
      <c r="AK18" s="499"/>
      <c r="AL18" s="499"/>
      <c r="AM18" s="499"/>
      <c r="AN18" s="499"/>
    </row>
    <row r="19" spans="1:40" ht="21">
      <c r="A19" s="493" t="s">
        <v>240</v>
      </c>
      <c r="B19" s="499" t="s">
        <v>0</v>
      </c>
      <c r="C19" s="529" t="s">
        <v>25</v>
      </c>
      <c r="D19" s="514">
        <v>0</v>
      </c>
      <c r="E19" s="514">
        <v>0</v>
      </c>
      <c r="F19" s="514">
        <v>8416.038959999998</v>
      </c>
      <c r="G19" s="515">
        <v>0</v>
      </c>
      <c r="H19" s="514">
        <v>0</v>
      </c>
      <c r="I19" s="514">
        <v>8416.038959999998</v>
      </c>
      <c r="J19" s="530"/>
      <c r="K19" s="514"/>
      <c r="L19" s="517">
        <v>11555.789999999979</v>
      </c>
      <c r="M19" s="515"/>
      <c r="N19" s="517">
        <v>3139.751039999981</v>
      </c>
      <c r="O19" s="530"/>
      <c r="P19" s="514"/>
      <c r="Q19" s="517">
        <v>10386.969999999972</v>
      </c>
      <c r="R19" s="515">
        <v>0</v>
      </c>
      <c r="S19" s="518">
        <v>1168.820000000007</v>
      </c>
      <c r="T19" s="504"/>
      <c r="U19" s="504"/>
      <c r="V19" s="537"/>
      <c r="W19" s="537"/>
      <c r="X19" s="543"/>
      <c r="Y19" s="499"/>
      <c r="Z19" s="499"/>
      <c r="AA19" s="499"/>
      <c r="AB19" s="499"/>
      <c r="AC19" s="499"/>
      <c r="AD19" s="499"/>
      <c r="AE19" s="499"/>
      <c r="AF19" s="499"/>
      <c r="AG19" s="499"/>
      <c r="AH19" s="499"/>
      <c r="AI19" s="499"/>
      <c r="AJ19" s="499"/>
      <c r="AK19" s="499"/>
      <c r="AL19" s="499"/>
      <c r="AM19" s="499"/>
      <c r="AN19" s="499"/>
    </row>
    <row r="20" spans="1:40" ht="21">
      <c r="A20" s="493" t="s">
        <v>0</v>
      </c>
      <c r="B20" s="499" t="s">
        <v>0</v>
      </c>
      <c r="C20" s="519"/>
      <c r="D20" s="539"/>
      <c r="E20" s="539"/>
      <c r="F20" s="540"/>
      <c r="G20" s="541"/>
      <c r="H20" s="539"/>
      <c r="I20" s="540"/>
      <c r="J20" s="515"/>
      <c r="K20" s="539"/>
      <c r="L20" s="540"/>
      <c r="M20" s="541"/>
      <c r="N20" s="540"/>
      <c r="O20" s="515"/>
      <c r="P20" s="539"/>
      <c r="Q20" s="540"/>
      <c r="R20" s="541"/>
      <c r="S20" s="542"/>
      <c r="T20" s="504"/>
      <c r="U20" s="504"/>
      <c r="V20" s="537"/>
      <c r="W20" s="537"/>
      <c r="X20" s="543"/>
      <c r="Y20" s="499"/>
      <c r="Z20" s="499"/>
      <c r="AA20" s="499"/>
      <c r="AB20" s="499"/>
      <c r="AC20" s="499"/>
      <c r="AD20" s="499"/>
      <c r="AE20" s="499"/>
      <c r="AF20" s="499"/>
      <c r="AG20" s="499"/>
      <c r="AH20" s="499"/>
      <c r="AI20" s="499"/>
      <c r="AJ20" s="499"/>
      <c r="AK20" s="499"/>
      <c r="AL20" s="499"/>
      <c r="AM20" s="499"/>
      <c r="AN20" s="499"/>
    </row>
    <row r="21" spans="1:40" ht="15.75" customHeight="1">
      <c r="A21" s="493" t="s">
        <v>241</v>
      </c>
      <c r="B21" s="499" t="s">
        <v>0</v>
      </c>
      <c r="C21" s="513" t="s">
        <v>26</v>
      </c>
      <c r="D21" s="514">
        <v>0</v>
      </c>
      <c r="E21" s="514">
        <v>0</v>
      </c>
      <c r="F21" s="514">
        <v>2418.2726730247196</v>
      </c>
      <c r="G21" s="525">
        <v>0</v>
      </c>
      <c r="H21" s="514">
        <v>0</v>
      </c>
      <c r="I21" s="514">
        <v>2418.2726730247196</v>
      </c>
      <c r="J21" s="515"/>
      <c r="K21" s="514">
        <v>196.24151515151516</v>
      </c>
      <c r="L21" s="517">
        <v>6475.97</v>
      </c>
      <c r="M21" s="515"/>
      <c r="N21" s="517">
        <v>4057.6973269752807</v>
      </c>
      <c r="O21" s="515"/>
      <c r="P21" s="514">
        <v>93.977941176470594</v>
      </c>
      <c r="Q21" s="517">
        <v>6390.5</v>
      </c>
      <c r="R21" s="515">
        <v>-196.24151515151516</v>
      </c>
      <c r="S21" s="518">
        <v>85.470000000000255</v>
      </c>
      <c r="T21" s="504"/>
      <c r="U21" s="504"/>
      <c r="V21" s="499"/>
      <c r="W21" s="499"/>
      <c r="X21" s="499"/>
      <c r="Y21" s="499"/>
      <c r="Z21" s="499"/>
      <c r="AA21" s="499"/>
      <c r="AB21" s="499"/>
      <c r="AC21" s="499"/>
      <c r="AD21" s="499"/>
      <c r="AE21" s="499"/>
      <c r="AF21" s="499"/>
      <c r="AG21" s="499"/>
      <c r="AH21" s="499"/>
      <c r="AI21" s="499"/>
      <c r="AJ21" s="499"/>
      <c r="AK21" s="499"/>
      <c r="AL21" s="499"/>
      <c r="AM21" s="499"/>
      <c r="AN21" s="499"/>
    </row>
    <row r="22" spans="1:40" ht="18" customHeight="1">
      <c r="A22" s="493" t="s">
        <v>242</v>
      </c>
      <c r="B22" s="499" t="s">
        <v>0</v>
      </c>
      <c r="C22" s="513" t="s">
        <v>27</v>
      </c>
      <c r="D22" s="514">
        <v>0</v>
      </c>
      <c r="E22" s="514">
        <v>0</v>
      </c>
      <c r="F22" s="514">
        <v>64673.336704593479</v>
      </c>
      <c r="G22" s="525">
        <v>0</v>
      </c>
      <c r="H22" s="514">
        <v>0</v>
      </c>
      <c r="I22" s="514">
        <v>64673.336704593479</v>
      </c>
      <c r="J22" s="515"/>
      <c r="K22" s="514">
        <v>797.35424242424233</v>
      </c>
      <c r="L22" s="517">
        <v>26312.69</v>
      </c>
      <c r="M22" s="515"/>
      <c r="N22" s="517">
        <v>-38360.646704593484</v>
      </c>
      <c r="O22" s="515"/>
      <c r="P22" s="514">
        <v>763.56294117647053</v>
      </c>
      <c r="Q22" s="517">
        <v>51922.28</v>
      </c>
      <c r="R22" s="515">
        <v>-797.35424242424233</v>
      </c>
      <c r="S22" s="518">
        <v>-25609.59</v>
      </c>
      <c r="T22" s="504"/>
      <c r="U22" s="504"/>
      <c r="V22" s="499"/>
      <c r="W22" s="499"/>
      <c r="X22" s="499"/>
      <c r="Y22" s="499"/>
      <c r="Z22" s="499"/>
      <c r="AA22" s="499"/>
      <c r="AB22" s="499"/>
      <c r="AC22" s="499"/>
      <c r="AD22" s="499"/>
      <c r="AE22" s="499"/>
      <c r="AF22" s="499"/>
      <c r="AG22" s="499"/>
      <c r="AH22" s="499"/>
      <c r="AI22" s="499"/>
      <c r="AJ22" s="499"/>
      <c r="AK22" s="499"/>
      <c r="AL22" s="499"/>
      <c r="AM22" s="499"/>
      <c r="AN22" s="499"/>
    </row>
    <row r="23" spans="1:40" ht="19.5" customHeight="1">
      <c r="A23" s="493" t="s">
        <v>243</v>
      </c>
      <c r="B23" s="499" t="s">
        <v>0</v>
      </c>
      <c r="C23" s="513" t="s">
        <v>28</v>
      </c>
      <c r="D23" s="514">
        <v>0</v>
      </c>
      <c r="E23" s="514">
        <v>0</v>
      </c>
      <c r="F23" s="514">
        <v>1600.6797790082981</v>
      </c>
      <c r="G23" s="525">
        <v>0</v>
      </c>
      <c r="H23" s="514">
        <v>0</v>
      </c>
      <c r="I23" s="514">
        <v>1600.6797790082981</v>
      </c>
      <c r="J23" s="515"/>
      <c r="K23" s="514">
        <v>35.381515151515146</v>
      </c>
      <c r="L23" s="517">
        <v>1167.5899999999999</v>
      </c>
      <c r="M23" s="535"/>
      <c r="N23" s="517">
        <v>-433.08977900829814</v>
      </c>
      <c r="O23" s="515"/>
      <c r="P23" s="514">
        <v>14.451617647058825</v>
      </c>
      <c r="Q23" s="517">
        <v>982.71</v>
      </c>
      <c r="R23" s="515">
        <v>-35.381515151515146</v>
      </c>
      <c r="S23" s="518">
        <v>184.87999999999988</v>
      </c>
      <c r="T23" s="504"/>
      <c r="U23" s="504"/>
      <c r="V23" s="499"/>
      <c r="W23" s="499"/>
      <c r="X23" s="499"/>
      <c r="Y23" s="499"/>
      <c r="Z23" s="499"/>
      <c r="AA23" s="499"/>
      <c r="AB23" s="499"/>
      <c r="AC23" s="499"/>
      <c r="AD23" s="499"/>
      <c r="AE23" s="499"/>
      <c r="AF23" s="499"/>
      <c r="AG23" s="499"/>
      <c r="AH23" s="499"/>
      <c r="AI23" s="499"/>
      <c r="AJ23" s="499"/>
      <c r="AK23" s="499"/>
      <c r="AL23" s="499"/>
      <c r="AM23" s="499"/>
      <c r="AN23" s="499"/>
    </row>
    <row r="24" spans="1:40" ht="18" customHeight="1">
      <c r="A24" s="493" t="s">
        <v>244</v>
      </c>
      <c r="B24" s="499" t="s">
        <v>0</v>
      </c>
      <c r="C24" s="519" t="s">
        <v>29</v>
      </c>
      <c r="D24" s="520">
        <v>80.814457831325299</v>
      </c>
      <c r="E24" s="520">
        <v>849.99999999999977</v>
      </c>
      <c r="F24" s="521">
        <v>68692.289156626488</v>
      </c>
      <c r="G24" s="522">
        <v>80.814457831325299</v>
      </c>
      <c r="H24" s="520">
        <v>849.99999999999977</v>
      </c>
      <c r="I24" s="521">
        <v>68692.289156626488</v>
      </c>
      <c r="J24" s="522">
        <v>33</v>
      </c>
      <c r="K24" s="520">
        <v>1028.9772727272725</v>
      </c>
      <c r="L24" s="521">
        <v>33956.249999999993</v>
      </c>
      <c r="M24" s="544">
        <v>-47.814457831325299</v>
      </c>
      <c r="N24" s="521">
        <v>-34736.039156626495</v>
      </c>
      <c r="O24" s="522">
        <v>68</v>
      </c>
      <c r="P24" s="520">
        <v>871.99249999999995</v>
      </c>
      <c r="Q24" s="521">
        <v>59295.49</v>
      </c>
      <c r="R24" s="541"/>
      <c r="S24" s="523">
        <v>-25339.240000000005</v>
      </c>
      <c r="T24" s="504"/>
      <c r="U24" s="504"/>
      <c r="V24" s="499"/>
      <c r="W24" s="499"/>
      <c r="X24" s="499"/>
      <c r="Y24" s="499"/>
      <c r="Z24" s="499"/>
      <c r="AA24" s="499"/>
      <c r="AB24" s="499"/>
      <c r="AC24" s="499"/>
      <c r="AD24" s="499"/>
      <c r="AE24" s="499"/>
      <c r="AF24" s="499"/>
      <c r="AG24" s="499"/>
      <c r="AH24" s="499"/>
      <c r="AI24" s="499"/>
      <c r="AJ24" s="499"/>
      <c r="AK24" s="499"/>
      <c r="AL24" s="499"/>
      <c r="AM24" s="499"/>
      <c r="AN24" s="499"/>
    </row>
    <row r="25" spans="1:40" ht="15.75" customHeight="1">
      <c r="A25" s="493" t="s">
        <v>0</v>
      </c>
      <c r="B25" s="499" t="s">
        <v>0</v>
      </c>
      <c r="C25" s="513"/>
      <c r="D25" s="504"/>
      <c r="E25" s="504"/>
      <c r="F25" s="545"/>
      <c r="G25" s="525"/>
      <c r="H25" s="504"/>
      <c r="I25" s="545"/>
      <c r="J25" s="525"/>
      <c r="K25" s="504"/>
      <c r="L25" s="545"/>
      <c r="M25" s="526"/>
      <c r="N25" s="527">
        <v>-0.50567595843871571</v>
      </c>
      <c r="O25" s="525"/>
      <c r="P25" s="504"/>
      <c r="Q25" s="545"/>
      <c r="R25" s="546"/>
      <c r="S25" s="528">
        <v>-0.4273384029712885</v>
      </c>
      <c r="T25" s="504"/>
      <c r="U25" s="504"/>
      <c r="V25" s="499"/>
      <c r="W25" s="499"/>
      <c r="X25" s="499"/>
      <c r="Y25" s="499"/>
      <c r="Z25" s="499"/>
      <c r="AA25" s="499"/>
      <c r="AB25" s="499"/>
      <c r="AC25" s="499"/>
      <c r="AD25" s="499"/>
      <c r="AE25" s="499"/>
      <c r="AF25" s="499"/>
      <c r="AG25" s="499"/>
      <c r="AH25" s="499"/>
      <c r="AI25" s="499"/>
      <c r="AJ25" s="499"/>
      <c r="AK25" s="499"/>
      <c r="AL25" s="499"/>
      <c r="AM25" s="499"/>
      <c r="AN25" s="499"/>
    </row>
    <row r="26" spans="1:40" ht="15.75" customHeight="1" thickBot="1">
      <c r="A26" s="493" t="s">
        <v>0</v>
      </c>
      <c r="B26" s="499" t="s">
        <v>0</v>
      </c>
      <c r="C26" s="513"/>
      <c r="D26" s="504"/>
      <c r="E26" s="504"/>
      <c r="F26" s="524"/>
      <c r="G26" s="525"/>
      <c r="H26" s="504"/>
      <c r="I26" s="524"/>
      <c r="J26" s="525"/>
      <c r="K26" s="504"/>
      <c r="L26" s="524"/>
      <c r="M26" s="525"/>
      <c r="N26" s="524"/>
      <c r="O26" s="525"/>
      <c r="P26" s="504"/>
      <c r="Q26" s="524"/>
      <c r="R26" s="525"/>
      <c r="S26" s="547"/>
      <c r="T26" s="504"/>
      <c r="U26" s="504"/>
      <c r="V26" s="499"/>
      <c r="W26" s="499"/>
      <c r="X26" s="499"/>
      <c r="Y26" s="499"/>
      <c r="Z26" s="499"/>
      <c r="AA26" s="499"/>
      <c r="AB26" s="499"/>
      <c r="AC26" s="499"/>
      <c r="AD26" s="499"/>
      <c r="AE26" s="499"/>
      <c r="AF26" s="499"/>
      <c r="AG26" s="499"/>
      <c r="AH26" s="499"/>
      <c r="AI26" s="499"/>
      <c r="AJ26" s="499"/>
      <c r="AK26" s="499"/>
      <c r="AL26" s="499"/>
      <c r="AM26" s="499"/>
      <c r="AN26" s="499"/>
    </row>
    <row r="27" spans="1:40" ht="18" customHeight="1" thickTop="1">
      <c r="A27" s="493" t="s">
        <v>245</v>
      </c>
      <c r="B27" s="499" t="s">
        <v>0</v>
      </c>
      <c r="C27" s="548" t="s">
        <v>30</v>
      </c>
      <c r="D27" s="549">
        <v>82.058452774435281</v>
      </c>
      <c r="E27" s="550">
        <v>2833.0326411277147</v>
      </c>
      <c r="F27" s="551">
        <v>232474.27519041221</v>
      </c>
      <c r="G27" s="552">
        <v>82.058452774435281</v>
      </c>
      <c r="H27" s="553">
        <v>2833.0326411277147</v>
      </c>
      <c r="I27" s="551">
        <v>232474.27519041221</v>
      </c>
      <c r="J27" s="552">
        <v>33</v>
      </c>
      <c r="K27" s="553">
        <v>4742.9472727272696</v>
      </c>
      <c r="L27" s="551">
        <v>156517.25999999989</v>
      </c>
      <c r="M27" s="552">
        <v>-49.058452774435281</v>
      </c>
      <c r="N27" s="551">
        <v>-75957.015190412319</v>
      </c>
      <c r="O27" s="552">
        <v>73</v>
      </c>
      <c r="P27" s="553">
        <v>2535.2978082191757</v>
      </c>
      <c r="Q27" s="551">
        <v>185076.73999999985</v>
      </c>
      <c r="R27" s="552">
        <v>-40</v>
      </c>
      <c r="S27" s="554">
        <v>-28559.479999999952</v>
      </c>
      <c r="T27" s="504"/>
      <c r="U27" s="504"/>
      <c r="V27" s="499"/>
      <c r="W27" s="499"/>
      <c r="X27" s="499"/>
      <c r="Y27" s="499"/>
      <c r="Z27" s="499"/>
      <c r="AA27" s="499"/>
      <c r="AB27" s="499"/>
      <c r="AC27" s="499"/>
      <c r="AD27" s="499"/>
      <c r="AE27" s="499"/>
      <c r="AF27" s="499"/>
      <c r="AG27" s="499"/>
      <c r="AH27" s="499"/>
      <c r="AI27" s="499"/>
      <c r="AJ27" s="499"/>
      <c r="AK27" s="499"/>
      <c r="AL27" s="499"/>
      <c r="AM27" s="499"/>
      <c r="AN27" s="499"/>
    </row>
    <row r="28" spans="1:40" ht="22.5" customHeight="1" thickBot="1">
      <c r="A28" s="493" t="s">
        <v>0</v>
      </c>
      <c r="B28" s="499" t="s">
        <v>0</v>
      </c>
      <c r="C28" s="555"/>
      <c r="D28" s="556"/>
      <c r="E28" s="556"/>
      <c r="F28" s="557"/>
      <c r="G28" s="558"/>
      <c r="H28" s="556"/>
      <c r="I28" s="557"/>
      <c r="J28" s="558"/>
      <c r="K28" s="556"/>
      <c r="L28" s="557"/>
      <c r="M28" s="559">
        <v>-0.59784764537650514</v>
      </c>
      <c r="N28" s="560">
        <v>-0.32673299068552153</v>
      </c>
      <c r="O28" s="558"/>
      <c r="P28" s="556"/>
      <c r="Q28" s="557"/>
      <c r="R28" s="559">
        <v>-0.54794520547945202</v>
      </c>
      <c r="S28" s="561">
        <v>-0.15431155746529779</v>
      </c>
      <c r="T28" s="504"/>
      <c r="U28" s="504"/>
      <c r="V28" s="499"/>
      <c r="W28" s="499"/>
      <c r="X28" s="499"/>
      <c r="Y28" s="499"/>
      <c r="Z28" s="499"/>
      <c r="AA28" s="499"/>
      <c r="AB28" s="499"/>
      <c r="AC28" s="499"/>
      <c r="AD28" s="499"/>
      <c r="AE28" s="499"/>
      <c r="AF28" s="499"/>
      <c r="AG28" s="499"/>
      <c r="AH28" s="499"/>
      <c r="AI28" s="499"/>
      <c r="AJ28" s="499"/>
      <c r="AK28" s="499"/>
      <c r="AL28" s="499"/>
      <c r="AM28" s="499"/>
      <c r="AN28" s="499"/>
    </row>
    <row r="29" spans="1:40" ht="15.75" customHeight="1" thickTop="1">
      <c r="A29" s="493" t="s">
        <v>0</v>
      </c>
      <c r="B29" s="499" t="s">
        <v>0</v>
      </c>
      <c r="C29" s="538"/>
      <c r="D29" s="562"/>
      <c r="E29" s="562"/>
      <c r="F29" s="563"/>
      <c r="G29" s="564"/>
      <c r="H29" s="562"/>
      <c r="I29" s="563"/>
      <c r="J29" s="564"/>
      <c r="K29" s="562"/>
      <c r="L29" s="563"/>
      <c r="M29" s="526"/>
      <c r="N29" s="527"/>
      <c r="O29" s="564"/>
      <c r="P29" s="562"/>
      <c r="Q29" s="563"/>
      <c r="R29" s="526"/>
      <c r="S29" s="528"/>
      <c r="T29" s="504"/>
      <c r="U29" s="504"/>
      <c r="V29" s="499"/>
      <c r="W29" s="499"/>
      <c r="X29" s="499"/>
      <c r="Y29" s="499"/>
      <c r="Z29" s="499"/>
      <c r="AA29" s="499"/>
      <c r="AB29" s="499"/>
      <c r="AC29" s="499"/>
      <c r="AD29" s="499"/>
      <c r="AE29" s="499"/>
      <c r="AF29" s="499"/>
      <c r="AG29" s="499"/>
      <c r="AH29" s="499"/>
      <c r="AI29" s="499"/>
      <c r="AJ29" s="499"/>
      <c r="AK29" s="499"/>
      <c r="AL29" s="499"/>
      <c r="AM29" s="499"/>
      <c r="AN29" s="499"/>
    </row>
    <row r="30" spans="1:40" ht="15.75" customHeight="1">
      <c r="A30" s="493" t="s">
        <v>246</v>
      </c>
      <c r="B30" s="499" t="s">
        <v>0</v>
      </c>
      <c r="C30" s="80" t="s">
        <v>31</v>
      </c>
      <c r="D30" s="504"/>
      <c r="E30" s="81"/>
      <c r="F30" s="545"/>
      <c r="G30" s="525"/>
      <c r="H30" s="81"/>
      <c r="I30" s="545"/>
      <c r="J30" s="525"/>
      <c r="K30" s="81"/>
      <c r="L30" s="524"/>
      <c r="M30" s="525"/>
      <c r="N30" s="524"/>
      <c r="O30" s="525"/>
      <c r="P30" s="81"/>
      <c r="Q30" s="524"/>
      <c r="R30" s="525"/>
      <c r="S30" s="547"/>
      <c r="T30" s="504"/>
      <c r="U30" s="504"/>
      <c r="V30" s="499"/>
      <c r="W30" s="499"/>
      <c r="X30" s="499"/>
      <c r="Y30" s="499"/>
      <c r="Z30" s="499"/>
      <c r="AA30" s="499"/>
      <c r="AB30" s="499"/>
      <c r="AC30" s="499"/>
      <c r="AD30" s="499"/>
      <c r="AE30" s="499"/>
      <c r="AF30" s="499"/>
      <c r="AG30" s="499"/>
      <c r="AH30" s="499"/>
      <c r="AI30" s="499"/>
      <c r="AJ30" s="499"/>
      <c r="AK30" s="499"/>
      <c r="AL30" s="499"/>
      <c r="AM30" s="499"/>
      <c r="AN30" s="499"/>
    </row>
    <row r="31" spans="1:40" ht="15.75" customHeight="1">
      <c r="A31" s="493" t="s">
        <v>247</v>
      </c>
      <c r="B31" s="499" t="s">
        <v>0</v>
      </c>
      <c r="C31" s="513" t="s">
        <v>32</v>
      </c>
      <c r="D31" s="82">
        <v>0.31966892561529131</v>
      </c>
      <c r="E31" s="565">
        <v>605.02342939290224</v>
      </c>
      <c r="F31" s="514">
        <v>48894.640421636519</v>
      </c>
      <c r="G31" s="566">
        <v>0.31966892561529131</v>
      </c>
      <c r="H31" s="565">
        <v>605.02342939290224</v>
      </c>
      <c r="I31" s="514">
        <v>48894.640421636519</v>
      </c>
      <c r="J31" s="566">
        <v>0.31139094179535004</v>
      </c>
      <c r="K31" s="565">
        <v>1047.4551515151513</v>
      </c>
      <c r="L31" s="514">
        <v>34566.019999999997</v>
      </c>
      <c r="M31" s="525"/>
      <c r="N31" s="545">
        <v>-14328.620421636522</v>
      </c>
      <c r="O31" s="525"/>
      <c r="P31" s="565">
        <v>609.35205882352943</v>
      </c>
      <c r="Q31" s="517">
        <v>41435.94</v>
      </c>
      <c r="R31" s="525"/>
      <c r="S31" s="567">
        <v>-6869.9200000000055</v>
      </c>
      <c r="T31" s="504"/>
      <c r="U31" s="504"/>
      <c r="V31" s="499"/>
      <c r="W31" s="499"/>
      <c r="X31" s="499"/>
      <c r="Y31" s="499"/>
      <c r="Z31" s="499"/>
      <c r="AA31" s="499"/>
      <c r="AB31" s="499"/>
      <c r="AC31" s="499"/>
      <c r="AD31" s="499"/>
      <c r="AE31" s="499"/>
      <c r="AF31" s="499"/>
      <c r="AG31" s="499"/>
      <c r="AH31" s="499"/>
      <c r="AI31" s="499"/>
      <c r="AJ31" s="499"/>
      <c r="AK31" s="499"/>
      <c r="AL31" s="499"/>
      <c r="AM31" s="499"/>
      <c r="AN31" s="499"/>
    </row>
    <row r="32" spans="1:40" ht="15.75" customHeight="1">
      <c r="A32" s="493" t="s">
        <v>248</v>
      </c>
      <c r="B32" s="499" t="s">
        <v>0</v>
      </c>
      <c r="C32" s="568" t="s">
        <v>33</v>
      </c>
      <c r="D32" s="89">
        <v>0.3</v>
      </c>
      <c r="E32" s="569">
        <v>254.99999999999994</v>
      </c>
      <c r="F32" s="508">
        <v>20607.686746987947</v>
      </c>
      <c r="G32" s="570">
        <v>0.3</v>
      </c>
      <c r="H32" s="571">
        <v>254.99999999999994</v>
      </c>
      <c r="I32" s="508">
        <v>20607.686746987947</v>
      </c>
      <c r="J32" s="572">
        <v>0.35133797165470282</v>
      </c>
      <c r="K32" s="569">
        <v>361.51878787878792</v>
      </c>
      <c r="L32" s="508">
        <v>11930.12</v>
      </c>
      <c r="M32" s="509"/>
      <c r="N32" s="573">
        <v>-8677.5667469879463</v>
      </c>
      <c r="O32" s="509"/>
      <c r="P32" s="569">
        <v>278.43411764705883</v>
      </c>
      <c r="Q32" s="508">
        <v>18933.52</v>
      </c>
      <c r="R32" s="509"/>
      <c r="S32" s="574">
        <v>-7003.4</v>
      </c>
      <c r="T32" s="504"/>
      <c r="U32" s="504"/>
      <c r="V32" s="499"/>
      <c r="W32" s="499"/>
      <c r="X32" s="499"/>
      <c r="Y32" s="499"/>
      <c r="Z32" s="499"/>
      <c r="AA32" s="499"/>
      <c r="AB32" s="499"/>
      <c r="AC32" s="499"/>
      <c r="AD32" s="499"/>
      <c r="AE32" s="499"/>
      <c r="AF32" s="499"/>
      <c r="AG32" s="499"/>
      <c r="AH32" s="499"/>
      <c r="AI32" s="499"/>
      <c r="AJ32" s="499"/>
      <c r="AK32" s="499"/>
      <c r="AL32" s="499"/>
      <c r="AM32" s="499"/>
      <c r="AN32" s="499"/>
    </row>
    <row r="33" spans="1:40" ht="15.75" customHeight="1">
      <c r="A33" s="493" t="s">
        <v>249</v>
      </c>
      <c r="B33" s="499" t="s">
        <v>0</v>
      </c>
      <c r="C33" s="513" t="s">
        <v>34</v>
      </c>
      <c r="D33" s="82"/>
      <c r="E33" s="565">
        <v>167.84930226439229</v>
      </c>
      <c r="F33" s="514">
        <v>13564.650359863104</v>
      </c>
      <c r="G33" s="84"/>
      <c r="H33" s="565">
        <v>167.84930226439229</v>
      </c>
      <c r="I33" s="514">
        <v>13564.650359863104</v>
      </c>
      <c r="J33" s="525"/>
      <c r="K33" s="565">
        <v>149.40181818181819</v>
      </c>
      <c r="L33" s="514">
        <v>4930.26</v>
      </c>
      <c r="M33" s="525"/>
      <c r="N33" s="545">
        <v>-8634.3903598631041</v>
      </c>
      <c r="O33" s="525"/>
      <c r="P33" s="565">
        <v>186.22485294117649</v>
      </c>
      <c r="Q33" s="517">
        <v>12663.29</v>
      </c>
      <c r="R33" s="525"/>
      <c r="S33" s="567">
        <v>-7733.0300000000007</v>
      </c>
      <c r="T33" s="504"/>
      <c r="U33" s="504"/>
      <c r="V33" s="499"/>
      <c r="W33" s="499"/>
      <c r="X33" s="499"/>
      <c r="Y33" s="499"/>
      <c r="Z33" s="499"/>
      <c r="AA33" s="499"/>
      <c r="AB33" s="499"/>
      <c r="AC33" s="499"/>
      <c r="AD33" s="499"/>
      <c r="AE33" s="499"/>
      <c r="AF33" s="499"/>
      <c r="AG33" s="499"/>
      <c r="AH33" s="499"/>
      <c r="AI33" s="499"/>
      <c r="AJ33" s="499"/>
      <c r="AK33" s="499"/>
      <c r="AL33" s="499"/>
      <c r="AM33" s="499"/>
      <c r="AN33" s="499"/>
    </row>
    <row r="34" spans="1:40" ht="15.75" customHeight="1">
      <c r="A34" s="493" t="s">
        <v>250</v>
      </c>
      <c r="B34" s="499" t="s">
        <v>0</v>
      </c>
      <c r="C34" s="513" t="s">
        <v>35</v>
      </c>
      <c r="D34" s="82"/>
      <c r="E34" s="565">
        <v>7.3548076275245773</v>
      </c>
      <c r="F34" s="514">
        <v>594.37479087209465</v>
      </c>
      <c r="G34" s="84"/>
      <c r="H34" s="565">
        <v>7.3548076275245773</v>
      </c>
      <c r="I34" s="514">
        <v>594.37479087209465</v>
      </c>
      <c r="J34" s="525"/>
      <c r="K34" s="565">
        <v>3.9393939393939394</v>
      </c>
      <c r="L34" s="514">
        <v>130</v>
      </c>
      <c r="M34" s="525"/>
      <c r="N34" s="545">
        <v>-464.37479087209465</v>
      </c>
      <c r="O34" s="525"/>
      <c r="P34" s="565">
        <v>10.717647058823529</v>
      </c>
      <c r="Q34" s="517">
        <v>728.8</v>
      </c>
      <c r="R34" s="525"/>
      <c r="S34" s="567">
        <v>-598.79999999999995</v>
      </c>
      <c r="T34" s="504"/>
      <c r="U34" s="504"/>
      <c r="V34" s="499"/>
      <c r="W34" s="499"/>
      <c r="X34" s="499"/>
      <c r="Y34" s="499"/>
      <c r="Z34" s="499"/>
      <c r="AA34" s="499"/>
      <c r="AB34" s="499"/>
      <c r="AC34" s="499"/>
      <c r="AD34" s="499"/>
      <c r="AE34" s="499"/>
      <c r="AF34" s="499"/>
      <c r="AG34" s="499"/>
      <c r="AH34" s="499"/>
      <c r="AI34" s="499"/>
      <c r="AJ34" s="499"/>
      <c r="AK34" s="499"/>
      <c r="AL34" s="499"/>
      <c r="AM34" s="499"/>
      <c r="AN34" s="499"/>
    </row>
    <row r="35" spans="1:40" ht="15.75" customHeight="1">
      <c r="A35" s="493" t="s">
        <v>251</v>
      </c>
      <c r="B35" s="499" t="s">
        <v>0</v>
      </c>
      <c r="C35" s="568" t="s">
        <v>36</v>
      </c>
      <c r="D35" s="89"/>
      <c r="E35" s="569">
        <v>17.733118212476484</v>
      </c>
      <c r="F35" s="508">
        <v>1433.0923340000875</v>
      </c>
      <c r="G35" s="91"/>
      <c r="H35" s="571">
        <v>17.733118212476484</v>
      </c>
      <c r="I35" s="508">
        <v>1433.0923340000875</v>
      </c>
      <c r="J35" s="509"/>
      <c r="K35" s="569">
        <v>120.78636363636363</v>
      </c>
      <c r="L35" s="508">
        <v>3985.95</v>
      </c>
      <c r="M35" s="509"/>
      <c r="N35" s="573">
        <v>2552.8576659999126</v>
      </c>
      <c r="O35" s="509"/>
      <c r="P35" s="569">
        <v>13.796029411764707</v>
      </c>
      <c r="Q35" s="517">
        <v>938.13</v>
      </c>
      <c r="R35" s="509"/>
      <c r="S35" s="574">
        <v>3047.8199999999997</v>
      </c>
      <c r="T35" s="504"/>
      <c r="U35" s="504"/>
      <c r="V35" s="499"/>
      <c r="W35" s="537"/>
      <c r="X35" s="499"/>
      <c r="Y35" s="499"/>
      <c r="Z35" s="499"/>
      <c r="AA35" s="499"/>
      <c r="AB35" s="499"/>
      <c r="AC35" s="499"/>
      <c r="AD35" s="499"/>
      <c r="AE35" s="499"/>
      <c r="AF35" s="499"/>
      <c r="AG35" s="499"/>
      <c r="AH35" s="499"/>
      <c r="AI35" s="499"/>
      <c r="AJ35" s="499"/>
      <c r="AK35" s="499"/>
      <c r="AL35" s="499"/>
      <c r="AM35" s="499"/>
      <c r="AN35" s="499"/>
    </row>
    <row r="36" spans="1:40" ht="15.75" customHeight="1">
      <c r="A36" s="493" t="s">
        <v>252</v>
      </c>
      <c r="B36" s="499" t="s">
        <v>0</v>
      </c>
      <c r="C36" s="513" t="s">
        <v>37</v>
      </c>
      <c r="D36" s="82"/>
      <c r="E36" s="565">
        <v>195.93765281173592</v>
      </c>
      <c r="F36" s="514">
        <v>15834.595180722888</v>
      </c>
      <c r="G36" s="84"/>
      <c r="H36" s="565">
        <v>195.93765281173592</v>
      </c>
      <c r="I36" s="514">
        <v>15834.595180722888</v>
      </c>
      <c r="J36" s="525"/>
      <c r="K36" s="565">
        <v>401.5127272727272</v>
      </c>
      <c r="L36" s="575">
        <v>13249.919999999998</v>
      </c>
      <c r="M36" s="504"/>
      <c r="N36" s="545">
        <v>-2584.6751807228902</v>
      </c>
      <c r="O36" s="525"/>
      <c r="P36" s="565">
        <v>179.49602941176471</v>
      </c>
      <c r="Q36" s="540">
        <v>12205.73</v>
      </c>
      <c r="R36" s="525"/>
      <c r="S36" s="567">
        <v>1044.1899999999987</v>
      </c>
      <c r="T36" s="504"/>
      <c r="U36" s="504"/>
      <c r="V36" s="499"/>
      <c r="W36" s="499"/>
      <c r="X36" s="499"/>
      <c r="Y36" s="499"/>
      <c r="Z36" s="499"/>
      <c r="AA36" s="499"/>
      <c r="AB36" s="499"/>
      <c r="AC36" s="499"/>
      <c r="AD36" s="499"/>
      <c r="AE36" s="499"/>
      <c r="AF36" s="499"/>
      <c r="AG36" s="499"/>
      <c r="AH36" s="499"/>
      <c r="AI36" s="499"/>
      <c r="AJ36" s="499"/>
      <c r="AK36" s="499"/>
      <c r="AL36" s="499"/>
      <c r="AM36" s="499"/>
      <c r="AN36" s="499"/>
    </row>
    <row r="37" spans="1:40" ht="15.75" customHeight="1">
      <c r="A37" s="493" t="s">
        <v>253</v>
      </c>
      <c r="B37" s="499" t="s">
        <v>0</v>
      </c>
      <c r="C37" s="513" t="s">
        <v>38</v>
      </c>
      <c r="D37" s="82"/>
      <c r="E37" s="565">
        <v>101.02946150005018</v>
      </c>
      <c r="F37" s="514">
        <v>8164.6411561173072</v>
      </c>
      <c r="G37" s="84"/>
      <c r="H37" s="565">
        <v>101.02946150005018</v>
      </c>
      <c r="I37" s="514">
        <v>8164.6411561173072</v>
      </c>
      <c r="J37" s="525"/>
      <c r="K37" s="565">
        <v>10.323030303030304</v>
      </c>
      <c r="L37" s="576">
        <v>340.66</v>
      </c>
      <c r="M37" s="504"/>
      <c r="N37" s="545">
        <v>-7823.9811561173074</v>
      </c>
      <c r="O37" s="525"/>
      <c r="P37" s="565">
        <v>226.95058823529411</v>
      </c>
      <c r="Q37" s="517">
        <v>15432.64</v>
      </c>
      <c r="R37" s="525"/>
      <c r="S37" s="567">
        <v>-15091.98</v>
      </c>
      <c r="T37" s="504"/>
      <c r="U37" s="504"/>
      <c r="V37" s="499"/>
      <c r="W37" s="499"/>
      <c r="X37" s="499"/>
      <c r="Y37" s="499"/>
      <c r="Z37" s="499"/>
      <c r="AA37" s="499"/>
      <c r="AB37" s="499"/>
      <c r="AC37" s="499"/>
      <c r="AD37" s="499"/>
      <c r="AE37" s="499"/>
      <c r="AF37" s="499"/>
      <c r="AG37" s="499"/>
      <c r="AH37" s="499"/>
      <c r="AI37" s="499"/>
      <c r="AJ37" s="499"/>
      <c r="AK37" s="499"/>
      <c r="AL37" s="499"/>
      <c r="AM37" s="499"/>
      <c r="AN37" s="499"/>
    </row>
    <row r="38" spans="1:40" ht="15.75" hidden="1" customHeight="1">
      <c r="A38" s="493" t="s">
        <v>236</v>
      </c>
      <c r="B38" s="499" t="s">
        <v>0</v>
      </c>
      <c r="C38" s="513" t="s">
        <v>21</v>
      </c>
      <c r="D38" s="82"/>
      <c r="E38" s="565">
        <v>0</v>
      </c>
      <c r="F38" s="514">
        <v>0</v>
      </c>
      <c r="G38" s="84"/>
      <c r="H38" s="565">
        <v>0</v>
      </c>
      <c r="I38" s="514">
        <v>0</v>
      </c>
      <c r="J38" s="525"/>
      <c r="K38" s="565">
        <v>0</v>
      </c>
      <c r="L38" s="576">
        <v>0</v>
      </c>
      <c r="M38" s="504"/>
      <c r="N38" s="545">
        <v>0</v>
      </c>
      <c r="O38" s="525"/>
      <c r="P38" s="565">
        <v>0</v>
      </c>
      <c r="Q38" s="517">
        <v>0</v>
      </c>
      <c r="R38" s="525"/>
      <c r="S38" s="567">
        <v>0</v>
      </c>
      <c r="T38" s="504"/>
      <c r="U38" s="504"/>
      <c r="V38" s="499"/>
      <c r="W38" s="499"/>
      <c r="X38" s="499"/>
      <c r="Y38" s="499"/>
      <c r="Z38" s="499"/>
      <c r="AA38" s="499"/>
      <c r="AB38" s="499"/>
      <c r="AC38" s="499"/>
      <c r="AD38" s="499"/>
      <c r="AE38" s="499"/>
      <c r="AF38" s="499"/>
      <c r="AG38" s="499"/>
      <c r="AH38" s="499"/>
      <c r="AI38" s="499"/>
      <c r="AJ38" s="499"/>
      <c r="AK38" s="499"/>
      <c r="AL38" s="499"/>
      <c r="AM38" s="499"/>
      <c r="AN38" s="499"/>
    </row>
    <row r="39" spans="1:40" ht="15.75" hidden="1" customHeight="1">
      <c r="A39" s="493" t="s">
        <v>236</v>
      </c>
      <c r="B39" s="499" t="s">
        <v>0</v>
      </c>
      <c r="C39" s="513" t="s">
        <v>21</v>
      </c>
      <c r="D39" s="82"/>
      <c r="E39" s="565">
        <v>0</v>
      </c>
      <c r="F39" s="514">
        <v>0</v>
      </c>
      <c r="G39" s="84"/>
      <c r="H39" s="565">
        <v>0</v>
      </c>
      <c r="I39" s="514">
        <v>0</v>
      </c>
      <c r="J39" s="525"/>
      <c r="K39" s="565">
        <v>0</v>
      </c>
      <c r="L39" s="576">
        <v>0</v>
      </c>
      <c r="M39" s="504"/>
      <c r="N39" s="545">
        <v>0</v>
      </c>
      <c r="O39" s="525"/>
      <c r="P39" s="565">
        <v>0</v>
      </c>
      <c r="Q39" s="517">
        <v>0</v>
      </c>
      <c r="R39" s="525"/>
      <c r="S39" s="567">
        <v>0</v>
      </c>
      <c r="T39" s="504"/>
      <c r="U39" s="504"/>
      <c r="V39" s="499"/>
      <c r="W39" s="499"/>
      <c r="X39" s="499"/>
      <c r="Y39" s="499"/>
      <c r="Z39" s="499"/>
      <c r="AA39" s="499"/>
      <c r="AB39" s="499"/>
      <c r="AC39" s="499"/>
      <c r="AD39" s="499"/>
      <c r="AE39" s="499"/>
      <c r="AF39" s="499"/>
      <c r="AG39" s="499"/>
      <c r="AH39" s="499"/>
      <c r="AI39" s="499"/>
      <c r="AJ39" s="499"/>
      <c r="AK39" s="499"/>
      <c r="AL39" s="499"/>
      <c r="AM39" s="499"/>
      <c r="AN39" s="499"/>
    </row>
    <row r="40" spans="1:40" ht="15.75" hidden="1" customHeight="1">
      <c r="A40" s="493" t="s">
        <v>236</v>
      </c>
      <c r="B40" s="499" t="s">
        <v>0</v>
      </c>
      <c r="C40" s="513" t="s">
        <v>21</v>
      </c>
      <c r="D40" s="82"/>
      <c r="E40" s="565">
        <v>0</v>
      </c>
      <c r="F40" s="514">
        <v>0</v>
      </c>
      <c r="G40" s="84"/>
      <c r="H40" s="565">
        <v>0</v>
      </c>
      <c r="I40" s="514">
        <v>0</v>
      </c>
      <c r="J40" s="525"/>
      <c r="K40" s="565">
        <v>0</v>
      </c>
      <c r="L40" s="577">
        <v>0</v>
      </c>
      <c r="M40" s="504"/>
      <c r="N40" s="545">
        <v>0</v>
      </c>
      <c r="O40" s="525"/>
      <c r="P40" s="565">
        <v>0</v>
      </c>
      <c r="Q40" s="517">
        <v>0</v>
      </c>
      <c r="R40" s="525"/>
      <c r="S40" s="567">
        <v>0</v>
      </c>
      <c r="T40" s="504"/>
      <c r="U40" s="504"/>
      <c r="V40" s="499"/>
      <c r="W40" s="499"/>
      <c r="X40" s="499"/>
      <c r="Y40" s="499"/>
      <c r="Z40" s="499"/>
      <c r="AA40" s="499"/>
      <c r="AB40" s="499"/>
      <c r="AC40" s="499"/>
      <c r="AD40" s="499"/>
      <c r="AE40" s="499"/>
      <c r="AF40" s="499"/>
      <c r="AG40" s="499"/>
      <c r="AH40" s="499"/>
      <c r="AI40" s="499"/>
      <c r="AJ40" s="499"/>
      <c r="AK40" s="499"/>
      <c r="AL40" s="499"/>
      <c r="AM40" s="499"/>
      <c r="AN40" s="499"/>
    </row>
    <row r="41" spans="1:40" ht="15.75" customHeight="1">
      <c r="A41" s="493" t="s">
        <v>254</v>
      </c>
      <c r="B41" s="499" t="s">
        <v>0</v>
      </c>
      <c r="C41" s="578" t="s">
        <v>39</v>
      </c>
      <c r="D41" s="97" t="s">
        <v>40</v>
      </c>
      <c r="E41" s="579">
        <v>0.46927205558913915</v>
      </c>
      <c r="F41" s="580">
        <v>109093.68099019995</v>
      </c>
      <c r="G41" s="100" t="s">
        <v>40</v>
      </c>
      <c r="H41" s="579">
        <v>0.46927205558913915</v>
      </c>
      <c r="I41" s="580">
        <v>109093.68099019995</v>
      </c>
      <c r="J41" s="100" t="s">
        <v>40</v>
      </c>
      <c r="K41" s="579">
        <v>0.44169524817901901</v>
      </c>
      <c r="L41" s="580">
        <v>69132.929999999993</v>
      </c>
      <c r="M41" s="581"/>
      <c r="N41" s="580">
        <v>-39960.750990199958</v>
      </c>
      <c r="O41" s="100" t="s">
        <v>40</v>
      </c>
      <c r="P41" s="579">
        <v>0.55294927930976134</v>
      </c>
      <c r="Q41" s="582">
        <v>102338.05</v>
      </c>
      <c r="R41" s="583"/>
      <c r="S41" s="584">
        <v>-33205.12000000001</v>
      </c>
      <c r="T41" s="504"/>
      <c r="U41" s="504"/>
      <c r="V41" s="499"/>
      <c r="W41" s="499"/>
      <c r="X41" s="499"/>
      <c r="Y41" s="499"/>
      <c r="Z41" s="499"/>
      <c r="AA41" s="499"/>
      <c r="AB41" s="499"/>
      <c r="AC41" s="499"/>
      <c r="AD41" s="499"/>
      <c r="AE41" s="499"/>
      <c r="AF41" s="499"/>
      <c r="AG41" s="499"/>
      <c r="AH41" s="499"/>
      <c r="AI41" s="499"/>
      <c r="AJ41" s="499"/>
      <c r="AK41" s="499"/>
      <c r="AL41" s="499"/>
      <c r="AM41" s="499"/>
      <c r="AN41" s="499"/>
    </row>
    <row r="42" spans="1:40" ht="15.75" customHeight="1">
      <c r="A42" s="493" t="s">
        <v>255</v>
      </c>
      <c r="B42" s="499" t="s">
        <v>0</v>
      </c>
      <c r="C42" s="585" t="s">
        <v>42</v>
      </c>
      <c r="D42" s="504"/>
      <c r="E42" s="504"/>
      <c r="F42" s="514">
        <v>15359.233908045977</v>
      </c>
      <c r="G42" s="525"/>
      <c r="H42" s="504"/>
      <c r="I42" s="514">
        <v>15359.233908045977</v>
      </c>
      <c r="J42" s="525"/>
      <c r="K42" s="504"/>
      <c r="L42" s="517">
        <v>19366.96</v>
      </c>
      <c r="M42" s="525"/>
      <c r="N42" s="545">
        <v>4007.7260919540222</v>
      </c>
      <c r="O42" s="525"/>
      <c r="P42" s="504"/>
      <c r="Q42" s="517">
        <v>23208.79</v>
      </c>
      <c r="R42" s="525"/>
      <c r="S42" s="567">
        <v>-3841.8300000000017</v>
      </c>
      <c r="T42" s="504"/>
      <c r="U42" s="504" t="s">
        <v>256</v>
      </c>
      <c r="V42" s="504"/>
      <c r="W42" s="504"/>
      <c r="X42" s="504"/>
      <c r="Y42" s="504"/>
      <c r="Z42" s="504"/>
      <c r="AA42" s="504"/>
      <c r="AB42" s="504"/>
      <c r="AC42" s="504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</row>
    <row r="43" spans="1:40" ht="15.75" customHeight="1">
      <c r="A43" s="493" t="s">
        <v>257</v>
      </c>
      <c r="B43" s="499" t="s">
        <v>0</v>
      </c>
      <c r="C43" s="586" t="s">
        <v>43</v>
      </c>
      <c r="D43" s="82"/>
      <c r="E43" s="504"/>
      <c r="F43" s="508">
        <v>9386.1060598965523</v>
      </c>
      <c r="G43" s="84"/>
      <c r="H43" s="504"/>
      <c r="I43" s="508">
        <v>9386.1060598965523</v>
      </c>
      <c r="J43" s="525"/>
      <c r="K43" s="504"/>
      <c r="L43" s="517">
        <v>8185.42</v>
      </c>
      <c r="M43" s="525"/>
      <c r="N43" s="545">
        <v>-1200.6860598965523</v>
      </c>
      <c r="O43" s="525"/>
      <c r="P43" s="504"/>
      <c r="Q43" s="517">
        <v>9482.66</v>
      </c>
      <c r="R43" s="525"/>
      <c r="S43" s="567">
        <v>-1297.2399999999998</v>
      </c>
      <c r="T43" s="504"/>
      <c r="U43" s="504"/>
      <c r="V43" s="499"/>
      <c r="W43" s="499"/>
      <c r="X43" s="499"/>
      <c r="Y43" s="499"/>
      <c r="Z43" s="499"/>
      <c r="AA43" s="499"/>
      <c r="AB43" s="499"/>
      <c r="AC43" s="499"/>
      <c r="AD43" s="499"/>
      <c r="AE43" s="499"/>
      <c r="AF43" s="499"/>
      <c r="AG43" s="499"/>
      <c r="AH43" s="499"/>
      <c r="AI43" s="499"/>
      <c r="AJ43" s="499"/>
      <c r="AK43" s="499"/>
      <c r="AL43" s="499"/>
      <c r="AM43" s="499"/>
      <c r="AN43" s="499"/>
    </row>
    <row r="44" spans="1:40" ht="15.75" customHeight="1">
      <c r="A44" s="493" t="s">
        <v>258</v>
      </c>
      <c r="B44" s="499" t="s">
        <v>0</v>
      </c>
      <c r="C44" s="585" t="s">
        <v>44</v>
      </c>
      <c r="D44" s="107"/>
      <c r="E44" s="587"/>
      <c r="F44" s="514">
        <v>8515.883889011493</v>
      </c>
      <c r="G44" s="109"/>
      <c r="H44" s="587"/>
      <c r="I44" s="514">
        <v>8515.883889011493</v>
      </c>
      <c r="J44" s="588"/>
      <c r="K44" s="587"/>
      <c r="L44" s="589">
        <v>3308.98</v>
      </c>
      <c r="M44" s="588"/>
      <c r="N44" s="590">
        <v>-5206.9038890114934</v>
      </c>
      <c r="O44" s="588"/>
      <c r="P44" s="587"/>
      <c r="Q44" s="589">
        <v>9954.6200000000008</v>
      </c>
      <c r="R44" s="588"/>
      <c r="S44" s="591">
        <v>-6645.6400000000012</v>
      </c>
      <c r="T44" s="504"/>
      <c r="U44" s="504"/>
      <c r="V44" s="499"/>
      <c r="W44" s="499"/>
      <c r="X44" s="499"/>
      <c r="Y44" s="499"/>
      <c r="Z44" s="499"/>
      <c r="AA44" s="499"/>
      <c r="AB44" s="499"/>
      <c r="AC44" s="499"/>
      <c r="AD44" s="499"/>
      <c r="AE44" s="499"/>
      <c r="AF44" s="499"/>
      <c r="AG44" s="499"/>
      <c r="AH44" s="499"/>
      <c r="AI44" s="499"/>
      <c r="AJ44" s="499"/>
      <c r="AK44" s="499"/>
      <c r="AL44" s="499"/>
      <c r="AM44" s="499"/>
      <c r="AN44" s="499"/>
    </row>
    <row r="45" spans="1:40" ht="15.75" customHeight="1">
      <c r="A45" s="493" t="s">
        <v>259</v>
      </c>
      <c r="B45" s="499" t="s">
        <v>0</v>
      </c>
      <c r="C45" s="585" t="s">
        <v>45</v>
      </c>
      <c r="D45" s="82"/>
      <c r="E45" s="504"/>
      <c r="F45" s="514">
        <v>0</v>
      </c>
      <c r="G45" s="84"/>
      <c r="H45" s="504"/>
      <c r="I45" s="514">
        <v>0</v>
      </c>
      <c r="J45" s="525"/>
      <c r="K45" s="504"/>
      <c r="L45" s="517">
        <v>0</v>
      </c>
      <c r="M45" s="525"/>
      <c r="N45" s="545">
        <v>0</v>
      </c>
      <c r="O45" s="525"/>
      <c r="P45" s="504"/>
      <c r="Q45" s="517">
        <v>0</v>
      </c>
      <c r="R45" s="525"/>
      <c r="S45" s="567">
        <v>0</v>
      </c>
      <c r="T45" s="504"/>
      <c r="U45" s="504"/>
      <c r="V45" s="499"/>
      <c r="W45" s="499"/>
      <c r="X45" s="499"/>
      <c r="Y45" s="499"/>
      <c r="Z45" s="499"/>
      <c r="AA45" s="499"/>
      <c r="AB45" s="499"/>
      <c r="AC45" s="499"/>
      <c r="AD45" s="499"/>
      <c r="AE45" s="499"/>
      <c r="AF45" s="499"/>
      <c r="AG45" s="499"/>
      <c r="AH45" s="499"/>
      <c r="AI45" s="499"/>
      <c r="AJ45" s="499"/>
      <c r="AK45" s="499"/>
      <c r="AL45" s="499"/>
      <c r="AM45" s="499"/>
      <c r="AN45" s="499"/>
    </row>
    <row r="46" spans="1:40" ht="15.75" hidden="1" customHeight="1">
      <c r="A46" s="493" t="s">
        <v>236</v>
      </c>
      <c r="B46" s="499" t="s">
        <v>0</v>
      </c>
      <c r="C46" s="585" t="s">
        <v>21</v>
      </c>
      <c r="D46" s="82"/>
      <c r="E46" s="504"/>
      <c r="F46" s="514">
        <v>0</v>
      </c>
      <c r="G46" s="84"/>
      <c r="H46" s="504"/>
      <c r="I46" s="514">
        <v>0</v>
      </c>
      <c r="J46" s="525"/>
      <c r="K46" s="504"/>
      <c r="L46" s="517">
        <v>0</v>
      </c>
      <c r="M46" s="525"/>
      <c r="N46" s="545">
        <v>0</v>
      </c>
      <c r="O46" s="525"/>
      <c r="P46" s="504"/>
      <c r="Q46" s="517">
        <v>0</v>
      </c>
      <c r="R46" s="525"/>
      <c r="S46" s="567">
        <v>0</v>
      </c>
      <c r="T46" s="504"/>
      <c r="U46" s="504"/>
      <c r="V46" s="499"/>
      <c r="W46" s="499"/>
      <c r="X46" s="499"/>
      <c r="Y46" s="499"/>
      <c r="Z46" s="499"/>
      <c r="AA46" s="499"/>
      <c r="AB46" s="499"/>
      <c r="AC46" s="499"/>
      <c r="AD46" s="499"/>
      <c r="AE46" s="499"/>
      <c r="AF46" s="499"/>
      <c r="AG46" s="499"/>
      <c r="AH46" s="499"/>
      <c r="AI46" s="499"/>
      <c r="AJ46" s="499"/>
      <c r="AK46" s="499"/>
      <c r="AL46" s="499"/>
      <c r="AM46" s="499"/>
      <c r="AN46" s="499"/>
    </row>
    <row r="47" spans="1:40" ht="15.75" hidden="1" customHeight="1">
      <c r="A47" s="493" t="s">
        <v>236</v>
      </c>
      <c r="B47" s="499" t="s">
        <v>0</v>
      </c>
      <c r="C47" s="585" t="s">
        <v>21</v>
      </c>
      <c r="D47" s="82"/>
      <c r="E47" s="504"/>
      <c r="F47" s="514">
        <v>0</v>
      </c>
      <c r="G47" s="84"/>
      <c r="H47" s="504"/>
      <c r="I47" s="514">
        <v>0</v>
      </c>
      <c r="J47" s="525"/>
      <c r="K47" s="504"/>
      <c r="L47" s="517">
        <v>0</v>
      </c>
      <c r="M47" s="525"/>
      <c r="N47" s="545">
        <v>0</v>
      </c>
      <c r="O47" s="525"/>
      <c r="P47" s="504"/>
      <c r="Q47" s="517">
        <v>0</v>
      </c>
      <c r="R47" s="525"/>
      <c r="S47" s="567">
        <v>0</v>
      </c>
      <c r="T47" s="504"/>
      <c r="U47" s="504"/>
      <c r="V47" s="499"/>
      <c r="W47" s="499"/>
      <c r="X47" s="499"/>
      <c r="Y47" s="499"/>
      <c r="Z47" s="499"/>
      <c r="AA47" s="499"/>
      <c r="AB47" s="499"/>
      <c r="AC47" s="499"/>
      <c r="AD47" s="499"/>
      <c r="AE47" s="499"/>
      <c r="AF47" s="499"/>
      <c r="AG47" s="499"/>
      <c r="AH47" s="499"/>
      <c r="AI47" s="499"/>
      <c r="AJ47" s="499"/>
      <c r="AK47" s="499"/>
      <c r="AL47" s="499"/>
      <c r="AM47" s="499"/>
      <c r="AN47" s="499"/>
    </row>
    <row r="48" spans="1:40" ht="15.75" hidden="1" customHeight="1">
      <c r="A48" s="493" t="s">
        <v>236</v>
      </c>
      <c r="B48" s="499" t="s">
        <v>0</v>
      </c>
      <c r="C48" s="585" t="s">
        <v>21</v>
      </c>
      <c r="D48" s="82"/>
      <c r="E48" s="504"/>
      <c r="F48" s="514">
        <v>0</v>
      </c>
      <c r="G48" s="84"/>
      <c r="H48" s="504"/>
      <c r="I48" s="514">
        <v>0</v>
      </c>
      <c r="J48" s="525"/>
      <c r="K48" s="504"/>
      <c r="L48" s="517">
        <v>0</v>
      </c>
      <c r="M48" s="525"/>
      <c r="N48" s="545">
        <v>0</v>
      </c>
      <c r="O48" s="525"/>
      <c r="P48" s="504"/>
      <c r="Q48" s="517">
        <v>0</v>
      </c>
      <c r="R48" s="525"/>
      <c r="S48" s="567">
        <v>0</v>
      </c>
      <c r="T48" s="504"/>
      <c r="U48" s="504"/>
      <c r="V48" s="499"/>
      <c r="W48" s="499"/>
      <c r="X48" s="499"/>
      <c r="Y48" s="499"/>
      <c r="Z48" s="499"/>
      <c r="AA48" s="499"/>
      <c r="AB48" s="499"/>
      <c r="AC48" s="499"/>
      <c r="AD48" s="499"/>
      <c r="AE48" s="499"/>
      <c r="AF48" s="499"/>
      <c r="AG48" s="499"/>
      <c r="AH48" s="499"/>
      <c r="AI48" s="499"/>
      <c r="AJ48" s="499"/>
      <c r="AK48" s="499"/>
      <c r="AL48" s="499"/>
      <c r="AM48" s="499"/>
      <c r="AN48" s="499"/>
    </row>
    <row r="49" spans="1:40" ht="15.75" customHeight="1">
      <c r="A49" s="493" t="s">
        <v>260</v>
      </c>
      <c r="B49" s="499" t="s">
        <v>0</v>
      </c>
      <c r="C49" s="586" t="s">
        <v>46</v>
      </c>
      <c r="D49" s="82"/>
      <c r="E49" s="504"/>
      <c r="F49" s="508">
        <v>12474.718068530348</v>
      </c>
      <c r="G49" s="84"/>
      <c r="H49" s="504"/>
      <c r="I49" s="508">
        <v>12474.718068530348</v>
      </c>
      <c r="J49" s="525"/>
      <c r="K49" s="504"/>
      <c r="L49" s="508">
        <v>12609.86</v>
      </c>
      <c r="M49" s="525"/>
      <c r="N49" s="545">
        <v>135.14193146965226</v>
      </c>
      <c r="O49" s="525"/>
      <c r="P49" s="504"/>
      <c r="Q49" s="508">
        <v>13664.22</v>
      </c>
      <c r="R49" s="525"/>
      <c r="S49" s="567">
        <v>-1054.3599999999988</v>
      </c>
      <c r="T49" s="504"/>
      <c r="U49" s="504"/>
      <c r="V49" s="504"/>
      <c r="W49" s="504"/>
      <c r="X49" s="504"/>
      <c r="Y49" s="504"/>
      <c r="Z49" s="504"/>
      <c r="AA49" s="504"/>
      <c r="AB49" s="504"/>
      <c r="AC49" s="50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</row>
    <row r="50" spans="1:40" ht="15.75" customHeight="1">
      <c r="A50" s="493" t="s">
        <v>261</v>
      </c>
      <c r="B50" s="499" t="s">
        <v>0</v>
      </c>
      <c r="C50" s="585" t="s">
        <v>47</v>
      </c>
      <c r="D50" s="107"/>
      <c r="E50" s="587"/>
      <c r="F50" s="514">
        <v>11172.388760441005</v>
      </c>
      <c r="G50" s="109"/>
      <c r="H50" s="587"/>
      <c r="I50" s="514">
        <v>11172.388760441005</v>
      </c>
      <c r="J50" s="588"/>
      <c r="K50" s="587"/>
      <c r="L50" s="517">
        <v>19757.490000000002</v>
      </c>
      <c r="M50" s="588"/>
      <c r="N50" s="590">
        <v>8585.1012395589969</v>
      </c>
      <c r="O50" s="588"/>
      <c r="P50" s="587"/>
      <c r="Q50" s="517">
        <v>10566.27</v>
      </c>
      <c r="R50" s="588"/>
      <c r="S50" s="591">
        <v>9191.2200000000012</v>
      </c>
      <c r="T50" s="504"/>
      <c r="U50" s="504"/>
      <c r="V50" s="504"/>
      <c r="W50" s="504"/>
      <c r="X50" s="504"/>
      <c r="Y50" s="504"/>
      <c r="Z50" s="504"/>
      <c r="AA50" s="504"/>
      <c r="AB50" s="504"/>
      <c r="AC50" s="50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</row>
    <row r="51" spans="1:40" ht="15.75" customHeight="1">
      <c r="A51" s="493" t="s">
        <v>262</v>
      </c>
      <c r="B51" s="499" t="s">
        <v>0</v>
      </c>
      <c r="C51" s="585" t="s">
        <v>48</v>
      </c>
      <c r="D51" s="82"/>
      <c r="E51" s="504"/>
      <c r="F51" s="514">
        <v>8872.1910744678589</v>
      </c>
      <c r="G51" s="84"/>
      <c r="H51" s="504"/>
      <c r="I51" s="514">
        <v>8872.1910744678589</v>
      </c>
      <c r="J51" s="525"/>
      <c r="K51" s="504"/>
      <c r="L51" s="517">
        <v>6579.1</v>
      </c>
      <c r="M51" s="525"/>
      <c r="N51" s="545">
        <v>-2293.0910744678586</v>
      </c>
      <c r="O51" s="525"/>
      <c r="P51" s="504"/>
      <c r="Q51" s="517">
        <v>7572.49</v>
      </c>
      <c r="R51" s="525"/>
      <c r="S51" s="567">
        <v>-993.38999999999942</v>
      </c>
      <c r="T51" s="504"/>
      <c r="U51" s="504"/>
      <c r="V51" s="504"/>
      <c r="W51" s="504"/>
      <c r="X51" s="504"/>
      <c r="Y51" s="504"/>
      <c r="Z51" s="504"/>
      <c r="AA51" s="504"/>
      <c r="AB51" s="504"/>
      <c r="AC51" s="50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</row>
    <row r="52" spans="1:40" ht="15.75" customHeight="1">
      <c r="A52" s="493" t="s">
        <v>263</v>
      </c>
      <c r="B52" s="499" t="s">
        <v>0</v>
      </c>
      <c r="C52" s="585" t="s">
        <v>49</v>
      </c>
      <c r="D52" s="82"/>
      <c r="E52" s="504"/>
      <c r="F52" s="514">
        <v>3614.5963636720903</v>
      </c>
      <c r="G52" s="84"/>
      <c r="H52" s="504"/>
      <c r="I52" s="514">
        <v>3614.5963636720903</v>
      </c>
      <c r="J52" s="525"/>
      <c r="K52" s="504"/>
      <c r="L52" s="517">
        <v>2234.86</v>
      </c>
      <c r="M52" s="525"/>
      <c r="N52" s="545">
        <v>-1379.7363636720902</v>
      </c>
      <c r="O52" s="525"/>
      <c r="P52" s="504"/>
      <c r="Q52" s="517">
        <v>1761.05</v>
      </c>
      <c r="R52" s="525"/>
      <c r="S52" s="567">
        <v>473.81000000000017</v>
      </c>
      <c r="T52" s="504"/>
      <c r="U52" s="504"/>
      <c r="V52" s="504"/>
      <c r="W52" s="504"/>
      <c r="X52" s="504"/>
      <c r="Y52" s="504"/>
      <c r="Z52" s="504"/>
      <c r="AA52" s="504"/>
      <c r="AB52" s="504"/>
      <c r="AC52" s="50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</row>
    <row r="53" spans="1:40" ht="15.75" hidden="1" customHeight="1">
      <c r="A53" s="493" t="s">
        <v>236</v>
      </c>
      <c r="B53" s="499" t="s">
        <v>0</v>
      </c>
      <c r="C53" s="513" t="s">
        <v>21</v>
      </c>
      <c r="D53" s="89"/>
      <c r="E53" s="592"/>
      <c r="F53" s="514">
        <v>0</v>
      </c>
      <c r="G53" s="91"/>
      <c r="H53" s="592"/>
      <c r="I53" s="514">
        <v>0</v>
      </c>
      <c r="J53" s="509"/>
      <c r="K53" s="592"/>
      <c r="L53" s="517">
        <v>0</v>
      </c>
      <c r="M53" s="509"/>
      <c r="N53" s="573">
        <v>0</v>
      </c>
      <c r="O53" s="509"/>
      <c r="P53" s="592"/>
      <c r="Q53" s="517">
        <v>0</v>
      </c>
      <c r="R53" s="509"/>
      <c r="S53" s="574">
        <v>0</v>
      </c>
      <c r="T53" s="504"/>
      <c r="U53" s="504"/>
      <c r="V53" s="504"/>
      <c r="W53" s="504"/>
      <c r="X53" s="504"/>
      <c r="Y53" s="504"/>
      <c r="Z53" s="504"/>
      <c r="AA53" s="504"/>
      <c r="AB53" s="504"/>
      <c r="AC53" s="50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</row>
    <row r="54" spans="1:40" ht="15.75" customHeight="1">
      <c r="A54" s="493" t="s">
        <v>264</v>
      </c>
      <c r="B54" s="499" t="s">
        <v>0</v>
      </c>
      <c r="C54" s="578" t="s">
        <v>50</v>
      </c>
      <c r="D54" s="97" t="s">
        <v>40</v>
      </c>
      <c r="E54" s="579">
        <v>0.29850665441251939</v>
      </c>
      <c r="F54" s="580">
        <v>69395.11812406531</v>
      </c>
      <c r="G54" s="100" t="s">
        <v>40</v>
      </c>
      <c r="H54" s="579">
        <v>0.29850665441251939</v>
      </c>
      <c r="I54" s="580">
        <v>69395.11812406531</v>
      </c>
      <c r="J54" s="100" t="s">
        <v>40</v>
      </c>
      <c r="K54" s="579">
        <v>0.46028578573379103</v>
      </c>
      <c r="L54" s="580">
        <v>72042.670000000013</v>
      </c>
      <c r="M54" s="583"/>
      <c r="N54" s="580">
        <v>2647.5518759346769</v>
      </c>
      <c r="O54" s="100" t="s">
        <v>40</v>
      </c>
      <c r="P54" s="579">
        <v>0.41177567748383764</v>
      </c>
      <c r="Q54" s="580">
        <v>76210.100000000006</v>
      </c>
      <c r="R54" s="583"/>
      <c r="S54" s="584">
        <v>-4167.4299999999994</v>
      </c>
      <c r="T54" s="565"/>
      <c r="U54" s="504"/>
      <c r="V54" s="499"/>
      <c r="W54" s="499"/>
      <c r="X54" s="499"/>
      <c r="Y54" s="499"/>
      <c r="Z54" s="499"/>
      <c r="AA54" s="499"/>
      <c r="AB54" s="499"/>
      <c r="AC54" s="499"/>
      <c r="AD54" s="499"/>
      <c r="AE54" s="499"/>
      <c r="AF54" s="499"/>
      <c r="AG54" s="499"/>
      <c r="AH54" s="499"/>
      <c r="AI54" s="499"/>
      <c r="AJ54" s="499"/>
      <c r="AK54" s="499"/>
      <c r="AL54" s="499"/>
      <c r="AM54" s="499"/>
      <c r="AN54" s="499"/>
    </row>
    <row r="55" spans="1:40" ht="15.75" customHeight="1">
      <c r="A55" s="493" t="s">
        <v>265</v>
      </c>
      <c r="B55" s="499" t="s">
        <v>0</v>
      </c>
      <c r="C55" s="513" t="s">
        <v>51</v>
      </c>
      <c r="D55" s="82"/>
      <c r="E55" s="504"/>
      <c r="F55" s="514">
        <v>0</v>
      </c>
      <c r="G55" s="84"/>
      <c r="H55" s="504"/>
      <c r="I55" s="514">
        <v>0</v>
      </c>
      <c r="J55" s="525"/>
      <c r="K55" s="504"/>
      <c r="L55" s="517">
        <v>0</v>
      </c>
      <c r="M55" s="525"/>
      <c r="N55" s="545">
        <v>0</v>
      </c>
      <c r="O55" s="525"/>
      <c r="P55" s="504"/>
      <c r="Q55" s="517">
        <v>0</v>
      </c>
      <c r="R55" s="525"/>
      <c r="S55" s="567">
        <v>0</v>
      </c>
      <c r="T55" s="565"/>
      <c r="U55" s="504"/>
      <c r="V55" s="499"/>
      <c r="W55" s="499"/>
      <c r="X55" s="499"/>
      <c r="Y55" s="499"/>
      <c r="Z55" s="499"/>
      <c r="AA55" s="499"/>
      <c r="AB55" s="499"/>
      <c r="AC55" s="499"/>
      <c r="AD55" s="499"/>
      <c r="AE55" s="499"/>
      <c r="AF55" s="499"/>
      <c r="AG55" s="499"/>
      <c r="AH55" s="499"/>
      <c r="AI55" s="499"/>
      <c r="AJ55" s="499"/>
      <c r="AK55" s="499"/>
      <c r="AL55" s="499"/>
      <c r="AM55" s="499"/>
      <c r="AN55" s="499"/>
    </row>
    <row r="56" spans="1:40" ht="15.75" customHeight="1">
      <c r="A56" s="493" t="s">
        <v>266</v>
      </c>
      <c r="B56" s="499" t="s">
        <v>0</v>
      </c>
      <c r="C56" s="513" t="s">
        <v>52</v>
      </c>
      <c r="D56" s="82"/>
      <c r="E56" s="504"/>
      <c r="F56" s="514">
        <v>0</v>
      </c>
      <c r="G56" s="84"/>
      <c r="H56" s="504"/>
      <c r="I56" s="514">
        <v>0</v>
      </c>
      <c r="J56" s="525"/>
      <c r="K56" s="504"/>
      <c r="L56" s="517">
        <v>0</v>
      </c>
      <c r="M56" s="525"/>
      <c r="N56" s="545">
        <v>0</v>
      </c>
      <c r="O56" s="525"/>
      <c r="P56" s="504"/>
      <c r="Q56" s="517">
        <v>0</v>
      </c>
      <c r="R56" s="525"/>
      <c r="S56" s="567">
        <v>0</v>
      </c>
      <c r="T56" s="565"/>
      <c r="U56" s="504"/>
      <c r="V56" s="499"/>
      <c r="W56" s="499"/>
      <c r="X56" s="499"/>
      <c r="Y56" s="499"/>
      <c r="Z56" s="499"/>
      <c r="AA56" s="499"/>
      <c r="AB56" s="499"/>
      <c r="AC56" s="499"/>
      <c r="AD56" s="499"/>
      <c r="AE56" s="499"/>
      <c r="AF56" s="499"/>
      <c r="AG56" s="499"/>
      <c r="AH56" s="499"/>
      <c r="AI56" s="499"/>
      <c r="AJ56" s="499"/>
      <c r="AK56" s="499"/>
      <c r="AL56" s="499"/>
      <c r="AM56" s="499"/>
      <c r="AN56" s="499"/>
    </row>
    <row r="57" spans="1:40" ht="15.75" customHeight="1">
      <c r="A57" s="493" t="s">
        <v>267</v>
      </c>
      <c r="B57" s="499" t="s">
        <v>0</v>
      </c>
      <c r="C57" s="568" t="s">
        <v>53</v>
      </c>
      <c r="D57" s="89"/>
      <c r="E57" s="592"/>
      <c r="F57" s="508">
        <v>7322.9400000000005</v>
      </c>
      <c r="G57" s="91"/>
      <c r="H57" s="592"/>
      <c r="I57" s="508">
        <v>7322.9400000000005</v>
      </c>
      <c r="J57" s="509"/>
      <c r="K57" s="592"/>
      <c r="L57" s="508">
        <v>6651.33</v>
      </c>
      <c r="M57" s="509"/>
      <c r="N57" s="573">
        <v>-671.61000000000058</v>
      </c>
      <c r="O57" s="509"/>
      <c r="P57" s="592"/>
      <c r="Q57" s="508">
        <v>5494.87</v>
      </c>
      <c r="R57" s="509"/>
      <c r="S57" s="574">
        <v>1156.46</v>
      </c>
      <c r="T57" s="593"/>
      <c r="U57" s="504"/>
      <c r="V57" s="499"/>
      <c r="W57" s="499"/>
      <c r="X57" s="499"/>
      <c r="Y57" s="499"/>
      <c r="Z57" s="499"/>
      <c r="AA57" s="499"/>
      <c r="AB57" s="499"/>
      <c r="AC57" s="499"/>
      <c r="AD57" s="499"/>
      <c r="AE57" s="499"/>
      <c r="AF57" s="499"/>
      <c r="AG57" s="499"/>
      <c r="AH57" s="499"/>
      <c r="AI57" s="499"/>
      <c r="AJ57" s="499"/>
      <c r="AK57" s="499"/>
      <c r="AL57" s="499"/>
      <c r="AM57" s="499"/>
      <c r="AN57" s="499"/>
    </row>
    <row r="58" spans="1:40" ht="15.75" customHeight="1">
      <c r="A58" s="493" t="s">
        <v>268</v>
      </c>
      <c r="B58" s="499" t="s">
        <v>0</v>
      </c>
      <c r="C58" s="513" t="s">
        <v>54</v>
      </c>
      <c r="D58" s="82"/>
      <c r="E58" s="504"/>
      <c r="F58" s="514">
        <v>6834.1885933333333</v>
      </c>
      <c r="G58" s="84"/>
      <c r="H58" s="504"/>
      <c r="I58" s="514">
        <v>6834.1885933333333</v>
      </c>
      <c r="J58" s="525"/>
      <c r="K58" s="504"/>
      <c r="L58" s="517">
        <v>7009.13</v>
      </c>
      <c r="M58" s="525"/>
      <c r="N58" s="545">
        <v>174.94140666666681</v>
      </c>
      <c r="O58" s="525"/>
      <c r="P58" s="504"/>
      <c r="Q58" s="517">
        <v>4538.32</v>
      </c>
      <c r="R58" s="525"/>
      <c r="S58" s="567">
        <v>2470.8100000000004</v>
      </c>
      <c r="T58" s="565"/>
      <c r="U58" s="504"/>
      <c r="V58" s="499"/>
      <c r="W58" s="499"/>
      <c r="X58" s="499"/>
      <c r="Y58" s="499"/>
      <c r="Z58" s="499"/>
      <c r="AA58" s="499"/>
      <c r="AB58" s="499"/>
      <c r="AC58" s="499"/>
      <c r="AD58" s="499"/>
      <c r="AE58" s="499"/>
      <c r="AF58" s="499"/>
      <c r="AG58" s="499"/>
      <c r="AH58" s="499"/>
      <c r="AI58" s="499"/>
      <c r="AJ58" s="499"/>
      <c r="AK58" s="499"/>
      <c r="AL58" s="499"/>
      <c r="AM58" s="499"/>
      <c r="AN58" s="499"/>
    </row>
    <row r="59" spans="1:40" ht="15.75" customHeight="1">
      <c r="A59" s="493" t="s">
        <v>269</v>
      </c>
      <c r="B59" s="499" t="s">
        <v>0</v>
      </c>
      <c r="C59" s="513" t="s">
        <v>55</v>
      </c>
      <c r="D59" s="82"/>
      <c r="E59" s="504"/>
      <c r="F59" s="514">
        <v>792.1418000000001</v>
      </c>
      <c r="G59" s="84"/>
      <c r="H59" s="504"/>
      <c r="I59" s="514">
        <v>792.1418000000001</v>
      </c>
      <c r="J59" s="525"/>
      <c r="K59" s="504"/>
      <c r="L59" s="517">
        <v>618.30999999999995</v>
      </c>
      <c r="M59" s="525"/>
      <c r="N59" s="545">
        <v>-173.83180000000016</v>
      </c>
      <c r="O59" s="525"/>
      <c r="P59" s="504"/>
      <c r="Q59" s="517">
        <v>209.82</v>
      </c>
      <c r="R59" s="525"/>
      <c r="S59" s="567">
        <v>408.48999999999995</v>
      </c>
      <c r="T59" s="504"/>
      <c r="U59" s="504"/>
      <c r="V59" s="499"/>
      <c r="W59" s="499"/>
      <c r="X59" s="499"/>
      <c r="Y59" s="499"/>
      <c r="Z59" s="499"/>
      <c r="AA59" s="499"/>
      <c r="AB59" s="499"/>
      <c r="AC59" s="499"/>
      <c r="AD59" s="499"/>
      <c r="AE59" s="499"/>
      <c r="AF59" s="499"/>
      <c r="AG59" s="499"/>
      <c r="AH59" s="499"/>
      <c r="AI59" s="499"/>
      <c r="AJ59" s="499"/>
      <c r="AK59" s="499"/>
      <c r="AL59" s="499"/>
      <c r="AM59" s="499"/>
      <c r="AN59" s="499"/>
    </row>
    <row r="60" spans="1:40" ht="15.75" customHeight="1">
      <c r="A60" s="493" t="s">
        <v>270</v>
      </c>
      <c r="B60" s="499" t="s">
        <v>0</v>
      </c>
      <c r="C60" s="568" t="s">
        <v>56</v>
      </c>
      <c r="D60" s="89"/>
      <c r="E60" s="592"/>
      <c r="F60" s="508">
        <v>6627.0465777777781</v>
      </c>
      <c r="G60" s="91"/>
      <c r="H60" s="592"/>
      <c r="I60" s="508">
        <v>6627.0465777777781</v>
      </c>
      <c r="J60" s="509"/>
      <c r="K60" s="592"/>
      <c r="L60" s="508">
        <v>6773.58</v>
      </c>
      <c r="M60" s="509"/>
      <c r="N60" s="573">
        <v>146.53342222222182</v>
      </c>
      <c r="O60" s="509"/>
      <c r="P60" s="592"/>
      <c r="Q60" s="508">
        <v>8488.9599999999991</v>
      </c>
      <c r="R60" s="509"/>
      <c r="S60" s="574">
        <v>-1715.3799999999992</v>
      </c>
      <c r="T60" s="504"/>
      <c r="U60" s="504"/>
      <c r="V60" s="499"/>
      <c r="W60" s="499"/>
      <c r="X60" s="499"/>
      <c r="Y60" s="499"/>
      <c r="Z60" s="499"/>
      <c r="AA60" s="499"/>
      <c r="AB60" s="499"/>
      <c r="AC60" s="499"/>
      <c r="AD60" s="499"/>
      <c r="AE60" s="499"/>
      <c r="AF60" s="499"/>
      <c r="AG60" s="499"/>
      <c r="AH60" s="499"/>
      <c r="AI60" s="499"/>
      <c r="AJ60" s="499"/>
      <c r="AK60" s="499"/>
      <c r="AL60" s="499"/>
      <c r="AM60" s="499"/>
      <c r="AN60" s="499"/>
    </row>
    <row r="61" spans="1:40" ht="15.75" customHeight="1">
      <c r="A61" s="493" t="s">
        <v>271</v>
      </c>
      <c r="B61" s="499" t="s">
        <v>0</v>
      </c>
      <c r="C61" s="513" t="s">
        <v>57</v>
      </c>
      <c r="D61" s="82"/>
      <c r="E61" s="504"/>
      <c r="F61" s="514">
        <v>96.216577192736779</v>
      </c>
      <c r="G61" s="84"/>
      <c r="H61" s="504"/>
      <c r="I61" s="514">
        <v>96.216577192736779</v>
      </c>
      <c r="J61" s="525"/>
      <c r="K61" s="504"/>
      <c r="L61" s="517">
        <v>0</v>
      </c>
      <c r="M61" s="525"/>
      <c r="N61" s="545">
        <v>-96.216577192736779</v>
      </c>
      <c r="O61" s="525"/>
      <c r="P61" s="504"/>
      <c r="Q61" s="517">
        <v>477.01</v>
      </c>
      <c r="R61" s="525"/>
      <c r="S61" s="567">
        <v>-477.01</v>
      </c>
      <c r="T61" s="504"/>
      <c r="U61" s="504"/>
      <c r="V61" s="504"/>
      <c r="W61" s="504"/>
      <c r="X61" s="504"/>
      <c r="Y61" s="504"/>
      <c r="Z61" s="504"/>
      <c r="AA61" s="504"/>
      <c r="AB61" s="504"/>
      <c r="AC61" s="50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</row>
    <row r="62" spans="1:40" ht="15.75" customHeight="1">
      <c r="A62" s="493" t="s">
        <v>272</v>
      </c>
      <c r="B62" s="499" t="s">
        <v>0</v>
      </c>
      <c r="C62" s="513" t="s">
        <v>58</v>
      </c>
      <c r="D62" s="82"/>
      <c r="E62" s="504"/>
      <c r="F62" s="514">
        <v>51.126959799825812</v>
      </c>
      <c r="G62" s="84"/>
      <c r="H62" s="504"/>
      <c r="I62" s="514">
        <v>51.126959799825812</v>
      </c>
      <c r="J62" s="525"/>
      <c r="K62" s="504"/>
      <c r="L62" s="517">
        <v>0</v>
      </c>
      <c r="M62" s="525"/>
      <c r="N62" s="545">
        <v>-51.126959799825812</v>
      </c>
      <c r="O62" s="525"/>
      <c r="P62" s="504"/>
      <c r="Q62" s="517">
        <v>0</v>
      </c>
      <c r="R62" s="525"/>
      <c r="S62" s="567">
        <v>0</v>
      </c>
      <c r="T62" s="504"/>
      <c r="U62" s="504"/>
      <c r="V62" s="504"/>
      <c r="W62" s="504"/>
      <c r="X62" s="504"/>
      <c r="Y62" s="504"/>
      <c r="Z62" s="504"/>
      <c r="AA62" s="504"/>
      <c r="AB62" s="504"/>
      <c r="AC62" s="50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</row>
    <row r="63" spans="1:40" ht="15.75" customHeight="1">
      <c r="A63" s="493" t="s">
        <v>273</v>
      </c>
      <c r="B63" s="499" t="s">
        <v>0</v>
      </c>
      <c r="C63" s="513" t="s">
        <v>59</v>
      </c>
      <c r="D63" s="82"/>
      <c r="E63" s="504"/>
      <c r="F63" s="514">
        <v>652.86432000000002</v>
      </c>
      <c r="G63" s="84"/>
      <c r="H63" s="504"/>
      <c r="I63" s="514">
        <v>652.86432000000002</v>
      </c>
      <c r="J63" s="525"/>
      <c r="K63" s="504"/>
      <c r="L63" s="516">
        <v>742.41</v>
      </c>
      <c r="M63" s="525"/>
      <c r="N63" s="545">
        <v>89.545679999999948</v>
      </c>
      <c r="O63" s="525"/>
      <c r="P63" s="504"/>
      <c r="Q63" s="516">
        <v>548.67999999999995</v>
      </c>
      <c r="R63" s="525"/>
      <c r="S63" s="567">
        <v>193.73000000000002</v>
      </c>
      <c r="T63" s="504"/>
      <c r="U63" s="504"/>
      <c r="V63" s="504"/>
      <c r="W63" s="504"/>
      <c r="X63" s="504"/>
      <c r="Y63" s="504"/>
      <c r="Z63" s="504"/>
      <c r="AA63" s="504"/>
      <c r="AB63" s="504"/>
      <c r="AC63" s="50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</row>
    <row r="64" spans="1:40" ht="15.75" customHeight="1">
      <c r="A64" s="493" t="s">
        <v>274</v>
      </c>
      <c r="B64" s="499" t="s">
        <v>0</v>
      </c>
      <c r="C64" s="513" t="s">
        <v>60</v>
      </c>
      <c r="D64" s="82"/>
      <c r="E64" s="504"/>
      <c r="F64" s="514">
        <v>301.4645266666667</v>
      </c>
      <c r="G64" s="84"/>
      <c r="H64" s="504"/>
      <c r="I64" s="514">
        <v>301.4645266666667</v>
      </c>
      <c r="J64" s="525"/>
      <c r="K64" s="504"/>
      <c r="L64" s="517">
        <v>241.75</v>
      </c>
      <c r="M64" s="525"/>
      <c r="N64" s="545">
        <v>-59.7145266666667</v>
      </c>
      <c r="O64" s="525"/>
      <c r="P64" s="504"/>
      <c r="Q64" s="517">
        <v>130.22</v>
      </c>
      <c r="R64" s="525"/>
      <c r="S64" s="567">
        <v>111.53</v>
      </c>
      <c r="T64" s="504"/>
      <c r="U64" s="504"/>
      <c r="V64" s="504"/>
      <c r="W64" s="504"/>
      <c r="X64" s="504"/>
      <c r="Y64" s="504"/>
      <c r="Z64" s="504"/>
      <c r="AA64" s="504"/>
      <c r="AB64" s="504"/>
      <c r="AC64" s="50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</row>
    <row r="65" spans="1:40" ht="15.75" customHeight="1">
      <c r="A65" s="493" t="s">
        <v>275</v>
      </c>
      <c r="B65" s="499" t="s">
        <v>0</v>
      </c>
      <c r="C65" s="513" t="s">
        <v>61</v>
      </c>
      <c r="D65" s="82"/>
      <c r="E65" s="504"/>
      <c r="F65" s="514">
        <v>160.91707333333329</v>
      </c>
      <c r="G65" s="84"/>
      <c r="H65" s="504"/>
      <c r="I65" s="514">
        <v>160.91707333333329</v>
      </c>
      <c r="J65" s="525"/>
      <c r="K65" s="504"/>
      <c r="L65" s="517">
        <v>172.95</v>
      </c>
      <c r="M65" s="525"/>
      <c r="N65" s="545">
        <v>12.032926666666697</v>
      </c>
      <c r="O65" s="525"/>
      <c r="P65" s="504"/>
      <c r="Q65" s="517">
        <v>134.19</v>
      </c>
      <c r="R65" s="525"/>
      <c r="S65" s="567">
        <v>38.759999999999991</v>
      </c>
      <c r="T65" s="504"/>
      <c r="U65" s="504"/>
      <c r="V65" s="504"/>
      <c r="W65" s="504"/>
      <c r="X65" s="504"/>
      <c r="Y65" s="504"/>
      <c r="Z65" s="504"/>
      <c r="AA65" s="504"/>
      <c r="AB65" s="504"/>
      <c r="AC65" s="50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</row>
    <row r="66" spans="1:40" ht="15.75" customHeight="1">
      <c r="A66" s="493" t="s">
        <v>276</v>
      </c>
      <c r="B66" s="499" t="s">
        <v>0</v>
      </c>
      <c r="C66" s="513" t="s">
        <v>62</v>
      </c>
      <c r="D66" s="82"/>
      <c r="E66" s="504"/>
      <c r="F66" s="514">
        <v>776.23359333333315</v>
      </c>
      <c r="G66" s="84"/>
      <c r="H66" s="504"/>
      <c r="I66" s="514">
        <v>776.23359333333315</v>
      </c>
      <c r="J66" s="525"/>
      <c r="K66" s="504"/>
      <c r="L66" s="517">
        <v>920.62</v>
      </c>
      <c r="M66" s="525"/>
      <c r="N66" s="545">
        <v>144.38640666666686</v>
      </c>
      <c r="O66" s="525"/>
      <c r="P66" s="504"/>
      <c r="Q66" s="517">
        <v>264.06</v>
      </c>
      <c r="R66" s="525"/>
      <c r="S66" s="567">
        <v>656.56</v>
      </c>
      <c r="T66" s="504"/>
      <c r="U66" s="504"/>
      <c r="V66" s="504"/>
      <c r="W66" s="504"/>
      <c r="X66" s="504"/>
      <c r="Y66" s="504"/>
      <c r="Z66" s="504"/>
      <c r="AA66" s="504"/>
      <c r="AB66" s="504"/>
      <c r="AC66" s="50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</row>
    <row r="67" spans="1:40" ht="15.75" customHeight="1">
      <c r="A67" s="493" t="s">
        <v>277</v>
      </c>
      <c r="B67" s="499" t="s">
        <v>0</v>
      </c>
      <c r="C67" s="513" t="s">
        <v>63</v>
      </c>
      <c r="D67" s="82"/>
      <c r="E67" s="504"/>
      <c r="F67" s="514">
        <v>1153.2562666666668</v>
      </c>
      <c r="G67" s="84"/>
      <c r="H67" s="504"/>
      <c r="I67" s="514">
        <v>1153.2562666666668</v>
      </c>
      <c r="J67" s="525"/>
      <c r="K67" s="504"/>
      <c r="L67" s="517">
        <v>508.54</v>
      </c>
      <c r="M67" s="525"/>
      <c r="N67" s="545">
        <v>-644.7162666666668</v>
      </c>
      <c r="O67" s="525"/>
      <c r="P67" s="504"/>
      <c r="Q67" s="517">
        <v>523.33000000000004</v>
      </c>
      <c r="R67" s="525"/>
      <c r="S67" s="567">
        <v>-14.79000000000002</v>
      </c>
      <c r="T67" s="504"/>
      <c r="U67" s="504"/>
      <c r="V67" s="504"/>
      <c r="W67" s="504"/>
      <c r="X67" s="504"/>
      <c r="Y67" s="504"/>
      <c r="Z67" s="504"/>
      <c r="AA67" s="504"/>
      <c r="AB67" s="504"/>
      <c r="AC67" s="50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</row>
    <row r="68" spans="1:40" ht="15.75" customHeight="1">
      <c r="A68" s="493" t="s">
        <v>278</v>
      </c>
      <c r="B68" s="499" t="s">
        <v>0</v>
      </c>
      <c r="C68" s="513" t="s">
        <v>64</v>
      </c>
      <c r="D68" s="82"/>
      <c r="E68" s="504"/>
      <c r="F68" s="514">
        <v>3359.0495851260935</v>
      </c>
      <c r="G68" s="84"/>
      <c r="H68" s="504"/>
      <c r="I68" s="514">
        <v>3359.0495851260935</v>
      </c>
      <c r="J68" s="525"/>
      <c r="K68" s="504"/>
      <c r="L68" s="516">
        <v>4180.9364999999998</v>
      </c>
      <c r="M68" s="525"/>
      <c r="N68" s="545">
        <v>821.88691487390633</v>
      </c>
      <c r="O68" s="525"/>
      <c r="P68" s="504"/>
      <c r="Q68" s="517">
        <v>4056.8849999999998</v>
      </c>
      <c r="R68" s="525"/>
      <c r="S68" s="567">
        <v>124.05150000000003</v>
      </c>
      <c r="T68" s="504"/>
      <c r="U68" s="504"/>
      <c r="V68" s="504"/>
      <c r="W68" s="504"/>
      <c r="X68" s="504"/>
      <c r="Y68" s="504"/>
      <c r="Z68" s="504"/>
      <c r="AA68" s="504"/>
      <c r="AB68" s="504"/>
      <c r="AC68" s="50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</row>
    <row r="69" spans="1:40" ht="15.75" hidden="1" customHeight="1">
      <c r="A69" s="493" t="s">
        <v>236</v>
      </c>
      <c r="B69" s="499" t="s">
        <v>0</v>
      </c>
      <c r="C69" s="513" t="s">
        <v>21</v>
      </c>
      <c r="D69" s="82"/>
      <c r="E69" s="504"/>
      <c r="F69" s="514">
        <v>0</v>
      </c>
      <c r="G69" s="84"/>
      <c r="H69" s="504"/>
      <c r="I69" s="514">
        <v>0</v>
      </c>
      <c r="J69" s="525"/>
      <c r="K69" s="504"/>
      <c r="L69" s="517"/>
      <c r="M69" s="525"/>
      <c r="N69" s="545">
        <v>0</v>
      </c>
      <c r="O69" s="525"/>
      <c r="P69" s="504"/>
      <c r="Q69" s="517">
        <v>0</v>
      </c>
      <c r="R69" s="525"/>
      <c r="S69" s="567">
        <v>0</v>
      </c>
      <c r="T69" s="504"/>
      <c r="U69" s="504"/>
      <c r="V69" s="504"/>
      <c r="W69" s="504"/>
      <c r="X69" s="504"/>
      <c r="Y69" s="504"/>
      <c r="Z69" s="504"/>
      <c r="AA69" s="504"/>
      <c r="AB69" s="504"/>
      <c r="AC69" s="50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</row>
    <row r="70" spans="1:40" ht="15.75" hidden="1" customHeight="1">
      <c r="A70" s="493" t="s">
        <v>236</v>
      </c>
      <c r="B70" s="499" t="s">
        <v>0</v>
      </c>
      <c r="C70" s="513" t="s">
        <v>21</v>
      </c>
      <c r="D70" s="82"/>
      <c r="E70" s="504"/>
      <c r="F70" s="514">
        <v>0</v>
      </c>
      <c r="G70" s="84"/>
      <c r="H70" s="504"/>
      <c r="I70" s="514">
        <v>0</v>
      </c>
      <c r="J70" s="525"/>
      <c r="K70" s="504"/>
      <c r="L70" s="517">
        <v>0</v>
      </c>
      <c r="M70" s="525"/>
      <c r="N70" s="545">
        <v>0</v>
      </c>
      <c r="O70" s="525"/>
      <c r="P70" s="504"/>
      <c r="Q70" s="517">
        <v>0</v>
      </c>
      <c r="R70" s="525"/>
      <c r="S70" s="567">
        <v>0</v>
      </c>
      <c r="T70" s="504"/>
      <c r="U70" s="504"/>
      <c r="V70" s="504"/>
      <c r="W70" s="504"/>
      <c r="X70" s="504"/>
      <c r="Y70" s="504"/>
      <c r="Z70" s="504"/>
      <c r="AA70" s="504"/>
      <c r="AB70" s="504"/>
      <c r="AC70" s="50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</row>
    <row r="71" spans="1:40" ht="15.75" hidden="1" customHeight="1">
      <c r="A71" s="493" t="s">
        <v>236</v>
      </c>
      <c r="B71" s="499" t="s">
        <v>0</v>
      </c>
      <c r="C71" s="513" t="s">
        <v>21</v>
      </c>
      <c r="D71" s="82"/>
      <c r="E71" s="504"/>
      <c r="F71" s="514">
        <v>0</v>
      </c>
      <c r="G71" s="84"/>
      <c r="H71" s="504"/>
      <c r="I71" s="514">
        <v>0</v>
      </c>
      <c r="J71" s="525"/>
      <c r="K71" s="504"/>
      <c r="L71" s="517">
        <v>0</v>
      </c>
      <c r="M71" s="525"/>
      <c r="N71" s="545">
        <v>0</v>
      </c>
      <c r="O71" s="525"/>
      <c r="P71" s="504"/>
      <c r="Q71" s="517">
        <v>0</v>
      </c>
      <c r="R71" s="525"/>
      <c r="S71" s="567">
        <v>0</v>
      </c>
      <c r="T71" s="504"/>
      <c r="U71" s="504"/>
      <c r="V71" s="499"/>
      <c r="W71" s="499"/>
      <c r="X71" s="499"/>
      <c r="Y71" s="499"/>
      <c r="Z71" s="499"/>
      <c r="AA71" s="499"/>
      <c r="AB71" s="499"/>
      <c r="AC71" s="499"/>
      <c r="AD71" s="499"/>
      <c r="AE71" s="499"/>
      <c r="AF71" s="499"/>
      <c r="AG71" s="499"/>
      <c r="AH71" s="499"/>
      <c r="AI71" s="499"/>
      <c r="AJ71" s="499"/>
      <c r="AK71" s="499"/>
      <c r="AL71" s="499"/>
      <c r="AM71" s="499"/>
      <c r="AN71" s="499"/>
    </row>
    <row r="72" spans="1:40" ht="15.75" customHeight="1">
      <c r="A72" s="493" t="s">
        <v>279</v>
      </c>
      <c r="B72" s="499" t="s">
        <v>0</v>
      </c>
      <c r="C72" s="578" t="s">
        <v>65</v>
      </c>
      <c r="D72" s="97" t="s">
        <v>40</v>
      </c>
      <c r="E72" s="579">
        <v>0.12099164886175677</v>
      </c>
      <c r="F72" s="580">
        <v>28127.445873229768</v>
      </c>
      <c r="G72" s="100" t="s">
        <v>40</v>
      </c>
      <c r="H72" s="579">
        <v>0.12099164886175677</v>
      </c>
      <c r="I72" s="580">
        <v>28127.445873229768</v>
      </c>
      <c r="J72" s="100" t="s">
        <v>40</v>
      </c>
      <c r="K72" s="579">
        <v>0.17774114177567393</v>
      </c>
      <c r="L72" s="580">
        <v>27819.556499999999</v>
      </c>
      <c r="M72" s="583"/>
      <c r="N72" s="580">
        <v>-307.88937322976835</v>
      </c>
      <c r="O72" s="100" t="s">
        <v>40</v>
      </c>
      <c r="P72" s="579">
        <v>0.13435694296322714</v>
      </c>
      <c r="Q72" s="580">
        <v>24866.344999999998</v>
      </c>
      <c r="R72" s="583"/>
      <c r="S72" s="584">
        <v>2953.2115000000013</v>
      </c>
      <c r="T72" s="504"/>
      <c r="U72" s="504"/>
      <c r="V72" s="499"/>
      <c r="W72" s="499"/>
      <c r="X72" s="499"/>
      <c r="Y72" s="499"/>
      <c r="Z72" s="499"/>
      <c r="AA72" s="499"/>
      <c r="AB72" s="499"/>
      <c r="AC72" s="499"/>
      <c r="AD72" s="499"/>
      <c r="AE72" s="499"/>
      <c r="AF72" s="499"/>
      <c r="AG72" s="499"/>
      <c r="AH72" s="499"/>
      <c r="AI72" s="499"/>
      <c r="AJ72" s="499"/>
      <c r="AK72" s="499"/>
      <c r="AL72" s="499"/>
      <c r="AM72" s="499"/>
      <c r="AN72" s="499"/>
    </row>
    <row r="73" spans="1:40" ht="15.75" customHeight="1">
      <c r="A73" s="493" t="s">
        <v>0</v>
      </c>
      <c r="B73" s="499" t="s">
        <v>0</v>
      </c>
      <c r="C73" s="568"/>
      <c r="D73" s="89"/>
      <c r="E73" s="592"/>
      <c r="F73" s="545"/>
      <c r="G73" s="91"/>
      <c r="H73" s="592"/>
      <c r="I73" s="545"/>
      <c r="J73" s="509"/>
      <c r="K73" s="592"/>
      <c r="L73" s="573"/>
      <c r="M73" s="509"/>
      <c r="N73" s="573"/>
      <c r="O73" s="509"/>
      <c r="P73" s="592"/>
      <c r="Q73" s="573"/>
      <c r="R73" s="509"/>
      <c r="S73" s="574"/>
      <c r="T73" s="504"/>
      <c r="U73" s="504"/>
      <c r="V73" s="499"/>
      <c r="W73" s="499"/>
      <c r="X73" s="499"/>
      <c r="Y73" s="499"/>
      <c r="Z73" s="499"/>
      <c r="AA73" s="499"/>
      <c r="AB73" s="499"/>
      <c r="AC73" s="499"/>
      <c r="AD73" s="499"/>
      <c r="AE73" s="499"/>
      <c r="AF73" s="499"/>
      <c r="AG73" s="499"/>
      <c r="AH73" s="499"/>
      <c r="AI73" s="499"/>
      <c r="AJ73" s="499"/>
      <c r="AK73" s="499"/>
      <c r="AL73" s="499"/>
      <c r="AM73" s="499"/>
      <c r="AN73" s="499"/>
    </row>
    <row r="74" spans="1:40" ht="15.75" customHeight="1">
      <c r="A74" s="493" t="s">
        <v>280</v>
      </c>
      <c r="B74" s="499" t="s">
        <v>0</v>
      </c>
      <c r="C74" s="578" t="s">
        <v>66</v>
      </c>
      <c r="D74" s="97" t="s">
        <v>40</v>
      </c>
      <c r="E74" s="579">
        <v>0.88877035886341527</v>
      </c>
      <c r="F74" s="580">
        <v>206616.24498749501</v>
      </c>
      <c r="G74" s="100" t="s">
        <v>40</v>
      </c>
      <c r="H74" s="579">
        <v>0.88877035886341527</v>
      </c>
      <c r="I74" s="580">
        <v>206616.24498749501</v>
      </c>
      <c r="J74" s="100" t="s">
        <v>40</v>
      </c>
      <c r="K74" s="579">
        <v>1.0797221756884841</v>
      </c>
      <c r="L74" s="580">
        <v>168995.15650000001</v>
      </c>
      <c r="M74" s="583"/>
      <c r="N74" s="594">
        <v>-37621.088487494999</v>
      </c>
      <c r="O74" s="100" t="s">
        <v>40</v>
      </c>
      <c r="P74" s="579">
        <v>1.0990818997568264</v>
      </c>
      <c r="Q74" s="580">
        <v>203414.49500000002</v>
      </c>
      <c r="R74" s="583"/>
      <c r="S74" s="595">
        <v>-34419.338500000013</v>
      </c>
      <c r="T74" s="504"/>
      <c r="U74" s="504"/>
      <c r="V74" s="499"/>
      <c r="W74" s="499"/>
      <c r="X74" s="499"/>
      <c r="Y74" s="499"/>
      <c r="Z74" s="499"/>
      <c r="AA74" s="499"/>
      <c r="AB74" s="499"/>
      <c r="AC74" s="499"/>
      <c r="AD74" s="499"/>
      <c r="AE74" s="499"/>
      <c r="AF74" s="499"/>
      <c r="AG74" s="499"/>
      <c r="AH74" s="499"/>
      <c r="AI74" s="499"/>
      <c r="AJ74" s="499"/>
      <c r="AK74" s="499"/>
      <c r="AL74" s="499"/>
      <c r="AM74" s="499"/>
      <c r="AN74" s="499"/>
    </row>
    <row r="75" spans="1:40" ht="15.75" customHeight="1">
      <c r="A75" s="493" t="s">
        <v>281</v>
      </c>
      <c r="B75" s="499" t="s">
        <v>0</v>
      </c>
      <c r="C75" s="513" t="s">
        <v>200</v>
      </c>
      <c r="D75" s="82"/>
      <c r="E75" s="504"/>
      <c r="F75" s="514">
        <v>0</v>
      </c>
      <c r="G75" s="84"/>
      <c r="H75" s="504"/>
      <c r="I75" s="514">
        <v>0</v>
      </c>
      <c r="J75" s="525"/>
      <c r="K75" s="504"/>
      <c r="L75" s="516">
        <v>0</v>
      </c>
      <c r="M75" s="525"/>
      <c r="N75" s="545">
        <v>0</v>
      </c>
      <c r="O75" s="525"/>
      <c r="P75" s="504"/>
      <c r="Q75" s="516">
        <v>0</v>
      </c>
      <c r="R75" s="525"/>
      <c r="S75" s="567"/>
      <c r="T75" s="504"/>
      <c r="U75" s="504"/>
      <c r="V75" s="499"/>
      <c r="W75" s="499"/>
      <c r="X75" s="499"/>
      <c r="Y75" s="499"/>
      <c r="Z75" s="499"/>
      <c r="AA75" s="499"/>
      <c r="AB75" s="499"/>
      <c r="AC75" s="499"/>
      <c r="AD75" s="499"/>
      <c r="AE75" s="499"/>
      <c r="AF75" s="499"/>
      <c r="AG75" s="499"/>
      <c r="AH75" s="499"/>
      <c r="AI75" s="499"/>
      <c r="AJ75" s="499"/>
      <c r="AK75" s="499"/>
      <c r="AL75" s="499"/>
      <c r="AM75" s="499"/>
      <c r="AN75" s="499"/>
    </row>
    <row r="76" spans="1:40" ht="15.75" customHeight="1">
      <c r="A76" s="493" t="s">
        <v>282</v>
      </c>
      <c r="B76" s="499" t="s">
        <v>0</v>
      </c>
      <c r="C76" s="513" t="s">
        <v>197</v>
      </c>
      <c r="D76" s="82"/>
      <c r="E76" s="504"/>
      <c r="F76" s="514">
        <v>0</v>
      </c>
      <c r="G76" s="84"/>
      <c r="H76" s="504"/>
      <c r="I76" s="514">
        <v>0</v>
      </c>
      <c r="J76" s="525"/>
      <c r="K76" s="504"/>
      <c r="L76" s="516">
        <v>0</v>
      </c>
      <c r="M76" s="525"/>
      <c r="N76" s="545">
        <v>0</v>
      </c>
      <c r="O76" s="525"/>
      <c r="P76" s="504"/>
      <c r="Q76" s="516">
        <v>0</v>
      </c>
      <c r="R76" s="525"/>
      <c r="S76" s="567">
        <v>0</v>
      </c>
      <c r="T76" s="504"/>
      <c r="U76" s="504"/>
      <c r="V76" s="499"/>
      <c r="W76" s="499"/>
      <c r="X76" s="499"/>
      <c r="Y76" s="499"/>
      <c r="Z76" s="499"/>
      <c r="AA76" s="499"/>
      <c r="AB76" s="499"/>
      <c r="AC76" s="499"/>
      <c r="AD76" s="499"/>
      <c r="AE76" s="499"/>
      <c r="AF76" s="499"/>
      <c r="AG76" s="499"/>
      <c r="AH76" s="499"/>
      <c r="AI76" s="499"/>
      <c r="AJ76" s="499"/>
      <c r="AK76" s="499"/>
      <c r="AL76" s="499"/>
      <c r="AM76" s="499"/>
      <c r="AN76" s="499"/>
    </row>
    <row r="77" spans="1:40" ht="15.75" customHeight="1">
      <c r="A77" s="493" t="s">
        <v>283</v>
      </c>
      <c r="B77" s="499" t="s">
        <v>0</v>
      </c>
      <c r="C77" s="513" t="s">
        <v>69</v>
      </c>
      <c r="D77" s="82"/>
      <c r="E77" s="504"/>
      <c r="F77" s="514">
        <v>0</v>
      </c>
      <c r="G77" s="84"/>
      <c r="H77" s="504"/>
      <c r="I77" s="514">
        <v>0</v>
      </c>
      <c r="J77" s="525"/>
      <c r="K77" s="504"/>
      <c r="L77" s="516">
        <v>0</v>
      </c>
      <c r="M77" s="525"/>
      <c r="N77" s="545">
        <v>0</v>
      </c>
      <c r="O77" s="525"/>
      <c r="P77" s="504"/>
      <c r="Q77" s="516">
        <v>0</v>
      </c>
      <c r="R77" s="525"/>
      <c r="S77" s="567">
        <v>0</v>
      </c>
      <c r="T77" s="504"/>
      <c r="U77" s="504"/>
      <c r="V77" s="499"/>
      <c r="W77" s="499"/>
      <c r="X77" s="499"/>
      <c r="Y77" s="499"/>
      <c r="Z77" s="499"/>
      <c r="AA77" s="499"/>
      <c r="AB77" s="499"/>
      <c r="AC77" s="499"/>
      <c r="AD77" s="499"/>
      <c r="AE77" s="499"/>
      <c r="AF77" s="499"/>
      <c r="AG77" s="499"/>
      <c r="AH77" s="499"/>
      <c r="AI77" s="499"/>
      <c r="AJ77" s="499"/>
      <c r="AK77" s="499"/>
      <c r="AL77" s="499"/>
      <c r="AM77" s="499"/>
      <c r="AN77" s="499"/>
    </row>
    <row r="78" spans="1:40" ht="15.75" customHeight="1">
      <c r="A78" s="493" t="s">
        <v>284</v>
      </c>
      <c r="B78" s="499" t="s">
        <v>0</v>
      </c>
      <c r="C78" s="513" t="s">
        <v>70</v>
      </c>
      <c r="D78" s="82"/>
      <c r="E78" s="504"/>
      <c r="F78" s="514">
        <v>85775.868325301184</v>
      </c>
      <c r="G78" s="84"/>
      <c r="H78" s="504"/>
      <c r="I78" s="514">
        <v>85775.868325301184</v>
      </c>
      <c r="J78" s="525"/>
      <c r="K78" s="504"/>
      <c r="L78" s="517">
        <v>36636</v>
      </c>
      <c r="M78" s="525"/>
      <c r="N78" s="545">
        <v>-49139.868325301184</v>
      </c>
      <c r="O78" s="525"/>
      <c r="P78" s="504"/>
      <c r="Q78" s="516">
        <v>64999</v>
      </c>
      <c r="R78" s="525"/>
      <c r="S78" s="567">
        <v>-28363</v>
      </c>
      <c r="T78" s="504"/>
      <c r="U78" s="504"/>
      <c r="V78" s="499"/>
      <c r="W78" s="499"/>
      <c r="X78" s="499"/>
      <c r="Y78" s="499"/>
      <c r="Z78" s="499"/>
      <c r="AA78" s="499"/>
      <c r="AB78" s="499"/>
      <c r="AC78" s="499"/>
      <c r="AD78" s="499"/>
      <c r="AE78" s="499"/>
      <c r="AF78" s="499"/>
      <c r="AG78" s="499"/>
      <c r="AH78" s="499"/>
      <c r="AI78" s="499"/>
      <c r="AJ78" s="499"/>
      <c r="AK78" s="499"/>
      <c r="AL78" s="499"/>
      <c r="AM78" s="499"/>
      <c r="AN78" s="499"/>
    </row>
    <row r="79" spans="1:40" ht="15.75" hidden="1" customHeight="1">
      <c r="A79" s="493" t="s">
        <v>236</v>
      </c>
      <c r="B79" s="499" t="s">
        <v>0</v>
      </c>
      <c r="C79" s="513" t="s">
        <v>21</v>
      </c>
      <c r="D79" s="82"/>
      <c r="E79" s="504"/>
      <c r="F79" s="514">
        <v>0</v>
      </c>
      <c r="G79" s="84"/>
      <c r="H79" s="504"/>
      <c r="I79" s="514">
        <v>0</v>
      </c>
      <c r="J79" s="525"/>
      <c r="K79" s="504"/>
      <c r="L79" s="517">
        <v>0</v>
      </c>
      <c r="M79" s="525"/>
      <c r="N79" s="545">
        <v>0</v>
      </c>
      <c r="O79" s="525"/>
      <c r="P79" s="504"/>
      <c r="Q79" s="516">
        <v>0</v>
      </c>
      <c r="R79" s="525"/>
      <c r="S79" s="567">
        <v>0</v>
      </c>
      <c r="T79" s="504"/>
      <c r="U79" s="504"/>
      <c r="V79" s="499"/>
      <c r="W79" s="499"/>
      <c r="X79" s="499"/>
      <c r="Y79" s="499"/>
      <c r="Z79" s="499"/>
      <c r="AA79" s="499"/>
      <c r="AB79" s="499"/>
      <c r="AC79" s="499"/>
      <c r="AD79" s="499"/>
      <c r="AE79" s="499"/>
      <c r="AF79" s="499"/>
      <c r="AG79" s="499"/>
      <c r="AH79" s="499"/>
      <c r="AI79" s="499"/>
      <c r="AJ79" s="499"/>
      <c r="AK79" s="499"/>
      <c r="AL79" s="499"/>
      <c r="AM79" s="499"/>
      <c r="AN79" s="499"/>
    </row>
    <row r="80" spans="1:40" ht="15.75" hidden="1" customHeight="1">
      <c r="A80" s="493" t="s">
        <v>236</v>
      </c>
      <c r="B80" s="499" t="s">
        <v>0</v>
      </c>
      <c r="C80" s="513" t="s">
        <v>21</v>
      </c>
      <c r="D80" s="82"/>
      <c r="E80" s="504"/>
      <c r="F80" s="514">
        <v>0</v>
      </c>
      <c r="G80" s="84"/>
      <c r="H80" s="504"/>
      <c r="I80" s="514">
        <v>0</v>
      </c>
      <c r="J80" s="525"/>
      <c r="K80" s="504"/>
      <c r="L80" s="517">
        <v>0</v>
      </c>
      <c r="M80" s="525"/>
      <c r="N80" s="545">
        <v>0</v>
      </c>
      <c r="O80" s="525"/>
      <c r="P80" s="504"/>
      <c r="Q80" s="516">
        <v>0</v>
      </c>
      <c r="R80" s="525"/>
      <c r="S80" s="567">
        <v>0</v>
      </c>
      <c r="T80" s="504"/>
      <c r="U80" s="504"/>
      <c r="V80" s="499"/>
      <c r="W80" s="499"/>
      <c r="X80" s="499"/>
      <c r="Y80" s="499"/>
      <c r="Z80" s="499"/>
      <c r="AA80" s="499"/>
      <c r="AB80" s="499"/>
      <c r="AC80" s="499"/>
      <c r="AD80" s="499"/>
      <c r="AE80" s="499"/>
      <c r="AF80" s="499"/>
      <c r="AG80" s="499"/>
      <c r="AH80" s="499"/>
      <c r="AI80" s="499"/>
      <c r="AJ80" s="499"/>
      <c r="AK80" s="499"/>
      <c r="AL80" s="499"/>
      <c r="AM80" s="499"/>
      <c r="AN80" s="499"/>
    </row>
    <row r="81" spans="1:40" ht="15.75" hidden="1" customHeight="1">
      <c r="A81" s="493" t="s">
        <v>236</v>
      </c>
      <c r="B81" s="499" t="s">
        <v>0</v>
      </c>
      <c r="C81" s="513" t="s">
        <v>21</v>
      </c>
      <c r="D81" s="82"/>
      <c r="E81" s="504"/>
      <c r="F81" s="514">
        <v>0</v>
      </c>
      <c r="G81" s="84"/>
      <c r="H81" s="504"/>
      <c r="I81" s="514">
        <v>0</v>
      </c>
      <c r="J81" s="525"/>
      <c r="K81" s="504"/>
      <c r="L81" s="517">
        <v>0</v>
      </c>
      <c r="M81" s="525"/>
      <c r="N81" s="545">
        <v>0</v>
      </c>
      <c r="O81" s="525"/>
      <c r="P81" s="504"/>
      <c r="Q81" s="516">
        <v>0</v>
      </c>
      <c r="R81" s="525"/>
      <c r="S81" s="567">
        <v>0</v>
      </c>
      <c r="T81" s="504"/>
      <c r="U81" s="504"/>
      <c r="V81" s="499"/>
      <c r="W81" s="499"/>
      <c r="X81" s="499"/>
      <c r="Y81" s="499"/>
      <c r="Z81" s="499"/>
      <c r="AA81" s="499"/>
      <c r="AB81" s="499"/>
      <c r="AC81" s="499"/>
      <c r="AD81" s="499"/>
      <c r="AE81" s="499"/>
      <c r="AF81" s="499"/>
      <c r="AG81" s="499"/>
      <c r="AH81" s="499"/>
      <c r="AI81" s="499"/>
      <c r="AJ81" s="499"/>
      <c r="AK81" s="499"/>
      <c r="AL81" s="499"/>
      <c r="AM81" s="499"/>
      <c r="AN81" s="499"/>
    </row>
    <row r="82" spans="1:40" ht="15.75" customHeight="1">
      <c r="A82" s="493" t="s">
        <v>285</v>
      </c>
      <c r="B82" s="499" t="s">
        <v>0</v>
      </c>
      <c r="C82" s="513" t="s">
        <v>71</v>
      </c>
      <c r="D82" s="82"/>
      <c r="E82" s="504"/>
      <c r="F82" s="514">
        <v>29467.190391299711</v>
      </c>
      <c r="G82" s="84"/>
      <c r="H82" s="504"/>
      <c r="I82" s="514">
        <v>29467.190391299711</v>
      </c>
      <c r="J82" s="525">
        <v>29.095238095238095</v>
      </c>
      <c r="K82" s="504">
        <v>0.88167388167388161</v>
      </c>
      <c r="L82" s="516">
        <v>11609</v>
      </c>
      <c r="M82" s="525"/>
      <c r="N82" s="545">
        <v>-17858.190391299711</v>
      </c>
      <c r="O82" s="525"/>
      <c r="P82" s="504"/>
      <c r="Q82" s="516">
        <v>18363</v>
      </c>
      <c r="R82" s="525"/>
      <c r="S82" s="567">
        <v>-6754</v>
      </c>
      <c r="T82" s="504"/>
      <c r="U82" s="504"/>
      <c r="V82" s="499"/>
      <c r="W82" s="499"/>
      <c r="X82" s="499"/>
      <c r="Y82" s="499"/>
      <c r="Z82" s="499"/>
      <c r="AA82" s="499"/>
      <c r="AB82" s="499"/>
      <c r="AC82" s="499"/>
      <c r="AD82" s="499"/>
      <c r="AE82" s="499"/>
      <c r="AF82" s="499"/>
      <c r="AG82" s="499"/>
      <c r="AH82" s="499"/>
      <c r="AI82" s="499"/>
      <c r="AJ82" s="499"/>
      <c r="AK82" s="499"/>
      <c r="AL82" s="499"/>
      <c r="AM82" s="499"/>
      <c r="AN82" s="499"/>
    </row>
    <row r="83" spans="1:40" ht="15.75" customHeight="1">
      <c r="A83" s="493" t="s">
        <v>286</v>
      </c>
      <c r="B83" s="499" t="s">
        <v>0</v>
      </c>
      <c r="C83" s="578" t="s">
        <v>72</v>
      </c>
      <c r="D83" s="97"/>
      <c r="E83" s="579"/>
      <c r="F83" s="580">
        <v>115243.05871660089</v>
      </c>
      <c r="G83" s="100"/>
      <c r="H83" s="579"/>
      <c r="I83" s="580">
        <v>115243.05871660089</v>
      </c>
      <c r="J83" s="100"/>
      <c r="K83" s="579"/>
      <c r="L83" s="580">
        <v>48245</v>
      </c>
      <c r="M83" s="583"/>
      <c r="N83" s="580">
        <v>-66998.058716600892</v>
      </c>
      <c r="O83" s="100"/>
      <c r="P83" s="579"/>
      <c r="Q83" s="580">
        <v>83362</v>
      </c>
      <c r="R83" s="583"/>
      <c r="S83" s="584">
        <v>-35117</v>
      </c>
      <c r="T83" s="504"/>
      <c r="U83" s="504"/>
      <c r="V83" s="499"/>
      <c r="W83" s="499"/>
      <c r="X83" s="499"/>
      <c r="Y83" s="499"/>
      <c r="Z83" s="499"/>
      <c r="AA83" s="499"/>
      <c r="AB83" s="499"/>
      <c r="AC83" s="499"/>
      <c r="AD83" s="499"/>
      <c r="AE83" s="499"/>
      <c r="AF83" s="499"/>
      <c r="AG83" s="499"/>
      <c r="AH83" s="499"/>
      <c r="AI83" s="499"/>
      <c r="AJ83" s="499"/>
      <c r="AK83" s="499"/>
      <c r="AL83" s="499"/>
      <c r="AM83" s="499"/>
      <c r="AN83" s="499"/>
    </row>
    <row r="84" spans="1:40" ht="15.75" customHeight="1">
      <c r="A84" s="493" t="s">
        <v>0</v>
      </c>
      <c r="B84" s="499" t="s">
        <v>0</v>
      </c>
      <c r="C84" s="596"/>
      <c r="D84" s="597"/>
      <c r="E84" s="598"/>
      <c r="F84" s="599"/>
      <c r="G84" s="600"/>
      <c r="H84" s="598"/>
      <c r="I84" s="599"/>
      <c r="J84" s="601"/>
      <c r="K84" s="602"/>
      <c r="L84" s="599"/>
      <c r="M84" s="601"/>
      <c r="N84" s="603"/>
      <c r="O84" s="601"/>
      <c r="P84" s="602"/>
      <c r="Q84" s="599"/>
      <c r="R84" s="601"/>
      <c r="S84" s="604"/>
      <c r="T84" s="504"/>
      <c r="U84" s="504"/>
      <c r="V84" s="499"/>
      <c r="W84" s="499"/>
      <c r="X84" s="499"/>
      <c r="Y84" s="499"/>
      <c r="Z84" s="499"/>
      <c r="AA84" s="499"/>
      <c r="AB84" s="499"/>
      <c r="AC84" s="499"/>
      <c r="AD84" s="499"/>
      <c r="AE84" s="499"/>
      <c r="AF84" s="499"/>
      <c r="AG84" s="499"/>
      <c r="AH84" s="499"/>
      <c r="AI84" s="499"/>
      <c r="AJ84" s="499"/>
      <c r="AK84" s="499"/>
      <c r="AL84" s="499"/>
      <c r="AM84" s="499"/>
      <c r="AN84" s="499"/>
    </row>
    <row r="85" spans="1:40" ht="15.75" customHeight="1" thickBot="1">
      <c r="A85" s="493" t="s">
        <v>287</v>
      </c>
      <c r="B85" s="499" t="s">
        <v>0</v>
      </c>
      <c r="C85" s="605" t="s">
        <v>73</v>
      </c>
      <c r="D85" s="606"/>
      <c r="E85" s="607"/>
      <c r="F85" s="608">
        <v>141101.08891951811</v>
      </c>
      <c r="G85" s="609"/>
      <c r="H85" s="607"/>
      <c r="I85" s="608">
        <v>141101.08891951811</v>
      </c>
      <c r="J85" s="609"/>
      <c r="K85" s="606"/>
      <c r="L85" s="608">
        <v>35767.103499999881</v>
      </c>
      <c r="M85" s="609"/>
      <c r="N85" s="608">
        <v>-105333.98541951817</v>
      </c>
      <c r="O85" s="609"/>
      <c r="P85" s="606"/>
      <c r="Q85" s="608">
        <v>65024.244999999821</v>
      </c>
      <c r="R85" s="609"/>
      <c r="S85" s="610">
        <v>-29257.141499999943</v>
      </c>
      <c r="T85" s="504"/>
      <c r="U85" s="504"/>
      <c r="V85" s="499"/>
      <c r="W85" s="499"/>
      <c r="X85" s="499"/>
      <c r="Y85" s="499"/>
      <c r="Z85" s="499"/>
      <c r="AA85" s="499"/>
      <c r="AB85" s="499"/>
      <c r="AC85" s="499"/>
      <c r="AD85" s="499"/>
      <c r="AE85" s="499"/>
      <c r="AF85" s="499"/>
      <c r="AG85" s="499"/>
      <c r="AH85" s="499"/>
      <c r="AI85" s="499"/>
      <c r="AJ85" s="499"/>
      <c r="AK85" s="499"/>
      <c r="AL85" s="499"/>
      <c r="AM85" s="499"/>
      <c r="AN85" s="499"/>
    </row>
    <row r="86" spans="1:40" ht="15.75" customHeight="1" thickTop="1">
      <c r="B86" s="611"/>
      <c r="C86" s="612"/>
      <c r="D86" s="612"/>
      <c r="E86" s="612"/>
      <c r="F86" s="612"/>
      <c r="G86" s="612"/>
      <c r="H86" s="612"/>
      <c r="I86" s="612"/>
      <c r="J86" s="612"/>
      <c r="K86" s="612"/>
      <c r="L86" s="613"/>
      <c r="M86" s="612"/>
      <c r="N86" s="612"/>
      <c r="O86" s="612"/>
      <c r="P86" s="612"/>
      <c r="Q86" s="612"/>
      <c r="R86" s="612"/>
      <c r="S86" s="612"/>
      <c r="T86" s="612"/>
      <c r="U86" s="612"/>
      <c r="V86" s="611"/>
      <c r="W86" s="611"/>
      <c r="X86" s="611"/>
      <c r="Y86" s="611"/>
      <c r="Z86" s="611"/>
      <c r="AA86" s="611"/>
      <c r="AB86" s="611"/>
      <c r="AC86" s="611"/>
      <c r="AD86" s="611"/>
      <c r="AE86" s="611"/>
      <c r="AF86" s="611"/>
      <c r="AG86" s="611"/>
      <c r="AH86" s="611"/>
      <c r="AI86" s="611"/>
      <c r="AJ86" s="611"/>
      <c r="AK86" s="611"/>
      <c r="AL86" s="611"/>
      <c r="AM86" s="611"/>
      <c r="AN86" s="611"/>
    </row>
    <row r="87" spans="1:40" ht="40.5" customHeight="1">
      <c r="B87" s="611"/>
      <c r="C87" s="612"/>
      <c r="D87" s="612"/>
      <c r="E87" s="612"/>
      <c r="F87" s="612"/>
      <c r="G87" s="612"/>
      <c r="H87" s="612"/>
      <c r="I87" s="613"/>
      <c r="J87" s="612"/>
      <c r="K87" s="612"/>
      <c r="L87" s="612"/>
      <c r="M87" s="612"/>
      <c r="N87" s="612"/>
      <c r="O87" s="612"/>
      <c r="P87" s="612"/>
      <c r="Q87" s="612"/>
      <c r="R87" s="612"/>
      <c r="S87" s="612"/>
      <c r="T87" s="612"/>
      <c r="U87" s="612"/>
      <c r="V87" s="611"/>
      <c r="W87" s="611"/>
      <c r="X87" s="611"/>
      <c r="Y87" s="611"/>
      <c r="Z87" s="611"/>
      <c r="AA87" s="611"/>
      <c r="AB87" s="611"/>
      <c r="AC87" s="611"/>
      <c r="AD87" s="611"/>
      <c r="AE87" s="611"/>
      <c r="AF87" s="611"/>
      <c r="AG87" s="611"/>
      <c r="AH87" s="611"/>
      <c r="AI87" s="611"/>
      <c r="AJ87" s="611"/>
      <c r="AK87" s="611"/>
      <c r="AL87" s="611"/>
      <c r="AM87" s="611"/>
      <c r="AN87" s="611"/>
    </row>
    <row r="88" spans="1:40" ht="15.75" hidden="1" customHeight="1">
      <c r="B88" s="497"/>
      <c r="C88" s="498"/>
      <c r="D88" s="498"/>
      <c r="E88" s="498"/>
      <c r="F88" s="498"/>
      <c r="G88" s="498"/>
      <c r="H88" s="498"/>
      <c r="I88" s="498"/>
      <c r="J88" s="498"/>
      <c r="K88" s="498"/>
      <c r="L88" s="498"/>
      <c r="M88" s="498"/>
      <c r="N88" s="498"/>
      <c r="O88" s="498"/>
      <c r="P88" s="498"/>
      <c r="Q88" s="498"/>
      <c r="R88" s="498"/>
      <c r="S88" s="498"/>
      <c r="T88" s="498"/>
      <c r="U88" s="498"/>
    </row>
    <row r="89" spans="1:40" ht="33" customHeight="1">
      <c r="B89" s="494"/>
      <c r="C89" s="496" t="s">
        <v>228</v>
      </c>
      <c r="D89" s="2"/>
      <c r="E89" s="2"/>
      <c r="F89" s="2"/>
      <c r="G89" s="2"/>
      <c r="H89" s="494"/>
      <c r="I89" s="494"/>
      <c r="J89" s="494"/>
      <c r="K89" s="3" t="s">
        <v>74</v>
      </c>
      <c r="L89" s="2"/>
      <c r="M89" s="2"/>
      <c r="N89" s="494"/>
      <c r="O89" s="494"/>
      <c r="P89" s="2"/>
      <c r="Q89" s="494"/>
      <c r="R89" s="2"/>
      <c r="S89" s="5" t="s">
        <v>229</v>
      </c>
      <c r="T89" s="496"/>
      <c r="U89" s="496"/>
      <c r="V89" s="494"/>
      <c r="W89" s="494"/>
      <c r="X89" s="494"/>
      <c r="Y89" s="494"/>
      <c r="Z89" s="494"/>
      <c r="AA89" s="494"/>
      <c r="AB89" s="494"/>
      <c r="AC89" s="494"/>
      <c r="AD89" s="494"/>
      <c r="AE89" s="494"/>
      <c r="AF89" s="494"/>
      <c r="AG89" s="494"/>
      <c r="AH89" s="494"/>
      <c r="AI89" s="494"/>
      <c r="AJ89" s="494"/>
      <c r="AK89" s="494"/>
      <c r="AL89" s="494"/>
      <c r="AM89" s="494"/>
      <c r="AN89" s="494"/>
    </row>
    <row r="90" spans="1:40" ht="15.75" customHeight="1" thickBot="1">
      <c r="B90" s="497"/>
      <c r="C90" s="8"/>
      <c r="D90" s="498"/>
      <c r="E90" s="498"/>
      <c r="F90" s="498"/>
      <c r="G90" s="498"/>
      <c r="H90" s="498"/>
      <c r="I90" s="498"/>
      <c r="J90" s="498"/>
      <c r="K90" s="498"/>
      <c r="L90" s="498"/>
      <c r="M90" s="498"/>
      <c r="N90" s="498"/>
      <c r="O90" s="498"/>
      <c r="P90" s="498"/>
      <c r="Q90" s="498"/>
      <c r="R90" s="498"/>
      <c r="S90" s="498"/>
      <c r="T90" s="498"/>
      <c r="U90" s="498"/>
    </row>
    <row r="91" spans="1:40" ht="15.75" customHeight="1" thickTop="1">
      <c r="B91" s="499"/>
      <c r="C91" s="500"/>
      <c r="D91" s="488" t="s">
        <v>5</v>
      </c>
      <c r="E91" s="501"/>
      <c r="F91" s="502"/>
      <c r="G91" s="489" t="s">
        <v>75</v>
      </c>
      <c r="H91" s="501"/>
      <c r="I91" s="502"/>
      <c r="J91" s="489" t="s">
        <v>7</v>
      </c>
      <c r="K91" s="501"/>
      <c r="L91" s="502"/>
      <c r="M91" s="489" t="s">
        <v>8</v>
      </c>
      <c r="N91" s="502"/>
      <c r="O91" s="488" t="s">
        <v>9</v>
      </c>
      <c r="P91" s="501"/>
      <c r="Q91" s="502"/>
      <c r="R91" s="489" t="s">
        <v>10</v>
      </c>
      <c r="S91" s="503"/>
      <c r="T91" s="504"/>
      <c r="U91" s="504"/>
      <c r="V91" s="499"/>
      <c r="W91" s="499"/>
      <c r="X91" s="499"/>
      <c r="Y91" s="499"/>
      <c r="Z91" s="499"/>
      <c r="AA91" s="499"/>
      <c r="AB91" s="499"/>
      <c r="AC91" s="499"/>
      <c r="AD91" s="499"/>
      <c r="AE91" s="499"/>
      <c r="AF91" s="499"/>
      <c r="AG91" s="499"/>
      <c r="AH91" s="499"/>
      <c r="AI91" s="499"/>
      <c r="AJ91" s="499"/>
      <c r="AK91" s="499"/>
      <c r="AL91" s="499"/>
      <c r="AM91" s="499"/>
      <c r="AN91" s="499"/>
    </row>
    <row r="92" spans="1:40" ht="15.75" customHeight="1">
      <c r="B92" s="499"/>
      <c r="C92" s="513"/>
      <c r="D92" s="136" t="s">
        <v>11</v>
      </c>
      <c r="E92" s="81" t="s">
        <v>12</v>
      </c>
      <c r="F92" s="137" t="s">
        <v>13</v>
      </c>
      <c r="G92" s="138" t="s">
        <v>11</v>
      </c>
      <c r="H92" s="81" t="s">
        <v>12</v>
      </c>
      <c r="I92" s="137" t="s">
        <v>13</v>
      </c>
      <c r="J92" s="138" t="s">
        <v>11</v>
      </c>
      <c r="K92" s="81" t="s">
        <v>14</v>
      </c>
      <c r="L92" s="137" t="s">
        <v>13</v>
      </c>
      <c r="M92" s="138" t="s">
        <v>15</v>
      </c>
      <c r="N92" s="137" t="s">
        <v>13</v>
      </c>
      <c r="O92" s="81" t="s">
        <v>11</v>
      </c>
      <c r="P92" s="81" t="s">
        <v>14</v>
      </c>
      <c r="Q92" s="137" t="s">
        <v>13</v>
      </c>
      <c r="R92" s="138" t="s">
        <v>11</v>
      </c>
      <c r="S92" s="139" t="s">
        <v>13</v>
      </c>
      <c r="T92" s="504"/>
      <c r="U92" s="504"/>
      <c r="V92" s="499"/>
      <c r="W92" s="499"/>
      <c r="X92" s="499"/>
      <c r="Y92" s="499"/>
      <c r="Z92" s="499"/>
      <c r="AA92" s="499"/>
      <c r="AB92" s="499"/>
      <c r="AC92" s="499"/>
      <c r="AD92" s="499"/>
      <c r="AE92" s="499"/>
      <c r="AF92" s="499"/>
      <c r="AG92" s="499"/>
      <c r="AH92" s="499"/>
      <c r="AI92" s="499"/>
      <c r="AJ92" s="499"/>
      <c r="AK92" s="499"/>
      <c r="AL92" s="499"/>
      <c r="AM92" s="499"/>
      <c r="AN92" s="499"/>
    </row>
    <row r="93" spans="1:40" ht="24" customHeight="1">
      <c r="A93" s="493" t="s">
        <v>288</v>
      </c>
      <c r="B93" s="499" t="s">
        <v>74</v>
      </c>
      <c r="C93" s="568" t="s">
        <v>16</v>
      </c>
      <c r="D93" s="510"/>
      <c r="E93" s="510"/>
      <c r="F93" s="508">
        <v>1380057.8647223846</v>
      </c>
      <c r="G93" s="530"/>
      <c r="H93" s="510"/>
      <c r="I93" s="508">
        <v>1380057.8647223846</v>
      </c>
      <c r="J93" s="509"/>
      <c r="K93" s="510"/>
      <c r="L93" s="508">
        <v>1272948.7</v>
      </c>
      <c r="M93" s="140"/>
      <c r="N93" s="141"/>
      <c r="O93" s="509"/>
      <c r="P93" s="510"/>
      <c r="Q93" s="508">
        <v>1208510.99</v>
      </c>
      <c r="R93" s="140"/>
      <c r="S93" s="142"/>
      <c r="T93" s="504"/>
      <c r="U93" s="504"/>
      <c r="V93" s="499"/>
      <c r="W93" s="499"/>
      <c r="X93" s="499"/>
      <c r="Y93" s="499"/>
      <c r="Z93" s="499"/>
      <c r="AA93" s="499"/>
      <c r="AB93" s="499"/>
      <c r="AC93" s="499"/>
      <c r="AD93" s="499"/>
      <c r="AE93" s="499"/>
      <c r="AF93" s="499"/>
      <c r="AG93" s="499"/>
      <c r="AH93" s="499"/>
      <c r="AI93" s="499"/>
      <c r="AJ93" s="499"/>
      <c r="AK93" s="499"/>
      <c r="AL93" s="499"/>
      <c r="AM93" s="499"/>
      <c r="AN93" s="499"/>
    </row>
    <row r="94" spans="1:40" ht="21.75" customHeight="1">
      <c r="A94" s="493" t="s">
        <v>289</v>
      </c>
      <c r="B94" s="499" t="s">
        <v>74</v>
      </c>
      <c r="C94" s="513" t="s">
        <v>76</v>
      </c>
      <c r="D94" s="514">
        <v>42.123786407766993</v>
      </c>
      <c r="E94" s="514">
        <v>1300</v>
      </c>
      <c r="F94" s="514">
        <v>54760.922330097092</v>
      </c>
      <c r="G94" s="515">
        <v>42.123786407766993</v>
      </c>
      <c r="H94" s="514">
        <v>1300</v>
      </c>
      <c r="I94" s="514">
        <v>54760.922330097092</v>
      </c>
      <c r="J94" s="515">
        <v>26</v>
      </c>
      <c r="K94" s="514">
        <v>2395.8292307692295</v>
      </c>
      <c r="L94" s="517">
        <v>62291.559999999969</v>
      </c>
      <c r="M94" s="515">
        <v>-16.123786407766993</v>
      </c>
      <c r="N94" s="517">
        <v>7530.637669902877</v>
      </c>
      <c r="O94" s="515">
        <v>39</v>
      </c>
      <c r="P94" s="514">
        <v>1018.0956410256416</v>
      </c>
      <c r="Q94" s="517">
        <v>39705.730000000025</v>
      </c>
      <c r="R94" s="515">
        <v>-13</v>
      </c>
      <c r="S94" s="518">
        <v>22585.829999999944</v>
      </c>
      <c r="T94" s="504"/>
      <c r="U94" s="504"/>
      <c r="V94" s="499"/>
      <c r="W94" s="499"/>
      <c r="X94" s="499"/>
      <c r="Y94" s="499"/>
      <c r="Z94" s="499"/>
      <c r="AA94" s="499"/>
      <c r="AB94" s="499"/>
      <c r="AC94" s="499"/>
      <c r="AD94" s="499"/>
      <c r="AE94" s="499"/>
      <c r="AF94" s="499"/>
      <c r="AG94" s="499"/>
      <c r="AH94" s="499"/>
      <c r="AI94" s="499"/>
      <c r="AJ94" s="499"/>
      <c r="AK94" s="499"/>
      <c r="AL94" s="499"/>
      <c r="AM94" s="499"/>
      <c r="AN94" s="499"/>
    </row>
    <row r="95" spans="1:40" ht="18.75" customHeight="1">
      <c r="A95" s="493" t="s">
        <v>290</v>
      </c>
      <c r="B95" s="499" t="s">
        <v>74</v>
      </c>
      <c r="C95" s="513" t="s">
        <v>77</v>
      </c>
      <c r="D95" s="514">
        <v>2.366504854368932</v>
      </c>
      <c r="E95" s="510">
        <v>899.99999999999989</v>
      </c>
      <c r="F95" s="514">
        <v>2129.8543689320386</v>
      </c>
      <c r="G95" s="515">
        <v>2.366504854368932</v>
      </c>
      <c r="H95" s="514">
        <v>899.99999999999989</v>
      </c>
      <c r="I95" s="514">
        <v>2129.8543689320386</v>
      </c>
      <c r="J95" s="515">
        <v>5</v>
      </c>
      <c r="K95" s="514">
        <v>1906.1640000000002</v>
      </c>
      <c r="L95" s="516">
        <v>9530.8200000000015</v>
      </c>
      <c r="M95" s="515"/>
      <c r="N95" s="517"/>
      <c r="O95" s="515">
        <v>2</v>
      </c>
      <c r="P95" s="514">
        <v>755.54500000000087</v>
      </c>
      <c r="Q95" s="516">
        <v>1511.0900000000017</v>
      </c>
      <c r="R95" s="515">
        <v>3</v>
      </c>
      <c r="S95" s="518">
        <v>8019.73</v>
      </c>
      <c r="T95" s="504"/>
      <c r="U95" s="504"/>
      <c r="V95" s="614"/>
      <c r="W95" s="504"/>
      <c r="X95" s="504"/>
      <c r="Y95" s="504"/>
      <c r="Z95" s="504"/>
      <c r="AA95" s="504"/>
      <c r="AB95" s="504"/>
      <c r="AC95" s="50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</row>
    <row r="96" spans="1:40" ht="15.75" customHeight="1">
      <c r="A96" s="493" t="s">
        <v>291</v>
      </c>
      <c r="B96" s="499" t="s">
        <v>74</v>
      </c>
      <c r="C96" s="519" t="s">
        <v>78</v>
      </c>
      <c r="D96" s="520">
        <v>44.490291262135926</v>
      </c>
      <c r="E96" s="514">
        <v>1278.7234042553191</v>
      </c>
      <c r="F96" s="521">
        <v>56890.776699029127</v>
      </c>
      <c r="G96" s="522">
        <v>44.490291262135926</v>
      </c>
      <c r="H96" s="520">
        <v>1278.7234042553191</v>
      </c>
      <c r="I96" s="521">
        <v>56890.776699029127</v>
      </c>
      <c r="J96" s="522">
        <v>31</v>
      </c>
      <c r="K96" s="520">
        <v>2316.8509677419347</v>
      </c>
      <c r="L96" s="521">
        <v>71822.379999999976</v>
      </c>
      <c r="M96" s="522">
        <v>-13.490291262135926</v>
      </c>
      <c r="N96" s="521">
        <v>14931.603300970848</v>
      </c>
      <c r="O96" s="522">
        <v>41</v>
      </c>
      <c r="P96" s="520">
        <v>1005.2882926829275</v>
      </c>
      <c r="Q96" s="521">
        <v>41216.820000000029</v>
      </c>
      <c r="R96" s="522">
        <v>-10</v>
      </c>
      <c r="S96" s="523">
        <v>30605.559999999943</v>
      </c>
      <c r="T96" s="504"/>
      <c r="U96" s="504"/>
      <c r="V96" s="504"/>
      <c r="W96" s="504"/>
      <c r="X96" s="504"/>
      <c r="Y96" s="504"/>
      <c r="Z96" s="504"/>
      <c r="AA96" s="504"/>
      <c r="AB96" s="504"/>
      <c r="AC96" s="565"/>
      <c r="AD96" s="504"/>
      <c r="AE96" s="504"/>
      <c r="AF96" s="565"/>
      <c r="AG96" s="504"/>
      <c r="AH96" s="504"/>
      <c r="AI96" s="504"/>
      <c r="AJ96" s="504"/>
      <c r="AK96" s="504"/>
      <c r="AL96" s="504"/>
      <c r="AM96" s="504"/>
      <c r="AN96" s="504"/>
    </row>
    <row r="97" spans="1:40" ht="15.75" customHeight="1">
      <c r="A97" s="493" t="s">
        <v>74</v>
      </c>
      <c r="B97" s="499" t="s">
        <v>74</v>
      </c>
      <c r="C97" s="513"/>
      <c r="D97" s="504"/>
      <c r="E97" s="514">
        <v>0</v>
      </c>
      <c r="F97" s="524"/>
      <c r="G97" s="525"/>
      <c r="H97" s="504">
        <v>0</v>
      </c>
      <c r="I97" s="524"/>
      <c r="J97" s="525"/>
      <c r="K97" s="504"/>
      <c r="L97" s="524"/>
      <c r="M97" s="526">
        <v>-0.30321876704855433</v>
      </c>
      <c r="N97" s="527">
        <v>0.26246087973036347</v>
      </c>
      <c r="O97" s="525"/>
      <c r="P97" s="504"/>
      <c r="Q97" s="524"/>
      <c r="R97" s="526">
        <v>-0.24390243902439024</v>
      </c>
      <c r="S97" s="528">
        <v>0.74255025011633413</v>
      </c>
      <c r="T97" s="504"/>
      <c r="U97" s="504"/>
      <c r="V97" s="504"/>
      <c r="W97" s="504"/>
      <c r="X97" s="504"/>
      <c r="Y97" s="504"/>
      <c r="Z97" s="504"/>
      <c r="AA97" s="504"/>
      <c r="AB97" s="504"/>
      <c r="AC97" s="499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</row>
    <row r="98" spans="1:40" ht="15.75" customHeight="1">
      <c r="A98" s="493" t="s">
        <v>292</v>
      </c>
      <c r="B98" s="499" t="s">
        <v>74</v>
      </c>
      <c r="C98" s="513" t="s">
        <v>196</v>
      </c>
      <c r="D98" s="514"/>
      <c r="E98" s="514"/>
      <c r="F98" s="514"/>
      <c r="G98" s="525"/>
      <c r="H98" s="514"/>
      <c r="I98" s="514"/>
      <c r="J98" s="515"/>
      <c r="K98" s="514"/>
      <c r="L98" s="517"/>
      <c r="M98" s="515"/>
      <c r="N98" s="517"/>
      <c r="O98" s="515"/>
      <c r="P98" s="514"/>
      <c r="Q98" s="517"/>
      <c r="R98" s="515"/>
      <c r="S98" s="518"/>
      <c r="T98" s="504"/>
      <c r="U98" s="504"/>
      <c r="V98" s="504"/>
      <c r="W98" s="504"/>
      <c r="X98" s="504"/>
      <c r="Y98" s="504"/>
      <c r="Z98" s="504"/>
      <c r="AA98" s="504"/>
      <c r="AB98" s="504"/>
      <c r="AC98" s="499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</row>
    <row r="99" spans="1:40" ht="15.75" customHeight="1">
      <c r="A99" s="493" t="s">
        <v>293</v>
      </c>
      <c r="B99" s="499" t="s">
        <v>74</v>
      </c>
      <c r="C99" s="513" t="s">
        <v>79</v>
      </c>
      <c r="D99" s="514">
        <v>38.715136242116699</v>
      </c>
      <c r="E99" s="514">
        <v>211.99999999999997</v>
      </c>
      <c r="F99" s="514">
        <v>8207.6088833287395</v>
      </c>
      <c r="G99" s="525">
        <v>38.715136242116699</v>
      </c>
      <c r="H99" s="514">
        <v>211.99999999999997</v>
      </c>
      <c r="I99" s="514">
        <v>8207.6088833287395</v>
      </c>
      <c r="J99" s="515">
        <v>21</v>
      </c>
      <c r="K99" s="514">
        <v>363.17904761904805</v>
      </c>
      <c r="L99" s="517">
        <v>7626.7600000000093</v>
      </c>
      <c r="M99" s="515">
        <v>-17.715136242116699</v>
      </c>
      <c r="N99" s="517">
        <v>-580.84888332873015</v>
      </c>
      <c r="O99" s="515">
        <v>25</v>
      </c>
      <c r="P99" s="514">
        <v>340.51159999999913</v>
      </c>
      <c r="Q99" s="517">
        <v>8512.789999999979</v>
      </c>
      <c r="R99" s="515">
        <v>-4</v>
      </c>
      <c r="S99" s="518">
        <v>-886.02999999996973</v>
      </c>
      <c r="T99" s="504"/>
      <c r="U99" s="504"/>
      <c r="V99" s="504"/>
      <c r="W99" s="504"/>
      <c r="X99" s="504"/>
      <c r="Y99" s="504"/>
      <c r="Z99" s="504"/>
      <c r="AA99" s="504"/>
      <c r="AB99" s="504"/>
      <c r="AC99" s="565"/>
      <c r="AD99" s="504"/>
      <c r="AE99" s="504"/>
      <c r="AF99" s="615"/>
      <c r="AG99" s="504"/>
      <c r="AH99" s="504"/>
      <c r="AI99" s="504"/>
      <c r="AJ99" s="504"/>
      <c r="AK99" s="504"/>
      <c r="AL99" s="504"/>
      <c r="AM99" s="504"/>
      <c r="AN99" s="504"/>
    </row>
    <row r="100" spans="1:40" ht="15.75" customHeight="1">
      <c r="A100" s="493" t="s">
        <v>74</v>
      </c>
      <c r="B100" s="499" t="s">
        <v>74</v>
      </c>
      <c r="C100" s="568"/>
      <c r="D100" s="510"/>
      <c r="E100" s="510"/>
      <c r="F100" s="532"/>
      <c r="G100" s="535"/>
      <c r="H100" s="531"/>
      <c r="I100" s="532"/>
      <c r="J100" s="535"/>
      <c r="K100" s="531"/>
      <c r="L100" s="532"/>
      <c r="M100" s="533"/>
      <c r="N100" s="616"/>
      <c r="O100" s="535"/>
      <c r="P100" s="531"/>
      <c r="Q100" s="532"/>
      <c r="R100" s="533"/>
      <c r="S100" s="617"/>
      <c r="T100" s="504"/>
      <c r="U100" s="504"/>
      <c r="V100" s="504"/>
      <c r="W100" s="504"/>
      <c r="X100" s="504"/>
      <c r="Y100" s="504"/>
      <c r="Z100" s="504"/>
      <c r="AA100" s="504"/>
      <c r="AB100" s="504"/>
      <c r="AC100" s="504"/>
      <c r="AD100" s="504"/>
      <c r="AE100" s="504"/>
      <c r="AF100" s="615"/>
      <c r="AG100" s="504"/>
      <c r="AH100" s="504"/>
      <c r="AI100" s="504"/>
      <c r="AJ100" s="504"/>
      <c r="AK100" s="504"/>
      <c r="AL100" s="504"/>
      <c r="AM100" s="504"/>
      <c r="AN100" s="504"/>
    </row>
    <row r="101" spans="1:40" ht="15.75" customHeight="1">
      <c r="A101" s="493" t="s">
        <v>294</v>
      </c>
      <c r="B101" s="499" t="s">
        <v>74</v>
      </c>
      <c r="C101" s="513" t="s">
        <v>26</v>
      </c>
      <c r="D101" s="514">
        <v>0</v>
      </c>
      <c r="E101" s="514">
        <v>0</v>
      </c>
      <c r="F101" s="517">
        <v>29317.362909140465</v>
      </c>
      <c r="G101" s="515">
        <v>0</v>
      </c>
      <c r="H101" s="514">
        <v>0</v>
      </c>
      <c r="I101" s="514">
        <v>29317.362909140465</v>
      </c>
      <c r="J101" s="515"/>
      <c r="K101" s="514">
        <v>1317.988064516129</v>
      </c>
      <c r="L101" s="517">
        <v>40857.629999999997</v>
      </c>
      <c r="M101" s="515"/>
      <c r="N101" s="517">
        <v>11540.267090859532</v>
      </c>
      <c r="O101" s="515"/>
      <c r="P101" s="514">
        <v>522.44707317073176</v>
      </c>
      <c r="Q101" s="517">
        <v>21420.33</v>
      </c>
      <c r="R101" s="515">
        <v>-1317.988064516129</v>
      </c>
      <c r="S101" s="518">
        <v>19437.299999999996</v>
      </c>
      <c r="T101" s="504"/>
      <c r="U101" s="504"/>
      <c r="V101" s="504"/>
      <c r="W101" s="504"/>
      <c r="X101" s="504"/>
      <c r="Y101" s="504"/>
      <c r="Z101" s="504"/>
      <c r="AA101" s="504"/>
      <c r="AB101" s="504"/>
      <c r="AC101" s="50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</row>
    <row r="102" spans="1:40" ht="15.75" customHeight="1">
      <c r="A102" s="493" t="s">
        <v>295</v>
      </c>
      <c r="B102" s="499" t="s">
        <v>74</v>
      </c>
      <c r="C102" s="513" t="s">
        <v>27</v>
      </c>
      <c r="D102" s="514">
        <v>0</v>
      </c>
      <c r="E102" s="514">
        <v>0</v>
      </c>
      <c r="F102" s="517">
        <v>51690.808211257718</v>
      </c>
      <c r="G102" s="515">
        <v>0</v>
      </c>
      <c r="H102" s="514">
        <v>0</v>
      </c>
      <c r="I102" s="514">
        <v>51690.808211257718</v>
      </c>
      <c r="J102" s="515"/>
      <c r="K102" s="514">
        <v>1280.9783870967742</v>
      </c>
      <c r="L102" s="517">
        <v>39710.33</v>
      </c>
      <c r="M102" s="515"/>
      <c r="N102" s="517">
        <v>-11980.478211257716</v>
      </c>
      <c r="O102" s="515"/>
      <c r="P102" s="514">
        <v>981.94195121951213</v>
      </c>
      <c r="Q102" s="517">
        <v>40259.619999999995</v>
      </c>
      <c r="R102" s="515">
        <v>-1280.9783870967742</v>
      </c>
      <c r="S102" s="518">
        <v>-549.2899999999936</v>
      </c>
      <c r="T102" s="504"/>
      <c r="U102" s="504"/>
      <c r="V102" s="504"/>
      <c r="W102" s="504"/>
      <c r="X102" s="504"/>
      <c r="Y102" s="504"/>
      <c r="Z102" s="504"/>
      <c r="AA102" s="504"/>
      <c r="AB102" s="504"/>
      <c r="AC102" s="50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</row>
    <row r="103" spans="1:40" ht="15.75" customHeight="1">
      <c r="A103" s="493" t="s">
        <v>296</v>
      </c>
      <c r="B103" s="499" t="s">
        <v>74</v>
      </c>
      <c r="C103" s="513" t="s">
        <v>28</v>
      </c>
      <c r="D103" s="514">
        <v>0</v>
      </c>
      <c r="E103" s="510">
        <v>0</v>
      </c>
      <c r="F103" s="517">
        <v>1466.0978017952007</v>
      </c>
      <c r="G103" s="515">
        <v>0</v>
      </c>
      <c r="H103" s="531">
        <v>0</v>
      </c>
      <c r="I103" s="514">
        <v>1466.0978017952007</v>
      </c>
      <c r="J103" s="515"/>
      <c r="K103" s="531">
        <v>72.283225806451625</v>
      </c>
      <c r="L103" s="517">
        <v>2240.7800000000002</v>
      </c>
      <c r="M103" s="535"/>
      <c r="N103" s="517">
        <v>774.68219820479953</v>
      </c>
      <c r="O103" s="515"/>
      <c r="P103" s="531">
        <v>4.9360975609756093</v>
      </c>
      <c r="Q103" s="517">
        <v>202.38</v>
      </c>
      <c r="R103" s="515">
        <v>-72.283225806451625</v>
      </c>
      <c r="S103" s="518">
        <v>2038.4</v>
      </c>
      <c r="T103" s="504"/>
      <c r="U103" s="504"/>
      <c r="V103" s="504"/>
      <c r="W103" s="504"/>
      <c r="X103" s="504"/>
      <c r="Y103" s="504"/>
      <c r="Z103" s="504"/>
      <c r="AA103" s="504"/>
      <c r="AB103" s="504"/>
      <c r="AC103" s="50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</row>
    <row r="104" spans="1:40" ht="15.75" customHeight="1">
      <c r="A104" s="493" t="s">
        <v>297</v>
      </c>
      <c r="B104" s="499" t="s">
        <v>74</v>
      </c>
      <c r="C104" s="519" t="s">
        <v>29</v>
      </c>
      <c r="D104" s="520">
        <v>44.490291262135926</v>
      </c>
      <c r="E104" s="514">
        <v>1853.758799560484</v>
      </c>
      <c r="F104" s="521">
        <v>82474.268922193383</v>
      </c>
      <c r="G104" s="522">
        <v>44.490291262135926</v>
      </c>
      <c r="H104" s="520">
        <v>1853.758799560484</v>
      </c>
      <c r="I104" s="521">
        <v>82474.268922193383</v>
      </c>
      <c r="J104" s="522">
        <v>31</v>
      </c>
      <c r="K104" s="520">
        <v>2671.2496774193546</v>
      </c>
      <c r="L104" s="521">
        <v>82808.739999999991</v>
      </c>
      <c r="M104" s="515">
        <v>-13.490291262135926</v>
      </c>
      <c r="N104" s="521">
        <v>334.47107780660735</v>
      </c>
      <c r="O104" s="522">
        <v>41</v>
      </c>
      <c r="P104" s="520">
        <v>1509.3251219512194</v>
      </c>
      <c r="Q104" s="521">
        <v>61882.329999999994</v>
      </c>
      <c r="R104" s="541"/>
      <c r="S104" s="523">
        <v>20926.409999999996</v>
      </c>
      <c r="T104" s="504"/>
      <c r="U104" s="504"/>
      <c r="V104" s="504"/>
      <c r="W104" s="504"/>
      <c r="X104" s="504"/>
      <c r="Y104" s="504"/>
      <c r="Z104" s="504"/>
      <c r="AA104" s="504"/>
      <c r="AB104" s="504"/>
      <c r="AC104" s="50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</row>
    <row r="105" spans="1:40" ht="15.75" customHeight="1">
      <c r="A105" s="493" t="s">
        <v>74</v>
      </c>
      <c r="B105" s="499" t="s">
        <v>74</v>
      </c>
      <c r="C105" s="513"/>
      <c r="D105" s="504"/>
      <c r="E105" s="504"/>
      <c r="F105" s="545"/>
      <c r="G105" s="525"/>
      <c r="H105" s="618"/>
      <c r="I105" s="545"/>
      <c r="J105" s="525"/>
      <c r="K105" s="504"/>
      <c r="L105" s="545"/>
      <c r="M105" s="526"/>
      <c r="N105" s="527">
        <v>4.0554597473564631E-3</v>
      </c>
      <c r="O105" s="525"/>
      <c r="P105" s="504"/>
      <c r="Q105" s="545"/>
      <c r="R105" s="546"/>
      <c r="S105" s="528">
        <v>0.33816454551727443</v>
      </c>
      <c r="T105" s="504"/>
      <c r="U105" s="504"/>
      <c r="V105" s="504"/>
      <c r="W105" s="504"/>
      <c r="X105" s="504"/>
      <c r="Y105" s="504"/>
      <c r="Z105" s="504"/>
      <c r="AA105" s="504"/>
      <c r="AB105" s="504"/>
      <c r="AC105" s="50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</row>
    <row r="106" spans="1:40" ht="15.75" customHeight="1" thickBot="1">
      <c r="A106" s="493" t="s">
        <v>74</v>
      </c>
      <c r="B106" s="499" t="s">
        <v>74</v>
      </c>
      <c r="C106" s="513"/>
      <c r="D106" s="504"/>
      <c r="E106" s="504"/>
      <c r="F106" s="545"/>
      <c r="G106" s="525"/>
      <c r="H106" s="618"/>
      <c r="I106" s="545"/>
      <c r="J106" s="525"/>
      <c r="K106" s="504"/>
      <c r="L106" s="545"/>
      <c r="M106" s="526"/>
      <c r="N106" s="527"/>
      <c r="O106" s="525"/>
      <c r="P106" s="504"/>
      <c r="Q106" s="545"/>
      <c r="R106" s="546"/>
      <c r="S106" s="528"/>
      <c r="T106" s="504"/>
      <c r="U106" s="504"/>
      <c r="V106" s="504"/>
      <c r="W106" s="504"/>
      <c r="X106" s="504"/>
      <c r="Y106" s="504"/>
      <c r="Z106" s="504"/>
      <c r="AA106" s="504"/>
      <c r="AB106" s="504"/>
      <c r="AC106" s="50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</row>
    <row r="107" spans="1:40" ht="23.25" customHeight="1" thickTop="1">
      <c r="A107" s="493" t="s">
        <v>298</v>
      </c>
      <c r="B107" s="499" t="s">
        <v>74</v>
      </c>
      <c r="C107" s="548" t="s">
        <v>80</v>
      </c>
      <c r="D107" s="549">
        <v>83.205427504252626</v>
      </c>
      <c r="E107" s="553">
        <v>1773.5940903255239</v>
      </c>
      <c r="F107" s="551">
        <v>147572.65450455126</v>
      </c>
      <c r="G107" s="552">
        <v>83.205427504252626</v>
      </c>
      <c r="H107" s="553">
        <v>1773.5940903255239</v>
      </c>
      <c r="I107" s="551">
        <v>147572.65450455126</v>
      </c>
      <c r="J107" s="552">
        <v>52</v>
      </c>
      <c r="K107" s="553">
        <v>3120.3438461538458</v>
      </c>
      <c r="L107" s="551">
        <v>162257.87999999998</v>
      </c>
      <c r="M107" s="552">
        <v>-31.205427504252626</v>
      </c>
      <c r="N107" s="551">
        <v>14685.225495448714</v>
      </c>
      <c r="O107" s="552">
        <v>66</v>
      </c>
      <c r="P107" s="553">
        <v>1691.0900000000001</v>
      </c>
      <c r="Q107" s="551">
        <v>111611.94</v>
      </c>
      <c r="R107" s="552">
        <v>-14</v>
      </c>
      <c r="S107" s="554">
        <v>50645.939999999973</v>
      </c>
      <c r="T107" s="504"/>
      <c r="U107" s="504"/>
      <c r="V107" s="504"/>
      <c r="W107" s="504"/>
      <c r="X107" s="504"/>
      <c r="Y107" s="504"/>
      <c r="Z107" s="504"/>
      <c r="AA107" s="504"/>
      <c r="AB107" s="504"/>
      <c r="AC107" s="50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</row>
    <row r="108" spans="1:40" ht="19.5" customHeight="1" thickBot="1">
      <c r="A108" s="493" t="s">
        <v>74</v>
      </c>
      <c r="B108" s="499" t="s">
        <v>74</v>
      </c>
      <c r="C108" s="555"/>
      <c r="D108" s="556"/>
      <c r="E108" s="556"/>
      <c r="F108" s="557"/>
      <c r="G108" s="558"/>
      <c r="H108" s="556"/>
      <c r="I108" s="557"/>
      <c r="J108" s="558"/>
      <c r="K108" s="556"/>
      <c r="L108" s="557"/>
      <c r="M108" s="559">
        <v>-0.37504076885678783</v>
      </c>
      <c r="N108" s="560">
        <v>9.9511833982737025E-2</v>
      </c>
      <c r="O108" s="558"/>
      <c r="P108" s="556"/>
      <c r="Q108" s="557"/>
      <c r="R108" s="559">
        <v>-4.7142857142857144</v>
      </c>
      <c r="S108" s="619">
        <v>0.4537681183572293</v>
      </c>
      <c r="T108" s="504"/>
      <c r="U108" s="504"/>
      <c r="V108" s="504"/>
      <c r="W108" s="504"/>
      <c r="X108" s="504"/>
      <c r="Y108" s="504"/>
      <c r="Z108" s="504"/>
      <c r="AA108" s="504"/>
      <c r="AB108" s="504"/>
      <c r="AC108" s="50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</row>
    <row r="109" spans="1:40" ht="15.75" customHeight="1" thickTop="1">
      <c r="A109" s="493" t="s">
        <v>74</v>
      </c>
      <c r="B109" s="499" t="s">
        <v>74</v>
      </c>
      <c r="C109" s="538"/>
      <c r="D109" s="562"/>
      <c r="E109" s="562"/>
      <c r="F109" s="563"/>
      <c r="G109" s="564"/>
      <c r="H109" s="562"/>
      <c r="I109" s="563"/>
      <c r="J109" s="564"/>
      <c r="K109" s="562"/>
      <c r="L109" s="563"/>
      <c r="M109" s="526"/>
      <c r="N109" s="527"/>
      <c r="O109" s="564"/>
      <c r="P109" s="562"/>
      <c r="Q109" s="563"/>
      <c r="R109" s="526"/>
      <c r="S109" s="528"/>
      <c r="T109" s="504"/>
      <c r="U109" s="504"/>
      <c r="V109" s="504"/>
      <c r="W109" s="504"/>
      <c r="X109" s="504"/>
      <c r="Y109" s="504"/>
      <c r="Z109" s="504"/>
      <c r="AA109" s="504"/>
      <c r="AB109" s="504"/>
      <c r="AC109" s="50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</row>
    <row r="110" spans="1:40" ht="15.75" customHeight="1">
      <c r="A110" s="493" t="s">
        <v>299</v>
      </c>
      <c r="B110" s="499" t="s">
        <v>74</v>
      </c>
      <c r="C110" s="80" t="s">
        <v>31</v>
      </c>
      <c r="D110" s="504"/>
      <c r="E110" s="81"/>
      <c r="F110" s="545"/>
      <c r="G110" s="525"/>
      <c r="H110" s="81"/>
      <c r="I110" s="545"/>
      <c r="J110" s="525"/>
      <c r="K110" s="81"/>
      <c r="L110" s="524"/>
      <c r="M110" s="525"/>
      <c r="N110" s="524"/>
      <c r="O110" s="525"/>
      <c r="P110" s="81"/>
      <c r="Q110" s="524"/>
      <c r="R110" s="525"/>
      <c r="S110" s="547"/>
      <c r="T110" s="504"/>
      <c r="U110" s="504"/>
      <c r="V110" s="504"/>
      <c r="W110" s="504"/>
      <c r="X110" s="504"/>
      <c r="Y110" s="504"/>
      <c r="Z110" s="504"/>
      <c r="AA110" s="504"/>
      <c r="AB110" s="504"/>
      <c r="AC110" s="50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</row>
    <row r="111" spans="1:40" ht="15.75" customHeight="1">
      <c r="A111" s="493" t="s">
        <v>300</v>
      </c>
      <c r="B111" s="499" t="s">
        <v>74</v>
      </c>
      <c r="C111" s="513" t="s">
        <v>32</v>
      </c>
      <c r="D111" s="82"/>
      <c r="E111" s="565">
        <v>493.13952536824871</v>
      </c>
      <c r="F111" s="514">
        <v>21939.921116504855</v>
      </c>
      <c r="G111" s="566">
        <v>0.38564987840778192</v>
      </c>
      <c r="H111" s="565">
        <v>493.13952536824871</v>
      </c>
      <c r="I111" s="514">
        <v>21939.921116504855</v>
      </c>
      <c r="J111" s="566">
        <v>0.35172602188899904</v>
      </c>
      <c r="K111" s="565">
        <v>814.89677419354837</v>
      </c>
      <c r="L111" s="517">
        <v>25261.8</v>
      </c>
      <c r="M111" s="525"/>
      <c r="N111" s="545">
        <v>3321.8788834951447</v>
      </c>
      <c r="O111" s="525"/>
      <c r="P111" s="565">
        <v>431.1875609756097</v>
      </c>
      <c r="Q111" s="517">
        <v>17678.689999999999</v>
      </c>
      <c r="R111" s="525"/>
      <c r="S111" s="567">
        <v>7583.1100000000006</v>
      </c>
      <c r="T111" s="504"/>
      <c r="U111" s="504"/>
      <c r="V111" s="504"/>
      <c r="W111" s="504"/>
      <c r="X111" s="504"/>
      <c r="Y111" s="504"/>
      <c r="Z111" s="504"/>
      <c r="AA111" s="504"/>
      <c r="AB111" s="504"/>
      <c r="AC111" s="50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</row>
    <row r="112" spans="1:40" ht="15.75" customHeight="1">
      <c r="A112" s="493" t="s">
        <v>301</v>
      </c>
      <c r="B112" s="499" t="s">
        <v>74</v>
      </c>
      <c r="C112" s="568" t="s">
        <v>33</v>
      </c>
      <c r="D112" s="89"/>
      <c r="E112" s="569">
        <v>556.12763986814514</v>
      </c>
      <c r="F112" s="508">
        <v>24742.280676658014</v>
      </c>
      <c r="G112" s="570">
        <v>0.3</v>
      </c>
      <c r="H112" s="569">
        <v>556.12763986814514</v>
      </c>
      <c r="I112" s="508">
        <v>24742.280676658014</v>
      </c>
      <c r="J112" s="570">
        <v>0.30786400082889809</v>
      </c>
      <c r="K112" s="569">
        <v>822.38161290322591</v>
      </c>
      <c r="L112" s="517">
        <v>25493.83</v>
      </c>
      <c r="M112" s="509"/>
      <c r="N112" s="573">
        <v>751.54932334198747</v>
      </c>
      <c r="O112" s="509"/>
      <c r="P112" s="569">
        <v>495.08365853658535</v>
      </c>
      <c r="Q112" s="517">
        <v>20298.43</v>
      </c>
      <c r="R112" s="509"/>
      <c r="S112" s="574">
        <v>5195.4000000000015</v>
      </c>
      <c r="T112" s="504"/>
      <c r="U112" s="504"/>
      <c r="V112" s="504"/>
      <c r="W112" s="504"/>
      <c r="X112" s="504"/>
      <c r="Y112" s="504"/>
      <c r="Z112" s="504"/>
      <c r="AA112" s="504"/>
      <c r="AB112" s="504"/>
      <c r="AC112" s="50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</row>
    <row r="113" spans="1:40" ht="15.75" customHeight="1">
      <c r="A113" s="493" t="s">
        <v>302</v>
      </c>
      <c r="B113" s="499" t="s">
        <v>74</v>
      </c>
      <c r="C113" s="513" t="s">
        <v>34</v>
      </c>
      <c r="D113" s="82"/>
      <c r="E113" s="565">
        <v>69.809353301886787</v>
      </c>
      <c r="F113" s="514">
        <v>3105.8384612222935</v>
      </c>
      <c r="G113" s="84"/>
      <c r="H113" s="565">
        <v>69.809353301886787</v>
      </c>
      <c r="I113" s="514">
        <v>3105.8384612222935</v>
      </c>
      <c r="J113" s="525"/>
      <c r="K113" s="565">
        <v>39.714516129032262</v>
      </c>
      <c r="L113" s="589">
        <v>1231.1500000000001</v>
      </c>
      <c r="M113" s="525"/>
      <c r="N113" s="545">
        <v>-1874.6884612222934</v>
      </c>
      <c r="O113" s="525"/>
      <c r="P113" s="565">
        <v>98.626097560975609</v>
      </c>
      <c r="Q113" s="589">
        <v>4043.67</v>
      </c>
      <c r="R113" s="525"/>
      <c r="S113" s="567">
        <v>-2812.52</v>
      </c>
      <c r="T113" s="504"/>
      <c r="U113" s="504"/>
      <c r="V113" s="504"/>
      <c r="W113" s="504"/>
      <c r="X113" s="504"/>
      <c r="Y113" s="504"/>
      <c r="Z113" s="504"/>
      <c r="AA113" s="504"/>
      <c r="AB113" s="504"/>
      <c r="AC113" s="50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</row>
    <row r="114" spans="1:40" ht="15.75" customHeight="1">
      <c r="A114" s="493" t="s">
        <v>303</v>
      </c>
      <c r="B114" s="499" t="s">
        <v>74</v>
      </c>
      <c r="C114" s="513" t="s">
        <v>35</v>
      </c>
      <c r="D114" s="82"/>
      <c r="E114" s="565">
        <v>33.51101497641509</v>
      </c>
      <c r="F114" s="514">
        <v>1490.9148167905064</v>
      </c>
      <c r="G114" s="84"/>
      <c r="H114" s="565">
        <v>33.51101497641509</v>
      </c>
      <c r="I114" s="514">
        <v>1490.9148167905064</v>
      </c>
      <c r="J114" s="525"/>
      <c r="K114" s="565">
        <v>6.1274193548387093</v>
      </c>
      <c r="L114" s="517">
        <v>189.95</v>
      </c>
      <c r="M114" s="525"/>
      <c r="N114" s="545">
        <v>-1300.9648167905063</v>
      </c>
      <c r="O114" s="525"/>
      <c r="P114" s="565">
        <v>-30.741219512195123</v>
      </c>
      <c r="Q114" s="517">
        <v>-1260.3900000000001</v>
      </c>
      <c r="R114" s="525"/>
      <c r="S114" s="567">
        <v>1450.3400000000001</v>
      </c>
      <c r="T114" s="504"/>
      <c r="U114" s="504"/>
      <c r="V114" s="504"/>
      <c r="W114" s="514"/>
      <c r="X114" s="504"/>
      <c r="Y114" s="504"/>
      <c r="Z114" s="504"/>
      <c r="AA114" s="504"/>
      <c r="AB114" s="504"/>
      <c r="AC114" s="50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</row>
    <row r="115" spans="1:40" ht="15.75" customHeight="1">
      <c r="A115" s="493" t="s">
        <v>304</v>
      </c>
      <c r="B115" s="499" t="s">
        <v>74</v>
      </c>
      <c r="C115" s="568" t="s">
        <v>36</v>
      </c>
      <c r="D115" s="89"/>
      <c r="E115" s="569">
        <v>88.549952830188673</v>
      </c>
      <c r="F115" s="508">
        <v>3939.6131926634916</v>
      </c>
      <c r="G115" s="91"/>
      <c r="H115" s="569">
        <v>88.549952830188673</v>
      </c>
      <c r="I115" s="508">
        <v>3939.6131926634916</v>
      </c>
      <c r="J115" s="509"/>
      <c r="K115" s="569">
        <v>156.39999999999998</v>
      </c>
      <c r="L115" s="532">
        <v>4848.3999999999996</v>
      </c>
      <c r="M115" s="509"/>
      <c r="N115" s="573">
        <v>908.78680733650799</v>
      </c>
      <c r="O115" s="509"/>
      <c r="P115" s="569">
        <v>141.68390243902439</v>
      </c>
      <c r="Q115" s="532">
        <v>5809.04</v>
      </c>
      <c r="R115" s="509"/>
      <c r="S115" s="574">
        <v>-960.64000000000033</v>
      </c>
      <c r="T115" s="504"/>
      <c r="U115" s="504"/>
      <c r="V115" s="504"/>
      <c r="W115" s="504"/>
      <c r="X115" s="504"/>
      <c r="Y115" s="504"/>
      <c r="Z115" s="504"/>
      <c r="AA115" s="504"/>
      <c r="AB115" s="504"/>
      <c r="AC115" s="50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</row>
    <row r="116" spans="1:40" ht="19.5" customHeight="1">
      <c r="A116" s="493" t="s">
        <v>305</v>
      </c>
      <c r="B116" s="499" t="s">
        <v>74</v>
      </c>
      <c r="C116" s="513" t="s">
        <v>37</v>
      </c>
      <c r="D116" s="82"/>
      <c r="E116" s="565">
        <v>42.755319148936188</v>
      </c>
      <c r="F116" s="514">
        <v>1902.1966019417487</v>
      </c>
      <c r="G116" s="84"/>
      <c r="H116" s="565">
        <v>42.755319148936188</v>
      </c>
      <c r="I116" s="514">
        <v>1902.1966019417487</v>
      </c>
      <c r="J116" s="525"/>
      <c r="K116" s="565">
        <v>29.546129032258058</v>
      </c>
      <c r="L116" s="517">
        <v>915.92999999999984</v>
      </c>
      <c r="M116" s="525"/>
      <c r="N116" s="545">
        <v>-986.26660194174883</v>
      </c>
      <c r="O116" s="525"/>
      <c r="P116" s="565">
        <v>108.45731707317073</v>
      </c>
      <c r="Q116" s="517">
        <v>4446.75</v>
      </c>
      <c r="R116" s="525"/>
      <c r="S116" s="567">
        <v>-3530.82</v>
      </c>
      <c r="T116" s="504"/>
      <c r="U116" s="504"/>
      <c r="V116" s="504"/>
      <c r="W116" s="499"/>
      <c r="X116" s="504"/>
      <c r="Y116" s="504"/>
      <c r="Z116" s="504"/>
      <c r="AA116" s="504"/>
      <c r="AB116" s="504"/>
      <c r="AC116" s="50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</row>
    <row r="117" spans="1:40" ht="15.75" customHeight="1">
      <c r="A117" s="493" t="s">
        <v>306</v>
      </c>
      <c r="B117" s="499" t="s">
        <v>74</v>
      </c>
      <c r="C117" s="513" t="s">
        <v>38</v>
      </c>
      <c r="D117" s="82"/>
      <c r="E117" s="565">
        <v>20.399776704274291</v>
      </c>
      <c r="F117" s="514">
        <v>907.5920072556986</v>
      </c>
      <c r="G117" s="84"/>
      <c r="H117" s="565">
        <v>20.399776704274291</v>
      </c>
      <c r="I117" s="514">
        <v>907.5920072556986</v>
      </c>
      <c r="J117" s="525"/>
      <c r="K117" s="565">
        <v>22.912903225806449</v>
      </c>
      <c r="L117" s="517">
        <v>710.3</v>
      </c>
      <c r="M117" s="525"/>
      <c r="N117" s="545">
        <v>-197.29200725569865</v>
      </c>
      <c r="O117" s="525"/>
      <c r="P117" s="565">
        <v>13.928048780487805</v>
      </c>
      <c r="Q117" s="517">
        <v>571.04999999999995</v>
      </c>
      <c r="R117" s="525"/>
      <c r="S117" s="567">
        <v>139.25</v>
      </c>
      <c r="T117" s="504"/>
      <c r="U117" s="504"/>
      <c r="V117" s="504"/>
      <c r="W117" s="514"/>
      <c r="X117" s="504"/>
      <c r="Y117" s="504"/>
      <c r="Z117" s="504"/>
      <c r="AA117" s="504"/>
      <c r="AB117" s="504"/>
      <c r="AC117" s="50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</row>
    <row r="118" spans="1:40" ht="15.75" hidden="1" customHeight="1">
      <c r="A118" s="493" t="s">
        <v>307</v>
      </c>
      <c r="B118" s="499" t="s">
        <v>74</v>
      </c>
      <c r="C118" s="513" t="s">
        <v>21</v>
      </c>
      <c r="D118" s="82"/>
      <c r="E118" s="565">
        <v>0</v>
      </c>
      <c r="F118" s="514">
        <v>0</v>
      </c>
      <c r="G118" s="84"/>
      <c r="H118" s="565">
        <v>0</v>
      </c>
      <c r="I118" s="514">
        <v>0</v>
      </c>
      <c r="J118" s="525"/>
      <c r="K118" s="565">
        <v>0</v>
      </c>
      <c r="L118" s="517">
        <v>0</v>
      </c>
      <c r="M118" s="525"/>
      <c r="N118" s="545">
        <v>0</v>
      </c>
      <c r="O118" s="525"/>
      <c r="P118" s="565">
        <v>0</v>
      </c>
      <c r="Q118" s="517">
        <v>0</v>
      </c>
      <c r="R118" s="525"/>
      <c r="S118" s="567">
        <v>0</v>
      </c>
      <c r="T118" s="504"/>
      <c r="U118" s="504"/>
      <c r="V118" s="504"/>
      <c r="W118" s="504"/>
      <c r="X118" s="504"/>
      <c r="Y118" s="504"/>
      <c r="Z118" s="504"/>
      <c r="AA118" s="504"/>
      <c r="AB118" s="504"/>
      <c r="AC118" s="50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</row>
    <row r="119" spans="1:40" ht="15.75" hidden="1" customHeight="1">
      <c r="A119" s="493" t="s">
        <v>307</v>
      </c>
      <c r="B119" s="499" t="s">
        <v>74</v>
      </c>
      <c r="C119" s="513" t="s">
        <v>21</v>
      </c>
      <c r="D119" s="82"/>
      <c r="E119" s="565">
        <v>0</v>
      </c>
      <c r="F119" s="514">
        <v>0</v>
      </c>
      <c r="G119" s="84"/>
      <c r="H119" s="565">
        <v>0</v>
      </c>
      <c r="I119" s="514">
        <v>0</v>
      </c>
      <c r="J119" s="525"/>
      <c r="K119" s="565">
        <v>0</v>
      </c>
      <c r="L119" s="517">
        <v>0</v>
      </c>
      <c r="M119" s="525"/>
      <c r="N119" s="545">
        <v>0</v>
      </c>
      <c r="O119" s="525"/>
      <c r="P119" s="565">
        <v>0</v>
      </c>
      <c r="Q119" s="517">
        <v>0</v>
      </c>
      <c r="R119" s="525"/>
      <c r="S119" s="567">
        <v>0</v>
      </c>
      <c r="T119" s="504"/>
      <c r="U119" s="504"/>
      <c r="V119" s="504"/>
      <c r="W119" s="504"/>
      <c r="X119" s="504"/>
      <c r="Y119" s="504"/>
      <c r="Z119" s="504"/>
      <c r="AA119" s="504"/>
      <c r="AB119" s="504"/>
      <c r="AC119" s="50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</row>
    <row r="120" spans="1:40" ht="15.75" hidden="1" customHeight="1">
      <c r="A120" s="493" t="s">
        <v>307</v>
      </c>
      <c r="B120" s="499" t="s">
        <v>74</v>
      </c>
      <c r="C120" s="513" t="s">
        <v>21</v>
      </c>
      <c r="D120" s="82"/>
      <c r="E120" s="565">
        <v>0</v>
      </c>
      <c r="F120" s="514">
        <v>0</v>
      </c>
      <c r="G120" s="84"/>
      <c r="H120" s="565">
        <v>0</v>
      </c>
      <c r="I120" s="514">
        <v>0</v>
      </c>
      <c r="J120" s="525"/>
      <c r="K120" s="565">
        <v>0</v>
      </c>
      <c r="L120" s="517">
        <v>0</v>
      </c>
      <c r="M120" s="525"/>
      <c r="N120" s="545">
        <v>0</v>
      </c>
      <c r="O120" s="525"/>
      <c r="P120" s="565">
        <v>0</v>
      </c>
      <c r="Q120" s="517">
        <v>0</v>
      </c>
      <c r="R120" s="525"/>
      <c r="S120" s="567">
        <v>0</v>
      </c>
      <c r="T120" s="504"/>
      <c r="U120" s="504"/>
      <c r="V120" s="504"/>
      <c r="W120" s="504"/>
      <c r="X120" s="504"/>
      <c r="Y120" s="504"/>
      <c r="Z120" s="504"/>
      <c r="AA120" s="504"/>
      <c r="AB120" s="504"/>
      <c r="AC120" s="50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</row>
    <row r="121" spans="1:40" ht="15.75" customHeight="1">
      <c r="A121" s="493" t="s">
        <v>308</v>
      </c>
      <c r="B121" s="499" t="s">
        <v>74</v>
      </c>
      <c r="C121" s="578" t="s">
        <v>39</v>
      </c>
      <c r="D121" s="97" t="s">
        <v>40</v>
      </c>
      <c r="E121" s="579">
        <v>0.39321889999103432</v>
      </c>
      <c r="F121" s="580">
        <v>58028.356873036602</v>
      </c>
      <c r="G121" s="100" t="s">
        <v>40</v>
      </c>
      <c r="H121" s="579">
        <v>0.39321889999103432</v>
      </c>
      <c r="I121" s="580">
        <v>58028.356873036602</v>
      </c>
      <c r="J121" s="100" t="s">
        <v>40</v>
      </c>
      <c r="K121" s="579">
        <v>0.36147002536949219</v>
      </c>
      <c r="L121" s="580">
        <v>58651.360000000008</v>
      </c>
      <c r="M121" s="583"/>
      <c r="N121" s="580">
        <v>623.00312696340552</v>
      </c>
      <c r="O121" s="100" t="s">
        <v>40</v>
      </c>
      <c r="P121" s="579">
        <v>0.46220180385718584</v>
      </c>
      <c r="Q121" s="580">
        <v>51587.24</v>
      </c>
      <c r="R121" s="583"/>
      <c r="S121" s="584">
        <v>7064.1200000000099</v>
      </c>
      <c r="T121" s="504"/>
      <c r="U121" s="504"/>
      <c r="X121" s="504"/>
      <c r="Y121" s="504"/>
      <c r="Z121" s="504"/>
      <c r="AA121" s="504"/>
      <c r="AB121" s="504"/>
      <c r="AC121" s="50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</row>
    <row r="122" spans="1:40" ht="20.399999999999999">
      <c r="A122" s="493" t="s">
        <v>309</v>
      </c>
      <c r="B122" s="499" t="s">
        <v>74</v>
      </c>
      <c r="C122" s="585" t="s">
        <v>42</v>
      </c>
      <c r="D122" s="504"/>
      <c r="E122" s="504"/>
      <c r="F122" s="514">
        <v>7896.8540229885057</v>
      </c>
      <c r="G122" s="525"/>
      <c r="H122" s="504"/>
      <c r="I122" s="514">
        <v>7896.8540229885057</v>
      </c>
      <c r="J122" s="525"/>
      <c r="K122" s="504"/>
      <c r="L122" s="517">
        <v>12458.03</v>
      </c>
      <c r="M122" s="525"/>
      <c r="N122" s="545">
        <v>4561.175977011495</v>
      </c>
      <c r="O122" s="525"/>
      <c r="P122" s="504"/>
      <c r="Q122" s="517">
        <v>9456.66</v>
      </c>
      <c r="R122" s="525"/>
      <c r="S122" s="567">
        <v>3001.3700000000008</v>
      </c>
      <c r="T122" s="504"/>
      <c r="U122" s="504" t="s">
        <v>256</v>
      </c>
      <c r="V122" s="504"/>
      <c r="W122" s="504"/>
      <c r="X122" s="504"/>
      <c r="Y122" s="504"/>
      <c r="Z122" s="504"/>
      <c r="AA122" s="504"/>
      <c r="AB122" s="504"/>
      <c r="AC122" s="50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</row>
    <row r="123" spans="1:40" ht="20.399999999999999">
      <c r="A123" s="493" t="s">
        <v>310</v>
      </c>
      <c r="B123" s="499" t="s">
        <v>74</v>
      </c>
      <c r="C123" s="586" t="s">
        <v>43</v>
      </c>
      <c r="D123" s="82"/>
      <c r="E123" s="504"/>
      <c r="F123" s="508">
        <v>2085.8013466436782</v>
      </c>
      <c r="G123" s="84"/>
      <c r="H123" s="504"/>
      <c r="I123" s="508">
        <v>2085.8013466436782</v>
      </c>
      <c r="J123" s="525"/>
      <c r="K123" s="504"/>
      <c r="L123" s="508">
        <v>1818.99</v>
      </c>
      <c r="M123" s="525"/>
      <c r="N123" s="545">
        <v>-266.81134664367823</v>
      </c>
      <c r="O123" s="525"/>
      <c r="P123" s="504"/>
      <c r="Q123" s="508">
        <v>2107.2600000000002</v>
      </c>
      <c r="R123" s="525"/>
      <c r="S123" s="567">
        <v>-288.27000000000021</v>
      </c>
      <c r="T123" s="504"/>
      <c r="U123" s="504"/>
      <c r="V123" s="504"/>
      <c r="W123" s="504"/>
      <c r="X123" s="504"/>
      <c r="Y123" s="504"/>
      <c r="Z123" s="504"/>
      <c r="AA123" s="504"/>
      <c r="AB123" s="504"/>
      <c r="AC123" s="50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</row>
    <row r="124" spans="1:40" ht="20.399999999999999">
      <c r="A124" s="493" t="s">
        <v>311</v>
      </c>
      <c r="B124" s="499" t="s">
        <v>74</v>
      </c>
      <c r="C124" s="585" t="s">
        <v>44</v>
      </c>
      <c r="D124" s="107"/>
      <c r="E124" s="587"/>
      <c r="F124" s="514">
        <v>7817.5317199080455</v>
      </c>
      <c r="G124" s="109"/>
      <c r="H124" s="587"/>
      <c r="I124" s="514">
        <v>7817.5317199080455</v>
      </c>
      <c r="J124" s="588"/>
      <c r="K124" s="587"/>
      <c r="L124" s="517">
        <v>6856.98</v>
      </c>
      <c r="M124" s="588"/>
      <c r="N124" s="590">
        <v>-960.55171990804592</v>
      </c>
      <c r="O124" s="588"/>
      <c r="P124" s="587"/>
      <c r="Q124" s="517">
        <v>7267.67</v>
      </c>
      <c r="R124" s="588"/>
      <c r="S124" s="591">
        <v>-410.69000000000051</v>
      </c>
      <c r="T124" s="504"/>
      <c r="U124" s="504"/>
      <c r="V124" s="504"/>
      <c r="W124" s="504"/>
      <c r="X124" s="504"/>
      <c r="Y124" s="504"/>
      <c r="Z124" s="504"/>
      <c r="AA124" s="504"/>
      <c r="AB124" s="504"/>
      <c r="AC124" s="50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</row>
    <row r="125" spans="1:40" ht="15.75" customHeight="1">
      <c r="A125" s="493" t="s">
        <v>312</v>
      </c>
      <c r="B125" s="499" t="s">
        <v>74</v>
      </c>
      <c r="C125" s="585" t="s">
        <v>45</v>
      </c>
      <c r="D125" s="82"/>
      <c r="E125" s="504"/>
      <c r="F125" s="514">
        <v>0</v>
      </c>
      <c r="G125" s="84"/>
      <c r="H125" s="504"/>
      <c r="I125" s="514">
        <v>0</v>
      </c>
      <c r="J125" s="525"/>
      <c r="K125" s="504"/>
      <c r="L125" s="517">
        <v>0</v>
      </c>
      <c r="M125" s="525"/>
      <c r="N125" s="545">
        <v>0</v>
      </c>
      <c r="O125" s="525"/>
      <c r="P125" s="504"/>
      <c r="Q125" s="517">
        <v>0</v>
      </c>
      <c r="R125" s="525"/>
      <c r="S125" s="567">
        <v>0</v>
      </c>
      <c r="T125" s="504"/>
      <c r="U125" s="504"/>
      <c r="V125" s="504"/>
      <c r="W125" s="504"/>
      <c r="X125" s="504"/>
      <c r="Y125" s="504"/>
      <c r="Z125" s="504"/>
      <c r="AA125" s="504"/>
      <c r="AB125" s="504"/>
      <c r="AC125" s="50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</row>
    <row r="126" spans="1:40" ht="15.75" hidden="1" customHeight="1">
      <c r="A126" s="493" t="s">
        <v>307</v>
      </c>
      <c r="B126" s="499" t="s">
        <v>74</v>
      </c>
      <c r="C126" s="585" t="s">
        <v>21</v>
      </c>
      <c r="D126" s="82"/>
      <c r="E126" s="504"/>
      <c r="F126" s="514">
        <v>0</v>
      </c>
      <c r="G126" s="84"/>
      <c r="H126" s="504"/>
      <c r="I126" s="514">
        <v>0</v>
      </c>
      <c r="J126" s="525"/>
      <c r="K126" s="504"/>
      <c r="L126" s="517">
        <v>0</v>
      </c>
      <c r="M126" s="525"/>
      <c r="N126" s="545">
        <v>0</v>
      </c>
      <c r="O126" s="525"/>
      <c r="P126" s="504"/>
      <c r="Q126" s="517">
        <v>0</v>
      </c>
      <c r="R126" s="525"/>
      <c r="S126" s="567">
        <v>0</v>
      </c>
      <c r="T126" s="504"/>
      <c r="U126" s="504"/>
      <c r="V126" s="504"/>
      <c r="W126" s="504"/>
      <c r="X126" s="504"/>
      <c r="Y126" s="504"/>
      <c r="Z126" s="504"/>
      <c r="AA126" s="504"/>
      <c r="AB126" s="504"/>
      <c r="AC126" s="50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</row>
    <row r="127" spans="1:40" ht="15.75" hidden="1" customHeight="1">
      <c r="A127" s="493" t="s">
        <v>307</v>
      </c>
      <c r="B127" s="499" t="s">
        <v>74</v>
      </c>
      <c r="C127" s="585" t="s">
        <v>21</v>
      </c>
      <c r="D127" s="82"/>
      <c r="E127" s="504"/>
      <c r="F127" s="514">
        <v>0</v>
      </c>
      <c r="G127" s="84"/>
      <c r="H127" s="504"/>
      <c r="I127" s="514">
        <v>0</v>
      </c>
      <c r="J127" s="525"/>
      <c r="K127" s="504"/>
      <c r="L127" s="517">
        <v>0</v>
      </c>
      <c r="M127" s="525"/>
      <c r="N127" s="545">
        <v>0</v>
      </c>
      <c r="O127" s="525"/>
      <c r="P127" s="504"/>
      <c r="Q127" s="517">
        <v>0</v>
      </c>
      <c r="R127" s="525"/>
      <c r="S127" s="567">
        <v>0</v>
      </c>
      <c r="T127" s="504"/>
      <c r="U127" s="504"/>
      <c r="V127" s="504"/>
      <c r="W127" s="504"/>
      <c r="X127" s="504"/>
      <c r="Y127" s="504"/>
      <c r="Z127" s="504"/>
      <c r="AA127" s="504"/>
      <c r="AB127" s="504"/>
      <c r="AC127" s="50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</row>
    <row r="128" spans="1:40" ht="15.75" hidden="1" customHeight="1">
      <c r="A128" s="493" t="s">
        <v>307</v>
      </c>
      <c r="B128" s="499" t="s">
        <v>74</v>
      </c>
      <c r="C128" s="585" t="s">
        <v>21</v>
      </c>
      <c r="D128" s="82"/>
      <c r="E128" s="504"/>
      <c r="F128" s="514">
        <v>0</v>
      </c>
      <c r="G128" s="84"/>
      <c r="H128" s="504"/>
      <c r="I128" s="514">
        <v>0</v>
      </c>
      <c r="J128" s="525"/>
      <c r="K128" s="504"/>
      <c r="L128" s="517">
        <v>0</v>
      </c>
      <c r="M128" s="525"/>
      <c r="N128" s="545">
        <v>0</v>
      </c>
      <c r="O128" s="525"/>
      <c r="P128" s="504"/>
      <c r="Q128" s="517">
        <v>0</v>
      </c>
      <c r="R128" s="525"/>
      <c r="S128" s="567">
        <v>0</v>
      </c>
      <c r="T128" s="504"/>
      <c r="U128" s="504"/>
      <c r="V128" s="504"/>
      <c r="W128" s="504"/>
      <c r="X128" s="504"/>
      <c r="Y128" s="504"/>
      <c r="Z128" s="504"/>
      <c r="AA128" s="504"/>
      <c r="AB128" s="504"/>
      <c r="AC128" s="50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</row>
    <row r="129" spans="1:40" ht="15.75" customHeight="1">
      <c r="A129" s="493" t="s">
        <v>313</v>
      </c>
      <c r="B129" s="499" t="s">
        <v>74</v>
      </c>
      <c r="C129" s="586" t="s">
        <v>46</v>
      </c>
      <c r="D129" s="82"/>
      <c r="E129" s="504"/>
      <c r="F129" s="514">
        <v>7515.2196697481077</v>
      </c>
      <c r="G129" s="84"/>
      <c r="H129" s="504"/>
      <c r="I129" s="514">
        <v>7515.2196697481077</v>
      </c>
      <c r="J129" s="525"/>
      <c r="K129" s="504"/>
      <c r="L129" s="517">
        <v>2574.23</v>
      </c>
      <c r="M129" s="525"/>
      <c r="N129" s="545">
        <v>-4940.9896697481072</v>
      </c>
      <c r="O129" s="525"/>
      <c r="P129" s="504"/>
      <c r="Q129" s="517">
        <v>2021.69</v>
      </c>
      <c r="R129" s="525"/>
      <c r="S129" s="567">
        <v>552.54</v>
      </c>
      <c r="T129" s="504"/>
      <c r="U129" s="504"/>
      <c r="V129" s="504"/>
      <c r="W129" s="504"/>
      <c r="X129" s="504"/>
      <c r="Y129" s="504"/>
      <c r="Z129" s="504"/>
      <c r="AA129" s="504"/>
      <c r="AB129" s="504"/>
      <c r="AC129" s="50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</row>
    <row r="130" spans="1:40" ht="15.75" customHeight="1">
      <c r="A130" s="493" t="s">
        <v>314</v>
      </c>
      <c r="B130" s="499" t="s">
        <v>74</v>
      </c>
      <c r="C130" s="585" t="s">
        <v>47</v>
      </c>
      <c r="D130" s="107"/>
      <c r="E130" s="587"/>
      <c r="F130" s="539">
        <v>6730.6495673317158</v>
      </c>
      <c r="G130" s="109"/>
      <c r="H130" s="587"/>
      <c r="I130" s="539">
        <v>6730.6495673317158</v>
      </c>
      <c r="J130" s="588"/>
      <c r="K130" s="587"/>
      <c r="L130" s="540">
        <v>3592.02</v>
      </c>
      <c r="M130" s="588"/>
      <c r="N130" s="590">
        <v>-3138.6295673317159</v>
      </c>
      <c r="O130" s="588"/>
      <c r="P130" s="587"/>
      <c r="Q130" s="540">
        <v>5854.93</v>
      </c>
      <c r="R130" s="588"/>
      <c r="S130" s="591">
        <v>-2262.9100000000003</v>
      </c>
      <c r="T130" s="504"/>
      <c r="U130" s="504"/>
      <c r="V130" s="504"/>
      <c r="W130" s="504"/>
      <c r="X130" s="504"/>
      <c r="Y130" s="504"/>
      <c r="Z130" s="504"/>
      <c r="AA130" s="504"/>
      <c r="AB130" s="504"/>
      <c r="AC130" s="50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</row>
    <row r="131" spans="1:40" ht="15.75" customHeight="1">
      <c r="A131" s="493" t="s">
        <v>315</v>
      </c>
      <c r="B131" s="499" t="s">
        <v>74</v>
      </c>
      <c r="C131" s="585" t="s">
        <v>48</v>
      </c>
      <c r="D131" s="82"/>
      <c r="E131" s="504"/>
      <c r="F131" s="514">
        <v>5344.9275975869514</v>
      </c>
      <c r="G131" s="84"/>
      <c r="H131" s="504"/>
      <c r="I131" s="514">
        <v>5344.9275975869514</v>
      </c>
      <c r="J131" s="525"/>
      <c r="K131" s="504"/>
      <c r="L131" s="517">
        <v>2467.1799999999998</v>
      </c>
      <c r="M131" s="525"/>
      <c r="N131" s="545">
        <v>-2877.7475975869515</v>
      </c>
      <c r="O131" s="525"/>
      <c r="P131" s="504"/>
      <c r="Q131" s="517">
        <v>4196.03</v>
      </c>
      <c r="R131" s="525"/>
      <c r="S131" s="567">
        <v>-1728.85</v>
      </c>
      <c r="T131" s="504"/>
      <c r="U131" s="504"/>
      <c r="V131" s="504"/>
      <c r="W131" s="504"/>
      <c r="X131" s="504"/>
      <c r="Y131" s="504"/>
      <c r="Z131" s="504"/>
      <c r="AA131" s="504"/>
      <c r="AB131" s="504"/>
      <c r="AC131" s="50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</row>
    <row r="132" spans="1:40" ht="15.75" customHeight="1">
      <c r="A132" s="493" t="s">
        <v>316</v>
      </c>
      <c r="B132" s="499" t="s">
        <v>74</v>
      </c>
      <c r="C132" s="585" t="s">
        <v>49</v>
      </c>
      <c r="D132" s="82"/>
      <c r="E132" s="504"/>
      <c r="F132" s="514">
        <v>2177.5630953132022</v>
      </c>
      <c r="G132" s="84"/>
      <c r="H132" s="504"/>
      <c r="I132" s="514">
        <v>2177.5630953132022</v>
      </c>
      <c r="J132" s="525"/>
      <c r="K132" s="504"/>
      <c r="L132" s="517">
        <v>942.74</v>
      </c>
      <c r="M132" s="525"/>
      <c r="N132" s="545">
        <v>-1234.8230953132022</v>
      </c>
      <c r="O132" s="525"/>
      <c r="P132" s="504"/>
      <c r="Q132" s="517">
        <v>975.82</v>
      </c>
      <c r="R132" s="525"/>
      <c r="S132" s="567">
        <v>-33.080000000000041</v>
      </c>
      <c r="T132" s="504"/>
      <c r="U132" s="504"/>
      <c r="V132" s="504"/>
      <c r="W132" s="504"/>
      <c r="X132" s="504"/>
      <c r="Y132" s="504"/>
      <c r="Z132" s="504"/>
      <c r="AA132" s="504"/>
      <c r="AB132" s="504"/>
      <c r="AC132" s="50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</row>
    <row r="133" spans="1:40" ht="15.75" hidden="1" customHeight="1">
      <c r="A133" s="493" t="s">
        <v>307</v>
      </c>
      <c r="B133" s="499" t="s">
        <v>74</v>
      </c>
      <c r="C133" s="513" t="s">
        <v>21</v>
      </c>
      <c r="D133" s="89"/>
      <c r="E133" s="592"/>
      <c r="F133" s="514">
        <v>0</v>
      </c>
      <c r="G133" s="91"/>
      <c r="H133" s="592"/>
      <c r="I133" s="514">
        <v>0</v>
      </c>
      <c r="J133" s="509"/>
      <c r="K133" s="592"/>
      <c r="L133" s="517">
        <v>0</v>
      </c>
      <c r="M133" s="509"/>
      <c r="N133" s="620">
        <v>0</v>
      </c>
      <c r="O133" s="509"/>
      <c r="P133" s="592"/>
      <c r="Q133" s="517">
        <v>0</v>
      </c>
      <c r="R133" s="509"/>
      <c r="S133" s="574">
        <v>0</v>
      </c>
      <c r="T133" s="504"/>
      <c r="U133" s="504"/>
      <c r="V133" s="504"/>
      <c r="W133" s="504"/>
      <c r="X133" s="504"/>
      <c r="Y133" s="504"/>
      <c r="Z133" s="504"/>
      <c r="AA133" s="504"/>
      <c r="AB133" s="504"/>
      <c r="AC133" s="50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</row>
    <row r="134" spans="1:40" ht="15.75" customHeight="1">
      <c r="A134" s="493" t="s">
        <v>317</v>
      </c>
      <c r="B134" s="499" t="s">
        <v>74</v>
      </c>
      <c r="C134" s="578" t="s">
        <v>50</v>
      </c>
      <c r="D134" s="97" t="s">
        <v>40</v>
      </c>
      <c r="E134" s="579">
        <v>0.26812926251387503</v>
      </c>
      <c r="F134" s="580">
        <v>39568.547019520207</v>
      </c>
      <c r="G134" s="100" t="s">
        <v>40</v>
      </c>
      <c r="H134" s="579">
        <v>0.26812926251387503</v>
      </c>
      <c r="I134" s="580">
        <v>39568.547019520207</v>
      </c>
      <c r="J134" s="100" t="s">
        <v>40</v>
      </c>
      <c r="K134" s="579">
        <v>0.18926766453499827</v>
      </c>
      <c r="L134" s="580">
        <v>30710.170000000002</v>
      </c>
      <c r="M134" s="621"/>
      <c r="N134" s="594">
        <v>-8858.3770195202051</v>
      </c>
      <c r="O134" s="100" t="s">
        <v>40</v>
      </c>
      <c r="P134" s="579">
        <v>0.28563306040554443</v>
      </c>
      <c r="Q134" s="580">
        <v>31880.059999999998</v>
      </c>
      <c r="R134" s="621"/>
      <c r="S134" s="595">
        <v>-1169.8899999999958</v>
      </c>
      <c r="T134" s="504"/>
      <c r="U134" s="504"/>
      <c r="V134" s="504"/>
      <c r="W134" s="504"/>
      <c r="X134" s="504"/>
      <c r="Y134" s="504"/>
      <c r="Z134" s="504"/>
      <c r="AA134" s="504"/>
      <c r="AB134" s="504"/>
      <c r="AC134" s="50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</row>
    <row r="135" spans="1:40" ht="15.75" customHeight="1">
      <c r="A135" s="493" t="s">
        <v>318</v>
      </c>
      <c r="B135" s="499" t="s">
        <v>74</v>
      </c>
      <c r="C135" s="513" t="s">
        <v>51</v>
      </c>
      <c r="D135" s="82"/>
      <c r="E135" s="504"/>
      <c r="F135" s="514">
        <v>0</v>
      </c>
      <c r="G135" s="84"/>
      <c r="H135" s="504"/>
      <c r="I135" s="514">
        <v>0</v>
      </c>
      <c r="J135" s="525"/>
      <c r="K135" s="504"/>
      <c r="L135" s="517">
        <v>0</v>
      </c>
      <c r="M135" s="525"/>
      <c r="N135" s="545">
        <v>0</v>
      </c>
      <c r="O135" s="525"/>
      <c r="P135" s="504"/>
      <c r="Q135" s="517">
        <v>0</v>
      </c>
      <c r="R135" s="525"/>
      <c r="S135" s="567">
        <v>0</v>
      </c>
      <c r="T135" s="504"/>
      <c r="U135" s="504"/>
      <c r="V135" s="504"/>
      <c r="W135" s="504"/>
      <c r="X135" s="504"/>
      <c r="Y135" s="504"/>
      <c r="Z135" s="504"/>
      <c r="AA135" s="504"/>
      <c r="AB135" s="504"/>
      <c r="AC135" s="50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</row>
    <row r="136" spans="1:40" ht="15.75" customHeight="1">
      <c r="A136" s="493" t="s">
        <v>319</v>
      </c>
      <c r="B136" s="499" t="s">
        <v>74</v>
      </c>
      <c r="C136" s="513" t="s">
        <v>52</v>
      </c>
      <c r="D136" s="82"/>
      <c r="E136" s="504"/>
      <c r="F136" s="514">
        <v>0</v>
      </c>
      <c r="G136" s="84"/>
      <c r="H136" s="504"/>
      <c r="I136" s="514">
        <v>0</v>
      </c>
      <c r="J136" s="525"/>
      <c r="K136" s="504"/>
      <c r="L136" s="517">
        <v>0</v>
      </c>
      <c r="M136" s="525"/>
      <c r="N136" s="545">
        <v>0</v>
      </c>
      <c r="O136" s="525"/>
      <c r="P136" s="504"/>
      <c r="Q136" s="517">
        <v>0</v>
      </c>
      <c r="R136" s="525"/>
      <c r="S136" s="567">
        <v>0</v>
      </c>
      <c r="T136" s="504"/>
      <c r="U136" s="504"/>
      <c r="V136" s="504"/>
      <c r="W136" s="504"/>
      <c r="X136" s="504"/>
      <c r="Y136" s="504"/>
      <c r="Z136" s="504"/>
      <c r="AA136" s="504"/>
      <c r="AB136" s="504"/>
      <c r="AC136" s="50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</row>
    <row r="137" spans="1:40" ht="15.75" customHeight="1">
      <c r="A137" s="493" t="s">
        <v>320</v>
      </c>
      <c r="B137" s="499" t="s">
        <v>74</v>
      </c>
      <c r="C137" s="568" t="s">
        <v>53</v>
      </c>
      <c r="D137" s="89"/>
      <c r="E137" s="592"/>
      <c r="F137" s="508">
        <v>125.03999999999999</v>
      </c>
      <c r="G137" s="91"/>
      <c r="H137" s="592"/>
      <c r="I137" s="508">
        <v>125.03999999999999</v>
      </c>
      <c r="J137" s="509"/>
      <c r="K137" s="592"/>
      <c r="L137" s="508">
        <v>557.77</v>
      </c>
      <c r="M137" s="509"/>
      <c r="N137" s="573">
        <v>432.73</v>
      </c>
      <c r="O137" s="509"/>
      <c r="P137" s="592"/>
      <c r="Q137" s="508">
        <v>-369.12</v>
      </c>
      <c r="R137" s="509"/>
      <c r="S137" s="574">
        <v>926.89</v>
      </c>
      <c r="T137" s="504"/>
      <c r="U137" s="504"/>
      <c r="V137" s="504"/>
      <c r="W137" s="504"/>
      <c r="X137" s="504"/>
      <c r="Y137" s="504"/>
      <c r="Z137" s="504"/>
      <c r="AA137" s="504"/>
      <c r="AB137" s="504"/>
      <c r="AC137" s="50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</row>
    <row r="138" spans="1:40" ht="15.75" customHeight="1">
      <c r="A138" s="493" t="s">
        <v>321</v>
      </c>
      <c r="B138" s="499" t="s">
        <v>74</v>
      </c>
      <c r="C138" s="513" t="s">
        <v>54</v>
      </c>
      <c r="D138" s="82"/>
      <c r="E138" s="504"/>
      <c r="F138" s="514">
        <v>2428.3689099999997</v>
      </c>
      <c r="G138" s="84"/>
      <c r="H138" s="504"/>
      <c r="I138" s="514">
        <v>2428.3689099999997</v>
      </c>
      <c r="J138" s="525"/>
      <c r="K138" s="504"/>
      <c r="L138" s="517">
        <v>2721.79</v>
      </c>
      <c r="M138" s="525"/>
      <c r="N138" s="545">
        <v>293.42109000000028</v>
      </c>
      <c r="O138" s="525"/>
      <c r="P138" s="504"/>
      <c r="Q138" s="517">
        <v>1493</v>
      </c>
      <c r="R138" s="525"/>
      <c r="S138" s="567">
        <v>1228.79</v>
      </c>
      <c r="T138" s="504"/>
      <c r="U138" s="504"/>
      <c r="V138" s="504"/>
      <c r="W138" s="504"/>
      <c r="X138" s="504"/>
      <c r="Y138" s="504"/>
      <c r="Z138" s="504"/>
      <c r="AA138" s="504"/>
      <c r="AB138" s="504"/>
      <c r="AC138" s="50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</row>
    <row r="139" spans="1:40" ht="15.75" customHeight="1">
      <c r="A139" s="493" t="s">
        <v>322</v>
      </c>
      <c r="B139" s="499" t="s">
        <v>74</v>
      </c>
      <c r="C139" s="513" t="s">
        <v>55</v>
      </c>
      <c r="D139" s="82"/>
      <c r="E139" s="504"/>
      <c r="F139" s="514">
        <v>297.05317500000001</v>
      </c>
      <c r="G139" s="84"/>
      <c r="H139" s="504"/>
      <c r="I139" s="514">
        <v>297.05317500000001</v>
      </c>
      <c r="J139" s="525"/>
      <c r="K139" s="504"/>
      <c r="L139" s="517">
        <v>127.22</v>
      </c>
      <c r="M139" s="525"/>
      <c r="N139" s="545">
        <v>-169.83317500000001</v>
      </c>
      <c r="O139" s="525"/>
      <c r="P139" s="504"/>
      <c r="Q139" s="517">
        <v>78.69</v>
      </c>
      <c r="R139" s="525"/>
      <c r="S139" s="567">
        <v>48.53</v>
      </c>
      <c r="T139" s="622"/>
      <c r="U139" s="504"/>
      <c r="V139" s="504"/>
      <c r="W139" s="504"/>
      <c r="X139" s="504"/>
      <c r="Y139" s="504"/>
      <c r="Z139" s="504"/>
      <c r="AA139" s="504"/>
      <c r="AB139" s="504"/>
      <c r="AC139" s="50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</row>
    <row r="140" spans="1:40" ht="15.75" customHeight="1">
      <c r="A140" s="493" t="s">
        <v>323</v>
      </c>
      <c r="B140" s="499" t="s">
        <v>74</v>
      </c>
      <c r="C140" s="568" t="s">
        <v>56</v>
      </c>
      <c r="D140" s="89"/>
      <c r="E140" s="592"/>
      <c r="F140" s="508">
        <v>1482.0174666666665</v>
      </c>
      <c r="G140" s="91"/>
      <c r="H140" s="592"/>
      <c r="I140" s="508">
        <v>1482.0174666666665</v>
      </c>
      <c r="J140" s="509"/>
      <c r="K140" s="592"/>
      <c r="L140" s="508">
        <v>963.14</v>
      </c>
      <c r="M140" s="509"/>
      <c r="N140" s="573">
        <v>-518.87746666666646</v>
      </c>
      <c r="O140" s="509"/>
      <c r="P140" s="592"/>
      <c r="Q140" s="508">
        <v>1698.7</v>
      </c>
      <c r="R140" s="509"/>
      <c r="S140" s="574">
        <v>-735.56000000000006</v>
      </c>
      <c r="T140" s="504"/>
      <c r="U140" s="504"/>
      <c r="V140" s="504"/>
      <c r="W140" s="504"/>
      <c r="X140" s="504"/>
      <c r="Y140" s="504"/>
      <c r="Z140" s="504"/>
      <c r="AA140" s="504"/>
      <c r="AB140" s="504"/>
      <c r="AC140" s="50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</row>
    <row r="141" spans="1:40" ht="15.75" customHeight="1">
      <c r="A141" s="493" t="s">
        <v>324</v>
      </c>
      <c r="B141" s="499" t="s">
        <v>74</v>
      </c>
      <c r="C141" s="513" t="s">
        <v>57</v>
      </c>
      <c r="D141" s="82"/>
      <c r="E141" s="504"/>
      <c r="F141" s="514">
        <v>96.216577192736779</v>
      </c>
      <c r="G141" s="84"/>
      <c r="H141" s="504"/>
      <c r="I141" s="514">
        <v>96.216577192736779</v>
      </c>
      <c r="J141" s="525"/>
      <c r="K141" s="504"/>
      <c r="L141" s="517">
        <v>249.95</v>
      </c>
      <c r="M141" s="525"/>
      <c r="N141" s="545">
        <v>153.7334228072632</v>
      </c>
      <c r="O141" s="525"/>
      <c r="P141" s="504"/>
      <c r="Q141" s="517">
        <v>413.76</v>
      </c>
      <c r="R141" s="525"/>
      <c r="S141" s="567">
        <v>-163.81</v>
      </c>
      <c r="T141" s="504"/>
      <c r="U141" s="504"/>
      <c r="V141" s="504"/>
      <c r="W141" s="504"/>
      <c r="X141" s="504"/>
      <c r="Y141" s="504"/>
      <c r="Z141" s="504"/>
      <c r="AA141" s="504"/>
      <c r="AB141" s="504"/>
      <c r="AC141" s="50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</row>
    <row r="142" spans="1:40" ht="15.75" customHeight="1">
      <c r="A142" s="493" t="s">
        <v>325</v>
      </c>
      <c r="B142" s="499" t="s">
        <v>74</v>
      </c>
      <c r="C142" s="513" t="s">
        <v>58</v>
      </c>
      <c r="D142" s="82"/>
      <c r="E142" s="504"/>
      <c r="F142" s="514">
        <v>51.126959799825812</v>
      </c>
      <c r="G142" s="84"/>
      <c r="H142" s="504"/>
      <c r="I142" s="514">
        <v>51.126959799825812</v>
      </c>
      <c r="J142" s="525"/>
      <c r="K142" s="504"/>
      <c r="L142" s="517">
        <v>0</v>
      </c>
      <c r="M142" s="525"/>
      <c r="N142" s="545">
        <v>-51.126959799825812</v>
      </c>
      <c r="O142" s="525"/>
      <c r="P142" s="504"/>
      <c r="Q142" s="517">
        <v>0</v>
      </c>
      <c r="R142" s="525"/>
      <c r="S142" s="567">
        <v>0</v>
      </c>
      <c r="T142" s="504"/>
      <c r="U142" s="504"/>
      <c r="V142" s="504"/>
      <c r="W142" s="504"/>
      <c r="X142" s="504"/>
      <c r="Y142" s="504"/>
      <c r="Z142" s="504"/>
      <c r="AA142" s="504"/>
      <c r="AB142" s="504"/>
      <c r="AC142" s="50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</row>
    <row r="143" spans="1:40" ht="15.75" customHeight="1">
      <c r="A143" s="493" t="s">
        <v>326</v>
      </c>
      <c r="B143" s="499" t="s">
        <v>74</v>
      </c>
      <c r="C143" s="513" t="s">
        <v>59</v>
      </c>
      <c r="D143" s="82"/>
      <c r="E143" s="504"/>
      <c r="F143" s="514">
        <v>244.82411999999999</v>
      </c>
      <c r="G143" s="84"/>
      <c r="H143" s="504"/>
      <c r="I143" s="514">
        <v>244.82411999999999</v>
      </c>
      <c r="J143" s="525"/>
      <c r="K143" s="504"/>
      <c r="L143" s="516">
        <v>278.41000000000003</v>
      </c>
      <c r="M143" s="525"/>
      <c r="N143" s="545">
        <v>33.585880000000031</v>
      </c>
      <c r="O143" s="525"/>
      <c r="P143" s="504"/>
      <c r="Q143" s="516">
        <v>597.44000000000005</v>
      </c>
      <c r="R143" s="525"/>
      <c r="S143" s="567">
        <v>-319.03000000000003</v>
      </c>
      <c r="T143" s="504"/>
      <c r="U143" s="504"/>
      <c r="V143" s="504"/>
      <c r="W143" s="504"/>
      <c r="X143" s="504"/>
      <c r="Y143" s="504"/>
      <c r="Z143" s="504"/>
      <c r="AA143" s="504"/>
      <c r="AB143" s="504"/>
      <c r="AC143" s="50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</row>
    <row r="144" spans="1:40" ht="15.75" customHeight="1">
      <c r="A144" s="493" t="s">
        <v>327</v>
      </c>
      <c r="B144" s="499" t="s">
        <v>74</v>
      </c>
      <c r="C144" s="513" t="s">
        <v>60</v>
      </c>
      <c r="D144" s="82"/>
      <c r="E144" s="504"/>
      <c r="F144" s="514">
        <v>113.04919750000001</v>
      </c>
      <c r="G144" s="84"/>
      <c r="H144" s="504"/>
      <c r="I144" s="514">
        <v>113.04919750000001</v>
      </c>
      <c r="J144" s="525"/>
      <c r="K144" s="504"/>
      <c r="L144" s="517">
        <v>39.29</v>
      </c>
      <c r="M144" s="525"/>
      <c r="N144" s="545">
        <v>-73.759197499999999</v>
      </c>
      <c r="O144" s="525"/>
      <c r="P144" s="504"/>
      <c r="Q144" s="517">
        <v>48.83</v>
      </c>
      <c r="R144" s="525"/>
      <c r="S144" s="567">
        <v>-9.5399999999999991</v>
      </c>
      <c r="T144" s="504"/>
      <c r="U144" s="504"/>
      <c r="V144" s="504"/>
      <c r="W144" s="504"/>
      <c r="X144" s="504"/>
      <c r="Y144" s="504"/>
      <c r="Z144" s="504"/>
      <c r="AA144" s="504"/>
      <c r="AB144" s="504"/>
      <c r="AC144" s="50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</row>
    <row r="145" spans="1:40" ht="15.75" customHeight="1">
      <c r="A145" s="493" t="s">
        <v>328</v>
      </c>
      <c r="B145" s="499" t="s">
        <v>74</v>
      </c>
      <c r="C145" s="513" t="s">
        <v>61</v>
      </c>
      <c r="D145" s="82"/>
      <c r="E145" s="504"/>
      <c r="F145" s="514">
        <v>60.343902499999984</v>
      </c>
      <c r="G145" s="84"/>
      <c r="H145" s="504"/>
      <c r="I145" s="514">
        <v>60.343902499999984</v>
      </c>
      <c r="J145" s="525"/>
      <c r="K145" s="504"/>
      <c r="L145" s="517">
        <v>93.07</v>
      </c>
      <c r="M145" s="525"/>
      <c r="N145" s="545">
        <v>32.726097500000009</v>
      </c>
      <c r="O145" s="525"/>
      <c r="P145" s="504"/>
      <c r="Q145" s="517">
        <v>79.42</v>
      </c>
      <c r="R145" s="525"/>
      <c r="S145" s="567">
        <v>13.649999999999991</v>
      </c>
      <c r="T145" s="504"/>
      <c r="U145" s="504"/>
      <c r="V145" s="504"/>
      <c r="W145" s="504"/>
      <c r="X145" s="504"/>
      <c r="Y145" s="504"/>
      <c r="Z145" s="504"/>
      <c r="AA145" s="504"/>
      <c r="AB145" s="504"/>
      <c r="AC145" s="50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</row>
    <row r="146" spans="1:40" ht="15.75" customHeight="1">
      <c r="A146" s="493" t="s">
        <v>329</v>
      </c>
      <c r="B146" s="499" t="s">
        <v>74</v>
      </c>
      <c r="C146" s="513" t="s">
        <v>62</v>
      </c>
      <c r="D146" s="82"/>
      <c r="E146" s="504"/>
      <c r="F146" s="514">
        <v>291.0875974999999</v>
      </c>
      <c r="G146" s="84"/>
      <c r="H146" s="504"/>
      <c r="I146" s="514">
        <v>291.0875974999999</v>
      </c>
      <c r="J146" s="525"/>
      <c r="K146" s="504"/>
      <c r="L146" s="517">
        <v>345.23</v>
      </c>
      <c r="M146" s="525"/>
      <c r="N146" s="545">
        <v>54.142402500000117</v>
      </c>
      <c r="O146" s="525"/>
      <c r="P146" s="504"/>
      <c r="Q146" s="517">
        <v>99.03</v>
      </c>
      <c r="R146" s="525"/>
      <c r="S146" s="567">
        <v>246.20000000000002</v>
      </c>
      <c r="T146" s="504"/>
      <c r="U146" s="504"/>
      <c r="V146" s="504"/>
      <c r="W146" s="504"/>
      <c r="X146" s="504"/>
      <c r="Y146" s="504"/>
      <c r="Z146" s="504"/>
      <c r="AA146" s="504"/>
      <c r="AB146" s="504"/>
      <c r="AC146" s="50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</row>
    <row r="147" spans="1:40" ht="15.75" customHeight="1">
      <c r="A147" s="493" t="s">
        <v>330</v>
      </c>
      <c r="B147" s="499" t="s">
        <v>74</v>
      </c>
      <c r="C147" s="513" t="s">
        <v>63</v>
      </c>
      <c r="D147" s="82"/>
      <c r="E147" s="504"/>
      <c r="F147" s="514">
        <v>432.47109999999998</v>
      </c>
      <c r="G147" s="84"/>
      <c r="H147" s="504"/>
      <c r="I147" s="514">
        <v>432.47109999999998</v>
      </c>
      <c r="J147" s="525"/>
      <c r="K147" s="504"/>
      <c r="L147" s="517">
        <v>38.28</v>
      </c>
      <c r="M147" s="525"/>
      <c r="N147" s="545">
        <v>-394.19110000000001</v>
      </c>
      <c r="O147" s="525"/>
      <c r="P147" s="504"/>
      <c r="Q147" s="517">
        <v>10.62</v>
      </c>
      <c r="R147" s="525"/>
      <c r="S147" s="567">
        <v>27.660000000000004</v>
      </c>
      <c r="T147" s="504"/>
      <c r="U147" s="504"/>
      <c r="V147" s="504"/>
      <c r="W147" s="504"/>
      <c r="X147" s="504"/>
      <c r="Y147" s="504"/>
      <c r="Z147" s="504"/>
      <c r="AA147" s="504"/>
      <c r="AB147" s="504"/>
      <c r="AC147" s="50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</row>
    <row r="148" spans="1:40" ht="15.75" customHeight="1">
      <c r="A148" s="493" t="s">
        <v>331</v>
      </c>
      <c r="B148" s="499" t="s">
        <v>74</v>
      </c>
      <c r="C148" s="513" t="s">
        <v>64</v>
      </c>
      <c r="D148" s="82"/>
      <c r="E148" s="504"/>
      <c r="F148" s="514">
        <v>1259.6435944222851</v>
      </c>
      <c r="G148" s="84"/>
      <c r="H148" s="504"/>
      <c r="I148" s="514">
        <v>1259.6435944222851</v>
      </c>
      <c r="J148" s="525"/>
      <c r="K148" s="504"/>
      <c r="L148" s="517">
        <v>929.09699999999998</v>
      </c>
      <c r="M148" s="525"/>
      <c r="N148" s="545">
        <v>-330.54659442228512</v>
      </c>
      <c r="O148" s="525"/>
      <c r="P148" s="504"/>
      <c r="Q148" s="517">
        <v>901.53</v>
      </c>
      <c r="R148" s="525"/>
      <c r="S148" s="567">
        <v>27.567000000000007</v>
      </c>
      <c r="T148" s="565"/>
      <c r="U148" s="504"/>
      <c r="V148" s="504"/>
      <c r="W148" s="504"/>
      <c r="X148" s="504"/>
      <c r="Y148" s="504"/>
      <c r="Z148" s="504"/>
      <c r="AA148" s="504"/>
      <c r="AB148" s="504"/>
      <c r="AC148" s="50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</row>
    <row r="149" spans="1:40" ht="15.75" hidden="1" customHeight="1">
      <c r="A149" s="493" t="s">
        <v>307</v>
      </c>
      <c r="B149" s="499" t="s">
        <v>74</v>
      </c>
      <c r="C149" s="513" t="s">
        <v>21</v>
      </c>
      <c r="D149" s="82"/>
      <c r="E149" s="504"/>
      <c r="F149" s="514">
        <v>0</v>
      </c>
      <c r="G149" s="84"/>
      <c r="H149" s="504"/>
      <c r="I149" s="514">
        <v>0</v>
      </c>
      <c r="J149" s="525"/>
      <c r="K149" s="504"/>
      <c r="L149" s="517">
        <v>0</v>
      </c>
      <c r="M149" s="525"/>
      <c r="N149" s="545">
        <v>0</v>
      </c>
      <c r="O149" s="525"/>
      <c r="P149" s="504"/>
      <c r="Q149" s="517">
        <v>0</v>
      </c>
      <c r="R149" s="525"/>
      <c r="S149" s="567">
        <v>0</v>
      </c>
      <c r="T149" s="504"/>
      <c r="U149" s="504"/>
      <c r="V149" s="504"/>
      <c r="W149" s="504"/>
      <c r="X149" s="504"/>
      <c r="Y149" s="504"/>
      <c r="Z149" s="504"/>
      <c r="AA149" s="504"/>
      <c r="AB149" s="504"/>
      <c r="AC149" s="50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</row>
    <row r="150" spans="1:40" ht="15.75" hidden="1" customHeight="1">
      <c r="A150" s="493" t="s">
        <v>307</v>
      </c>
      <c r="B150" s="499" t="s">
        <v>74</v>
      </c>
      <c r="C150" s="513" t="s">
        <v>21</v>
      </c>
      <c r="D150" s="82"/>
      <c r="E150" s="504"/>
      <c r="F150" s="514">
        <v>0</v>
      </c>
      <c r="G150" s="84"/>
      <c r="H150" s="504"/>
      <c r="I150" s="514">
        <v>0</v>
      </c>
      <c r="J150" s="525"/>
      <c r="K150" s="504"/>
      <c r="L150" s="517">
        <v>0</v>
      </c>
      <c r="M150" s="525"/>
      <c r="N150" s="545">
        <v>0</v>
      </c>
      <c r="O150" s="525"/>
      <c r="P150" s="504"/>
      <c r="Q150" s="517">
        <v>0</v>
      </c>
      <c r="R150" s="525"/>
      <c r="S150" s="567">
        <v>0</v>
      </c>
      <c r="T150" s="504"/>
      <c r="U150" s="504"/>
      <c r="V150" s="504"/>
      <c r="W150" s="504"/>
      <c r="X150" s="504"/>
      <c r="Y150" s="504"/>
      <c r="Z150" s="504"/>
      <c r="AA150" s="504"/>
      <c r="AB150" s="504"/>
      <c r="AC150" s="50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</row>
    <row r="151" spans="1:40" ht="15.75" hidden="1" customHeight="1">
      <c r="A151" s="493" t="s">
        <v>307</v>
      </c>
      <c r="B151" s="499" t="s">
        <v>74</v>
      </c>
      <c r="C151" s="513" t="s">
        <v>21</v>
      </c>
      <c r="D151" s="82"/>
      <c r="E151" s="504"/>
      <c r="F151" s="514">
        <v>0</v>
      </c>
      <c r="G151" s="84"/>
      <c r="H151" s="504"/>
      <c r="I151" s="514">
        <v>0</v>
      </c>
      <c r="J151" s="525"/>
      <c r="K151" s="504"/>
      <c r="L151" s="517">
        <v>0</v>
      </c>
      <c r="M151" s="525"/>
      <c r="N151" s="545">
        <v>0</v>
      </c>
      <c r="O151" s="525"/>
      <c r="P151" s="504"/>
      <c r="Q151" s="517">
        <v>0</v>
      </c>
      <c r="R151" s="525"/>
      <c r="S151" s="567">
        <v>0</v>
      </c>
      <c r="T151" s="565"/>
      <c r="U151" s="504"/>
      <c r="V151" s="504"/>
      <c r="W151" s="504"/>
      <c r="X151" s="504"/>
      <c r="Y151" s="504"/>
      <c r="Z151" s="504"/>
      <c r="AA151" s="504"/>
      <c r="AB151" s="504"/>
      <c r="AC151" s="50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</row>
    <row r="152" spans="1:40" ht="15.75" customHeight="1">
      <c r="A152" s="493" t="s">
        <v>332</v>
      </c>
      <c r="B152" s="499" t="s">
        <v>74</v>
      </c>
      <c r="C152" s="578" t="s">
        <v>65</v>
      </c>
      <c r="D152" s="97" t="s">
        <v>40</v>
      </c>
      <c r="E152" s="579">
        <v>4.6629523767015325E-2</v>
      </c>
      <c r="F152" s="580">
        <v>6881.2426005815141</v>
      </c>
      <c r="G152" s="100" t="s">
        <v>40</v>
      </c>
      <c r="H152" s="579">
        <v>4.6629523767015325E-2</v>
      </c>
      <c r="I152" s="580">
        <v>6881.2426005815141</v>
      </c>
      <c r="J152" s="100" t="s">
        <v>40</v>
      </c>
      <c r="K152" s="579">
        <v>3.9093614436476055E-2</v>
      </c>
      <c r="L152" s="580">
        <v>6343.2469999999985</v>
      </c>
      <c r="M152" s="583"/>
      <c r="N152" s="580">
        <v>-537.99560058151565</v>
      </c>
      <c r="O152" s="100" t="s">
        <v>40</v>
      </c>
      <c r="P152" s="579">
        <v>4.5263078484255363E-2</v>
      </c>
      <c r="Q152" s="580">
        <v>5051.9000000000005</v>
      </c>
      <c r="R152" s="583"/>
      <c r="S152" s="584">
        <v>1291.3469999999979</v>
      </c>
      <c r="T152" s="593"/>
      <c r="U152" s="504"/>
      <c r="V152" s="504"/>
      <c r="W152" s="504"/>
      <c r="X152" s="504"/>
      <c r="Y152" s="504"/>
      <c r="Z152" s="504"/>
      <c r="AA152" s="504"/>
      <c r="AB152" s="504"/>
      <c r="AC152" s="50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</row>
    <row r="153" spans="1:40" ht="15.75" customHeight="1">
      <c r="A153" s="493" t="s">
        <v>74</v>
      </c>
      <c r="B153" s="499" t="s">
        <v>74</v>
      </c>
      <c r="C153" s="568"/>
      <c r="D153" s="89"/>
      <c r="E153" s="592"/>
      <c r="F153" s="545"/>
      <c r="G153" s="91"/>
      <c r="H153" s="592"/>
      <c r="I153" s="545"/>
      <c r="J153" s="509"/>
      <c r="K153" s="592"/>
      <c r="L153" s="573"/>
      <c r="M153" s="509"/>
      <c r="N153" s="573"/>
      <c r="O153" s="509"/>
      <c r="P153" s="592"/>
      <c r="Q153" s="573"/>
      <c r="R153" s="509"/>
      <c r="S153" s="574"/>
      <c r="T153" s="593"/>
      <c r="U153" s="504"/>
      <c r="V153" s="504"/>
      <c r="W153" s="504"/>
      <c r="X153" s="504"/>
      <c r="Y153" s="504"/>
      <c r="Z153" s="504"/>
      <c r="AA153" s="504"/>
      <c r="AB153" s="504"/>
      <c r="AC153" s="50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</row>
    <row r="154" spans="1:40" ht="15.75" customHeight="1">
      <c r="A154" s="493" t="s">
        <v>333</v>
      </c>
      <c r="B154" s="499" t="s">
        <v>74</v>
      </c>
      <c r="C154" s="578" t="s">
        <v>66</v>
      </c>
      <c r="D154" s="97" t="s">
        <v>40</v>
      </c>
      <c r="E154" s="579">
        <v>0.70797768627192481</v>
      </c>
      <c r="F154" s="580">
        <v>104478.14649313834</v>
      </c>
      <c r="G154" s="100" t="s">
        <v>40</v>
      </c>
      <c r="H154" s="579">
        <v>0.70797768627192481</v>
      </c>
      <c r="I154" s="580">
        <v>104478.14649313834</v>
      </c>
      <c r="J154" s="100" t="s">
        <v>40</v>
      </c>
      <c r="K154" s="579">
        <v>0.58983130434096653</v>
      </c>
      <c r="L154" s="580">
        <v>95704.777000000016</v>
      </c>
      <c r="M154" s="583"/>
      <c r="N154" s="594">
        <v>-8773.3694931383216</v>
      </c>
      <c r="O154" s="100" t="s">
        <v>40</v>
      </c>
      <c r="P154" s="579">
        <v>0.79309794274698553</v>
      </c>
      <c r="Q154" s="580">
        <v>88519.199999999983</v>
      </c>
      <c r="R154" s="583"/>
      <c r="S154" s="595">
        <v>7185.5770000000339</v>
      </c>
      <c r="T154" s="593"/>
      <c r="U154" s="504"/>
      <c r="V154" s="504"/>
      <c r="W154" s="504"/>
      <c r="X154" s="504"/>
      <c r="Y154" s="504"/>
      <c r="Z154" s="504"/>
      <c r="AA154" s="504"/>
      <c r="AB154" s="504"/>
      <c r="AC154" s="50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</row>
    <row r="155" spans="1:40" ht="15.75" customHeight="1">
      <c r="A155" s="493" t="s">
        <v>334</v>
      </c>
      <c r="B155" s="623" t="s">
        <v>74</v>
      </c>
      <c r="C155" s="513" t="s">
        <v>215</v>
      </c>
      <c r="D155" s="153"/>
      <c r="E155" s="624"/>
      <c r="F155" s="514">
        <v>0</v>
      </c>
      <c r="G155" s="155"/>
      <c r="H155" s="624"/>
      <c r="I155" s="514">
        <v>0</v>
      </c>
      <c r="J155" s="155"/>
      <c r="K155" s="624"/>
      <c r="L155" s="516">
        <v>0</v>
      </c>
      <c r="M155" s="525"/>
      <c r="N155" s="545">
        <v>0</v>
      </c>
      <c r="O155" s="155"/>
      <c r="P155" s="624"/>
      <c r="Q155" s="517">
        <v>0</v>
      </c>
      <c r="R155" s="525"/>
      <c r="S155" s="567">
        <v>0</v>
      </c>
      <c r="T155" s="593"/>
      <c r="U155" s="504"/>
      <c r="V155" s="504"/>
      <c r="W155" s="504"/>
      <c r="X155" s="504"/>
      <c r="Y155" s="504"/>
      <c r="Z155" s="504"/>
      <c r="AA155" s="504"/>
      <c r="AB155" s="504"/>
      <c r="AC155" s="50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</row>
    <row r="156" spans="1:40" ht="15.75" customHeight="1">
      <c r="A156" s="493" t="s">
        <v>335</v>
      </c>
      <c r="B156" s="499" t="s">
        <v>74</v>
      </c>
      <c r="C156" s="513" t="s">
        <v>82</v>
      </c>
      <c r="D156" s="153"/>
      <c r="E156" s="624"/>
      <c r="F156" s="514">
        <v>0</v>
      </c>
      <c r="G156" s="155"/>
      <c r="H156" s="624"/>
      <c r="I156" s="514">
        <v>0</v>
      </c>
      <c r="J156" s="155"/>
      <c r="K156" s="624"/>
      <c r="L156" s="517">
        <v>0</v>
      </c>
      <c r="M156" s="525"/>
      <c r="N156" s="545">
        <v>0</v>
      </c>
      <c r="O156" s="155"/>
      <c r="P156" s="624"/>
      <c r="Q156" s="517">
        <v>0</v>
      </c>
      <c r="R156" s="525"/>
      <c r="S156" s="567">
        <v>0</v>
      </c>
      <c r="T156" s="593"/>
      <c r="U156" s="504"/>
      <c r="V156" s="504"/>
      <c r="W156" s="504"/>
      <c r="X156" s="504"/>
      <c r="Y156" s="504"/>
      <c r="Z156" s="504"/>
      <c r="AA156" s="504"/>
      <c r="AB156" s="504"/>
      <c r="AC156" s="50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</row>
    <row r="157" spans="1:40" ht="15.75" customHeight="1">
      <c r="A157" s="493" t="s">
        <v>336</v>
      </c>
      <c r="B157" s="499" t="s">
        <v>74</v>
      </c>
      <c r="C157" s="513" t="s">
        <v>83</v>
      </c>
      <c r="D157" s="82"/>
      <c r="E157" s="504"/>
      <c r="F157" s="514">
        <v>0</v>
      </c>
      <c r="G157" s="84"/>
      <c r="H157" s="504"/>
      <c r="I157" s="514">
        <v>0</v>
      </c>
      <c r="J157" s="525"/>
      <c r="K157" s="504"/>
      <c r="L157" s="517">
        <v>0</v>
      </c>
      <c r="M157" s="525"/>
      <c r="N157" s="545">
        <v>0</v>
      </c>
      <c r="O157" s="525"/>
      <c r="P157" s="504"/>
      <c r="Q157" s="517">
        <v>0</v>
      </c>
      <c r="R157" s="525"/>
      <c r="S157" s="567">
        <v>0</v>
      </c>
      <c r="T157" s="593"/>
      <c r="U157" s="504"/>
      <c r="V157" s="504"/>
      <c r="W157" s="504"/>
      <c r="X157" s="504"/>
      <c r="Y157" s="504"/>
      <c r="Z157" s="504"/>
      <c r="AA157" s="504"/>
      <c r="AB157" s="504"/>
      <c r="AC157" s="50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</row>
    <row r="158" spans="1:40" ht="15.75" customHeight="1">
      <c r="A158" s="493" t="s">
        <v>337</v>
      </c>
      <c r="B158" s="499" t="s">
        <v>74</v>
      </c>
      <c r="C158" s="513" t="s">
        <v>71</v>
      </c>
      <c r="D158" s="82"/>
      <c r="E158" s="504"/>
      <c r="F158" s="514">
        <v>15976.463592233011</v>
      </c>
      <c r="G158" s="84"/>
      <c r="H158" s="504"/>
      <c r="I158" s="514">
        <v>15976.463592233011</v>
      </c>
      <c r="J158" s="525">
        <v>27.115288220551378</v>
      </c>
      <c r="K158" s="504">
        <v>0.87468671679197996</v>
      </c>
      <c r="L158" s="516">
        <v>10819</v>
      </c>
      <c r="M158" s="525"/>
      <c r="N158" s="545">
        <v>-5157.4635922330108</v>
      </c>
      <c r="O158" s="525"/>
      <c r="P158" s="504"/>
      <c r="Q158" s="517">
        <v>14309</v>
      </c>
      <c r="R158" s="525"/>
      <c r="S158" s="567">
        <v>-3490</v>
      </c>
      <c r="T158" s="593"/>
      <c r="U158" s="504"/>
      <c r="V158" s="504"/>
      <c r="W158" s="504"/>
      <c r="X158" s="504"/>
      <c r="Y158" s="504"/>
      <c r="Z158" s="504"/>
      <c r="AA158" s="504"/>
      <c r="AB158" s="504"/>
      <c r="AC158" s="50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</row>
    <row r="159" spans="1:40" ht="15.75" hidden="1" customHeight="1">
      <c r="A159" s="493" t="s">
        <v>307</v>
      </c>
      <c r="B159" s="499" t="s">
        <v>74</v>
      </c>
      <c r="C159" s="513" t="s">
        <v>21</v>
      </c>
      <c r="D159" s="82"/>
      <c r="E159" s="504"/>
      <c r="F159" s="514">
        <v>0</v>
      </c>
      <c r="G159" s="84"/>
      <c r="H159" s="504"/>
      <c r="I159" s="514">
        <v>0</v>
      </c>
      <c r="J159" s="525"/>
      <c r="K159" s="504"/>
      <c r="L159" s="516">
        <v>0</v>
      </c>
      <c r="M159" s="525"/>
      <c r="N159" s="545">
        <v>0</v>
      </c>
      <c r="O159" s="525"/>
      <c r="P159" s="504"/>
      <c r="Q159" s="517">
        <v>0</v>
      </c>
      <c r="R159" s="525"/>
      <c r="S159" s="567">
        <v>0</v>
      </c>
      <c r="T159" s="593"/>
      <c r="U159" s="504"/>
      <c r="V159" s="504"/>
      <c r="W159" s="504"/>
      <c r="X159" s="504"/>
      <c r="Y159" s="504"/>
      <c r="Z159" s="504"/>
      <c r="AA159" s="504"/>
      <c r="AB159" s="504"/>
      <c r="AC159" s="50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</row>
    <row r="160" spans="1:40" ht="15.75" hidden="1" customHeight="1">
      <c r="A160" s="493" t="s">
        <v>307</v>
      </c>
      <c r="B160" s="499" t="s">
        <v>74</v>
      </c>
      <c r="C160" s="513" t="s">
        <v>21</v>
      </c>
      <c r="D160" s="82"/>
      <c r="E160" s="504"/>
      <c r="F160" s="514">
        <v>0</v>
      </c>
      <c r="G160" s="84"/>
      <c r="H160" s="504"/>
      <c r="I160" s="514">
        <v>0</v>
      </c>
      <c r="J160" s="525"/>
      <c r="K160" s="504"/>
      <c r="L160" s="516">
        <v>0</v>
      </c>
      <c r="M160" s="525"/>
      <c r="N160" s="545">
        <v>0</v>
      </c>
      <c r="O160" s="525"/>
      <c r="P160" s="504"/>
      <c r="Q160" s="517">
        <v>0</v>
      </c>
      <c r="R160" s="525"/>
      <c r="S160" s="567">
        <v>0</v>
      </c>
      <c r="T160" s="593"/>
      <c r="U160" s="504"/>
      <c r="V160" s="504"/>
      <c r="W160" s="504"/>
      <c r="X160" s="504"/>
      <c r="Y160" s="504"/>
      <c r="Z160" s="504"/>
      <c r="AA160" s="504"/>
      <c r="AB160" s="504"/>
      <c r="AC160" s="50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</row>
    <row r="161" spans="1:40" ht="15.75" hidden="1" customHeight="1">
      <c r="A161" s="493" t="s">
        <v>307</v>
      </c>
      <c r="B161" s="499" t="s">
        <v>74</v>
      </c>
      <c r="C161" s="568" t="s">
        <v>21</v>
      </c>
      <c r="D161" s="89"/>
      <c r="E161" s="592"/>
      <c r="F161" s="514">
        <v>0</v>
      </c>
      <c r="G161" s="84"/>
      <c r="H161" s="504"/>
      <c r="I161" s="514">
        <v>0</v>
      </c>
      <c r="J161" s="525"/>
      <c r="K161" s="504"/>
      <c r="L161" s="516">
        <v>0</v>
      </c>
      <c r="M161" s="525"/>
      <c r="N161" s="545">
        <v>0</v>
      </c>
      <c r="O161" s="525"/>
      <c r="P161" s="504"/>
      <c r="Q161" s="517">
        <v>0</v>
      </c>
      <c r="R161" s="525"/>
      <c r="S161" s="567">
        <v>0</v>
      </c>
      <c r="T161" s="593"/>
      <c r="U161" s="504"/>
      <c r="V161" s="504"/>
      <c r="W161" s="504"/>
      <c r="X161" s="504"/>
      <c r="Y161" s="504"/>
      <c r="Z161" s="504"/>
      <c r="AA161" s="504"/>
      <c r="AB161" s="504"/>
      <c r="AC161" s="50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</row>
    <row r="162" spans="1:40" ht="15.75" customHeight="1">
      <c r="B162" s="499"/>
      <c r="C162" s="578" t="s">
        <v>72</v>
      </c>
      <c r="D162" s="97"/>
      <c r="E162" s="579"/>
      <c r="F162" s="580">
        <v>15976.463592233011</v>
      </c>
      <c r="G162" s="100"/>
      <c r="H162" s="579"/>
      <c r="I162" s="580">
        <v>15976.463592233011</v>
      </c>
      <c r="J162" s="100"/>
      <c r="K162" s="579"/>
      <c r="L162" s="580">
        <v>10819</v>
      </c>
      <c r="M162" s="583"/>
      <c r="N162" s="580">
        <v>0</v>
      </c>
      <c r="O162" s="100"/>
      <c r="P162" s="579"/>
      <c r="Q162" s="580">
        <v>14309</v>
      </c>
      <c r="R162" s="583"/>
      <c r="S162" s="584">
        <v>-3490</v>
      </c>
      <c r="T162" s="593"/>
      <c r="U162" s="504"/>
      <c r="V162" s="504"/>
      <c r="W162" s="504"/>
      <c r="X162" s="504"/>
      <c r="Y162" s="504"/>
      <c r="Z162" s="504"/>
      <c r="AA162" s="504"/>
      <c r="AB162" s="504"/>
      <c r="AC162" s="50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</row>
    <row r="163" spans="1:40" ht="15.75" customHeight="1">
      <c r="B163" s="499"/>
      <c r="C163" s="513"/>
      <c r="D163" s="82"/>
      <c r="E163" s="504"/>
      <c r="F163" s="545"/>
      <c r="G163" s="84"/>
      <c r="H163" s="504"/>
      <c r="I163" s="545"/>
      <c r="J163" s="525"/>
      <c r="K163" s="504"/>
      <c r="L163" s="545"/>
      <c r="M163" s="525"/>
      <c r="N163" s="545"/>
      <c r="O163" s="525"/>
      <c r="P163" s="504"/>
      <c r="Q163" s="545"/>
      <c r="R163" s="525"/>
      <c r="S163" s="567"/>
      <c r="T163" s="624"/>
      <c r="U163" s="504"/>
      <c r="V163" s="504"/>
      <c r="W163" s="504"/>
      <c r="X163" s="504"/>
      <c r="Y163" s="504"/>
      <c r="Z163" s="504"/>
      <c r="AA163" s="504"/>
      <c r="AB163" s="504"/>
      <c r="AC163" s="50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</row>
    <row r="164" spans="1:40" ht="15.75" customHeight="1" thickBot="1">
      <c r="B164" s="499"/>
      <c r="C164" s="605" t="s">
        <v>73</v>
      </c>
      <c r="D164" s="156"/>
      <c r="E164" s="606"/>
      <c r="F164" s="608">
        <v>59070.971603645936</v>
      </c>
      <c r="G164" s="157"/>
      <c r="H164" s="606"/>
      <c r="I164" s="608">
        <v>59070.971603645936</v>
      </c>
      <c r="J164" s="625"/>
      <c r="K164" s="607"/>
      <c r="L164" s="608">
        <v>77372.102999999959</v>
      </c>
      <c r="M164" s="625"/>
      <c r="N164" s="608">
        <v>18301.131396354023</v>
      </c>
      <c r="O164" s="625"/>
      <c r="P164" s="607"/>
      <c r="Q164" s="608">
        <v>37401.74000000002</v>
      </c>
      <c r="R164" s="625"/>
      <c r="S164" s="610">
        <v>39970.362999999939</v>
      </c>
      <c r="T164" s="565"/>
      <c r="U164" s="504"/>
      <c r="V164" s="504"/>
      <c r="W164" s="504"/>
      <c r="X164" s="504"/>
      <c r="Y164" s="504"/>
      <c r="Z164" s="504"/>
      <c r="AA164" s="504"/>
      <c r="AB164" s="504"/>
      <c r="AC164" s="50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</row>
    <row r="165" spans="1:40" ht="15.75" customHeight="1" thickTop="1">
      <c r="B165" s="499"/>
      <c r="C165" s="498"/>
      <c r="D165" s="498"/>
      <c r="E165" s="498"/>
      <c r="F165" s="498"/>
      <c r="G165" s="498"/>
      <c r="H165" s="498"/>
      <c r="I165" s="498"/>
      <c r="J165" s="498"/>
      <c r="K165" s="498"/>
      <c r="L165" s="626"/>
      <c r="M165" s="498"/>
      <c r="N165" s="498"/>
      <c r="O165" s="498"/>
      <c r="P165" s="498"/>
      <c r="Q165" s="498"/>
      <c r="R165" s="498"/>
      <c r="S165" s="498"/>
      <c r="T165" s="626"/>
      <c r="U165" s="498"/>
      <c r="V165" s="504"/>
      <c r="W165" s="504"/>
      <c r="X165" s="504"/>
      <c r="Y165" s="504"/>
      <c r="Z165" s="504"/>
      <c r="AA165" s="504"/>
      <c r="AB165" s="504"/>
      <c r="AC165" s="50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</row>
    <row r="166" spans="1:40" ht="15.75" customHeight="1">
      <c r="B166" s="499"/>
      <c r="C166" s="498"/>
      <c r="D166" s="498"/>
      <c r="E166" s="498"/>
      <c r="F166" s="498"/>
      <c r="G166" s="498"/>
      <c r="H166" s="498"/>
      <c r="I166" s="498"/>
      <c r="J166" s="498"/>
      <c r="K166" s="498"/>
      <c r="L166" s="498"/>
      <c r="M166" s="498"/>
      <c r="N166" s="498"/>
      <c r="O166" s="498"/>
      <c r="P166" s="498"/>
      <c r="Q166" s="498"/>
      <c r="R166" s="498"/>
      <c r="S166" s="498"/>
      <c r="T166" s="626"/>
      <c r="U166" s="498"/>
      <c r="V166" s="498"/>
      <c r="W166" s="498"/>
      <c r="X166" s="498"/>
      <c r="Y166" s="498"/>
      <c r="Z166" s="498"/>
      <c r="AA166" s="498"/>
      <c r="AB166" s="498"/>
      <c r="AC166" s="498"/>
      <c r="AD166" s="498"/>
      <c r="AE166" s="498"/>
      <c r="AF166" s="498"/>
      <c r="AG166" s="498"/>
      <c r="AH166" s="498"/>
      <c r="AI166" s="498"/>
      <c r="AJ166" s="498"/>
      <c r="AK166" s="498"/>
      <c r="AL166" s="498"/>
      <c r="AM166" s="498"/>
      <c r="AN166" s="498"/>
    </row>
    <row r="167" spans="1:40" ht="33.75" customHeight="1">
      <c r="B167" s="499"/>
      <c r="C167" s="496" t="s">
        <v>228</v>
      </c>
      <c r="D167" s="2"/>
      <c r="E167" s="2"/>
      <c r="F167" s="2"/>
      <c r="G167" s="2"/>
      <c r="H167" s="494"/>
      <c r="I167" s="494"/>
      <c r="J167" s="494"/>
      <c r="K167" s="3" t="s">
        <v>84</v>
      </c>
      <c r="L167" s="2"/>
      <c r="M167" s="2"/>
      <c r="N167" s="494"/>
      <c r="O167" s="494"/>
      <c r="P167" s="2"/>
      <c r="Q167" s="494"/>
      <c r="R167" s="2"/>
      <c r="S167" s="5" t="s">
        <v>229</v>
      </c>
      <c r="T167" s="2"/>
      <c r="U167" s="496"/>
      <c r="V167" s="498"/>
      <c r="W167" s="498"/>
      <c r="X167" s="498"/>
      <c r="Y167" s="498"/>
      <c r="Z167" s="498"/>
      <c r="AA167" s="498"/>
      <c r="AB167" s="498"/>
      <c r="AC167" s="498"/>
      <c r="AD167" s="498"/>
      <c r="AE167" s="498"/>
      <c r="AF167" s="498"/>
      <c r="AG167" s="498"/>
      <c r="AH167" s="498"/>
      <c r="AI167" s="498"/>
      <c r="AJ167" s="498"/>
      <c r="AK167" s="498"/>
      <c r="AL167" s="498"/>
      <c r="AM167" s="498"/>
      <c r="AN167" s="498"/>
    </row>
    <row r="168" spans="1:40" ht="15.75" customHeight="1" thickBot="1">
      <c r="B168" s="499"/>
      <c r="C168" s="8"/>
      <c r="D168" s="498"/>
      <c r="E168" s="498"/>
      <c r="F168" s="498"/>
      <c r="G168" s="498"/>
      <c r="H168" s="498"/>
      <c r="I168" s="498"/>
      <c r="J168" s="498"/>
      <c r="K168" s="498"/>
      <c r="L168" s="498"/>
      <c r="M168" s="498"/>
      <c r="N168" s="498"/>
      <c r="O168" s="498"/>
      <c r="P168" s="498"/>
      <c r="Q168" s="498"/>
      <c r="R168" s="498"/>
      <c r="S168" s="498"/>
      <c r="T168" s="498"/>
      <c r="U168" s="498"/>
      <c r="V168" s="496"/>
      <c r="W168" s="496"/>
      <c r="X168" s="496"/>
      <c r="Y168" s="496"/>
      <c r="Z168" s="496"/>
      <c r="AA168" s="496"/>
      <c r="AB168" s="496"/>
      <c r="AC168" s="496"/>
      <c r="AD168" s="496"/>
      <c r="AE168" s="496"/>
      <c r="AF168" s="496"/>
      <c r="AG168" s="496"/>
      <c r="AH168" s="496"/>
      <c r="AI168" s="496"/>
      <c r="AJ168" s="496"/>
      <c r="AK168" s="496"/>
      <c r="AL168" s="496"/>
      <c r="AM168" s="496"/>
      <c r="AN168" s="496"/>
    </row>
    <row r="169" spans="1:40" ht="15.75" customHeight="1" thickTop="1">
      <c r="B169" s="499"/>
      <c r="C169" s="500"/>
      <c r="D169" s="488" t="s">
        <v>5</v>
      </c>
      <c r="E169" s="501"/>
      <c r="F169" s="502"/>
      <c r="G169" s="489" t="s">
        <v>75</v>
      </c>
      <c r="H169" s="501"/>
      <c r="I169" s="502"/>
      <c r="J169" s="489" t="s">
        <v>7</v>
      </c>
      <c r="K169" s="501"/>
      <c r="L169" s="502"/>
      <c r="M169" s="489" t="s">
        <v>8</v>
      </c>
      <c r="N169" s="502"/>
      <c r="O169" s="488" t="s">
        <v>9</v>
      </c>
      <c r="P169" s="501"/>
      <c r="Q169" s="502"/>
      <c r="R169" s="489" t="s">
        <v>10</v>
      </c>
      <c r="S169" s="503"/>
      <c r="T169" s="153"/>
      <c r="U169" s="504"/>
      <c r="V169" s="498"/>
      <c r="W169" s="498"/>
      <c r="X169" s="498"/>
      <c r="Y169" s="498"/>
      <c r="Z169" s="498"/>
      <c r="AA169" s="498"/>
      <c r="AB169" s="498"/>
      <c r="AC169" s="498"/>
      <c r="AD169" s="498"/>
      <c r="AE169" s="498"/>
      <c r="AF169" s="498"/>
      <c r="AG169" s="498"/>
      <c r="AH169" s="498"/>
      <c r="AI169" s="498"/>
      <c r="AJ169" s="498"/>
      <c r="AK169" s="498"/>
      <c r="AL169" s="498"/>
      <c r="AM169" s="498"/>
      <c r="AN169" s="498"/>
    </row>
    <row r="170" spans="1:40" ht="15.75" customHeight="1">
      <c r="A170" s="493" t="s">
        <v>84</v>
      </c>
      <c r="B170" s="499" t="s">
        <v>84</v>
      </c>
      <c r="C170" s="513"/>
      <c r="D170" s="81" t="s">
        <v>41</v>
      </c>
      <c r="E170" s="81" t="s">
        <v>85</v>
      </c>
      <c r="F170" s="137" t="s">
        <v>13</v>
      </c>
      <c r="G170" s="138" t="s">
        <v>41</v>
      </c>
      <c r="H170" s="81" t="s">
        <v>85</v>
      </c>
      <c r="I170" s="137" t="s">
        <v>13</v>
      </c>
      <c r="J170" s="138" t="s">
        <v>41</v>
      </c>
      <c r="K170" s="81" t="s">
        <v>85</v>
      </c>
      <c r="L170" s="137" t="s">
        <v>13</v>
      </c>
      <c r="M170" s="138" t="s">
        <v>41</v>
      </c>
      <c r="N170" s="137" t="s">
        <v>13</v>
      </c>
      <c r="O170" s="81" t="s">
        <v>41</v>
      </c>
      <c r="P170" s="81" t="s">
        <v>85</v>
      </c>
      <c r="Q170" s="137" t="s">
        <v>13</v>
      </c>
      <c r="R170" s="138" t="s">
        <v>86</v>
      </c>
      <c r="S170" s="139" t="s">
        <v>13</v>
      </c>
      <c r="T170" s="81"/>
      <c r="U170" s="504"/>
      <c r="V170" s="504"/>
      <c r="W170" s="504"/>
      <c r="X170" s="504"/>
      <c r="Y170" s="504"/>
      <c r="Z170" s="504"/>
      <c r="AA170" s="504"/>
      <c r="AB170" s="504"/>
      <c r="AC170" s="50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</row>
    <row r="171" spans="1:40" ht="15.75" customHeight="1">
      <c r="A171" s="493" t="s">
        <v>338</v>
      </c>
      <c r="B171" s="499" t="s">
        <v>84</v>
      </c>
      <c r="C171" s="513" t="s">
        <v>87</v>
      </c>
      <c r="D171" s="504">
        <v>780.39106378604095</v>
      </c>
      <c r="E171" s="565">
        <v>193536.98381893817</v>
      </c>
      <c r="F171" s="565">
        <v>145346.27484802256</v>
      </c>
      <c r="G171" s="627">
        <v>780.39106378604095</v>
      </c>
      <c r="H171" s="565">
        <v>193536.98381893817</v>
      </c>
      <c r="I171" s="565">
        <v>145346.27484802256</v>
      </c>
      <c r="J171" s="546">
        <v>722</v>
      </c>
      <c r="K171" s="514">
        <v>186459.34999999998</v>
      </c>
      <c r="L171" s="517">
        <v>144226.19999999998</v>
      </c>
      <c r="M171" s="628">
        <v>-3.6569929319347105E-2</v>
      </c>
      <c r="N171" s="545">
        <v>-1120.0748480225739</v>
      </c>
      <c r="O171" s="546">
        <v>820</v>
      </c>
      <c r="P171" s="514">
        <v>173627.53</v>
      </c>
      <c r="Q171" s="517">
        <v>128966.68999999999</v>
      </c>
      <c r="R171" s="628">
        <v>0.88048780487804879</v>
      </c>
      <c r="S171" s="567">
        <v>15259.509999999995</v>
      </c>
      <c r="T171" s="565"/>
      <c r="U171" s="504"/>
      <c r="V171" s="504"/>
      <c r="W171" s="504"/>
      <c r="X171" s="504"/>
      <c r="Y171" s="504"/>
      <c r="Z171" s="504"/>
      <c r="AA171" s="504"/>
      <c r="AB171" s="504"/>
      <c r="AC171" s="50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</row>
    <row r="172" spans="1:40" ht="15.75" customHeight="1">
      <c r="A172" s="493" t="s">
        <v>339</v>
      </c>
      <c r="B172" s="499" t="s">
        <v>84</v>
      </c>
      <c r="C172" s="513" t="s">
        <v>88</v>
      </c>
      <c r="D172" s="504"/>
      <c r="E172" s="618"/>
      <c r="F172" s="629">
        <v>0.751</v>
      </c>
      <c r="G172" s="525"/>
      <c r="H172" s="618"/>
      <c r="I172" s="629">
        <v>0.751</v>
      </c>
      <c r="J172" s="546"/>
      <c r="K172" s="504"/>
      <c r="L172" s="629">
        <v>0.773499424941683</v>
      </c>
      <c r="M172" s="628"/>
      <c r="N172" s="545"/>
      <c r="O172" s="546"/>
      <c r="P172" s="504"/>
      <c r="Q172" s="629">
        <v>0.74277788781537113</v>
      </c>
      <c r="R172" s="546"/>
      <c r="S172" s="567"/>
      <c r="T172" s="565"/>
      <c r="U172" s="504"/>
      <c r="V172" s="504"/>
      <c r="W172" s="504"/>
      <c r="X172" s="504"/>
      <c r="Y172" s="504"/>
      <c r="Z172" s="504"/>
      <c r="AA172" s="504"/>
      <c r="AB172" s="504"/>
      <c r="AC172" s="50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</row>
    <row r="173" spans="1:40" ht="15.75" customHeight="1">
      <c r="A173" s="493" t="s">
        <v>84</v>
      </c>
      <c r="B173" s="499" t="s">
        <v>84</v>
      </c>
      <c r="C173" s="568"/>
      <c r="D173" s="592"/>
      <c r="E173" s="630">
        <v>248.00000000000003</v>
      </c>
      <c r="F173" s="631"/>
      <c r="G173" s="509"/>
      <c r="H173" s="630">
        <v>248.00000000000003</v>
      </c>
      <c r="I173" s="631"/>
      <c r="J173" s="632"/>
      <c r="K173" s="633">
        <v>258.253947368421</v>
      </c>
      <c r="L173" s="631"/>
      <c r="M173" s="634"/>
      <c r="N173" s="573"/>
      <c r="O173" s="632"/>
      <c r="P173" s="633">
        <v>211.74089024390244</v>
      </c>
      <c r="Q173" s="631"/>
      <c r="R173" s="632"/>
      <c r="S173" s="574"/>
      <c r="T173" s="565"/>
      <c r="U173" s="504"/>
      <c r="V173" s="504"/>
      <c r="W173" s="504"/>
      <c r="X173" s="504"/>
      <c r="Y173" s="504"/>
      <c r="Z173" s="504"/>
      <c r="AA173" s="504"/>
      <c r="AB173" s="504"/>
      <c r="AC173" s="50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</row>
    <row r="174" spans="1:40" ht="18" customHeight="1">
      <c r="A174" s="493" t="s">
        <v>340</v>
      </c>
      <c r="B174" s="499" t="s">
        <v>84</v>
      </c>
      <c r="C174" s="506" t="s">
        <v>89</v>
      </c>
      <c r="D174" s="635">
        <v>304.3128967944462</v>
      </c>
      <c r="E174" s="565">
        <v>60283.662937189707</v>
      </c>
      <c r="F174" s="565">
        <v>42466.89321878233</v>
      </c>
      <c r="G174" s="636">
        <v>304.3128967944462</v>
      </c>
      <c r="H174" s="565">
        <v>60283.662937189707</v>
      </c>
      <c r="I174" s="565">
        <v>42466.89321878233</v>
      </c>
      <c r="J174" s="636">
        <v>314</v>
      </c>
      <c r="K174" s="637">
        <v>31594.47</v>
      </c>
      <c r="L174" s="517">
        <v>23213.620000000003</v>
      </c>
      <c r="M174" s="628">
        <v>-0.47590328024827111</v>
      </c>
      <c r="N174" s="590">
        <v>-19253.273218782328</v>
      </c>
      <c r="O174" s="636">
        <v>230</v>
      </c>
      <c r="P174" s="637">
        <v>56115.18</v>
      </c>
      <c r="Q174" s="517">
        <v>38906.18</v>
      </c>
      <c r="R174" s="628">
        <v>1.3652173913043477</v>
      </c>
      <c r="S174" s="567">
        <v>-15692.559999999998</v>
      </c>
      <c r="T174" s="565"/>
      <c r="U174" s="504"/>
      <c r="V174" s="504"/>
      <c r="W174" s="504"/>
      <c r="X174" s="504"/>
      <c r="Y174" s="504"/>
      <c r="Z174" s="504"/>
      <c r="AA174" s="504"/>
      <c r="AB174" s="504"/>
      <c r="AC174" s="50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</row>
    <row r="175" spans="1:40" ht="15.75" customHeight="1">
      <c r="A175" s="493" t="s">
        <v>339</v>
      </c>
      <c r="B175" s="499" t="s">
        <v>84</v>
      </c>
      <c r="C175" s="513" t="s">
        <v>88</v>
      </c>
      <c r="D175" s="504"/>
      <c r="E175" s="504"/>
      <c r="F175" s="629">
        <v>0.70445110913431241</v>
      </c>
      <c r="G175" s="525"/>
      <c r="H175" s="504"/>
      <c r="I175" s="629">
        <v>0.70445110913431241</v>
      </c>
      <c r="J175" s="525"/>
      <c r="K175" s="504"/>
      <c r="L175" s="629">
        <v>0.73473680678928943</v>
      </c>
      <c r="M175" s="526"/>
      <c r="N175" s="527"/>
      <c r="O175" s="525"/>
      <c r="P175" s="504"/>
      <c r="Q175" s="629">
        <v>0.69332718882840616</v>
      </c>
      <c r="R175" s="526"/>
      <c r="S175" s="528"/>
      <c r="T175" s="504"/>
      <c r="U175" s="504"/>
      <c r="V175" s="504"/>
      <c r="W175" s="504"/>
      <c r="X175" s="504"/>
      <c r="Y175" s="504"/>
      <c r="Z175" s="504"/>
      <c r="AA175" s="504"/>
      <c r="AB175" s="504"/>
      <c r="AC175" s="50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</row>
    <row r="176" spans="1:40" ht="15.75" customHeight="1">
      <c r="A176" s="493" t="s">
        <v>84</v>
      </c>
      <c r="B176" s="499" t="s">
        <v>84</v>
      </c>
      <c r="C176" s="568"/>
      <c r="D176" s="592"/>
      <c r="E176" s="592"/>
      <c r="F176" s="631"/>
      <c r="G176" s="509"/>
      <c r="H176" s="592"/>
      <c r="I176" s="631"/>
      <c r="J176" s="509"/>
      <c r="K176" s="638"/>
      <c r="L176" s="631"/>
      <c r="M176" s="639"/>
      <c r="N176" s="640"/>
      <c r="O176" s="509"/>
      <c r="P176" s="638"/>
      <c r="Q176" s="631"/>
      <c r="R176" s="639"/>
      <c r="S176" s="641"/>
      <c r="T176" s="504"/>
      <c r="U176" s="504"/>
      <c r="V176" s="504"/>
      <c r="W176" s="504"/>
      <c r="X176" s="504"/>
      <c r="Y176" s="504"/>
      <c r="Z176" s="504"/>
      <c r="AA176" s="504"/>
      <c r="AB176" s="504"/>
      <c r="AC176" s="50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</row>
    <row r="177" spans="1:40" ht="15.75" customHeight="1">
      <c r="A177" s="493" t="s">
        <v>341</v>
      </c>
      <c r="B177" s="499" t="s">
        <v>84</v>
      </c>
      <c r="C177" s="513" t="s">
        <v>90</v>
      </c>
      <c r="D177" s="504">
        <v>277.38973639893936</v>
      </c>
      <c r="E177" s="565">
        <v>59746.076150520035</v>
      </c>
      <c r="F177" s="565">
        <v>44077.193732582433</v>
      </c>
      <c r="G177" s="525">
        <v>277.38973639893936</v>
      </c>
      <c r="H177" s="565">
        <v>59746.076150520035</v>
      </c>
      <c r="I177" s="565">
        <v>44077.193732582433</v>
      </c>
      <c r="J177" s="546">
        <v>181</v>
      </c>
      <c r="K177" s="637">
        <v>42284.62</v>
      </c>
      <c r="L177" s="517">
        <v>29239.570000000003</v>
      </c>
      <c r="M177" s="628">
        <v>-0.29226113705825429</v>
      </c>
      <c r="N177" s="545">
        <v>-14837.62373258243</v>
      </c>
      <c r="O177" s="546">
        <v>317</v>
      </c>
      <c r="P177" s="637">
        <v>62309.52</v>
      </c>
      <c r="Q177" s="517">
        <v>45044.54</v>
      </c>
      <c r="R177" s="628">
        <v>0.57097791798107256</v>
      </c>
      <c r="S177" s="567">
        <v>-15804.969999999998</v>
      </c>
      <c r="T177" s="565"/>
      <c r="U177" s="504"/>
      <c r="V177" s="504"/>
      <c r="W177" s="504"/>
      <c r="X177" s="504"/>
      <c r="Y177" s="504"/>
      <c r="Z177" s="504"/>
      <c r="AA177" s="504"/>
      <c r="AB177" s="504"/>
      <c r="AC177" s="50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</row>
    <row r="178" spans="1:40" ht="15.75" customHeight="1">
      <c r="A178" s="493" t="s">
        <v>339</v>
      </c>
      <c r="B178" s="499" t="s">
        <v>84</v>
      </c>
      <c r="C178" s="513" t="s">
        <v>88</v>
      </c>
      <c r="D178" s="504"/>
      <c r="E178" s="618"/>
      <c r="F178" s="629">
        <v>0.73774206730392589</v>
      </c>
      <c r="G178" s="525"/>
      <c r="H178" s="618"/>
      <c r="I178" s="629">
        <v>0.73774206730392589</v>
      </c>
      <c r="J178" s="546"/>
      <c r="K178" s="618"/>
      <c r="L178" s="629">
        <v>0.69149421231644037</v>
      </c>
      <c r="M178" s="628"/>
      <c r="N178" s="545">
        <v>-4.6247854987485515E-2</v>
      </c>
      <c r="O178" s="546"/>
      <c r="P178" s="618"/>
      <c r="Q178" s="629">
        <v>0.72291585619661336</v>
      </c>
      <c r="R178" s="546">
        <v>0</v>
      </c>
      <c r="S178" s="567"/>
      <c r="T178" s="565"/>
      <c r="U178" s="504"/>
      <c r="V178" s="504"/>
      <c r="W178" s="504"/>
      <c r="X178" s="504"/>
      <c r="Y178" s="504"/>
      <c r="Z178" s="504"/>
      <c r="AA178" s="504"/>
      <c r="AB178" s="504"/>
      <c r="AC178" s="50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</row>
    <row r="179" spans="1:40" ht="15.75" customHeight="1">
      <c r="A179" s="493" t="s">
        <v>84</v>
      </c>
      <c r="B179" s="499" t="s">
        <v>84</v>
      </c>
      <c r="C179" s="513"/>
      <c r="D179" s="504"/>
      <c r="E179" s="642"/>
      <c r="F179" s="643"/>
      <c r="G179" s="525"/>
      <c r="H179" s="642"/>
      <c r="I179" s="631"/>
      <c r="J179" s="546"/>
      <c r="K179" s="644"/>
      <c r="L179" s="629"/>
      <c r="M179" s="628"/>
      <c r="N179" s="545"/>
      <c r="O179" s="546"/>
      <c r="P179" s="644"/>
      <c r="Q179" s="629"/>
      <c r="R179" s="645"/>
      <c r="S179" s="567"/>
      <c r="T179" s="565"/>
      <c r="U179" s="504"/>
      <c r="V179" s="504"/>
      <c r="W179" s="504"/>
      <c r="X179" s="504"/>
      <c r="Y179" s="504"/>
      <c r="Z179" s="504"/>
      <c r="AA179" s="504"/>
      <c r="AB179" s="504"/>
      <c r="AC179" s="50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</row>
    <row r="180" spans="1:40" ht="15.75" customHeight="1">
      <c r="A180" s="493" t="s">
        <v>342</v>
      </c>
      <c r="B180" s="499" t="s">
        <v>84</v>
      </c>
      <c r="C180" s="506" t="s">
        <v>91</v>
      </c>
      <c r="D180" s="587">
        <v>0</v>
      </c>
      <c r="E180" s="565">
        <v>979.98152650783743</v>
      </c>
      <c r="F180" s="565">
        <v>370.5805667839951</v>
      </c>
      <c r="G180" s="588">
        <v>0</v>
      </c>
      <c r="H180" s="565">
        <v>979.98152650783743</v>
      </c>
      <c r="I180" s="565">
        <v>370.5805667839951</v>
      </c>
      <c r="J180" s="636">
        <v>0</v>
      </c>
      <c r="K180" s="637">
        <v>1905.7</v>
      </c>
      <c r="L180" s="589">
        <v>1833.81</v>
      </c>
      <c r="M180" s="646">
        <v>0.94462849395841053</v>
      </c>
      <c r="N180" s="590">
        <v>1463.229433216005</v>
      </c>
      <c r="O180" s="636">
        <v>0</v>
      </c>
      <c r="P180" s="637">
        <v>836.33</v>
      </c>
      <c r="Q180" s="589">
        <v>686.7</v>
      </c>
      <c r="R180" s="628">
        <v>0</v>
      </c>
      <c r="S180" s="591">
        <v>1147.1099999999999</v>
      </c>
      <c r="T180" s="565"/>
      <c r="U180" s="504"/>
      <c r="V180" s="504"/>
      <c r="W180" s="504"/>
      <c r="X180" s="504"/>
      <c r="Y180" s="504"/>
      <c r="Z180" s="504"/>
      <c r="AA180" s="504"/>
      <c r="AB180" s="504"/>
      <c r="AC180" s="50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</row>
    <row r="181" spans="1:40" ht="15.75" customHeight="1">
      <c r="A181" s="493" t="s">
        <v>339</v>
      </c>
      <c r="B181" s="499" t="s">
        <v>84</v>
      </c>
      <c r="C181" s="513" t="s">
        <v>88</v>
      </c>
      <c r="D181" s="562"/>
      <c r="E181" s="647"/>
      <c r="F181" s="629">
        <v>0.37815056382191031</v>
      </c>
      <c r="G181" s="564"/>
      <c r="H181" s="647"/>
      <c r="I181" s="629">
        <v>0.37815056382191031</v>
      </c>
      <c r="J181" s="648"/>
      <c r="K181" s="647">
        <v>0</v>
      </c>
      <c r="L181" s="629">
        <v>0.96227632890801273</v>
      </c>
      <c r="M181" s="546">
        <v>0</v>
      </c>
      <c r="N181" s="649"/>
      <c r="O181" s="648"/>
      <c r="P181" s="647">
        <v>0</v>
      </c>
      <c r="Q181" s="629">
        <v>0.82108736981813402</v>
      </c>
      <c r="R181" s="525"/>
      <c r="S181" s="650"/>
      <c r="T181" s="593"/>
      <c r="U181" s="504"/>
      <c r="V181" s="504"/>
      <c r="W181" s="504"/>
      <c r="X181" s="504"/>
      <c r="Y181" s="504"/>
      <c r="Z181" s="504"/>
      <c r="AA181" s="504"/>
      <c r="AB181" s="504"/>
      <c r="AC181" s="50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</row>
    <row r="182" spans="1:40" ht="15.75" customHeight="1">
      <c r="A182" s="493" t="s">
        <v>84</v>
      </c>
      <c r="B182" s="499" t="s">
        <v>84</v>
      </c>
      <c r="C182" s="568"/>
      <c r="D182" s="651"/>
      <c r="E182" s="652"/>
      <c r="F182" s="631"/>
      <c r="G182" s="653"/>
      <c r="H182" s="652"/>
      <c r="I182" s="631"/>
      <c r="J182" s="654"/>
      <c r="K182" s="510"/>
      <c r="L182" s="631"/>
      <c r="M182" s="632"/>
      <c r="N182" s="655"/>
      <c r="O182" s="654"/>
      <c r="P182" s="510"/>
      <c r="Q182" s="631"/>
      <c r="R182" s="509"/>
      <c r="S182" s="656"/>
      <c r="T182" s="593"/>
      <c r="U182" s="504"/>
      <c r="V182" s="504"/>
      <c r="W182" s="504"/>
      <c r="X182" s="504"/>
      <c r="Y182" s="504"/>
      <c r="Z182" s="504"/>
      <c r="AA182" s="504"/>
      <c r="AB182" s="504"/>
      <c r="AC182" s="50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</row>
    <row r="183" spans="1:40" ht="26.25" customHeight="1" thickBot="1">
      <c r="A183" s="493" t="s">
        <v>343</v>
      </c>
      <c r="B183" s="499" t="s">
        <v>84</v>
      </c>
      <c r="C183" s="513" t="s">
        <v>92</v>
      </c>
      <c r="D183" s="504"/>
      <c r="E183" s="504"/>
      <c r="F183" s="545">
        <v>-4802.576447707208</v>
      </c>
      <c r="G183" s="525"/>
      <c r="H183" s="565"/>
      <c r="I183" s="565">
        <v>-4802.576447707208</v>
      </c>
      <c r="J183" s="546"/>
      <c r="K183" s="565"/>
      <c r="L183" s="565">
        <v>0</v>
      </c>
      <c r="M183" s="648"/>
      <c r="N183" s="545">
        <v>4802.576447707208</v>
      </c>
      <c r="O183" s="546"/>
      <c r="P183" s="565"/>
      <c r="Q183" s="517">
        <v>-5050.3</v>
      </c>
      <c r="R183" s="657"/>
      <c r="S183" s="567">
        <v>5050.3</v>
      </c>
      <c r="T183" s="504"/>
      <c r="U183" s="504"/>
      <c r="V183" s="504"/>
      <c r="W183" s="504"/>
      <c r="X183" s="504"/>
      <c r="Y183" s="504"/>
      <c r="Z183" s="504"/>
      <c r="AA183" s="504"/>
      <c r="AB183" s="504"/>
      <c r="AC183" s="50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</row>
    <row r="184" spans="1:40" ht="15.75" customHeight="1" thickTop="1">
      <c r="A184" s="493" t="s">
        <v>344</v>
      </c>
      <c r="B184" s="499" t="s">
        <v>84</v>
      </c>
      <c r="C184" s="658" t="s">
        <v>93</v>
      </c>
      <c r="D184" s="659">
        <v>1362.0936969794266</v>
      </c>
      <c r="E184" s="659">
        <v>314546.70443315577</v>
      </c>
      <c r="F184" s="660">
        <v>227458.36591846409</v>
      </c>
      <c r="G184" s="661">
        <v>1362.0936969794266</v>
      </c>
      <c r="H184" s="659">
        <v>314546.70443315577</v>
      </c>
      <c r="I184" s="660">
        <v>227458.36591846409</v>
      </c>
      <c r="J184" s="661">
        <v>1217</v>
      </c>
      <c r="K184" s="659">
        <v>262244.13999999996</v>
      </c>
      <c r="L184" s="660">
        <v>198513.19999999998</v>
      </c>
      <c r="M184" s="662">
        <v>-0.16627916839062168</v>
      </c>
      <c r="N184" s="660">
        <v>-28945.165918464103</v>
      </c>
      <c r="O184" s="661">
        <v>1367</v>
      </c>
      <c r="P184" s="659">
        <v>292888.56</v>
      </c>
      <c r="Q184" s="660">
        <v>208553.81000000003</v>
      </c>
      <c r="R184" s="526">
        <v>0.89027066569129476</v>
      </c>
      <c r="S184" s="663">
        <v>-10040.610000000044</v>
      </c>
      <c r="T184" s="593"/>
      <c r="U184" s="504"/>
      <c r="V184" s="504"/>
      <c r="W184" s="504"/>
      <c r="X184" s="504"/>
      <c r="Y184" s="504"/>
      <c r="Z184" s="504"/>
      <c r="AA184" s="504"/>
      <c r="AB184" s="504"/>
      <c r="AC184" s="50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</row>
    <row r="185" spans="1:40" ht="15.75" customHeight="1">
      <c r="A185" s="493" t="s">
        <v>345</v>
      </c>
      <c r="B185" s="499" t="s">
        <v>84</v>
      </c>
      <c r="C185" s="664" t="s">
        <v>94</v>
      </c>
      <c r="D185" s="665"/>
      <c r="E185" s="665"/>
      <c r="F185" s="666">
        <v>0.72313065981208269</v>
      </c>
      <c r="G185" s="667"/>
      <c r="H185" s="665">
        <v>230.92883046936731</v>
      </c>
      <c r="I185" s="527">
        <v>0.72313065981208269</v>
      </c>
      <c r="J185" s="667"/>
      <c r="K185" s="668">
        <v>215.48409202958089</v>
      </c>
      <c r="L185" s="527">
        <v>0.75697859254357414</v>
      </c>
      <c r="M185" s="667"/>
      <c r="N185" s="666">
        <v>-0.12725478705338075</v>
      </c>
      <c r="O185" s="667"/>
      <c r="P185" s="668">
        <v>214.25644476956839</v>
      </c>
      <c r="Q185" s="527">
        <v>0.7120585727213109</v>
      </c>
      <c r="R185" s="667"/>
      <c r="S185" s="528">
        <v>-11278.154371405144</v>
      </c>
      <c r="T185" s="593"/>
      <c r="U185" s="504"/>
      <c r="V185" s="504"/>
      <c r="W185" s="504"/>
      <c r="X185" s="504"/>
      <c r="Y185" s="504"/>
      <c r="Z185" s="504"/>
      <c r="AA185" s="504"/>
      <c r="AB185" s="504"/>
      <c r="AC185" s="50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</row>
    <row r="186" spans="1:40" ht="15.75" customHeight="1">
      <c r="A186" s="493" t="s">
        <v>84</v>
      </c>
      <c r="B186" s="499" t="s">
        <v>84</v>
      </c>
      <c r="C186" s="519"/>
      <c r="D186" s="669"/>
      <c r="E186" s="670"/>
      <c r="F186" s="671"/>
      <c r="G186" s="672"/>
      <c r="H186" s="670"/>
      <c r="I186" s="671">
        <v>87088.338514691684</v>
      </c>
      <c r="J186" s="672"/>
      <c r="K186" s="670"/>
      <c r="L186" s="671">
        <v>63730.939999999973</v>
      </c>
      <c r="M186" s="672"/>
      <c r="N186" s="671"/>
      <c r="O186" s="672"/>
      <c r="P186" s="670"/>
      <c r="Q186" s="671"/>
      <c r="R186" s="672"/>
      <c r="S186" s="673"/>
      <c r="T186" s="593"/>
      <c r="U186" s="504"/>
      <c r="V186" s="504"/>
      <c r="W186" s="504"/>
      <c r="X186" s="504"/>
      <c r="Y186" s="504"/>
      <c r="Z186" s="504"/>
      <c r="AA186" s="504"/>
      <c r="AB186" s="504"/>
      <c r="AC186" s="50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</row>
    <row r="187" spans="1:40" ht="19.5" customHeight="1">
      <c r="A187" s="493" t="s">
        <v>346</v>
      </c>
      <c r="B187" s="499" t="s">
        <v>84</v>
      </c>
      <c r="C187" s="513" t="s">
        <v>95</v>
      </c>
      <c r="D187" s="565"/>
      <c r="E187" s="565">
        <v>34790.596683403084</v>
      </c>
      <c r="F187" s="565">
        <v>7623.5136434006663</v>
      </c>
      <c r="G187" s="546"/>
      <c r="H187" s="565">
        <v>34790.596683403084</v>
      </c>
      <c r="I187" s="565">
        <v>7623.5136434006663</v>
      </c>
      <c r="J187" s="546"/>
      <c r="K187" s="514">
        <v>20966.75</v>
      </c>
      <c r="L187" s="517">
        <v>5524.4500000000007</v>
      </c>
      <c r="M187" s="674">
        <v>-0.39734434017332548</v>
      </c>
      <c r="N187" s="545">
        <v>-2099.0636434006656</v>
      </c>
      <c r="O187" s="546"/>
      <c r="P187" s="514">
        <v>32741.24</v>
      </c>
      <c r="Q187" s="517">
        <v>7153.3900000000031</v>
      </c>
      <c r="R187" s="628">
        <v>0</v>
      </c>
      <c r="S187" s="567">
        <v>-1628.9400000000023</v>
      </c>
      <c r="T187" s="593"/>
      <c r="U187" s="504"/>
      <c r="V187" s="504"/>
      <c r="W187" s="504"/>
      <c r="X187" s="504"/>
      <c r="Y187" s="504"/>
      <c r="Z187" s="504"/>
      <c r="AA187" s="504"/>
      <c r="AB187" s="504"/>
      <c r="AC187" s="50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</row>
    <row r="188" spans="1:40" ht="21" customHeight="1">
      <c r="A188" s="493" t="s">
        <v>339</v>
      </c>
      <c r="B188" s="499" t="s">
        <v>84</v>
      </c>
      <c r="C188" s="513" t="s">
        <v>88</v>
      </c>
      <c r="D188" s="504"/>
      <c r="E188" s="618"/>
      <c r="F188" s="629">
        <v>0.21912569401367804</v>
      </c>
      <c r="G188" s="525"/>
      <c r="H188" s="618"/>
      <c r="I188" s="629">
        <v>0.21912569401367804</v>
      </c>
      <c r="J188" s="648"/>
      <c r="K188" s="647"/>
      <c r="L188" s="629">
        <v>0.26348623415646205</v>
      </c>
      <c r="M188" s="648"/>
      <c r="N188" s="649"/>
      <c r="O188" s="648"/>
      <c r="P188" s="647"/>
      <c r="Q188" s="629">
        <v>0.21848256205323935</v>
      </c>
      <c r="R188" s="648"/>
      <c r="S188" s="650"/>
      <c r="T188" s="593"/>
      <c r="U188" s="504"/>
      <c r="V188" s="504"/>
      <c r="W188" s="504"/>
      <c r="X188" s="504"/>
      <c r="Y188" s="504"/>
      <c r="Z188" s="504"/>
      <c r="AA188" s="504"/>
      <c r="AB188" s="504"/>
      <c r="AC188" s="50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</row>
    <row r="189" spans="1:40" ht="15.75" customHeight="1">
      <c r="A189" s="493" t="s">
        <v>84</v>
      </c>
      <c r="B189" s="499" t="s">
        <v>84</v>
      </c>
      <c r="C189" s="513"/>
      <c r="D189" s="504"/>
      <c r="E189" s="618"/>
      <c r="F189" s="629"/>
      <c r="G189" s="525"/>
      <c r="H189" s="618"/>
      <c r="I189" s="629"/>
      <c r="J189" s="648"/>
      <c r="K189" s="647"/>
      <c r="L189" s="629"/>
      <c r="M189" s="648"/>
      <c r="N189" s="649"/>
      <c r="O189" s="648"/>
      <c r="P189" s="647"/>
      <c r="Q189" s="629"/>
      <c r="R189" s="648"/>
      <c r="S189" s="650"/>
      <c r="T189" s="593"/>
      <c r="U189" s="504"/>
      <c r="V189" s="504"/>
      <c r="W189" s="504"/>
      <c r="X189" s="504"/>
      <c r="Y189" s="504"/>
      <c r="Z189" s="504"/>
      <c r="AA189" s="504"/>
      <c r="AB189" s="504"/>
      <c r="AC189" s="50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</row>
    <row r="190" spans="1:40" ht="15.75" customHeight="1">
      <c r="A190" s="493" t="s">
        <v>347</v>
      </c>
      <c r="B190" s="499" t="s">
        <v>84</v>
      </c>
      <c r="C190" s="513" t="s">
        <v>96</v>
      </c>
      <c r="D190" s="504"/>
      <c r="E190" s="565">
        <v>0</v>
      </c>
      <c r="F190" s="565">
        <v>0</v>
      </c>
      <c r="G190" s="525"/>
      <c r="H190" s="565">
        <v>0</v>
      </c>
      <c r="I190" s="565">
        <v>0</v>
      </c>
      <c r="J190" s="648"/>
      <c r="K190" s="514">
        <v>0</v>
      </c>
      <c r="L190" s="629"/>
      <c r="M190" s="648"/>
      <c r="N190" s="649"/>
      <c r="O190" s="648"/>
      <c r="P190" s="514">
        <v>0</v>
      </c>
      <c r="Q190" s="629"/>
      <c r="R190" s="648"/>
      <c r="S190" s="650"/>
      <c r="T190" s="593"/>
      <c r="U190" s="504"/>
      <c r="V190" s="504"/>
      <c r="W190" s="504"/>
      <c r="X190" s="504"/>
      <c r="Y190" s="504"/>
      <c r="Z190" s="504"/>
      <c r="AA190" s="504"/>
      <c r="AB190" s="504"/>
      <c r="AC190" s="50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</row>
    <row r="191" spans="1:40" ht="15.75" customHeight="1">
      <c r="A191" s="493" t="s">
        <v>339</v>
      </c>
      <c r="B191" s="499" t="s">
        <v>84</v>
      </c>
      <c r="C191" s="513" t="s">
        <v>88</v>
      </c>
      <c r="D191" s="504"/>
      <c r="E191" s="618"/>
      <c r="F191" s="629">
        <v>0</v>
      </c>
      <c r="G191" s="525"/>
      <c r="H191" s="618"/>
      <c r="I191" s="629">
        <v>0</v>
      </c>
      <c r="J191" s="648"/>
      <c r="K191" s="647"/>
      <c r="L191" s="629">
        <v>0</v>
      </c>
      <c r="M191" s="648"/>
      <c r="N191" s="649"/>
      <c r="O191" s="648"/>
      <c r="P191" s="647"/>
      <c r="Q191" s="629">
        <v>0</v>
      </c>
      <c r="R191" s="648"/>
      <c r="S191" s="650"/>
      <c r="T191" s="593"/>
      <c r="U191" s="504"/>
      <c r="V191" s="504"/>
      <c r="W191" s="504"/>
      <c r="X191" s="504"/>
      <c r="Y191" s="504"/>
      <c r="Z191" s="504"/>
      <c r="AA191" s="504"/>
      <c r="AB191" s="504"/>
      <c r="AC191" s="50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</row>
    <row r="192" spans="1:40" ht="15.75" customHeight="1" thickBot="1">
      <c r="A192" s="493" t="s">
        <v>84</v>
      </c>
      <c r="B192" s="499" t="s">
        <v>84</v>
      </c>
      <c r="C192" s="675"/>
      <c r="D192" s="676"/>
      <c r="E192" s="677"/>
      <c r="F192" s="678"/>
      <c r="G192" s="679"/>
      <c r="H192" s="677"/>
      <c r="I192" s="678"/>
      <c r="J192" s="679"/>
      <c r="K192" s="677"/>
      <c r="L192" s="678"/>
      <c r="M192" s="679"/>
      <c r="N192" s="678"/>
      <c r="O192" s="679"/>
      <c r="P192" s="677"/>
      <c r="Q192" s="678"/>
      <c r="R192" s="679"/>
      <c r="S192" s="680"/>
      <c r="T192" s="593"/>
      <c r="U192" s="504"/>
      <c r="V192" s="504"/>
      <c r="W192" s="504"/>
      <c r="X192" s="504"/>
      <c r="Y192" s="504"/>
      <c r="Z192" s="504"/>
      <c r="AA192" s="504"/>
      <c r="AB192" s="504"/>
      <c r="AC192" s="50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</row>
    <row r="193" spans="1:40" ht="24.75" customHeight="1" thickTop="1">
      <c r="A193" s="493" t="s">
        <v>348</v>
      </c>
      <c r="B193" s="499" t="s">
        <v>84</v>
      </c>
      <c r="C193" s="548" t="s">
        <v>97</v>
      </c>
      <c r="D193" s="549"/>
      <c r="E193" s="549">
        <v>349337.30111655884</v>
      </c>
      <c r="F193" s="551">
        <v>235081.87956186474</v>
      </c>
      <c r="G193" s="552"/>
      <c r="H193" s="549">
        <v>349337.30111655884</v>
      </c>
      <c r="I193" s="551">
        <v>235081.87956186474</v>
      </c>
      <c r="J193" s="552"/>
      <c r="K193" s="549">
        <v>283210.88999999996</v>
      </c>
      <c r="L193" s="551">
        <v>204037.65</v>
      </c>
      <c r="M193" s="681">
        <v>4.7507556041655907E-2</v>
      </c>
      <c r="N193" s="551">
        <v>-31044.229561864748</v>
      </c>
      <c r="O193" s="552"/>
      <c r="P193" s="549">
        <v>325629.8</v>
      </c>
      <c r="Q193" s="551">
        <v>215707.20000000004</v>
      </c>
      <c r="R193" s="681">
        <v>5.80134518299249E-2</v>
      </c>
      <c r="S193" s="554">
        <v>-11669.550000000047</v>
      </c>
      <c r="T193" s="593"/>
      <c r="U193" s="504"/>
      <c r="V193" s="504"/>
      <c r="W193" s="504"/>
      <c r="X193" s="504"/>
      <c r="Y193" s="504"/>
      <c r="Z193" s="504"/>
      <c r="AA193" s="504"/>
      <c r="AB193" s="504"/>
      <c r="AC193" s="50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</row>
    <row r="194" spans="1:40" ht="24" customHeight="1" thickBot="1">
      <c r="A194" s="493" t="s">
        <v>84</v>
      </c>
      <c r="B194" s="499" t="s">
        <v>84</v>
      </c>
      <c r="C194" s="555"/>
      <c r="D194" s="556"/>
      <c r="E194" s="556"/>
      <c r="F194" s="560">
        <v>0.67293666840183219</v>
      </c>
      <c r="G194" s="558"/>
      <c r="H194" s="556"/>
      <c r="I194" s="560">
        <v>0.67293666840183219</v>
      </c>
      <c r="J194" s="558"/>
      <c r="K194" s="556"/>
      <c r="L194" s="560">
        <v>0.7204442244434881</v>
      </c>
      <c r="M194" s="559"/>
      <c r="N194" s="560">
        <v>-0.13205709270201352</v>
      </c>
      <c r="O194" s="558"/>
      <c r="P194" s="556"/>
      <c r="Q194" s="560">
        <v>0.6624307726135632</v>
      </c>
      <c r="R194" s="559"/>
      <c r="S194" s="561">
        <v>-17.484620229571764</v>
      </c>
      <c r="T194" s="562"/>
      <c r="U194" s="504"/>
      <c r="V194" s="504"/>
      <c r="W194" s="504"/>
      <c r="X194" s="504"/>
      <c r="Y194" s="504"/>
      <c r="Z194" s="504"/>
      <c r="AA194" s="504"/>
      <c r="AB194" s="504"/>
      <c r="AC194" s="50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</row>
    <row r="195" spans="1:40" ht="15.75" customHeight="1" thickTop="1">
      <c r="A195" s="493" t="s">
        <v>84</v>
      </c>
      <c r="B195" s="499" t="s">
        <v>84</v>
      </c>
      <c r="C195" s="538"/>
      <c r="D195" s="562"/>
      <c r="E195" s="562"/>
      <c r="F195" s="527"/>
      <c r="G195" s="564"/>
      <c r="H195" s="562"/>
      <c r="I195" s="527"/>
      <c r="J195" s="564"/>
      <c r="K195" s="562"/>
      <c r="L195" s="527"/>
      <c r="M195" s="526"/>
      <c r="N195" s="527"/>
      <c r="O195" s="564"/>
      <c r="P195" s="562"/>
      <c r="Q195" s="527"/>
      <c r="R195" s="526"/>
      <c r="S195" s="528"/>
      <c r="T195" s="562"/>
      <c r="U195" s="504"/>
      <c r="V195" s="504"/>
      <c r="W195" s="504"/>
      <c r="X195" s="504"/>
      <c r="Y195" s="504"/>
      <c r="Z195" s="504"/>
      <c r="AA195" s="504"/>
      <c r="AB195" s="504"/>
      <c r="AC195" s="50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</row>
    <row r="196" spans="1:40" ht="15.75" customHeight="1">
      <c r="A196" s="493" t="s">
        <v>349</v>
      </c>
      <c r="B196" s="499" t="s">
        <v>84</v>
      </c>
      <c r="C196" s="80" t="s">
        <v>31</v>
      </c>
      <c r="D196" s="504"/>
      <c r="E196" s="504"/>
      <c r="F196" s="545"/>
      <c r="G196" s="525"/>
      <c r="H196" s="504"/>
      <c r="I196" s="545"/>
      <c r="J196" s="525"/>
      <c r="K196" s="504"/>
      <c r="L196" s="524"/>
      <c r="M196" s="525"/>
      <c r="N196" s="524"/>
      <c r="O196" s="525"/>
      <c r="P196" s="504"/>
      <c r="Q196" s="524"/>
      <c r="R196" s="525"/>
      <c r="S196" s="547"/>
      <c r="T196" s="504"/>
      <c r="U196" s="504"/>
      <c r="V196" s="504"/>
      <c r="W196" s="504"/>
      <c r="X196" s="504"/>
      <c r="Y196" s="504"/>
      <c r="Z196" s="504"/>
      <c r="AA196" s="504"/>
      <c r="AB196" s="504"/>
      <c r="AC196" s="50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</row>
    <row r="197" spans="1:40" ht="15.75" customHeight="1">
      <c r="A197" s="493" t="s">
        <v>350</v>
      </c>
      <c r="B197" s="499" t="s">
        <v>84</v>
      </c>
      <c r="C197" s="585" t="s">
        <v>42</v>
      </c>
      <c r="D197" s="504"/>
      <c r="E197" s="504"/>
      <c r="F197" s="514">
        <v>11204.70316091954</v>
      </c>
      <c r="G197" s="525"/>
      <c r="H197" s="504"/>
      <c r="I197" s="514">
        <v>11204.70316091954</v>
      </c>
      <c r="J197" s="525"/>
      <c r="K197" s="504"/>
      <c r="L197" s="517">
        <v>10965.02</v>
      </c>
      <c r="M197" s="525"/>
      <c r="N197" s="545">
        <v>-239.68316091953966</v>
      </c>
      <c r="O197" s="525"/>
      <c r="P197" s="504"/>
      <c r="Q197" s="517">
        <v>13949.35</v>
      </c>
      <c r="R197" s="525"/>
      <c r="S197" s="518">
        <v>-2984.33</v>
      </c>
      <c r="T197" s="504"/>
      <c r="U197" s="504"/>
      <c r="V197" s="504"/>
      <c r="W197" s="504"/>
      <c r="X197" s="504"/>
      <c r="Y197" s="504"/>
      <c r="Z197" s="504"/>
      <c r="AA197" s="504"/>
      <c r="AB197" s="504"/>
      <c r="AC197" s="50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</row>
    <row r="198" spans="1:40" ht="15.75" customHeight="1">
      <c r="A198" s="493" t="s">
        <v>351</v>
      </c>
      <c r="B198" s="499" t="s">
        <v>84</v>
      </c>
      <c r="C198" s="586" t="s">
        <v>43</v>
      </c>
      <c r="D198" s="82"/>
      <c r="E198" s="504"/>
      <c r="F198" s="508">
        <v>9403.9419058103449</v>
      </c>
      <c r="G198" s="84"/>
      <c r="H198" s="504"/>
      <c r="I198" s="508">
        <v>9403.9419058103449</v>
      </c>
      <c r="J198" s="525"/>
      <c r="K198" s="504"/>
      <c r="L198" s="517">
        <v>8666.56</v>
      </c>
      <c r="M198" s="525"/>
      <c r="N198" s="545">
        <v>-737.38190581034542</v>
      </c>
      <c r="O198" s="525"/>
      <c r="P198" s="504"/>
      <c r="Q198" s="517">
        <v>9390.7199999999993</v>
      </c>
      <c r="R198" s="525"/>
      <c r="S198" s="567">
        <v>-724.15999999999985</v>
      </c>
      <c r="T198" s="504"/>
      <c r="U198" s="504"/>
      <c r="V198" s="504"/>
      <c r="W198" s="504"/>
      <c r="X198" s="504"/>
      <c r="Y198" s="504"/>
      <c r="Z198" s="504"/>
      <c r="AA198" s="504"/>
      <c r="AB198" s="504"/>
      <c r="AC198" s="50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</row>
    <row r="199" spans="1:40" ht="29.25" customHeight="1">
      <c r="A199" s="493" t="s">
        <v>352</v>
      </c>
      <c r="B199" s="499" t="s">
        <v>84</v>
      </c>
      <c r="C199" s="585" t="s">
        <v>44</v>
      </c>
      <c r="D199" s="107"/>
      <c r="E199" s="587"/>
      <c r="F199" s="514">
        <v>14137.223567494253</v>
      </c>
      <c r="G199" s="109"/>
      <c r="H199" s="587"/>
      <c r="I199" s="514">
        <v>14137.223567494253</v>
      </c>
      <c r="J199" s="588"/>
      <c r="K199" s="587"/>
      <c r="L199" s="589">
        <v>22305.19</v>
      </c>
      <c r="M199" s="588"/>
      <c r="N199" s="590">
        <v>8167.9664325057456</v>
      </c>
      <c r="O199" s="588"/>
      <c r="P199" s="587"/>
      <c r="Q199" s="589">
        <v>12448.5</v>
      </c>
      <c r="R199" s="588"/>
      <c r="S199" s="591">
        <v>9856.6899999999987</v>
      </c>
      <c r="T199" s="504"/>
      <c r="U199" s="504" t="s">
        <v>353</v>
      </c>
      <c r="V199" s="504"/>
      <c r="W199" s="504"/>
      <c r="X199" s="504"/>
      <c r="Y199" s="504">
        <v>4875</v>
      </c>
      <c r="Z199" s="504"/>
      <c r="AA199" s="504"/>
      <c r="AB199" s="504"/>
      <c r="AC199" s="50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</row>
    <row r="200" spans="1:40" ht="21.75" customHeight="1">
      <c r="A200" s="493" t="s">
        <v>354</v>
      </c>
      <c r="B200" s="499" t="s">
        <v>84</v>
      </c>
      <c r="C200" s="585" t="s">
        <v>45</v>
      </c>
      <c r="D200" s="82"/>
      <c r="E200" s="504"/>
      <c r="F200" s="514">
        <v>35810.7399323438</v>
      </c>
      <c r="G200" s="84"/>
      <c r="H200" s="504"/>
      <c r="I200" s="514">
        <v>35810.7399323438</v>
      </c>
      <c r="J200" s="525"/>
      <c r="K200" s="504"/>
      <c r="L200" s="517">
        <v>21880.6</v>
      </c>
      <c r="M200" s="525"/>
      <c r="N200" s="545">
        <v>-13930.139932343802</v>
      </c>
      <c r="O200" s="525"/>
      <c r="P200" s="504"/>
      <c r="Q200" s="517">
        <v>27320.02</v>
      </c>
      <c r="R200" s="525"/>
      <c r="S200" s="567">
        <v>-5439.4200000000019</v>
      </c>
      <c r="T200" s="504"/>
      <c r="U200" s="504"/>
      <c r="V200" s="504"/>
      <c r="W200" s="504"/>
      <c r="X200" s="504"/>
      <c r="Y200" s="504"/>
      <c r="Z200" s="504"/>
      <c r="AA200" s="504"/>
      <c r="AB200" s="504"/>
      <c r="AC200" s="50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</row>
    <row r="201" spans="1:40" ht="15.75" hidden="1" customHeight="1">
      <c r="A201" s="493" t="s">
        <v>355</v>
      </c>
      <c r="B201" s="499" t="s">
        <v>84</v>
      </c>
      <c r="C201" s="513" t="s">
        <v>21</v>
      </c>
      <c r="D201" s="82"/>
      <c r="E201" s="504"/>
      <c r="F201" s="514">
        <v>0</v>
      </c>
      <c r="G201" s="84"/>
      <c r="H201" s="504"/>
      <c r="I201" s="514">
        <v>0</v>
      </c>
      <c r="J201" s="525"/>
      <c r="K201" s="504"/>
      <c r="L201" s="517">
        <v>0</v>
      </c>
      <c r="M201" s="525"/>
      <c r="N201" s="545">
        <v>0</v>
      </c>
      <c r="O201" s="525"/>
      <c r="P201" s="504"/>
      <c r="Q201" s="517">
        <v>0</v>
      </c>
      <c r="R201" s="525"/>
      <c r="S201" s="567">
        <v>0</v>
      </c>
      <c r="T201" s="504"/>
      <c r="U201" s="504"/>
      <c r="V201" s="504"/>
      <c r="W201" s="504"/>
      <c r="X201" s="504"/>
      <c r="Y201" s="504"/>
      <c r="Z201" s="504"/>
      <c r="AA201" s="504"/>
      <c r="AB201" s="504"/>
      <c r="AC201" s="50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</row>
    <row r="202" spans="1:40" ht="15.75" hidden="1" customHeight="1">
      <c r="A202" s="493" t="s">
        <v>355</v>
      </c>
      <c r="B202" s="499" t="s">
        <v>84</v>
      </c>
      <c r="C202" s="513" t="s">
        <v>21</v>
      </c>
      <c r="D202" s="82"/>
      <c r="E202" s="504"/>
      <c r="F202" s="514">
        <v>0</v>
      </c>
      <c r="G202" s="84"/>
      <c r="H202" s="504"/>
      <c r="I202" s="514">
        <v>0</v>
      </c>
      <c r="J202" s="525"/>
      <c r="K202" s="504"/>
      <c r="L202" s="517">
        <v>0</v>
      </c>
      <c r="M202" s="525"/>
      <c r="N202" s="545">
        <v>0</v>
      </c>
      <c r="O202" s="525"/>
      <c r="P202" s="504"/>
      <c r="Q202" s="517">
        <v>0</v>
      </c>
      <c r="R202" s="525"/>
      <c r="S202" s="567">
        <v>0</v>
      </c>
      <c r="T202" s="504"/>
      <c r="U202" s="504"/>
      <c r="V202" s="504"/>
      <c r="W202" s="504"/>
      <c r="X202" s="504"/>
      <c r="Y202" s="504"/>
      <c r="Z202" s="504"/>
      <c r="AA202" s="504"/>
      <c r="AB202" s="504"/>
      <c r="AC202" s="50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</row>
    <row r="203" spans="1:40" ht="15.75" hidden="1" customHeight="1">
      <c r="A203" s="493" t="s">
        <v>355</v>
      </c>
      <c r="B203" s="499" t="s">
        <v>84</v>
      </c>
      <c r="C203" s="513" t="s">
        <v>21</v>
      </c>
      <c r="D203" s="82"/>
      <c r="E203" s="504"/>
      <c r="F203" s="514">
        <v>0</v>
      </c>
      <c r="G203" s="84"/>
      <c r="H203" s="504"/>
      <c r="I203" s="514">
        <v>0</v>
      </c>
      <c r="J203" s="525"/>
      <c r="K203" s="504"/>
      <c r="L203" s="517">
        <v>0</v>
      </c>
      <c r="M203" s="525"/>
      <c r="N203" s="545">
        <v>0</v>
      </c>
      <c r="O203" s="525"/>
      <c r="P203" s="504"/>
      <c r="Q203" s="517">
        <v>0</v>
      </c>
      <c r="R203" s="525"/>
      <c r="S203" s="567">
        <v>0</v>
      </c>
      <c r="T203" s="504"/>
      <c r="U203" s="504"/>
      <c r="V203" s="504"/>
      <c r="W203" s="504"/>
      <c r="X203" s="504"/>
      <c r="Y203" s="504"/>
      <c r="Z203" s="504"/>
      <c r="AA203" s="504"/>
      <c r="AB203" s="504"/>
      <c r="AC203" s="50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</row>
    <row r="204" spans="1:40" ht="21.75" customHeight="1">
      <c r="A204" s="493" t="s">
        <v>356</v>
      </c>
      <c r="B204" s="499" t="s">
        <v>84</v>
      </c>
      <c r="C204" s="586" t="s">
        <v>46</v>
      </c>
      <c r="D204" s="82"/>
      <c r="E204" s="504"/>
      <c r="F204" s="514">
        <v>16957.889052957009</v>
      </c>
      <c r="G204" s="84"/>
      <c r="H204" s="504"/>
      <c r="I204" s="514">
        <v>16957.889052957009</v>
      </c>
      <c r="J204" s="525"/>
      <c r="K204" s="504"/>
      <c r="L204" s="517">
        <v>12958.59</v>
      </c>
      <c r="M204" s="525"/>
      <c r="N204" s="545">
        <v>-3999.2990529570088</v>
      </c>
      <c r="O204" s="525"/>
      <c r="P204" s="504"/>
      <c r="Q204" s="517">
        <v>16193.12</v>
      </c>
      <c r="R204" s="525"/>
      <c r="S204" s="567">
        <v>-3234.5300000000007</v>
      </c>
      <c r="T204" s="504"/>
      <c r="U204" s="504"/>
      <c r="V204" s="504"/>
      <c r="W204" s="504"/>
      <c r="X204" s="504"/>
      <c r="Y204" s="504"/>
      <c r="Z204" s="504"/>
      <c r="AA204" s="504"/>
      <c r="AB204" s="504"/>
      <c r="AC204" s="50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</row>
    <row r="205" spans="1:40" ht="15.75" customHeight="1">
      <c r="A205" s="493" t="s">
        <v>357</v>
      </c>
      <c r="B205" s="499" t="s">
        <v>84</v>
      </c>
      <c r="C205" s="585" t="s">
        <v>47</v>
      </c>
      <c r="D205" s="107"/>
      <c r="E205" s="587"/>
      <c r="F205" s="540">
        <v>15187.527927705931</v>
      </c>
      <c r="G205" s="109"/>
      <c r="H205" s="587"/>
      <c r="I205" s="540">
        <v>15187.527927705931</v>
      </c>
      <c r="J205" s="588"/>
      <c r="K205" s="587"/>
      <c r="L205" s="589">
        <v>18584.27</v>
      </c>
      <c r="M205" s="588"/>
      <c r="N205" s="590">
        <v>3396.7420722940697</v>
      </c>
      <c r="O205" s="588"/>
      <c r="P205" s="587"/>
      <c r="Q205" s="589">
        <v>20070.72</v>
      </c>
      <c r="R205" s="588"/>
      <c r="S205" s="591">
        <v>-1486.4500000000007</v>
      </c>
      <c r="T205" s="504"/>
      <c r="U205" s="504"/>
      <c r="V205" s="504"/>
      <c r="W205" s="504"/>
      <c r="X205" s="504"/>
      <c r="Y205" s="504"/>
      <c r="Z205" s="504"/>
      <c r="AA205" s="504"/>
      <c r="AB205" s="504"/>
      <c r="AC205" s="50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</row>
    <row r="206" spans="1:40" ht="15.75" customHeight="1">
      <c r="A206" s="493" t="s">
        <v>358</v>
      </c>
      <c r="B206" s="499" t="s">
        <v>84</v>
      </c>
      <c r="C206" s="585" t="s">
        <v>48</v>
      </c>
      <c r="D206" s="82"/>
      <c r="E206" s="504"/>
      <c r="F206" s="514">
        <v>12060.683942590005</v>
      </c>
      <c r="G206" s="84"/>
      <c r="H206" s="504"/>
      <c r="I206" s="514">
        <v>12060.683942590005</v>
      </c>
      <c r="J206" s="525"/>
      <c r="K206" s="504"/>
      <c r="L206" s="517">
        <v>5243.3099999999995</v>
      </c>
      <c r="M206" s="525"/>
      <c r="N206" s="545">
        <v>-6817.3739425900058</v>
      </c>
      <c r="O206" s="525"/>
      <c r="P206" s="504"/>
      <c r="Q206" s="517">
        <v>14384.01</v>
      </c>
      <c r="R206" s="525"/>
      <c r="S206" s="567">
        <v>-9140.7000000000007</v>
      </c>
      <c r="T206" s="504"/>
      <c r="U206" s="504"/>
      <c r="V206" s="504"/>
      <c r="W206" s="504"/>
      <c r="X206" s="504"/>
      <c r="Y206" s="504"/>
      <c r="Z206" s="504"/>
      <c r="AA206" s="504"/>
      <c r="AB206" s="504"/>
      <c r="AC206" s="50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</row>
    <row r="207" spans="1:40" ht="15.75" customHeight="1">
      <c r="A207" s="493" t="s">
        <v>359</v>
      </c>
      <c r="B207" s="499" t="s">
        <v>84</v>
      </c>
      <c r="C207" s="585" t="s">
        <v>49</v>
      </c>
      <c r="D207" s="82"/>
      <c r="E207" s="504"/>
      <c r="F207" s="514">
        <v>4913.6119766107431</v>
      </c>
      <c r="G207" s="84"/>
      <c r="H207" s="504"/>
      <c r="I207" s="514">
        <v>4913.6119766107431</v>
      </c>
      <c r="J207" s="525"/>
      <c r="K207" s="504"/>
      <c r="L207" s="517">
        <v>3189.13</v>
      </c>
      <c r="M207" s="525"/>
      <c r="N207" s="545">
        <v>-1724.481976610743</v>
      </c>
      <c r="O207" s="525"/>
      <c r="P207" s="504"/>
      <c r="Q207" s="517">
        <v>3345.12</v>
      </c>
      <c r="R207" s="525"/>
      <c r="S207" s="567">
        <v>-155.98999999999978</v>
      </c>
      <c r="T207" s="504"/>
      <c r="U207" s="504"/>
      <c r="V207" s="504"/>
      <c r="W207" s="504"/>
      <c r="X207" s="504"/>
      <c r="Y207" s="504"/>
      <c r="Z207" s="504"/>
      <c r="AA207" s="504"/>
      <c r="AB207" s="504"/>
      <c r="AC207" s="50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</row>
    <row r="208" spans="1:40" ht="15.75" hidden="1" customHeight="1">
      <c r="A208" s="493" t="s">
        <v>355</v>
      </c>
      <c r="B208" s="499" t="s">
        <v>84</v>
      </c>
      <c r="C208" s="513" t="s">
        <v>21</v>
      </c>
      <c r="D208" s="89"/>
      <c r="E208" s="592"/>
      <c r="F208" s="514">
        <v>0</v>
      </c>
      <c r="G208" s="91"/>
      <c r="H208" s="592"/>
      <c r="I208" s="514">
        <v>0</v>
      </c>
      <c r="J208" s="509"/>
      <c r="K208" s="592"/>
      <c r="L208" s="517">
        <v>0</v>
      </c>
      <c r="M208" s="509"/>
      <c r="N208" s="573">
        <v>0</v>
      </c>
      <c r="O208" s="509"/>
      <c r="P208" s="592"/>
      <c r="Q208" s="517">
        <v>0</v>
      </c>
      <c r="R208" s="509"/>
      <c r="S208" s="574">
        <v>0</v>
      </c>
      <c r="T208" s="504"/>
      <c r="U208" s="504"/>
      <c r="V208" s="504"/>
      <c r="W208" s="504"/>
      <c r="X208" s="504"/>
      <c r="Y208" s="504"/>
      <c r="Z208" s="504"/>
      <c r="AA208" s="504"/>
      <c r="AB208" s="504"/>
      <c r="AC208" s="50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</row>
    <row r="209" spans="1:40" ht="15.75" customHeight="1">
      <c r="A209" s="493" t="s">
        <v>360</v>
      </c>
      <c r="B209" s="499" t="s">
        <v>84</v>
      </c>
      <c r="C209" s="578" t="s">
        <v>50</v>
      </c>
      <c r="D209" s="97" t="s">
        <v>98</v>
      </c>
      <c r="E209" s="579">
        <v>0.5090835656473357</v>
      </c>
      <c r="F209" s="580">
        <v>119676.32146643163</v>
      </c>
      <c r="G209" s="100" t="s">
        <v>98</v>
      </c>
      <c r="H209" s="579">
        <v>0.5090835656473357</v>
      </c>
      <c r="I209" s="580">
        <v>119676.32146643163</v>
      </c>
      <c r="J209" s="100" t="s">
        <v>98</v>
      </c>
      <c r="K209" s="579">
        <v>0.50869371412579989</v>
      </c>
      <c r="L209" s="580">
        <v>103792.67000000001</v>
      </c>
      <c r="M209" s="621"/>
      <c r="N209" s="594">
        <v>-15883.65146643162</v>
      </c>
      <c r="O209" s="100" t="s">
        <v>98</v>
      </c>
      <c r="P209" s="579">
        <v>0.54287274601867697</v>
      </c>
      <c r="Q209" s="580">
        <v>117101.55999999998</v>
      </c>
      <c r="R209" s="621"/>
      <c r="S209" s="595">
        <v>-13308.88999999997</v>
      </c>
      <c r="T209" s="504"/>
      <c r="U209" s="504"/>
      <c r="V209" s="504"/>
      <c r="W209" s="504"/>
      <c r="X209" s="504"/>
      <c r="Y209" s="504"/>
      <c r="Z209" s="504"/>
      <c r="AA209" s="504"/>
      <c r="AB209" s="504"/>
      <c r="AC209" s="50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</row>
    <row r="210" spans="1:40" ht="15.75" customHeight="1">
      <c r="A210" s="493" t="s">
        <v>361</v>
      </c>
      <c r="B210" s="499" t="s">
        <v>84</v>
      </c>
      <c r="C210" s="513" t="s">
        <v>51</v>
      </c>
      <c r="D210" s="82"/>
      <c r="E210" s="504"/>
      <c r="F210" s="514">
        <v>6918.7625000000007</v>
      </c>
      <c r="G210" s="84"/>
      <c r="H210" s="504"/>
      <c r="I210" s="514">
        <v>6918.7625000000007</v>
      </c>
      <c r="J210" s="525"/>
      <c r="K210" s="504"/>
      <c r="L210" s="517">
        <v>11938.92</v>
      </c>
      <c r="M210" s="525"/>
      <c r="N210" s="545">
        <v>5020.1574999999993</v>
      </c>
      <c r="O210" s="525"/>
      <c r="P210" s="504"/>
      <c r="Q210" s="517">
        <v>4627.6899999999996</v>
      </c>
      <c r="R210" s="525"/>
      <c r="S210" s="567">
        <v>7311.2300000000005</v>
      </c>
      <c r="T210" s="504"/>
      <c r="U210" s="504"/>
      <c r="V210" s="504"/>
      <c r="W210" s="504"/>
      <c r="X210" s="504"/>
      <c r="Y210" s="504"/>
      <c r="Z210" s="504"/>
      <c r="AA210" s="504"/>
      <c r="AB210" s="504"/>
      <c r="AC210" s="50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</row>
    <row r="211" spans="1:40" ht="15.75" customHeight="1">
      <c r="A211" s="493" t="s">
        <v>362</v>
      </c>
      <c r="B211" s="499" t="s">
        <v>84</v>
      </c>
      <c r="C211" s="513" t="s">
        <v>52</v>
      </c>
      <c r="D211" s="82"/>
      <c r="E211" s="504"/>
      <c r="F211" s="514">
        <v>4825.9729398022855</v>
      </c>
      <c r="G211" s="84"/>
      <c r="H211" s="504"/>
      <c r="I211" s="514">
        <v>4825.9729398022855</v>
      </c>
      <c r="J211" s="525"/>
      <c r="K211" s="504"/>
      <c r="L211" s="682">
        <v>3701.67</v>
      </c>
      <c r="M211" s="525"/>
      <c r="N211" s="545">
        <v>-1124.3029398022854</v>
      </c>
      <c r="O211" s="525"/>
      <c r="P211" s="504"/>
      <c r="Q211" s="517">
        <v>2810.66</v>
      </c>
      <c r="R211" s="525"/>
      <c r="S211" s="567">
        <v>891.01000000000022</v>
      </c>
      <c r="T211" s="504"/>
      <c r="U211" s="504"/>
      <c r="V211" s="504"/>
      <c r="W211" s="504"/>
      <c r="X211" s="504"/>
      <c r="Y211" s="504"/>
      <c r="Z211" s="504"/>
      <c r="AA211" s="504"/>
      <c r="AB211" s="504"/>
      <c r="AC211" s="50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</row>
    <row r="212" spans="1:40" ht="15.75" customHeight="1">
      <c r="A212" s="493" t="s">
        <v>363</v>
      </c>
      <c r="B212" s="499" t="s">
        <v>84</v>
      </c>
      <c r="C212" s="568" t="s">
        <v>53</v>
      </c>
      <c r="D212" s="89"/>
      <c r="E212" s="592"/>
      <c r="F212" s="508">
        <v>16531.424444444445</v>
      </c>
      <c r="G212" s="91"/>
      <c r="H212" s="592"/>
      <c r="I212" s="508">
        <v>16531.424444444445</v>
      </c>
      <c r="J212" s="509"/>
      <c r="K212" s="592"/>
      <c r="L212" s="517">
        <v>9735.82</v>
      </c>
      <c r="M212" s="509"/>
      <c r="N212" s="573">
        <v>-6795.6044444444451</v>
      </c>
      <c r="O212" s="509"/>
      <c r="P212" s="592"/>
      <c r="Q212" s="517">
        <v>11098.56</v>
      </c>
      <c r="R212" s="509"/>
      <c r="S212" s="574">
        <v>-1362.7399999999998</v>
      </c>
      <c r="T212" s="504"/>
      <c r="U212" s="504"/>
      <c r="V212" s="504"/>
      <c r="W212" s="504"/>
      <c r="X212" s="504"/>
      <c r="Y212" s="504"/>
      <c r="Z212" s="504"/>
      <c r="AA212" s="504"/>
      <c r="AB212" s="504"/>
      <c r="AC212" s="50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</row>
    <row r="213" spans="1:40" ht="15.75" customHeight="1">
      <c r="A213" s="493" t="s">
        <v>364</v>
      </c>
      <c r="B213" s="499" t="s">
        <v>84</v>
      </c>
      <c r="C213" s="513" t="s">
        <v>54</v>
      </c>
      <c r="D213" s="82"/>
      <c r="E213" s="504"/>
      <c r="F213" s="514">
        <v>5968.7398199999989</v>
      </c>
      <c r="G213" s="84"/>
      <c r="H213" s="504"/>
      <c r="I213" s="514">
        <v>5968.7398199999989</v>
      </c>
      <c r="J213" s="525"/>
      <c r="K213" s="504"/>
      <c r="L213" s="589">
        <v>3964.82</v>
      </c>
      <c r="M213" s="525"/>
      <c r="N213" s="545">
        <v>-2003.9198199999987</v>
      </c>
      <c r="O213" s="525"/>
      <c r="P213" s="504"/>
      <c r="Q213" s="589">
        <v>3459.65</v>
      </c>
      <c r="R213" s="525"/>
      <c r="S213" s="567">
        <v>505.17000000000007</v>
      </c>
      <c r="T213" s="504"/>
      <c r="U213" s="504"/>
      <c r="V213" s="504"/>
      <c r="W213" s="504"/>
      <c r="X213" s="504"/>
      <c r="Y213" s="504"/>
      <c r="Z213" s="504"/>
      <c r="AA213" s="504"/>
      <c r="AB213" s="504"/>
      <c r="AC213" s="50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</row>
    <row r="214" spans="1:40" ht="15.75" customHeight="1">
      <c r="A214" s="493" t="s">
        <v>365</v>
      </c>
      <c r="B214" s="499" t="s">
        <v>84</v>
      </c>
      <c r="C214" s="513" t="s">
        <v>55</v>
      </c>
      <c r="D214" s="82"/>
      <c r="E214" s="504"/>
      <c r="F214" s="514">
        <v>594.10635000000002</v>
      </c>
      <c r="G214" s="84"/>
      <c r="H214" s="504"/>
      <c r="I214" s="514">
        <v>594.10635000000002</v>
      </c>
      <c r="J214" s="525"/>
      <c r="K214" s="504"/>
      <c r="L214" s="517">
        <v>1541.79</v>
      </c>
      <c r="M214" s="525"/>
      <c r="N214" s="545">
        <v>947.68364999999994</v>
      </c>
      <c r="O214" s="525"/>
      <c r="P214" s="504"/>
      <c r="Q214" s="517">
        <v>157.36000000000001</v>
      </c>
      <c r="R214" s="525"/>
      <c r="S214" s="567">
        <v>1384.4299999999998</v>
      </c>
      <c r="T214" s="504"/>
      <c r="U214" s="504"/>
      <c r="V214" s="504"/>
      <c r="W214" s="504"/>
      <c r="X214" s="504"/>
      <c r="Y214" s="504"/>
      <c r="Z214" s="504"/>
      <c r="AA214" s="504"/>
      <c r="AB214" s="504"/>
      <c r="AC214" s="50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</row>
    <row r="215" spans="1:40" ht="15.75" customHeight="1">
      <c r="A215" s="493" t="s">
        <v>366</v>
      </c>
      <c r="B215" s="499" t="s">
        <v>84</v>
      </c>
      <c r="C215" s="568" t="s">
        <v>56</v>
      </c>
      <c r="D215" s="89"/>
      <c r="E215" s="592"/>
      <c r="F215" s="508">
        <v>2964.0349333333329</v>
      </c>
      <c r="G215" s="91"/>
      <c r="H215" s="592"/>
      <c r="I215" s="508">
        <v>2964.0349333333329</v>
      </c>
      <c r="J215" s="509"/>
      <c r="K215" s="592"/>
      <c r="L215" s="517">
        <v>1926.28</v>
      </c>
      <c r="M215" s="509"/>
      <c r="N215" s="573">
        <v>-1037.7549333333329</v>
      </c>
      <c r="O215" s="509"/>
      <c r="P215" s="592"/>
      <c r="Q215" s="517">
        <v>3397.38</v>
      </c>
      <c r="R215" s="509"/>
      <c r="S215" s="574">
        <v>-1471.1000000000001</v>
      </c>
      <c r="T215" s="504"/>
      <c r="U215" s="504"/>
      <c r="V215" s="504"/>
      <c r="W215" s="504"/>
      <c r="X215" s="504"/>
      <c r="Y215" s="504"/>
      <c r="Z215" s="504"/>
      <c r="AA215" s="504"/>
      <c r="AB215" s="504"/>
      <c r="AC215" s="50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</row>
    <row r="216" spans="1:40" ht="15.75" customHeight="1">
      <c r="A216" s="493" t="s">
        <v>367</v>
      </c>
      <c r="B216" s="499" t="s">
        <v>84</v>
      </c>
      <c r="C216" s="513" t="s">
        <v>99</v>
      </c>
      <c r="D216" s="82"/>
      <c r="E216" s="504"/>
      <c r="F216" s="514"/>
      <c r="G216" s="84"/>
      <c r="H216" s="504"/>
      <c r="I216" s="514"/>
      <c r="J216" s="525"/>
      <c r="K216" s="504"/>
      <c r="L216" s="589">
        <v>0</v>
      </c>
      <c r="M216" s="525"/>
      <c r="N216" s="545">
        <v>0</v>
      </c>
      <c r="O216" s="525"/>
      <c r="P216" s="504"/>
      <c r="Q216" s="589">
        <v>0</v>
      </c>
      <c r="R216" s="525"/>
      <c r="S216" s="567">
        <v>0</v>
      </c>
      <c r="T216" s="504"/>
      <c r="U216" s="504"/>
      <c r="V216" s="504"/>
      <c r="W216" s="504"/>
      <c r="X216" s="504"/>
      <c r="Y216" s="504"/>
      <c r="Z216" s="504"/>
      <c r="AA216" s="504"/>
      <c r="AB216" s="504"/>
      <c r="AC216" s="50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</row>
    <row r="217" spans="1:40" ht="15.75" customHeight="1">
      <c r="A217" s="493" t="s">
        <v>368</v>
      </c>
      <c r="B217" s="499" t="s">
        <v>84</v>
      </c>
      <c r="C217" s="513" t="s">
        <v>57</v>
      </c>
      <c r="D217" s="82"/>
      <c r="E217" s="504"/>
      <c r="F217" s="514">
        <v>1288.4654684940406</v>
      </c>
      <c r="G217" s="84"/>
      <c r="H217" s="504"/>
      <c r="I217" s="514">
        <v>1288.4654684940406</v>
      </c>
      <c r="J217" s="525"/>
      <c r="K217" s="504"/>
      <c r="L217" s="517">
        <v>1390.86</v>
      </c>
      <c r="M217" s="525"/>
      <c r="N217" s="545">
        <v>102.39453150595932</v>
      </c>
      <c r="O217" s="525"/>
      <c r="P217" s="504"/>
      <c r="Q217" s="517">
        <v>66.86</v>
      </c>
      <c r="R217" s="525"/>
      <c r="S217" s="567">
        <v>1324</v>
      </c>
      <c r="T217" s="504"/>
      <c r="U217" s="504"/>
      <c r="V217" s="504"/>
      <c r="W217" s="504"/>
      <c r="X217" s="504"/>
      <c r="Y217" s="504"/>
      <c r="Z217" s="504"/>
      <c r="AA217" s="504"/>
      <c r="AB217" s="504"/>
      <c r="AC217" s="50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</row>
    <row r="218" spans="1:40" ht="15.75" customHeight="1">
      <c r="A218" s="493" t="s">
        <v>369</v>
      </c>
      <c r="B218" s="499" t="s">
        <v>84</v>
      </c>
      <c r="C218" s="513" t="s">
        <v>58</v>
      </c>
      <c r="D218" s="82"/>
      <c r="E218" s="504"/>
      <c r="F218" s="514">
        <v>684.65667905853707</v>
      </c>
      <c r="G218" s="84"/>
      <c r="H218" s="504"/>
      <c r="I218" s="514">
        <v>684.65667905853707</v>
      </c>
      <c r="J218" s="525"/>
      <c r="K218" s="504"/>
      <c r="L218" s="517">
        <v>1527.6</v>
      </c>
      <c r="M218" s="525"/>
      <c r="N218" s="545">
        <v>842.94332094146284</v>
      </c>
      <c r="O218" s="525"/>
      <c r="P218" s="504"/>
      <c r="Q218" s="517">
        <v>626.04</v>
      </c>
      <c r="R218" s="525"/>
      <c r="S218" s="567">
        <v>901.56</v>
      </c>
      <c r="T218" s="504"/>
      <c r="U218" s="504"/>
      <c r="V218" s="504"/>
      <c r="W218" s="504"/>
      <c r="X218" s="504"/>
      <c r="Y218" s="504"/>
      <c r="Z218" s="504"/>
      <c r="AA218" s="504"/>
      <c r="AB218" s="504"/>
      <c r="AC218" s="50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</row>
    <row r="219" spans="1:40" ht="15.75" customHeight="1">
      <c r="A219" s="493" t="s">
        <v>370</v>
      </c>
      <c r="B219" s="499" t="s">
        <v>84</v>
      </c>
      <c r="C219" s="513" t="s">
        <v>59</v>
      </c>
      <c r="D219" s="82"/>
      <c r="E219" s="504"/>
      <c r="F219" s="514">
        <v>489.64823999999999</v>
      </c>
      <c r="G219" s="84"/>
      <c r="H219" s="504"/>
      <c r="I219" s="514">
        <v>489.64823999999999</v>
      </c>
      <c r="J219" s="525"/>
      <c r="K219" s="504"/>
      <c r="L219" s="516">
        <v>556.79</v>
      </c>
      <c r="M219" s="525"/>
      <c r="N219" s="545">
        <v>67.141759999999977</v>
      </c>
      <c r="O219" s="525"/>
      <c r="P219" s="504"/>
      <c r="Q219" s="516">
        <v>483.27</v>
      </c>
      <c r="R219" s="525"/>
      <c r="S219" s="567">
        <v>73.519999999999982</v>
      </c>
      <c r="T219" s="504"/>
      <c r="U219" s="504"/>
      <c r="V219" s="504"/>
      <c r="W219" s="504"/>
      <c r="X219" s="504"/>
      <c r="Y219" s="504"/>
      <c r="Z219" s="504"/>
      <c r="AA219" s="504"/>
      <c r="AB219" s="504"/>
      <c r="AC219" s="50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</row>
    <row r="220" spans="1:40" ht="15.75" customHeight="1">
      <c r="A220" s="493" t="s">
        <v>371</v>
      </c>
      <c r="B220" s="499" t="s">
        <v>84</v>
      </c>
      <c r="C220" s="513" t="s">
        <v>60</v>
      </c>
      <c r="D220" s="82"/>
      <c r="E220" s="504"/>
      <c r="F220" s="514">
        <v>226.09839500000001</v>
      </c>
      <c r="G220" s="84"/>
      <c r="H220" s="504"/>
      <c r="I220" s="514">
        <v>226.09839500000001</v>
      </c>
      <c r="J220" s="525"/>
      <c r="K220" s="504"/>
      <c r="L220" s="517">
        <v>254.52</v>
      </c>
      <c r="M220" s="525"/>
      <c r="N220" s="545">
        <v>28.421605</v>
      </c>
      <c r="O220" s="525"/>
      <c r="P220" s="504"/>
      <c r="Q220" s="517">
        <v>169.59</v>
      </c>
      <c r="R220" s="525"/>
      <c r="S220" s="567">
        <v>84.93</v>
      </c>
      <c r="T220" s="504"/>
      <c r="U220" s="504"/>
      <c r="V220" s="504"/>
      <c r="W220" s="504"/>
      <c r="X220" s="504"/>
      <c r="Y220" s="504"/>
      <c r="Z220" s="504"/>
      <c r="AA220" s="504"/>
      <c r="AB220" s="504"/>
      <c r="AC220" s="50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</row>
    <row r="221" spans="1:40" ht="15.75" customHeight="1">
      <c r="A221" s="493" t="s">
        <v>372</v>
      </c>
      <c r="B221" s="499" t="s">
        <v>84</v>
      </c>
      <c r="C221" s="513" t="s">
        <v>61</v>
      </c>
      <c r="D221" s="82"/>
      <c r="E221" s="504"/>
      <c r="F221" s="514">
        <v>120.68780499999997</v>
      </c>
      <c r="G221" s="84"/>
      <c r="H221" s="504"/>
      <c r="I221" s="514">
        <v>120.68780499999997</v>
      </c>
      <c r="J221" s="525"/>
      <c r="K221" s="504"/>
      <c r="L221" s="517">
        <v>129.71</v>
      </c>
      <c r="M221" s="525"/>
      <c r="N221" s="545">
        <v>9.022195000000039</v>
      </c>
      <c r="O221" s="525"/>
      <c r="P221" s="504"/>
      <c r="Q221" s="517">
        <v>100.66</v>
      </c>
      <c r="R221" s="525"/>
      <c r="S221" s="567">
        <v>29.050000000000011</v>
      </c>
      <c r="T221" s="504"/>
      <c r="U221" s="504"/>
      <c r="V221" s="504"/>
      <c r="W221" s="504"/>
      <c r="X221" s="504"/>
      <c r="Y221" s="504"/>
      <c r="Z221" s="504"/>
      <c r="AA221" s="504"/>
      <c r="AB221" s="504"/>
      <c r="AC221" s="50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</row>
    <row r="222" spans="1:40" ht="15.75" customHeight="1">
      <c r="A222" s="493" t="s">
        <v>373</v>
      </c>
      <c r="B222" s="499" t="s">
        <v>84</v>
      </c>
      <c r="C222" s="513" t="s">
        <v>62</v>
      </c>
      <c r="D222" s="82"/>
      <c r="E222" s="504"/>
      <c r="F222" s="514">
        <v>582.1751949999998</v>
      </c>
      <c r="G222" s="84"/>
      <c r="H222" s="504"/>
      <c r="I222" s="514">
        <v>582.1751949999998</v>
      </c>
      <c r="J222" s="525"/>
      <c r="K222" s="504"/>
      <c r="L222" s="517">
        <v>690.46</v>
      </c>
      <c r="M222" s="525"/>
      <c r="N222" s="545">
        <v>108.28480500000023</v>
      </c>
      <c r="O222" s="525"/>
      <c r="P222" s="504"/>
      <c r="Q222" s="517">
        <v>198.05</v>
      </c>
      <c r="R222" s="525"/>
      <c r="S222" s="567">
        <v>492.41</v>
      </c>
      <c r="T222" s="504"/>
      <c r="U222" s="504"/>
      <c r="V222" s="504"/>
      <c r="W222" s="504"/>
      <c r="X222" s="504"/>
      <c r="Y222" s="504"/>
      <c r="Z222" s="504"/>
      <c r="AA222" s="504"/>
      <c r="AB222" s="504"/>
      <c r="AC222" s="50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</row>
    <row r="223" spans="1:40" ht="15.75" customHeight="1">
      <c r="A223" s="493" t="s">
        <v>374</v>
      </c>
      <c r="B223" s="499" t="s">
        <v>84</v>
      </c>
      <c r="C223" s="513" t="s">
        <v>63</v>
      </c>
      <c r="D223" s="82"/>
      <c r="E223" s="504"/>
      <c r="F223" s="514">
        <v>864.94219999999996</v>
      </c>
      <c r="G223" s="84"/>
      <c r="H223" s="504"/>
      <c r="I223" s="514">
        <v>864.94219999999996</v>
      </c>
      <c r="J223" s="525"/>
      <c r="K223" s="504"/>
      <c r="L223" s="517">
        <v>2894.02</v>
      </c>
      <c r="M223" s="525"/>
      <c r="N223" s="545">
        <v>2029.0778</v>
      </c>
      <c r="O223" s="525"/>
      <c r="P223" s="504"/>
      <c r="Q223" s="517">
        <v>1383.26</v>
      </c>
      <c r="R223" s="525"/>
      <c r="S223" s="567">
        <v>1510.76</v>
      </c>
      <c r="T223" s="504"/>
      <c r="U223" s="504"/>
      <c r="V223" s="504"/>
      <c r="W223" s="504"/>
      <c r="X223" s="504"/>
      <c r="Y223" s="504"/>
      <c r="Z223" s="504"/>
      <c r="AA223" s="504"/>
      <c r="AB223" s="504"/>
      <c r="AC223" s="50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</row>
    <row r="224" spans="1:40" ht="15.75" customHeight="1">
      <c r="A224" s="493" t="s">
        <v>375</v>
      </c>
      <c r="B224" s="499" t="s">
        <v>84</v>
      </c>
      <c r="C224" s="513" t="s">
        <v>64</v>
      </c>
      <c r="D224" s="82"/>
      <c r="E224" s="504"/>
      <c r="F224" s="514">
        <v>2519.2871888445702</v>
      </c>
      <c r="G224" s="84"/>
      <c r="H224" s="504"/>
      <c r="I224" s="514">
        <v>2519.2871888445702</v>
      </c>
      <c r="J224" s="525"/>
      <c r="K224" s="504"/>
      <c r="L224" s="517">
        <v>2090.4682499999999</v>
      </c>
      <c r="M224" s="525"/>
      <c r="N224" s="545">
        <v>-428.81893884457031</v>
      </c>
      <c r="O224" s="525"/>
      <c r="P224" s="504"/>
      <c r="Q224" s="517">
        <v>2028.4424999999999</v>
      </c>
      <c r="R224" s="525"/>
      <c r="S224" s="567">
        <v>62.025750000000016</v>
      </c>
      <c r="T224" s="504"/>
      <c r="U224" s="504"/>
      <c r="V224" s="504"/>
      <c r="W224" s="504"/>
      <c r="X224" s="504"/>
      <c r="Y224" s="504"/>
      <c r="Z224" s="504"/>
      <c r="AA224" s="504"/>
      <c r="AB224" s="504"/>
      <c r="AC224" s="50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</row>
    <row r="225" spans="1:40" ht="15.75" hidden="1" customHeight="1">
      <c r="A225" s="493" t="s">
        <v>355</v>
      </c>
      <c r="B225" s="499" t="s">
        <v>84</v>
      </c>
      <c r="C225" s="513" t="s">
        <v>21</v>
      </c>
      <c r="D225" s="82"/>
      <c r="E225" s="504"/>
      <c r="F225" s="514">
        <v>0</v>
      </c>
      <c r="G225" s="84"/>
      <c r="H225" s="504"/>
      <c r="I225" s="514">
        <v>0</v>
      </c>
      <c r="J225" s="525"/>
      <c r="K225" s="504"/>
      <c r="L225" s="517">
        <v>0</v>
      </c>
      <c r="M225" s="525"/>
      <c r="N225" s="545">
        <v>0</v>
      </c>
      <c r="O225" s="525"/>
      <c r="P225" s="504"/>
      <c r="Q225" s="517">
        <v>0</v>
      </c>
      <c r="R225" s="525"/>
      <c r="S225" s="567">
        <v>0</v>
      </c>
      <c r="T225" s="504"/>
      <c r="U225" s="504"/>
      <c r="V225" s="504"/>
      <c r="W225" s="504"/>
      <c r="X225" s="504"/>
      <c r="Y225" s="504"/>
      <c r="Z225" s="504"/>
      <c r="AA225" s="504"/>
      <c r="AB225" s="504"/>
      <c r="AC225" s="50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</row>
    <row r="226" spans="1:40" ht="15.75" hidden="1" customHeight="1">
      <c r="A226" s="493" t="s">
        <v>355</v>
      </c>
      <c r="B226" s="499" t="s">
        <v>84</v>
      </c>
      <c r="C226" s="513" t="s">
        <v>21</v>
      </c>
      <c r="D226" s="82"/>
      <c r="E226" s="504"/>
      <c r="F226" s="514">
        <v>0</v>
      </c>
      <c r="G226" s="84"/>
      <c r="H226" s="504"/>
      <c r="I226" s="514">
        <v>0</v>
      </c>
      <c r="J226" s="525"/>
      <c r="K226" s="504"/>
      <c r="L226" s="517">
        <v>0</v>
      </c>
      <c r="M226" s="525"/>
      <c r="N226" s="545">
        <v>0</v>
      </c>
      <c r="O226" s="525"/>
      <c r="P226" s="504"/>
      <c r="Q226" s="517">
        <v>0</v>
      </c>
      <c r="R226" s="525"/>
      <c r="S226" s="567">
        <v>0</v>
      </c>
      <c r="T226" s="504"/>
      <c r="U226" s="504"/>
      <c r="V226" s="504"/>
      <c r="W226" s="504"/>
      <c r="X226" s="504"/>
      <c r="Y226" s="504"/>
      <c r="Z226" s="504"/>
      <c r="AA226" s="504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</row>
    <row r="227" spans="1:40" ht="15.75" hidden="1" customHeight="1">
      <c r="A227" s="493" t="s">
        <v>355</v>
      </c>
      <c r="B227" s="499" t="s">
        <v>84</v>
      </c>
      <c r="C227" s="513" t="s">
        <v>21</v>
      </c>
      <c r="D227" s="82"/>
      <c r="E227" s="504"/>
      <c r="F227" s="514">
        <v>0</v>
      </c>
      <c r="G227" s="84"/>
      <c r="H227" s="504"/>
      <c r="I227" s="514">
        <v>0</v>
      </c>
      <c r="J227" s="525"/>
      <c r="K227" s="504"/>
      <c r="L227" s="517">
        <v>0</v>
      </c>
      <c r="M227" s="525"/>
      <c r="N227" s="545">
        <v>0</v>
      </c>
      <c r="O227" s="525"/>
      <c r="P227" s="504"/>
      <c r="Q227" s="517">
        <v>0</v>
      </c>
      <c r="R227" s="525"/>
      <c r="S227" s="567">
        <v>0</v>
      </c>
      <c r="T227" s="504"/>
      <c r="U227" s="504"/>
      <c r="V227" s="504"/>
      <c r="W227" s="504"/>
      <c r="X227" s="504"/>
      <c r="Y227" s="504"/>
      <c r="Z227" s="504"/>
      <c r="AA227" s="504"/>
      <c r="AB227" s="504"/>
      <c r="AC227" s="50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</row>
    <row r="228" spans="1:40" ht="15.75" customHeight="1">
      <c r="B228" s="499"/>
      <c r="C228" s="578" t="s">
        <v>65</v>
      </c>
      <c r="D228" s="97" t="s">
        <v>98</v>
      </c>
      <c r="E228" s="579">
        <v>0.18963180931708393</v>
      </c>
      <c r="F228" s="580">
        <v>44579.002158977222</v>
      </c>
      <c r="G228" s="100" t="s">
        <v>98</v>
      </c>
      <c r="H228" s="579">
        <v>0.18963180931708393</v>
      </c>
      <c r="I228" s="580">
        <v>44579.002158977222</v>
      </c>
      <c r="J228" s="100" t="s">
        <v>98</v>
      </c>
      <c r="K228" s="579">
        <v>0.20752899403614966</v>
      </c>
      <c r="L228" s="580">
        <v>42343.728249999993</v>
      </c>
      <c r="M228" s="583"/>
      <c r="N228" s="580">
        <v>-2235.2739089772294</v>
      </c>
      <c r="O228" s="100" t="s">
        <v>98</v>
      </c>
      <c r="P228" s="579">
        <v>0.14189360624031094</v>
      </c>
      <c r="Q228" s="580">
        <v>30607.472500000003</v>
      </c>
      <c r="R228" s="583"/>
      <c r="S228" s="584">
        <v>11736.255749999989</v>
      </c>
      <c r="T228" s="504"/>
      <c r="U228" s="504"/>
      <c r="V228" s="504"/>
      <c r="W228" s="504"/>
      <c r="X228" s="504"/>
      <c r="Y228" s="504"/>
      <c r="Z228" s="504"/>
      <c r="AA228" s="504"/>
      <c r="AB228" s="504"/>
      <c r="AC228" s="50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</row>
    <row r="229" spans="1:40" ht="15.75" customHeight="1">
      <c r="B229" s="499"/>
      <c r="C229" s="568"/>
      <c r="D229" s="89"/>
      <c r="E229" s="592"/>
      <c r="F229" s="545"/>
      <c r="G229" s="91"/>
      <c r="H229" s="592"/>
      <c r="I229" s="545"/>
      <c r="J229" s="509"/>
      <c r="K229" s="592"/>
      <c r="L229" s="573"/>
      <c r="M229" s="509"/>
      <c r="N229" s="573"/>
      <c r="O229" s="509"/>
      <c r="P229" s="592"/>
      <c r="Q229" s="573"/>
      <c r="R229" s="509"/>
      <c r="S229" s="574"/>
      <c r="T229" s="504"/>
      <c r="U229" s="504"/>
      <c r="V229" s="504"/>
      <c r="W229" s="504"/>
      <c r="X229" s="504"/>
      <c r="Y229" s="504"/>
      <c r="Z229" s="504"/>
      <c r="AA229" s="504"/>
      <c r="AB229" s="504"/>
      <c r="AC229" s="50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</row>
    <row r="230" spans="1:40" ht="15.75" customHeight="1">
      <c r="B230" s="499"/>
      <c r="C230" s="578" t="s">
        <v>66</v>
      </c>
      <c r="D230" s="97" t="s">
        <v>40</v>
      </c>
      <c r="E230" s="579">
        <v>0.69871537496441971</v>
      </c>
      <c r="F230" s="580">
        <v>164255.32362540887</v>
      </c>
      <c r="G230" s="100" t="s">
        <v>40</v>
      </c>
      <c r="H230" s="579">
        <v>0.69871537496441971</v>
      </c>
      <c r="I230" s="580">
        <v>164255.32362540887</v>
      </c>
      <c r="J230" s="100" t="s">
        <v>40</v>
      </c>
      <c r="K230" s="579">
        <v>0.71622270816194955</v>
      </c>
      <c r="L230" s="580">
        <v>146136.39825</v>
      </c>
      <c r="M230" s="583"/>
      <c r="N230" s="594">
        <v>-18118.925375408871</v>
      </c>
      <c r="O230" s="100" t="s">
        <v>40</v>
      </c>
      <c r="P230" s="579">
        <v>0.68476635225898785</v>
      </c>
      <c r="Q230" s="580">
        <v>147709.03249999997</v>
      </c>
      <c r="R230" s="583"/>
      <c r="S230" s="595">
        <v>-1572.6342499999737</v>
      </c>
      <c r="T230" s="504"/>
      <c r="U230" s="504"/>
      <c r="V230" s="504"/>
      <c r="W230" s="504"/>
      <c r="X230" s="504"/>
      <c r="Y230" s="504"/>
      <c r="Z230" s="504"/>
      <c r="AA230" s="504"/>
      <c r="AB230" s="504"/>
      <c r="AC230" s="50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</row>
    <row r="231" spans="1:40" ht="15.75" customHeight="1">
      <c r="B231" s="499"/>
      <c r="C231" s="513"/>
      <c r="D231" s="82"/>
      <c r="E231" s="504"/>
      <c r="F231" s="545"/>
      <c r="G231" s="84"/>
      <c r="H231" s="504"/>
      <c r="I231" s="545"/>
      <c r="J231" s="525"/>
      <c r="K231" s="504"/>
      <c r="L231" s="545"/>
      <c r="M231" s="525"/>
      <c r="N231" s="545">
        <v>0</v>
      </c>
      <c r="O231" s="525"/>
      <c r="P231" s="504"/>
      <c r="Q231" s="545"/>
      <c r="R231" s="525"/>
      <c r="S231" s="567"/>
      <c r="T231" s="504"/>
      <c r="U231" s="504"/>
      <c r="V231" s="504"/>
      <c r="W231" s="504"/>
      <c r="X231" s="504"/>
      <c r="Y231" s="504"/>
      <c r="Z231" s="504"/>
      <c r="AA231" s="504"/>
      <c r="AB231" s="504"/>
      <c r="AC231" s="50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</row>
    <row r="232" spans="1:40" ht="15.75" customHeight="1" thickBot="1">
      <c r="B232" s="499"/>
      <c r="C232" s="605" t="s">
        <v>73</v>
      </c>
      <c r="D232" s="156"/>
      <c r="E232" s="606"/>
      <c r="F232" s="608">
        <v>70826.555936455872</v>
      </c>
      <c r="G232" s="157"/>
      <c r="H232" s="606"/>
      <c r="I232" s="608">
        <v>70826.555936455872</v>
      </c>
      <c r="J232" s="625"/>
      <c r="K232" s="607"/>
      <c r="L232" s="608">
        <v>57901.251749999996</v>
      </c>
      <c r="M232" s="625"/>
      <c r="N232" s="608">
        <v>-12925.304186455876</v>
      </c>
      <c r="O232" s="625"/>
      <c r="P232" s="607"/>
      <c r="Q232" s="608">
        <v>67998.167500000069</v>
      </c>
      <c r="R232" s="625"/>
      <c r="S232" s="610">
        <v>-10096.915750000073</v>
      </c>
      <c r="T232" s="504"/>
      <c r="U232" s="504"/>
      <c r="V232" s="504"/>
      <c r="W232" s="504"/>
      <c r="X232" s="504"/>
      <c r="Y232" s="504"/>
      <c r="Z232" s="504"/>
      <c r="AA232" s="504"/>
      <c r="AB232" s="504"/>
      <c r="AC232" s="50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</row>
    <row r="233" spans="1:40" ht="15.75" customHeight="1" thickTop="1">
      <c r="B233" s="499"/>
      <c r="C233" s="504"/>
      <c r="D233" s="504"/>
      <c r="E233" s="504"/>
      <c r="F233" s="504"/>
      <c r="G233" s="504"/>
      <c r="H233" s="504"/>
      <c r="I233" s="504"/>
      <c r="J233" s="504"/>
      <c r="K233" s="504"/>
      <c r="L233" s="565"/>
      <c r="M233" s="565"/>
      <c r="N233" s="504"/>
      <c r="O233" s="565"/>
      <c r="P233" s="504"/>
      <c r="Q233" s="565"/>
      <c r="R233" s="504"/>
      <c r="S233" s="504"/>
      <c r="T233" s="504"/>
      <c r="U233" s="504"/>
      <c r="V233" s="504"/>
      <c r="W233" s="504"/>
      <c r="X233" s="504"/>
      <c r="Y233" s="504"/>
      <c r="Z233" s="504"/>
      <c r="AA233" s="504"/>
      <c r="AB233" s="504"/>
      <c r="AC233" s="50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</row>
    <row r="234" spans="1:40" ht="15.75" customHeight="1">
      <c r="B234" s="499"/>
      <c r="C234" s="498"/>
      <c r="D234" s="498"/>
      <c r="E234" s="498"/>
      <c r="F234" s="498"/>
      <c r="G234" s="498"/>
      <c r="H234" s="498"/>
      <c r="I234" s="498"/>
      <c r="J234" s="498"/>
      <c r="K234" s="498"/>
      <c r="L234" s="626"/>
      <c r="M234" s="626"/>
      <c r="N234" s="498"/>
      <c r="O234" s="626"/>
      <c r="P234" s="498"/>
      <c r="Q234" s="626"/>
      <c r="R234" s="498"/>
      <c r="S234" s="498"/>
      <c r="T234" s="498"/>
      <c r="U234" s="498"/>
      <c r="V234" s="504"/>
      <c r="W234" s="504"/>
      <c r="X234" s="504"/>
      <c r="Y234" s="504"/>
      <c r="Z234" s="504"/>
      <c r="AA234" s="504"/>
      <c r="AB234" s="504"/>
      <c r="AC234" s="504"/>
      <c r="AD234" s="504"/>
      <c r="AE234" s="504"/>
      <c r="AF234" s="504"/>
      <c r="AG234" s="504"/>
      <c r="AH234" s="504"/>
      <c r="AI234" s="504"/>
      <c r="AJ234" s="504"/>
      <c r="AK234" s="504"/>
      <c r="AL234" s="504"/>
      <c r="AM234" s="504"/>
      <c r="AN234" s="504"/>
    </row>
    <row r="235" spans="1:40" ht="33" customHeight="1">
      <c r="B235" s="499"/>
      <c r="C235" s="496" t="s">
        <v>228</v>
      </c>
      <c r="D235" s="2"/>
      <c r="E235" s="2"/>
      <c r="F235" s="2"/>
      <c r="G235" s="2"/>
      <c r="H235" s="494"/>
      <c r="I235" s="494"/>
      <c r="J235" s="494"/>
      <c r="K235" s="3" t="s">
        <v>100</v>
      </c>
      <c r="L235" s="2"/>
      <c r="M235" s="2"/>
      <c r="N235" s="494"/>
      <c r="O235" s="494"/>
      <c r="P235" s="2"/>
      <c r="Q235" s="494"/>
      <c r="R235" s="2"/>
      <c r="S235" s="5" t="s">
        <v>229</v>
      </c>
      <c r="T235" s="2"/>
      <c r="U235" s="496"/>
      <c r="V235" s="498"/>
      <c r="W235" s="498"/>
      <c r="X235" s="498"/>
      <c r="Y235" s="498"/>
      <c r="Z235" s="498"/>
      <c r="AA235" s="498"/>
      <c r="AB235" s="498"/>
      <c r="AC235" s="498"/>
      <c r="AD235" s="498"/>
      <c r="AE235" s="498"/>
      <c r="AF235" s="498"/>
      <c r="AG235" s="498"/>
      <c r="AH235" s="498"/>
      <c r="AI235" s="498"/>
      <c r="AJ235" s="498"/>
      <c r="AK235" s="498"/>
      <c r="AL235" s="498"/>
      <c r="AM235" s="498"/>
      <c r="AN235" s="498"/>
    </row>
    <row r="236" spans="1:40" ht="24" customHeight="1" thickBot="1">
      <c r="B236" s="499"/>
      <c r="C236" s="8"/>
      <c r="D236" s="498"/>
      <c r="E236" s="498"/>
      <c r="F236" s="498"/>
      <c r="G236" s="498"/>
      <c r="H236" s="498"/>
      <c r="I236" s="498"/>
      <c r="J236" s="498"/>
      <c r="K236" s="498"/>
      <c r="L236" s="498"/>
      <c r="M236" s="498"/>
      <c r="N236" s="498"/>
      <c r="O236" s="498"/>
      <c r="P236" s="498"/>
      <c r="Q236" s="498"/>
      <c r="R236" s="498"/>
      <c r="S236" s="498"/>
      <c r="T236" s="498"/>
      <c r="U236" s="498"/>
      <c r="V236" s="496"/>
      <c r="W236" s="496"/>
      <c r="X236" s="496"/>
      <c r="Y236" s="496"/>
      <c r="Z236" s="496"/>
      <c r="AA236" s="496"/>
      <c r="AB236" s="496"/>
      <c r="AC236" s="496"/>
      <c r="AD236" s="496"/>
      <c r="AE236" s="496"/>
      <c r="AF236" s="496"/>
      <c r="AG236" s="496"/>
      <c r="AH236" s="496"/>
      <c r="AI236" s="496"/>
      <c r="AJ236" s="496"/>
      <c r="AK236" s="496"/>
      <c r="AL236" s="496"/>
      <c r="AM236" s="496"/>
      <c r="AN236" s="496"/>
    </row>
    <row r="237" spans="1:40" ht="15.75" customHeight="1" thickTop="1">
      <c r="B237" s="499"/>
      <c r="C237" s="500"/>
      <c r="D237" s="488" t="s">
        <v>5</v>
      </c>
      <c r="E237" s="501"/>
      <c r="F237" s="502"/>
      <c r="G237" s="489" t="s">
        <v>75</v>
      </c>
      <c r="H237" s="501"/>
      <c r="I237" s="502"/>
      <c r="J237" s="489" t="s">
        <v>7</v>
      </c>
      <c r="K237" s="501"/>
      <c r="L237" s="502"/>
      <c r="M237" s="489" t="s">
        <v>8</v>
      </c>
      <c r="N237" s="502"/>
      <c r="O237" s="488" t="s">
        <v>9</v>
      </c>
      <c r="P237" s="501"/>
      <c r="Q237" s="502"/>
      <c r="R237" s="489" t="s">
        <v>10</v>
      </c>
      <c r="S237" s="503"/>
      <c r="T237" s="153"/>
      <c r="U237" s="504"/>
      <c r="V237" s="498"/>
      <c r="W237" s="498"/>
      <c r="X237" s="498"/>
      <c r="Y237" s="498"/>
      <c r="Z237" s="498"/>
      <c r="AA237" s="498"/>
      <c r="AB237" s="498"/>
      <c r="AC237" s="498"/>
      <c r="AD237" s="498"/>
      <c r="AE237" s="498"/>
      <c r="AF237" s="498"/>
      <c r="AG237" s="498"/>
      <c r="AH237" s="498"/>
      <c r="AI237" s="498"/>
      <c r="AJ237" s="498"/>
      <c r="AK237" s="498"/>
      <c r="AL237" s="498"/>
      <c r="AM237" s="498"/>
      <c r="AN237" s="498"/>
    </row>
    <row r="238" spans="1:40" ht="15.75" customHeight="1">
      <c r="A238" s="493" t="s">
        <v>100</v>
      </c>
      <c r="B238" s="499" t="s">
        <v>100</v>
      </c>
      <c r="C238" s="513"/>
      <c r="D238" s="81" t="s">
        <v>41</v>
      </c>
      <c r="E238" s="81" t="s">
        <v>85</v>
      </c>
      <c r="F238" s="137" t="s">
        <v>13</v>
      </c>
      <c r="G238" s="138" t="s">
        <v>41</v>
      </c>
      <c r="H238" s="81" t="s">
        <v>85</v>
      </c>
      <c r="I238" s="137" t="s">
        <v>13</v>
      </c>
      <c r="J238" s="138" t="s">
        <v>41</v>
      </c>
      <c r="K238" s="81" t="s">
        <v>85</v>
      </c>
      <c r="L238" s="137" t="s">
        <v>13</v>
      </c>
      <c r="M238" s="138" t="s">
        <v>41</v>
      </c>
      <c r="N238" s="137" t="s">
        <v>13</v>
      </c>
      <c r="O238" s="81" t="s">
        <v>41</v>
      </c>
      <c r="P238" s="81" t="s">
        <v>85</v>
      </c>
      <c r="Q238" s="137" t="s">
        <v>13</v>
      </c>
      <c r="R238" s="138" t="s">
        <v>86</v>
      </c>
      <c r="S238" s="139" t="s">
        <v>13</v>
      </c>
      <c r="T238" s="81"/>
      <c r="U238" s="504"/>
      <c r="V238" s="504"/>
      <c r="W238" s="504"/>
      <c r="X238" s="504"/>
      <c r="Y238" s="504"/>
      <c r="Z238" s="504"/>
      <c r="AA238" s="504"/>
      <c r="AB238" s="504"/>
      <c r="AC238" s="504"/>
      <c r="AD238" s="504"/>
      <c r="AE238" s="504"/>
      <c r="AF238" s="504"/>
      <c r="AG238" s="504"/>
      <c r="AH238" s="504"/>
      <c r="AI238" s="504"/>
      <c r="AJ238" s="504"/>
      <c r="AK238" s="504"/>
      <c r="AL238" s="504"/>
      <c r="AM238" s="504"/>
      <c r="AN238" s="504"/>
    </row>
    <row r="239" spans="1:40" ht="15.75" customHeight="1">
      <c r="A239" s="493" t="s">
        <v>100</v>
      </c>
      <c r="B239" s="499" t="s">
        <v>100</v>
      </c>
      <c r="C239" s="513"/>
      <c r="D239" s="81"/>
      <c r="E239" s="81"/>
      <c r="F239" s="137"/>
      <c r="G239" s="138"/>
      <c r="H239" s="81"/>
      <c r="I239" s="137"/>
      <c r="J239" s="138"/>
      <c r="K239" s="514"/>
      <c r="L239" s="517"/>
      <c r="M239" s="138"/>
      <c r="N239" s="137"/>
      <c r="O239" s="81"/>
      <c r="P239" s="81"/>
      <c r="Q239" s="137"/>
      <c r="R239" s="138"/>
      <c r="S239" s="139"/>
      <c r="T239" s="81"/>
      <c r="U239" s="504"/>
      <c r="V239" s="504"/>
      <c r="W239" s="504"/>
      <c r="X239" s="504"/>
      <c r="Y239" s="504"/>
      <c r="Z239" s="504"/>
      <c r="AA239" s="504"/>
      <c r="AB239" s="504"/>
      <c r="AC239" s="504"/>
      <c r="AD239" s="504"/>
      <c r="AE239" s="504"/>
      <c r="AF239" s="504"/>
      <c r="AG239" s="504"/>
      <c r="AH239" s="504"/>
      <c r="AI239" s="504"/>
      <c r="AJ239" s="504"/>
      <c r="AK239" s="504"/>
      <c r="AL239" s="504"/>
      <c r="AM239" s="504"/>
      <c r="AN239" s="504"/>
    </row>
    <row r="240" spans="1:40" ht="15.75" customHeight="1">
      <c r="A240" s="493" t="s">
        <v>376</v>
      </c>
      <c r="B240" s="499" t="s">
        <v>100</v>
      </c>
      <c r="C240" s="513" t="s">
        <v>101</v>
      </c>
      <c r="D240" s="81">
        <v>0</v>
      </c>
      <c r="E240" s="565">
        <v>97085.589741353921</v>
      </c>
      <c r="F240" s="565">
        <v>21475.424411169763</v>
      </c>
      <c r="G240" s="627">
        <v>0</v>
      </c>
      <c r="H240" s="565">
        <v>97085.589741353921</v>
      </c>
      <c r="I240" s="565">
        <v>21475.424411169763</v>
      </c>
      <c r="J240" s="546">
        <v>86</v>
      </c>
      <c r="K240" s="514">
        <v>106473.93999999999</v>
      </c>
      <c r="L240" s="517">
        <v>25264.62999999999</v>
      </c>
      <c r="M240" s="628">
        <v>9.6701789458740542E-2</v>
      </c>
      <c r="N240" s="545">
        <v>3789.2055888302275</v>
      </c>
      <c r="O240" s="546">
        <v>68</v>
      </c>
      <c r="P240" s="514">
        <v>97268.499999999985</v>
      </c>
      <c r="Q240" s="517">
        <v>19241.969999999994</v>
      </c>
      <c r="R240" s="628">
        <v>1.2647058823529411</v>
      </c>
      <c r="S240" s="567">
        <v>6022.6599999999962</v>
      </c>
      <c r="T240" s="81"/>
      <c r="U240" s="504"/>
      <c r="V240" s="504"/>
      <c r="W240" s="504"/>
      <c r="X240" s="504"/>
      <c r="Y240" s="504"/>
      <c r="Z240" s="504"/>
      <c r="AA240" s="504"/>
      <c r="AB240" s="504"/>
      <c r="AC240" s="504"/>
      <c r="AD240" s="504"/>
      <c r="AE240" s="504"/>
      <c r="AF240" s="504"/>
      <c r="AG240" s="504"/>
      <c r="AH240" s="504"/>
      <c r="AI240" s="504"/>
      <c r="AJ240" s="504"/>
      <c r="AK240" s="504"/>
      <c r="AL240" s="504"/>
      <c r="AM240" s="504"/>
      <c r="AN240" s="504"/>
    </row>
    <row r="241" spans="1:40" ht="15.75" customHeight="1">
      <c r="A241" s="493" t="s">
        <v>377</v>
      </c>
      <c r="B241" s="499" t="s">
        <v>100</v>
      </c>
      <c r="C241" s="513" t="s">
        <v>88</v>
      </c>
      <c r="D241" s="81"/>
      <c r="E241" s="618"/>
      <c r="F241" s="629">
        <v>0.2212009472093904</v>
      </c>
      <c r="G241" s="525"/>
      <c r="H241" s="618"/>
      <c r="I241" s="629">
        <v>0.2212009472093904</v>
      </c>
      <c r="J241" s="546"/>
      <c r="K241" s="504"/>
      <c r="L241" s="629">
        <v>0.23728463509474707</v>
      </c>
      <c r="M241" s="628"/>
      <c r="N241" s="545">
        <v>39184.441260489359</v>
      </c>
      <c r="O241" s="546"/>
      <c r="P241" s="504"/>
      <c r="Q241" s="629">
        <v>0.19782324185116454</v>
      </c>
      <c r="R241" s="546"/>
      <c r="S241" s="567">
        <v>4762.1032558139505</v>
      </c>
      <c r="T241" s="81"/>
      <c r="U241" s="504"/>
      <c r="V241" s="504"/>
      <c r="W241" s="504"/>
      <c r="X241" s="504"/>
      <c r="Y241" s="504"/>
      <c r="Z241" s="504"/>
      <c r="AA241" s="504"/>
      <c r="AB241" s="504"/>
      <c r="AC241" s="504"/>
      <c r="AD241" s="504"/>
      <c r="AE241" s="504"/>
      <c r="AF241" s="504"/>
      <c r="AG241" s="504"/>
      <c r="AH241" s="504"/>
      <c r="AI241" s="504"/>
      <c r="AJ241" s="504"/>
      <c r="AK241" s="504"/>
      <c r="AL241" s="504"/>
      <c r="AM241" s="504"/>
      <c r="AN241" s="504"/>
    </row>
    <row r="242" spans="1:40" ht="15.75" customHeight="1">
      <c r="A242" s="493" t="s">
        <v>100</v>
      </c>
      <c r="B242" s="499" t="s">
        <v>100</v>
      </c>
      <c r="C242" s="513"/>
      <c r="D242" s="81"/>
      <c r="E242" s="209"/>
      <c r="F242" s="210"/>
      <c r="G242" s="138"/>
      <c r="H242" s="209"/>
      <c r="I242" s="210"/>
      <c r="J242" s="138"/>
      <c r="K242" s="81"/>
      <c r="L242" s="137"/>
      <c r="M242" s="138"/>
      <c r="N242" s="137"/>
      <c r="O242" s="138"/>
      <c r="P242" s="81"/>
      <c r="Q242" s="137"/>
      <c r="R242" s="211"/>
      <c r="S242" s="139"/>
      <c r="T242" s="81"/>
      <c r="U242" s="504"/>
      <c r="V242" s="504"/>
      <c r="W242" s="504"/>
      <c r="X242" s="504"/>
      <c r="Y242" s="504"/>
      <c r="Z242" s="504"/>
      <c r="AA242" s="504"/>
      <c r="AB242" s="504"/>
      <c r="AC242" s="504"/>
      <c r="AD242" s="504"/>
      <c r="AE242" s="504"/>
      <c r="AF242" s="504"/>
      <c r="AG242" s="504"/>
      <c r="AH242" s="504"/>
      <c r="AI242" s="504"/>
      <c r="AJ242" s="504"/>
      <c r="AK242" s="504"/>
      <c r="AL242" s="504"/>
      <c r="AM242" s="504"/>
      <c r="AN242" s="504"/>
    </row>
    <row r="243" spans="1:40" ht="15.75" customHeight="1">
      <c r="A243" s="493" t="s">
        <v>378</v>
      </c>
      <c r="B243" s="499" t="s">
        <v>100</v>
      </c>
      <c r="C243" s="506" t="s">
        <v>102</v>
      </c>
      <c r="D243" s="587">
        <v>0</v>
      </c>
      <c r="E243" s="565">
        <v>0</v>
      </c>
      <c r="F243" s="565">
        <v>0</v>
      </c>
      <c r="G243" s="683">
        <v>0</v>
      </c>
      <c r="H243" s="565">
        <v>0</v>
      </c>
      <c r="I243" s="565">
        <v>0</v>
      </c>
      <c r="J243" s="636">
        <v>0</v>
      </c>
      <c r="K243" s="637">
        <v>0</v>
      </c>
      <c r="L243" s="589">
        <v>0</v>
      </c>
      <c r="M243" s="646" t="e">
        <v>#DIV/0!</v>
      </c>
      <c r="N243" s="590">
        <v>0</v>
      </c>
      <c r="O243" s="636">
        <v>0</v>
      </c>
      <c r="P243" s="637">
        <v>0</v>
      </c>
      <c r="Q243" s="589">
        <v>0</v>
      </c>
      <c r="R243" s="628">
        <v>0</v>
      </c>
      <c r="S243" s="591">
        <v>0</v>
      </c>
      <c r="T243" s="622"/>
      <c r="U243" s="504"/>
      <c r="V243" s="504"/>
      <c r="W243" s="504"/>
      <c r="X243" s="504"/>
      <c r="Y243" s="504"/>
      <c r="Z243" s="504"/>
      <c r="AA243" s="504"/>
      <c r="AB243" s="504"/>
      <c r="AC243" s="504"/>
      <c r="AD243" s="504"/>
      <c r="AE243" s="504"/>
      <c r="AF243" s="504"/>
      <c r="AG243" s="504"/>
      <c r="AH243" s="504"/>
      <c r="AI243" s="504"/>
      <c r="AJ243" s="504"/>
      <c r="AK243" s="504"/>
      <c r="AL243" s="504"/>
      <c r="AM243" s="504"/>
      <c r="AN243" s="504"/>
    </row>
    <row r="244" spans="1:40" ht="15.75" customHeight="1">
      <c r="A244" s="493" t="s">
        <v>377</v>
      </c>
      <c r="B244" s="499" t="s">
        <v>100</v>
      </c>
      <c r="C244" s="513" t="s">
        <v>88</v>
      </c>
      <c r="D244" s="504"/>
      <c r="E244" s="618"/>
      <c r="F244" s="629" t="e">
        <v>#DIV/0!</v>
      </c>
      <c r="G244" s="525"/>
      <c r="H244" s="618"/>
      <c r="I244" s="629" t="e">
        <v>#DIV/0!</v>
      </c>
      <c r="J244" s="546"/>
      <c r="K244" s="504"/>
      <c r="L244" s="629">
        <v>0</v>
      </c>
      <c r="M244" s="628"/>
      <c r="N244" s="545" t="e">
        <v>#DIV/0!</v>
      </c>
      <c r="O244" s="546"/>
      <c r="P244" s="504"/>
      <c r="Q244" s="629">
        <v>0</v>
      </c>
      <c r="R244" s="546"/>
      <c r="S244" s="567">
        <v>0</v>
      </c>
      <c r="T244" s="622"/>
      <c r="U244" s="504"/>
      <c r="V244" s="504"/>
      <c r="W244" s="504"/>
      <c r="X244" s="504"/>
      <c r="Y244" s="504"/>
      <c r="Z244" s="504"/>
      <c r="AA244" s="504"/>
      <c r="AB244" s="504"/>
      <c r="AC244" s="504"/>
      <c r="AD244" s="504"/>
      <c r="AE244" s="504"/>
      <c r="AF244" s="504"/>
      <c r="AG244" s="504"/>
      <c r="AH244" s="504"/>
      <c r="AI244" s="504"/>
      <c r="AJ244" s="504"/>
      <c r="AK244" s="504"/>
      <c r="AL244" s="504"/>
      <c r="AM244" s="504"/>
      <c r="AN244" s="504"/>
    </row>
    <row r="245" spans="1:40" ht="15.75" customHeight="1">
      <c r="A245" s="493" t="s">
        <v>100</v>
      </c>
      <c r="B245" s="499" t="s">
        <v>100</v>
      </c>
      <c r="C245" s="568"/>
      <c r="D245" s="592"/>
      <c r="E245" s="630"/>
      <c r="F245" s="631"/>
      <c r="G245" s="509"/>
      <c r="H245" s="642"/>
      <c r="I245" s="631"/>
      <c r="J245" s="632"/>
      <c r="K245" s="684"/>
      <c r="L245" s="631"/>
      <c r="M245" s="634"/>
      <c r="N245" s="573"/>
      <c r="O245" s="632"/>
      <c r="P245" s="684"/>
      <c r="Q245" s="631"/>
      <c r="R245" s="632"/>
      <c r="S245" s="574"/>
      <c r="T245" s="622"/>
      <c r="U245" s="504"/>
      <c r="V245" s="504"/>
      <c r="W245" s="504"/>
      <c r="X245" s="504"/>
      <c r="Y245" s="504"/>
      <c r="Z245" s="504"/>
      <c r="AA245" s="504"/>
      <c r="AB245" s="504"/>
      <c r="AC245" s="504"/>
      <c r="AD245" s="504"/>
      <c r="AE245" s="504"/>
      <c r="AF245" s="504"/>
      <c r="AG245" s="504"/>
      <c r="AH245" s="504"/>
      <c r="AI245" s="504"/>
      <c r="AJ245" s="504"/>
      <c r="AK245" s="504"/>
      <c r="AL245" s="504"/>
      <c r="AM245" s="504"/>
      <c r="AN245" s="504"/>
    </row>
    <row r="246" spans="1:40" ht="15.75" customHeight="1">
      <c r="A246" s="493" t="s">
        <v>379</v>
      </c>
      <c r="B246" s="499" t="s">
        <v>100</v>
      </c>
      <c r="C246" s="506" t="s">
        <v>103</v>
      </c>
      <c r="D246" s="635">
        <v>0</v>
      </c>
      <c r="E246" s="565">
        <v>0</v>
      </c>
      <c r="F246" s="565">
        <v>0</v>
      </c>
      <c r="G246" s="636">
        <v>0</v>
      </c>
      <c r="H246" s="565">
        <v>0</v>
      </c>
      <c r="I246" s="565">
        <v>0</v>
      </c>
      <c r="J246" s="636">
        <v>0</v>
      </c>
      <c r="K246" s="514">
        <v>0</v>
      </c>
      <c r="L246" s="517">
        <v>0</v>
      </c>
      <c r="M246" s="628" t="e">
        <v>#DIV/0!</v>
      </c>
      <c r="N246" s="590">
        <v>0</v>
      </c>
      <c r="O246" s="636">
        <v>0</v>
      </c>
      <c r="P246" s="514">
        <v>0</v>
      </c>
      <c r="Q246" s="517">
        <v>0</v>
      </c>
      <c r="R246" s="628">
        <v>0</v>
      </c>
      <c r="S246" s="567">
        <v>0</v>
      </c>
      <c r="T246" s="622"/>
      <c r="U246" s="504"/>
      <c r="V246" s="504"/>
      <c r="W246" s="504"/>
      <c r="X246" s="504"/>
      <c r="Y246" s="504"/>
      <c r="Z246" s="504"/>
      <c r="AA246" s="504"/>
      <c r="AB246" s="504"/>
      <c r="AC246" s="504"/>
      <c r="AD246" s="504"/>
      <c r="AE246" s="504"/>
      <c r="AF246" s="504"/>
      <c r="AG246" s="504"/>
      <c r="AH246" s="504"/>
      <c r="AI246" s="504"/>
      <c r="AJ246" s="504"/>
      <c r="AK246" s="504"/>
      <c r="AL246" s="504"/>
      <c r="AM246" s="504"/>
      <c r="AN246" s="504"/>
    </row>
    <row r="247" spans="1:40" ht="15.75" customHeight="1">
      <c r="A247" s="493" t="s">
        <v>377</v>
      </c>
      <c r="B247" s="499" t="s">
        <v>100</v>
      </c>
      <c r="C247" s="513" t="s">
        <v>88</v>
      </c>
      <c r="D247" s="504"/>
      <c r="E247" s="504"/>
      <c r="F247" s="629" t="e">
        <v>#DIV/0!</v>
      </c>
      <c r="G247" s="525"/>
      <c r="H247" s="504"/>
      <c r="I247" s="629" t="e">
        <v>#DIV/0!</v>
      </c>
      <c r="J247" s="525"/>
      <c r="K247" s="504"/>
      <c r="L247" s="629">
        <v>0</v>
      </c>
      <c r="M247" s="526"/>
      <c r="N247" s="527" t="e">
        <v>#DIV/0!</v>
      </c>
      <c r="O247" s="525"/>
      <c r="P247" s="504"/>
      <c r="Q247" s="629">
        <v>0</v>
      </c>
      <c r="R247" s="526"/>
      <c r="S247" s="528">
        <v>0</v>
      </c>
      <c r="T247" s="622"/>
      <c r="U247" s="504"/>
      <c r="V247" s="504"/>
      <c r="W247" s="504"/>
      <c r="X247" s="504"/>
      <c r="Y247" s="504"/>
      <c r="Z247" s="504"/>
      <c r="AA247" s="504"/>
      <c r="AB247" s="504"/>
      <c r="AC247" s="504"/>
      <c r="AD247" s="504"/>
      <c r="AE247" s="504"/>
      <c r="AF247" s="504"/>
      <c r="AG247" s="504"/>
      <c r="AH247" s="504"/>
      <c r="AI247" s="504"/>
      <c r="AJ247" s="504"/>
      <c r="AK247" s="504"/>
      <c r="AL247" s="504"/>
      <c r="AM247" s="504"/>
      <c r="AN247" s="504"/>
    </row>
    <row r="248" spans="1:40" ht="15.75" customHeight="1" thickBot="1">
      <c r="A248" s="493" t="s">
        <v>100</v>
      </c>
      <c r="B248" s="499" t="s">
        <v>100</v>
      </c>
      <c r="C248" s="513"/>
      <c r="D248" s="504"/>
      <c r="E248" s="504"/>
      <c r="F248" s="629"/>
      <c r="G248" s="525"/>
      <c r="H248" s="504"/>
      <c r="I248" s="629"/>
      <c r="J248" s="525"/>
      <c r="K248" s="504"/>
      <c r="L248" s="629"/>
      <c r="M248" s="526"/>
      <c r="N248" s="527"/>
      <c r="O248" s="525"/>
      <c r="P248" s="504"/>
      <c r="Q248" s="629"/>
      <c r="R248" s="526"/>
      <c r="S248" s="528"/>
      <c r="T248" s="622"/>
      <c r="U248" s="504"/>
      <c r="V248" s="504"/>
      <c r="W248" s="504"/>
      <c r="X248" s="504"/>
      <c r="Y248" s="504"/>
      <c r="Z248" s="504"/>
      <c r="AA248" s="504"/>
      <c r="AB248" s="504"/>
      <c r="AC248" s="504"/>
      <c r="AD248" s="504"/>
      <c r="AE248" s="504"/>
      <c r="AF248" s="504"/>
      <c r="AG248" s="504"/>
      <c r="AH248" s="504"/>
      <c r="AI248" s="504"/>
      <c r="AJ248" s="504"/>
      <c r="AK248" s="504"/>
      <c r="AL248" s="504"/>
      <c r="AM248" s="504"/>
      <c r="AN248" s="504"/>
    </row>
    <row r="249" spans="1:40" ht="15.75" customHeight="1" thickTop="1">
      <c r="A249" s="493" t="s">
        <v>380</v>
      </c>
      <c r="B249" s="499" t="s">
        <v>100</v>
      </c>
      <c r="C249" s="548" t="s">
        <v>97</v>
      </c>
      <c r="D249" s="549"/>
      <c r="E249" s="549">
        <v>97085.589741353921</v>
      </c>
      <c r="F249" s="551">
        <v>21475.424411169763</v>
      </c>
      <c r="G249" s="552"/>
      <c r="H249" s="549">
        <v>97085.589741353921</v>
      </c>
      <c r="I249" s="551">
        <v>21475.424411169763</v>
      </c>
      <c r="J249" s="552"/>
      <c r="K249" s="549">
        <v>106473.93999999999</v>
      </c>
      <c r="L249" s="551">
        <v>25264.62999999999</v>
      </c>
      <c r="M249" s="681">
        <v>1.6083687885356662E-2</v>
      </c>
      <c r="N249" s="551">
        <v>3789.2055888302275</v>
      </c>
      <c r="O249" s="552"/>
      <c r="P249" s="549">
        <v>97268.499999999985</v>
      </c>
      <c r="Q249" s="551">
        <v>19241.969999999994</v>
      </c>
      <c r="R249" s="681">
        <v>3.9461393243582527E-2</v>
      </c>
      <c r="S249" s="554">
        <v>6022.6599999999962</v>
      </c>
      <c r="T249" s="622"/>
      <c r="U249" s="504"/>
      <c r="V249" s="504"/>
      <c r="W249" s="504"/>
      <c r="X249" s="504"/>
      <c r="Y249" s="504"/>
      <c r="Z249" s="504"/>
      <c r="AA249" s="504"/>
      <c r="AB249" s="504"/>
      <c r="AC249" s="504"/>
      <c r="AD249" s="504"/>
      <c r="AE249" s="504"/>
      <c r="AF249" s="504"/>
      <c r="AG249" s="504"/>
      <c r="AH249" s="504"/>
      <c r="AI249" s="504"/>
      <c r="AJ249" s="504"/>
      <c r="AK249" s="504"/>
      <c r="AL249" s="504"/>
      <c r="AM249" s="504"/>
      <c r="AN249" s="504"/>
    </row>
    <row r="250" spans="1:40" ht="23.25" customHeight="1" thickBot="1">
      <c r="A250" s="493" t="s">
        <v>100</v>
      </c>
      <c r="B250" s="499" t="s">
        <v>100</v>
      </c>
      <c r="C250" s="555"/>
      <c r="D250" s="556"/>
      <c r="E250" s="556"/>
      <c r="F250" s="560">
        <v>0.2212009472093904</v>
      </c>
      <c r="G250" s="558"/>
      <c r="H250" s="556"/>
      <c r="I250" s="560">
        <v>0.2212009472093904</v>
      </c>
      <c r="J250" s="558"/>
      <c r="K250" s="556"/>
      <c r="L250" s="560">
        <v>0.23728463509474707</v>
      </c>
      <c r="M250" s="559"/>
      <c r="N250" s="560">
        <v>0.17644380461507397</v>
      </c>
      <c r="O250" s="558"/>
      <c r="P250" s="556"/>
      <c r="Q250" s="560">
        <v>0.19782324185116454</v>
      </c>
      <c r="R250" s="559"/>
      <c r="S250" s="561">
        <v>152621.57529066567</v>
      </c>
      <c r="T250" s="622"/>
      <c r="U250" s="504"/>
      <c r="V250" s="504"/>
      <c r="W250" s="504"/>
      <c r="X250" s="504"/>
      <c r="Y250" s="504"/>
      <c r="Z250" s="504"/>
      <c r="AA250" s="504"/>
      <c r="AB250" s="504"/>
      <c r="AC250" s="504"/>
      <c r="AD250" s="504"/>
      <c r="AE250" s="504"/>
      <c r="AF250" s="504"/>
      <c r="AG250" s="504"/>
      <c r="AH250" s="504"/>
      <c r="AI250" s="504"/>
      <c r="AJ250" s="504"/>
      <c r="AK250" s="504"/>
      <c r="AL250" s="504"/>
      <c r="AM250" s="504"/>
      <c r="AN250" s="504"/>
    </row>
    <row r="251" spans="1:40" ht="15.75" customHeight="1" thickTop="1">
      <c r="A251" s="493" t="s">
        <v>100</v>
      </c>
      <c r="B251" s="499" t="s">
        <v>100</v>
      </c>
      <c r="C251" s="513"/>
      <c r="D251" s="504"/>
      <c r="E251" s="504"/>
      <c r="F251" s="545"/>
      <c r="G251" s="525"/>
      <c r="H251" s="504"/>
      <c r="I251" s="545"/>
      <c r="J251" s="525"/>
      <c r="K251" s="504"/>
      <c r="L251" s="524"/>
      <c r="M251" s="525"/>
      <c r="N251" s="524"/>
      <c r="O251" s="525"/>
      <c r="P251" s="504"/>
      <c r="Q251" s="524"/>
      <c r="R251" s="525"/>
      <c r="S251" s="547"/>
      <c r="T251" s="504"/>
      <c r="U251" s="504"/>
      <c r="V251" s="504"/>
      <c r="W251" s="504"/>
      <c r="X251" s="504"/>
      <c r="Y251" s="504"/>
      <c r="Z251" s="504"/>
      <c r="AA251" s="504"/>
      <c r="AB251" s="504"/>
      <c r="AC251" s="504"/>
      <c r="AD251" s="504"/>
      <c r="AE251" s="504"/>
      <c r="AF251" s="504"/>
      <c r="AG251" s="504"/>
      <c r="AH251" s="504"/>
      <c r="AI251" s="504"/>
      <c r="AJ251" s="504"/>
      <c r="AK251" s="504"/>
      <c r="AL251" s="504"/>
      <c r="AM251" s="504"/>
      <c r="AN251" s="504"/>
    </row>
    <row r="252" spans="1:40" ht="15.75" customHeight="1">
      <c r="A252" s="493" t="s">
        <v>381</v>
      </c>
      <c r="B252" s="499" t="s">
        <v>100</v>
      </c>
      <c r="C252" s="80" t="s">
        <v>31</v>
      </c>
      <c r="D252" s="504"/>
      <c r="E252" s="504"/>
      <c r="F252" s="545"/>
      <c r="G252" s="525"/>
      <c r="H252" s="504"/>
      <c r="I252" s="545"/>
      <c r="J252" s="525"/>
      <c r="K252" s="504"/>
      <c r="L252" s="524"/>
      <c r="M252" s="525"/>
      <c r="N252" s="524"/>
      <c r="O252" s="525"/>
      <c r="P252" s="504"/>
      <c r="Q252" s="524"/>
      <c r="R252" s="525"/>
      <c r="S252" s="547"/>
      <c r="T252" s="504"/>
      <c r="U252" s="504"/>
      <c r="V252" s="504"/>
      <c r="W252" s="504"/>
      <c r="X252" s="504"/>
      <c r="Y252" s="504"/>
      <c r="Z252" s="504"/>
      <c r="AA252" s="504"/>
      <c r="AB252" s="504"/>
      <c r="AC252" s="504"/>
      <c r="AD252" s="504"/>
      <c r="AE252" s="504"/>
      <c r="AF252" s="504"/>
      <c r="AG252" s="504"/>
      <c r="AH252" s="504"/>
      <c r="AI252" s="504"/>
      <c r="AJ252" s="504"/>
      <c r="AK252" s="504"/>
      <c r="AL252" s="504"/>
      <c r="AM252" s="504"/>
      <c r="AN252" s="504"/>
    </row>
    <row r="253" spans="1:40" ht="15.75" customHeight="1">
      <c r="A253" s="493" t="s">
        <v>382</v>
      </c>
      <c r="B253" s="499" t="s">
        <v>100</v>
      </c>
      <c r="C253" s="585" t="s">
        <v>42</v>
      </c>
      <c r="D253" s="504"/>
      <c r="E253" s="504"/>
      <c r="F253" s="514">
        <v>310.99511494252874</v>
      </c>
      <c r="G253" s="525"/>
      <c r="H253" s="504"/>
      <c r="I253" s="514">
        <v>310.99511494252874</v>
      </c>
      <c r="J253" s="525"/>
      <c r="K253" s="504"/>
      <c r="L253" s="517">
        <v>901.88</v>
      </c>
      <c r="M253" s="525"/>
      <c r="N253" s="545">
        <v>590.88488505747125</v>
      </c>
      <c r="O253" s="525"/>
      <c r="P253" s="504"/>
      <c r="Q253" s="517">
        <v>809.12</v>
      </c>
      <c r="R253" s="525"/>
      <c r="S253" s="518">
        <v>92.759999999999991</v>
      </c>
      <c r="T253" s="504"/>
      <c r="U253" s="504"/>
      <c r="V253" s="504"/>
      <c r="W253" s="504"/>
      <c r="X253" s="504"/>
      <c r="Y253" s="504"/>
      <c r="Z253" s="504"/>
      <c r="AA253" s="504"/>
      <c r="AB253" s="504"/>
      <c r="AC253" s="504"/>
      <c r="AD253" s="504"/>
      <c r="AE253" s="504"/>
      <c r="AF253" s="504"/>
      <c r="AG253" s="504"/>
      <c r="AH253" s="504"/>
      <c r="AI253" s="504"/>
      <c r="AJ253" s="504"/>
      <c r="AK253" s="504"/>
      <c r="AL253" s="504"/>
      <c r="AM253" s="504"/>
      <c r="AN253" s="504"/>
    </row>
    <row r="254" spans="1:40" ht="15.75" customHeight="1">
      <c r="A254" s="493" t="s">
        <v>383</v>
      </c>
      <c r="B254" s="499" t="s">
        <v>100</v>
      </c>
      <c r="C254" s="586" t="s">
        <v>43</v>
      </c>
      <c r="D254" s="82"/>
      <c r="E254" s="504"/>
      <c r="F254" s="508">
        <v>521.45033666091956</v>
      </c>
      <c r="G254" s="84"/>
      <c r="H254" s="504"/>
      <c r="I254" s="508">
        <v>521.45033666091956</v>
      </c>
      <c r="J254" s="525"/>
      <c r="K254" s="504"/>
      <c r="L254" s="517">
        <v>454.74</v>
      </c>
      <c r="M254" s="525"/>
      <c r="N254" s="545">
        <v>-66.710336660919552</v>
      </c>
      <c r="O254" s="525"/>
      <c r="P254" s="504"/>
      <c r="Q254" s="517">
        <v>526.82000000000005</v>
      </c>
      <c r="R254" s="525"/>
      <c r="S254" s="567">
        <v>-72.080000000000041</v>
      </c>
      <c r="T254" s="504"/>
      <c r="U254" s="504"/>
      <c r="V254" s="504"/>
      <c r="W254" s="504"/>
      <c r="X254" s="504"/>
      <c r="Y254" s="504"/>
      <c r="Z254" s="504"/>
      <c r="AA254" s="504"/>
      <c r="AB254" s="504"/>
      <c r="AC254" s="504"/>
      <c r="AD254" s="504"/>
      <c r="AE254" s="504"/>
      <c r="AF254" s="504"/>
      <c r="AG254" s="504"/>
      <c r="AH254" s="504"/>
      <c r="AI254" s="504"/>
      <c r="AJ254" s="504"/>
      <c r="AK254" s="504"/>
      <c r="AL254" s="504"/>
      <c r="AM254" s="504"/>
      <c r="AN254" s="504"/>
    </row>
    <row r="255" spans="1:40" ht="15.75" customHeight="1">
      <c r="A255" s="493" t="s">
        <v>384</v>
      </c>
      <c r="B255" s="499" t="s">
        <v>100</v>
      </c>
      <c r="C255" s="585" t="s">
        <v>44</v>
      </c>
      <c r="D255" s="107"/>
      <c r="E255" s="587"/>
      <c r="F255" s="514">
        <v>448.55861963218388</v>
      </c>
      <c r="G255" s="109"/>
      <c r="H255" s="587"/>
      <c r="I255" s="514">
        <v>448.55861963218388</v>
      </c>
      <c r="J255" s="588"/>
      <c r="K255" s="587"/>
      <c r="L255" s="589">
        <v>1.18</v>
      </c>
      <c r="M255" s="588"/>
      <c r="N255" s="590">
        <v>-447.37861963218387</v>
      </c>
      <c r="O255" s="588"/>
      <c r="P255" s="587"/>
      <c r="Q255" s="589">
        <v>3668.29</v>
      </c>
      <c r="R255" s="588"/>
      <c r="S255" s="591">
        <v>-3667.11</v>
      </c>
      <c r="T255" s="504"/>
      <c r="U255" s="504"/>
      <c r="V255" s="504"/>
      <c r="W255" s="504"/>
      <c r="X255" s="504"/>
      <c r="Y255" s="504"/>
      <c r="Z255" s="504"/>
      <c r="AA255" s="504"/>
      <c r="AB255" s="504"/>
      <c r="AC255" s="504"/>
      <c r="AD255" s="504"/>
      <c r="AE255" s="504"/>
      <c r="AF255" s="504"/>
      <c r="AG255" s="504"/>
      <c r="AH255" s="504"/>
      <c r="AI255" s="504"/>
      <c r="AJ255" s="504"/>
      <c r="AK255" s="504"/>
      <c r="AL255" s="504"/>
      <c r="AM255" s="504"/>
      <c r="AN255" s="504"/>
    </row>
    <row r="256" spans="1:40" ht="15.75" customHeight="1">
      <c r="A256" s="493" t="s">
        <v>385</v>
      </c>
      <c r="B256" s="499" t="s">
        <v>100</v>
      </c>
      <c r="C256" s="585" t="s">
        <v>45</v>
      </c>
      <c r="D256" s="82"/>
      <c r="E256" s="504"/>
      <c r="F256" s="514">
        <v>4120.6896551724139</v>
      </c>
      <c r="G256" s="84"/>
      <c r="H256" s="504"/>
      <c r="I256" s="514">
        <v>4120.6896551724139</v>
      </c>
      <c r="J256" s="525"/>
      <c r="K256" s="504"/>
      <c r="L256" s="517">
        <v>4572.01</v>
      </c>
      <c r="M256" s="525"/>
      <c r="N256" s="545">
        <v>451.32034482758627</v>
      </c>
      <c r="O256" s="525"/>
      <c r="P256" s="504"/>
      <c r="Q256" s="517">
        <v>2938.51</v>
      </c>
      <c r="R256" s="525"/>
      <c r="S256" s="567">
        <v>1633.5</v>
      </c>
      <c r="T256" s="504"/>
      <c r="U256" s="685"/>
      <c r="V256" s="504"/>
      <c r="W256" s="504"/>
      <c r="X256" s="504"/>
      <c r="Y256" s="504"/>
      <c r="Z256" s="504"/>
      <c r="AA256" s="504"/>
      <c r="AB256" s="504"/>
      <c r="AC256" s="504"/>
      <c r="AD256" s="504"/>
      <c r="AE256" s="504"/>
      <c r="AF256" s="504"/>
      <c r="AG256" s="504"/>
      <c r="AH256" s="504"/>
      <c r="AI256" s="504"/>
      <c r="AJ256" s="504"/>
      <c r="AK256" s="504"/>
      <c r="AL256" s="504"/>
      <c r="AM256" s="504"/>
      <c r="AN256" s="504"/>
    </row>
    <row r="257" spans="1:40" ht="15.75" hidden="1" customHeight="1">
      <c r="A257" s="493" t="s">
        <v>386</v>
      </c>
      <c r="B257" s="499" t="s">
        <v>100</v>
      </c>
      <c r="C257" s="513" t="s">
        <v>21</v>
      </c>
      <c r="D257" s="82"/>
      <c r="E257" s="504"/>
      <c r="F257" s="514">
        <v>0</v>
      </c>
      <c r="G257" s="84"/>
      <c r="H257" s="504"/>
      <c r="I257" s="514">
        <v>0</v>
      </c>
      <c r="J257" s="525"/>
      <c r="K257" s="504"/>
      <c r="L257" s="517">
        <v>0</v>
      </c>
      <c r="M257" s="525"/>
      <c r="N257" s="545">
        <v>0</v>
      </c>
      <c r="O257" s="525"/>
      <c r="P257" s="504"/>
      <c r="Q257" s="517">
        <v>0</v>
      </c>
      <c r="R257" s="525"/>
      <c r="S257" s="567">
        <v>0</v>
      </c>
      <c r="T257" s="504"/>
      <c r="U257" s="504"/>
      <c r="V257" s="504"/>
      <c r="W257" s="504"/>
      <c r="X257" s="504"/>
      <c r="Y257" s="504"/>
      <c r="Z257" s="504"/>
      <c r="AA257" s="504"/>
      <c r="AB257" s="504"/>
      <c r="AC257" s="504"/>
      <c r="AD257" s="504"/>
      <c r="AE257" s="504"/>
      <c r="AF257" s="504"/>
      <c r="AG257" s="504"/>
      <c r="AH257" s="504"/>
      <c r="AI257" s="504"/>
      <c r="AJ257" s="504"/>
      <c r="AK257" s="504"/>
      <c r="AL257" s="504"/>
      <c r="AM257" s="504"/>
      <c r="AN257" s="504"/>
    </row>
    <row r="258" spans="1:40" ht="15.75" hidden="1" customHeight="1">
      <c r="A258" s="493" t="s">
        <v>386</v>
      </c>
      <c r="B258" s="499" t="s">
        <v>100</v>
      </c>
      <c r="C258" s="513" t="s">
        <v>21</v>
      </c>
      <c r="D258" s="82"/>
      <c r="E258" s="504"/>
      <c r="F258" s="514">
        <v>0</v>
      </c>
      <c r="G258" s="84"/>
      <c r="H258" s="504"/>
      <c r="I258" s="514">
        <v>0</v>
      </c>
      <c r="J258" s="525"/>
      <c r="K258" s="504"/>
      <c r="L258" s="517">
        <v>0</v>
      </c>
      <c r="M258" s="525"/>
      <c r="N258" s="545">
        <v>0</v>
      </c>
      <c r="O258" s="525"/>
      <c r="P258" s="504"/>
      <c r="Q258" s="517">
        <v>0</v>
      </c>
      <c r="R258" s="525"/>
      <c r="S258" s="567">
        <v>0</v>
      </c>
      <c r="T258" s="504"/>
      <c r="U258" s="504"/>
      <c r="V258" s="504"/>
      <c r="W258" s="504"/>
      <c r="X258" s="504"/>
      <c r="Y258" s="504"/>
      <c r="Z258" s="504"/>
      <c r="AA258" s="504"/>
      <c r="AB258" s="504"/>
      <c r="AC258" s="504"/>
      <c r="AD258" s="504"/>
      <c r="AE258" s="504"/>
      <c r="AF258" s="504"/>
      <c r="AG258" s="504"/>
      <c r="AH258" s="504"/>
      <c r="AI258" s="504"/>
      <c r="AJ258" s="504"/>
      <c r="AK258" s="504"/>
      <c r="AL258" s="504"/>
      <c r="AM258" s="504"/>
      <c r="AN258" s="504"/>
    </row>
    <row r="259" spans="1:40" ht="15.75" hidden="1" customHeight="1">
      <c r="A259" s="493" t="s">
        <v>386</v>
      </c>
      <c r="B259" s="499" t="s">
        <v>100</v>
      </c>
      <c r="C259" s="513" t="s">
        <v>21</v>
      </c>
      <c r="D259" s="82"/>
      <c r="E259" s="504"/>
      <c r="F259" s="514">
        <v>0</v>
      </c>
      <c r="G259" s="84"/>
      <c r="H259" s="504"/>
      <c r="I259" s="514">
        <v>0</v>
      </c>
      <c r="J259" s="525"/>
      <c r="K259" s="504"/>
      <c r="L259" s="517">
        <v>0</v>
      </c>
      <c r="M259" s="525"/>
      <c r="N259" s="545">
        <v>0</v>
      </c>
      <c r="O259" s="525"/>
      <c r="P259" s="504"/>
      <c r="Q259" s="517">
        <v>0</v>
      </c>
      <c r="R259" s="525"/>
      <c r="S259" s="567">
        <v>0</v>
      </c>
      <c r="T259" s="504"/>
      <c r="U259" s="504"/>
      <c r="V259" s="504"/>
      <c r="W259" s="504"/>
      <c r="X259" s="504"/>
      <c r="Y259" s="504"/>
      <c r="Z259" s="504"/>
      <c r="AA259" s="504"/>
      <c r="AB259" s="504"/>
      <c r="AC259" s="504"/>
      <c r="AD259" s="504"/>
      <c r="AE259" s="504"/>
      <c r="AF259" s="504"/>
      <c r="AG259" s="504"/>
      <c r="AH259" s="504"/>
      <c r="AI259" s="504"/>
      <c r="AJ259" s="504"/>
      <c r="AK259" s="504"/>
      <c r="AL259" s="504"/>
      <c r="AM259" s="504"/>
      <c r="AN259" s="504"/>
    </row>
    <row r="260" spans="1:40" ht="15.75" customHeight="1">
      <c r="A260" s="493" t="s">
        <v>387</v>
      </c>
      <c r="B260" s="499" t="s">
        <v>100</v>
      </c>
      <c r="C260" s="586" t="s">
        <v>46</v>
      </c>
      <c r="D260" s="82"/>
      <c r="E260" s="504"/>
      <c r="F260" s="508">
        <v>658.03102564768926</v>
      </c>
      <c r="G260" s="84"/>
      <c r="H260" s="504"/>
      <c r="I260" s="508">
        <v>658.03102564768926</v>
      </c>
      <c r="J260" s="525"/>
      <c r="K260" s="504"/>
      <c r="L260" s="517">
        <v>572.88</v>
      </c>
      <c r="M260" s="525"/>
      <c r="N260" s="545">
        <v>-85.151025647689266</v>
      </c>
      <c r="O260" s="525"/>
      <c r="P260" s="504"/>
      <c r="Q260" s="517">
        <v>178.34</v>
      </c>
      <c r="R260" s="525"/>
      <c r="S260" s="567">
        <v>394.53999999999996</v>
      </c>
      <c r="T260" s="504"/>
      <c r="U260" s="504"/>
      <c r="V260" s="504"/>
      <c r="W260" s="504"/>
      <c r="X260" s="504"/>
      <c r="Y260" s="504"/>
      <c r="Z260" s="504"/>
      <c r="AA260" s="504"/>
      <c r="AB260" s="504"/>
      <c r="AC260" s="504"/>
      <c r="AD260" s="504"/>
      <c r="AE260" s="504"/>
      <c r="AF260" s="504"/>
      <c r="AG260" s="504"/>
      <c r="AH260" s="504"/>
      <c r="AI260" s="504"/>
      <c r="AJ260" s="504"/>
      <c r="AK260" s="504"/>
      <c r="AL260" s="504"/>
      <c r="AM260" s="504"/>
      <c r="AN260" s="504"/>
    </row>
    <row r="261" spans="1:40" ht="15.75" customHeight="1">
      <c r="A261" s="493" t="s">
        <v>388</v>
      </c>
      <c r="B261" s="499" t="s">
        <v>100</v>
      </c>
      <c r="C261" s="585" t="s">
        <v>47</v>
      </c>
      <c r="D261" s="107"/>
      <c r="E261" s="587"/>
      <c r="F261" s="514">
        <v>589.33423541762068</v>
      </c>
      <c r="G261" s="109"/>
      <c r="H261" s="587"/>
      <c r="I261" s="514">
        <v>589.33423541762068</v>
      </c>
      <c r="J261" s="588"/>
      <c r="K261" s="587"/>
      <c r="L261" s="589">
        <v>1891.78</v>
      </c>
      <c r="M261" s="588"/>
      <c r="N261" s="590">
        <v>1302.4457645823793</v>
      </c>
      <c r="O261" s="588"/>
      <c r="P261" s="587"/>
      <c r="Q261" s="589">
        <v>894.88</v>
      </c>
      <c r="R261" s="588"/>
      <c r="S261" s="591">
        <v>996.9</v>
      </c>
      <c r="T261" s="504"/>
      <c r="U261" s="504"/>
      <c r="V261" s="504"/>
      <c r="W261" s="504"/>
      <c r="X261" s="504"/>
      <c r="Y261" s="504"/>
      <c r="Z261" s="504"/>
      <c r="AA261" s="504"/>
      <c r="AB261" s="504"/>
      <c r="AC261" s="504"/>
      <c r="AD261" s="504"/>
      <c r="AE261" s="504"/>
      <c r="AF261" s="504"/>
      <c r="AG261" s="504"/>
      <c r="AH261" s="504"/>
      <c r="AI261" s="504"/>
      <c r="AJ261" s="504"/>
      <c r="AK261" s="504"/>
      <c r="AL261" s="504"/>
      <c r="AM261" s="504"/>
      <c r="AN261" s="504"/>
    </row>
    <row r="262" spans="1:40" ht="15.75" customHeight="1">
      <c r="A262" s="493" t="s">
        <v>389</v>
      </c>
      <c r="B262" s="499" t="s">
        <v>100</v>
      </c>
      <c r="C262" s="585" t="s">
        <v>48</v>
      </c>
      <c r="D262" s="82"/>
      <c r="E262" s="504"/>
      <c r="F262" s="514">
        <v>468.00071636105173</v>
      </c>
      <c r="G262" s="84"/>
      <c r="H262" s="504"/>
      <c r="I262" s="514">
        <v>468.00071636105173</v>
      </c>
      <c r="J262" s="525"/>
      <c r="K262" s="504"/>
      <c r="L262" s="517">
        <v>1439.18</v>
      </c>
      <c r="M262" s="525"/>
      <c r="N262" s="545">
        <v>971.17928363894839</v>
      </c>
      <c r="O262" s="525"/>
      <c r="P262" s="504"/>
      <c r="Q262" s="517">
        <v>641.33000000000004</v>
      </c>
      <c r="R262" s="525"/>
      <c r="S262" s="567">
        <v>797.85</v>
      </c>
      <c r="T262" s="504"/>
      <c r="U262" s="504"/>
      <c r="V262" s="504"/>
      <c r="W262" s="504"/>
      <c r="X262" s="504"/>
      <c r="Y262" s="504"/>
      <c r="Z262" s="504"/>
      <c r="AA262" s="504"/>
      <c r="AB262" s="504"/>
      <c r="AC262" s="504"/>
      <c r="AD262" s="504"/>
      <c r="AE262" s="504"/>
      <c r="AF262" s="504"/>
      <c r="AG262" s="504"/>
      <c r="AH262" s="504"/>
      <c r="AI262" s="504"/>
      <c r="AJ262" s="504"/>
      <c r="AK262" s="504"/>
      <c r="AL262" s="504"/>
      <c r="AM262" s="504"/>
      <c r="AN262" s="504"/>
    </row>
    <row r="263" spans="1:40" ht="15.75" customHeight="1">
      <c r="A263" s="493" t="s">
        <v>390</v>
      </c>
      <c r="B263" s="499" t="s">
        <v>100</v>
      </c>
      <c r="C263" s="585" t="s">
        <v>49</v>
      </c>
      <c r="D263" s="82"/>
      <c r="E263" s="504"/>
      <c r="F263" s="514">
        <v>190.66695851746553</v>
      </c>
      <c r="G263" s="84"/>
      <c r="H263" s="504"/>
      <c r="I263" s="514">
        <v>190.66695851746553</v>
      </c>
      <c r="J263" s="525"/>
      <c r="K263" s="504"/>
      <c r="L263" s="517">
        <v>204.36</v>
      </c>
      <c r="M263" s="525"/>
      <c r="N263" s="545">
        <v>13.693041482534483</v>
      </c>
      <c r="O263" s="525"/>
      <c r="P263" s="504"/>
      <c r="Q263" s="517">
        <v>149.15</v>
      </c>
      <c r="R263" s="525"/>
      <c r="S263" s="567">
        <v>55.210000000000008</v>
      </c>
      <c r="T263" s="504"/>
      <c r="U263" s="504"/>
      <c r="V263" s="504"/>
      <c r="W263" s="504"/>
      <c r="X263" s="504"/>
      <c r="Y263" s="504"/>
      <c r="Z263" s="504"/>
      <c r="AA263" s="504"/>
      <c r="AB263" s="504"/>
      <c r="AC263" s="504"/>
      <c r="AD263" s="504"/>
      <c r="AE263" s="504"/>
      <c r="AF263" s="504"/>
      <c r="AG263" s="504"/>
      <c r="AH263" s="504"/>
      <c r="AI263" s="504"/>
      <c r="AJ263" s="504"/>
      <c r="AK263" s="504"/>
      <c r="AL263" s="504"/>
      <c r="AM263" s="504"/>
      <c r="AN263" s="504"/>
    </row>
    <row r="264" spans="1:40" ht="15.75" hidden="1" customHeight="1">
      <c r="A264" s="493" t="s">
        <v>386</v>
      </c>
      <c r="B264" s="499" t="s">
        <v>100</v>
      </c>
      <c r="C264" s="513" t="s">
        <v>21</v>
      </c>
      <c r="D264" s="89"/>
      <c r="E264" s="592"/>
      <c r="F264" s="514">
        <v>0</v>
      </c>
      <c r="G264" s="91"/>
      <c r="H264" s="592"/>
      <c r="I264" s="514">
        <v>0</v>
      </c>
      <c r="J264" s="509"/>
      <c r="K264" s="592"/>
      <c r="L264" s="517">
        <v>0</v>
      </c>
      <c r="M264" s="509"/>
      <c r="N264" s="573">
        <v>0</v>
      </c>
      <c r="O264" s="509"/>
      <c r="P264" s="592"/>
      <c r="Q264" s="517">
        <v>0</v>
      </c>
      <c r="R264" s="509"/>
      <c r="S264" s="574">
        <v>0</v>
      </c>
      <c r="T264" s="504"/>
      <c r="U264" s="504"/>
      <c r="V264" s="504"/>
      <c r="W264" s="504"/>
      <c r="X264" s="504"/>
      <c r="Y264" s="504"/>
      <c r="Z264" s="504"/>
      <c r="AA264" s="504"/>
      <c r="AB264" s="504"/>
      <c r="AC264" s="504"/>
      <c r="AD264" s="504"/>
      <c r="AE264" s="504"/>
      <c r="AF264" s="504"/>
      <c r="AG264" s="504"/>
      <c r="AH264" s="504"/>
      <c r="AI264" s="504"/>
      <c r="AJ264" s="504"/>
      <c r="AK264" s="504"/>
      <c r="AL264" s="504"/>
      <c r="AM264" s="504"/>
      <c r="AN264" s="504"/>
    </row>
    <row r="265" spans="1:40" ht="15.75" customHeight="1">
      <c r="A265" s="493" t="s">
        <v>391</v>
      </c>
      <c r="B265" s="499" t="s">
        <v>100</v>
      </c>
      <c r="C265" s="578" t="s">
        <v>50</v>
      </c>
      <c r="D265" s="97" t="s">
        <v>40</v>
      </c>
      <c r="E265" s="579" t="e">
        <v>#DIV/0!</v>
      </c>
      <c r="F265" s="580">
        <v>7307.7266623518735</v>
      </c>
      <c r="G265" s="100" t="s">
        <v>40</v>
      </c>
      <c r="H265" s="579" t="e">
        <v>#DIV/0!</v>
      </c>
      <c r="I265" s="580">
        <v>7307.7266623518735</v>
      </c>
      <c r="J265" s="100" t="s">
        <v>40</v>
      </c>
      <c r="K265" s="579">
        <v>0</v>
      </c>
      <c r="L265" s="580">
        <v>10038.010000000002</v>
      </c>
      <c r="M265" s="621"/>
      <c r="N265" s="594">
        <v>2730.2833376481285</v>
      </c>
      <c r="O265" s="100" t="s">
        <v>40</v>
      </c>
      <c r="P265" s="579">
        <v>0</v>
      </c>
      <c r="Q265" s="580">
        <v>9806.4399999999987</v>
      </c>
      <c r="R265" s="621"/>
      <c r="S265" s="595">
        <v>231.57000000000335</v>
      </c>
      <c r="T265" s="504"/>
      <c r="U265" s="504"/>
      <c r="V265" s="504"/>
      <c r="W265" s="504"/>
      <c r="X265" s="504"/>
      <c r="Y265" s="504"/>
      <c r="Z265" s="504"/>
      <c r="AA265" s="504"/>
      <c r="AB265" s="504"/>
      <c r="AC265" s="504"/>
      <c r="AD265" s="504"/>
      <c r="AE265" s="504"/>
      <c r="AF265" s="504"/>
      <c r="AG265" s="504"/>
      <c r="AH265" s="504"/>
      <c r="AI265" s="504"/>
      <c r="AJ265" s="504"/>
      <c r="AK265" s="504"/>
      <c r="AL265" s="504"/>
      <c r="AM265" s="504"/>
      <c r="AN265" s="504"/>
    </row>
    <row r="266" spans="1:40" ht="15.75" customHeight="1">
      <c r="A266" s="493" t="s">
        <v>392</v>
      </c>
      <c r="B266" s="499" t="s">
        <v>100</v>
      </c>
      <c r="C266" s="686" t="s">
        <v>51</v>
      </c>
      <c r="D266" s="82"/>
      <c r="E266" s="504"/>
      <c r="F266" s="514">
        <v>0</v>
      </c>
      <c r="G266" s="84"/>
      <c r="H266" s="504"/>
      <c r="I266" s="514">
        <v>0</v>
      </c>
      <c r="J266" s="525"/>
      <c r="K266" s="504"/>
      <c r="L266" s="517">
        <v>0.08</v>
      </c>
      <c r="M266" s="525"/>
      <c r="N266" s="545">
        <v>0.08</v>
      </c>
      <c r="O266" s="525"/>
      <c r="P266" s="504"/>
      <c r="Q266" s="517">
        <v>0.13</v>
      </c>
      <c r="R266" s="525"/>
      <c r="S266" s="567">
        <v>-0.05</v>
      </c>
      <c r="T266" s="504"/>
      <c r="U266" s="504"/>
      <c r="V266" s="504"/>
      <c r="W266" s="504"/>
      <c r="X266" s="504"/>
      <c r="Y266" s="504"/>
      <c r="Z266" s="504"/>
      <c r="AA266" s="504"/>
      <c r="AB266" s="504"/>
      <c r="AC266" s="504"/>
      <c r="AD266" s="504"/>
      <c r="AE266" s="504"/>
      <c r="AF266" s="504"/>
      <c r="AG266" s="504"/>
      <c r="AH266" s="504"/>
      <c r="AI266" s="504"/>
      <c r="AJ266" s="504"/>
      <c r="AK266" s="504"/>
      <c r="AL266" s="504"/>
      <c r="AM266" s="504"/>
      <c r="AN266" s="504"/>
    </row>
    <row r="267" spans="1:40" ht="15.75" customHeight="1">
      <c r="A267" s="493" t="s">
        <v>393</v>
      </c>
      <c r="B267" s="499" t="s">
        <v>100</v>
      </c>
      <c r="C267" s="585" t="s">
        <v>52</v>
      </c>
      <c r="D267" s="82"/>
      <c r="E267" s="504"/>
      <c r="F267" s="514">
        <v>337.02998164885997</v>
      </c>
      <c r="G267" s="84"/>
      <c r="H267" s="504"/>
      <c r="I267" s="514">
        <v>337.02998164885997</v>
      </c>
      <c r="J267" s="525"/>
      <c r="K267" s="504"/>
      <c r="L267" s="517">
        <v>98.56</v>
      </c>
      <c r="M267" s="525"/>
      <c r="N267" s="545">
        <v>-238.46998164885997</v>
      </c>
      <c r="O267" s="525"/>
      <c r="P267" s="504"/>
      <c r="Q267" s="517">
        <v>207</v>
      </c>
      <c r="R267" s="525"/>
      <c r="S267" s="567">
        <v>-108.44</v>
      </c>
      <c r="T267" s="504"/>
      <c r="U267" s="504"/>
      <c r="V267" s="504"/>
      <c r="W267" s="504"/>
      <c r="X267" s="504"/>
      <c r="Y267" s="504"/>
      <c r="Z267" s="504"/>
      <c r="AA267" s="504"/>
      <c r="AB267" s="504"/>
      <c r="AC267" s="504"/>
      <c r="AD267" s="504"/>
      <c r="AE267" s="504"/>
      <c r="AF267" s="504"/>
      <c r="AG267" s="504"/>
      <c r="AH267" s="504"/>
      <c r="AI267" s="504"/>
      <c r="AJ267" s="504"/>
      <c r="AK267" s="504"/>
      <c r="AL267" s="504"/>
      <c r="AM267" s="504"/>
      <c r="AN267" s="504"/>
    </row>
    <row r="268" spans="1:40" ht="15.75" customHeight="1">
      <c r="A268" s="493" t="s">
        <v>394</v>
      </c>
      <c r="B268" s="499" t="s">
        <v>100</v>
      </c>
      <c r="C268" s="586" t="s">
        <v>53</v>
      </c>
      <c r="D268" s="89"/>
      <c r="E268" s="592"/>
      <c r="F268" s="508">
        <v>379.94</v>
      </c>
      <c r="G268" s="91"/>
      <c r="H268" s="592"/>
      <c r="I268" s="508">
        <v>379.94</v>
      </c>
      <c r="J268" s="509"/>
      <c r="K268" s="592"/>
      <c r="L268" s="517">
        <v>297.20999999999998</v>
      </c>
      <c r="M268" s="509"/>
      <c r="N268" s="573">
        <v>-82.730000000000018</v>
      </c>
      <c r="O268" s="509"/>
      <c r="P268" s="592"/>
      <c r="Q268" s="517">
        <v>903.46</v>
      </c>
      <c r="R268" s="509"/>
      <c r="S268" s="574">
        <v>-606.25</v>
      </c>
      <c r="T268" s="504"/>
      <c r="U268" s="504"/>
      <c r="V268" s="504"/>
      <c r="W268" s="504"/>
      <c r="X268" s="504"/>
      <c r="Y268" s="504"/>
      <c r="Z268" s="504"/>
      <c r="AA268" s="504"/>
      <c r="AB268" s="504"/>
      <c r="AC268" s="504"/>
      <c r="AD268" s="504"/>
      <c r="AE268" s="504"/>
      <c r="AF268" s="504"/>
      <c r="AG268" s="504"/>
      <c r="AH268" s="504"/>
      <c r="AI268" s="504"/>
      <c r="AJ268" s="504"/>
      <c r="AK268" s="504"/>
      <c r="AL268" s="504"/>
      <c r="AM268" s="504"/>
      <c r="AN268" s="504"/>
    </row>
    <row r="269" spans="1:40" ht="15.75" customHeight="1">
      <c r="A269" s="493" t="s">
        <v>395</v>
      </c>
      <c r="B269" s="499" t="s">
        <v>100</v>
      </c>
      <c r="C269" s="585" t="s">
        <v>54</v>
      </c>
      <c r="D269" s="82"/>
      <c r="E269" s="504"/>
      <c r="F269" s="514">
        <v>1313.4198641666667</v>
      </c>
      <c r="G269" s="84"/>
      <c r="H269" s="504"/>
      <c r="I269" s="514">
        <v>1313.4198641666667</v>
      </c>
      <c r="J269" s="525"/>
      <c r="K269" s="504"/>
      <c r="L269" s="589">
        <v>1408.29</v>
      </c>
      <c r="M269" s="525"/>
      <c r="N269" s="545">
        <v>94.870135833333279</v>
      </c>
      <c r="O269" s="525"/>
      <c r="P269" s="504"/>
      <c r="Q269" s="589">
        <v>1247.3699999999999</v>
      </c>
      <c r="R269" s="525"/>
      <c r="S269" s="567">
        <v>160.92000000000007</v>
      </c>
      <c r="T269" s="504"/>
      <c r="U269" s="504"/>
      <c r="V269" s="504"/>
      <c r="W269" s="504"/>
      <c r="X269" s="504"/>
      <c r="Y269" s="504"/>
      <c r="Z269" s="504"/>
      <c r="AA269" s="504"/>
      <c r="AB269" s="504"/>
      <c r="AC269" s="504"/>
      <c r="AD269" s="504"/>
      <c r="AE269" s="504"/>
      <c r="AF269" s="504"/>
      <c r="AG269" s="504"/>
      <c r="AH269" s="504"/>
      <c r="AI269" s="504"/>
      <c r="AJ269" s="504"/>
      <c r="AK269" s="504"/>
      <c r="AL269" s="504"/>
      <c r="AM269" s="504"/>
      <c r="AN269" s="504"/>
    </row>
    <row r="270" spans="1:40" ht="15.75" customHeight="1">
      <c r="A270" s="493" t="s">
        <v>396</v>
      </c>
      <c r="B270" s="499" t="s">
        <v>100</v>
      </c>
      <c r="C270" s="585" t="s">
        <v>55</v>
      </c>
      <c r="D270" s="82"/>
      <c r="E270" s="504"/>
      <c r="F270" s="514">
        <v>173.28101875000004</v>
      </c>
      <c r="G270" s="84"/>
      <c r="H270" s="504"/>
      <c r="I270" s="514">
        <v>173.28101875000004</v>
      </c>
      <c r="J270" s="525"/>
      <c r="K270" s="504"/>
      <c r="L270" s="517">
        <v>74.209999999999994</v>
      </c>
      <c r="M270" s="525"/>
      <c r="N270" s="545">
        <v>-99.07101875000005</v>
      </c>
      <c r="O270" s="525"/>
      <c r="P270" s="504"/>
      <c r="Q270" s="517">
        <v>45.9</v>
      </c>
      <c r="R270" s="525"/>
      <c r="S270" s="567">
        <v>28.309999999999995</v>
      </c>
      <c r="T270" s="504"/>
      <c r="U270" s="504"/>
      <c r="V270" s="504"/>
      <c r="W270" s="504"/>
      <c r="X270" s="504"/>
      <c r="Y270" s="504"/>
      <c r="Z270" s="504"/>
      <c r="AA270" s="504"/>
      <c r="AB270" s="504"/>
      <c r="AC270" s="504"/>
      <c r="AD270" s="504"/>
      <c r="AE270" s="504"/>
      <c r="AF270" s="504"/>
      <c r="AG270" s="504"/>
      <c r="AH270" s="504"/>
      <c r="AI270" s="504"/>
      <c r="AJ270" s="504"/>
      <c r="AK270" s="504"/>
      <c r="AL270" s="504"/>
      <c r="AM270" s="504"/>
      <c r="AN270" s="504"/>
    </row>
    <row r="271" spans="1:40" ht="15.75" customHeight="1">
      <c r="A271" s="493" t="s">
        <v>397</v>
      </c>
      <c r="B271" s="499" t="s">
        <v>100</v>
      </c>
      <c r="C271" s="585" t="s">
        <v>56</v>
      </c>
      <c r="D271" s="89"/>
      <c r="E271" s="592"/>
      <c r="F271" s="508">
        <v>864.51018888888893</v>
      </c>
      <c r="G271" s="91"/>
      <c r="H271" s="592"/>
      <c r="I271" s="508">
        <v>864.51018888888893</v>
      </c>
      <c r="J271" s="509"/>
      <c r="K271" s="592"/>
      <c r="L271" s="517">
        <v>556.89</v>
      </c>
      <c r="M271" s="509"/>
      <c r="N271" s="573">
        <v>-307.62018888888895</v>
      </c>
      <c r="O271" s="509"/>
      <c r="P271" s="592"/>
      <c r="Q271" s="517">
        <v>906.75</v>
      </c>
      <c r="R271" s="509"/>
      <c r="S271" s="574">
        <v>-349.86</v>
      </c>
      <c r="T271" s="504"/>
      <c r="U271" s="504"/>
      <c r="V271" s="504"/>
      <c r="W271" s="504"/>
      <c r="X271" s="504"/>
      <c r="Y271" s="504"/>
      <c r="Z271" s="504"/>
      <c r="AA271" s="504"/>
      <c r="AB271" s="504"/>
      <c r="AC271" s="504"/>
      <c r="AD271" s="504"/>
      <c r="AE271" s="504"/>
      <c r="AF271" s="504"/>
      <c r="AG271" s="504"/>
      <c r="AH271" s="504"/>
      <c r="AI271" s="504"/>
      <c r="AJ271" s="504"/>
      <c r="AK271" s="504"/>
      <c r="AL271" s="504"/>
      <c r="AM271" s="504"/>
      <c r="AN271" s="504"/>
    </row>
    <row r="272" spans="1:40" ht="15.75" customHeight="1">
      <c r="A272" s="493" t="s">
        <v>398</v>
      </c>
      <c r="B272" s="499" t="s">
        <v>100</v>
      </c>
      <c r="C272" s="687" t="s">
        <v>99</v>
      </c>
      <c r="D272" s="82"/>
      <c r="E272" s="504"/>
      <c r="F272" s="514"/>
      <c r="G272" s="84"/>
      <c r="H272" s="504"/>
      <c r="I272" s="514"/>
      <c r="J272" s="525"/>
      <c r="K272" s="504"/>
      <c r="L272" s="540">
        <v>0</v>
      </c>
      <c r="M272" s="525"/>
      <c r="N272" s="545">
        <v>0</v>
      </c>
      <c r="O272" s="525"/>
      <c r="P272" s="504"/>
      <c r="Q272" s="517">
        <v>0</v>
      </c>
      <c r="R272" s="525"/>
      <c r="S272" s="567">
        <v>0</v>
      </c>
      <c r="T272" s="504"/>
      <c r="U272" s="504"/>
      <c r="V272" s="504"/>
      <c r="W272" s="504"/>
      <c r="X272" s="504"/>
      <c r="Y272" s="504"/>
      <c r="Z272" s="504"/>
      <c r="AA272" s="504"/>
      <c r="AB272" s="504"/>
      <c r="AC272" s="504"/>
      <c r="AD272" s="504"/>
      <c r="AE272" s="504"/>
      <c r="AF272" s="504"/>
      <c r="AG272" s="504"/>
      <c r="AH272" s="504"/>
      <c r="AI272" s="504"/>
      <c r="AJ272" s="504"/>
      <c r="AK272" s="504"/>
      <c r="AL272" s="504"/>
      <c r="AM272" s="504"/>
      <c r="AN272" s="504"/>
    </row>
    <row r="273" spans="1:40" ht="15.75" customHeight="1">
      <c r="A273" s="493" t="s">
        <v>399</v>
      </c>
      <c r="B273" s="499" t="s">
        <v>100</v>
      </c>
      <c r="C273" s="585" t="s">
        <v>57</v>
      </c>
      <c r="D273" s="82"/>
      <c r="E273" s="504"/>
      <c r="F273" s="514">
        <v>96.216577192736779</v>
      </c>
      <c r="G273" s="84"/>
      <c r="H273" s="504"/>
      <c r="I273" s="514">
        <v>96.216577192736779</v>
      </c>
      <c r="J273" s="525"/>
      <c r="K273" s="504"/>
      <c r="L273" s="517">
        <v>0</v>
      </c>
      <c r="M273" s="525"/>
      <c r="N273" s="545">
        <v>-96.216577192736779</v>
      </c>
      <c r="O273" s="525"/>
      <c r="P273" s="504"/>
      <c r="Q273" s="517">
        <v>104.35</v>
      </c>
      <c r="R273" s="525"/>
      <c r="S273" s="567">
        <v>-104.35</v>
      </c>
      <c r="T273" s="504"/>
      <c r="U273" s="504"/>
      <c r="V273" s="504"/>
      <c r="W273" s="504"/>
      <c r="X273" s="504"/>
      <c r="Y273" s="504"/>
      <c r="Z273" s="504"/>
      <c r="AA273" s="504"/>
      <c r="AB273" s="504"/>
      <c r="AC273" s="504"/>
      <c r="AD273" s="504"/>
      <c r="AE273" s="504"/>
      <c r="AF273" s="504"/>
      <c r="AG273" s="504"/>
      <c r="AH273" s="504"/>
      <c r="AI273" s="504"/>
      <c r="AJ273" s="504"/>
      <c r="AK273" s="504"/>
      <c r="AL273" s="504"/>
      <c r="AM273" s="504"/>
      <c r="AN273" s="504"/>
    </row>
    <row r="274" spans="1:40" ht="15.75" customHeight="1">
      <c r="A274" s="493" t="s">
        <v>400</v>
      </c>
      <c r="B274" s="499" t="s">
        <v>100</v>
      </c>
      <c r="C274" s="585" t="s">
        <v>58</v>
      </c>
      <c r="D274" s="82"/>
      <c r="E274" s="504"/>
      <c r="F274" s="514">
        <v>51.126959799825812</v>
      </c>
      <c r="G274" s="84"/>
      <c r="H274" s="504"/>
      <c r="I274" s="514">
        <v>51.126959799825812</v>
      </c>
      <c r="J274" s="525"/>
      <c r="K274" s="504"/>
      <c r="L274" s="517">
        <v>0</v>
      </c>
      <c r="M274" s="525"/>
      <c r="N274" s="545">
        <v>-51.126959799825812</v>
      </c>
      <c r="O274" s="525"/>
      <c r="P274" s="504"/>
      <c r="Q274" s="517">
        <v>0</v>
      </c>
      <c r="R274" s="525"/>
      <c r="S274" s="567">
        <v>0</v>
      </c>
      <c r="T274" s="504"/>
      <c r="U274" s="504"/>
      <c r="V274" s="504"/>
      <c r="W274" s="504"/>
      <c r="X274" s="504"/>
      <c r="Y274" s="504"/>
      <c r="Z274" s="504"/>
      <c r="AA274" s="504"/>
      <c r="AB274" s="504"/>
      <c r="AC274" s="504"/>
      <c r="AD274" s="504"/>
      <c r="AE274" s="504"/>
      <c r="AF274" s="504"/>
      <c r="AG274" s="504"/>
      <c r="AH274" s="504"/>
      <c r="AI274" s="504"/>
      <c r="AJ274" s="504"/>
      <c r="AK274" s="504"/>
      <c r="AL274" s="504"/>
      <c r="AM274" s="504"/>
      <c r="AN274" s="504"/>
    </row>
    <row r="275" spans="1:40" ht="15.75" customHeight="1">
      <c r="A275" s="493" t="s">
        <v>401</v>
      </c>
      <c r="B275" s="499" t="s">
        <v>100</v>
      </c>
      <c r="C275" s="585" t="s">
        <v>59</v>
      </c>
      <c r="D275" s="82"/>
      <c r="E275" s="504"/>
      <c r="F275" s="514">
        <v>142.81407000000002</v>
      </c>
      <c r="G275" s="84"/>
      <c r="H275" s="504"/>
      <c r="I275" s="514">
        <v>142.81407000000002</v>
      </c>
      <c r="J275" s="525"/>
      <c r="K275" s="504"/>
      <c r="L275" s="516">
        <v>162.41</v>
      </c>
      <c r="M275" s="525"/>
      <c r="N275" s="545">
        <v>19.595929999999981</v>
      </c>
      <c r="O275" s="525"/>
      <c r="P275" s="504"/>
      <c r="Q275" s="516">
        <v>107.49</v>
      </c>
      <c r="R275" s="525"/>
      <c r="S275" s="567">
        <v>54.92</v>
      </c>
      <c r="T275" s="504"/>
      <c r="U275" s="504"/>
      <c r="V275" s="504"/>
      <c r="W275" s="504"/>
      <c r="X275" s="504"/>
      <c r="Y275" s="504"/>
      <c r="Z275" s="504"/>
      <c r="AA275" s="504"/>
      <c r="AB275" s="504"/>
      <c r="AC275" s="504"/>
      <c r="AD275" s="504"/>
      <c r="AE275" s="504"/>
      <c r="AF275" s="504"/>
      <c r="AG275" s="504"/>
      <c r="AH275" s="504"/>
      <c r="AI275" s="504"/>
      <c r="AJ275" s="504"/>
      <c r="AK275" s="504"/>
      <c r="AL275" s="504"/>
      <c r="AM275" s="504"/>
      <c r="AN275" s="504"/>
    </row>
    <row r="276" spans="1:40" ht="15.75" customHeight="1">
      <c r="A276" s="493" t="s">
        <v>402</v>
      </c>
      <c r="B276" s="499" t="s">
        <v>100</v>
      </c>
      <c r="C276" s="585" t="s">
        <v>60</v>
      </c>
      <c r="D276" s="82"/>
      <c r="E276" s="504"/>
      <c r="F276" s="514">
        <v>65.945365208333342</v>
      </c>
      <c r="G276" s="84"/>
      <c r="H276" s="504"/>
      <c r="I276" s="514">
        <v>65.945365208333342</v>
      </c>
      <c r="J276" s="525"/>
      <c r="K276" s="504"/>
      <c r="L276" s="517">
        <v>22.92</v>
      </c>
      <c r="M276" s="525"/>
      <c r="N276" s="545">
        <v>-43.025365208333341</v>
      </c>
      <c r="O276" s="525"/>
      <c r="P276" s="504"/>
      <c r="Q276" s="517">
        <v>28.49</v>
      </c>
      <c r="R276" s="525"/>
      <c r="S276" s="567">
        <v>-5.5699999999999967</v>
      </c>
      <c r="T276" s="504"/>
      <c r="U276" s="504"/>
      <c r="V276" s="504"/>
      <c r="W276" s="504"/>
      <c r="X276" s="504"/>
      <c r="Y276" s="504"/>
      <c r="Z276" s="504"/>
      <c r="AA276" s="504"/>
      <c r="AB276" s="504"/>
      <c r="AC276" s="504"/>
      <c r="AD276" s="504"/>
      <c r="AE276" s="504"/>
      <c r="AF276" s="504"/>
      <c r="AG276" s="504"/>
      <c r="AH276" s="504"/>
      <c r="AI276" s="504"/>
      <c r="AJ276" s="504"/>
      <c r="AK276" s="504"/>
      <c r="AL276" s="504"/>
      <c r="AM276" s="504"/>
      <c r="AN276" s="504"/>
    </row>
    <row r="277" spans="1:40" ht="15.75" customHeight="1">
      <c r="A277" s="493" t="s">
        <v>403</v>
      </c>
      <c r="B277" s="499" t="s">
        <v>100</v>
      </c>
      <c r="C277" s="585" t="s">
        <v>61</v>
      </c>
      <c r="D277" s="82"/>
      <c r="E277" s="504"/>
      <c r="F277" s="514">
        <v>35.200609791666665</v>
      </c>
      <c r="G277" s="84"/>
      <c r="H277" s="504"/>
      <c r="I277" s="514">
        <v>35.200609791666665</v>
      </c>
      <c r="J277" s="525"/>
      <c r="K277" s="504"/>
      <c r="L277" s="517">
        <v>37.83</v>
      </c>
      <c r="M277" s="525"/>
      <c r="N277" s="545">
        <v>2.6293902083333336</v>
      </c>
      <c r="O277" s="525"/>
      <c r="P277" s="504"/>
      <c r="Q277" s="517">
        <v>29.36</v>
      </c>
      <c r="R277" s="525"/>
      <c r="S277" s="567">
        <v>8.4699999999999989</v>
      </c>
      <c r="T277" s="504"/>
      <c r="U277" s="504"/>
      <c r="V277" s="504"/>
      <c r="W277" s="504"/>
      <c r="X277" s="504"/>
      <c r="Y277" s="504"/>
      <c r="Z277" s="504"/>
      <c r="AA277" s="504"/>
      <c r="AB277" s="504"/>
      <c r="AC277" s="504"/>
      <c r="AD277" s="504"/>
      <c r="AE277" s="504"/>
      <c r="AF277" s="504"/>
      <c r="AG277" s="504"/>
      <c r="AH277" s="504"/>
      <c r="AI277" s="504"/>
      <c r="AJ277" s="504"/>
      <c r="AK277" s="504"/>
      <c r="AL277" s="504"/>
      <c r="AM277" s="504"/>
      <c r="AN277" s="504"/>
    </row>
    <row r="278" spans="1:40" ht="15.75" customHeight="1">
      <c r="A278" s="493" t="s">
        <v>404</v>
      </c>
      <c r="B278" s="499" t="s">
        <v>100</v>
      </c>
      <c r="C278" s="585" t="s">
        <v>62</v>
      </c>
      <c r="D278" s="82"/>
      <c r="E278" s="504"/>
      <c r="F278" s="514">
        <v>169.80109854166665</v>
      </c>
      <c r="G278" s="84"/>
      <c r="H278" s="504"/>
      <c r="I278" s="514">
        <v>169.80109854166665</v>
      </c>
      <c r="J278" s="525"/>
      <c r="K278" s="504"/>
      <c r="L278" s="517">
        <v>201.39</v>
      </c>
      <c r="M278" s="525"/>
      <c r="N278" s="545">
        <v>31.588901458333339</v>
      </c>
      <c r="O278" s="525"/>
      <c r="P278" s="504"/>
      <c r="Q278" s="517">
        <v>57.76</v>
      </c>
      <c r="R278" s="525"/>
      <c r="S278" s="567">
        <v>143.63</v>
      </c>
      <c r="T278" s="504"/>
      <c r="U278" s="504"/>
      <c r="V278" s="504"/>
      <c r="W278" s="504"/>
      <c r="X278" s="504"/>
      <c r="Y278" s="504"/>
      <c r="Z278" s="504"/>
      <c r="AA278" s="504"/>
      <c r="AB278" s="504"/>
      <c r="AC278" s="504"/>
      <c r="AD278" s="504"/>
      <c r="AE278" s="504"/>
      <c r="AF278" s="504"/>
      <c r="AG278" s="504"/>
      <c r="AH278" s="504"/>
      <c r="AI278" s="504"/>
      <c r="AJ278" s="504"/>
      <c r="AK278" s="504"/>
      <c r="AL278" s="504"/>
      <c r="AM278" s="504"/>
      <c r="AN278" s="504"/>
    </row>
    <row r="279" spans="1:40" ht="15.75" customHeight="1">
      <c r="A279" s="493" t="s">
        <v>405</v>
      </c>
      <c r="B279" s="499" t="s">
        <v>100</v>
      </c>
      <c r="C279" s="585" t="s">
        <v>63</v>
      </c>
      <c r="D279" s="82"/>
      <c r="E279" s="504"/>
      <c r="F279" s="514">
        <v>252.27480833333334</v>
      </c>
      <c r="G279" s="84"/>
      <c r="H279" s="504"/>
      <c r="I279" s="514">
        <v>252.27480833333334</v>
      </c>
      <c r="J279" s="525"/>
      <c r="K279" s="504"/>
      <c r="L279" s="517">
        <v>22.33</v>
      </c>
      <c r="M279" s="525"/>
      <c r="N279" s="545">
        <v>-229.94480833333336</v>
      </c>
      <c r="O279" s="525"/>
      <c r="P279" s="504"/>
      <c r="Q279" s="517">
        <v>6.2</v>
      </c>
      <c r="R279" s="525"/>
      <c r="S279" s="567">
        <v>16.13</v>
      </c>
      <c r="T279" s="504"/>
      <c r="U279" s="504"/>
      <c r="V279" s="504"/>
      <c r="W279" s="504"/>
      <c r="X279" s="504"/>
      <c r="Y279" s="504"/>
      <c r="Z279" s="504"/>
      <c r="AA279" s="504"/>
      <c r="AB279" s="504"/>
      <c r="AC279" s="504"/>
      <c r="AD279" s="504"/>
      <c r="AE279" s="504"/>
      <c r="AF279" s="504"/>
      <c r="AG279" s="504"/>
      <c r="AH279" s="504"/>
      <c r="AI279" s="504"/>
      <c r="AJ279" s="504"/>
      <c r="AK279" s="504"/>
      <c r="AL279" s="504"/>
      <c r="AM279" s="504"/>
      <c r="AN279" s="504"/>
    </row>
    <row r="280" spans="1:40" ht="15.75" customHeight="1">
      <c r="A280" s="493" t="s">
        <v>406</v>
      </c>
      <c r="B280" s="499" t="s">
        <v>100</v>
      </c>
      <c r="C280" s="585" t="s">
        <v>64</v>
      </c>
      <c r="D280" s="82"/>
      <c r="E280" s="504"/>
      <c r="F280" s="514">
        <v>734.79209674633307</v>
      </c>
      <c r="G280" s="84"/>
      <c r="H280" s="504"/>
      <c r="I280" s="514">
        <v>734.79209674633307</v>
      </c>
      <c r="J280" s="525"/>
      <c r="K280" s="504"/>
      <c r="L280" s="517">
        <v>232.27424999999999</v>
      </c>
      <c r="M280" s="525"/>
      <c r="N280" s="545">
        <v>-502.51784674633308</v>
      </c>
      <c r="O280" s="525"/>
      <c r="P280" s="504"/>
      <c r="Q280" s="517">
        <v>225.38249999999999</v>
      </c>
      <c r="R280" s="525"/>
      <c r="S280" s="567">
        <v>6.8917500000000018</v>
      </c>
      <c r="T280" s="504"/>
      <c r="U280" s="504"/>
      <c r="V280" s="504"/>
      <c r="W280" s="504"/>
      <c r="X280" s="504"/>
      <c r="Y280" s="504"/>
      <c r="Z280" s="504"/>
      <c r="AA280" s="504"/>
      <c r="AB280" s="504"/>
      <c r="AC280" s="504"/>
      <c r="AD280" s="504"/>
      <c r="AE280" s="504"/>
      <c r="AF280" s="504"/>
      <c r="AG280" s="504"/>
      <c r="AH280" s="504"/>
      <c r="AI280" s="504"/>
      <c r="AJ280" s="504"/>
      <c r="AK280" s="504"/>
      <c r="AL280" s="504"/>
      <c r="AM280" s="504"/>
      <c r="AN280" s="504"/>
    </row>
    <row r="281" spans="1:40" ht="15.75" hidden="1" customHeight="1">
      <c r="A281" s="493" t="s">
        <v>386</v>
      </c>
      <c r="B281" s="499" t="s">
        <v>100</v>
      </c>
      <c r="C281" s="585" t="s">
        <v>21</v>
      </c>
      <c r="D281" s="82"/>
      <c r="E281" s="504"/>
      <c r="F281" s="514">
        <v>0</v>
      </c>
      <c r="G281" s="84"/>
      <c r="H281" s="504"/>
      <c r="I281" s="514">
        <v>0</v>
      </c>
      <c r="J281" s="525"/>
      <c r="K281" s="504"/>
      <c r="L281" s="517">
        <v>0</v>
      </c>
      <c r="M281" s="525"/>
      <c r="N281" s="545">
        <v>0</v>
      </c>
      <c r="O281" s="525"/>
      <c r="P281" s="504"/>
      <c r="Q281" s="517">
        <v>0</v>
      </c>
      <c r="R281" s="525"/>
      <c r="S281" s="567">
        <v>0</v>
      </c>
      <c r="T281" s="504"/>
      <c r="U281" s="504"/>
      <c r="V281" s="504"/>
      <c r="W281" s="504"/>
      <c r="X281" s="504"/>
      <c r="Y281" s="504"/>
      <c r="Z281" s="504"/>
      <c r="AA281" s="504"/>
      <c r="AB281" s="504"/>
      <c r="AC281" s="504"/>
      <c r="AD281" s="504"/>
      <c r="AE281" s="504"/>
      <c r="AF281" s="504"/>
      <c r="AG281" s="504"/>
      <c r="AH281" s="504"/>
      <c r="AI281" s="504"/>
      <c r="AJ281" s="504"/>
      <c r="AK281" s="504"/>
      <c r="AL281" s="504"/>
      <c r="AM281" s="504"/>
      <c r="AN281" s="504"/>
    </row>
    <row r="282" spans="1:40" ht="15.75" hidden="1" customHeight="1">
      <c r="A282" s="493" t="s">
        <v>386</v>
      </c>
      <c r="B282" s="499" t="s">
        <v>100</v>
      </c>
      <c r="C282" s="585" t="s">
        <v>21</v>
      </c>
      <c r="D282" s="82"/>
      <c r="E282" s="504"/>
      <c r="F282" s="514">
        <v>0</v>
      </c>
      <c r="G282" s="84"/>
      <c r="H282" s="504"/>
      <c r="I282" s="514">
        <v>0</v>
      </c>
      <c r="J282" s="525"/>
      <c r="K282" s="504"/>
      <c r="L282" s="517">
        <v>0</v>
      </c>
      <c r="M282" s="525"/>
      <c r="N282" s="545">
        <v>0</v>
      </c>
      <c r="O282" s="525"/>
      <c r="P282" s="504"/>
      <c r="Q282" s="517">
        <v>0</v>
      </c>
      <c r="R282" s="525"/>
      <c r="S282" s="567">
        <v>0</v>
      </c>
      <c r="T282" s="504"/>
      <c r="U282" s="504"/>
      <c r="V282" s="504"/>
      <c r="W282" s="504"/>
      <c r="X282" s="504"/>
      <c r="Y282" s="504"/>
      <c r="Z282" s="504"/>
      <c r="AA282" s="504"/>
      <c r="AB282" s="504"/>
      <c r="AC282" s="504"/>
      <c r="AD282" s="504"/>
      <c r="AE282" s="504"/>
      <c r="AF282" s="504"/>
      <c r="AG282" s="504"/>
      <c r="AH282" s="504"/>
      <c r="AI282" s="504"/>
      <c r="AJ282" s="504"/>
      <c r="AK282" s="504"/>
      <c r="AL282" s="504"/>
      <c r="AM282" s="504"/>
      <c r="AN282" s="504"/>
    </row>
    <row r="283" spans="1:40" ht="15.75" hidden="1" customHeight="1">
      <c r="A283" s="493" t="s">
        <v>386</v>
      </c>
      <c r="B283" s="499" t="s">
        <v>100</v>
      </c>
      <c r="C283" s="585" t="s">
        <v>21</v>
      </c>
      <c r="D283" s="82"/>
      <c r="E283" s="504"/>
      <c r="F283" s="514">
        <v>0</v>
      </c>
      <c r="G283" s="84"/>
      <c r="H283" s="504"/>
      <c r="I283" s="514">
        <v>0</v>
      </c>
      <c r="J283" s="525"/>
      <c r="K283" s="504"/>
      <c r="L283" s="517">
        <v>0</v>
      </c>
      <c r="M283" s="525"/>
      <c r="N283" s="545">
        <v>0</v>
      </c>
      <c r="O283" s="525"/>
      <c r="P283" s="504"/>
      <c r="Q283" s="517">
        <v>0</v>
      </c>
      <c r="R283" s="525"/>
      <c r="S283" s="567">
        <v>0</v>
      </c>
      <c r="T283" s="504"/>
      <c r="U283" s="504"/>
      <c r="V283" s="504"/>
      <c r="W283" s="504"/>
      <c r="X283" s="504"/>
      <c r="Y283" s="504"/>
      <c r="Z283" s="504"/>
      <c r="AA283" s="504"/>
      <c r="AB283" s="504"/>
      <c r="AC283" s="504"/>
      <c r="AD283" s="504"/>
      <c r="AE283" s="504"/>
      <c r="AF283" s="504"/>
      <c r="AG283" s="504"/>
      <c r="AH283" s="504"/>
      <c r="AI283" s="504"/>
      <c r="AJ283" s="504"/>
      <c r="AK283" s="504"/>
      <c r="AL283" s="504"/>
      <c r="AM283" s="504"/>
      <c r="AN283" s="504"/>
    </row>
    <row r="284" spans="1:40" ht="15.75" customHeight="1">
      <c r="B284" s="499"/>
      <c r="C284" s="578" t="s">
        <v>65</v>
      </c>
      <c r="D284" s="97" t="s">
        <v>40</v>
      </c>
      <c r="E284" s="579" t="e">
        <v>#DIV/0!</v>
      </c>
      <c r="F284" s="580">
        <v>4616.352639068311</v>
      </c>
      <c r="G284" s="100" t="s">
        <v>40</v>
      </c>
      <c r="H284" s="579" t="e">
        <v>#DIV/0!</v>
      </c>
      <c r="I284" s="580">
        <v>4616.352639068311</v>
      </c>
      <c r="J284" s="100" t="s">
        <v>40</v>
      </c>
      <c r="K284" s="579" t="e">
        <v>#DIV/0!</v>
      </c>
      <c r="L284" s="580">
        <v>3114.3942499999994</v>
      </c>
      <c r="M284" s="583"/>
      <c r="N284" s="580">
        <v>-1501.9583890683114</v>
      </c>
      <c r="O284" s="100" t="s">
        <v>40</v>
      </c>
      <c r="P284" s="579" t="e">
        <v>#DIV/0!</v>
      </c>
      <c r="Q284" s="580">
        <v>3869.6424999999999</v>
      </c>
      <c r="R284" s="583"/>
      <c r="S284" s="584">
        <v>-755.24825000000055</v>
      </c>
      <c r="T284" s="562"/>
      <c r="U284" s="504"/>
      <c r="V284" s="504"/>
      <c r="W284" s="504"/>
      <c r="X284" s="504"/>
      <c r="Y284" s="504"/>
      <c r="Z284" s="504"/>
      <c r="AA284" s="504"/>
      <c r="AB284" s="504"/>
      <c r="AC284" s="504"/>
      <c r="AD284" s="504"/>
      <c r="AE284" s="504"/>
      <c r="AF284" s="504"/>
      <c r="AG284" s="504"/>
      <c r="AH284" s="504"/>
      <c r="AI284" s="504"/>
      <c r="AJ284" s="504"/>
      <c r="AK284" s="504"/>
      <c r="AL284" s="504"/>
      <c r="AM284" s="504"/>
      <c r="AN284" s="504"/>
    </row>
    <row r="285" spans="1:40" ht="15.75" customHeight="1">
      <c r="B285" s="499"/>
      <c r="C285" s="568"/>
      <c r="D285" s="89"/>
      <c r="E285" s="592"/>
      <c r="F285" s="545"/>
      <c r="G285" s="91"/>
      <c r="H285" s="592"/>
      <c r="I285" s="545"/>
      <c r="J285" s="509"/>
      <c r="K285" s="592"/>
      <c r="L285" s="573"/>
      <c r="M285" s="509"/>
      <c r="N285" s="573"/>
      <c r="O285" s="509"/>
      <c r="P285" s="592"/>
      <c r="Q285" s="573"/>
      <c r="R285" s="509"/>
      <c r="S285" s="574"/>
      <c r="T285" s="562"/>
      <c r="U285" s="504"/>
      <c r="V285" s="504"/>
      <c r="W285" s="504"/>
      <c r="X285" s="504"/>
      <c r="Y285" s="504"/>
      <c r="Z285" s="504"/>
      <c r="AA285" s="504"/>
      <c r="AB285" s="504"/>
      <c r="AC285" s="504"/>
      <c r="AD285" s="504"/>
      <c r="AE285" s="504"/>
      <c r="AF285" s="504"/>
      <c r="AG285" s="504"/>
      <c r="AH285" s="504"/>
      <c r="AI285" s="504"/>
      <c r="AJ285" s="504"/>
      <c r="AK285" s="504"/>
      <c r="AL285" s="504"/>
      <c r="AM285" s="504"/>
      <c r="AN285" s="504"/>
    </row>
    <row r="286" spans="1:40" ht="15.75" customHeight="1">
      <c r="B286" s="499"/>
      <c r="C286" s="578" t="s">
        <v>66</v>
      </c>
      <c r="D286" s="97" t="s">
        <v>40</v>
      </c>
      <c r="E286" s="579" t="e">
        <v>#DIV/0!</v>
      </c>
      <c r="F286" s="580">
        <v>11924.079301420184</v>
      </c>
      <c r="G286" s="100" t="s">
        <v>40</v>
      </c>
      <c r="H286" s="579" t="e">
        <v>#DIV/0!</v>
      </c>
      <c r="I286" s="580">
        <v>11924.079301420184</v>
      </c>
      <c r="J286" s="100" t="s">
        <v>40</v>
      </c>
      <c r="K286" s="579" t="e">
        <v>#DIV/0!</v>
      </c>
      <c r="L286" s="580">
        <v>13152.404250000001</v>
      </c>
      <c r="M286" s="583"/>
      <c r="N286" s="594">
        <v>1228.3249485798169</v>
      </c>
      <c r="O286" s="100" t="s">
        <v>40</v>
      </c>
      <c r="P286" s="579" t="e">
        <v>#DIV/0!</v>
      </c>
      <c r="Q286" s="580">
        <v>13676.082499999999</v>
      </c>
      <c r="R286" s="583"/>
      <c r="S286" s="595">
        <v>-523.67824999999721</v>
      </c>
      <c r="T286" s="562"/>
      <c r="U286" s="504"/>
      <c r="V286" s="504"/>
      <c r="W286" s="504"/>
      <c r="X286" s="504"/>
      <c r="Y286" s="504"/>
      <c r="Z286" s="504"/>
      <c r="AA286" s="504"/>
      <c r="AB286" s="504"/>
      <c r="AC286" s="504"/>
      <c r="AD286" s="504"/>
      <c r="AE286" s="504"/>
      <c r="AF286" s="504"/>
      <c r="AG286" s="504"/>
      <c r="AH286" s="504"/>
      <c r="AI286" s="504"/>
      <c r="AJ286" s="504"/>
      <c r="AK286" s="504"/>
      <c r="AL286" s="504"/>
      <c r="AM286" s="504"/>
      <c r="AN286" s="504"/>
    </row>
    <row r="287" spans="1:40" ht="15.75" customHeight="1">
      <c r="B287" s="499"/>
      <c r="C287" s="513"/>
      <c r="D287" s="82"/>
      <c r="E287" s="504"/>
      <c r="F287" s="545"/>
      <c r="G287" s="84"/>
      <c r="H287" s="504"/>
      <c r="I287" s="545"/>
      <c r="J287" s="525"/>
      <c r="K287" s="504"/>
      <c r="L287" s="545"/>
      <c r="M287" s="525"/>
      <c r="N287" s="545">
        <v>0</v>
      </c>
      <c r="O287" s="525"/>
      <c r="P287" s="504"/>
      <c r="Q287" s="545"/>
      <c r="R287" s="525"/>
      <c r="S287" s="567"/>
      <c r="T287" s="504"/>
      <c r="U287" s="504"/>
      <c r="V287" s="504"/>
      <c r="W287" s="504"/>
      <c r="X287" s="504"/>
      <c r="Y287" s="504"/>
      <c r="Z287" s="504"/>
      <c r="AA287" s="504"/>
      <c r="AB287" s="504"/>
      <c r="AC287" s="504"/>
      <c r="AD287" s="504"/>
      <c r="AE287" s="504"/>
      <c r="AF287" s="504"/>
      <c r="AG287" s="504"/>
      <c r="AH287" s="504"/>
      <c r="AI287" s="504"/>
      <c r="AJ287" s="504"/>
      <c r="AK287" s="504"/>
      <c r="AL287" s="504"/>
      <c r="AM287" s="504"/>
      <c r="AN287" s="504"/>
    </row>
    <row r="288" spans="1:40" ht="15.75" customHeight="1" thickBot="1">
      <c r="B288" s="499"/>
      <c r="C288" s="605" t="s">
        <v>73</v>
      </c>
      <c r="D288" s="156"/>
      <c r="E288" s="606"/>
      <c r="F288" s="608">
        <v>9551.3451097495781</v>
      </c>
      <c r="G288" s="157"/>
      <c r="H288" s="606"/>
      <c r="I288" s="608">
        <v>9551.3451097495781</v>
      </c>
      <c r="J288" s="625"/>
      <c r="K288" s="607"/>
      <c r="L288" s="608">
        <v>12112.225749999989</v>
      </c>
      <c r="M288" s="625"/>
      <c r="N288" s="608">
        <v>2560.8806402504106</v>
      </c>
      <c r="O288" s="625"/>
      <c r="P288" s="607"/>
      <c r="Q288" s="608">
        <v>5565.8874999999953</v>
      </c>
      <c r="R288" s="625"/>
      <c r="S288" s="610">
        <v>6546.3382499999934</v>
      </c>
      <c r="T288" s="562"/>
      <c r="U288" s="504"/>
      <c r="V288" s="504"/>
      <c r="W288" s="504"/>
      <c r="X288" s="504"/>
      <c r="Y288" s="504"/>
      <c r="Z288" s="504"/>
      <c r="AA288" s="504"/>
      <c r="AB288" s="504"/>
      <c r="AC288" s="504"/>
      <c r="AD288" s="504"/>
      <c r="AE288" s="504"/>
      <c r="AF288" s="504"/>
      <c r="AG288" s="504"/>
      <c r="AH288" s="504"/>
      <c r="AI288" s="504"/>
      <c r="AJ288" s="504"/>
      <c r="AK288" s="504"/>
      <c r="AL288" s="504"/>
      <c r="AM288" s="504"/>
      <c r="AN288" s="504"/>
    </row>
    <row r="289" spans="1:40" ht="15.75" customHeight="1" thickTop="1">
      <c r="B289" s="499"/>
      <c r="C289" s="504"/>
      <c r="D289" s="504"/>
      <c r="E289" s="504"/>
      <c r="F289" s="504"/>
      <c r="G289" s="504"/>
      <c r="H289" s="504"/>
      <c r="I289" s="504"/>
      <c r="J289" s="504"/>
      <c r="K289" s="504"/>
      <c r="L289" s="565"/>
      <c r="M289" s="504"/>
      <c r="N289" s="504"/>
      <c r="O289" s="504"/>
      <c r="P289" s="504"/>
      <c r="Q289" s="504"/>
      <c r="R289" s="504"/>
      <c r="S289" s="504"/>
      <c r="T289" s="504"/>
      <c r="U289" s="504"/>
      <c r="V289" s="504"/>
      <c r="W289" s="504"/>
      <c r="X289" s="504"/>
      <c r="Y289" s="504"/>
      <c r="Z289" s="504"/>
      <c r="AA289" s="504"/>
      <c r="AB289" s="504"/>
      <c r="AC289" s="504"/>
      <c r="AD289" s="504"/>
      <c r="AE289" s="504"/>
      <c r="AF289" s="504"/>
      <c r="AG289" s="504"/>
      <c r="AH289" s="504"/>
      <c r="AI289" s="504"/>
      <c r="AJ289" s="504"/>
      <c r="AK289" s="504"/>
      <c r="AL289" s="504"/>
      <c r="AM289" s="504"/>
      <c r="AN289" s="504"/>
    </row>
    <row r="290" spans="1:40" ht="36" customHeight="1">
      <c r="B290" s="499"/>
      <c r="C290" s="496" t="s">
        <v>228</v>
      </c>
      <c r="D290" s="2"/>
      <c r="E290" s="2"/>
      <c r="F290" s="2"/>
      <c r="G290" s="2"/>
      <c r="H290" s="494"/>
      <c r="I290" s="494"/>
      <c r="J290" s="494"/>
      <c r="K290" s="3" t="s">
        <v>104</v>
      </c>
      <c r="L290" s="2"/>
      <c r="M290" s="2"/>
      <c r="N290" s="494"/>
      <c r="O290" s="494"/>
      <c r="P290" s="2"/>
      <c r="Q290" s="494"/>
      <c r="R290" s="2"/>
      <c r="S290" s="5" t="s">
        <v>229</v>
      </c>
      <c r="T290" s="504"/>
      <c r="U290" s="504"/>
      <c r="V290" s="504"/>
      <c r="W290" s="504"/>
      <c r="X290" s="504"/>
      <c r="Y290" s="504"/>
      <c r="Z290" s="504"/>
      <c r="AA290" s="504"/>
      <c r="AB290" s="504"/>
      <c r="AC290" s="504"/>
      <c r="AD290" s="504"/>
      <c r="AE290" s="504"/>
      <c r="AF290" s="504"/>
      <c r="AG290" s="504"/>
      <c r="AH290" s="504"/>
      <c r="AI290" s="504"/>
      <c r="AJ290" s="504"/>
      <c r="AK290" s="504"/>
      <c r="AL290" s="504"/>
      <c r="AM290" s="504"/>
      <c r="AN290" s="504"/>
    </row>
    <row r="291" spans="1:40" ht="15.75" customHeight="1" thickBot="1">
      <c r="B291" s="499"/>
      <c r="C291" s="8"/>
      <c r="D291" s="498"/>
      <c r="E291" s="498"/>
      <c r="F291" s="498"/>
      <c r="G291" s="498"/>
      <c r="H291" s="498"/>
      <c r="I291" s="498"/>
      <c r="J291" s="498"/>
      <c r="K291" s="498"/>
      <c r="L291" s="498"/>
      <c r="M291" s="498"/>
      <c r="N291" s="498"/>
      <c r="O291" s="498"/>
      <c r="P291" s="498"/>
      <c r="Q291" s="498"/>
      <c r="R291" s="498"/>
      <c r="S291" s="498"/>
      <c r="T291" s="504"/>
      <c r="U291" s="504"/>
      <c r="V291" s="504"/>
      <c r="W291" s="504"/>
      <c r="X291" s="504"/>
      <c r="Y291" s="504"/>
      <c r="Z291" s="504"/>
      <c r="AA291" s="504"/>
      <c r="AB291" s="504"/>
      <c r="AC291" s="504"/>
      <c r="AD291" s="504"/>
      <c r="AE291" s="504"/>
      <c r="AF291" s="504"/>
      <c r="AG291" s="504"/>
      <c r="AH291" s="504"/>
      <c r="AI291" s="504"/>
      <c r="AJ291" s="504"/>
      <c r="AK291" s="504"/>
      <c r="AL291" s="504"/>
      <c r="AM291" s="504"/>
      <c r="AN291" s="504"/>
    </row>
    <row r="292" spans="1:40" ht="15.75" customHeight="1" thickTop="1">
      <c r="B292" s="499"/>
      <c r="C292" s="500"/>
      <c r="D292" s="488" t="s">
        <v>5</v>
      </c>
      <c r="E292" s="501"/>
      <c r="F292" s="502"/>
      <c r="G292" s="489" t="s">
        <v>75</v>
      </c>
      <c r="H292" s="501"/>
      <c r="I292" s="502"/>
      <c r="J292" s="489" t="s">
        <v>7</v>
      </c>
      <c r="K292" s="501"/>
      <c r="L292" s="502"/>
      <c r="M292" s="489" t="s">
        <v>8</v>
      </c>
      <c r="N292" s="502"/>
      <c r="O292" s="488" t="s">
        <v>9</v>
      </c>
      <c r="P292" s="501"/>
      <c r="Q292" s="502"/>
      <c r="R292" s="489" t="s">
        <v>10</v>
      </c>
      <c r="S292" s="503"/>
      <c r="T292" s="504"/>
      <c r="U292" s="504"/>
      <c r="V292" s="504"/>
      <c r="W292" s="504"/>
      <c r="X292" s="504"/>
      <c r="Y292" s="504"/>
      <c r="Z292" s="504"/>
      <c r="AA292" s="504"/>
      <c r="AB292" s="504"/>
      <c r="AC292" s="504"/>
      <c r="AD292" s="504"/>
      <c r="AE292" s="504"/>
      <c r="AF292" s="504"/>
      <c r="AG292" s="504"/>
      <c r="AH292" s="504"/>
      <c r="AI292" s="504"/>
      <c r="AJ292" s="504"/>
      <c r="AK292" s="504"/>
      <c r="AL292" s="504"/>
      <c r="AM292" s="504"/>
      <c r="AN292" s="504"/>
    </row>
    <row r="293" spans="1:40" ht="15.75" customHeight="1">
      <c r="A293" s="493" t="s">
        <v>104</v>
      </c>
      <c r="B293" s="499" t="s">
        <v>104</v>
      </c>
      <c r="C293" s="513"/>
      <c r="D293" s="81" t="s">
        <v>85</v>
      </c>
      <c r="E293" s="81" t="s">
        <v>105</v>
      </c>
      <c r="F293" s="137" t="s">
        <v>13</v>
      </c>
      <c r="G293" s="138" t="s">
        <v>85</v>
      </c>
      <c r="H293" s="81" t="s">
        <v>105</v>
      </c>
      <c r="I293" s="137" t="s">
        <v>13</v>
      </c>
      <c r="J293" s="138" t="s">
        <v>85</v>
      </c>
      <c r="K293" s="81" t="s">
        <v>105</v>
      </c>
      <c r="L293" s="137" t="s">
        <v>13</v>
      </c>
      <c r="M293" s="138" t="s">
        <v>41</v>
      </c>
      <c r="N293" s="137" t="s">
        <v>13</v>
      </c>
      <c r="O293" s="81" t="s">
        <v>85</v>
      </c>
      <c r="P293" s="81" t="s">
        <v>105</v>
      </c>
      <c r="Q293" s="137" t="s">
        <v>13</v>
      </c>
      <c r="R293" s="138" t="s">
        <v>86</v>
      </c>
      <c r="S293" s="139" t="s">
        <v>13</v>
      </c>
      <c r="T293" s="504"/>
      <c r="U293" s="504"/>
      <c r="V293" s="504"/>
      <c r="W293" s="504"/>
      <c r="X293" s="504"/>
      <c r="Y293" s="504"/>
      <c r="Z293" s="504"/>
      <c r="AA293" s="504"/>
      <c r="AB293" s="504"/>
      <c r="AC293" s="504"/>
      <c r="AD293" s="504"/>
      <c r="AE293" s="504"/>
      <c r="AF293" s="504"/>
      <c r="AG293" s="504"/>
      <c r="AH293" s="504"/>
      <c r="AI293" s="504"/>
      <c r="AJ293" s="504"/>
      <c r="AK293" s="504"/>
      <c r="AL293" s="504"/>
      <c r="AM293" s="504"/>
      <c r="AN293" s="504"/>
    </row>
    <row r="294" spans="1:40" ht="15.75" customHeight="1">
      <c r="A294" s="493" t="s">
        <v>407</v>
      </c>
      <c r="B294" s="499" t="s">
        <v>104</v>
      </c>
      <c r="C294" s="513" t="s">
        <v>106</v>
      </c>
      <c r="D294" s="565">
        <v>105039.77986157766</v>
      </c>
      <c r="E294" s="622">
        <v>0.35811007851031496</v>
      </c>
      <c r="F294" s="567">
        <v>37615.803812935774</v>
      </c>
      <c r="G294" s="565">
        <v>105039.77986157766</v>
      </c>
      <c r="H294" s="622">
        <v>0.35811007851031496</v>
      </c>
      <c r="I294" s="567">
        <v>37615.803812935774</v>
      </c>
      <c r="J294" s="514">
        <v>74099.61</v>
      </c>
      <c r="K294" s="622">
        <v>0.3720709191316931</v>
      </c>
      <c r="L294" s="517">
        <v>27570.309999999998</v>
      </c>
      <c r="M294" s="628">
        <v>-0.29455668987835737</v>
      </c>
      <c r="N294" s="545">
        <v>-10045.493812935776</v>
      </c>
      <c r="O294" s="514">
        <v>76824</v>
      </c>
      <c r="P294" s="622">
        <v>0.37055347287306051</v>
      </c>
      <c r="Q294" s="517">
        <v>28467.4</v>
      </c>
      <c r="R294" s="628">
        <v>-3.5462746016869717E-2</v>
      </c>
      <c r="S294" s="567">
        <v>-897.09000000000378</v>
      </c>
      <c r="T294" s="504"/>
      <c r="U294" s="504"/>
      <c r="V294" s="504"/>
      <c r="W294" s="504"/>
      <c r="X294" s="504"/>
      <c r="Y294" s="504"/>
      <c r="Z294" s="504"/>
      <c r="AA294" s="504"/>
      <c r="AB294" s="504"/>
      <c r="AC294" s="504"/>
      <c r="AD294" s="504"/>
      <c r="AE294" s="504"/>
      <c r="AF294" s="504"/>
      <c r="AG294" s="504"/>
      <c r="AH294" s="504"/>
      <c r="AI294" s="504"/>
      <c r="AJ294" s="504"/>
      <c r="AK294" s="504"/>
      <c r="AL294" s="504"/>
      <c r="AM294" s="504"/>
      <c r="AN294" s="504"/>
    </row>
    <row r="295" spans="1:40" ht="15.75" customHeight="1">
      <c r="A295" s="493" t="s">
        <v>408</v>
      </c>
      <c r="B295" s="499" t="s">
        <v>104</v>
      </c>
      <c r="C295" s="513" t="s">
        <v>107</v>
      </c>
      <c r="D295" s="565">
        <v>51954.602342500584</v>
      </c>
      <c r="E295" s="622">
        <v>0.2571723304036081</v>
      </c>
      <c r="F295" s="567">
        <v>13361.286159613632</v>
      </c>
      <c r="G295" s="565">
        <v>51954.602342500584</v>
      </c>
      <c r="H295" s="622">
        <v>0.2571723304036081</v>
      </c>
      <c r="I295" s="567">
        <v>13361.286159613632</v>
      </c>
      <c r="J295" s="514">
        <v>55039.000000000007</v>
      </c>
      <c r="K295" s="622">
        <v>0.24261741674085668</v>
      </c>
      <c r="L295" s="517">
        <v>13353.420000000013</v>
      </c>
      <c r="M295" s="628">
        <v>5.9367168998159837E-2</v>
      </c>
      <c r="N295" s="545">
        <v>-7.8661596136189473</v>
      </c>
      <c r="O295" s="514">
        <v>56488.42</v>
      </c>
      <c r="P295" s="622">
        <v>0.24320701481825827</v>
      </c>
      <c r="Q295" s="517">
        <v>13738.379999999996</v>
      </c>
      <c r="R295" s="628">
        <v>-2.5658710227688983E-2</v>
      </c>
      <c r="S295" s="567">
        <v>-384.95999999998276</v>
      </c>
      <c r="T295" s="504"/>
      <c r="U295" s="504"/>
      <c r="V295" s="504"/>
      <c r="W295" s="504"/>
      <c r="X295" s="504"/>
      <c r="Y295" s="504"/>
      <c r="Z295" s="504"/>
      <c r="AA295" s="504"/>
      <c r="AB295" s="504"/>
      <c r="AC295" s="504"/>
      <c r="AD295" s="504"/>
      <c r="AE295" s="504"/>
      <c r="AF295" s="504"/>
      <c r="AG295" s="504"/>
      <c r="AH295" s="504"/>
      <c r="AI295" s="504"/>
      <c r="AJ295" s="504"/>
      <c r="AK295" s="504"/>
      <c r="AL295" s="504"/>
      <c r="AM295" s="504"/>
      <c r="AN295" s="504"/>
    </row>
    <row r="296" spans="1:40" ht="15.75" customHeight="1">
      <c r="A296" s="493" t="s">
        <v>409</v>
      </c>
      <c r="B296" s="499" t="s">
        <v>104</v>
      </c>
      <c r="C296" s="513" t="s">
        <v>108</v>
      </c>
      <c r="D296" s="565">
        <v>49181.292269228259</v>
      </c>
      <c r="E296" s="622">
        <v>0.24177651145507992</v>
      </c>
      <c r="F296" s="567">
        <v>11890.8812737067</v>
      </c>
      <c r="G296" s="565">
        <v>49181.292269228259</v>
      </c>
      <c r="H296" s="622">
        <v>0.24177651145507992</v>
      </c>
      <c r="I296" s="567">
        <v>11890.8812737067</v>
      </c>
      <c r="J296" s="514">
        <v>29634.22</v>
      </c>
      <c r="K296" s="622">
        <v>0.24570378434121098</v>
      </c>
      <c r="L296" s="517">
        <v>7281.2400000000016</v>
      </c>
      <c r="M296" s="628">
        <v>-0.3974493423683067</v>
      </c>
      <c r="N296" s="545">
        <v>-4609.6412737066985</v>
      </c>
      <c r="O296" s="514">
        <v>50295.94</v>
      </c>
      <c r="P296" s="622">
        <v>0.2317936596870443</v>
      </c>
      <c r="Q296" s="517">
        <v>11658.279999999999</v>
      </c>
      <c r="R296" s="628">
        <v>-0.41080293956132441</v>
      </c>
      <c r="S296" s="567">
        <v>-4377.0399999999972</v>
      </c>
      <c r="T296" s="504"/>
      <c r="U296" s="504"/>
      <c r="V296" s="504"/>
      <c r="W296" s="504"/>
      <c r="X296" s="504"/>
      <c r="Y296" s="504"/>
      <c r="Z296" s="504"/>
      <c r="AA296" s="504"/>
      <c r="AB296" s="504"/>
      <c r="AC296" s="504"/>
      <c r="AD296" s="504"/>
      <c r="AE296" s="504"/>
      <c r="AF296" s="504"/>
      <c r="AG296" s="504"/>
      <c r="AH296" s="504"/>
      <c r="AI296" s="504"/>
      <c r="AJ296" s="504"/>
      <c r="AK296" s="504"/>
      <c r="AL296" s="504"/>
      <c r="AM296" s="504"/>
      <c r="AN296" s="504"/>
    </row>
    <row r="297" spans="1:40" ht="15.75" customHeight="1">
      <c r="A297" s="493" t="s">
        <v>410</v>
      </c>
      <c r="B297" s="499" t="s">
        <v>104</v>
      </c>
      <c r="C297" s="513" t="s">
        <v>109</v>
      </c>
      <c r="D297" s="565">
        <v>52700.318919051817</v>
      </c>
      <c r="E297" s="622">
        <v>0.32393223852119107</v>
      </c>
      <c r="F297" s="567">
        <v>17071.332278229132</v>
      </c>
      <c r="G297" s="565">
        <v>52700.318919051817</v>
      </c>
      <c r="H297" s="622">
        <v>0.32393223852119107</v>
      </c>
      <c r="I297" s="567">
        <v>17071.332278229132</v>
      </c>
      <c r="J297" s="514">
        <v>48183.94</v>
      </c>
      <c r="K297" s="622">
        <v>0.31607709954810675</v>
      </c>
      <c r="L297" s="517">
        <v>15229.840000000004</v>
      </c>
      <c r="M297" s="628">
        <v>-8.5699271118055559E-2</v>
      </c>
      <c r="N297" s="545">
        <v>-1841.4922782291287</v>
      </c>
      <c r="O297" s="514">
        <v>62580.26</v>
      </c>
      <c r="P297" s="622">
        <v>0.31243590231168739</v>
      </c>
      <c r="Q297" s="517">
        <v>19552.32</v>
      </c>
      <c r="R297" s="628">
        <v>-0.23004570450809886</v>
      </c>
      <c r="S297" s="567">
        <v>-4322.4799999999959</v>
      </c>
      <c r="T297" s="504"/>
      <c r="U297" s="504"/>
      <c r="V297" s="504"/>
      <c r="W297" s="504"/>
      <c r="X297" s="504"/>
      <c r="Y297" s="504"/>
      <c r="Z297" s="504"/>
      <c r="AA297" s="504"/>
      <c r="AB297" s="504"/>
      <c r="AC297" s="504"/>
      <c r="AD297" s="504"/>
      <c r="AE297" s="504"/>
      <c r="AF297" s="504"/>
      <c r="AG297" s="504"/>
      <c r="AH297" s="504"/>
      <c r="AI297" s="504"/>
      <c r="AJ297" s="504"/>
      <c r="AK297" s="504"/>
      <c r="AL297" s="504"/>
      <c r="AM297" s="504"/>
      <c r="AN297" s="504"/>
    </row>
    <row r="298" spans="1:40" ht="15.75" customHeight="1">
      <c r="A298" s="493" t="s">
        <v>411</v>
      </c>
      <c r="B298" s="499" t="s">
        <v>104</v>
      </c>
      <c r="C298" s="513" t="s">
        <v>110</v>
      </c>
      <c r="D298" s="565">
        <v>21716.146264775864</v>
      </c>
      <c r="E298" s="622">
        <v>0.28113730707120016</v>
      </c>
      <c r="F298" s="567">
        <v>6105.2188808433884</v>
      </c>
      <c r="G298" s="565">
        <v>21716.146264775864</v>
      </c>
      <c r="H298" s="622">
        <v>0.28113730707120016</v>
      </c>
      <c r="I298" s="567">
        <v>6105.2188808433884</v>
      </c>
      <c r="J298" s="514">
        <v>18524.03</v>
      </c>
      <c r="K298" s="622">
        <v>0.26555506550140545</v>
      </c>
      <c r="L298" s="517">
        <v>4919.1499999999996</v>
      </c>
      <c r="M298" s="628">
        <v>-0.14699275948207982</v>
      </c>
      <c r="N298" s="545">
        <v>-1186.0688808433888</v>
      </c>
      <c r="O298" s="514">
        <v>22567.95</v>
      </c>
      <c r="P298" s="622">
        <v>0.24120445144552347</v>
      </c>
      <c r="Q298" s="517">
        <v>5443.4900000000016</v>
      </c>
      <c r="R298" s="628">
        <v>-0.17918862812085287</v>
      </c>
      <c r="S298" s="567">
        <v>-524.34000000000196</v>
      </c>
      <c r="T298" s="504"/>
      <c r="U298" s="504"/>
      <c r="V298" s="504"/>
      <c r="W298" s="504"/>
      <c r="X298" s="504"/>
      <c r="Y298" s="504"/>
      <c r="Z298" s="504"/>
      <c r="AA298" s="504"/>
      <c r="AB298" s="504"/>
      <c r="AC298" s="504"/>
      <c r="AD298" s="504"/>
      <c r="AE298" s="504"/>
      <c r="AF298" s="504"/>
      <c r="AG298" s="504"/>
      <c r="AH298" s="504"/>
      <c r="AI298" s="504"/>
      <c r="AJ298" s="504"/>
      <c r="AK298" s="504"/>
      <c r="AL298" s="504"/>
      <c r="AM298" s="504"/>
      <c r="AN298" s="504"/>
    </row>
    <row r="299" spans="1:40" ht="15.75" customHeight="1">
      <c r="A299" s="493" t="s">
        <v>412</v>
      </c>
      <c r="B299" s="499" t="s">
        <v>104</v>
      </c>
      <c r="C299" s="513" t="s">
        <v>111</v>
      </c>
      <c r="D299" s="565">
        <v>46292.896296864907</v>
      </c>
      <c r="E299" s="622">
        <v>0.18194830719212418</v>
      </c>
      <c r="F299" s="567">
        <v>8422.9141162351243</v>
      </c>
      <c r="G299" s="565">
        <v>46292.896296864907</v>
      </c>
      <c r="H299" s="622">
        <v>0.18194830719212418</v>
      </c>
      <c r="I299" s="567">
        <v>8422.9141162351243</v>
      </c>
      <c r="J299" s="514">
        <v>64900.92</v>
      </c>
      <c r="K299" s="622">
        <v>0.20434440682813124</v>
      </c>
      <c r="L299" s="517">
        <v>13262.14</v>
      </c>
      <c r="M299" s="628">
        <v>0.40196283213317296</v>
      </c>
      <c r="N299" s="545">
        <v>4839.2258837648751</v>
      </c>
      <c r="O299" s="514">
        <v>33786.17</v>
      </c>
      <c r="P299" s="622">
        <v>0.19853626498653146</v>
      </c>
      <c r="Q299" s="517">
        <v>6707.7799999999988</v>
      </c>
      <c r="R299" s="628">
        <v>0.92093155276256533</v>
      </c>
      <c r="S299" s="567">
        <v>6554.3600000000006</v>
      </c>
      <c r="T299" s="504"/>
      <c r="U299" s="504"/>
      <c r="V299" s="504"/>
      <c r="W299" s="504"/>
      <c r="X299" s="504"/>
      <c r="Y299" s="504"/>
      <c r="Z299" s="504"/>
      <c r="AA299" s="504"/>
      <c r="AB299" s="504"/>
      <c r="AC299" s="504"/>
      <c r="AD299" s="504"/>
      <c r="AE299" s="504"/>
      <c r="AF299" s="504"/>
      <c r="AG299" s="504"/>
      <c r="AH299" s="504"/>
      <c r="AI299" s="504"/>
      <c r="AJ299" s="504"/>
      <c r="AK299" s="504"/>
      <c r="AL299" s="504"/>
      <c r="AM299" s="504"/>
      <c r="AN299" s="504"/>
    </row>
    <row r="300" spans="1:40" ht="15.75" hidden="1" customHeight="1">
      <c r="A300" s="493" t="s">
        <v>413</v>
      </c>
      <c r="B300" s="499" t="s">
        <v>104</v>
      </c>
      <c r="C300" s="513" t="s">
        <v>21</v>
      </c>
      <c r="D300" s="565">
        <v>0</v>
      </c>
      <c r="E300" s="622">
        <v>0</v>
      </c>
      <c r="F300" s="567">
        <v>0</v>
      </c>
      <c r="G300" s="565">
        <v>0</v>
      </c>
      <c r="H300" s="622">
        <v>0</v>
      </c>
      <c r="I300" s="567">
        <v>0</v>
      </c>
      <c r="J300" s="514">
        <v>0</v>
      </c>
      <c r="K300" s="622">
        <v>0</v>
      </c>
      <c r="L300" s="517">
        <v>0</v>
      </c>
      <c r="M300" s="628" t="e">
        <v>#DIV/0!</v>
      </c>
      <c r="N300" s="545">
        <v>0</v>
      </c>
      <c r="O300" s="514">
        <v>0</v>
      </c>
      <c r="P300" s="622">
        <v>0</v>
      </c>
      <c r="Q300" s="517">
        <v>0</v>
      </c>
      <c r="R300" s="628">
        <v>0</v>
      </c>
      <c r="S300" s="567">
        <v>0</v>
      </c>
      <c r="T300" s="504"/>
      <c r="U300" s="504"/>
      <c r="V300" s="504"/>
      <c r="W300" s="504"/>
      <c r="X300" s="504"/>
      <c r="Y300" s="504"/>
      <c r="Z300" s="504"/>
      <c r="AA300" s="504"/>
      <c r="AB300" s="504"/>
      <c r="AC300" s="504"/>
      <c r="AD300" s="504"/>
      <c r="AE300" s="504"/>
      <c r="AF300" s="504"/>
      <c r="AG300" s="504"/>
      <c r="AH300" s="504"/>
      <c r="AI300" s="504"/>
      <c r="AJ300" s="504"/>
      <c r="AK300" s="504"/>
      <c r="AL300" s="504"/>
      <c r="AM300" s="504"/>
      <c r="AN300" s="504"/>
    </row>
    <row r="301" spans="1:40" ht="15.75" customHeight="1">
      <c r="A301" s="493" t="s">
        <v>414</v>
      </c>
      <c r="B301" s="499" t="s">
        <v>104</v>
      </c>
      <c r="C301" s="513" t="s">
        <v>112</v>
      </c>
      <c r="D301" s="565">
        <v>0</v>
      </c>
      <c r="E301" s="622">
        <v>0</v>
      </c>
      <c r="F301" s="567">
        <v>5417.2411098479715</v>
      </c>
      <c r="G301" s="565">
        <v>0</v>
      </c>
      <c r="H301" s="622">
        <v>0</v>
      </c>
      <c r="I301" s="567">
        <v>5417.2411098479715</v>
      </c>
      <c r="J301" s="514">
        <v>0</v>
      </c>
      <c r="K301" s="622">
        <v>0</v>
      </c>
      <c r="L301" s="517">
        <v>5275.83</v>
      </c>
      <c r="M301" s="628"/>
      <c r="N301" s="545">
        <v>-141.4111098479716</v>
      </c>
      <c r="O301" s="514">
        <v>0</v>
      </c>
      <c r="P301" s="622">
        <v>0</v>
      </c>
      <c r="Q301" s="517">
        <v>10048.380000000001</v>
      </c>
      <c r="R301" s="628">
        <v>0</v>
      </c>
      <c r="S301" s="567">
        <v>-4772.5500000000011</v>
      </c>
      <c r="T301" s="504"/>
      <c r="U301" s="504"/>
      <c r="V301" s="504"/>
      <c r="W301" s="504"/>
      <c r="X301" s="504"/>
      <c r="Y301" s="504"/>
      <c r="Z301" s="504"/>
      <c r="AA301" s="504"/>
      <c r="AB301" s="504"/>
      <c r="AC301" s="504"/>
      <c r="AD301" s="504"/>
      <c r="AE301" s="504"/>
      <c r="AF301" s="504"/>
      <c r="AG301" s="504"/>
      <c r="AH301" s="504"/>
      <c r="AI301" s="504"/>
      <c r="AJ301" s="504"/>
      <c r="AK301" s="504"/>
      <c r="AL301" s="504"/>
      <c r="AM301" s="504"/>
      <c r="AN301" s="504"/>
    </row>
    <row r="302" spans="1:40" ht="15.75" customHeight="1">
      <c r="A302" s="493" t="s">
        <v>415</v>
      </c>
      <c r="B302" s="499" t="s">
        <v>104</v>
      </c>
      <c r="C302" s="568" t="s">
        <v>113</v>
      </c>
      <c r="D302" s="565">
        <v>0</v>
      </c>
      <c r="E302" s="622">
        <v>0</v>
      </c>
      <c r="F302" s="567">
        <v>0</v>
      </c>
      <c r="G302" s="565">
        <v>0</v>
      </c>
      <c r="H302" s="622">
        <v>0</v>
      </c>
      <c r="I302" s="567">
        <v>0</v>
      </c>
      <c r="J302" s="514">
        <v>0</v>
      </c>
      <c r="K302" s="622">
        <v>0</v>
      </c>
      <c r="L302" s="517">
        <v>0</v>
      </c>
      <c r="M302" s="628"/>
      <c r="N302" s="545">
        <v>0</v>
      </c>
      <c r="O302" s="514">
        <v>0</v>
      </c>
      <c r="P302" s="622">
        <v>0</v>
      </c>
      <c r="Q302" s="517">
        <v>0</v>
      </c>
      <c r="R302" s="628">
        <v>0</v>
      </c>
      <c r="S302" s="567">
        <v>0</v>
      </c>
      <c r="T302" s="504"/>
      <c r="U302" s="504"/>
      <c r="V302" s="504"/>
      <c r="W302" s="504"/>
      <c r="X302" s="504"/>
      <c r="Y302" s="504"/>
      <c r="Z302" s="504"/>
      <c r="AA302" s="504"/>
      <c r="AB302" s="504"/>
      <c r="AC302" s="504"/>
      <c r="AD302" s="504"/>
      <c r="AE302" s="504"/>
      <c r="AF302" s="504"/>
      <c r="AG302" s="504"/>
      <c r="AH302" s="504"/>
      <c r="AI302" s="504"/>
      <c r="AJ302" s="504"/>
      <c r="AK302" s="504"/>
      <c r="AL302" s="504"/>
      <c r="AM302" s="504"/>
      <c r="AN302" s="504"/>
    </row>
    <row r="303" spans="1:40" ht="15.75" customHeight="1">
      <c r="A303" s="493" t="s">
        <v>416</v>
      </c>
      <c r="B303" s="499" t="s">
        <v>104</v>
      </c>
      <c r="C303" s="538" t="s">
        <v>114</v>
      </c>
      <c r="D303" s="669">
        <v>326885.03595399909</v>
      </c>
      <c r="E303" s="688">
        <v>0.30556515791523725</v>
      </c>
      <c r="F303" s="673">
        <v>99884.677631411731</v>
      </c>
      <c r="G303" s="669">
        <v>326885.03595399909</v>
      </c>
      <c r="H303" s="688">
        <v>0.30556515791523725</v>
      </c>
      <c r="I303" s="673">
        <v>99884.677631411731</v>
      </c>
      <c r="J303" s="669">
        <v>290381.72000000003</v>
      </c>
      <c r="K303" s="688">
        <v>0.299233471032543</v>
      </c>
      <c r="L303" s="671">
        <v>86891.930000000022</v>
      </c>
      <c r="M303" s="689">
        <v>-0.11167019575388575</v>
      </c>
      <c r="N303" s="671">
        <v>-12992.747631411708</v>
      </c>
      <c r="O303" s="669">
        <v>302542.74</v>
      </c>
      <c r="P303" s="688">
        <v>0.31604139633296113</v>
      </c>
      <c r="Q303" s="671">
        <v>95616.030000000013</v>
      </c>
      <c r="R303" s="689">
        <v>-4.0196039739707388E-2</v>
      </c>
      <c r="S303" s="673">
        <v>-8724.0999999999913</v>
      </c>
      <c r="T303" s="504"/>
      <c r="U303" s="504"/>
      <c r="V303" s="504"/>
      <c r="W303" s="504"/>
      <c r="X303" s="504"/>
      <c r="Y303" s="504"/>
      <c r="Z303" s="504"/>
      <c r="AA303" s="504"/>
      <c r="AB303" s="504"/>
      <c r="AC303" s="504"/>
      <c r="AD303" s="504"/>
      <c r="AE303" s="504"/>
      <c r="AF303" s="504"/>
      <c r="AG303" s="504"/>
      <c r="AH303" s="504"/>
      <c r="AI303" s="504"/>
      <c r="AJ303" s="504"/>
      <c r="AK303" s="504"/>
      <c r="AL303" s="504"/>
      <c r="AM303" s="504"/>
      <c r="AN303" s="504"/>
    </row>
    <row r="304" spans="1:40" ht="15.75" customHeight="1">
      <c r="A304" s="493" t="s">
        <v>104</v>
      </c>
      <c r="B304" s="499" t="s">
        <v>104</v>
      </c>
      <c r="C304" s="513"/>
      <c r="D304" s="504"/>
      <c r="E304" s="504"/>
      <c r="F304" s="524"/>
      <c r="G304" s="525"/>
      <c r="H304" s="504"/>
      <c r="I304" s="524"/>
      <c r="J304" s="525"/>
      <c r="K304" s="504"/>
      <c r="L304" s="524"/>
      <c r="M304" s="525"/>
      <c r="N304" s="527">
        <v>-0.13007748475053144</v>
      </c>
      <c r="O304" s="525"/>
      <c r="P304" s="504"/>
      <c r="Q304" s="524"/>
      <c r="R304" s="525"/>
      <c r="S304" s="528">
        <v>-9.1240977062109666E-2</v>
      </c>
      <c r="T304" s="504"/>
      <c r="U304" s="504"/>
      <c r="V304" s="504"/>
      <c r="W304" s="504"/>
      <c r="X304" s="504"/>
      <c r="Y304" s="504"/>
      <c r="Z304" s="504"/>
      <c r="AA304" s="504"/>
      <c r="AB304" s="504"/>
      <c r="AC304" s="504"/>
      <c r="AD304" s="504"/>
      <c r="AE304" s="504"/>
      <c r="AF304" s="504"/>
      <c r="AG304" s="504"/>
      <c r="AH304" s="504"/>
      <c r="AI304" s="504"/>
      <c r="AJ304" s="504"/>
      <c r="AK304" s="504"/>
      <c r="AL304" s="504"/>
      <c r="AM304" s="504"/>
      <c r="AN304" s="504"/>
    </row>
    <row r="305" spans="1:40" ht="15.75" customHeight="1">
      <c r="A305" s="493" t="s">
        <v>104</v>
      </c>
      <c r="B305" s="499" t="s">
        <v>104</v>
      </c>
      <c r="C305" s="568"/>
      <c r="D305" s="592"/>
      <c r="E305" s="592"/>
      <c r="F305" s="690"/>
      <c r="G305" s="509"/>
      <c r="H305" s="691"/>
      <c r="I305" s="690"/>
      <c r="J305" s="509"/>
      <c r="K305" s="592"/>
      <c r="L305" s="690"/>
      <c r="M305" s="509"/>
      <c r="N305" s="640"/>
      <c r="O305" s="509"/>
      <c r="P305" s="592"/>
      <c r="Q305" s="690"/>
      <c r="R305" s="509"/>
      <c r="S305" s="641"/>
      <c r="T305" s="504"/>
      <c r="U305" s="504"/>
      <c r="V305" s="504"/>
      <c r="W305" s="504"/>
      <c r="X305" s="504"/>
      <c r="Y305" s="504"/>
      <c r="Z305" s="504"/>
      <c r="AA305" s="504"/>
      <c r="AB305" s="504"/>
      <c r="AC305" s="504"/>
      <c r="AD305" s="504"/>
      <c r="AE305" s="504"/>
      <c r="AF305" s="504"/>
      <c r="AG305" s="504"/>
      <c r="AH305" s="504"/>
      <c r="AI305" s="504"/>
      <c r="AJ305" s="504"/>
      <c r="AK305" s="504"/>
      <c r="AL305" s="504"/>
      <c r="AM305" s="504"/>
      <c r="AN305" s="504"/>
    </row>
    <row r="306" spans="1:40" ht="15.75" customHeight="1">
      <c r="A306" s="493" t="s">
        <v>417</v>
      </c>
      <c r="B306" s="499" t="s">
        <v>104</v>
      </c>
      <c r="C306" s="513" t="s">
        <v>115</v>
      </c>
      <c r="D306" s="565">
        <v>27666.855431102034</v>
      </c>
      <c r="E306" s="622">
        <v>0.1816444838198383</v>
      </c>
      <c r="F306" s="591">
        <v>5025.5316737006187</v>
      </c>
      <c r="G306" s="565">
        <v>27666.855431102034</v>
      </c>
      <c r="H306" s="622">
        <v>0.1816444838198383</v>
      </c>
      <c r="I306" s="591">
        <v>5025.5316737006187</v>
      </c>
      <c r="J306" s="514">
        <v>28701.99</v>
      </c>
      <c r="K306" s="622">
        <v>0.16996417321586416</v>
      </c>
      <c r="L306" s="517">
        <v>4878.3100000000013</v>
      </c>
      <c r="M306" s="628">
        <v>3.7414247219953595E-2</v>
      </c>
      <c r="N306" s="545">
        <v>-147.22167370061743</v>
      </c>
      <c r="O306" s="514">
        <v>40926.620000000003</v>
      </c>
      <c r="P306" s="622">
        <v>0.17181995483624116</v>
      </c>
      <c r="Q306" s="517">
        <v>7032.0100000000048</v>
      </c>
      <c r="R306" s="628">
        <v>-0.29869630084282556</v>
      </c>
      <c r="S306" s="567">
        <v>-2153.7000000000035</v>
      </c>
      <c r="T306" s="504"/>
      <c r="U306" s="504"/>
      <c r="V306" s="504"/>
      <c r="W306" s="504"/>
      <c r="X306" s="504"/>
      <c r="Y306" s="504"/>
      <c r="Z306" s="504"/>
      <c r="AA306" s="504"/>
      <c r="AB306" s="504"/>
      <c r="AC306" s="504"/>
      <c r="AD306" s="504"/>
      <c r="AE306" s="504"/>
      <c r="AF306" s="504"/>
      <c r="AG306" s="504"/>
      <c r="AH306" s="504"/>
      <c r="AI306" s="504"/>
      <c r="AJ306" s="504"/>
      <c r="AK306" s="504"/>
      <c r="AL306" s="504"/>
      <c r="AM306" s="504"/>
      <c r="AN306" s="504"/>
    </row>
    <row r="307" spans="1:40" ht="15.75" customHeight="1">
      <c r="A307" s="493" t="s">
        <v>418</v>
      </c>
      <c r="B307" s="499" t="s">
        <v>104</v>
      </c>
      <c r="C307" s="568" t="s">
        <v>116</v>
      </c>
      <c r="D307" s="565">
        <v>22715.45758194369</v>
      </c>
      <c r="E307" s="622">
        <v>0.29130399895825637</v>
      </c>
      <c r="F307" s="574">
        <v>6617.103631786842</v>
      </c>
      <c r="G307" s="565">
        <v>22715.45758194369</v>
      </c>
      <c r="H307" s="622">
        <v>0.29130399895825637</v>
      </c>
      <c r="I307" s="574">
        <v>6617.103631786842</v>
      </c>
      <c r="J307" s="514">
        <v>28961.24</v>
      </c>
      <c r="K307" s="622">
        <v>0.31862516936429525</v>
      </c>
      <c r="L307" s="517">
        <v>9227.7800000000025</v>
      </c>
      <c r="M307" s="628">
        <v>0.27495736748974964</v>
      </c>
      <c r="N307" s="545">
        <v>2610.6763682131605</v>
      </c>
      <c r="O307" s="514">
        <v>22741.31</v>
      </c>
      <c r="P307" s="622">
        <v>0.29140141882767534</v>
      </c>
      <c r="Q307" s="517">
        <v>6626.8500000000022</v>
      </c>
      <c r="R307" s="628">
        <v>0.27350799052473229</v>
      </c>
      <c r="S307" s="567">
        <v>2600.9300000000003</v>
      </c>
      <c r="T307" s="504"/>
      <c r="U307" s="504"/>
      <c r="V307" s="504"/>
      <c r="W307" s="504"/>
      <c r="X307" s="504"/>
      <c r="Y307" s="504"/>
      <c r="Z307" s="504"/>
      <c r="AA307" s="504"/>
      <c r="AB307" s="504"/>
      <c r="AC307" s="504"/>
      <c r="AD307" s="504"/>
      <c r="AE307" s="504"/>
      <c r="AF307" s="504"/>
      <c r="AG307" s="504"/>
      <c r="AH307" s="504"/>
      <c r="AI307" s="504"/>
      <c r="AJ307" s="504"/>
      <c r="AK307" s="504"/>
      <c r="AL307" s="504"/>
      <c r="AM307" s="504"/>
      <c r="AN307" s="504"/>
    </row>
    <row r="308" spans="1:40" ht="15.75" customHeight="1">
      <c r="A308" s="493" t="s">
        <v>419</v>
      </c>
      <c r="B308" s="499" t="s">
        <v>104</v>
      </c>
      <c r="C308" s="538" t="s">
        <v>117</v>
      </c>
      <c r="D308" s="669">
        <v>377267.34896704485</v>
      </c>
      <c r="E308" s="688">
        <v>0.2956187786784627</v>
      </c>
      <c r="F308" s="671">
        <v>111527.31293689919</v>
      </c>
      <c r="G308" s="672">
        <v>377267.34896704485</v>
      </c>
      <c r="H308" s="688">
        <v>0.2956187786784627</v>
      </c>
      <c r="I308" s="671">
        <v>111527.31293689919</v>
      </c>
      <c r="J308" s="672">
        <v>348044.95</v>
      </c>
      <c r="K308" s="688">
        <v>0.29018671295187592</v>
      </c>
      <c r="L308" s="671">
        <v>100998.02000000002</v>
      </c>
      <c r="M308" s="689">
        <v>-7.7458065340283336E-2</v>
      </c>
      <c r="N308" s="671">
        <v>-10529.292936899175</v>
      </c>
      <c r="O308" s="672">
        <v>366210.67</v>
      </c>
      <c r="P308" s="688">
        <v>0.29839351758920635</v>
      </c>
      <c r="Q308" s="671">
        <v>109274.89000000003</v>
      </c>
      <c r="R308" s="689">
        <v>-4.9604562313817817E-2</v>
      </c>
      <c r="S308" s="673">
        <v>-8276.8700000000099</v>
      </c>
      <c r="T308" s="504"/>
      <c r="U308" s="504"/>
      <c r="V308" s="504"/>
      <c r="W308" s="504"/>
      <c r="X308" s="504"/>
      <c r="Y308" s="504"/>
      <c r="Z308" s="504"/>
      <c r="AA308" s="504"/>
      <c r="AB308" s="504"/>
      <c r="AC308" s="504"/>
      <c r="AD308" s="504"/>
      <c r="AE308" s="504"/>
      <c r="AF308" s="504"/>
      <c r="AG308" s="504"/>
      <c r="AH308" s="504"/>
      <c r="AI308" s="504"/>
      <c r="AJ308" s="504"/>
      <c r="AK308" s="504"/>
      <c r="AL308" s="504"/>
      <c r="AM308" s="504"/>
      <c r="AN308" s="504"/>
    </row>
    <row r="309" spans="1:40" ht="15.75" customHeight="1">
      <c r="A309" s="493" t="s">
        <v>104</v>
      </c>
      <c r="B309" s="499" t="s">
        <v>104</v>
      </c>
      <c r="C309" s="513"/>
      <c r="D309" s="504"/>
      <c r="E309" s="504"/>
      <c r="F309" s="524"/>
      <c r="G309" s="525"/>
      <c r="H309" s="504"/>
      <c r="I309" s="524"/>
      <c r="J309" s="525"/>
      <c r="K309" s="504"/>
      <c r="L309" s="524"/>
      <c r="M309" s="525"/>
      <c r="N309" s="527">
        <v>-9.4409993925492694E-2</v>
      </c>
      <c r="O309" s="525"/>
      <c r="P309" s="504"/>
      <c r="Q309" s="524"/>
      <c r="R309" s="525"/>
      <c r="S309" s="528">
        <v>-7.5743567438045542E-2</v>
      </c>
      <c r="T309" s="504"/>
      <c r="U309" s="504"/>
      <c r="V309" s="504"/>
      <c r="W309" s="504"/>
      <c r="X309" s="504"/>
      <c r="Y309" s="504"/>
      <c r="Z309" s="504"/>
      <c r="AA309" s="504"/>
      <c r="AB309" s="504"/>
      <c r="AC309" s="504"/>
      <c r="AD309" s="504"/>
      <c r="AE309" s="504"/>
      <c r="AF309" s="504"/>
      <c r="AG309" s="504"/>
      <c r="AH309" s="504"/>
      <c r="AI309" s="504"/>
      <c r="AJ309" s="504"/>
      <c r="AK309" s="504"/>
      <c r="AL309" s="504"/>
      <c r="AM309" s="504"/>
      <c r="AN309" s="504"/>
    </row>
    <row r="310" spans="1:40" ht="15.75" customHeight="1">
      <c r="A310" s="493" t="s">
        <v>104</v>
      </c>
      <c r="B310" s="499" t="s">
        <v>104</v>
      </c>
      <c r="C310" s="513"/>
      <c r="D310" s="504"/>
      <c r="E310" s="504"/>
      <c r="F310" s="524"/>
      <c r="G310" s="525"/>
      <c r="H310" s="504"/>
      <c r="I310" s="524"/>
      <c r="J310" s="525"/>
      <c r="K310" s="504"/>
      <c r="L310" s="524"/>
      <c r="M310" s="525"/>
      <c r="N310" s="527"/>
      <c r="O310" s="525"/>
      <c r="P310" s="504"/>
      <c r="Q310" s="524"/>
      <c r="R310" s="525"/>
      <c r="S310" s="528"/>
      <c r="T310" s="504"/>
      <c r="U310" s="504"/>
      <c r="V310" s="504"/>
      <c r="W310" s="504"/>
      <c r="X310" s="504"/>
      <c r="Y310" s="504"/>
      <c r="Z310" s="504"/>
      <c r="AA310" s="504"/>
      <c r="AB310" s="504"/>
      <c r="AC310" s="504"/>
      <c r="AD310" s="504"/>
      <c r="AE310" s="504"/>
      <c r="AF310" s="504"/>
      <c r="AG310" s="504"/>
      <c r="AH310" s="504"/>
      <c r="AI310" s="504"/>
      <c r="AJ310" s="504"/>
      <c r="AK310" s="504"/>
      <c r="AL310" s="504"/>
      <c r="AM310" s="504"/>
      <c r="AN310" s="504"/>
    </row>
    <row r="311" spans="1:40" ht="15.75" customHeight="1">
      <c r="A311" s="493" t="s">
        <v>420</v>
      </c>
      <c r="B311" s="499" t="s">
        <v>104</v>
      </c>
      <c r="C311" s="568" t="s">
        <v>118</v>
      </c>
      <c r="D311" s="571">
        <v>0</v>
      </c>
      <c r="E311" s="692">
        <v>0</v>
      </c>
      <c r="F311" s="620">
        <v>0</v>
      </c>
      <c r="G311" s="645">
        <v>0</v>
      </c>
      <c r="H311" s="692">
        <v>0</v>
      </c>
      <c r="I311" s="620">
        <v>0</v>
      </c>
      <c r="J311" s="530">
        <v>0</v>
      </c>
      <c r="K311" s="693">
        <v>0</v>
      </c>
      <c r="L311" s="508">
        <v>0</v>
      </c>
      <c r="M311" s="693">
        <v>0</v>
      </c>
      <c r="N311" s="573">
        <v>0</v>
      </c>
      <c r="O311" s="530">
        <v>0</v>
      </c>
      <c r="P311" s="693">
        <v>0</v>
      </c>
      <c r="Q311" s="508">
        <v>0</v>
      </c>
      <c r="R311" s="693">
        <v>0</v>
      </c>
      <c r="S311" s="574">
        <v>0</v>
      </c>
      <c r="T311" s="504"/>
      <c r="U311" s="504"/>
      <c r="V311" s="504"/>
      <c r="W311" s="504"/>
      <c r="X311" s="504"/>
      <c r="Y311" s="504"/>
      <c r="Z311" s="504"/>
      <c r="AA311" s="504"/>
      <c r="AB311" s="504"/>
      <c r="AC311" s="504"/>
      <c r="AD311" s="504"/>
      <c r="AE311" s="504"/>
      <c r="AF311" s="504"/>
      <c r="AG311" s="504"/>
      <c r="AH311" s="504"/>
      <c r="AI311" s="504"/>
      <c r="AJ311" s="504"/>
      <c r="AK311" s="504"/>
      <c r="AL311" s="504"/>
      <c r="AM311" s="504"/>
      <c r="AN311" s="504"/>
    </row>
    <row r="312" spans="1:40" ht="15.75" customHeight="1" thickBot="1">
      <c r="A312" s="493" t="s">
        <v>104</v>
      </c>
      <c r="B312" s="499" t="s">
        <v>104</v>
      </c>
      <c r="C312" s="513"/>
      <c r="D312" s="565"/>
      <c r="E312" s="622"/>
      <c r="F312" s="545"/>
      <c r="G312" s="546"/>
      <c r="H312" s="622"/>
      <c r="I312" s="545"/>
      <c r="J312" s="546"/>
      <c r="K312" s="622"/>
      <c r="L312" s="545"/>
      <c r="M312" s="628"/>
      <c r="N312" s="545"/>
      <c r="O312" s="546"/>
      <c r="P312" s="622"/>
      <c r="Q312" s="545"/>
      <c r="R312" s="628"/>
      <c r="S312" s="567"/>
      <c r="T312" s="504"/>
      <c r="U312" s="504"/>
      <c r="V312" s="504"/>
      <c r="W312" s="504"/>
      <c r="X312" s="504"/>
      <c r="Y312" s="504"/>
      <c r="Z312" s="504"/>
      <c r="AA312" s="504"/>
      <c r="AB312" s="504"/>
      <c r="AC312" s="504"/>
      <c r="AD312" s="504"/>
      <c r="AE312" s="504"/>
      <c r="AF312" s="504"/>
      <c r="AG312" s="504"/>
      <c r="AH312" s="504"/>
      <c r="AI312" s="504"/>
      <c r="AJ312" s="504"/>
      <c r="AK312" s="504"/>
      <c r="AL312" s="504"/>
      <c r="AM312" s="504"/>
      <c r="AN312" s="504"/>
    </row>
    <row r="313" spans="1:40" ht="15.75" customHeight="1" thickTop="1">
      <c r="A313" s="493" t="s">
        <v>421</v>
      </c>
      <c r="B313" s="499" t="s">
        <v>104</v>
      </c>
      <c r="C313" s="548" t="s">
        <v>119</v>
      </c>
      <c r="D313" s="549">
        <v>377267.34896704485</v>
      </c>
      <c r="E313" s="694">
        <v>0.2956187786784627</v>
      </c>
      <c r="F313" s="551">
        <v>111527.31293689919</v>
      </c>
      <c r="G313" s="552">
        <v>377267.34896704485</v>
      </c>
      <c r="H313" s="694">
        <v>0.2956187786784627</v>
      </c>
      <c r="I313" s="551">
        <v>111527.31293689919</v>
      </c>
      <c r="J313" s="552">
        <v>348044.95</v>
      </c>
      <c r="K313" s="694">
        <v>0.29018671295187592</v>
      </c>
      <c r="L313" s="551">
        <v>100998.02000000002</v>
      </c>
      <c r="M313" s="695">
        <v>-7.7458065340283336E-2</v>
      </c>
      <c r="N313" s="696">
        <v>-10529.292936899175</v>
      </c>
      <c r="O313" s="552">
        <v>366210.67</v>
      </c>
      <c r="P313" s="694">
        <v>0.29839351758920635</v>
      </c>
      <c r="Q313" s="551">
        <v>109274.89000000003</v>
      </c>
      <c r="R313" s="695">
        <v>-4.9604562313817817E-2</v>
      </c>
      <c r="S313" s="697">
        <v>-8276.8700000000099</v>
      </c>
      <c r="T313" s="504"/>
      <c r="U313" s="504"/>
      <c r="V313" s="504"/>
      <c r="W313" s="504"/>
      <c r="X313" s="504"/>
      <c r="Y313" s="504"/>
      <c r="Z313" s="504"/>
      <c r="AA313" s="504"/>
      <c r="AB313" s="504"/>
      <c r="AC313" s="504"/>
      <c r="AD313" s="504"/>
      <c r="AE313" s="504"/>
      <c r="AF313" s="504"/>
      <c r="AG313" s="504"/>
      <c r="AH313" s="504"/>
      <c r="AI313" s="504"/>
      <c r="AJ313" s="504"/>
      <c r="AK313" s="504"/>
      <c r="AL313" s="504"/>
      <c r="AM313" s="504"/>
      <c r="AN313" s="504"/>
    </row>
    <row r="314" spans="1:40" ht="15.75" customHeight="1" thickBot="1">
      <c r="A314" s="493" t="s">
        <v>104</v>
      </c>
      <c r="B314" s="499" t="s">
        <v>104</v>
      </c>
      <c r="C314" s="698"/>
      <c r="D314" s="699"/>
      <c r="E314" s="700"/>
      <c r="F314" s="701"/>
      <c r="G314" s="702"/>
      <c r="H314" s="700"/>
      <c r="I314" s="701"/>
      <c r="J314" s="702"/>
      <c r="K314" s="700"/>
      <c r="L314" s="701"/>
      <c r="M314" s="703"/>
      <c r="N314" s="560">
        <v>-9.4409993925492694E-2</v>
      </c>
      <c r="O314" s="702"/>
      <c r="P314" s="700"/>
      <c r="Q314" s="701"/>
      <c r="R314" s="703"/>
      <c r="S314" s="561">
        <v>-7.5743567438045542E-2</v>
      </c>
      <c r="T314" s="504"/>
      <c r="U314" s="504"/>
      <c r="V314" s="504"/>
      <c r="W314" s="504"/>
      <c r="X314" s="504"/>
      <c r="Y314" s="504"/>
      <c r="Z314" s="504"/>
      <c r="AA314" s="504"/>
      <c r="AB314" s="504"/>
      <c r="AC314" s="504"/>
      <c r="AD314" s="504"/>
      <c r="AE314" s="504"/>
      <c r="AF314" s="504"/>
      <c r="AG314" s="504"/>
      <c r="AH314" s="504"/>
      <c r="AI314" s="504"/>
      <c r="AJ314" s="504"/>
      <c r="AK314" s="504"/>
      <c r="AL314" s="504"/>
      <c r="AM314" s="504"/>
      <c r="AN314" s="504"/>
    </row>
    <row r="315" spans="1:40" ht="15.75" customHeight="1" thickTop="1">
      <c r="A315" s="493" t="s">
        <v>104</v>
      </c>
      <c r="B315" s="499" t="s">
        <v>104</v>
      </c>
      <c r="C315" s="538"/>
      <c r="D315" s="593"/>
      <c r="E315" s="647"/>
      <c r="F315" s="649"/>
      <c r="G315" s="648"/>
      <c r="H315" s="647"/>
      <c r="I315" s="649"/>
      <c r="J315" s="648"/>
      <c r="K315" s="647"/>
      <c r="L315" s="649"/>
      <c r="M315" s="525"/>
      <c r="N315" s="527"/>
      <c r="O315" s="648"/>
      <c r="P315" s="647"/>
      <c r="Q315" s="649"/>
      <c r="R315" s="525"/>
      <c r="S315" s="528"/>
      <c r="T315" s="504"/>
      <c r="U315" s="504"/>
      <c r="V315" s="504"/>
      <c r="W315" s="504"/>
      <c r="X315" s="504"/>
      <c r="Y315" s="504"/>
      <c r="Z315" s="504"/>
      <c r="AA315" s="504"/>
      <c r="AB315" s="504"/>
      <c r="AC315" s="504"/>
      <c r="AD315" s="504"/>
      <c r="AE315" s="504"/>
      <c r="AF315" s="504"/>
      <c r="AG315" s="504"/>
      <c r="AH315" s="504"/>
      <c r="AI315" s="504"/>
      <c r="AJ315" s="504"/>
      <c r="AK315" s="504"/>
      <c r="AL315" s="504"/>
      <c r="AM315" s="504"/>
      <c r="AN315" s="504"/>
    </row>
    <row r="316" spans="1:40" ht="15.75" customHeight="1">
      <c r="A316" s="493" t="s">
        <v>422</v>
      </c>
      <c r="B316" s="499" t="s">
        <v>104</v>
      </c>
      <c r="C316" s="80" t="s">
        <v>31</v>
      </c>
      <c r="D316" s="504"/>
      <c r="E316" s="504"/>
      <c r="F316" s="545"/>
      <c r="G316" s="525"/>
      <c r="H316" s="504"/>
      <c r="I316" s="545"/>
      <c r="J316" s="525"/>
      <c r="K316" s="504"/>
      <c r="L316" s="524"/>
      <c r="M316" s="525"/>
      <c r="N316" s="524"/>
      <c r="O316" s="525"/>
      <c r="P316" s="504"/>
      <c r="Q316" s="524"/>
      <c r="R316" s="525"/>
      <c r="S316" s="547"/>
      <c r="T316" s="504"/>
      <c r="U316" s="504"/>
      <c r="V316" s="504"/>
      <c r="W316" s="504"/>
      <c r="X316" s="504"/>
      <c r="Y316" s="504"/>
      <c r="Z316" s="504"/>
      <c r="AA316" s="504"/>
      <c r="AB316" s="504"/>
      <c r="AC316" s="504"/>
      <c r="AD316" s="504"/>
      <c r="AE316" s="504"/>
      <c r="AF316" s="504"/>
      <c r="AG316" s="504"/>
      <c r="AH316" s="504"/>
      <c r="AI316" s="504"/>
      <c r="AJ316" s="504"/>
      <c r="AK316" s="504"/>
      <c r="AL316" s="504"/>
      <c r="AM316" s="504"/>
      <c r="AN316" s="504"/>
    </row>
    <row r="317" spans="1:40" ht="15.75" customHeight="1">
      <c r="A317" s="493" t="s">
        <v>423</v>
      </c>
      <c r="B317" s="499" t="s">
        <v>104</v>
      </c>
      <c r="C317" s="585" t="s">
        <v>42</v>
      </c>
      <c r="D317" s="504"/>
      <c r="E317" s="504"/>
      <c r="F317" s="514">
        <v>2487.96091954023</v>
      </c>
      <c r="G317" s="525"/>
      <c r="H317" s="504"/>
      <c r="I317" s="514">
        <v>2487.96091954023</v>
      </c>
      <c r="J317" s="525"/>
      <c r="K317" s="504"/>
      <c r="L317" s="517">
        <v>4338</v>
      </c>
      <c r="M317" s="525"/>
      <c r="N317" s="545">
        <v>1850.03908045977</v>
      </c>
      <c r="O317" s="525"/>
      <c r="P317" s="504"/>
      <c r="Q317" s="517">
        <v>5310.49</v>
      </c>
      <c r="R317" s="525"/>
      <c r="S317" s="518">
        <v>-972.48999999999978</v>
      </c>
      <c r="T317" s="504"/>
      <c r="U317" s="504"/>
      <c r="V317" s="504"/>
      <c r="W317" s="504"/>
      <c r="X317" s="504"/>
      <c r="Y317" s="504"/>
      <c r="Z317" s="504"/>
      <c r="AA317" s="504"/>
      <c r="AB317" s="504"/>
      <c r="AC317" s="504"/>
      <c r="AD317" s="504"/>
      <c r="AE317" s="504"/>
      <c r="AF317" s="504"/>
      <c r="AG317" s="504"/>
      <c r="AH317" s="504"/>
      <c r="AI317" s="504"/>
      <c r="AJ317" s="504"/>
      <c r="AK317" s="504"/>
      <c r="AL317" s="504"/>
      <c r="AM317" s="504"/>
      <c r="AN317" s="504"/>
    </row>
    <row r="318" spans="1:40" ht="15.75" customHeight="1">
      <c r="A318" s="493" t="s">
        <v>424</v>
      </c>
      <c r="B318" s="499" t="s">
        <v>104</v>
      </c>
      <c r="C318" s="586" t="s">
        <v>43</v>
      </c>
      <c r="D318" s="82"/>
      <c r="E318" s="504"/>
      <c r="F318" s="508">
        <v>4171.6026932873565</v>
      </c>
      <c r="G318" s="84"/>
      <c r="H318" s="504"/>
      <c r="I318" s="508">
        <v>4171.6026932873565</v>
      </c>
      <c r="J318" s="525"/>
      <c r="K318" s="504"/>
      <c r="L318" s="517">
        <v>3637.95</v>
      </c>
      <c r="M318" s="525"/>
      <c r="N318" s="545">
        <v>-533.65269328735667</v>
      </c>
      <c r="O318" s="525"/>
      <c r="P318" s="504"/>
      <c r="Q318" s="517">
        <v>4214.5</v>
      </c>
      <c r="R318" s="525"/>
      <c r="S318" s="567">
        <v>-576.55000000000018</v>
      </c>
      <c r="T318" s="504"/>
      <c r="U318" s="504"/>
      <c r="V318" s="504"/>
      <c r="W318" s="504"/>
      <c r="X318" s="504"/>
      <c r="Y318" s="504"/>
      <c r="Z318" s="504"/>
      <c r="AA318" s="504"/>
      <c r="AB318" s="504"/>
      <c r="AC318" s="504"/>
      <c r="AD318" s="504"/>
      <c r="AE318" s="504"/>
      <c r="AF318" s="504"/>
      <c r="AG318" s="504"/>
      <c r="AH318" s="504"/>
      <c r="AI318" s="504"/>
      <c r="AJ318" s="504"/>
      <c r="AK318" s="504"/>
      <c r="AL318" s="504"/>
      <c r="AM318" s="504"/>
      <c r="AN318" s="504"/>
    </row>
    <row r="319" spans="1:40" ht="15.75" customHeight="1">
      <c r="A319" s="493" t="s">
        <v>425</v>
      </c>
      <c r="B319" s="499" t="s">
        <v>104</v>
      </c>
      <c r="C319" s="585" t="s">
        <v>44</v>
      </c>
      <c r="D319" s="107"/>
      <c r="E319" s="587"/>
      <c r="F319" s="514">
        <v>23500.879209931034</v>
      </c>
      <c r="G319" s="109"/>
      <c r="H319" s="587"/>
      <c r="I319" s="514">
        <v>23500.879209931034</v>
      </c>
      <c r="J319" s="588"/>
      <c r="K319" s="587"/>
      <c r="L319" s="589">
        <v>25521.45</v>
      </c>
      <c r="M319" s="588"/>
      <c r="N319" s="590">
        <v>2020.5707900689667</v>
      </c>
      <c r="O319" s="588"/>
      <c r="P319" s="587"/>
      <c r="Q319" s="589">
        <v>20961.07</v>
      </c>
      <c r="R319" s="588"/>
      <c r="S319" s="591">
        <v>4560.380000000001</v>
      </c>
      <c r="T319" s="504"/>
      <c r="U319" s="704"/>
      <c r="V319" s="704"/>
      <c r="W319" s="504"/>
      <c r="X319" s="504"/>
      <c r="Y319" s="504"/>
      <c r="Z319" s="504"/>
      <c r="AA319" s="504"/>
      <c r="AB319" s="504"/>
      <c r="AC319" s="504"/>
      <c r="AD319" s="504"/>
      <c r="AE319" s="504"/>
      <c r="AF319" s="504"/>
      <c r="AG319" s="504"/>
      <c r="AH319" s="504"/>
      <c r="AI319" s="504"/>
      <c r="AJ319" s="504"/>
      <c r="AK319" s="504"/>
      <c r="AL319" s="504"/>
      <c r="AM319" s="504"/>
      <c r="AN319" s="504"/>
    </row>
    <row r="320" spans="1:40" ht="15.75" customHeight="1">
      <c r="A320" s="493" t="s">
        <v>426</v>
      </c>
      <c r="B320" s="499" t="s">
        <v>104</v>
      </c>
      <c r="C320" s="585" t="s">
        <v>45</v>
      </c>
      <c r="D320" s="82"/>
      <c r="E320" s="504"/>
      <c r="F320" s="514">
        <v>0</v>
      </c>
      <c r="G320" s="84"/>
      <c r="H320" s="504"/>
      <c r="I320" s="514">
        <v>0</v>
      </c>
      <c r="J320" s="525"/>
      <c r="K320" s="504"/>
      <c r="L320" s="517">
        <v>0</v>
      </c>
      <c r="M320" s="525"/>
      <c r="N320" s="545">
        <v>0</v>
      </c>
      <c r="O320" s="525"/>
      <c r="P320" s="504"/>
      <c r="Q320" s="517">
        <v>0</v>
      </c>
      <c r="R320" s="525"/>
      <c r="S320" s="567">
        <v>0</v>
      </c>
      <c r="T320" s="504"/>
      <c r="U320" s="504"/>
      <c r="V320" s="504"/>
      <c r="W320" s="504"/>
      <c r="X320" s="504"/>
      <c r="Y320" s="504"/>
      <c r="Z320" s="504"/>
      <c r="AA320" s="504"/>
      <c r="AB320" s="504"/>
      <c r="AC320" s="504"/>
      <c r="AD320" s="504"/>
      <c r="AE320" s="504"/>
      <c r="AF320" s="504"/>
      <c r="AG320" s="504"/>
      <c r="AH320" s="504"/>
      <c r="AI320" s="504"/>
      <c r="AJ320" s="504"/>
      <c r="AK320" s="504"/>
      <c r="AL320" s="504"/>
      <c r="AM320" s="504"/>
      <c r="AN320" s="504"/>
    </row>
    <row r="321" spans="1:40" ht="15.75" hidden="1" customHeight="1">
      <c r="A321" s="493" t="s">
        <v>413</v>
      </c>
      <c r="B321" s="499" t="s">
        <v>104</v>
      </c>
      <c r="C321" s="705" t="s">
        <v>21</v>
      </c>
      <c r="D321" s="82"/>
      <c r="E321" s="504"/>
      <c r="F321" s="514">
        <v>0</v>
      </c>
      <c r="G321" s="84"/>
      <c r="H321" s="504"/>
      <c r="I321" s="514">
        <v>0</v>
      </c>
      <c r="J321" s="525"/>
      <c r="K321" s="504"/>
      <c r="L321" s="517">
        <v>0</v>
      </c>
      <c r="M321" s="525"/>
      <c r="N321" s="545">
        <v>0</v>
      </c>
      <c r="O321" s="525"/>
      <c r="P321" s="504"/>
      <c r="Q321" s="517">
        <v>0</v>
      </c>
      <c r="R321" s="525"/>
      <c r="S321" s="567">
        <v>0</v>
      </c>
      <c r="T321" s="504"/>
      <c r="U321" s="504"/>
      <c r="V321" s="504"/>
      <c r="W321" s="504"/>
      <c r="X321" s="504"/>
      <c r="Y321" s="504"/>
      <c r="Z321" s="504"/>
      <c r="AA321" s="504"/>
      <c r="AB321" s="504"/>
      <c r="AC321" s="504"/>
      <c r="AD321" s="504"/>
      <c r="AE321" s="504"/>
      <c r="AF321" s="504"/>
      <c r="AG321" s="504"/>
      <c r="AH321" s="504"/>
      <c r="AI321" s="504"/>
      <c r="AJ321" s="504"/>
      <c r="AK321" s="504"/>
      <c r="AL321" s="504"/>
      <c r="AM321" s="504"/>
      <c r="AN321" s="504"/>
    </row>
    <row r="322" spans="1:40" ht="15.75" hidden="1" customHeight="1">
      <c r="A322" s="493" t="s">
        <v>413</v>
      </c>
      <c r="B322" s="499" t="s">
        <v>104</v>
      </c>
      <c r="C322" s="705" t="s">
        <v>21</v>
      </c>
      <c r="D322" s="82"/>
      <c r="E322" s="504"/>
      <c r="F322" s="514">
        <v>0</v>
      </c>
      <c r="G322" s="84"/>
      <c r="H322" s="504"/>
      <c r="I322" s="514">
        <v>0</v>
      </c>
      <c r="J322" s="525"/>
      <c r="K322" s="504"/>
      <c r="L322" s="517">
        <v>0</v>
      </c>
      <c r="M322" s="525"/>
      <c r="N322" s="545">
        <v>0</v>
      </c>
      <c r="O322" s="525"/>
      <c r="P322" s="504"/>
      <c r="Q322" s="517">
        <v>0</v>
      </c>
      <c r="R322" s="525"/>
      <c r="S322" s="567">
        <v>0</v>
      </c>
      <c r="T322" s="504"/>
      <c r="U322" s="504"/>
      <c r="V322" s="504"/>
      <c r="W322" s="504"/>
      <c r="X322" s="504"/>
      <c r="Y322" s="504"/>
      <c r="Z322" s="504"/>
      <c r="AA322" s="504"/>
      <c r="AB322" s="504"/>
      <c r="AC322" s="504"/>
      <c r="AD322" s="504"/>
      <c r="AE322" s="504"/>
      <c r="AF322" s="504"/>
      <c r="AG322" s="504"/>
      <c r="AH322" s="504"/>
      <c r="AI322" s="504"/>
      <c r="AJ322" s="504"/>
      <c r="AK322" s="504"/>
      <c r="AL322" s="504"/>
      <c r="AM322" s="504"/>
      <c r="AN322" s="504"/>
    </row>
    <row r="323" spans="1:40" ht="15.75" hidden="1" customHeight="1">
      <c r="A323" s="493" t="s">
        <v>413</v>
      </c>
      <c r="B323" s="499" t="s">
        <v>104</v>
      </c>
      <c r="C323" s="705" t="s">
        <v>21</v>
      </c>
      <c r="D323" s="82"/>
      <c r="E323" s="504"/>
      <c r="F323" s="514">
        <v>0</v>
      </c>
      <c r="G323" s="84"/>
      <c r="H323" s="504"/>
      <c r="I323" s="514">
        <v>0</v>
      </c>
      <c r="J323" s="525"/>
      <c r="K323" s="504"/>
      <c r="L323" s="517">
        <v>0</v>
      </c>
      <c r="M323" s="525"/>
      <c r="N323" s="545">
        <v>0</v>
      </c>
      <c r="O323" s="525"/>
      <c r="P323" s="504"/>
      <c r="Q323" s="517">
        <v>0</v>
      </c>
      <c r="R323" s="525"/>
      <c r="S323" s="567">
        <v>0</v>
      </c>
      <c r="T323" s="504"/>
      <c r="U323" s="504"/>
      <c r="V323" s="504"/>
      <c r="W323" s="504"/>
      <c r="X323" s="504"/>
      <c r="Y323" s="504"/>
      <c r="Z323" s="504"/>
      <c r="AA323" s="504"/>
      <c r="AB323" s="504"/>
      <c r="AC323" s="504"/>
      <c r="AD323" s="504"/>
      <c r="AE323" s="504"/>
      <c r="AF323" s="504"/>
      <c r="AG323" s="504"/>
      <c r="AH323" s="504"/>
      <c r="AI323" s="504"/>
      <c r="AJ323" s="504"/>
      <c r="AK323" s="504"/>
      <c r="AL323" s="504"/>
      <c r="AM323" s="504"/>
      <c r="AN323" s="504"/>
    </row>
    <row r="324" spans="1:40" ht="15.75" customHeight="1">
      <c r="A324" s="493" t="s">
        <v>427</v>
      </c>
      <c r="B324" s="499" t="s">
        <v>104</v>
      </c>
      <c r="C324" s="586" t="s">
        <v>46</v>
      </c>
      <c r="D324" s="82"/>
      <c r="E324" s="504"/>
      <c r="F324" s="508">
        <v>3777.6323188809752</v>
      </c>
      <c r="G324" s="84"/>
      <c r="H324" s="504"/>
      <c r="I324" s="508">
        <v>3777.6323188809752</v>
      </c>
      <c r="J324" s="525"/>
      <c r="K324" s="504"/>
      <c r="L324" s="517">
        <v>2601.7600000000002</v>
      </c>
      <c r="M324" s="525"/>
      <c r="N324" s="545">
        <v>-1175.8723188809749</v>
      </c>
      <c r="O324" s="525"/>
      <c r="P324" s="504"/>
      <c r="Q324" s="517">
        <v>2604.2199999999998</v>
      </c>
      <c r="R324" s="525"/>
      <c r="S324" s="567">
        <v>-2.4599999999995816</v>
      </c>
      <c r="T324" s="504"/>
      <c r="U324" s="504"/>
      <c r="V324" s="504"/>
      <c r="W324" s="504"/>
      <c r="X324" s="504"/>
      <c r="Y324" s="504"/>
      <c r="Z324" s="504"/>
      <c r="AA324" s="504"/>
      <c r="AB324" s="504"/>
      <c r="AC324" s="504"/>
      <c r="AD324" s="504"/>
      <c r="AE324" s="504"/>
      <c r="AF324" s="504"/>
      <c r="AG324" s="504"/>
      <c r="AH324" s="504"/>
      <c r="AI324" s="504"/>
      <c r="AJ324" s="504"/>
      <c r="AK324" s="504"/>
      <c r="AL324" s="504"/>
      <c r="AM324" s="504"/>
      <c r="AN324" s="504"/>
    </row>
    <row r="325" spans="1:40" ht="15.75" customHeight="1">
      <c r="A325" s="493" t="s">
        <v>428</v>
      </c>
      <c r="B325" s="499" t="s">
        <v>104</v>
      </c>
      <c r="C325" s="585" t="s">
        <v>47</v>
      </c>
      <c r="D325" s="107"/>
      <c r="E325" s="587"/>
      <c r="F325" s="514">
        <v>3383.2569705133797</v>
      </c>
      <c r="G325" s="109"/>
      <c r="H325" s="587"/>
      <c r="I325" s="514">
        <v>3383.2569705133797</v>
      </c>
      <c r="J325" s="588"/>
      <c r="K325" s="587"/>
      <c r="L325" s="589">
        <v>54.54</v>
      </c>
      <c r="M325" s="588"/>
      <c r="N325" s="590">
        <v>-3328.7169705133797</v>
      </c>
      <c r="O325" s="588"/>
      <c r="P325" s="587"/>
      <c r="Q325" s="589">
        <v>47.62</v>
      </c>
      <c r="R325" s="588"/>
      <c r="S325" s="591">
        <v>6.9200000000000017</v>
      </c>
      <c r="T325" s="504"/>
      <c r="U325" s="504"/>
      <c r="V325" s="504"/>
      <c r="W325" s="504"/>
      <c r="X325" s="504"/>
      <c r="Y325" s="504"/>
      <c r="Z325" s="504"/>
      <c r="AA325" s="504"/>
      <c r="AB325" s="504"/>
      <c r="AC325" s="504"/>
      <c r="AD325" s="504"/>
      <c r="AE325" s="504"/>
      <c r="AF325" s="504"/>
      <c r="AG325" s="504"/>
      <c r="AH325" s="504"/>
      <c r="AI325" s="504"/>
      <c r="AJ325" s="504"/>
      <c r="AK325" s="504"/>
      <c r="AL325" s="504"/>
      <c r="AM325" s="504"/>
      <c r="AN325" s="504"/>
    </row>
    <row r="326" spans="1:40" ht="15.75" customHeight="1">
      <c r="A326" s="493" t="s">
        <v>429</v>
      </c>
      <c r="B326" s="499" t="s">
        <v>104</v>
      </c>
      <c r="C326" s="585" t="s">
        <v>48</v>
      </c>
      <c r="D326" s="82"/>
      <c r="E326" s="504"/>
      <c r="F326" s="514">
        <v>2686.7040648194488</v>
      </c>
      <c r="G326" s="84"/>
      <c r="H326" s="504"/>
      <c r="I326" s="514">
        <v>2686.7040648194488</v>
      </c>
      <c r="J326" s="525"/>
      <c r="K326" s="504"/>
      <c r="L326" s="517">
        <v>5139.93</v>
      </c>
      <c r="M326" s="525"/>
      <c r="N326" s="545">
        <v>2453.2259351805515</v>
      </c>
      <c r="O326" s="525"/>
      <c r="P326" s="504"/>
      <c r="Q326" s="517">
        <v>2504.44</v>
      </c>
      <c r="R326" s="525"/>
      <c r="S326" s="567">
        <v>2635.4900000000002</v>
      </c>
      <c r="T326" s="504"/>
      <c r="U326" s="504"/>
      <c r="V326" s="504"/>
      <c r="W326" s="504"/>
      <c r="X326" s="504"/>
      <c r="Y326" s="504"/>
      <c r="Z326" s="504"/>
      <c r="AA326" s="504"/>
      <c r="AB326" s="504"/>
      <c r="AC326" s="504"/>
      <c r="AD326" s="504"/>
      <c r="AE326" s="504"/>
      <c r="AF326" s="504"/>
      <c r="AG326" s="504"/>
      <c r="AH326" s="504"/>
      <c r="AI326" s="504"/>
      <c r="AJ326" s="504"/>
      <c r="AK326" s="504"/>
      <c r="AL326" s="504"/>
      <c r="AM326" s="504"/>
      <c r="AN326" s="504"/>
    </row>
    <row r="327" spans="1:40" ht="15.75" customHeight="1">
      <c r="A327" s="493" t="s">
        <v>430</v>
      </c>
      <c r="B327" s="499" t="s">
        <v>104</v>
      </c>
      <c r="C327" s="585" t="s">
        <v>49</v>
      </c>
      <c r="D327" s="82"/>
      <c r="E327" s="504"/>
      <c r="F327" s="514">
        <v>1094.5831375190346</v>
      </c>
      <c r="G327" s="84"/>
      <c r="H327" s="504"/>
      <c r="I327" s="514">
        <v>1094.5831375190346</v>
      </c>
      <c r="J327" s="525"/>
      <c r="K327" s="504"/>
      <c r="L327" s="517">
        <v>7228.78</v>
      </c>
      <c r="M327" s="525"/>
      <c r="N327" s="545">
        <v>6134.1968624809651</v>
      </c>
      <c r="O327" s="525"/>
      <c r="P327" s="504"/>
      <c r="Q327" s="517">
        <v>4029.37</v>
      </c>
      <c r="R327" s="525"/>
      <c r="S327" s="567">
        <v>3199.41</v>
      </c>
      <c r="T327" s="504"/>
      <c r="U327" s="504"/>
      <c r="V327" s="504"/>
      <c r="W327" s="504"/>
      <c r="X327" s="504"/>
      <c r="Y327" s="504"/>
      <c r="Z327" s="504"/>
      <c r="AA327" s="504"/>
      <c r="AB327" s="504"/>
      <c r="AC327" s="504"/>
      <c r="AD327" s="504"/>
      <c r="AE327" s="504"/>
      <c r="AF327" s="504"/>
      <c r="AG327" s="504"/>
      <c r="AH327" s="504"/>
      <c r="AI327" s="504"/>
      <c r="AJ327" s="504"/>
      <c r="AK327" s="504"/>
      <c r="AL327" s="504"/>
      <c r="AM327" s="504"/>
      <c r="AN327" s="504"/>
    </row>
    <row r="328" spans="1:40" ht="15.75" hidden="1" customHeight="1">
      <c r="A328" s="493" t="s">
        <v>413</v>
      </c>
      <c r="B328" s="499" t="s">
        <v>104</v>
      </c>
      <c r="C328" s="513" t="s">
        <v>21</v>
      </c>
      <c r="D328" s="89"/>
      <c r="E328" s="592"/>
      <c r="F328" s="514">
        <v>0</v>
      </c>
      <c r="G328" s="91"/>
      <c r="H328" s="592"/>
      <c r="I328" s="514">
        <v>0</v>
      </c>
      <c r="J328" s="509"/>
      <c r="K328" s="592"/>
      <c r="L328" s="517">
        <v>0</v>
      </c>
      <c r="M328" s="509"/>
      <c r="N328" s="573">
        <v>0</v>
      </c>
      <c r="O328" s="509"/>
      <c r="P328" s="592"/>
      <c r="Q328" s="517">
        <v>0</v>
      </c>
      <c r="R328" s="509"/>
      <c r="S328" s="574">
        <v>0</v>
      </c>
      <c r="T328" s="504"/>
      <c r="U328" s="504"/>
      <c r="V328" s="504"/>
      <c r="W328" s="504"/>
      <c r="X328" s="504"/>
      <c r="Y328" s="504"/>
      <c r="Z328" s="504"/>
      <c r="AA328" s="504"/>
      <c r="AB328" s="504"/>
      <c r="AC328" s="504"/>
      <c r="AD328" s="504"/>
      <c r="AE328" s="504"/>
      <c r="AF328" s="504"/>
      <c r="AG328" s="504"/>
      <c r="AH328" s="504"/>
      <c r="AI328" s="504"/>
      <c r="AJ328" s="504"/>
      <c r="AK328" s="504"/>
      <c r="AL328" s="504"/>
      <c r="AM328" s="504"/>
      <c r="AN328" s="504"/>
    </row>
    <row r="329" spans="1:40" ht="15.75" customHeight="1">
      <c r="A329" s="493" t="s">
        <v>431</v>
      </c>
      <c r="B329" s="499" t="s">
        <v>104</v>
      </c>
      <c r="C329" s="578" t="s">
        <v>50</v>
      </c>
      <c r="D329" s="97" t="s">
        <v>40</v>
      </c>
      <c r="E329" s="579">
        <v>0.36854307910876344</v>
      </c>
      <c r="F329" s="580">
        <v>41102.619314491458</v>
      </c>
      <c r="G329" s="100" t="s">
        <v>40</v>
      </c>
      <c r="H329" s="579">
        <v>0.36854307910876344</v>
      </c>
      <c r="I329" s="580">
        <v>41102.619314491458</v>
      </c>
      <c r="J329" s="100" t="s">
        <v>40</v>
      </c>
      <c r="K329" s="579">
        <v>0.48042931930744776</v>
      </c>
      <c r="L329" s="580">
        <v>48522.41</v>
      </c>
      <c r="M329" s="621"/>
      <c r="N329" s="594">
        <v>7419.7906855085457</v>
      </c>
      <c r="O329" s="100" t="s">
        <v>40</v>
      </c>
      <c r="P329" s="579">
        <v>0.36304506918286533</v>
      </c>
      <c r="Q329" s="580">
        <v>39671.710000000006</v>
      </c>
      <c r="R329" s="621"/>
      <c r="S329" s="595">
        <v>8850.6999999999971</v>
      </c>
      <c r="T329" s="504"/>
      <c r="U329" s="504"/>
      <c r="V329" s="504"/>
      <c r="W329" s="504"/>
      <c r="X329" s="504"/>
      <c r="Y329" s="504"/>
      <c r="Z329" s="504"/>
      <c r="AA329" s="504"/>
      <c r="AB329" s="504"/>
      <c r="AC329" s="504"/>
      <c r="AD329" s="504"/>
      <c r="AE329" s="504"/>
      <c r="AF329" s="504"/>
      <c r="AG329" s="504"/>
      <c r="AH329" s="504"/>
      <c r="AI329" s="504"/>
      <c r="AJ329" s="504"/>
      <c r="AK329" s="504"/>
      <c r="AL329" s="504"/>
      <c r="AM329" s="504"/>
      <c r="AN329" s="504"/>
    </row>
    <row r="330" spans="1:40" ht="15.75" customHeight="1">
      <c r="A330" s="493" t="s">
        <v>432</v>
      </c>
      <c r="B330" s="499" t="s">
        <v>104</v>
      </c>
      <c r="C330" s="686" t="s">
        <v>51</v>
      </c>
      <c r="D330" s="82"/>
      <c r="E330" s="504"/>
      <c r="F330" s="514">
        <v>3725.4874999999997</v>
      </c>
      <c r="G330" s="84"/>
      <c r="H330" s="504"/>
      <c r="I330" s="514">
        <v>3725.4874999999997</v>
      </c>
      <c r="J330" s="525"/>
      <c r="K330" s="504"/>
      <c r="L330" s="517">
        <v>2729.98</v>
      </c>
      <c r="M330" s="525"/>
      <c r="N330" s="545">
        <v>-995.50749999999971</v>
      </c>
      <c r="O330" s="525"/>
      <c r="P330" s="504"/>
      <c r="Q330" s="517">
        <v>-801.71</v>
      </c>
      <c r="R330" s="525"/>
      <c r="S330" s="567">
        <v>3531.69</v>
      </c>
      <c r="T330" s="504"/>
      <c r="U330" s="504"/>
      <c r="V330" s="504"/>
      <c r="W330" s="504"/>
      <c r="X330" s="504"/>
      <c r="Y330" s="504"/>
      <c r="Z330" s="504"/>
      <c r="AA330" s="504"/>
      <c r="AB330" s="504"/>
      <c r="AC330" s="504"/>
      <c r="AD330" s="504"/>
      <c r="AE330" s="504"/>
      <c r="AF330" s="504"/>
      <c r="AG330" s="504"/>
      <c r="AH330" s="504"/>
      <c r="AI330" s="504"/>
      <c r="AJ330" s="504"/>
      <c r="AK330" s="504"/>
      <c r="AL330" s="504"/>
      <c r="AM330" s="504"/>
      <c r="AN330" s="504"/>
    </row>
    <row r="331" spans="1:40" ht="15.75" customHeight="1">
      <c r="A331" s="493" t="s">
        <v>433</v>
      </c>
      <c r="B331" s="499" t="s">
        <v>104</v>
      </c>
      <c r="C331" s="585" t="s">
        <v>52</v>
      </c>
      <c r="D331" s="82"/>
      <c r="E331" s="504"/>
      <c r="F331" s="514">
        <v>880.6912573464183</v>
      </c>
      <c r="G331" s="84"/>
      <c r="H331" s="504"/>
      <c r="I331" s="514">
        <v>880.6912573464183</v>
      </c>
      <c r="J331" s="525"/>
      <c r="K331" s="504"/>
      <c r="L331" s="517">
        <v>0</v>
      </c>
      <c r="M331" s="525"/>
      <c r="N331" s="545">
        <v>-880.6912573464183</v>
      </c>
      <c r="O331" s="525"/>
      <c r="P331" s="504"/>
      <c r="Q331" s="517">
        <v>100</v>
      </c>
      <c r="R331" s="525"/>
      <c r="S331" s="567">
        <v>-100</v>
      </c>
      <c r="T331" s="504"/>
      <c r="U331" s="504"/>
      <c r="V331" s="504"/>
      <c r="W331" s="504"/>
      <c r="X331" s="504"/>
      <c r="Y331" s="504"/>
      <c r="Z331" s="504"/>
      <c r="AA331" s="504"/>
      <c r="AB331" s="504"/>
      <c r="AC331" s="504"/>
      <c r="AD331" s="504"/>
      <c r="AE331" s="504"/>
      <c r="AF331" s="504"/>
      <c r="AG331" s="504"/>
      <c r="AH331" s="504"/>
      <c r="AI331" s="504"/>
      <c r="AJ331" s="504"/>
      <c r="AK331" s="504"/>
      <c r="AL331" s="504"/>
      <c r="AM331" s="504"/>
      <c r="AN331" s="504"/>
    </row>
    <row r="332" spans="1:40" ht="15.75" customHeight="1">
      <c r="A332" s="493" t="s">
        <v>434</v>
      </c>
      <c r="B332" s="499" t="s">
        <v>104</v>
      </c>
      <c r="C332" s="586" t="s">
        <v>53</v>
      </c>
      <c r="D332" s="89"/>
      <c r="E332" s="592"/>
      <c r="F332" s="508">
        <v>433.5</v>
      </c>
      <c r="G332" s="91"/>
      <c r="H332" s="592"/>
      <c r="I332" s="508">
        <v>433.5</v>
      </c>
      <c r="J332" s="509"/>
      <c r="K332" s="592"/>
      <c r="L332" s="517">
        <v>562.97</v>
      </c>
      <c r="M332" s="509"/>
      <c r="N332" s="573">
        <v>129.47000000000003</v>
      </c>
      <c r="O332" s="509"/>
      <c r="P332" s="592"/>
      <c r="Q332" s="517">
        <v>260.42</v>
      </c>
      <c r="R332" s="509"/>
      <c r="S332" s="574">
        <v>302.55</v>
      </c>
      <c r="T332" s="504"/>
      <c r="U332" s="504"/>
      <c r="V332" s="504"/>
      <c r="W332" s="504"/>
      <c r="X332" s="504"/>
      <c r="Y332" s="504"/>
      <c r="Z332" s="504"/>
      <c r="AA332" s="504"/>
      <c r="AB332" s="504"/>
      <c r="AC332" s="504"/>
      <c r="AD332" s="504"/>
      <c r="AE332" s="504"/>
      <c r="AF332" s="504"/>
      <c r="AG332" s="504"/>
      <c r="AH332" s="504"/>
      <c r="AI332" s="504"/>
      <c r="AJ332" s="504"/>
      <c r="AK332" s="504"/>
      <c r="AL332" s="504"/>
      <c r="AM332" s="504"/>
      <c r="AN332" s="504"/>
    </row>
    <row r="333" spans="1:40" ht="15.75" customHeight="1">
      <c r="A333" s="493" t="s">
        <v>435</v>
      </c>
      <c r="B333" s="499" t="s">
        <v>104</v>
      </c>
      <c r="C333" s="585" t="s">
        <v>54</v>
      </c>
      <c r="D333" s="82"/>
      <c r="E333" s="504"/>
      <c r="F333" s="514">
        <v>3489.4852291666666</v>
      </c>
      <c r="G333" s="84"/>
      <c r="H333" s="504"/>
      <c r="I333" s="514">
        <v>3489.4852291666666</v>
      </c>
      <c r="J333" s="525"/>
      <c r="K333" s="504"/>
      <c r="L333" s="589">
        <v>3838.48</v>
      </c>
      <c r="M333" s="525"/>
      <c r="N333" s="545">
        <v>348.9947708333334</v>
      </c>
      <c r="O333" s="525"/>
      <c r="P333" s="504"/>
      <c r="Q333" s="589">
        <v>3274.73</v>
      </c>
      <c r="R333" s="525"/>
      <c r="S333" s="567">
        <v>563.75</v>
      </c>
      <c r="T333" s="504"/>
      <c r="U333" s="504"/>
      <c r="V333" s="504"/>
      <c r="W333" s="504"/>
      <c r="X333" s="504"/>
      <c r="Y333" s="504"/>
      <c r="Z333" s="504"/>
      <c r="AA333" s="504"/>
      <c r="AB333" s="504"/>
      <c r="AC333" s="504"/>
      <c r="AD333" s="504"/>
      <c r="AE333" s="504"/>
      <c r="AF333" s="504"/>
      <c r="AG333" s="504"/>
      <c r="AH333" s="504"/>
      <c r="AI333" s="504"/>
      <c r="AJ333" s="504"/>
      <c r="AK333" s="504"/>
      <c r="AL333" s="504"/>
      <c r="AM333" s="504"/>
      <c r="AN333" s="504"/>
    </row>
    <row r="334" spans="1:40" ht="15.75" customHeight="1">
      <c r="A334" s="493" t="s">
        <v>436</v>
      </c>
      <c r="B334" s="499" t="s">
        <v>104</v>
      </c>
      <c r="C334" s="585" t="s">
        <v>55</v>
      </c>
      <c r="D334" s="82"/>
      <c r="E334" s="504"/>
      <c r="F334" s="514">
        <v>618.86078125000006</v>
      </c>
      <c r="G334" s="84"/>
      <c r="H334" s="504"/>
      <c r="I334" s="514">
        <v>618.86078125000006</v>
      </c>
      <c r="J334" s="525"/>
      <c r="K334" s="504"/>
      <c r="L334" s="517">
        <v>265.01</v>
      </c>
      <c r="M334" s="525"/>
      <c r="N334" s="545">
        <v>-353.85078125000007</v>
      </c>
      <c r="O334" s="525"/>
      <c r="P334" s="504"/>
      <c r="Q334" s="517">
        <v>163.91</v>
      </c>
      <c r="R334" s="525"/>
      <c r="S334" s="567">
        <v>101.1</v>
      </c>
      <c r="T334" s="504"/>
      <c r="U334" s="504"/>
      <c r="V334" s="504"/>
      <c r="W334" s="504"/>
      <c r="X334" s="504"/>
      <c r="Y334" s="504"/>
      <c r="Z334" s="504"/>
      <c r="AA334" s="504"/>
      <c r="AB334" s="504"/>
      <c r="AC334" s="504"/>
      <c r="AD334" s="504"/>
      <c r="AE334" s="504"/>
      <c r="AF334" s="504"/>
      <c r="AG334" s="504"/>
      <c r="AH334" s="504"/>
      <c r="AI334" s="504"/>
      <c r="AJ334" s="504"/>
      <c r="AK334" s="504"/>
      <c r="AL334" s="504"/>
      <c r="AM334" s="504"/>
      <c r="AN334" s="504"/>
    </row>
    <row r="335" spans="1:40" ht="15.75" customHeight="1">
      <c r="A335" s="493" t="s">
        <v>437</v>
      </c>
      <c r="B335" s="499" t="s">
        <v>104</v>
      </c>
      <c r="C335" s="706" t="s">
        <v>56</v>
      </c>
      <c r="D335" s="89"/>
      <c r="E335" s="592"/>
      <c r="F335" s="508">
        <v>7604.1176888888895</v>
      </c>
      <c r="G335" s="91"/>
      <c r="H335" s="592"/>
      <c r="I335" s="508">
        <v>7604.1176888888895</v>
      </c>
      <c r="J335" s="509"/>
      <c r="K335" s="592"/>
      <c r="L335" s="532">
        <v>9975.1</v>
      </c>
      <c r="M335" s="509"/>
      <c r="N335" s="573">
        <v>2370.9823111111109</v>
      </c>
      <c r="O335" s="509"/>
      <c r="P335" s="592"/>
      <c r="Q335" s="532">
        <v>7116.18</v>
      </c>
      <c r="R335" s="509"/>
      <c r="S335" s="574">
        <v>2858.92</v>
      </c>
      <c r="T335" s="504"/>
      <c r="U335" s="504"/>
      <c r="V335" s="504"/>
      <c r="W335" s="504"/>
      <c r="X335" s="504"/>
      <c r="Y335" s="504"/>
      <c r="Z335" s="504"/>
      <c r="AA335" s="504"/>
      <c r="AB335" s="504"/>
      <c r="AC335" s="504"/>
      <c r="AD335" s="504"/>
      <c r="AE335" s="504"/>
      <c r="AF335" s="504"/>
      <c r="AG335" s="504"/>
      <c r="AH335" s="504"/>
      <c r="AI335" s="504"/>
      <c r="AJ335" s="504"/>
      <c r="AK335" s="504"/>
      <c r="AL335" s="504"/>
      <c r="AM335" s="504"/>
      <c r="AN335" s="504"/>
    </row>
    <row r="336" spans="1:40" ht="15.75" customHeight="1">
      <c r="A336" s="493" t="s">
        <v>438</v>
      </c>
      <c r="B336" s="499" t="s">
        <v>104</v>
      </c>
      <c r="C336" s="585" t="s">
        <v>99</v>
      </c>
      <c r="D336" s="82"/>
      <c r="E336" s="504"/>
      <c r="F336" s="514"/>
      <c r="G336" s="84"/>
      <c r="H336" s="504"/>
      <c r="I336" s="514"/>
      <c r="J336" s="525"/>
      <c r="K336" s="504"/>
      <c r="L336" s="517">
        <v>0</v>
      </c>
      <c r="M336" s="525"/>
      <c r="N336" s="545">
        <v>0</v>
      </c>
      <c r="O336" s="525"/>
      <c r="P336" s="504"/>
      <c r="Q336" s="517">
        <v>0</v>
      </c>
      <c r="R336" s="525"/>
      <c r="S336" s="567">
        <v>0</v>
      </c>
      <c r="T336" s="504"/>
      <c r="U336" s="504"/>
      <c r="V336" s="504"/>
      <c r="W336" s="504"/>
      <c r="X336" s="504"/>
      <c r="Y336" s="504"/>
      <c r="Z336" s="504"/>
      <c r="AA336" s="504"/>
      <c r="AB336" s="504"/>
      <c r="AC336" s="504"/>
      <c r="AD336" s="504"/>
      <c r="AE336" s="504"/>
      <c r="AF336" s="504"/>
      <c r="AG336" s="504"/>
      <c r="AH336" s="504"/>
      <c r="AI336" s="504"/>
      <c r="AJ336" s="504"/>
      <c r="AK336" s="504"/>
      <c r="AL336" s="504"/>
      <c r="AM336" s="504"/>
      <c r="AN336" s="504"/>
    </row>
    <row r="337" spans="1:40" ht="15.75" customHeight="1">
      <c r="A337" s="493" t="s">
        <v>439</v>
      </c>
      <c r="B337" s="499" t="s">
        <v>104</v>
      </c>
      <c r="C337" s="585" t="s">
        <v>57</v>
      </c>
      <c r="D337" s="82"/>
      <c r="E337" s="504"/>
      <c r="F337" s="514">
        <v>96.216577192736779</v>
      </c>
      <c r="G337" s="84"/>
      <c r="H337" s="504"/>
      <c r="I337" s="514">
        <v>96.216577192736779</v>
      </c>
      <c r="J337" s="525"/>
      <c r="K337" s="504"/>
      <c r="L337" s="517">
        <v>427.58</v>
      </c>
      <c r="M337" s="525"/>
      <c r="N337" s="545">
        <v>331.36342280726319</v>
      </c>
      <c r="O337" s="525"/>
      <c r="P337" s="504"/>
      <c r="Q337" s="517">
        <v>805.11</v>
      </c>
      <c r="R337" s="525"/>
      <c r="S337" s="567">
        <v>-377.53000000000003</v>
      </c>
      <c r="T337" s="504"/>
      <c r="U337" s="504"/>
      <c r="V337" s="504"/>
      <c r="W337" s="504"/>
      <c r="X337" s="504"/>
      <c r="Y337" s="504"/>
      <c r="Z337" s="504"/>
      <c r="AA337" s="504"/>
      <c r="AB337" s="504"/>
      <c r="AC337" s="504"/>
      <c r="AD337" s="504"/>
      <c r="AE337" s="504"/>
      <c r="AF337" s="504"/>
      <c r="AG337" s="504"/>
      <c r="AH337" s="504"/>
      <c r="AI337" s="504"/>
      <c r="AJ337" s="504"/>
      <c r="AK337" s="504"/>
      <c r="AL337" s="504"/>
      <c r="AM337" s="504"/>
      <c r="AN337" s="504"/>
    </row>
    <row r="338" spans="1:40" ht="15.75" customHeight="1">
      <c r="A338" s="493" t="s">
        <v>440</v>
      </c>
      <c r="B338" s="499" t="s">
        <v>104</v>
      </c>
      <c r="C338" s="585" t="s">
        <v>58</v>
      </c>
      <c r="D338" s="82"/>
      <c r="E338" s="504"/>
      <c r="F338" s="514">
        <v>51.126959799825812</v>
      </c>
      <c r="G338" s="84"/>
      <c r="H338" s="504"/>
      <c r="I338" s="514">
        <v>51.126959799825812</v>
      </c>
      <c r="J338" s="525"/>
      <c r="K338" s="504"/>
      <c r="L338" s="517">
        <v>0</v>
      </c>
      <c r="M338" s="525"/>
      <c r="N338" s="545">
        <v>-51.126959799825812</v>
      </c>
      <c r="O338" s="525"/>
      <c r="P338" s="504"/>
      <c r="Q338" s="517">
        <v>0</v>
      </c>
      <c r="R338" s="525"/>
      <c r="S338" s="567">
        <v>0</v>
      </c>
      <c r="T338" s="504"/>
      <c r="U338" s="504"/>
      <c r="V338" s="504"/>
      <c r="W338" s="504"/>
      <c r="X338" s="504"/>
      <c r="Y338" s="504"/>
      <c r="Z338" s="504"/>
      <c r="AA338" s="504"/>
      <c r="AB338" s="504"/>
      <c r="AC338" s="504"/>
      <c r="AD338" s="504"/>
      <c r="AE338" s="504"/>
      <c r="AF338" s="504"/>
      <c r="AG338" s="504"/>
      <c r="AH338" s="504"/>
      <c r="AI338" s="504"/>
      <c r="AJ338" s="504"/>
      <c r="AK338" s="504"/>
      <c r="AL338" s="504"/>
      <c r="AM338" s="504"/>
      <c r="AN338" s="504"/>
    </row>
    <row r="339" spans="1:40" ht="15.75" customHeight="1">
      <c r="A339" s="493" t="s">
        <v>441</v>
      </c>
      <c r="B339" s="499" t="s">
        <v>104</v>
      </c>
      <c r="C339" s="585" t="s">
        <v>59</v>
      </c>
      <c r="D339" s="82"/>
      <c r="E339" s="504"/>
      <c r="F339" s="514">
        <v>510.05025000000001</v>
      </c>
      <c r="G339" s="84"/>
      <c r="H339" s="504"/>
      <c r="I339" s="514">
        <v>510.05025000000001</v>
      </c>
      <c r="J339" s="525"/>
      <c r="K339" s="504"/>
      <c r="L339" s="516">
        <v>579.99</v>
      </c>
      <c r="M339" s="525"/>
      <c r="N339" s="545">
        <v>69.939750000000004</v>
      </c>
      <c r="O339" s="525"/>
      <c r="P339" s="504"/>
      <c r="Q339" s="516">
        <v>383.79</v>
      </c>
      <c r="R339" s="525"/>
      <c r="S339" s="567">
        <v>196.2</v>
      </c>
      <c r="T339" s="504"/>
      <c r="U339" s="504"/>
      <c r="V339" s="504"/>
      <c r="W339" s="504"/>
      <c r="X339" s="504"/>
      <c r="Y339" s="504"/>
      <c r="Z339" s="504"/>
      <c r="AA339" s="504"/>
      <c r="AB339" s="504"/>
      <c r="AC339" s="504"/>
      <c r="AD339" s="504"/>
      <c r="AE339" s="504"/>
      <c r="AF339" s="504"/>
      <c r="AG339" s="504"/>
      <c r="AH339" s="504"/>
      <c r="AI339" s="504"/>
      <c r="AJ339" s="504"/>
      <c r="AK339" s="504"/>
      <c r="AL339" s="504"/>
      <c r="AM339" s="504"/>
      <c r="AN339" s="504"/>
    </row>
    <row r="340" spans="1:40" ht="15.75" customHeight="1">
      <c r="A340" s="493" t="s">
        <v>442</v>
      </c>
      <c r="B340" s="499" t="s">
        <v>104</v>
      </c>
      <c r="C340" s="585" t="s">
        <v>60</v>
      </c>
      <c r="D340" s="82"/>
      <c r="E340" s="504"/>
      <c r="F340" s="514">
        <v>235.51916145833334</v>
      </c>
      <c r="G340" s="84"/>
      <c r="H340" s="504"/>
      <c r="I340" s="514">
        <v>235.51916145833334</v>
      </c>
      <c r="J340" s="525"/>
      <c r="K340" s="504"/>
      <c r="L340" s="517">
        <v>81.83</v>
      </c>
      <c r="M340" s="525"/>
      <c r="N340" s="545">
        <v>-153.68916145833333</v>
      </c>
      <c r="O340" s="525"/>
      <c r="P340" s="504"/>
      <c r="Q340" s="517">
        <v>101.74</v>
      </c>
      <c r="R340" s="525"/>
      <c r="S340" s="567">
        <v>-19.909999999999997</v>
      </c>
      <c r="T340" s="504"/>
      <c r="U340" s="504"/>
      <c r="V340" s="504"/>
      <c r="W340" s="504"/>
      <c r="X340" s="504"/>
      <c r="Y340" s="504"/>
      <c r="Z340" s="504"/>
      <c r="AA340" s="504"/>
      <c r="AB340" s="504"/>
      <c r="AC340" s="504"/>
      <c r="AD340" s="504"/>
      <c r="AE340" s="504"/>
      <c r="AF340" s="504"/>
      <c r="AG340" s="504"/>
      <c r="AH340" s="504"/>
      <c r="AI340" s="504"/>
      <c r="AJ340" s="504"/>
      <c r="AK340" s="504"/>
      <c r="AL340" s="504"/>
      <c r="AM340" s="504"/>
      <c r="AN340" s="504"/>
    </row>
    <row r="341" spans="1:40" ht="15.75" customHeight="1">
      <c r="A341" s="493" t="s">
        <v>443</v>
      </c>
      <c r="B341" s="499" t="s">
        <v>104</v>
      </c>
      <c r="C341" s="585" t="s">
        <v>61</v>
      </c>
      <c r="D341" s="82"/>
      <c r="E341" s="504"/>
      <c r="F341" s="514">
        <v>125.71646354166664</v>
      </c>
      <c r="G341" s="84"/>
      <c r="H341" s="504"/>
      <c r="I341" s="514">
        <v>125.71646354166664</v>
      </c>
      <c r="J341" s="525"/>
      <c r="K341" s="504"/>
      <c r="L341" s="517">
        <v>23.29</v>
      </c>
      <c r="M341" s="525"/>
      <c r="N341" s="545">
        <v>-102.42646354166664</v>
      </c>
      <c r="O341" s="525"/>
      <c r="P341" s="504"/>
      <c r="Q341" s="517">
        <v>-1.74</v>
      </c>
      <c r="R341" s="525"/>
      <c r="S341" s="567">
        <v>25.029999999999998</v>
      </c>
      <c r="T341" s="504"/>
      <c r="U341" s="504"/>
      <c r="V341" s="504"/>
      <c r="W341" s="504"/>
      <c r="X341" s="504"/>
      <c r="Y341" s="504"/>
      <c r="Z341" s="504"/>
      <c r="AA341" s="504"/>
      <c r="AB341" s="504"/>
      <c r="AC341" s="504"/>
      <c r="AD341" s="504"/>
      <c r="AE341" s="504"/>
      <c r="AF341" s="504"/>
      <c r="AG341" s="504"/>
      <c r="AH341" s="504"/>
      <c r="AI341" s="504"/>
      <c r="AJ341" s="504"/>
      <c r="AK341" s="504"/>
      <c r="AL341" s="504"/>
      <c r="AM341" s="504"/>
      <c r="AN341" s="504"/>
    </row>
    <row r="342" spans="1:40" ht="15.75" customHeight="1">
      <c r="A342" s="493" t="s">
        <v>444</v>
      </c>
      <c r="B342" s="499" t="s">
        <v>104</v>
      </c>
      <c r="C342" s="585" t="s">
        <v>62</v>
      </c>
      <c r="D342" s="82"/>
      <c r="E342" s="504"/>
      <c r="F342" s="514">
        <v>606.4324947916665</v>
      </c>
      <c r="G342" s="84"/>
      <c r="H342" s="504"/>
      <c r="I342" s="514">
        <v>606.4324947916665</v>
      </c>
      <c r="J342" s="525"/>
      <c r="K342" s="504"/>
      <c r="L342" s="517">
        <v>719.21</v>
      </c>
      <c r="M342" s="525"/>
      <c r="N342" s="545">
        <v>112.77750520833354</v>
      </c>
      <c r="O342" s="525"/>
      <c r="P342" s="504"/>
      <c r="Q342" s="517">
        <v>206.28</v>
      </c>
      <c r="R342" s="525"/>
      <c r="S342" s="567">
        <v>512.93000000000006</v>
      </c>
      <c r="T342" s="504"/>
      <c r="U342" s="504"/>
      <c r="V342" s="504"/>
      <c r="W342" s="504"/>
      <c r="X342" s="504"/>
      <c r="Y342" s="504"/>
      <c r="Z342" s="504"/>
      <c r="AA342" s="504"/>
      <c r="AB342" s="504"/>
      <c r="AC342" s="504"/>
      <c r="AD342" s="504"/>
      <c r="AE342" s="504"/>
      <c r="AF342" s="504"/>
      <c r="AG342" s="504"/>
      <c r="AH342" s="504"/>
      <c r="AI342" s="504"/>
      <c r="AJ342" s="504"/>
      <c r="AK342" s="504"/>
      <c r="AL342" s="504"/>
      <c r="AM342" s="504"/>
      <c r="AN342" s="504"/>
    </row>
    <row r="343" spans="1:40" ht="15.75" customHeight="1">
      <c r="A343" s="493" t="s">
        <v>445</v>
      </c>
      <c r="B343" s="499" t="s">
        <v>104</v>
      </c>
      <c r="C343" s="585" t="s">
        <v>63</v>
      </c>
      <c r="D343" s="82"/>
      <c r="E343" s="504"/>
      <c r="F343" s="514">
        <v>900.98145833333331</v>
      </c>
      <c r="G343" s="84"/>
      <c r="H343" s="504"/>
      <c r="I343" s="514">
        <v>900.98145833333331</v>
      </c>
      <c r="J343" s="525"/>
      <c r="K343" s="504"/>
      <c r="L343" s="517">
        <v>79.75</v>
      </c>
      <c r="M343" s="525"/>
      <c r="N343" s="545">
        <v>-821.23145833333331</v>
      </c>
      <c r="O343" s="525"/>
      <c r="P343" s="504"/>
      <c r="Q343" s="517">
        <v>22.14</v>
      </c>
      <c r="R343" s="525"/>
      <c r="S343" s="567">
        <v>57.61</v>
      </c>
      <c r="T343" s="504"/>
      <c r="U343" s="504"/>
      <c r="V343" s="504"/>
      <c r="W343" s="504"/>
      <c r="X343" s="504"/>
      <c r="Y343" s="504"/>
      <c r="Z343" s="504"/>
      <c r="AA343" s="504"/>
      <c r="AB343" s="504"/>
      <c r="AC343" s="504"/>
      <c r="AD343" s="504"/>
      <c r="AE343" s="504"/>
      <c r="AF343" s="504"/>
      <c r="AG343" s="504"/>
      <c r="AH343" s="504"/>
      <c r="AI343" s="504"/>
      <c r="AJ343" s="504"/>
      <c r="AK343" s="504"/>
      <c r="AL343" s="504"/>
      <c r="AM343" s="504"/>
      <c r="AN343" s="504"/>
    </row>
    <row r="344" spans="1:40" ht="15.75" customHeight="1">
      <c r="A344" s="493" t="s">
        <v>446</v>
      </c>
      <c r="B344" s="499" t="s">
        <v>104</v>
      </c>
      <c r="C344" s="585" t="s">
        <v>64</v>
      </c>
      <c r="D344" s="82"/>
      <c r="E344" s="504"/>
      <c r="F344" s="514">
        <v>2624.2574883797606</v>
      </c>
      <c r="G344" s="84"/>
      <c r="H344" s="504"/>
      <c r="I344" s="514">
        <v>2624.2574883797606</v>
      </c>
      <c r="J344" s="525"/>
      <c r="K344" s="504"/>
      <c r="L344" s="516">
        <v>1858.194</v>
      </c>
      <c r="M344" s="525"/>
      <c r="N344" s="545">
        <v>-766.06348837976066</v>
      </c>
      <c r="O344" s="525"/>
      <c r="P344" s="504"/>
      <c r="Q344" s="517">
        <v>1803.06</v>
      </c>
      <c r="R344" s="525"/>
      <c r="S344" s="567">
        <v>55.134000000000015</v>
      </c>
      <c r="T344" s="504"/>
      <c r="U344" s="504"/>
      <c r="V344" s="504"/>
      <c r="W344" s="504"/>
      <c r="X344" s="504"/>
      <c r="Y344" s="504"/>
      <c r="Z344" s="504"/>
      <c r="AA344" s="504"/>
      <c r="AB344" s="504"/>
      <c r="AC344" s="504"/>
      <c r="AD344" s="504"/>
      <c r="AE344" s="504"/>
      <c r="AF344" s="504"/>
      <c r="AG344" s="504"/>
      <c r="AH344" s="504"/>
      <c r="AI344" s="504"/>
      <c r="AJ344" s="504"/>
      <c r="AK344" s="504"/>
      <c r="AL344" s="504"/>
      <c r="AM344" s="504"/>
      <c r="AN344" s="504"/>
    </row>
    <row r="345" spans="1:40" ht="15.75" hidden="1" customHeight="1">
      <c r="A345" s="493" t="s">
        <v>413</v>
      </c>
      <c r="B345" s="499" t="s">
        <v>104</v>
      </c>
      <c r="C345" s="585" t="s">
        <v>21</v>
      </c>
      <c r="D345" s="82"/>
      <c r="E345" s="504"/>
      <c r="F345" s="514">
        <v>0</v>
      </c>
      <c r="G345" s="84"/>
      <c r="H345" s="504"/>
      <c r="I345" s="514">
        <v>0</v>
      </c>
      <c r="J345" s="525"/>
      <c r="K345" s="504"/>
      <c r="L345" s="517">
        <v>0</v>
      </c>
      <c r="M345" s="525"/>
      <c r="N345" s="545">
        <v>0</v>
      </c>
      <c r="O345" s="525"/>
      <c r="P345" s="504"/>
      <c r="Q345" s="517">
        <v>0</v>
      </c>
      <c r="R345" s="525"/>
      <c r="S345" s="567">
        <v>0</v>
      </c>
      <c r="T345" s="504"/>
      <c r="U345" s="504"/>
      <c r="V345" s="504"/>
      <c r="W345" s="504"/>
      <c r="X345" s="504"/>
      <c r="Y345" s="504"/>
      <c r="Z345" s="504"/>
      <c r="AA345" s="504"/>
      <c r="AB345" s="504"/>
      <c r="AC345" s="504"/>
      <c r="AD345" s="504"/>
      <c r="AE345" s="504"/>
      <c r="AF345" s="504"/>
      <c r="AG345" s="504"/>
      <c r="AH345" s="504"/>
      <c r="AI345" s="504"/>
      <c r="AJ345" s="504"/>
      <c r="AK345" s="504"/>
      <c r="AL345" s="504"/>
      <c r="AM345" s="504"/>
      <c r="AN345" s="504"/>
    </row>
    <row r="346" spans="1:40" ht="15.75" hidden="1" customHeight="1">
      <c r="A346" s="493" t="s">
        <v>413</v>
      </c>
      <c r="B346" s="499" t="s">
        <v>104</v>
      </c>
      <c r="C346" s="585" t="s">
        <v>21</v>
      </c>
      <c r="D346" s="82"/>
      <c r="E346" s="504"/>
      <c r="F346" s="514">
        <v>0</v>
      </c>
      <c r="G346" s="84"/>
      <c r="H346" s="504"/>
      <c r="I346" s="514">
        <v>0</v>
      </c>
      <c r="J346" s="525"/>
      <c r="K346" s="504"/>
      <c r="L346" s="517">
        <v>0</v>
      </c>
      <c r="M346" s="525"/>
      <c r="N346" s="545">
        <v>0</v>
      </c>
      <c r="O346" s="525"/>
      <c r="P346" s="504"/>
      <c r="Q346" s="517">
        <v>0</v>
      </c>
      <c r="R346" s="525"/>
      <c r="S346" s="567">
        <v>0</v>
      </c>
      <c r="T346" s="504"/>
      <c r="U346" s="504"/>
      <c r="V346" s="504"/>
      <c r="W346" s="504"/>
      <c r="X346" s="504"/>
      <c r="Y346" s="504"/>
      <c r="Z346" s="504"/>
      <c r="AA346" s="504"/>
      <c r="AB346" s="504"/>
      <c r="AC346" s="504"/>
      <c r="AD346" s="504"/>
      <c r="AE346" s="504"/>
      <c r="AF346" s="504"/>
      <c r="AG346" s="504"/>
      <c r="AH346" s="504"/>
      <c r="AI346" s="504"/>
      <c r="AJ346" s="504"/>
      <c r="AK346" s="504"/>
      <c r="AL346" s="504"/>
      <c r="AM346" s="504"/>
      <c r="AN346" s="504"/>
    </row>
    <row r="347" spans="1:40" ht="15.75" hidden="1" customHeight="1">
      <c r="A347" s="493" t="s">
        <v>413</v>
      </c>
      <c r="B347" s="499" t="s">
        <v>104</v>
      </c>
      <c r="C347" s="585" t="s">
        <v>21</v>
      </c>
      <c r="D347" s="82"/>
      <c r="E347" s="504"/>
      <c r="F347" s="514">
        <v>0</v>
      </c>
      <c r="G347" s="84"/>
      <c r="H347" s="504"/>
      <c r="I347" s="514">
        <v>0</v>
      </c>
      <c r="J347" s="525"/>
      <c r="K347" s="504"/>
      <c r="L347" s="517">
        <v>0</v>
      </c>
      <c r="M347" s="525"/>
      <c r="N347" s="545">
        <v>0</v>
      </c>
      <c r="O347" s="525"/>
      <c r="P347" s="504"/>
      <c r="Q347" s="517">
        <v>0</v>
      </c>
      <c r="R347" s="525"/>
      <c r="S347" s="567">
        <v>0</v>
      </c>
      <c r="T347" s="504"/>
      <c r="U347" s="504"/>
      <c r="V347" s="504"/>
      <c r="W347" s="504"/>
      <c r="X347" s="504"/>
      <c r="Y347" s="504"/>
      <c r="Z347" s="504"/>
      <c r="AA347" s="504"/>
      <c r="AB347" s="504"/>
      <c r="AC347" s="504"/>
      <c r="AD347" s="504"/>
      <c r="AE347" s="504"/>
      <c r="AF347" s="504"/>
      <c r="AG347" s="504"/>
      <c r="AH347" s="504"/>
      <c r="AI347" s="504"/>
      <c r="AJ347" s="504"/>
      <c r="AK347" s="504"/>
      <c r="AL347" s="504"/>
      <c r="AM347" s="504"/>
      <c r="AN347" s="504"/>
    </row>
    <row r="348" spans="1:40" ht="15.75" customHeight="1">
      <c r="B348" s="497"/>
      <c r="C348" s="578" t="s">
        <v>65</v>
      </c>
      <c r="D348" s="97" t="s">
        <v>40</v>
      </c>
      <c r="E348" s="579">
        <v>0.19638636252754904</v>
      </c>
      <c r="F348" s="580">
        <v>21902.443310149294</v>
      </c>
      <c r="G348" s="100" t="s">
        <v>40</v>
      </c>
      <c r="H348" s="579">
        <v>0.19638636252754904</v>
      </c>
      <c r="I348" s="580">
        <v>21902.443310149294</v>
      </c>
      <c r="J348" s="100" t="s">
        <v>40</v>
      </c>
      <c r="K348" s="579">
        <v>0.20932473725722545</v>
      </c>
      <c r="L348" s="580">
        <v>21141.384000000005</v>
      </c>
      <c r="M348" s="583"/>
      <c r="N348" s="580">
        <v>-761.05931014929661</v>
      </c>
      <c r="O348" s="100" t="s">
        <v>40</v>
      </c>
      <c r="P348" s="579">
        <v>0.12293684303868893</v>
      </c>
      <c r="Q348" s="580">
        <v>13433.910000000002</v>
      </c>
      <c r="R348" s="583"/>
      <c r="S348" s="584">
        <v>7707.4740000000002</v>
      </c>
      <c r="T348" s="504"/>
      <c r="U348" s="504"/>
      <c r="V348" s="504"/>
      <c r="W348" s="504"/>
      <c r="X348" s="504"/>
      <c r="Y348" s="504"/>
      <c r="Z348" s="504"/>
      <c r="AA348" s="504"/>
      <c r="AB348" s="504"/>
      <c r="AC348" s="504"/>
      <c r="AD348" s="504"/>
      <c r="AE348" s="504"/>
      <c r="AF348" s="504"/>
      <c r="AG348" s="504"/>
      <c r="AH348" s="504"/>
      <c r="AI348" s="504"/>
      <c r="AJ348" s="504"/>
      <c r="AK348" s="504"/>
      <c r="AL348" s="504"/>
      <c r="AM348" s="504"/>
      <c r="AN348" s="504"/>
    </row>
    <row r="349" spans="1:40" ht="15.75" customHeight="1">
      <c r="B349" s="497"/>
      <c r="C349" s="568"/>
      <c r="D349" s="89"/>
      <c r="E349" s="592"/>
      <c r="F349" s="545"/>
      <c r="G349" s="91"/>
      <c r="H349" s="592"/>
      <c r="I349" s="545"/>
      <c r="J349" s="509"/>
      <c r="K349" s="592"/>
      <c r="L349" s="573"/>
      <c r="M349" s="509"/>
      <c r="N349" s="573"/>
      <c r="O349" s="509"/>
      <c r="P349" s="592"/>
      <c r="Q349" s="573"/>
      <c r="R349" s="509"/>
      <c r="S349" s="574"/>
      <c r="T349" s="504"/>
      <c r="U349" s="504"/>
      <c r="V349" s="504"/>
      <c r="W349" s="504"/>
      <c r="X349" s="504"/>
      <c r="Y349" s="504"/>
      <c r="Z349" s="504"/>
      <c r="AA349" s="504"/>
      <c r="AB349" s="504"/>
      <c r="AC349" s="504"/>
      <c r="AD349" s="504"/>
      <c r="AE349" s="504"/>
      <c r="AF349" s="504"/>
      <c r="AG349" s="504"/>
      <c r="AH349" s="504"/>
      <c r="AI349" s="504"/>
      <c r="AJ349" s="504"/>
      <c r="AK349" s="504"/>
      <c r="AL349" s="504"/>
      <c r="AM349" s="504"/>
      <c r="AN349" s="504"/>
    </row>
    <row r="350" spans="1:40" ht="15.75" customHeight="1">
      <c r="B350" s="497"/>
      <c r="C350" s="578" t="s">
        <v>66</v>
      </c>
      <c r="D350" s="97" t="s">
        <v>40</v>
      </c>
      <c r="E350" s="579">
        <v>0.56492944163631242</v>
      </c>
      <c r="F350" s="580">
        <v>63005.062624640748</v>
      </c>
      <c r="G350" s="100" t="s">
        <v>40</v>
      </c>
      <c r="H350" s="579">
        <v>0.56492944163631242</v>
      </c>
      <c r="I350" s="580">
        <v>63005.062624640748</v>
      </c>
      <c r="J350" s="100" t="s">
        <v>40</v>
      </c>
      <c r="K350" s="579">
        <v>0.68975405656467326</v>
      </c>
      <c r="L350" s="580">
        <v>69663.794000000009</v>
      </c>
      <c r="M350" s="583"/>
      <c r="N350" s="594">
        <v>6658.7313753592607</v>
      </c>
      <c r="O350" s="100" t="s">
        <v>40</v>
      </c>
      <c r="P350" s="579">
        <v>0.48598191222155424</v>
      </c>
      <c r="Q350" s="580">
        <v>53105.62000000001</v>
      </c>
      <c r="R350" s="583"/>
      <c r="S350" s="595">
        <v>16558.173999999999</v>
      </c>
      <c r="T350" s="504"/>
      <c r="U350" s="504"/>
      <c r="V350" s="504"/>
      <c r="W350" s="504"/>
      <c r="X350" s="504"/>
      <c r="Y350" s="504"/>
      <c r="Z350" s="504"/>
      <c r="AA350" s="504"/>
      <c r="AB350" s="504"/>
      <c r="AC350" s="504"/>
      <c r="AD350" s="504"/>
      <c r="AE350" s="504"/>
      <c r="AF350" s="504"/>
      <c r="AG350" s="504"/>
      <c r="AH350" s="504"/>
      <c r="AI350" s="504"/>
      <c r="AJ350" s="504"/>
      <c r="AK350" s="504"/>
      <c r="AL350" s="504"/>
      <c r="AM350" s="504"/>
      <c r="AN350" s="504"/>
    </row>
    <row r="351" spans="1:40" ht="15.75" customHeight="1">
      <c r="B351" s="497"/>
      <c r="C351" s="513"/>
      <c r="D351" s="82"/>
      <c r="E351" s="504"/>
      <c r="F351" s="545"/>
      <c r="G351" s="84"/>
      <c r="H351" s="504"/>
      <c r="I351" s="545"/>
      <c r="J351" s="525"/>
      <c r="K351" s="504"/>
      <c r="L351" s="545"/>
      <c r="M351" s="525"/>
      <c r="N351" s="545">
        <v>0</v>
      </c>
      <c r="O351" s="525"/>
      <c r="P351" s="504"/>
      <c r="Q351" s="545"/>
      <c r="R351" s="525"/>
      <c r="S351" s="567"/>
      <c r="T351" s="504"/>
      <c r="U351" s="504"/>
      <c r="V351" s="504"/>
      <c r="W351" s="504"/>
      <c r="X351" s="504"/>
      <c r="Y351" s="504"/>
      <c r="Z351" s="504"/>
      <c r="AA351" s="504"/>
      <c r="AB351" s="504"/>
      <c r="AC351" s="504"/>
      <c r="AD351" s="504"/>
      <c r="AE351" s="504"/>
      <c r="AF351" s="504"/>
      <c r="AG351" s="504"/>
      <c r="AH351" s="504"/>
      <c r="AI351" s="504"/>
      <c r="AJ351" s="504"/>
      <c r="AK351" s="504"/>
      <c r="AL351" s="504"/>
      <c r="AM351" s="504"/>
      <c r="AN351" s="504"/>
    </row>
    <row r="352" spans="1:40" ht="15.75" customHeight="1" thickBot="1">
      <c r="B352" s="497"/>
      <c r="C352" s="605" t="s">
        <v>73</v>
      </c>
      <c r="D352" s="156"/>
      <c r="E352" s="606"/>
      <c r="F352" s="608">
        <v>48522.250312258446</v>
      </c>
      <c r="G352" s="157"/>
      <c r="H352" s="606"/>
      <c r="I352" s="608">
        <v>48522.250312258446</v>
      </c>
      <c r="J352" s="625"/>
      <c r="K352" s="607"/>
      <c r="L352" s="608">
        <v>31334.22600000001</v>
      </c>
      <c r="M352" s="625"/>
      <c r="N352" s="608">
        <v>-17188.024312258436</v>
      </c>
      <c r="O352" s="625"/>
      <c r="P352" s="607"/>
      <c r="Q352" s="608">
        <v>56169.270000000019</v>
      </c>
      <c r="R352" s="625"/>
      <c r="S352" s="610">
        <v>-24835.044000000009</v>
      </c>
      <c r="T352" s="504"/>
      <c r="U352" s="504"/>
      <c r="V352" s="504"/>
      <c r="W352" s="504"/>
      <c r="X352" s="504"/>
      <c r="Y352" s="504"/>
      <c r="Z352" s="504"/>
      <c r="AA352" s="504"/>
      <c r="AB352" s="504"/>
      <c r="AC352" s="504"/>
      <c r="AD352" s="504"/>
      <c r="AE352" s="504"/>
      <c r="AF352" s="504"/>
      <c r="AG352" s="504"/>
      <c r="AH352" s="504"/>
      <c r="AI352" s="504"/>
      <c r="AJ352" s="504"/>
      <c r="AK352" s="504"/>
      <c r="AL352" s="504"/>
      <c r="AM352" s="504"/>
      <c r="AN352" s="504"/>
    </row>
    <row r="353" spans="1:40" ht="15.75" customHeight="1" thickTop="1">
      <c r="B353" s="497"/>
      <c r="C353" s="562"/>
      <c r="D353" s="82"/>
      <c r="E353" s="504"/>
      <c r="F353" s="593"/>
      <c r="G353" s="82"/>
      <c r="H353" s="504"/>
      <c r="I353" s="593"/>
      <c r="J353" s="562"/>
      <c r="K353" s="562"/>
      <c r="L353" s="593"/>
      <c r="M353" s="562"/>
      <c r="N353" s="593"/>
      <c r="O353" s="562"/>
      <c r="P353" s="562"/>
      <c r="Q353" s="593"/>
      <c r="R353" s="562"/>
      <c r="S353" s="593"/>
      <c r="T353" s="504"/>
      <c r="U353" s="504"/>
      <c r="V353" s="504"/>
      <c r="W353" s="504"/>
      <c r="X353" s="504"/>
      <c r="Y353" s="504"/>
      <c r="Z353" s="504"/>
      <c r="AA353" s="504"/>
      <c r="AB353" s="504"/>
      <c r="AC353" s="504"/>
      <c r="AD353" s="504"/>
      <c r="AE353" s="504"/>
      <c r="AF353" s="504"/>
      <c r="AG353" s="504"/>
      <c r="AH353" s="504"/>
      <c r="AI353" s="504"/>
      <c r="AJ353" s="504"/>
      <c r="AK353" s="504"/>
      <c r="AL353" s="504"/>
      <c r="AM353" s="504"/>
      <c r="AN353" s="504"/>
    </row>
    <row r="354" spans="1:40" ht="15.75" customHeight="1">
      <c r="B354" s="497"/>
      <c r="C354" s="562"/>
      <c r="D354" s="82"/>
      <c r="E354" s="504"/>
      <c r="F354" s="593"/>
      <c r="G354" s="82"/>
      <c r="H354" s="504"/>
      <c r="I354" s="593"/>
      <c r="J354" s="562"/>
      <c r="K354" s="562"/>
      <c r="L354" s="593"/>
      <c r="M354" s="562"/>
      <c r="N354" s="593"/>
      <c r="O354" s="562"/>
      <c r="P354" s="562"/>
      <c r="Q354" s="593"/>
      <c r="R354" s="562"/>
      <c r="S354" s="593"/>
      <c r="T354" s="504"/>
      <c r="U354" s="504"/>
      <c r="V354" s="504"/>
      <c r="W354" s="504"/>
      <c r="X354" s="504"/>
      <c r="Y354" s="504"/>
      <c r="Z354" s="504"/>
      <c r="AA354" s="504"/>
      <c r="AB354" s="504"/>
      <c r="AC354" s="504"/>
      <c r="AD354" s="504"/>
      <c r="AE354" s="504"/>
      <c r="AF354" s="504"/>
      <c r="AG354" s="504"/>
      <c r="AH354" s="504"/>
      <c r="AI354" s="504"/>
      <c r="AJ354" s="504"/>
      <c r="AK354" s="504"/>
      <c r="AL354" s="504"/>
      <c r="AM354" s="504"/>
      <c r="AN354" s="504"/>
    </row>
    <row r="355" spans="1:40" ht="34.5" customHeight="1">
      <c r="B355" s="497"/>
      <c r="C355" s="496" t="s">
        <v>228</v>
      </c>
      <c r="D355" s="2"/>
      <c r="E355" s="2"/>
      <c r="F355" s="2"/>
      <c r="G355" s="2"/>
      <c r="H355" s="494"/>
      <c r="I355" s="494"/>
      <c r="J355" s="494"/>
      <c r="K355" s="3" t="s">
        <v>120</v>
      </c>
      <c r="L355" s="2"/>
      <c r="M355" s="2"/>
      <c r="N355" s="494"/>
      <c r="O355" s="494"/>
      <c r="P355" s="2"/>
      <c r="Q355" s="494"/>
      <c r="R355" s="2"/>
      <c r="S355" s="5" t="s">
        <v>229</v>
      </c>
      <c r="T355" s="498"/>
      <c r="U355" s="498"/>
      <c r="V355" s="504"/>
      <c r="W355" s="498"/>
      <c r="X355" s="498"/>
      <c r="Y355" s="498"/>
      <c r="Z355" s="498"/>
      <c r="AA355" s="498"/>
      <c r="AB355" s="498"/>
      <c r="AC355" s="498"/>
      <c r="AD355" s="498"/>
      <c r="AE355" s="498"/>
      <c r="AF355" s="498"/>
      <c r="AG355" s="498"/>
      <c r="AH355" s="498"/>
      <c r="AI355" s="498"/>
      <c r="AJ355" s="498"/>
      <c r="AK355" s="498"/>
      <c r="AL355" s="498"/>
      <c r="AM355" s="498"/>
      <c r="AN355" s="498"/>
    </row>
    <row r="356" spans="1:40" ht="15.75" customHeight="1" thickBot="1">
      <c r="B356" s="497"/>
      <c r="C356" s="8"/>
      <c r="D356" s="498"/>
      <c r="E356" s="498"/>
      <c r="F356" s="498"/>
      <c r="G356" s="498"/>
      <c r="H356" s="498"/>
      <c r="I356" s="498"/>
      <c r="J356" s="498"/>
      <c r="K356" s="498"/>
      <c r="L356" s="498"/>
      <c r="M356" s="498"/>
      <c r="N356" s="498"/>
      <c r="O356" s="498"/>
      <c r="P356" s="498"/>
      <c r="Q356" s="498"/>
      <c r="R356" s="498"/>
      <c r="S356" s="498"/>
      <c r="T356" s="498"/>
      <c r="U356" s="498"/>
      <c r="V356" s="504"/>
      <c r="W356" s="498"/>
      <c r="X356" s="498"/>
      <c r="Y356" s="498"/>
      <c r="Z356" s="498"/>
      <c r="AA356" s="498"/>
      <c r="AB356" s="498"/>
      <c r="AC356" s="498"/>
      <c r="AD356" s="498"/>
      <c r="AE356" s="498"/>
      <c r="AF356" s="498"/>
      <c r="AG356" s="498"/>
      <c r="AH356" s="498"/>
      <c r="AI356" s="498"/>
      <c r="AJ356" s="498"/>
      <c r="AK356" s="498"/>
      <c r="AL356" s="498"/>
      <c r="AM356" s="498"/>
      <c r="AN356" s="498"/>
    </row>
    <row r="357" spans="1:40" ht="15.75" customHeight="1" thickTop="1">
      <c r="B357" s="497"/>
      <c r="C357" s="500"/>
      <c r="D357" s="488" t="s">
        <v>5</v>
      </c>
      <c r="E357" s="501"/>
      <c r="F357" s="502"/>
      <c r="G357" s="489" t="s">
        <v>75</v>
      </c>
      <c r="H357" s="501"/>
      <c r="I357" s="502"/>
      <c r="J357" s="489" t="s">
        <v>7</v>
      </c>
      <c r="K357" s="501"/>
      <c r="L357" s="502"/>
      <c r="M357" s="489" t="s">
        <v>8</v>
      </c>
      <c r="N357" s="502"/>
      <c r="O357" s="488" t="s">
        <v>9</v>
      </c>
      <c r="P357" s="501"/>
      <c r="Q357" s="502"/>
      <c r="R357" s="489" t="s">
        <v>10</v>
      </c>
      <c r="S357" s="503"/>
      <c r="T357" s="498"/>
      <c r="U357" s="498"/>
      <c r="V357" s="504"/>
      <c r="W357" s="498"/>
      <c r="X357" s="498"/>
      <c r="Y357" s="498"/>
      <c r="Z357" s="498"/>
      <c r="AA357" s="498"/>
      <c r="AB357" s="498"/>
      <c r="AC357" s="498"/>
      <c r="AD357" s="498"/>
      <c r="AE357" s="498"/>
      <c r="AF357" s="498"/>
      <c r="AG357" s="498"/>
      <c r="AH357" s="498"/>
      <c r="AI357" s="498"/>
      <c r="AJ357" s="498"/>
      <c r="AK357" s="498"/>
      <c r="AL357" s="498"/>
      <c r="AM357" s="498"/>
      <c r="AN357" s="498"/>
    </row>
    <row r="358" spans="1:40" ht="15.75" customHeight="1" thickBot="1">
      <c r="A358" s="493" t="s">
        <v>120</v>
      </c>
      <c r="B358" s="499" t="s">
        <v>120</v>
      </c>
      <c r="C358" s="513"/>
      <c r="D358" s="235" t="s">
        <v>85</v>
      </c>
      <c r="E358" s="235" t="s">
        <v>105</v>
      </c>
      <c r="F358" s="236" t="s">
        <v>13</v>
      </c>
      <c r="G358" s="237" t="s">
        <v>85</v>
      </c>
      <c r="H358" s="235" t="s">
        <v>105</v>
      </c>
      <c r="I358" s="236" t="s">
        <v>13</v>
      </c>
      <c r="J358" s="138" t="s">
        <v>85</v>
      </c>
      <c r="K358" s="81" t="s">
        <v>105</v>
      </c>
      <c r="L358" s="137" t="s">
        <v>13</v>
      </c>
      <c r="M358" s="138" t="s">
        <v>41</v>
      </c>
      <c r="N358" s="137" t="s">
        <v>13</v>
      </c>
      <c r="O358" s="138" t="s">
        <v>85</v>
      </c>
      <c r="P358" s="81" t="s">
        <v>105</v>
      </c>
      <c r="Q358" s="137" t="s">
        <v>13</v>
      </c>
      <c r="R358" s="138" t="s">
        <v>86</v>
      </c>
      <c r="S358" s="139" t="s">
        <v>13</v>
      </c>
      <c r="T358" s="498"/>
      <c r="U358" s="498"/>
      <c r="V358" s="504"/>
      <c r="W358" s="498"/>
      <c r="X358" s="498"/>
      <c r="Y358" s="498"/>
      <c r="Z358" s="498"/>
      <c r="AA358" s="498"/>
      <c r="AB358" s="498"/>
      <c r="AC358" s="498"/>
      <c r="AD358" s="498"/>
      <c r="AE358" s="498"/>
      <c r="AF358" s="498"/>
      <c r="AG358" s="498"/>
      <c r="AH358" s="498"/>
      <c r="AI358" s="498"/>
      <c r="AJ358" s="498"/>
      <c r="AK358" s="498"/>
      <c r="AL358" s="498"/>
      <c r="AM358" s="498"/>
      <c r="AN358" s="498"/>
    </row>
    <row r="359" spans="1:40" ht="15.75" customHeight="1" thickTop="1">
      <c r="A359" s="493" t="s">
        <v>447</v>
      </c>
      <c r="B359" s="499" t="s">
        <v>120</v>
      </c>
      <c r="C359" s="548" t="s">
        <v>120</v>
      </c>
      <c r="D359" s="707">
        <v>0</v>
      </c>
      <c r="E359" s="708">
        <v>0</v>
      </c>
      <c r="F359" s="709">
        <v>0</v>
      </c>
      <c r="G359" s="707">
        <v>0</v>
      </c>
      <c r="H359" s="708">
        <v>0</v>
      </c>
      <c r="I359" s="707">
        <v>0</v>
      </c>
      <c r="J359" s="710">
        <v>0</v>
      </c>
      <c r="K359" s="694">
        <v>0</v>
      </c>
      <c r="L359" s="711">
        <v>0</v>
      </c>
      <c r="M359" s="695">
        <v>0</v>
      </c>
      <c r="N359" s="696">
        <v>0</v>
      </c>
      <c r="O359" s="710">
        <v>0</v>
      </c>
      <c r="P359" s="694">
        <v>0</v>
      </c>
      <c r="Q359" s="711">
        <v>0</v>
      </c>
      <c r="R359" s="695">
        <v>0</v>
      </c>
      <c r="S359" s="697">
        <v>0</v>
      </c>
      <c r="T359" s="498"/>
      <c r="U359" s="498"/>
      <c r="V359" s="712"/>
      <c r="W359" s="498"/>
      <c r="X359" s="498"/>
      <c r="Y359" s="498"/>
      <c r="Z359" s="498"/>
      <c r="AA359" s="498"/>
      <c r="AB359" s="498"/>
      <c r="AC359" s="498"/>
      <c r="AD359" s="498"/>
      <c r="AE359" s="498"/>
      <c r="AF359" s="498"/>
      <c r="AG359" s="498"/>
      <c r="AH359" s="498"/>
      <c r="AI359" s="498"/>
      <c r="AJ359" s="498"/>
      <c r="AK359" s="498"/>
      <c r="AL359" s="498"/>
      <c r="AM359" s="498"/>
      <c r="AN359" s="498"/>
    </row>
    <row r="360" spans="1:40" ht="15.75" customHeight="1" thickBot="1">
      <c r="A360" s="493" t="s">
        <v>120</v>
      </c>
      <c r="B360" s="499" t="s">
        <v>120</v>
      </c>
      <c r="C360" s="698"/>
      <c r="D360" s="699"/>
      <c r="E360" s="700"/>
      <c r="F360" s="701"/>
      <c r="G360" s="702"/>
      <c r="H360" s="700"/>
      <c r="I360" s="701"/>
      <c r="J360" s="702"/>
      <c r="K360" s="700"/>
      <c r="L360" s="701"/>
      <c r="M360" s="703"/>
      <c r="N360" s="560"/>
      <c r="O360" s="702"/>
      <c r="P360" s="700"/>
      <c r="Q360" s="701"/>
      <c r="R360" s="703"/>
      <c r="S360" s="561"/>
      <c r="T360" s="498"/>
      <c r="U360" s="498"/>
      <c r="V360" s="504"/>
      <c r="W360" s="498"/>
      <c r="X360" s="498"/>
      <c r="Y360" s="498"/>
      <c r="Z360" s="498"/>
      <c r="AA360" s="498"/>
      <c r="AB360" s="498"/>
      <c r="AC360" s="498"/>
      <c r="AD360" s="498"/>
      <c r="AE360" s="498"/>
      <c r="AF360" s="498"/>
      <c r="AG360" s="498"/>
      <c r="AH360" s="498"/>
      <c r="AI360" s="498"/>
      <c r="AJ360" s="498"/>
      <c r="AK360" s="498"/>
      <c r="AL360" s="498"/>
      <c r="AM360" s="498"/>
      <c r="AN360" s="498"/>
    </row>
    <row r="361" spans="1:40" ht="15.75" customHeight="1" thickTop="1">
      <c r="A361" s="493" t="s">
        <v>448</v>
      </c>
      <c r="B361" s="499" t="s">
        <v>120</v>
      </c>
      <c r="C361" s="538" t="s">
        <v>121</v>
      </c>
      <c r="D361" s="713">
        <v>0</v>
      </c>
      <c r="E361" s="647">
        <v>0</v>
      </c>
      <c r="F361" s="649">
        <v>0</v>
      </c>
      <c r="G361" s="648">
        <v>0</v>
      </c>
      <c r="H361" s="647">
        <v>0</v>
      </c>
      <c r="I361" s="649">
        <v>0</v>
      </c>
      <c r="J361" s="648">
        <v>0</v>
      </c>
      <c r="K361" s="647">
        <v>0</v>
      </c>
      <c r="L361" s="649">
        <v>0</v>
      </c>
      <c r="M361" s="714">
        <v>0</v>
      </c>
      <c r="N361" s="715">
        <v>0</v>
      </c>
      <c r="O361" s="648">
        <v>0</v>
      </c>
      <c r="P361" s="647">
        <v>0</v>
      </c>
      <c r="Q361" s="649">
        <v>0</v>
      </c>
      <c r="R361" s="525">
        <v>0</v>
      </c>
      <c r="S361" s="528">
        <v>0</v>
      </c>
      <c r="T361" s="498"/>
      <c r="U361" s="498"/>
      <c r="V361" s="504"/>
      <c r="W361" s="498"/>
      <c r="X361" s="498"/>
      <c r="Y361" s="498"/>
      <c r="Z361" s="498"/>
      <c r="AA361" s="498"/>
      <c r="AB361" s="498"/>
      <c r="AC361" s="498"/>
      <c r="AD361" s="498"/>
      <c r="AE361" s="498"/>
      <c r="AF361" s="498"/>
      <c r="AG361" s="498"/>
      <c r="AH361" s="498"/>
      <c r="AI361" s="498"/>
      <c r="AJ361" s="498"/>
      <c r="AK361" s="498"/>
      <c r="AL361" s="498"/>
      <c r="AM361" s="498"/>
      <c r="AN361" s="498"/>
    </row>
    <row r="362" spans="1:40" ht="15.75" customHeight="1">
      <c r="A362" s="493" t="s">
        <v>120</v>
      </c>
      <c r="B362" s="499" t="s">
        <v>120</v>
      </c>
      <c r="C362" s="80"/>
      <c r="D362" s="504"/>
      <c r="E362" s="504"/>
      <c r="F362" s="545"/>
      <c r="G362" s="525"/>
      <c r="H362" s="716"/>
      <c r="I362" s="545"/>
      <c r="J362" s="525"/>
      <c r="K362" s="504"/>
      <c r="L362" s="524"/>
      <c r="M362" s="525"/>
      <c r="N362" s="717">
        <v>0</v>
      </c>
      <c r="O362" s="525"/>
      <c r="P362" s="504"/>
      <c r="Q362" s="524"/>
      <c r="R362" s="525"/>
      <c r="S362" s="547">
        <v>0</v>
      </c>
      <c r="T362" s="498"/>
      <c r="U362" s="498"/>
      <c r="V362" s="504"/>
      <c r="W362" s="498"/>
      <c r="X362" s="498"/>
      <c r="Y362" s="498"/>
      <c r="Z362" s="498"/>
      <c r="AA362" s="498"/>
      <c r="AB362" s="498"/>
      <c r="AC362" s="498"/>
      <c r="AD362" s="498"/>
      <c r="AE362" s="498"/>
      <c r="AF362" s="498"/>
      <c r="AG362" s="498"/>
      <c r="AH362" s="498"/>
      <c r="AI362" s="498"/>
      <c r="AJ362" s="498"/>
      <c r="AK362" s="498"/>
      <c r="AL362" s="498"/>
      <c r="AM362" s="498"/>
      <c r="AN362" s="498"/>
    </row>
    <row r="363" spans="1:40" ht="15.75" customHeight="1">
      <c r="A363" s="493" t="s">
        <v>449</v>
      </c>
      <c r="B363" s="499" t="s">
        <v>120</v>
      </c>
      <c r="C363" s="80" t="s">
        <v>31</v>
      </c>
      <c r="D363" s="504"/>
      <c r="E363" s="504"/>
      <c r="F363" s="545"/>
      <c r="G363" s="525"/>
      <c r="H363" s="504"/>
      <c r="I363" s="545"/>
      <c r="J363" s="525"/>
      <c r="K363" s="504"/>
      <c r="L363" s="524"/>
      <c r="M363" s="525"/>
      <c r="N363" s="524"/>
      <c r="O363" s="525"/>
      <c r="P363" s="504"/>
      <c r="Q363" s="524"/>
      <c r="R363" s="525"/>
      <c r="S363" s="547"/>
      <c r="T363" s="498"/>
      <c r="U363" s="498"/>
      <c r="V363" s="504"/>
      <c r="W363" s="498"/>
      <c r="X363" s="498"/>
      <c r="Y363" s="498"/>
      <c r="Z363" s="498"/>
      <c r="AA363" s="498"/>
      <c r="AB363" s="498"/>
      <c r="AC363" s="498"/>
      <c r="AD363" s="498"/>
      <c r="AE363" s="498"/>
      <c r="AF363" s="498"/>
      <c r="AG363" s="498"/>
      <c r="AH363" s="498"/>
      <c r="AI363" s="498"/>
      <c r="AJ363" s="498"/>
      <c r="AK363" s="498"/>
      <c r="AL363" s="498"/>
      <c r="AM363" s="498"/>
      <c r="AN363" s="498"/>
    </row>
    <row r="364" spans="1:40" ht="15.75" customHeight="1">
      <c r="A364" s="493" t="s">
        <v>450</v>
      </c>
      <c r="B364" s="499" t="s">
        <v>120</v>
      </c>
      <c r="C364" s="585" t="s">
        <v>42</v>
      </c>
      <c r="D364" s="504"/>
      <c r="E364" s="504"/>
      <c r="F364" s="514">
        <v>0</v>
      </c>
      <c r="G364" s="525"/>
      <c r="H364" s="504"/>
      <c r="I364" s="514">
        <v>0</v>
      </c>
      <c r="J364" s="525"/>
      <c r="K364" s="504"/>
      <c r="L364" s="517">
        <v>0</v>
      </c>
      <c r="M364" s="525"/>
      <c r="N364" s="524"/>
      <c r="O364" s="525"/>
      <c r="P364" s="504"/>
      <c r="Q364" s="517">
        <v>0</v>
      </c>
      <c r="R364" s="525"/>
      <c r="S364" s="518">
        <v>0</v>
      </c>
      <c r="T364" s="498"/>
      <c r="U364" s="498"/>
      <c r="V364" s="504"/>
      <c r="W364" s="498"/>
      <c r="X364" s="498"/>
      <c r="Y364" s="498"/>
      <c r="Z364" s="498"/>
      <c r="AA364" s="498"/>
      <c r="AB364" s="498"/>
      <c r="AC364" s="498"/>
      <c r="AD364" s="498"/>
      <c r="AE364" s="498"/>
      <c r="AF364" s="498"/>
      <c r="AG364" s="498"/>
      <c r="AH364" s="498"/>
      <c r="AI364" s="498"/>
      <c r="AJ364" s="498"/>
      <c r="AK364" s="498"/>
      <c r="AL364" s="498"/>
      <c r="AM364" s="498"/>
      <c r="AN364" s="498"/>
    </row>
    <row r="365" spans="1:40" ht="15.75" customHeight="1">
      <c r="A365" s="493" t="s">
        <v>451</v>
      </c>
      <c r="B365" s="499" t="s">
        <v>120</v>
      </c>
      <c r="C365" s="586" t="s">
        <v>43</v>
      </c>
      <c r="D365" s="82"/>
      <c r="E365" s="504"/>
      <c r="F365" s="508">
        <v>0</v>
      </c>
      <c r="G365" s="84"/>
      <c r="H365" s="504"/>
      <c r="I365" s="508">
        <v>0</v>
      </c>
      <c r="J365" s="525"/>
      <c r="K365" s="504"/>
      <c r="L365" s="508">
        <v>0</v>
      </c>
      <c r="M365" s="525"/>
      <c r="N365" s="545">
        <v>0</v>
      </c>
      <c r="O365" s="525"/>
      <c r="P365" s="504"/>
      <c r="Q365" s="508">
        <v>0</v>
      </c>
      <c r="R365" s="525"/>
      <c r="S365" s="567">
        <v>0</v>
      </c>
      <c r="T365" s="498"/>
      <c r="U365" s="498"/>
      <c r="V365" s="504"/>
      <c r="W365" s="498"/>
      <c r="X365" s="498"/>
      <c r="Y365" s="498"/>
      <c r="Z365" s="498"/>
      <c r="AA365" s="498"/>
      <c r="AB365" s="498"/>
      <c r="AC365" s="498"/>
      <c r="AD365" s="498"/>
      <c r="AE365" s="498"/>
      <c r="AF365" s="498"/>
      <c r="AG365" s="498"/>
      <c r="AH365" s="498"/>
      <c r="AI365" s="498"/>
      <c r="AJ365" s="498"/>
      <c r="AK365" s="498"/>
      <c r="AL365" s="498"/>
      <c r="AM365" s="498"/>
      <c r="AN365" s="498"/>
    </row>
    <row r="366" spans="1:40" ht="15.75" customHeight="1">
      <c r="A366" s="493" t="s">
        <v>452</v>
      </c>
      <c r="B366" s="499" t="s">
        <v>120</v>
      </c>
      <c r="C366" s="585" t="s">
        <v>44</v>
      </c>
      <c r="D366" s="107"/>
      <c r="E366" s="587"/>
      <c r="F366" s="514">
        <v>0</v>
      </c>
      <c r="G366" s="109"/>
      <c r="H366" s="587"/>
      <c r="I366" s="514">
        <v>0</v>
      </c>
      <c r="J366" s="588"/>
      <c r="K366" s="587"/>
      <c r="L366" s="517">
        <v>0</v>
      </c>
      <c r="M366" s="588"/>
      <c r="N366" s="590">
        <v>0</v>
      </c>
      <c r="O366" s="588"/>
      <c r="P366" s="587"/>
      <c r="Q366" s="517">
        <v>0</v>
      </c>
      <c r="R366" s="588"/>
      <c r="S366" s="591">
        <v>0</v>
      </c>
      <c r="T366" s="498"/>
      <c r="U366" s="498"/>
      <c r="V366" s="504"/>
      <c r="W366" s="498"/>
      <c r="X366" s="498"/>
      <c r="Y366" s="498"/>
      <c r="Z366" s="498"/>
      <c r="AA366" s="498"/>
      <c r="AB366" s="498"/>
      <c r="AC366" s="498"/>
      <c r="AD366" s="498"/>
      <c r="AE366" s="498"/>
      <c r="AF366" s="498"/>
      <c r="AG366" s="498"/>
      <c r="AH366" s="498"/>
      <c r="AI366" s="498"/>
      <c r="AJ366" s="498"/>
      <c r="AK366" s="498"/>
      <c r="AL366" s="498"/>
      <c r="AM366" s="498"/>
      <c r="AN366" s="498"/>
    </row>
    <row r="367" spans="1:40" ht="15.75" customHeight="1">
      <c r="A367" s="493" t="s">
        <v>453</v>
      </c>
      <c r="B367" s="499" t="s">
        <v>120</v>
      </c>
      <c r="C367" s="585" t="s">
        <v>45</v>
      </c>
      <c r="D367" s="82"/>
      <c r="E367" s="504"/>
      <c r="F367" s="514">
        <v>0</v>
      </c>
      <c r="G367" s="84"/>
      <c r="H367" s="504"/>
      <c r="I367" s="514">
        <v>0</v>
      </c>
      <c r="J367" s="525"/>
      <c r="K367" s="504"/>
      <c r="L367" s="517">
        <v>0</v>
      </c>
      <c r="M367" s="525"/>
      <c r="N367" s="545">
        <v>0</v>
      </c>
      <c r="O367" s="525"/>
      <c r="P367" s="504"/>
      <c r="Q367" s="517">
        <v>0</v>
      </c>
      <c r="R367" s="525"/>
      <c r="S367" s="567">
        <v>0</v>
      </c>
      <c r="T367" s="498"/>
      <c r="U367" s="498"/>
      <c r="V367" s="504"/>
      <c r="W367" s="498"/>
      <c r="X367" s="498"/>
      <c r="Y367" s="498"/>
      <c r="Z367" s="498"/>
      <c r="AA367" s="498"/>
      <c r="AB367" s="498"/>
      <c r="AC367" s="498"/>
      <c r="AD367" s="498"/>
      <c r="AE367" s="498"/>
      <c r="AF367" s="498"/>
      <c r="AG367" s="498"/>
      <c r="AH367" s="498"/>
      <c r="AI367" s="498"/>
      <c r="AJ367" s="498"/>
      <c r="AK367" s="498"/>
      <c r="AL367" s="498"/>
      <c r="AM367" s="498"/>
      <c r="AN367" s="498"/>
    </row>
    <row r="368" spans="1:40" ht="15.75" hidden="1" customHeight="1">
      <c r="A368" s="493" t="s">
        <v>454</v>
      </c>
      <c r="B368" s="499" t="s">
        <v>120</v>
      </c>
      <c r="C368" s="513" t="s">
        <v>21</v>
      </c>
      <c r="D368" s="82"/>
      <c r="E368" s="504"/>
      <c r="F368" s="514">
        <v>0</v>
      </c>
      <c r="G368" s="84"/>
      <c r="H368" s="504"/>
      <c r="I368" s="514">
        <v>0</v>
      </c>
      <c r="J368" s="525"/>
      <c r="K368" s="504"/>
      <c r="L368" s="517">
        <v>0</v>
      </c>
      <c r="M368" s="525"/>
      <c r="N368" s="545">
        <v>0</v>
      </c>
      <c r="O368" s="525"/>
      <c r="P368" s="504"/>
      <c r="Q368" s="517">
        <v>0</v>
      </c>
      <c r="R368" s="525"/>
      <c r="S368" s="567">
        <v>0</v>
      </c>
      <c r="T368" s="498"/>
      <c r="U368" s="498"/>
      <c r="V368" s="504"/>
      <c r="W368" s="498"/>
      <c r="X368" s="498"/>
      <c r="Y368" s="498"/>
      <c r="Z368" s="498"/>
      <c r="AA368" s="498"/>
      <c r="AB368" s="498"/>
      <c r="AC368" s="498"/>
      <c r="AD368" s="498"/>
      <c r="AE368" s="498"/>
      <c r="AF368" s="498"/>
      <c r="AG368" s="498"/>
      <c r="AH368" s="498"/>
      <c r="AI368" s="498"/>
      <c r="AJ368" s="498"/>
      <c r="AK368" s="498"/>
      <c r="AL368" s="498"/>
      <c r="AM368" s="498"/>
      <c r="AN368" s="498"/>
    </row>
    <row r="369" spans="1:40" ht="15.75" hidden="1" customHeight="1">
      <c r="A369" s="493" t="s">
        <v>454</v>
      </c>
      <c r="B369" s="499" t="s">
        <v>120</v>
      </c>
      <c r="C369" s="513" t="s">
        <v>21</v>
      </c>
      <c r="D369" s="82"/>
      <c r="E369" s="504"/>
      <c r="F369" s="514">
        <v>0</v>
      </c>
      <c r="G369" s="84"/>
      <c r="H369" s="504"/>
      <c r="I369" s="514">
        <v>0</v>
      </c>
      <c r="J369" s="525"/>
      <c r="K369" s="504"/>
      <c r="L369" s="517">
        <v>0</v>
      </c>
      <c r="M369" s="525"/>
      <c r="N369" s="545">
        <v>0</v>
      </c>
      <c r="O369" s="525"/>
      <c r="P369" s="504"/>
      <c r="Q369" s="517">
        <v>0</v>
      </c>
      <c r="R369" s="525"/>
      <c r="S369" s="567">
        <v>0</v>
      </c>
      <c r="T369" s="498"/>
      <c r="U369" s="498"/>
      <c r="V369" s="504"/>
      <c r="W369" s="498"/>
      <c r="X369" s="498"/>
      <c r="Y369" s="498"/>
      <c r="Z369" s="498"/>
      <c r="AA369" s="498"/>
      <c r="AB369" s="498"/>
      <c r="AC369" s="498"/>
      <c r="AD369" s="498"/>
      <c r="AE369" s="498"/>
      <c r="AF369" s="498"/>
      <c r="AG369" s="498"/>
      <c r="AH369" s="498"/>
      <c r="AI369" s="498"/>
      <c r="AJ369" s="498"/>
      <c r="AK369" s="498"/>
      <c r="AL369" s="498"/>
      <c r="AM369" s="498"/>
      <c r="AN369" s="498"/>
    </row>
    <row r="370" spans="1:40" ht="15.75" hidden="1" customHeight="1">
      <c r="A370" s="493" t="s">
        <v>454</v>
      </c>
      <c r="B370" s="499" t="s">
        <v>120</v>
      </c>
      <c r="C370" s="513" t="s">
        <v>21</v>
      </c>
      <c r="D370" s="82"/>
      <c r="E370" s="504"/>
      <c r="F370" s="514">
        <v>0</v>
      </c>
      <c r="G370" s="84"/>
      <c r="H370" s="504"/>
      <c r="I370" s="514">
        <v>0</v>
      </c>
      <c r="J370" s="525"/>
      <c r="K370" s="504"/>
      <c r="L370" s="517">
        <v>0</v>
      </c>
      <c r="M370" s="525"/>
      <c r="N370" s="545">
        <v>0</v>
      </c>
      <c r="O370" s="525"/>
      <c r="P370" s="504"/>
      <c r="Q370" s="517">
        <v>0</v>
      </c>
      <c r="R370" s="525"/>
      <c r="S370" s="567">
        <v>0</v>
      </c>
      <c r="T370" s="498"/>
      <c r="U370" s="498"/>
      <c r="V370" s="504"/>
      <c r="W370" s="498"/>
      <c r="X370" s="498"/>
      <c r="Y370" s="498"/>
      <c r="Z370" s="498"/>
      <c r="AA370" s="498"/>
      <c r="AB370" s="498"/>
      <c r="AC370" s="498"/>
      <c r="AD370" s="498"/>
      <c r="AE370" s="498"/>
      <c r="AF370" s="498"/>
      <c r="AG370" s="498"/>
      <c r="AH370" s="498"/>
      <c r="AI370" s="498"/>
      <c r="AJ370" s="498"/>
      <c r="AK370" s="498"/>
      <c r="AL370" s="498"/>
      <c r="AM370" s="498"/>
      <c r="AN370" s="498"/>
    </row>
    <row r="371" spans="1:40" ht="15.75" customHeight="1">
      <c r="A371" s="493" t="s">
        <v>455</v>
      </c>
      <c r="B371" s="499" t="s">
        <v>120</v>
      </c>
      <c r="C371" s="586" t="s">
        <v>46</v>
      </c>
      <c r="D371" s="82"/>
      <c r="E371" s="504"/>
      <c r="F371" s="508">
        <v>0</v>
      </c>
      <c r="G371" s="84"/>
      <c r="H371" s="504"/>
      <c r="I371" s="508">
        <v>0</v>
      </c>
      <c r="J371" s="525"/>
      <c r="K371" s="504"/>
      <c r="L371" s="508">
        <v>0</v>
      </c>
      <c r="M371" s="525"/>
      <c r="N371" s="545">
        <v>0</v>
      </c>
      <c r="O371" s="525"/>
      <c r="P371" s="504"/>
      <c r="Q371" s="508">
        <v>0</v>
      </c>
      <c r="R371" s="525"/>
      <c r="S371" s="567">
        <v>0</v>
      </c>
      <c r="T371" s="498"/>
      <c r="U371" s="498"/>
      <c r="V371" s="504"/>
      <c r="W371" s="498"/>
      <c r="X371" s="498"/>
      <c r="Y371" s="498"/>
      <c r="Z371" s="498"/>
      <c r="AA371" s="498"/>
      <c r="AB371" s="498"/>
      <c r="AC371" s="498"/>
      <c r="AD371" s="498"/>
      <c r="AE371" s="498"/>
      <c r="AF371" s="498"/>
      <c r="AG371" s="498"/>
      <c r="AH371" s="498"/>
      <c r="AI371" s="498"/>
      <c r="AJ371" s="498"/>
      <c r="AK371" s="498"/>
      <c r="AL371" s="498"/>
      <c r="AM371" s="498"/>
      <c r="AN371" s="498"/>
    </row>
    <row r="372" spans="1:40" ht="15.75" customHeight="1">
      <c r="A372" s="493" t="s">
        <v>456</v>
      </c>
      <c r="B372" s="499" t="s">
        <v>120</v>
      </c>
      <c r="C372" s="585" t="s">
        <v>47</v>
      </c>
      <c r="D372" s="107"/>
      <c r="E372" s="587"/>
      <c r="F372" s="514">
        <v>0</v>
      </c>
      <c r="G372" s="109"/>
      <c r="H372" s="587"/>
      <c r="I372" s="514">
        <v>0</v>
      </c>
      <c r="J372" s="588"/>
      <c r="K372" s="587"/>
      <c r="L372" s="517">
        <v>0</v>
      </c>
      <c r="M372" s="588"/>
      <c r="N372" s="590">
        <v>0</v>
      </c>
      <c r="O372" s="588"/>
      <c r="P372" s="587"/>
      <c r="Q372" s="517">
        <v>0</v>
      </c>
      <c r="R372" s="588"/>
      <c r="S372" s="591">
        <v>0</v>
      </c>
      <c r="T372" s="498"/>
      <c r="U372" s="498"/>
      <c r="V372" s="504"/>
      <c r="W372" s="498"/>
      <c r="X372" s="498"/>
      <c r="Y372" s="498"/>
      <c r="Z372" s="498"/>
      <c r="AA372" s="498"/>
      <c r="AB372" s="498"/>
      <c r="AC372" s="498"/>
      <c r="AD372" s="498"/>
      <c r="AE372" s="498"/>
      <c r="AF372" s="498"/>
      <c r="AG372" s="498"/>
      <c r="AH372" s="498"/>
      <c r="AI372" s="498"/>
      <c r="AJ372" s="498"/>
      <c r="AK372" s="498"/>
      <c r="AL372" s="498"/>
      <c r="AM372" s="498"/>
      <c r="AN372" s="498"/>
    </row>
    <row r="373" spans="1:40" ht="15.75" customHeight="1">
      <c r="A373" s="493" t="s">
        <v>457</v>
      </c>
      <c r="B373" s="499" t="s">
        <v>120</v>
      </c>
      <c r="C373" s="585" t="s">
        <v>48</v>
      </c>
      <c r="D373" s="82"/>
      <c r="E373" s="504"/>
      <c r="F373" s="514">
        <v>0</v>
      </c>
      <c r="G373" s="84"/>
      <c r="H373" s="504"/>
      <c r="I373" s="514">
        <v>0</v>
      </c>
      <c r="J373" s="525"/>
      <c r="K373" s="504"/>
      <c r="L373" s="517">
        <v>0</v>
      </c>
      <c r="M373" s="525"/>
      <c r="N373" s="545">
        <v>0</v>
      </c>
      <c r="O373" s="525"/>
      <c r="P373" s="504"/>
      <c r="Q373" s="517">
        <v>0</v>
      </c>
      <c r="R373" s="525"/>
      <c r="S373" s="567">
        <v>0</v>
      </c>
      <c r="T373" s="498"/>
      <c r="U373" s="498"/>
      <c r="V373" s="504"/>
      <c r="W373" s="498"/>
      <c r="X373" s="498"/>
      <c r="Y373" s="498"/>
      <c r="Z373" s="498"/>
      <c r="AA373" s="498"/>
      <c r="AB373" s="498"/>
      <c r="AC373" s="498"/>
      <c r="AD373" s="498"/>
      <c r="AE373" s="498"/>
      <c r="AF373" s="498"/>
      <c r="AG373" s="498"/>
      <c r="AH373" s="498"/>
      <c r="AI373" s="498"/>
      <c r="AJ373" s="498"/>
      <c r="AK373" s="498"/>
      <c r="AL373" s="498"/>
      <c r="AM373" s="498"/>
      <c r="AN373" s="498"/>
    </row>
    <row r="374" spans="1:40" ht="15.75" customHeight="1">
      <c r="A374" s="493" t="s">
        <v>458</v>
      </c>
      <c r="B374" s="499" t="s">
        <v>120</v>
      </c>
      <c r="C374" s="585" t="s">
        <v>49</v>
      </c>
      <c r="D374" s="82"/>
      <c r="E374" s="504"/>
      <c r="F374" s="514">
        <v>0</v>
      </c>
      <c r="G374" s="84"/>
      <c r="H374" s="504"/>
      <c r="I374" s="514">
        <v>0</v>
      </c>
      <c r="J374" s="525"/>
      <c r="K374" s="504"/>
      <c r="L374" s="517">
        <v>0</v>
      </c>
      <c r="M374" s="525"/>
      <c r="N374" s="545">
        <v>0</v>
      </c>
      <c r="O374" s="525"/>
      <c r="P374" s="504"/>
      <c r="Q374" s="517">
        <v>0</v>
      </c>
      <c r="R374" s="525"/>
      <c r="S374" s="567">
        <v>0</v>
      </c>
      <c r="T374" s="498"/>
      <c r="U374" s="498"/>
      <c r="V374" s="504"/>
      <c r="W374" s="498"/>
      <c r="X374" s="498"/>
      <c r="Y374" s="498"/>
      <c r="Z374" s="498"/>
      <c r="AA374" s="498"/>
      <c r="AB374" s="498"/>
      <c r="AC374" s="498"/>
      <c r="AD374" s="498"/>
      <c r="AE374" s="498"/>
      <c r="AF374" s="498"/>
      <c r="AG374" s="498"/>
      <c r="AH374" s="498"/>
      <c r="AI374" s="498"/>
      <c r="AJ374" s="498"/>
      <c r="AK374" s="498"/>
      <c r="AL374" s="498"/>
      <c r="AM374" s="498"/>
      <c r="AN374" s="498"/>
    </row>
    <row r="375" spans="1:40" ht="15.75" hidden="1" customHeight="1">
      <c r="A375" s="493" t="s">
        <v>454</v>
      </c>
      <c r="B375" s="499" t="s">
        <v>120</v>
      </c>
      <c r="C375" s="513" t="s">
        <v>21</v>
      </c>
      <c r="D375" s="89"/>
      <c r="E375" s="592"/>
      <c r="F375" s="514">
        <v>0</v>
      </c>
      <c r="G375" s="91"/>
      <c r="H375" s="592"/>
      <c r="I375" s="514">
        <v>0</v>
      </c>
      <c r="J375" s="509"/>
      <c r="K375" s="592"/>
      <c r="L375" s="517">
        <v>0</v>
      </c>
      <c r="M375" s="509"/>
      <c r="N375" s="573">
        <v>0</v>
      </c>
      <c r="O375" s="509"/>
      <c r="P375" s="592"/>
      <c r="Q375" s="517">
        <v>0</v>
      </c>
      <c r="R375" s="509"/>
      <c r="S375" s="574">
        <v>0</v>
      </c>
      <c r="T375" s="498"/>
      <c r="U375" s="498"/>
      <c r="V375" s="504"/>
      <c r="W375" s="498"/>
      <c r="X375" s="498"/>
      <c r="Y375" s="498"/>
      <c r="Z375" s="498"/>
      <c r="AA375" s="498"/>
      <c r="AB375" s="498"/>
      <c r="AC375" s="498"/>
      <c r="AD375" s="498"/>
      <c r="AE375" s="498"/>
      <c r="AF375" s="498"/>
      <c r="AG375" s="498"/>
      <c r="AH375" s="498"/>
      <c r="AI375" s="498"/>
      <c r="AJ375" s="498"/>
      <c r="AK375" s="498"/>
      <c r="AL375" s="498"/>
      <c r="AM375" s="498"/>
      <c r="AN375" s="498"/>
    </row>
    <row r="376" spans="1:40" ht="15.75" customHeight="1">
      <c r="A376" s="493" t="s">
        <v>459</v>
      </c>
      <c r="B376" s="499" t="s">
        <v>120</v>
      </c>
      <c r="C376" s="578" t="s">
        <v>50</v>
      </c>
      <c r="D376" s="97" t="s">
        <v>40</v>
      </c>
      <c r="E376" s="579">
        <v>0</v>
      </c>
      <c r="F376" s="580">
        <v>0</v>
      </c>
      <c r="G376" s="100" t="s">
        <v>40</v>
      </c>
      <c r="H376" s="579">
        <v>0</v>
      </c>
      <c r="I376" s="580">
        <v>0</v>
      </c>
      <c r="J376" s="100" t="s">
        <v>40</v>
      </c>
      <c r="K376" s="579">
        <v>0</v>
      </c>
      <c r="L376" s="580">
        <v>0</v>
      </c>
      <c r="M376" s="621"/>
      <c r="N376" s="594">
        <v>0</v>
      </c>
      <c r="O376" s="100" t="s">
        <v>40</v>
      </c>
      <c r="P376" s="579">
        <v>0</v>
      </c>
      <c r="Q376" s="580">
        <v>0</v>
      </c>
      <c r="R376" s="621"/>
      <c r="S376" s="595">
        <v>0</v>
      </c>
      <c r="T376" s="498"/>
      <c r="U376" s="498"/>
      <c r="V376" s="504"/>
      <c r="W376" s="498"/>
      <c r="X376" s="498"/>
      <c r="Y376" s="498"/>
      <c r="Z376" s="498"/>
      <c r="AA376" s="498"/>
      <c r="AB376" s="498"/>
      <c r="AC376" s="498"/>
      <c r="AD376" s="498"/>
      <c r="AE376" s="498"/>
      <c r="AF376" s="498"/>
      <c r="AG376" s="498"/>
      <c r="AH376" s="498"/>
      <c r="AI376" s="498"/>
      <c r="AJ376" s="498"/>
      <c r="AK376" s="498"/>
      <c r="AL376" s="498"/>
      <c r="AM376" s="498"/>
      <c r="AN376" s="498"/>
    </row>
    <row r="377" spans="1:40" ht="15.75" customHeight="1">
      <c r="A377" s="493" t="s">
        <v>460</v>
      </c>
      <c r="B377" s="499" t="s">
        <v>120</v>
      </c>
      <c r="C377" s="686" t="s">
        <v>51</v>
      </c>
      <c r="D377" s="82"/>
      <c r="E377" s="504"/>
      <c r="F377" s="514">
        <v>0</v>
      </c>
      <c r="G377" s="84"/>
      <c r="H377" s="504"/>
      <c r="I377" s="514">
        <v>0</v>
      </c>
      <c r="J377" s="525"/>
      <c r="K377" s="504"/>
      <c r="L377" s="517">
        <v>0</v>
      </c>
      <c r="M377" s="525"/>
      <c r="N377" s="545">
        <v>0</v>
      </c>
      <c r="O377" s="525"/>
      <c r="P377" s="504"/>
      <c r="Q377" s="517">
        <v>0</v>
      </c>
      <c r="R377" s="525"/>
      <c r="S377" s="567">
        <v>0</v>
      </c>
      <c r="T377" s="498"/>
      <c r="U377" s="498"/>
      <c r="V377" s="504"/>
      <c r="W377" s="498"/>
      <c r="X377" s="498"/>
      <c r="Y377" s="498"/>
      <c r="Z377" s="498"/>
      <c r="AA377" s="498"/>
      <c r="AB377" s="498"/>
      <c r="AC377" s="498"/>
      <c r="AD377" s="498"/>
      <c r="AE377" s="498"/>
      <c r="AF377" s="498"/>
      <c r="AG377" s="498"/>
      <c r="AH377" s="498"/>
      <c r="AI377" s="498"/>
      <c r="AJ377" s="498"/>
      <c r="AK377" s="498"/>
      <c r="AL377" s="498"/>
      <c r="AM377" s="498"/>
      <c r="AN377" s="498"/>
    </row>
    <row r="378" spans="1:40" ht="15.75" customHeight="1">
      <c r="A378" s="493" t="s">
        <v>461</v>
      </c>
      <c r="B378" s="499" t="s">
        <v>120</v>
      </c>
      <c r="C378" s="585" t="s">
        <v>52</v>
      </c>
      <c r="D378" s="82"/>
      <c r="E378" s="504"/>
      <c r="F378" s="514">
        <v>0</v>
      </c>
      <c r="G378" s="84"/>
      <c r="H378" s="504"/>
      <c r="I378" s="514">
        <v>0</v>
      </c>
      <c r="J378" s="525"/>
      <c r="K378" s="504"/>
      <c r="L378" s="517">
        <v>0</v>
      </c>
      <c r="M378" s="525"/>
      <c r="N378" s="545">
        <v>0</v>
      </c>
      <c r="O378" s="525"/>
      <c r="P378" s="504"/>
      <c r="Q378" s="517">
        <v>0</v>
      </c>
      <c r="R378" s="525"/>
      <c r="S378" s="567">
        <v>0</v>
      </c>
      <c r="T378" s="498"/>
      <c r="U378" s="498"/>
      <c r="V378" s="504"/>
      <c r="W378" s="498"/>
      <c r="X378" s="498"/>
      <c r="Y378" s="498"/>
      <c r="Z378" s="498"/>
      <c r="AA378" s="498"/>
      <c r="AB378" s="498"/>
      <c r="AC378" s="498"/>
      <c r="AD378" s="498"/>
      <c r="AE378" s="498"/>
      <c r="AF378" s="498"/>
      <c r="AG378" s="498"/>
      <c r="AH378" s="498"/>
      <c r="AI378" s="498"/>
      <c r="AJ378" s="498"/>
      <c r="AK378" s="498"/>
      <c r="AL378" s="498"/>
      <c r="AM378" s="498"/>
      <c r="AN378" s="498"/>
    </row>
    <row r="379" spans="1:40" ht="15.75" customHeight="1">
      <c r="A379" s="493" t="s">
        <v>462</v>
      </c>
      <c r="B379" s="499" t="s">
        <v>120</v>
      </c>
      <c r="C379" s="586" t="s">
        <v>53</v>
      </c>
      <c r="D379" s="89"/>
      <c r="E379" s="592"/>
      <c r="F379" s="508">
        <v>0</v>
      </c>
      <c r="G379" s="91"/>
      <c r="H379" s="592"/>
      <c r="I379" s="508">
        <v>0</v>
      </c>
      <c r="J379" s="509"/>
      <c r="K379" s="592"/>
      <c r="L379" s="508">
        <v>0</v>
      </c>
      <c r="M379" s="509"/>
      <c r="N379" s="573">
        <v>0</v>
      </c>
      <c r="O379" s="509"/>
      <c r="P379" s="592"/>
      <c r="Q379" s="508">
        <v>0</v>
      </c>
      <c r="R379" s="509"/>
      <c r="S379" s="574">
        <v>0</v>
      </c>
      <c r="T379" s="498"/>
      <c r="U379" s="498"/>
      <c r="V379" s="504"/>
      <c r="W379" s="498"/>
      <c r="X379" s="498"/>
      <c r="Y379" s="498"/>
      <c r="Z379" s="498"/>
      <c r="AA379" s="498"/>
      <c r="AB379" s="498"/>
      <c r="AC379" s="498"/>
      <c r="AD379" s="498"/>
      <c r="AE379" s="498"/>
      <c r="AF379" s="498"/>
      <c r="AG379" s="498"/>
      <c r="AH379" s="498"/>
      <c r="AI379" s="498"/>
      <c r="AJ379" s="498"/>
      <c r="AK379" s="498"/>
      <c r="AL379" s="498"/>
      <c r="AM379" s="498"/>
      <c r="AN379" s="498"/>
    </row>
    <row r="380" spans="1:40" ht="15.75" customHeight="1">
      <c r="A380" s="493" t="s">
        <v>463</v>
      </c>
      <c r="B380" s="499" t="s">
        <v>120</v>
      </c>
      <c r="C380" s="585" t="s">
        <v>54</v>
      </c>
      <c r="D380" s="82"/>
      <c r="E380" s="504"/>
      <c r="F380" s="514">
        <v>0</v>
      </c>
      <c r="G380" s="84"/>
      <c r="H380" s="504"/>
      <c r="I380" s="514">
        <v>0</v>
      </c>
      <c r="J380" s="525"/>
      <c r="K380" s="504"/>
      <c r="L380" s="517">
        <v>0</v>
      </c>
      <c r="M380" s="525"/>
      <c r="N380" s="545">
        <v>0</v>
      </c>
      <c r="O380" s="525"/>
      <c r="P380" s="504"/>
      <c r="Q380" s="517">
        <v>0</v>
      </c>
      <c r="R380" s="525"/>
      <c r="S380" s="567">
        <v>0</v>
      </c>
      <c r="T380" s="498"/>
      <c r="U380" s="498"/>
      <c r="V380" s="504"/>
      <c r="W380" s="498"/>
      <c r="X380" s="498"/>
      <c r="Y380" s="498"/>
      <c r="Z380" s="498"/>
      <c r="AA380" s="498"/>
      <c r="AB380" s="498"/>
      <c r="AC380" s="498"/>
      <c r="AD380" s="498"/>
      <c r="AE380" s="498"/>
      <c r="AF380" s="498"/>
      <c r="AG380" s="498"/>
      <c r="AH380" s="498"/>
      <c r="AI380" s="498"/>
      <c r="AJ380" s="498"/>
      <c r="AK380" s="498"/>
      <c r="AL380" s="498"/>
      <c r="AM380" s="498"/>
      <c r="AN380" s="498"/>
    </row>
    <row r="381" spans="1:40" ht="15.75" customHeight="1">
      <c r="A381" s="493" t="s">
        <v>464</v>
      </c>
      <c r="B381" s="499" t="s">
        <v>120</v>
      </c>
      <c r="C381" s="585" t="s">
        <v>55</v>
      </c>
      <c r="D381" s="82"/>
      <c r="E381" s="504"/>
      <c r="F381" s="514">
        <v>0</v>
      </c>
      <c r="G381" s="84"/>
      <c r="H381" s="504"/>
      <c r="I381" s="514">
        <v>0</v>
      </c>
      <c r="J381" s="525"/>
      <c r="K381" s="504"/>
      <c r="L381" s="517">
        <v>0</v>
      </c>
      <c r="M381" s="525"/>
      <c r="N381" s="545">
        <v>0</v>
      </c>
      <c r="O381" s="525"/>
      <c r="P381" s="504"/>
      <c r="Q381" s="517">
        <v>0</v>
      </c>
      <c r="R381" s="525"/>
      <c r="S381" s="567">
        <v>0</v>
      </c>
      <c r="T381" s="498"/>
      <c r="U381" s="498"/>
      <c r="V381" s="504"/>
      <c r="W381" s="498"/>
      <c r="X381" s="498"/>
      <c r="Y381" s="498"/>
      <c r="Z381" s="498"/>
      <c r="AA381" s="498"/>
      <c r="AB381" s="498"/>
      <c r="AC381" s="498"/>
      <c r="AD381" s="498"/>
      <c r="AE381" s="498"/>
      <c r="AF381" s="498"/>
      <c r="AG381" s="498"/>
      <c r="AH381" s="498"/>
      <c r="AI381" s="498"/>
      <c r="AJ381" s="498"/>
      <c r="AK381" s="498"/>
      <c r="AL381" s="498"/>
      <c r="AM381" s="498"/>
      <c r="AN381" s="498"/>
    </row>
    <row r="382" spans="1:40" ht="15.75" customHeight="1">
      <c r="A382" s="493" t="s">
        <v>465</v>
      </c>
      <c r="B382" s="499" t="s">
        <v>120</v>
      </c>
      <c r="C382" s="585" t="s">
        <v>56</v>
      </c>
      <c r="D382" s="89"/>
      <c r="E382" s="592"/>
      <c r="F382" s="508">
        <v>0</v>
      </c>
      <c r="G382" s="91"/>
      <c r="H382" s="592"/>
      <c r="I382" s="508">
        <v>0</v>
      </c>
      <c r="J382" s="509"/>
      <c r="K382" s="592"/>
      <c r="L382" s="508">
        <v>0</v>
      </c>
      <c r="M382" s="509"/>
      <c r="N382" s="573">
        <v>0</v>
      </c>
      <c r="O382" s="509"/>
      <c r="P382" s="592"/>
      <c r="Q382" s="508">
        <v>0</v>
      </c>
      <c r="R382" s="509"/>
      <c r="S382" s="574">
        <v>0</v>
      </c>
      <c r="T382" s="498"/>
      <c r="U382" s="498"/>
      <c r="V382" s="504"/>
      <c r="W382" s="498"/>
      <c r="X382" s="498"/>
      <c r="Y382" s="498"/>
      <c r="Z382" s="498"/>
      <c r="AA382" s="498"/>
      <c r="AB382" s="498"/>
      <c r="AC382" s="498"/>
      <c r="AD382" s="498"/>
      <c r="AE382" s="498"/>
      <c r="AF382" s="498"/>
      <c r="AG382" s="498"/>
      <c r="AH382" s="498"/>
      <c r="AI382" s="498"/>
      <c r="AJ382" s="498"/>
      <c r="AK382" s="498"/>
      <c r="AL382" s="498"/>
      <c r="AM382" s="498"/>
      <c r="AN382" s="498"/>
    </row>
    <row r="383" spans="1:40" ht="20.25" customHeight="1">
      <c r="A383" s="493" t="s">
        <v>466</v>
      </c>
      <c r="B383" s="499" t="s">
        <v>120</v>
      </c>
      <c r="C383" s="686" t="s">
        <v>57</v>
      </c>
      <c r="D383" s="82"/>
      <c r="E383" s="504"/>
      <c r="F383" s="514">
        <v>0</v>
      </c>
      <c r="G383" s="84"/>
      <c r="H383" s="504"/>
      <c r="I383" s="514">
        <v>0</v>
      </c>
      <c r="J383" s="525"/>
      <c r="K383" s="504"/>
      <c r="L383" s="517">
        <v>0</v>
      </c>
      <c r="M383" s="525"/>
      <c r="N383" s="545">
        <v>0</v>
      </c>
      <c r="O383" s="525"/>
      <c r="P383" s="504"/>
      <c r="Q383" s="517">
        <v>0</v>
      </c>
      <c r="R383" s="525"/>
      <c r="S383" s="567">
        <v>0</v>
      </c>
      <c r="T383" s="498"/>
      <c r="U383" s="498"/>
      <c r="V383" s="504"/>
      <c r="W383" s="498"/>
      <c r="X383" s="498"/>
      <c r="Y383" s="498"/>
      <c r="Z383" s="498"/>
      <c r="AA383" s="498"/>
      <c r="AB383" s="498"/>
      <c r="AC383" s="498"/>
      <c r="AD383" s="498"/>
      <c r="AE383" s="498"/>
      <c r="AF383" s="498"/>
      <c r="AG383" s="498"/>
      <c r="AH383" s="498"/>
      <c r="AI383" s="498"/>
      <c r="AJ383" s="498"/>
      <c r="AK383" s="498"/>
      <c r="AL383" s="498"/>
      <c r="AM383" s="498"/>
      <c r="AN383" s="498"/>
    </row>
    <row r="384" spans="1:40" ht="20.25" customHeight="1">
      <c r="A384" s="493" t="s">
        <v>467</v>
      </c>
      <c r="B384" s="499" t="s">
        <v>120</v>
      </c>
      <c r="C384" s="585" t="s">
        <v>58</v>
      </c>
      <c r="D384" s="82"/>
      <c r="E384" s="504"/>
      <c r="F384" s="514">
        <v>0</v>
      </c>
      <c r="G384" s="84"/>
      <c r="H384" s="504"/>
      <c r="I384" s="514">
        <v>0</v>
      </c>
      <c r="J384" s="525"/>
      <c r="K384" s="504"/>
      <c r="L384" s="517">
        <v>0</v>
      </c>
      <c r="M384" s="525"/>
      <c r="N384" s="545">
        <v>0</v>
      </c>
      <c r="O384" s="525"/>
      <c r="P384" s="504"/>
      <c r="Q384" s="517">
        <v>0</v>
      </c>
      <c r="R384" s="525"/>
      <c r="S384" s="567">
        <v>0</v>
      </c>
      <c r="T384" s="498"/>
      <c r="U384" s="498"/>
      <c r="V384" s="504"/>
      <c r="W384" s="498"/>
      <c r="X384" s="498"/>
      <c r="Y384" s="498"/>
      <c r="Z384" s="498"/>
      <c r="AA384" s="498"/>
      <c r="AB384" s="498"/>
      <c r="AC384" s="498"/>
      <c r="AD384" s="498"/>
      <c r="AE384" s="498"/>
      <c r="AF384" s="498"/>
      <c r="AG384" s="498"/>
      <c r="AH384" s="498"/>
      <c r="AI384" s="498"/>
      <c r="AJ384" s="498"/>
      <c r="AK384" s="498"/>
      <c r="AL384" s="498"/>
      <c r="AM384" s="498"/>
      <c r="AN384" s="498"/>
    </row>
    <row r="385" spans="1:40" ht="20.25" customHeight="1">
      <c r="A385" s="493" t="s">
        <v>468</v>
      </c>
      <c r="B385" s="499" t="s">
        <v>120</v>
      </c>
      <c r="C385" s="585" t="s">
        <v>59</v>
      </c>
      <c r="D385" s="82"/>
      <c r="E385" s="504"/>
      <c r="F385" s="514">
        <v>0</v>
      </c>
      <c r="G385" s="84"/>
      <c r="H385" s="504"/>
      <c r="I385" s="514">
        <v>0</v>
      </c>
      <c r="J385" s="525"/>
      <c r="K385" s="504"/>
      <c r="L385" s="517">
        <v>0</v>
      </c>
      <c r="M385" s="525"/>
      <c r="N385" s="545">
        <v>0</v>
      </c>
      <c r="O385" s="525"/>
      <c r="P385" s="504"/>
      <c r="Q385" s="517">
        <v>0</v>
      </c>
      <c r="R385" s="525"/>
      <c r="S385" s="567">
        <v>0</v>
      </c>
      <c r="T385" s="498"/>
      <c r="U385" s="498"/>
      <c r="V385" s="504"/>
      <c r="W385" s="498"/>
      <c r="X385" s="498"/>
      <c r="Y385" s="498"/>
      <c r="Z385" s="498"/>
      <c r="AA385" s="498"/>
      <c r="AB385" s="498"/>
      <c r="AC385" s="498"/>
      <c r="AD385" s="498"/>
      <c r="AE385" s="498"/>
      <c r="AF385" s="498"/>
      <c r="AG385" s="498"/>
      <c r="AH385" s="498"/>
      <c r="AI385" s="498"/>
      <c r="AJ385" s="498"/>
      <c r="AK385" s="498"/>
      <c r="AL385" s="498"/>
      <c r="AM385" s="498"/>
      <c r="AN385" s="498"/>
    </row>
    <row r="386" spans="1:40" ht="20.25" customHeight="1">
      <c r="A386" s="493" t="s">
        <v>469</v>
      </c>
      <c r="B386" s="499" t="s">
        <v>120</v>
      </c>
      <c r="C386" s="585" t="s">
        <v>60</v>
      </c>
      <c r="D386" s="82"/>
      <c r="E386" s="504"/>
      <c r="F386" s="514">
        <v>0</v>
      </c>
      <c r="G386" s="84"/>
      <c r="H386" s="504"/>
      <c r="I386" s="514">
        <v>0</v>
      </c>
      <c r="J386" s="525"/>
      <c r="K386" s="504"/>
      <c r="L386" s="517">
        <v>0</v>
      </c>
      <c r="M386" s="525"/>
      <c r="N386" s="545">
        <v>0</v>
      </c>
      <c r="O386" s="525"/>
      <c r="P386" s="504"/>
      <c r="Q386" s="517">
        <v>0</v>
      </c>
      <c r="R386" s="525"/>
      <c r="S386" s="567">
        <v>0</v>
      </c>
      <c r="T386" s="498"/>
      <c r="U386" s="498"/>
      <c r="V386" s="504"/>
      <c r="W386" s="498"/>
      <c r="X386" s="498"/>
      <c r="Y386" s="498"/>
      <c r="Z386" s="498"/>
      <c r="AA386" s="498"/>
      <c r="AB386" s="498"/>
      <c r="AC386" s="498"/>
      <c r="AD386" s="498"/>
      <c r="AE386" s="498"/>
      <c r="AF386" s="498"/>
      <c r="AG386" s="498"/>
      <c r="AH386" s="498"/>
      <c r="AI386" s="498"/>
      <c r="AJ386" s="498"/>
      <c r="AK386" s="498"/>
      <c r="AL386" s="498"/>
      <c r="AM386" s="498"/>
      <c r="AN386" s="498"/>
    </row>
    <row r="387" spans="1:40" ht="20.25" customHeight="1">
      <c r="A387" s="493" t="s">
        <v>470</v>
      </c>
      <c r="B387" s="499" t="s">
        <v>120</v>
      </c>
      <c r="C387" s="585" t="s">
        <v>61</v>
      </c>
      <c r="D387" s="82"/>
      <c r="E387" s="504"/>
      <c r="F387" s="514">
        <v>0</v>
      </c>
      <c r="G387" s="84"/>
      <c r="H387" s="504"/>
      <c r="I387" s="514">
        <v>0</v>
      </c>
      <c r="J387" s="525"/>
      <c r="K387" s="504"/>
      <c r="L387" s="517">
        <v>0</v>
      </c>
      <c r="M387" s="525"/>
      <c r="N387" s="545">
        <v>0</v>
      </c>
      <c r="O387" s="525"/>
      <c r="P387" s="504"/>
      <c r="Q387" s="517">
        <v>0</v>
      </c>
      <c r="R387" s="525"/>
      <c r="S387" s="567">
        <v>0</v>
      </c>
      <c r="T387" s="498"/>
      <c r="U387" s="498"/>
      <c r="V387" s="504"/>
      <c r="W387" s="498"/>
      <c r="X387" s="498"/>
      <c r="Y387" s="498"/>
      <c r="Z387" s="498"/>
      <c r="AA387" s="498"/>
      <c r="AB387" s="498"/>
      <c r="AC387" s="498"/>
      <c r="AD387" s="498"/>
      <c r="AE387" s="498"/>
      <c r="AF387" s="498"/>
      <c r="AG387" s="498"/>
      <c r="AH387" s="498"/>
      <c r="AI387" s="498"/>
      <c r="AJ387" s="498"/>
      <c r="AK387" s="498"/>
      <c r="AL387" s="498"/>
      <c r="AM387" s="498"/>
      <c r="AN387" s="498"/>
    </row>
    <row r="388" spans="1:40" ht="20.25" customHeight="1">
      <c r="A388" s="493" t="s">
        <v>471</v>
      </c>
      <c r="B388" s="499" t="s">
        <v>120</v>
      </c>
      <c r="C388" s="585" t="s">
        <v>62</v>
      </c>
      <c r="D388" s="82"/>
      <c r="E388" s="504"/>
      <c r="F388" s="514">
        <v>0</v>
      </c>
      <c r="G388" s="84"/>
      <c r="H388" s="504"/>
      <c r="I388" s="514">
        <v>0</v>
      </c>
      <c r="J388" s="525"/>
      <c r="K388" s="504"/>
      <c r="L388" s="517">
        <v>0</v>
      </c>
      <c r="M388" s="525"/>
      <c r="N388" s="545">
        <v>0</v>
      </c>
      <c r="O388" s="525"/>
      <c r="P388" s="504"/>
      <c r="Q388" s="517">
        <v>0</v>
      </c>
      <c r="R388" s="525"/>
      <c r="S388" s="567">
        <v>0</v>
      </c>
      <c r="T388" s="498"/>
      <c r="U388" s="498"/>
      <c r="V388" s="504"/>
      <c r="W388" s="498"/>
      <c r="X388" s="498"/>
      <c r="Y388" s="498"/>
      <c r="Z388" s="498"/>
      <c r="AA388" s="498"/>
      <c r="AB388" s="498"/>
      <c r="AC388" s="498"/>
      <c r="AD388" s="498"/>
      <c r="AE388" s="498"/>
      <c r="AF388" s="498"/>
      <c r="AG388" s="498"/>
      <c r="AH388" s="498"/>
      <c r="AI388" s="498"/>
      <c r="AJ388" s="498"/>
      <c r="AK388" s="498"/>
      <c r="AL388" s="498"/>
      <c r="AM388" s="498"/>
      <c r="AN388" s="498"/>
    </row>
    <row r="389" spans="1:40" ht="20.25" customHeight="1">
      <c r="A389" s="493" t="s">
        <v>472</v>
      </c>
      <c r="B389" s="499" t="s">
        <v>120</v>
      </c>
      <c r="C389" s="585" t="s">
        <v>63</v>
      </c>
      <c r="D389" s="82"/>
      <c r="E389" s="504"/>
      <c r="F389" s="514">
        <v>0</v>
      </c>
      <c r="G389" s="84"/>
      <c r="H389" s="504"/>
      <c r="I389" s="514">
        <v>0</v>
      </c>
      <c r="J389" s="525"/>
      <c r="K389" s="504"/>
      <c r="L389" s="517">
        <v>0</v>
      </c>
      <c r="M389" s="525"/>
      <c r="N389" s="545">
        <v>0</v>
      </c>
      <c r="O389" s="525"/>
      <c r="P389" s="504"/>
      <c r="Q389" s="517">
        <v>0</v>
      </c>
      <c r="R389" s="525"/>
      <c r="S389" s="567">
        <v>0</v>
      </c>
      <c r="T389" s="498"/>
      <c r="U389" s="498"/>
      <c r="V389" s="504"/>
      <c r="W389" s="498"/>
      <c r="X389" s="498"/>
      <c r="Y389" s="498"/>
      <c r="Z389" s="498"/>
      <c r="AA389" s="498"/>
      <c r="AB389" s="498"/>
      <c r="AC389" s="498"/>
      <c r="AD389" s="498"/>
      <c r="AE389" s="498"/>
      <c r="AF389" s="498"/>
      <c r="AG389" s="498"/>
      <c r="AH389" s="498"/>
      <c r="AI389" s="498"/>
      <c r="AJ389" s="498"/>
      <c r="AK389" s="498"/>
      <c r="AL389" s="498"/>
      <c r="AM389" s="498"/>
      <c r="AN389" s="498"/>
    </row>
    <row r="390" spans="1:40" ht="20.25" customHeight="1">
      <c r="A390" s="493" t="s">
        <v>473</v>
      </c>
      <c r="B390" s="499" t="s">
        <v>120</v>
      </c>
      <c r="C390" s="585" t="s">
        <v>64</v>
      </c>
      <c r="D390" s="82"/>
      <c r="E390" s="504"/>
      <c r="F390" s="514">
        <v>0</v>
      </c>
      <c r="G390" s="84"/>
      <c r="H390" s="504"/>
      <c r="I390" s="514">
        <v>0</v>
      </c>
      <c r="J390" s="525"/>
      <c r="K390" s="504"/>
      <c r="L390" s="517">
        <v>0</v>
      </c>
      <c r="M390" s="525"/>
      <c r="N390" s="545">
        <v>0</v>
      </c>
      <c r="O390" s="525"/>
      <c r="P390" s="504"/>
      <c r="Q390" s="517">
        <v>0</v>
      </c>
      <c r="R390" s="525"/>
      <c r="S390" s="567">
        <v>0</v>
      </c>
      <c r="T390" s="498"/>
      <c r="U390" s="498"/>
      <c r="V390" s="504"/>
      <c r="W390" s="498"/>
      <c r="X390" s="498"/>
      <c r="Y390" s="498"/>
      <c r="Z390" s="498"/>
      <c r="AA390" s="498"/>
      <c r="AB390" s="498"/>
      <c r="AC390" s="498"/>
      <c r="AD390" s="498"/>
      <c r="AE390" s="498"/>
      <c r="AF390" s="498"/>
      <c r="AG390" s="498"/>
      <c r="AH390" s="498"/>
      <c r="AI390" s="498"/>
      <c r="AJ390" s="498"/>
      <c r="AK390" s="498"/>
      <c r="AL390" s="498"/>
      <c r="AM390" s="498"/>
      <c r="AN390" s="498"/>
    </row>
    <row r="391" spans="1:40" ht="15.75" hidden="1" customHeight="1">
      <c r="A391" s="493" t="s">
        <v>454</v>
      </c>
      <c r="B391" s="499" t="s">
        <v>120</v>
      </c>
      <c r="C391" s="585" t="s">
        <v>21</v>
      </c>
      <c r="D391" s="82"/>
      <c r="E391" s="504"/>
      <c r="F391" s="514">
        <v>0</v>
      </c>
      <c r="G391" s="84"/>
      <c r="H391" s="504"/>
      <c r="I391" s="514">
        <v>0</v>
      </c>
      <c r="J391" s="525"/>
      <c r="K391" s="504"/>
      <c r="L391" s="517">
        <v>0</v>
      </c>
      <c r="M391" s="525"/>
      <c r="N391" s="545">
        <v>0</v>
      </c>
      <c r="O391" s="525"/>
      <c r="P391" s="504"/>
      <c r="Q391" s="517">
        <v>0</v>
      </c>
      <c r="R391" s="525"/>
      <c r="S391" s="567">
        <v>0</v>
      </c>
      <c r="T391" s="498"/>
      <c r="U391" s="498"/>
      <c r="V391" s="504"/>
      <c r="W391" s="498"/>
      <c r="X391" s="498"/>
      <c r="Y391" s="498"/>
      <c r="Z391" s="498"/>
      <c r="AA391" s="498"/>
      <c r="AB391" s="498"/>
      <c r="AC391" s="498"/>
      <c r="AD391" s="498"/>
      <c r="AE391" s="498"/>
      <c r="AF391" s="498"/>
      <c r="AG391" s="498"/>
      <c r="AH391" s="498"/>
      <c r="AI391" s="498"/>
      <c r="AJ391" s="498"/>
      <c r="AK391" s="498"/>
      <c r="AL391" s="498"/>
      <c r="AM391" s="498"/>
      <c r="AN391" s="498"/>
    </row>
    <row r="392" spans="1:40" ht="15.75" hidden="1" customHeight="1">
      <c r="A392" s="493" t="s">
        <v>454</v>
      </c>
      <c r="B392" s="499" t="s">
        <v>120</v>
      </c>
      <c r="C392" s="585" t="s">
        <v>21</v>
      </c>
      <c r="D392" s="82"/>
      <c r="E392" s="504"/>
      <c r="F392" s="514">
        <v>0</v>
      </c>
      <c r="G392" s="84"/>
      <c r="H392" s="504"/>
      <c r="I392" s="514">
        <v>0</v>
      </c>
      <c r="J392" s="525"/>
      <c r="K392" s="504"/>
      <c r="L392" s="517">
        <v>0</v>
      </c>
      <c r="M392" s="525"/>
      <c r="N392" s="545">
        <v>0</v>
      </c>
      <c r="O392" s="525"/>
      <c r="P392" s="504"/>
      <c r="Q392" s="517">
        <v>0</v>
      </c>
      <c r="R392" s="525"/>
      <c r="S392" s="567">
        <v>0</v>
      </c>
      <c r="T392" s="498"/>
      <c r="U392" s="498"/>
      <c r="V392" s="504"/>
      <c r="W392" s="498"/>
      <c r="X392" s="498"/>
      <c r="Y392" s="498"/>
      <c r="Z392" s="498"/>
      <c r="AA392" s="498"/>
      <c r="AB392" s="498"/>
      <c r="AC392" s="498"/>
      <c r="AD392" s="498"/>
      <c r="AE392" s="498"/>
      <c r="AF392" s="498"/>
      <c r="AG392" s="498"/>
      <c r="AH392" s="498"/>
      <c r="AI392" s="498"/>
      <c r="AJ392" s="498"/>
      <c r="AK392" s="498"/>
      <c r="AL392" s="498"/>
      <c r="AM392" s="498"/>
      <c r="AN392" s="498"/>
    </row>
    <row r="393" spans="1:40" ht="15.75" hidden="1" customHeight="1">
      <c r="A393" s="493" t="s">
        <v>454</v>
      </c>
      <c r="B393" s="499" t="s">
        <v>120</v>
      </c>
      <c r="C393" s="585" t="s">
        <v>21</v>
      </c>
      <c r="D393" s="89"/>
      <c r="E393" s="592"/>
      <c r="F393" s="514">
        <v>0</v>
      </c>
      <c r="G393" s="91"/>
      <c r="H393" s="592"/>
      <c r="I393" s="514">
        <v>0</v>
      </c>
      <c r="J393" s="509"/>
      <c r="K393" s="592"/>
      <c r="L393" s="517">
        <v>0</v>
      </c>
      <c r="M393" s="509"/>
      <c r="N393" s="573">
        <v>0</v>
      </c>
      <c r="O393" s="509"/>
      <c r="P393" s="592"/>
      <c r="Q393" s="517">
        <v>0</v>
      </c>
      <c r="R393" s="509"/>
      <c r="S393" s="574">
        <v>0</v>
      </c>
      <c r="T393" s="498"/>
      <c r="U393" s="498"/>
      <c r="V393" s="504"/>
      <c r="W393" s="498"/>
      <c r="X393" s="498"/>
      <c r="Y393" s="498"/>
      <c r="Z393" s="498"/>
      <c r="AA393" s="498"/>
      <c r="AB393" s="498"/>
      <c r="AC393" s="498"/>
      <c r="AD393" s="498"/>
      <c r="AE393" s="498"/>
      <c r="AF393" s="498"/>
      <c r="AG393" s="498"/>
      <c r="AH393" s="498"/>
      <c r="AI393" s="498"/>
      <c r="AJ393" s="498"/>
      <c r="AK393" s="498"/>
      <c r="AL393" s="498"/>
      <c r="AM393" s="498"/>
      <c r="AN393" s="498"/>
    </row>
    <row r="394" spans="1:40" ht="15.75" customHeight="1">
      <c r="B394" s="497"/>
      <c r="C394" s="578" t="s">
        <v>65</v>
      </c>
      <c r="D394" s="97" t="s">
        <v>40</v>
      </c>
      <c r="E394" s="579">
        <v>0</v>
      </c>
      <c r="F394" s="580">
        <v>0</v>
      </c>
      <c r="G394" s="100" t="s">
        <v>40</v>
      </c>
      <c r="H394" s="579">
        <v>0</v>
      </c>
      <c r="I394" s="580">
        <v>0</v>
      </c>
      <c r="J394" s="100" t="s">
        <v>40</v>
      </c>
      <c r="K394" s="579">
        <v>0</v>
      </c>
      <c r="L394" s="580">
        <v>0</v>
      </c>
      <c r="M394" s="621"/>
      <c r="N394" s="580">
        <v>0</v>
      </c>
      <c r="O394" s="100" t="s">
        <v>40</v>
      </c>
      <c r="P394" s="579">
        <v>0</v>
      </c>
      <c r="Q394" s="580">
        <v>0</v>
      </c>
      <c r="R394" s="621"/>
      <c r="S394" s="595">
        <v>0</v>
      </c>
      <c r="T394" s="498"/>
      <c r="U394" s="498"/>
      <c r="V394" s="504"/>
      <c r="W394" s="498"/>
      <c r="X394" s="498"/>
      <c r="Y394" s="498"/>
      <c r="Z394" s="498"/>
      <c r="AA394" s="498"/>
      <c r="AB394" s="498"/>
      <c r="AC394" s="498"/>
      <c r="AD394" s="498"/>
      <c r="AE394" s="498"/>
      <c r="AF394" s="498"/>
      <c r="AG394" s="498"/>
      <c r="AH394" s="498"/>
      <c r="AI394" s="498"/>
      <c r="AJ394" s="498"/>
      <c r="AK394" s="498"/>
      <c r="AL394" s="498"/>
      <c r="AM394" s="498"/>
      <c r="AN394" s="498"/>
    </row>
    <row r="395" spans="1:40" ht="15.75" customHeight="1">
      <c r="B395" s="497"/>
      <c r="C395" s="513"/>
      <c r="D395" s="504"/>
      <c r="E395" s="504"/>
      <c r="F395" s="524"/>
      <c r="G395" s="525"/>
      <c r="H395" s="504"/>
      <c r="I395" s="524"/>
      <c r="J395" s="525"/>
      <c r="K395" s="504"/>
      <c r="L395" s="524"/>
      <c r="M395" s="564"/>
      <c r="N395" s="563"/>
      <c r="O395" s="525"/>
      <c r="P395" s="504"/>
      <c r="Q395" s="524"/>
      <c r="R395" s="525"/>
      <c r="S395" s="718"/>
      <c r="T395" s="719"/>
      <c r="U395" s="719"/>
      <c r="V395" s="504"/>
      <c r="W395" s="498"/>
      <c r="X395" s="498"/>
      <c r="Y395" s="498"/>
      <c r="Z395" s="498"/>
      <c r="AA395" s="498"/>
      <c r="AB395" s="498"/>
      <c r="AC395" s="498"/>
      <c r="AD395" s="498"/>
      <c r="AE395" s="498"/>
      <c r="AF395" s="498"/>
      <c r="AG395" s="498"/>
      <c r="AH395" s="498"/>
      <c r="AI395" s="498"/>
      <c r="AJ395" s="498"/>
      <c r="AK395" s="498"/>
      <c r="AL395" s="498"/>
      <c r="AM395" s="498"/>
      <c r="AN395" s="498"/>
    </row>
    <row r="396" spans="1:40" ht="15.75" customHeight="1">
      <c r="B396" s="497"/>
      <c r="C396" s="578" t="s">
        <v>66</v>
      </c>
      <c r="D396" s="97" t="s">
        <v>40</v>
      </c>
      <c r="E396" s="579">
        <v>0</v>
      </c>
      <c r="F396" s="580">
        <v>0</v>
      </c>
      <c r="G396" s="100" t="s">
        <v>40</v>
      </c>
      <c r="H396" s="579">
        <v>0</v>
      </c>
      <c r="I396" s="580">
        <v>0</v>
      </c>
      <c r="J396" s="100" t="s">
        <v>40</v>
      </c>
      <c r="K396" s="579">
        <v>0</v>
      </c>
      <c r="L396" s="580">
        <v>0</v>
      </c>
      <c r="M396" s="720"/>
      <c r="N396" s="580">
        <v>0</v>
      </c>
      <c r="O396" s="100" t="s">
        <v>40</v>
      </c>
      <c r="P396" s="579">
        <v>0</v>
      </c>
      <c r="Q396" s="580">
        <v>0</v>
      </c>
      <c r="R396" s="583"/>
      <c r="S396" s="584">
        <v>0</v>
      </c>
      <c r="T396" s="719"/>
      <c r="U396" s="719"/>
      <c r="V396" s="504"/>
      <c r="W396" s="498"/>
      <c r="X396" s="498"/>
      <c r="Y396" s="498"/>
      <c r="Z396" s="498"/>
      <c r="AA396" s="498"/>
      <c r="AB396" s="498"/>
      <c r="AC396" s="498"/>
      <c r="AD396" s="498"/>
      <c r="AE396" s="498"/>
      <c r="AF396" s="498"/>
      <c r="AG396" s="498"/>
      <c r="AH396" s="498"/>
      <c r="AI396" s="498"/>
      <c r="AJ396" s="498"/>
      <c r="AK396" s="498"/>
      <c r="AL396" s="498"/>
      <c r="AM396" s="498"/>
      <c r="AN396" s="498"/>
    </row>
    <row r="397" spans="1:40" ht="15.75" customHeight="1" thickBot="1">
      <c r="B397" s="497"/>
      <c r="C397" s="513"/>
      <c r="D397" s="504"/>
      <c r="E397" s="504"/>
      <c r="F397" s="545"/>
      <c r="G397" s="525"/>
      <c r="H397" s="504"/>
      <c r="I397" s="545"/>
      <c r="J397" s="525"/>
      <c r="K397" s="504"/>
      <c r="L397" s="545"/>
      <c r="M397" s="564"/>
      <c r="N397" s="563"/>
      <c r="O397" s="525"/>
      <c r="P397" s="504"/>
      <c r="Q397" s="545"/>
      <c r="R397" s="525"/>
      <c r="S397" s="718"/>
      <c r="T397" s="498"/>
      <c r="U397" s="498"/>
      <c r="V397" s="504"/>
      <c r="W397" s="498"/>
      <c r="X397" s="498"/>
      <c r="Y397" s="498"/>
      <c r="Z397" s="498"/>
      <c r="AA397" s="498"/>
      <c r="AB397" s="498"/>
      <c r="AC397" s="498"/>
      <c r="AD397" s="498"/>
      <c r="AE397" s="498"/>
      <c r="AF397" s="498"/>
      <c r="AG397" s="498"/>
      <c r="AH397" s="498"/>
      <c r="AI397" s="498"/>
      <c r="AJ397" s="498"/>
      <c r="AK397" s="498"/>
      <c r="AL397" s="498"/>
      <c r="AM397" s="498"/>
      <c r="AN397" s="498"/>
    </row>
    <row r="398" spans="1:40" ht="15.75" customHeight="1" thickTop="1" thickBot="1">
      <c r="B398" s="497"/>
      <c r="C398" s="721" t="s">
        <v>73</v>
      </c>
      <c r="D398" s="722"/>
      <c r="E398" s="722"/>
      <c r="F398" s="723">
        <v>0</v>
      </c>
      <c r="G398" s="724"/>
      <c r="H398" s="722"/>
      <c r="I398" s="723">
        <v>0</v>
      </c>
      <c r="J398" s="725"/>
      <c r="K398" s="726"/>
      <c r="L398" s="723">
        <v>0</v>
      </c>
      <c r="M398" s="724"/>
      <c r="N398" s="723">
        <v>0</v>
      </c>
      <c r="O398" s="725"/>
      <c r="P398" s="726"/>
      <c r="Q398" s="723">
        <v>0</v>
      </c>
      <c r="R398" s="725"/>
      <c r="S398" s="727">
        <v>0</v>
      </c>
      <c r="T398" s="498"/>
      <c r="U398" s="498"/>
      <c r="V398" s="504"/>
      <c r="W398" s="498"/>
      <c r="X398" s="498"/>
      <c r="Y398" s="498"/>
      <c r="Z398" s="498"/>
      <c r="AA398" s="498"/>
      <c r="AB398" s="498"/>
      <c r="AC398" s="498"/>
      <c r="AD398" s="498"/>
      <c r="AE398" s="498"/>
      <c r="AF398" s="498"/>
      <c r="AG398" s="498"/>
      <c r="AH398" s="498"/>
      <c r="AI398" s="498"/>
      <c r="AJ398" s="498"/>
      <c r="AK398" s="498"/>
      <c r="AL398" s="498"/>
      <c r="AM398" s="498"/>
      <c r="AN398" s="498"/>
    </row>
    <row r="399" spans="1:40" ht="15.75" customHeight="1" thickTop="1">
      <c r="B399" s="497"/>
      <c r="C399" s="562"/>
      <c r="D399" s="82"/>
      <c r="E399" s="504"/>
      <c r="F399" s="593"/>
      <c r="G399" s="82"/>
      <c r="H399" s="504"/>
      <c r="I399" s="593"/>
      <c r="J399" s="562"/>
      <c r="K399" s="562"/>
      <c r="L399" s="593"/>
      <c r="M399" s="562"/>
      <c r="N399" s="593"/>
      <c r="O399" s="562"/>
      <c r="P399" s="562"/>
      <c r="Q399" s="593"/>
      <c r="R399" s="562"/>
      <c r="S399" s="593"/>
      <c r="T399" s="504"/>
      <c r="U399" s="504"/>
      <c r="V399" s="504"/>
      <c r="W399" s="504"/>
      <c r="X399" s="504"/>
      <c r="Y399" s="504"/>
      <c r="Z399" s="504"/>
      <c r="AA399" s="504"/>
      <c r="AB399" s="504"/>
      <c r="AC399" s="504"/>
      <c r="AD399" s="504"/>
      <c r="AE399" s="504"/>
      <c r="AF399" s="504"/>
      <c r="AG399" s="504"/>
      <c r="AH399" s="504"/>
      <c r="AI399" s="504"/>
      <c r="AJ399" s="504"/>
      <c r="AK399" s="504"/>
      <c r="AL399" s="504"/>
      <c r="AM399" s="504"/>
      <c r="AN399" s="504"/>
    </row>
    <row r="400" spans="1:40" ht="15.75" customHeight="1">
      <c r="B400" s="497"/>
      <c r="C400" s="504"/>
      <c r="D400" s="504"/>
      <c r="E400" s="504"/>
      <c r="F400" s="504"/>
      <c r="G400" s="504"/>
      <c r="H400" s="504"/>
      <c r="I400" s="504"/>
      <c r="J400" s="565"/>
      <c r="K400" s="504"/>
      <c r="L400" s="498"/>
      <c r="M400" s="504"/>
      <c r="N400" s="504"/>
      <c r="O400" s="504"/>
      <c r="P400" s="504"/>
      <c r="Q400" s="504"/>
      <c r="R400" s="498"/>
      <c r="S400" s="728"/>
      <c r="T400" s="498"/>
      <c r="U400" s="498"/>
      <c r="V400" s="504"/>
      <c r="W400" s="498"/>
      <c r="X400" s="498"/>
      <c r="Y400" s="498"/>
      <c r="Z400" s="498"/>
      <c r="AA400" s="498"/>
      <c r="AB400" s="498"/>
      <c r="AC400" s="498"/>
      <c r="AD400" s="498"/>
      <c r="AE400" s="498"/>
      <c r="AF400" s="498"/>
      <c r="AG400" s="498"/>
      <c r="AH400" s="498"/>
      <c r="AI400" s="498"/>
      <c r="AJ400" s="498"/>
      <c r="AK400" s="498"/>
      <c r="AL400" s="498"/>
      <c r="AM400" s="498"/>
      <c r="AN400" s="498"/>
    </row>
    <row r="401" spans="1:61" ht="44.25" customHeight="1">
      <c r="B401" s="497"/>
      <c r="C401" s="498" t="s">
        <v>474</v>
      </c>
      <c r="D401" s="498"/>
      <c r="E401" s="498" t="s">
        <v>475</v>
      </c>
      <c r="F401" s="498"/>
      <c r="G401" s="498"/>
      <c r="H401" s="498"/>
      <c r="I401" s="498"/>
      <c r="J401" s="498"/>
      <c r="K401" s="498"/>
      <c r="L401" s="498"/>
      <c r="M401" s="729"/>
      <c r="N401" s="730"/>
      <c r="O401" s="729"/>
      <c r="P401" s="498"/>
      <c r="Q401" s="729"/>
      <c r="R401" s="498"/>
      <c r="S401" s="731"/>
      <c r="T401" s="498"/>
      <c r="U401" s="498"/>
      <c r="V401" s="496" t="s">
        <v>228</v>
      </c>
      <c r="W401" s="496"/>
      <c r="X401" s="496"/>
      <c r="Y401" s="496"/>
      <c r="Z401" s="494"/>
      <c r="AA401" s="494"/>
      <c r="AB401" s="496"/>
      <c r="AC401" s="496"/>
      <c r="AD401" s="494"/>
      <c r="AE401" s="3" t="s">
        <v>122</v>
      </c>
      <c r="AF401" s="496"/>
      <c r="AG401" s="496"/>
      <c r="AH401" s="494"/>
      <c r="AI401" s="494"/>
      <c r="AJ401" s="259"/>
      <c r="AK401" s="2"/>
      <c r="AL401" s="494"/>
      <c r="AM401" s="496"/>
      <c r="AN401" s="496"/>
      <c r="AO401" s="5" t="s">
        <v>229</v>
      </c>
      <c r="AP401" s="719"/>
      <c r="AQ401" s="719"/>
      <c r="AR401" s="719"/>
      <c r="AS401" s="719"/>
      <c r="AT401" s="719"/>
      <c r="AU401" s="719"/>
      <c r="AV401" s="719"/>
      <c r="AW401" s="719"/>
      <c r="AX401" s="719"/>
      <c r="AY401" s="719"/>
      <c r="AZ401" s="719"/>
      <c r="BA401" s="719"/>
      <c r="BB401" s="719"/>
      <c r="BC401" s="719"/>
      <c r="BD401" s="719"/>
      <c r="BE401" s="719"/>
      <c r="BF401" s="719"/>
      <c r="BG401" s="719"/>
      <c r="BH401" s="719"/>
      <c r="BI401" s="719"/>
    </row>
    <row r="402" spans="1:61" ht="15.75" customHeight="1" thickBot="1">
      <c r="B402" s="497"/>
      <c r="C402" s="498" t="s">
        <v>474</v>
      </c>
      <c r="D402" s="498"/>
      <c r="E402" s="498"/>
      <c r="F402" s="498"/>
      <c r="G402" s="498"/>
      <c r="H402" s="498"/>
      <c r="I402" s="498"/>
      <c r="J402" s="498"/>
      <c r="K402" s="498"/>
      <c r="L402" s="498"/>
      <c r="M402" s="729"/>
      <c r="N402" s="730"/>
      <c r="O402" s="729"/>
      <c r="P402" s="732"/>
      <c r="Q402" s="729"/>
      <c r="R402" s="498"/>
      <c r="S402" s="731"/>
      <c r="T402" s="498"/>
      <c r="U402" s="498"/>
      <c r="V402" s="260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498"/>
      <c r="AM402" s="498"/>
      <c r="AN402" s="498"/>
      <c r="AO402" s="498"/>
      <c r="AP402" s="719"/>
      <c r="AQ402" s="719"/>
      <c r="AR402" s="719"/>
      <c r="AS402" s="719"/>
      <c r="AT402" s="719"/>
      <c r="AU402" s="719"/>
      <c r="AV402" s="719"/>
      <c r="AW402" s="719"/>
      <c r="AX402" s="719"/>
      <c r="AY402" s="719"/>
      <c r="AZ402" s="719"/>
      <c r="BA402" s="719"/>
      <c r="BB402" s="719"/>
      <c r="BC402" s="719"/>
      <c r="BD402" s="719"/>
      <c r="BE402" s="719"/>
      <c r="BF402" s="719"/>
      <c r="BG402" s="719"/>
      <c r="BH402" s="719"/>
      <c r="BI402" s="719"/>
    </row>
    <row r="403" spans="1:61" ht="15.75" customHeight="1" thickTop="1" thickBot="1">
      <c r="A403" s="493" t="s">
        <v>476</v>
      </c>
      <c r="B403" s="497"/>
      <c r="C403" s="498" t="s">
        <v>474</v>
      </c>
      <c r="D403" s="498"/>
      <c r="E403" s="498"/>
      <c r="F403" s="498"/>
      <c r="G403" s="498"/>
      <c r="H403" s="498"/>
      <c r="I403" s="498"/>
      <c r="J403" s="498"/>
      <c r="K403" s="498"/>
      <c r="L403" s="498"/>
      <c r="M403" s="729"/>
      <c r="N403" s="730"/>
      <c r="O403" s="729"/>
      <c r="P403" s="732"/>
      <c r="Q403" s="729"/>
      <c r="R403" s="498"/>
      <c r="S403" s="731"/>
      <c r="T403" s="498"/>
      <c r="U403" s="498"/>
      <c r="V403" s="261"/>
      <c r="W403" s="490"/>
      <c r="X403" s="490" t="s">
        <v>123</v>
      </c>
      <c r="Y403" s="733"/>
      <c r="Z403" s="734"/>
      <c r="AA403" s="487" t="s">
        <v>75</v>
      </c>
      <c r="AB403" s="733"/>
      <c r="AC403" s="734"/>
      <c r="AD403" s="487" t="s">
        <v>7</v>
      </c>
      <c r="AE403" s="733"/>
      <c r="AF403" s="734"/>
      <c r="AG403" s="487" t="s">
        <v>124</v>
      </c>
      <c r="AH403" s="733"/>
      <c r="AI403" s="734"/>
      <c r="AJ403" s="487" t="s">
        <v>125</v>
      </c>
      <c r="AK403" s="733"/>
      <c r="AL403" s="733"/>
      <c r="AM403" s="487" t="s">
        <v>126</v>
      </c>
      <c r="AN403" s="733"/>
      <c r="AO403" s="735"/>
      <c r="AP403" s="719"/>
      <c r="AQ403" s="719"/>
      <c r="AR403" s="719"/>
      <c r="AS403" s="719"/>
      <c r="AT403" s="719"/>
      <c r="AU403" s="719"/>
      <c r="AV403" s="719"/>
      <c r="AW403" s="719"/>
      <c r="AX403" s="719"/>
      <c r="AY403" s="719"/>
      <c r="AZ403" s="719"/>
      <c r="BA403" s="719"/>
      <c r="BB403" s="719"/>
      <c r="BC403" s="719"/>
      <c r="BD403" s="719"/>
      <c r="BE403" s="719"/>
      <c r="BF403" s="719"/>
      <c r="BG403" s="719"/>
      <c r="BH403" s="719"/>
      <c r="BI403" s="719"/>
    </row>
    <row r="404" spans="1:61" ht="15.75" customHeight="1">
      <c r="A404" s="493" t="s">
        <v>476</v>
      </c>
      <c r="B404" s="497"/>
      <c r="C404" s="498" t="s">
        <v>474</v>
      </c>
      <c r="D404" s="498"/>
      <c r="E404" s="498"/>
      <c r="F404" s="498"/>
      <c r="G404" s="498"/>
      <c r="H404" s="498"/>
      <c r="I404" s="498"/>
      <c r="J404" s="498"/>
      <c r="K404" s="498"/>
      <c r="M404" s="736"/>
      <c r="N404" s="737"/>
      <c r="O404" s="729"/>
      <c r="P404" s="732"/>
      <c r="Q404" s="738"/>
      <c r="R404" s="498"/>
      <c r="S404" s="731"/>
      <c r="T404" s="498"/>
      <c r="U404" s="498"/>
      <c r="V404" s="568"/>
      <c r="W404" s="263" t="s">
        <v>127</v>
      </c>
      <c r="X404" s="263" t="s">
        <v>128</v>
      </c>
      <c r="Y404" s="263" t="s">
        <v>129</v>
      </c>
      <c r="Z404" s="264" t="s">
        <v>130</v>
      </c>
      <c r="AA404" s="263" t="s">
        <v>128</v>
      </c>
      <c r="AB404" s="263" t="s">
        <v>129</v>
      </c>
      <c r="AC404" s="264" t="s">
        <v>130</v>
      </c>
      <c r="AD404" s="265" t="s">
        <v>128</v>
      </c>
      <c r="AE404" s="263" t="s">
        <v>129</v>
      </c>
      <c r="AF404" s="263" t="s">
        <v>130</v>
      </c>
      <c r="AG404" s="265" t="s">
        <v>131</v>
      </c>
      <c r="AH404" s="263" t="s">
        <v>132</v>
      </c>
      <c r="AI404" s="263" t="s">
        <v>133</v>
      </c>
      <c r="AJ404" s="265" t="s">
        <v>128</v>
      </c>
      <c r="AK404" s="263" t="s">
        <v>129</v>
      </c>
      <c r="AL404" s="263" t="s">
        <v>130</v>
      </c>
      <c r="AM404" s="266" t="s">
        <v>131</v>
      </c>
      <c r="AN404" s="263" t="s">
        <v>132</v>
      </c>
      <c r="AO404" s="142" t="s">
        <v>133</v>
      </c>
      <c r="AP404" s="719"/>
      <c r="AQ404" s="719"/>
      <c r="AR404" s="719"/>
      <c r="AS404" s="719"/>
      <c r="AT404" s="719"/>
      <c r="AU404" s="719"/>
      <c r="AV404" s="719"/>
      <c r="AW404" s="719"/>
      <c r="AX404" s="719"/>
      <c r="AY404" s="719"/>
      <c r="AZ404" s="719"/>
      <c r="BA404" s="719"/>
      <c r="BB404" s="719"/>
      <c r="BC404" s="719"/>
      <c r="BD404" s="719"/>
      <c r="BE404" s="719"/>
      <c r="BF404" s="719"/>
      <c r="BG404" s="719"/>
      <c r="BH404" s="719"/>
      <c r="BI404" s="719"/>
    </row>
    <row r="405" spans="1:61" ht="15.75" customHeight="1">
      <c r="A405" s="493" t="s">
        <v>16</v>
      </c>
      <c r="B405" s="497"/>
      <c r="C405" s="498" t="s">
        <v>474</v>
      </c>
      <c r="D405" s="498"/>
      <c r="E405" s="498"/>
      <c r="F405" s="498"/>
      <c r="G405" s="498"/>
      <c r="H405" s="498"/>
      <c r="I405" s="498"/>
      <c r="J405" s="729"/>
      <c r="K405" s="739"/>
      <c r="L405" s="498"/>
      <c r="M405" s="729"/>
      <c r="N405" s="730"/>
      <c r="O405" s="730"/>
      <c r="P405" s="732"/>
      <c r="Q405" s="740"/>
      <c r="R405" s="719"/>
      <c r="S405" s="731"/>
      <c r="T405" s="719"/>
      <c r="U405" s="719"/>
      <c r="V405" s="586" t="s">
        <v>16</v>
      </c>
      <c r="W405" s="741"/>
      <c r="X405" s="741"/>
      <c r="Y405" s="741"/>
      <c r="Z405" s="742">
        <v>5458038.9390158495</v>
      </c>
      <c r="AA405" s="741"/>
      <c r="AB405" s="741"/>
      <c r="AC405" s="742">
        <v>5458038.9390158495</v>
      </c>
      <c r="AD405" s="743"/>
      <c r="AE405" s="744"/>
      <c r="AF405" s="744">
        <v>3776991.0300000003</v>
      </c>
      <c r="AG405" s="743"/>
      <c r="AH405" s="744"/>
      <c r="AI405" s="745"/>
      <c r="AJ405" s="743"/>
      <c r="AK405" s="744"/>
      <c r="AL405" s="744">
        <v>5242313.2799999993</v>
      </c>
      <c r="AM405" s="746"/>
      <c r="AN405" s="744"/>
      <c r="AO405" s="747"/>
      <c r="AP405" s="719"/>
      <c r="AQ405" s="719"/>
      <c r="AR405" s="719"/>
      <c r="AS405" s="719"/>
      <c r="AT405" s="719"/>
      <c r="AU405" s="719"/>
      <c r="AV405" s="719"/>
      <c r="AW405" s="719"/>
      <c r="AX405" s="719"/>
      <c r="AY405" s="719"/>
      <c r="AZ405" s="719"/>
      <c r="BA405" s="719"/>
      <c r="BB405" s="719"/>
      <c r="BC405" s="719"/>
      <c r="BD405" s="719"/>
      <c r="BE405" s="719"/>
      <c r="BF405" s="719"/>
      <c r="BG405" s="719"/>
      <c r="BH405" s="719"/>
      <c r="BI405" s="719"/>
    </row>
    <row r="406" spans="1:61" ht="15.75" customHeight="1">
      <c r="A406" s="493" t="s">
        <v>134</v>
      </c>
      <c r="B406" s="497"/>
      <c r="C406" s="498" t="s">
        <v>474</v>
      </c>
      <c r="D406" s="498"/>
      <c r="E406" s="498"/>
      <c r="F406" s="498"/>
      <c r="G406" s="498"/>
      <c r="H406" s="498"/>
      <c r="I406" s="498"/>
      <c r="J406" s="729"/>
      <c r="K406" s="739"/>
      <c r="L406" s="498"/>
      <c r="M406" s="729"/>
      <c r="N406" s="730"/>
      <c r="O406" s="729"/>
      <c r="P406" s="732"/>
      <c r="Q406" s="729"/>
      <c r="R406" s="719"/>
      <c r="S406" s="731"/>
      <c r="T406" s="719"/>
      <c r="U406" s="719"/>
      <c r="V406" s="748" t="s">
        <v>134</v>
      </c>
      <c r="W406" s="749"/>
      <c r="X406" s="749"/>
      <c r="Y406" s="749"/>
      <c r="Z406" s="750">
        <v>748131.54660489713</v>
      </c>
      <c r="AA406" s="749"/>
      <c r="AB406" s="749"/>
      <c r="AC406" s="750">
        <v>748131.54660489713</v>
      </c>
      <c r="AD406" s="751"/>
      <c r="AE406" s="752"/>
      <c r="AF406" s="752">
        <v>649075.43999999994</v>
      </c>
      <c r="AG406" s="751"/>
      <c r="AH406" s="752">
        <v>-99056.106604897184</v>
      </c>
      <c r="AI406" s="753">
        <v>-0.13240466473366166</v>
      </c>
      <c r="AJ406" s="751"/>
      <c r="AK406" s="752"/>
      <c r="AL406" s="752">
        <v>640912.73999999987</v>
      </c>
      <c r="AM406" s="754"/>
      <c r="AN406" s="752">
        <v>8162.7000000000698</v>
      </c>
      <c r="AO406" s="755">
        <v>1.273605514535422E-2</v>
      </c>
      <c r="AP406" s="719"/>
      <c r="AQ406" s="719"/>
      <c r="AR406" s="719"/>
      <c r="AS406" s="719"/>
      <c r="AT406" s="719"/>
      <c r="AU406" s="719"/>
      <c r="AV406" s="719"/>
      <c r="AW406" s="719"/>
      <c r="AX406" s="719"/>
      <c r="AY406" s="719"/>
      <c r="AZ406" s="719"/>
      <c r="BA406" s="719"/>
      <c r="BB406" s="719"/>
      <c r="BC406" s="719"/>
      <c r="BD406" s="719"/>
      <c r="BE406" s="719"/>
      <c r="BF406" s="719"/>
      <c r="BG406" s="719"/>
      <c r="BH406" s="719"/>
      <c r="BI406" s="719"/>
    </row>
    <row r="407" spans="1:61" ht="15.75" customHeight="1">
      <c r="A407" s="493" t="s">
        <v>135</v>
      </c>
      <c r="B407" s="497"/>
      <c r="C407" s="498" t="s">
        <v>474</v>
      </c>
      <c r="D407" s="498"/>
      <c r="E407" s="498"/>
      <c r="F407" s="498"/>
      <c r="G407" s="498"/>
      <c r="H407" s="498"/>
      <c r="I407" s="498"/>
      <c r="J407" s="626"/>
      <c r="K407" s="739"/>
      <c r="L407" s="498"/>
      <c r="M407" s="729"/>
      <c r="N407" s="730"/>
      <c r="O407" s="729"/>
      <c r="P407" s="732"/>
      <c r="Q407" s="729"/>
      <c r="R407" s="719"/>
      <c r="S407" s="731"/>
      <c r="T407" s="719"/>
      <c r="U407" s="719"/>
      <c r="V407" s="756" t="s">
        <v>135</v>
      </c>
      <c r="W407" s="757"/>
      <c r="X407" s="757"/>
      <c r="Y407" s="757"/>
      <c r="Z407" s="758"/>
      <c r="AA407" s="757"/>
      <c r="AB407" s="757"/>
      <c r="AC407" s="758"/>
      <c r="AD407" s="759"/>
      <c r="AE407" s="757"/>
      <c r="AF407" s="760"/>
      <c r="AG407" s="759"/>
      <c r="AH407" s="760"/>
      <c r="AI407" s="761"/>
      <c r="AJ407" s="759"/>
      <c r="AK407" s="757"/>
      <c r="AL407" s="760"/>
      <c r="AM407" s="762"/>
      <c r="AN407" s="760"/>
      <c r="AO407" s="763"/>
      <c r="AP407" s="719"/>
      <c r="AQ407" s="719"/>
      <c r="AR407" s="719"/>
      <c r="AS407" s="719"/>
      <c r="AT407" s="719"/>
      <c r="AU407" s="719"/>
      <c r="AV407" s="719"/>
      <c r="AW407" s="719"/>
      <c r="AX407" s="719"/>
      <c r="AY407" s="719"/>
      <c r="AZ407" s="719"/>
      <c r="BA407" s="719"/>
      <c r="BB407" s="719"/>
      <c r="BC407" s="719"/>
      <c r="BD407" s="719"/>
      <c r="BE407" s="719"/>
      <c r="BF407" s="719"/>
      <c r="BG407" s="719"/>
      <c r="BH407" s="719"/>
      <c r="BI407" s="719"/>
    </row>
    <row r="408" spans="1:61" ht="15.75" customHeight="1">
      <c r="A408" s="493" t="s">
        <v>32</v>
      </c>
      <c r="B408" s="497"/>
      <c r="C408" s="498" t="s">
        <v>474</v>
      </c>
      <c r="D408" s="498"/>
      <c r="E408" s="498"/>
      <c r="F408" s="498"/>
      <c r="G408" s="498"/>
      <c r="H408" s="498"/>
      <c r="I408" s="498"/>
      <c r="J408" s="729"/>
      <c r="K408" s="739"/>
      <c r="L408" s="498"/>
      <c r="M408" s="729"/>
      <c r="N408" s="730"/>
      <c r="O408" s="729"/>
      <c r="P408" s="732"/>
      <c r="Q408" s="729"/>
      <c r="R408" s="719"/>
      <c r="S408" s="731"/>
      <c r="T408" s="719"/>
      <c r="U408" s="719"/>
      <c r="V408" s="585" t="s">
        <v>32</v>
      </c>
      <c r="W408" s="290" t="s">
        <v>136</v>
      </c>
      <c r="X408" s="757"/>
      <c r="Y408" s="764">
        <v>598.32002819221077</v>
      </c>
      <c r="Z408" s="758">
        <v>70834.561538141366</v>
      </c>
      <c r="AA408" s="757"/>
      <c r="AB408" s="764">
        <v>598.32002819221077</v>
      </c>
      <c r="AC408" s="758">
        <v>70834.561538141366</v>
      </c>
      <c r="AD408" s="765"/>
      <c r="AE408" s="764">
        <v>964.96483870967734</v>
      </c>
      <c r="AF408" s="758">
        <v>59827.819999999992</v>
      </c>
      <c r="AG408" s="759">
        <v>366.64481051746657</v>
      </c>
      <c r="AH408" s="760">
        <v>-11006.741538141374</v>
      </c>
      <c r="AI408" s="761">
        <v>-0.15538659799870036</v>
      </c>
      <c r="AJ408" s="765"/>
      <c r="AK408" s="760">
        <v>557.68518867924536</v>
      </c>
      <c r="AL408" s="758">
        <v>59114.630000000005</v>
      </c>
      <c r="AM408" s="762">
        <v>366.64481051746657</v>
      </c>
      <c r="AN408" s="760">
        <v>713.18999999998778</v>
      </c>
      <c r="AO408" s="766">
        <v>1.206452615875271E-2</v>
      </c>
      <c r="AP408" s="719"/>
      <c r="AQ408" s="719"/>
      <c r="AR408" s="497"/>
      <c r="AS408" s="719"/>
      <c r="AT408" s="719"/>
      <c r="AU408" s="719"/>
      <c r="AV408" s="719"/>
      <c r="AW408" s="719"/>
      <c r="AX408" s="719"/>
      <c r="AY408" s="719"/>
      <c r="AZ408" s="719"/>
      <c r="BA408" s="719"/>
      <c r="BB408" s="719"/>
      <c r="BC408" s="719"/>
      <c r="BD408" s="719"/>
      <c r="BE408" s="719"/>
      <c r="BF408" s="719"/>
      <c r="BG408" s="719"/>
      <c r="BH408" s="719"/>
      <c r="BI408" s="719"/>
    </row>
    <row r="409" spans="1:61" ht="15.75" customHeight="1">
      <c r="A409" s="493" t="s">
        <v>33</v>
      </c>
      <c r="B409" s="497"/>
      <c r="C409" s="498" t="s">
        <v>474</v>
      </c>
      <c r="D409" s="498"/>
      <c r="E409" s="498"/>
      <c r="F409" s="498"/>
      <c r="G409" s="498"/>
      <c r="H409" s="498"/>
      <c r="I409" s="498"/>
      <c r="J409" s="729"/>
      <c r="K409" s="739"/>
      <c r="M409" s="736"/>
      <c r="N409" s="730"/>
      <c r="O409" s="736"/>
      <c r="Q409" s="738"/>
      <c r="R409" s="719"/>
      <c r="S409" s="731"/>
      <c r="T409" s="719"/>
      <c r="U409" s="719"/>
      <c r="V409" s="586" t="s">
        <v>33</v>
      </c>
      <c r="W409" s="294" t="s">
        <v>137</v>
      </c>
      <c r="X409" s="741"/>
      <c r="Y409" s="767">
        <v>383.05868206470524</v>
      </c>
      <c r="Z409" s="742">
        <v>45349.967423645961</v>
      </c>
      <c r="AA409" s="741"/>
      <c r="AB409" s="767">
        <v>383.05868206470524</v>
      </c>
      <c r="AC409" s="742">
        <v>45349.967423645961</v>
      </c>
      <c r="AD409" s="768"/>
      <c r="AE409" s="767">
        <v>603.61209677419367</v>
      </c>
      <c r="AF409" s="742">
        <v>37423.950000000004</v>
      </c>
      <c r="AG409" s="743">
        <v>220.55341470948844</v>
      </c>
      <c r="AH409" s="744">
        <v>-7926.017423645957</v>
      </c>
      <c r="AI409" s="769">
        <v>-0.17477448990433556</v>
      </c>
      <c r="AJ409" s="768"/>
      <c r="AK409" s="744">
        <v>370.11273584905655</v>
      </c>
      <c r="AL409" s="742">
        <v>39231.949999999997</v>
      </c>
      <c r="AM409" s="746">
        <v>220.55341470948844</v>
      </c>
      <c r="AN409" s="744">
        <v>-1807.9999999999927</v>
      </c>
      <c r="AO409" s="770">
        <v>-4.6084887445054165E-2</v>
      </c>
      <c r="AP409" s="719"/>
      <c r="AQ409" s="719"/>
      <c r="AR409" s="504"/>
      <c r="AS409" s="719"/>
      <c r="AT409" s="719"/>
      <c r="AU409" s="719"/>
      <c r="AV409" s="719"/>
      <c r="AW409" s="719"/>
      <c r="AX409" s="719"/>
      <c r="AY409" s="719"/>
      <c r="AZ409" s="719"/>
      <c r="BA409" s="719"/>
      <c r="BB409" s="719"/>
      <c r="BC409" s="719"/>
      <c r="BD409" s="719"/>
      <c r="BE409" s="719"/>
      <c r="BF409" s="719"/>
      <c r="BG409" s="719"/>
      <c r="BH409" s="719"/>
      <c r="BI409" s="719"/>
    </row>
    <row r="410" spans="1:61" ht="15.75" customHeight="1">
      <c r="A410" s="493" t="s">
        <v>34</v>
      </c>
      <c r="B410" s="497"/>
      <c r="C410" s="498" t="s">
        <v>474</v>
      </c>
      <c r="D410" s="498"/>
      <c r="E410" s="498"/>
      <c r="F410" s="498"/>
      <c r="G410" s="498"/>
      <c r="H410" s="498"/>
      <c r="I410" s="498"/>
      <c r="J410" s="729"/>
      <c r="K410" s="498"/>
      <c r="L410" s="498"/>
      <c r="M410" s="736"/>
      <c r="N410" s="730"/>
      <c r="O410" s="730"/>
      <c r="P410" s="732"/>
      <c r="Q410" s="740"/>
      <c r="R410" s="719"/>
      <c r="S410" s="731"/>
      <c r="T410" s="719"/>
      <c r="U410" s="719"/>
      <c r="V410" s="585" t="s">
        <v>34</v>
      </c>
      <c r="W410" s="290" t="s">
        <v>138</v>
      </c>
      <c r="X410" s="757"/>
      <c r="Y410" s="764">
        <v>140.81102677594785</v>
      </c>
      <c r="Z410" s="758">
        <v>16670.488821085397</v>
      </c>
      <c r="AA410" s="757"/>
      <c r="AB410" s="764">
        <v>140.81102677594785</v>
      </c>
      <c r="AC410" s="758">
        <v>16670.488821085397</v>
      </c>
      <c r="AD410" s="765"/>
      <c r="AE410" s="764">
        <v>99.377580645161288</v>
      </c>
      <c r="AF410" s="758">
        <v>6161.41</v>
      </c>
      <c r="AG410" s="759">
        <v>-41.433446130786564</v>
      </c>
      <c r="AH410" s="760">
        <v>-10509.078821085397</v>
      </c>
      <c r="AI410" s="761">
        <v>-0.63040016005968336</v>
      </c>
      <c r="AJ410" s="765"/>
      <c r="AK410" s="760">
        <v>157.61283018867923</v>
      </c>
      <c r="AL410" s="758">
        <v>16706.96</v>
      </c>
      <c r="AM410" s="762">
        <v>-41.433446130786564</v>
      </c>
      <c r="AN410" s="760">
        <v>-10545.55</v>
      </c>
      <c r="AO410" s="766">
        <v>-0.63120699397137481</v>
      </c>
      <c r="AP410" s="719"/>
      <c r="AQ410" s="719"/>
      <c r="AR410" s="504"/>
      <c r="AS410" s="719"/>
      <c r="AT410" s="719"/>
      <c r="AU410" s="719"/>
      <c r="AV410" s="719"/>
      <c r="AW410" s="719"/>
      <c r="AX410" s="719"/>
      <c r="AY410" s="719"/>
      <c r="AZ410" s="719"/>
      <c r="BA410" s="719"/>
      <c r="BB410" s="719"/>
      <c r="BC410" s="719"/>
      <c r="BD410" s="719"/>
      <c r="BE410" s="719"/>
      <c r="BF410" s="719"/>
      <c r="BG410" s="719"/>
      <c r="BH410" s="719"/>
      <c r="BI410" s="719"/>
    </row>
    <row r="411" spans="1:61" ht="15.75" customHeight="1">
      <c r="A411" s="493" t="s">
        <v>35</v>
      </c>
      <c r="B411" s="497"/>
      <c r="C411" s="498" t="s">
        <v>474</v>
      </c>
      <c r="D411" s="498"/>
      <c r="E411" s="498"/>
      <c r="F411" s="498"/>
      <c r="G411" s="498"/>
      <c r="H411" s="498"/>
      <c r="I411" s="498"/>
      <c r="J411" s="498"/>
      <c r="K411" s="498"/>
      <c r="L411" s="498"/>
      <c r="M411" s="729"/>
      <c r="N411" s="730"/>
      <c r="O411" s="729"/>
      <c r="P411" s="732"/>
      <c r="Q411" s="729"/>
      <c r="R411" s="719"/>
      <c r="S411" s="731"/>
      <c r="T411" s="719"/>
      <c r="U411" s="719"/>
      <c r="V411" s="585" t="s">
        <v>35</v>
      </c>
      <c r="W411" s="290" t="s">
        <v>139</v>
      </c>
      <c r="X411" s="757"/>
      <c r="Y411" s="764">
        <v>17.61386687166539</v>
      </c>
      <c r="Z411" s="758">
        <v>2085.2896076626012</v>
      </c>
      <c r="AA411" s="757"/>
      <c r="AB411" s="764">
        <v>17.61386687166539</v>
      </c>
      <c r="AC411" s="758">
        <v>2085.2896076626012</v>
      </c>
      <c r="AD411" s="765"/>
      <c r="AE411" s="764">
        <v>5.1604838709677416</v>
      </c>
      <c r="AF411" s="758">
        <v>319.95</v>
      </c>
      <c r="AG411" s="759">
        <v>-12.453383000697649</v>
      </c>
      <c r="AH411" s="760">
        <v>-1765.3396076626011</v>
      </c>
      <c r="AI411" s="761">
        <v>-0.84656807436995207</v>
      </c>
      <c r="AJ411" s="765"/>
      <c r="AK411" s="760">
        <v>-5.0150000000000015</v>
      </c>
      <c r="AL411" s="758">
        <v>-531.59000000000015</v>
      </c>
      <c r="AM411" s="762">
        <v>-12.453383000697649</v>
      </c>
      <c r="AN411" s="760">
        <v>851.54000000000019</v>
      </c>
      <c r="AO411" s="771">
        <v>-1.6018736244097893</v>
      </c>
      <c r="AP411" s="719"/>
      <c r="AQ411" s="719"/>
      <c r="AR411" s="504"/>
      <c r="AS411" s="719"/>
      <c r="AT411" s="719"/>
      <c r="AU411" s="719"/>
      <c r="AV411" s="719"/>
      <c r="AW411" s="719"/>
      <c r="AX411" s="719"/>
      <c r="AY411" s="719"/>
      <c r="AZ411" s="719"/>
      <c r="BA411" s="719"/>
      <c r="BB411" s="719"/>
      <c r="BC411" s="719"/>
      <c r="BD411" s="719"/>
      <c r="BE411" s="719"/>
      <c r="BF411" s="719"/>
      <c r="BG411" s="719"/>
      <c r="BH411" s="719"/>
      <c r="BI411" s="719"/>
    </row>
    <row r="412" spans="1:61" ht="15.75" customHeight="1">
      <c r="A412" s="493" t="s">
        <v>36</v>
      </c>
      <c r="B412" s="497"/>
      <c r="C412" s="498" t="s">
        <v>474</v>
      </c>
      <c r="D412" s="498"/>
      <c r="E412" s="498"/>
      <c r="F412" s="498"/>
      <c r="G412" s="498"/>
      <c r="H412" s="498"/>
      <c r="I412" s="498"/>
      <c r="J412" s="498"/>
      <c r="K412" s="498"/>
      <c r="L412" s="498"/>
      <c r="M412" s="729"/>
      <c r="N412" s="730"/>
      <c r="O412" s="729"/>
      <c r="P412" s="732"/>
      <c r="Q412" s="729"/>
      <c r="R412" s="719"/>
      <c r="S412" s="731"/>
      <c r="T412" s="719"/>
      <c r="U412" s="719"/>
      <c r="V412" s="586" t="s">
        <v>36</v>
      </c>
      <c r="W412" s="294"/>
      <c r="X412" s="741"/>
      <c r="Y412" s="767">
        <v>45.38176353997585</v>
      </c>
      <c r="Z412" s="742">
        <v>5372.7055266635789</v>
      </c>
      <c r="AA412" s="741"/>
      <c r="AB412" s="767">
        <v>45.38176353997585</v>
      </c>
      <c r="AC412" s="742">
        <v>5372.7055266635789</v>
      </c>
      <c r="AD412" s="768"/>
      <c r="AE412" s="767">
        <v>142.48951612903224</v>
      </c>
      <c r="AF412" s="742">
        <v>8834.3499999999985</v>
      </c>
      <c r="AG412" s="743">
        <v>97.107752589056389</v>
      </c>
      <c r="AH412" s="744">
        <v>3461.6444733364197</v>
      </c>
      <c r="AI412" s="769">
        <v>0.64430191756406985</v>
      </c>
      <c r="AJ412" s="768"/>
      <c r="AK412" s="744">
        <v>63.652547169811321</v>
      </c>
      <c r="AL412" s="742">
        <v>6747.17</v>
      </c>
      <c r="AM412" s="746">
        <v>97.107752589056389</v>
      </c>
      <c r="AN412" s="744">
        <v>2087.1799999999985</v>
      </c>
      <c r="AO412" s="770">
        <v>0.3093415461593525</v>
      </c>
      <c r="AP412" s="719"/>
      <c r="AQ412" s="719"/>
      <c r="AR412" s="504"/>
      <c r="AS412" s="719"/>
      <c r="AT412" s="719"/>
      <c r="AU412" s="719"/>
      <c r="AV412" s="719"/>
      <c r="AW412" s="719"/>
      <c r="AX412" s="719"/>
      <c r="AY412" s="719"/>
      <c r="AZ412" s="719"/>
      <c r="BA412" s="719"/>
      <c r="BB412" s="719"/>
      <c r="BC412" s="719"/>
      <c r="BD412" s="719"/>
      <c r="BE412" s="719"/>
      <c r="BF412" s="719"/>
      <c r="BG412" s="719"/>
      <c r="BH412" s="719"/>
      <c r="BI412" s="719"/>
    </row>
    <row r="413" spans="1:61" ht="15.75" customHeight="1">
      <c r="A413" s="493" t="s">
        <v>37</v>
      </c>
      <c r="B413" s="497"/>
      <c r="C413" s="498" t="s">
        <v>474</v>
      </c>
      <c r="D413" s="498"/>
      <c r="E413" s="498"/>
      <c r="F413" s="498"/>
      <c r="G413" s="498"/>
      <c r="H413" s="498"/>
      <c r="I413" s="498"/>
      <c r="J413" s="498"/>
      <c r="K413" s="498"/>
      <c r="L413" s="498"/>
      <c r="M413" s="729"/>
      <c r="N413" s="730"/>
      <c r="O413" s="729"/>
      <c r="P413" s="732"/>
      <c r="Q413" s="729"/>
      <c r="R413" s="719"/>
      <c r="S413" s="731"/>
      <c r="T413" s="719"/>
      <c r="U413" s="719"/>
      <c r="V413" s="585" t="s">
        <v>37</v>
      </c>
      <c r="W413" s="290" t="s">
        <v>140</v>
      </c>
      <c r="X413" s="761"/>
      <c r="Y413" s="764">
        <v>149.81779415305652</v>
      </c>
      <c r="Z413" s="758">
        <v>17736.791782664637</v>
      </c>
      <c r="AA413" s="761"/>
      <c r="AB413" s="764">
        <v>149.81779415305652</v>
      </c>
      <c r="AC413" s="758">
        <v>17736.791782664637</v>
      </c>
      <c r="AD413" s="765"/>
      <c r="AE413" s="764">
        <v>228.48145161290321</v>
      </c>
      <c r="AF413" s="758">
        <v>14165.849999999999</v>
      </c>
      <c r="AG413" s="759">
        <v>78.663657459846689</v>
      </c>
      <c r="AH413" s="760">
        <v>-3570.9417826646386</v>
      </c>
      <c r="AI413" s="761">
        <v>-0.20132963313888372</v>
      </c>
      <c r="AJ413" s="765"/>
      <c r="AK413" s="760">
        <v>157.09886792452829</v>
      </c>
      <c r="AL413" s="758">
        <v>16652.48</v>
      </c>
      <c r="AM413" s="762">
        <v>78.663657459846689</v>
      </c>
      <c r="AN413" s="760">
        <v>-2486.630000000001</v>
      </c>
      <c r="AO413" s="766">
        <v>-0.14932490535944201</v>
      </c>
      <c r="AP413" s="719"/>
      <c r="AQ413" s="719"/>
      <c r="AR413" s="504"/>
      <c r="AS413" s="719"/>
      <c r="AT413" s="719"/>
      <c r="AU413" s="719"/>
      <c r="AV413" s="719"/>
      <c r="AW413" s="719"/>
      <c r="AX413" s="719"/>
      <c r="AY413" s="719"/>
      <c r="AZ413" s="719"/>
      <c r="BA413" s="719"/>
      <c r="BB413" s="719"/>
      <c r="BC413" s="719"/>
      <c r="BD413" s="719"/>
      <c r="BE413" s="719"/>
      <c r="BF413" s="719"/>
      <c r="BG413" s="719"/>
      <c r="BH413" s="719"/>
      <c r="BI413" s="719"/>
    </row>
    <row r="414" spans="1:61" ht="15.75" customHeight="1">
      <c r="A414" s="493" t="s">
        <v>38</v>
      </c>
      <c r="B414" s="497"/>
      <c r="C414" s="498" t="s">
        <v>474</v>
      </c>
      <c r="D414" s="498"/>
      <c r="E414" s="498"/>
      <c r="F414" s="498"/>
      <c r="G414" s="498"/>
      <c r="H414" s="498"/>
      <c r="I414" s="498"/>
      <c r="J414" s="498"/>
      <c r="K414" s="498"/>
      <c r="L414" s="498"/>
      <c r="M414" s="729"/>
      <c r="N414" s="729"/>
      <c r="O414" s="729"/>
      <c r="Q414" s="729"/>
      <c r="R414" s="719"/>
      <c r="S414" s="731"/>
      <c r="T414" s="719"/>
      <c r="U414" s="719"/>
      <c r="V414" s="585" t="s">
        <v>38</v>
      </c>
      <c r="W414" s="290" t="s">
        <v>141</v>
      </c>
      <c r="X414" s="757"/>
      <c r="Y414" s="764">
        <v>76.630654361470832</v>
      </c>
      <c r="Z414" s="758">
        <v>9072.2331633730064</v>
      </c>
      <c r="AA414" s="757"/>
      <c r="AB414" s="764">
        <v>76.630654361470832</v>
      </c>
      <c r="AC414" s="758">
        <v>9072.2331633730064</v>
      </c>
      <c r="AD414" s="765"/>
      <c r="AE414" s="764">
        <v>16.950967741935486</v>
      </c>
      <c r="AF414" s="758">
        <v>1050.96</v>
      </c>
      <c r="AG414" s="759">
        <v>-59.679686619535346</v>
      </c>
      <c r="AH414" s="760">
        <v>-8021.2731633730064</v>
      </c>
      <c r="AI414" s="761">
        <v>-0.88415641649919208</v>
      </c>
      <c r="AJ414" s="765"/>
      <c r="AK414" s="760">
        <v>150.9782075471698</v>
      </c>
      <c r="AL414" s="758">
        <v>16003.689999999999</v>
      </c>
      <c r="AM414" s="762">
        <v>-59.679686619535346</v>
      </c>
      <c r="AN414" s="760">
        <v>-14952.73</v>
      </c>
      <c r="AO414" s="766">
        <v>-0.934330145110284</v>
      </c>
      <c r="AP414" s="719"/>
      <c r="AQ414" s="719"/>
      <c r="AR414" s="504"/>
      <c r="AS414" s="719"/>
      <c r="AT414" s="719"/>
      <c r="AU414" s="719"/>
      <c r="AV414" s="719"/>
      <c r="AW414" s="719"/>
      <c r="AX414" s="719"/>
      <c r="AY414" s="719"/>
      <c r="AZ414" s="719"/>
      <c r="BA414" s="719"/>
      <c r="BB414" s="719"/>
      <c r="BC414" s="719"/>
      <c r="BD414" s="719"/>
      <c r="BE414" s="719"/>
      <c r="BF414" s="719"/>
      <c r="BG414" s="719"/>
      <c r="BH414" s="719"/>
      <c r="BI414" s="719"/>
    </row>
    <row r="415" spans="1:61" ht="15.75" hidden="1" customHeight="1">
      <c r="A415" s="493" t="s">
        <v>21</v>
      </c>
      <c r="B415" s="497"/>
      <c r="C415" s="498" t="s">
        <v>474</v>
      </c>
      <c r="D415" s="498"/>
      <c r="E415" s="498"/>
      <c r="F415" s="498"/>
      <c r="G415" s="498"/>
      <c r="H415" s="498"/>
      <c r="I415" s="498"/>
      <c r="J415" s="498"/>
      <c r="K415" s="498"/>
      <c r="L415" s="498"/>
      <c r="M415" s="498"/>
      <c r="N415" s="498"/>
      <c r="O415" s="730"/>
      <c r="P415" s="732"/>
      <c r="Q415" s="729"/>
      <c r="R415" s="719"/>
      <c r="S415" s="731"/>
      <c r="T415" s="719"/>
      <c r="U415" s="719"/>
      <c r="V415" s="585" t="s">
        <v>21</v>
      </c>
      <c r="W415" s="290"/>
      <c r="X415" s="761"/>
      <c r="Y415" s="764">
        <v>0</v>
      </c>
      <c r="Z415" s="758">
        <v>0</v>
      </c>
      <c r="AA415" s="757"/>
      <c r="AB415" s="764">
        <v>0</v>
      </c>
      <c r="AC415" s="758">
        <v>0</v>
      </c>
      <c r="AD415" s="765"/>
      <c r="AE415" s="764">
        <v>0</v>
      </c>
      <c r="AF415" s="758">
        <v>0</v>
      </c>
      <c r="AG415" s="759">
        <v>0</v>
      </c>
      <c r="AH415" s="760">
        <v>0</v>
      </c>
      <c r="AI415" s="761">
        <v>0</v>
      </c>
      <c r="AJ415" s="765"/>
      <c r="AK415" s="760">
        <v>0</v>
      </c>
      <c r="AL415" s="758">
        <v>0</v>
      </c>
      <c r="AM415" s="762">
        <v>0</v>
      </c>
      <c r="AN415" s="760">
        <v>0</v>
      </c>
      <c r="AO415" s="766">
        <v>0</v>
      </c>
      <c r="AP415" s="719"/>
      <c r="AQ415" s="719"/>
      <c r="AR415" s="504"/>
      <c r="AS415" s="719"/>
      <c r="AT415" s="719"/>
      <c r="AU415" s="719"/>
      <c r="AV415" s="719"/>
      <c r="AW415" s="719"/>
      <c r="AX415" s="719"/>
      <c r="AY415" s="719"/>
      <c r="AZ415" s="719"/>
      <c r="BA415" s="719"/>
      <c r="BB415" s="719"/>
      <c r="BC415" s="719"/>
      <c r="BD415" s="719"/>
      <c r="BE415" s="719"/>
      <c r="BF415" s="719"/>
      <c r="BG415" s="719"/>
      <c r="BH415" s="719"/>
      <c r="BI415" s="719"/>
    </row>
    <row r="416" spans="1:61" ht="15.75" hidden="1" customHeight="1">
      <c r="A416" s="493" t="s">
        <v>21</v>
      </c>
      <c r="B416" s="497"/>
      <c r="C416" s="498" t="s">
        <v>474</v>
      </c>
      <c r="D416" s="498"/>
      <c r="E416" s="498"/>
      <c r="F416" s="498"/>
      <c r="G416" s="498"/>
      <c r="H416" s="498"/>
      <c r="I416" s="498"/>
      <c r="J416" s="498"/>
      <c r="K416" s="498"/>
      <c r="L416" s="498"/>
      <c r="M416" s="498"/>
      <c r="N416" s="498"/>
      <c r="O416" s="730"/>
      <c r="P416" s="732"/>
      <c r="Q416" s="729"/>
      <c r="R416" s="719"/>
      <c r="S416" s="731"/>
      <c r="T416" s="719"/>
      <c r="U416" s="719"/>
      <c r="V416" s="585" t="s">
        <v>21</v>
      </c>
      <c r="W416" s="290"/>
      <c r="X416" s="761"/>
      <c r="Y416" s="764">
        <v>0</v>
      </c>
      <c r="Z416" s="758">
        <v>0</v>
      </c>
      <c r="AA416" s="757"/>
      <c r="AB416" s="764">
        <v>0</v>
      </c>
      <c r="AC416" s="758">
        <v>0</v>
      </c>
      <c r="AD416" s="765"/>
      <c r="AE416" s="764">
        <v>0</v>
      </c>
      <c r="AF416" s="758">
        <v>0</v>
      </c>
      <c r="AG416" s="759">
        <v>0</v>
      </c>
      <c r="AH416" s="760">
        <v>0</v>
      </c>
      <c r="AI416" s="761">
        <v>0</v>
      </c>
      <c r="AJ416" s="765"/>
      <c r="AK416" s="760">
        <v>0</v>
      </c>
      <c r="AL416" s="758">
        <v>0</v>
      </c>
      <c r="AM416" s="762">
        <v>0</v>
      </c>
      <c r="AN416" s="760">
        <v>0</v>
      </c>
      <c r="AO416" s="766">
        <v>0</v>
      </c>
      <c r="AP416" s="719"/>
      <c r="AQ416" s="719"/>
      <c r="AR416" s="504"/>
      <c r="AS416" s="719"/>
      <c r="AT416" s="719"/>
      <c r="AU416" s="719"/>
      <c r="AV416" s="719"/>
      <c r="AW416" s="719"/>
      <c r="AX416" s="719"/>
      <c r="AY416" s="719"/>
      <c r="AZ416" s="719"/>
      <c r="BA416" s="719"/>
      <c r="BB416" s="719"/>
      <c r="BC416" s="719"/>
      <c r="BD416" s="719"/>
      <c r="BE416" s="719"/>
      <c r="BF416" s="719"/>
      <c r="BG416" s="719"/>
      <c r="BH416" s="719"/>
      <c r="BI416" s="719"/>
    </row>
    <row r="417" spans="1:61" ht="15.75" hidden="1" customHeight="1">
      <c r="A417" s="493" t="s">
        <v>21</v>
      </c>
      <c r="B417" s="497"/>
      <c r="C417" s="498" t="s">
        <v>474</v>
      </c>
      <c r="D417" s="498"/>
      <c r="E417" s="498"/>
      <c r="F417" s="498"/>
      <c r="G417" s="498"/>
      <c r="H417" s="498"/>
      <c r="I417" s="498"/>
      <c r="J417" s="498"/>
      <c r="K417" s="498"/>
      <c r="L417" s="498"/>
      <c r="M417" s="498"/>
      <c r="N417" s="498"/>
      <c r="O417" s="730"/>
      <c r="P417" s="732"/>
      <c r="Q417" s="498"/>
      <c r="R417" s="719"/>
      <c r="S417" s="731"/>
      <c r="T417" s="719"/>
      <c r="U417" s="719"/>
      <c r="V417" s="585" t="s">
        <v>21</v>
      </c>
      <c r="W417" s="290" t="s">
        <v>141</v>
      </c>
      <c r="X417" s="757"/>
      <c r="Y417" s="764">
        <v>0</v>
      </c>
      <c r="Z417" s="758">
        <v>0</v>
      </c>
      <c r="AA417" s="757"/>
      <c r="AB417" s="764">
        <v>0</v>
      </c>
      <c r="AC417" s="758">
        <v>0</v>
      </c>
      <c r="AD417" s="765"/>
      <c r="AE417" s="764">
        <v>0</v>
      </c>
      <c r="AF417" s="758">
        <v>0</v>
      </c>
      <c r="AG417" s="759">
        <v>0</v>
      </c>
      <c r="AH417" s="760">
        <v>0</v>
      </c>
      <c r="AI417" s="761">
        <v>0</v>
      </c>
      <c r="AJ417" s="765"/>
      <c r="AK417" s="760">
        <v>0</v>
      </c>
      <c r="AL417" s="758">
        <v>0</v>
      </c>
      <c r="AM417" s="762">
        <v>0</v>
      </c>
      <c r="AN417" s="760">
        <v>0</v>
      </c>
      <c r="AO417" s="766">
        <v>0</v>
      </c>
      <c r="AP417" s="719"/>
      <c r="AQ417" s="719"/>
      <c r="AR417" s="504"/>
      <c r="AS417" s="719"/>
      <c r="AT417" s="719"/>
      <c r="AU417" s="719"/>
      <c r="AV417" s="719"/>
      <c r="AW417" s="719"/>
      <c r="AX417" s="719"/>
      <c r="AY417" s="719"/>
      <c r="AZ417" s="719"/>
      <c r="BA417" s="719"/>
      <c r="BB417" s="719"/>
      <c r="BC417" s="719"/>
      <c r="BD417" s="719"/>
      <c r="BE417" s="719"/>
      <c r="BF417" s="719"/>
      <c r="BG417" s="719"/>
      <c r="BH417" s="719"/>
      <c r="BI417" s="719"/>
    </row>
    <row r="418" spans="1:61" ht="15.75" customHeight="1">
      <c r="A418" s="493" t="s">
        <v>39</v>
      </c>
      <c r="B418" s="497"/>
      <c r="C418" s="498" t="s">
        <v>474</v>
      </c>
      <c r="D418" s="498"/>
      <c r="E418" s="498"/>
      <c r="F418" s="498"/>
      <c r="G418" s="498"/>
      <c r="H418" s="498"/>
      <c r="I418" s="498"/>
      <c r="J418" s="498"/>
      <c r="K418" s="498"/>
      <c r="L418" s="498"/>
      <c r="M418" s="729"/>
      <c r="N418" s="730"/>
      <c r="O418" s="730"/>
      <c r="P418" s="732"/>
      <c r="Q418" s="740"/>
      <c r="R418" s="719"/>
      <c r="S418" s="731"/>
      <c r="T418" s="719"/>
      <c r="U418" s="719"/>
      <c r="V418" s="772" t="s">
        <v>39</v>
      </c>
      <c r="W418" s="773"/>
      <c r="X418" s="774">
        <v>0.22338589867203784</v>
      </c>
      <c r="Y418" s="773"/>
      <c r="Z418" s="775">
        <v>167122.0378632365</v>
      </c>
      <c r="AA418" s="774">
        <v>0.22338589867203784</v>
      </c>
      <c r="AB418" s="773"/>
      <c r="AC418" s="775">
        <v>167122.0378632365</v>
      </c>
      <c r="AD418" s="776">
        <v>0.19687124504356535</v>
      </c>
      <c r="AE418" s="773"/>
      <c r="AF418" s="775">
        <v>127784.29</v>
      </c>
      <c r="AG418" s="777"/>
      <c r="AH418" s="778">
        <v>-39337.747863236509</v>
      </c>
      <c r="AI418" s="774">
        <v>-0.23538336634829909</v>
      </c>
      <c r="AJ418" s="776">
        <v>0.24016575173712421</v>
      </c>
      <c r="AK418" s="773"/>
      <c r="AL418" s="775">
        <v>153925.29</v>
      </c>
      <c r="AM418" s="779"/>
      <c r="AN418" s="778">
        <v>-26141.000000000015</v>
      </c>
      <c r="AO418" s="755">
        <v>-0.16982914243656785</v>
      </c>
      <c r="AP418" s="719"/>
      <c r="AQ418" s="719"/>
      <c r="AR418" s="504"/>
      <c r="AS418" s="719"/>
      <c r="AT418" s="719"/>
      <c r="AU418" s="719"/>
      <c r="AV418" s="719"/>
      <c r="AW418" s="719"/>
      <c r="AX418" s="719"/>
      <c r="AY418" s="719"/>
      <c r="AZ418" s="719"/>
      <c r="BA418" s="719"/>
      <c r="BB418" s="719"/>
      <c r="BC418" s="719"/>
      <c r="BD418" s="719"/>
      <c r="BE418" s="719"/>
      <c r="BF418" s="719"/>
      <c r="BG418" s="719"/>
      <c r="BH418" s="719"/>
      <c r="BI418" s="719"/>
    </row>
    <row r="419" spans="1:61" ht="15.75" customHeight="1">
      <c r="A419" s="493" t="s">
        <v>142</v>
      </c>
      <c r="B419" s="497"/>
      <c r="C419" s="498" t="s">
        <v>474</v>
      </c>
      <c r="D419" s="498"/>
      <c r="E419" s="498"/>
      <c r="F419" s="498"/>
      <c r="G419" s="498"/>
      <c r="H419" s="498"/>
      <c r="I419" s="498"/>
      <c r="J419" s="498"/>
      <c r="K419" s="498"/>
      <c r="L419" s="498"/>
      <c r="M419" s="740"/>
      <c r="N419" s="730"/>
      <c r="O419" s="740"/>
      <c r="P419" s="732"/>
      <c r="Q419" s="729"/>
      <c r="R419" s="719"/>
      <c r="S419" s="731"/>
      <c r="T419" s="719"/>
      <c r="U419" s="719"/>
      <c r="V419" s="585" t="s">
        <v>142</v>
      </c>
      <c r="W419" s="290" t="s">
        <v>143</v>
      </c>
      <c r="X419" s="757"/>
      <c r="Y419" s="757"/>
      <c r="Z419" s="758">
        <v>15043.715813333336</v>
      </c>
      <c r="AA419" s="757"/>
      <c r="AB419" s="757"/>
      <c r="AC419" s="758">
        <v>15043.715813333336</v>
      </c>
      <c r="AD419" s="765"/>
      <c r="AE419" s="764"/>
      <c r="AF419" s="758">
        <v>15276.55</v>
      </c>
      <c r="AG419" s="759"/>
      <c r="AH419" s="760">
        <v>232.8341866666633</v>
      </c>
      <c r="AI419" s="761">
        <v>1.5477172631797587E-2</v>
      </c>
      <c r="AJ419" s="765"/>
      <c r="AK419" s="757"/>
      <c r="AL419" s="758">
        <v>2916.67</v>
      </c>
      <c r="AM419" s="762"/>
      <c r="AN419" s="760">
        <v>12359.88</v>
      </c>
      <c r="AO419" s="766">
        <v>4.2376682998076571</v>
      </c>
      <c r="AP419" s="719"/>
      <c r="AQ419" s="719"/>
      <c r="AR419" s="719"/>
      <c r="AS419" s="719"/>
      <c r="AT419" s="719"/>
      <c r="AU419" s="719"/>
      <c r="AV419" s="719"/>
      <c r="AW419" s="719"/>
      <c r="AX419" s="719"/>
      <c r="AY419" s="719"/>
      <c r="AZ419" s="719"/>
      <c r="BA419" s="719"/>
      <c r="BB419" s="719"/>
      <c r="BC419" s="719"/>
      <c r="BD419" s="719"/>
      <c r="BE419" s="719"/>
      <c r="BF419" s="719"/>
      <c r="BG419" s="719"/>
      <c r="BH419" s="719"/>
      <c r="BI419" s="719"/>
    </row>
    <row r="420" spans="1:61" ht="15.75" customHeight="1">
      <c r="A420" s="493" t="s">
        <v>42</v>
      </c>
      <c r="B420" s="497"/>
      <c r="C420" s="498" t="s">
        <v>474</v>
      </c>
      <c r="D420" s="498"/>
      <c r="E420" s="498"/>
      <c r="F420" s="498"/>
      <c r="G420" s="498"/>
      <c r="H420" s="498"/>
      <c r="I420" s="498"/>
      <c r="J420" s="498"/>
      <c r="K420" s="498"/>
      <c r="L420" s="498"/>
      <c r="M420" s="740"/>
      <c r="N420" s="730"/>
      <c r="O420" s="740"/>
      <c r="P420" s="732"/>
      <c r="Q420" s="729"/>
      <c r="R420" s="719"/>
      <c r="S420" s="731"/>
      <c r="T420" s="719"/>
      <c r="U420" s="719"/>
      <c r="V420" s="585" t="s">
        <v>42</v>
      </c>
      <c r="W420" s="290" t="s">
        <v>144</v>
      </c>
      <c r="X420" s="757"/>
      <c r="Y420" s="757"/>
      <c r="Z420" s="758">
        <v>37259.747126436778</v>
      </c>
      <c r="AA420" s="757"/>
      <c r="AB420" s="757"/>
      <c r="AC420" s="758">
        <v>37259.747126436778</v>
      </c>
      <c r="AD420" s="765"/>
      <c r="AE420" s="764"/>
      <c r="AF420" s="758">
        <v>48029.889999999992</v>
      </c>
      <c r="AG420" s="759"/>
      <c r="AH420" s="760">
        <v>10770.142873563214</v>
      </c>
      <c r="AI420" s="761">
        <v>0.28905571573032801</v>
      </c>
      <c r="AJ420" s="765"/>
      <c r="AK420" s="757"/>
      <c r="AL420" s="758">
        <v>52734.41</v>
      </c>
      <c r="AM420" s="762"/>
      <c r="AN420" s="760">
        <v>-4704.5200000000114</v>
      </c>
      <c r="AO420" s="766">
        <v>-8.9211579308463129E-2</v>
      </c>
      <c r="AP420" s="719"/>
      <c r="AQ420" s="719"/>
      <c r="AR420" s="719"/>
      <c r="AS420" s="719"/>
      <c r="AT420" s="719"/>
      <c r="AU420" s="719"/>
      <c r="AV420" s="719"/>
      <c r="AW420" s="719"/>
      <c r="AX420" s="719"/>
      <c r="AY420" s="719"/>
      <c r="AZ420" s="719"/>
      <c r="BA420" s="719"/>
      <c r="BB420" s="719"/>
      <c r="BC420" s="719"/>
      <c r="BD420" s="719"/>
      <c r="BE420" s="719"/>
      <c r="BF420" s="719"/>
      <c r="BG420" s="719"/>
      <c r="BH420" s="719"/>
      <c r="BI420" s="719"/>
    </row>
    <row r="421" spans="1:61" ht="15.75" customHeight="1">
      <c r="A421" s="493" t="s">
        <v>43</v>
      </c>
      <c r="B421" s="497"/>
      <c r="C421" s="719" t="s">
        <v>474</v>
      </c>
      <c r="D421" s="719"/>
      <c r="E421" s="719"/>
      <c r="F421" s="719"/>
      <c r="G421" s="719"/>
      <c r="H421" s="719"/>
      <c r="I421" s="719"/>
      <c r="J421" s="719"/>
      <c r="K421" s="719"/>
      <c r="L421" s="498"/>
      <c r="M421" s="740"/>
      <c r="N421" s="730"/>
      <c r="O421" s="740"/>
      <c r="P421" s="780"/>
      <c r="Q421" s="729"/>
      <c r="R421" s="719"/>
      <c r="S421" s="731"/>
      <c r="T421" s="719"/>
      <c r="U421" s="719"/>
      <c r="V421" s="586" t="s">
        <v>43</v>
      </c>
      <c r="W421" s="294" t="s">
        <v>145</v>
      </c>
      <c r="X421" s="741"/>
      <c r="Y421" s="741"/>
      <c r="Z421" s="742">
        <v>25568.902342298854</v>
      </c>
      <c r="AA421" s="741"/>
      <c r="AB421" s="741"/>
      <c r="AC421" s="742">
        <v>25568.902342298854</v>
      </c>
      <c r="AD421" s="768"/>
      <c r="AE421" s="767"/>
      <c r="AF421" s="742">
        <v>22763.660000000003</v>
      </c>
      <c r="AG421" s="743"/>
      <c r="AH421" s="744">
        <v>-2805.2423422988504</v>
      </c>
      <c r="AI421" s="769">
        <v>-0.10971305317468064</v>
      </c>
      <c r="AJ421" s="768"/>
      <c r="AK421" s="741"/>
      <c r="AL421" s="742">
        <v>25721.96</v>
      </c>
      <c r="AM421" s="746"/>
      <c r="AN421" s="744">
        <v>-2958.2999999999956</v>
      </c>
      <c r="AO421" s="747">
        <v>-0.11501067570278453</v>
      </c>
      <c r="AP421" s="719"/>
      <c r="AQ421" s="719"/>
      <c r="AR421" s="719"/>
      <c r="AS421" s="719"/>
      <c r="AT421" s="719"/>
      <c r="AU421" s="719"/>
      <c r="AV421" s="719"/>
      <c r="AW421" s="719"/>
      <c r="AX421" s="719"/>
      <c r="AY421" s="719"/>
      <c r="AZ421" s="719"/>
      <c r="BA421" s="719"/>
      <c r="BB421" s="719"/>
      <c r="BC421" s="719"/>
      <c r="BD421" s="719"/>
      <c r="BE421" s="719"/>
      <c r="BF421" s="719"/>
      <c r="BG421" s="719"/>
      <c r="BH421" s="719"/>
      <c r="BI421" s="719"/>
    </row>
    <row r="422" spans="1:61" ht="15.75" customHeight="1">
      <c r="A422" s="493" t="s">
        <v>44</v>
      </c>
      <c r="B422" s="497"/>
      <c r="C422" s="719" t="s">
        <v>474</v>
      </c>
      <c r="D422" s="719"/>
      <c r="E422" s="719"/>
      <c r="F422" s="719"/>
      <c r="G422" s="719"/>
      <c r="H422" s="719"/>
      <c r="I422" s="719"/>
      <c r="J422" s="719"/>
      <c r="K422" s="719"/>
      <c r="L422" s="719"/>
      <c r="M422" s="781"/>
      <c r="N422" s="781"/>
      <c r="O422" s="781"/>
      <c r="Q422" s="738"/>
      <c r="R422" s="719"/>
      <c r="S422" s="731"/>
      <c r="T422" s="719"/>
      <c r="U422" s="719"/>
      <c r="V422" s="585" t="s">
        <v>44</v>
      </c>
      <c r="W422" s="290" t="s">
        <v>146</v>
      </c>
      <c r="X422" s="757"/>
      <c r="Y422" s="757"/>
      <c r="Z422" s="758">
        <v>54420.077005977015</v>
      </c>
      <c r="AA422" s="757"/>
      <c r="AB422" s="757"/>
      <c r="AC422" s="758">
        <v>54420.077005977015</v>
      </c>
      <c r="AD422" s="765"/>
      <c r="AE422" s="764"/>
      <c r="AF422" s="758">
        <v>57993.78</v>
      </c>
      <c r="AG422" s="759"/>
      <c r="AH422" s="760">
        <v>3573.7029940229841</v>
      </c>
      <c r="AI422" s="761">
        <v>6.5668833831868348E-2</v>
      </c>
      <c r="AJ422" s="765"/>
      <c r="AK422" s="757"/>
      <c r="AL422" s="758">
        <v>54300.15</v>
      </c>
      <c r="AM422" s="762"/>
      <c r="AN422" s="760">
        <v>3693.6299999999974</v>
      </c>
      <c r="AO422" s="766">
        <v>6.8022464026342419E-2</v>
      </c>
      <c r="AP422" s="719"/>
      <c r="AQ422" s="719"/>
      <c r="AR422" s="719"/>
      <c r="AS422" s="719"/>
      <c r="AT422" s="719"/>
      <c r="AU422" s="719"/>
      <c r="AV422" s="719"/>
      <c r="AW422" s="719"/>
      <c r="AX422" s="719"/>
      <c r="AY422" s="719"/>
      <c r="AZ422" s="719"/>
      <c r="BA422" s="719"/>
      <c r="BB422" s="719"/>
      <c r="BC422" s="719"/>
      <c r="BD422" s="719"/>
      <c r="BE422" s="719"/>
      <c r="BF422" s="719"/>
      <c r="BG422" s="719"/>
      <c r="BH422" s="719"/>
      <c r="BI422" s="719"/>
    </row>
    <row r="423" spans="1:61" ht="15.75" customHeight="1">
      <c r="A423" s="493" t="s">
        <v>45</v>
      </c>
      <c r="B423" s="497"/>
      <c r="C423" s="719" t="s">
        <v>474</v>
      </c>
      <c r="D423" s="719"/>
      <c r="E423" s="719"/>
      <c r="F423" s="719"/>
      <c r="G423" s="719"/>
      <c r="H423" s="719"/>
      <c r="I423" s="719"/>
      <c r="J423" s="719"/>
      <c r="K423" s="719"/>
      <c r="L423" s="719"/>
      <c r="M423" s="781"/>
      <c r="N423" s="730"/>
      <c r="O423" s="782"/>
      <c r="P423" s="732"/>
      <c r="Q423" s="740"/>
      <c r="R423" s="719"/>
      <c r="S423" s="731"/>
      <c r="T423" s="719"/>
      <c r="U423" s="719"/>
      <c r="V423" s="585" t="s">
        <v>45</v>
      </c>
      <c r="W423" s="290" t="s">
        <v>147</v>
      </c>
      <c r="X423" s="757"/>
      <c r="Y423" s="757"/>
      <c r="Z423" s="758">
        <v>39931.429587516213</v>
      </c>
      <c r="AA423" s="757"/>
      <c r="AB423" s="757"/>
      <c r="AC423" s="758">
        <v>39931.429587516213</v>
      </c>
      <c r="AD423" s="765"/>
      <c r="AE423" s="764"/>
      <c r="AF423" s="758">
        <v>26452.61</v>
      </c>
      <c r="AG423" s="759"/>
      <c r="AH423" s="760">
        <v>-13478.819587516213</v>
      </c>
      <c r="AI423" s="761">
        <v>-0.33754913677646303</v>
      </c>
      <c r="AJ423" s="765"/>
      <c r="AK423" s="757"/>
      <c r="AL423" s="758">
        <v>30258.53</v>
      </c>
      <c r="AM423" s="762"/>
      <c r="AN423" s="760">
        <v>-3805.9199999999983</v>
      </c>
      <c r="AO423" s="766">
        <v>-0.12578006928955235</v>
      </c>
      <c r="AP423" s="719"/>
      <c r="AQ423" s="719"/>
      <c r="AR423" s="719"/>
      <c r="AS423" s="719"/>
      <c r="AT423" s="719"/>
      <c r="AU423" s="719"/>
      <c r="AV423" s="719"/>
      <c r="AW423" s="719"/>
      <c r="AX423" s="719"/>
      <c r="AY423" s="719"/>
      <c r="AZ423" s="719"/>
      <c r="BA423" s="719"/>
      <c r="BB423" s="719"/>
      <c r="BC423" s="719"/>
      <c r="BD423" s="719"/>
      <c r="BE423" s="719"/>
      <c r="BF423" s="719"/>
      <c r="BG423" s="719"/>
      <c r="BH423" s="719"/>
      <c r="BI423" s="719"/>
    </row>
    <row r="424" spans="1:61" ht="15.75" hidden="1" customHeight="1">
      <c r="A424" s="493" t="s">
        <v>21</v>
      </c>
      <c r="B424" s="497"/>
      <c r="C424" s="719" t="s">
        <v>474</v>
      </c>
      <c r="D424" s="719"/>
      <c r="E424" s="719"/>
      <c r="F424" s="719"/>
      <c r="G424" s="719"/>
      <c r="H424" s="719"/>
      <c r="I424" s="719"/>
      <c r="J424" s="719"/>
      <c r="K424" s="719"/>
      <c r="L424" s="719"/>
      <c r="M424" s="781"/>
      <c r="N424" s="626"/>
      <c r="O424" s="782"/>
      <c r="P424" s="780"/>
      <c r="Q424" s="719"/>
      <c r="R424" s="719"/>
      <c r="S424" s="731"/>
      <c r="T424" s="719"/>
      <c r="U424" s="719"/>
      <c r="V424" s="585" t="s">
        <v>21</v>
      </c>
      <c r="W424" s="290"/>
      <c r="X424" s="757"/>
      <c r="Y424" s="757"/>
      <c r="Z424" s="758">
        <v>0</v>
      </c>
      <c r="AA424" s="757"/>
      <c r="AB424" s="757"/>
      <c r="AC424" s="758">
        <v>0</v>
      </c>
      <c r="AD424" s="765"/>
      <c r="AE424" s="764"/>
      <c r="AF424" s="758">
        <v>0</v>
      </c>
      <c r="AG424" s="759"/>
      <c r="AH424" s="760">
        <v>0</v>
      </c>
      <c r="AI424" s="761">
        <v>0</v>
      </c>
      <c r="AJ424" s="765"/>
      <c r="AK424" s="757"/>
      <c r="AL424" s="758">
        <v>0</v>
      </c>
      <c r="AM424" s="762"/>
      <c r="AN424" s="760">
        <v>0</v>
      </c>
      <c r="AO424" s="766">
        <v>0</v>
      </c>
      <c r="AP424" s="719"/>
      <c r="AQ424" s="719"/>
      <c r="AR424" s="719"/>
      <c r="AS424" s="719"/>
      <c r="AT424" s="719"/>
      <c r="AU424" s="719"/>
      <c r="AV424" s="719"/>
      <c r="AW424" s="719"/>
      <c r="AX424" s="719"/>
      <c r="AY424" s="719"/>
      <c r="AZ424" s="719"/>
      <c r="BA424" s="719"/>
      <c r="BB424" s="719"/>
      <c r="BC424" s="719"/>
      <c r="BD424" s="719"/>
      <c r="BE424" s="719"/>
      <c r="BF424" s="719"/>
      <c r="BG424" s="719"/>
      <c r="BH424" s="719"/>
      <c r="BI424" s="719"/>
    </row>
    <row r="425" spans="1:61" ht="15.75" hidden="1" customHeight="1">
      <c r="A425" s="493" t="s">
        <v>21</v>
      </c>
      <c r="B425" s="497"/>
      <c r="C425" s="719" t="s">
        <v>474</v>
      </c>
      <c r="D425" s="719"/>
      <c r="E425" s="719"/>
      <c r="F425" s="719"/>
      <c r="G425" s="719"/>
      <c r="H425" s="719"/>
      <c r="I425" s="719"/>
      <c r="J425" s="719"/>
      <c r="K425" s="719"/>
      <c r="L425" s="719"/>
      <c r="M425" s="781"/>
      <c r="N425" s="626"/>
      <c r="O425" s="782"/>
      <c r="P425" s="780"/>
      <c r="Q425" s="719"/>
      <c r="R425" s="719"/>
      <c r="S425" s="731"/>
      <c r="T425" s="719"/>
      <c r="U425" s="719"/>
      <c r="V425" s="585" t="s">
        <v>21</v>
      </c>
      <c r="W425" s="290"/>
      <c r="X425" s="757"/>
      <c r="Y425" s="757"/>
      <c r="Z425" s="758">
        <v>0</v>
      </c>
      <c r="AA425" s="757"/>
      <c r="AB425" s="757"/>
      <c r="AC425" s="758">
        <v>0</v>
      </c>
      <c r="AD425" s="765"/>
      <c r="AE425" s="764"/>
      <c r="AF425" s="758">
        <v>0</v>
      </c>
      <c r="AG425" s="759"/>
      <c r="AH425" s="760">
        <v>0</v>
      </c>
      <c r="AI425" s="761">
        <v>0</v>
      </c>
      <c r="AJ425" s="765"/>
      <c r="AK425" s="757"/>
      <c r="AL425" s="758">
        <v>0</v>
      </c>
      <c r="AM425" s="762"/>
      <c r="AN425" s="760">
        <v>0</v>
      </c>
      <c r="AO425" s="766">
        <v>0</v>
      </c>
      <c r="AP425" s="719"/>
      <c r="AQ425" s="719"/>
      <c r="AR425" s="719"/>
      <c r="AS425" s="719"/>
      <c r="AT425" s="719"/>
      <c r="AU425" s="719"/>
      <c r="AV425" s="719"/>
      <c r="AW425" s="719"/>
      <c r="AX425" s="719"/>
      <c r="AY425" s="719"/>
      <c r="AZ425" s="719"/>
      <c r="BA425" s="719"/>
      <c r="BB425" s="719"/>
      <c r="BC425" s="719"/>
      <c r="BD425" s="719"/>
      <c r="BE425" s="719"/>
      <c r="BF425" s="719"/>
      <c r="BG425" s="719"/>
      <c r="BH425" s="719"/>
      <c r="BI425" s="719"/>
    </row>
    <row r="426" spans="1:61" ht="15.75" hidden="1" customHeight="1">
      <c r="A426" s="493" t="s">
        <v>21</v>
      </c>
      <c r="B426" s="497"/>
      <c r="C426" s="719" t="s">
        <v>474</v>
      </c>
      <c r="D426" s="719"/>
      <c r="E426" s="719"/>
      <c r="F426" s="719"/>
      <c r="G426" s="719"/>
      <c r="H426" s="719"/>
      <c r="I426" s="719"/>
      <c r="J426" s="719"/>
      <c r="K426" s="719"/>
      <c r="L426" s="719"/>
      <c r="M426" s="781"/>
      <c r="N426" s="626"/>
      <c r="O426" s="782"/>
      <c r="P426" s="780"/>
      <c r="Q426" s="719"/>
      <c r="R426" s="719"/>
      <c r="S426" s="731"/>
      <c r="T426" s="719"/>
      <c r="U426" s="719"/>
      <c r="V426" s="585" t="s">
        <v>21</v>
      </c>
      <c r="W426" s="290"/>
      <c r="X426" s="757"/>
      <c r="Y426" s="757"/>
      <c r="Z426" s="758">
        <v>0</v>
      </c>
      <c r="AA426" s="757"/>
      <c r="AB426" s="757"/>
      <c r="AC426" s="758">
        <v>0</v>
      </c>
      <c r="AD426" s="765"/>
      <c r="AE426" s="764"/>
      <c r="AF426" s="758">
        <v>0</v>
      </c>
      <c r="AG426" s="759"/>
      <c r="AH426" s="760">
        <v>0</v>
      </c>
      <c r="AI426" s="761">
        <v>0</v>
      </c>
      <c r="AJ426" s="765"/>
      <c r="AK426" s="757"/>
      <c r="AL426" s="758">
        <v>0</v>
      </c>
      <c r="AM426" s="762"/>
      <c r="AN426" s="760">
        <v>0</v>
      </c>
      <c r="AO426" s="766">
        <v>0</v>
      </c>
      <c r="AP426" s="719"/>
      <c r="AQ426" s="719"/>
      <c r="AR426" s="719"/>
      <c r="AS426" s="719"/>
      <c r="AT426" s="719"/>
      <c r="AU426" s="719"/>
      <c r="AV426" s="719"/>
      <c r="AW426" s="719"/>
      <c r="AX426" s="719"/>
      <c r="AY426" s="719"/>
      <c r="AZ426" s="719"/>
      <c r="BA426" s="719"/>
      <c r="BB426" s="719"/>
      <c r="BC426" s="719"/>
      <c r="BD426" s="719"/>
      <c r="BE426" s="719"/>
      <c r="BF426" s="719"/>
      <c r="BG426" s="719"/>
      <c r="BH426" s="719"/>
      <c r="BI426" s="719"/>
    </row>
    <row r="427" spans="1:61" ht="15.75" customHeight="1">
      <c r="A427" s="493" t="s">
        <v>46</v>
      </c>
      <c r="B427" s="497"/>
      <c r="C427" s="719" t="s">
        <v>474</v>
      </c>
      <c r="D427" s="719"/>
      <c r="E427" s="719"/>
      <c r="F427" s="719"/>
      <c r="G427" s="719"/>
      <c r="H427" s="719"/>
      <c r="I427" s="719"/>
      <c r="J427" s="719"/>
      <c r="K427" s="719"/>
      <c r="L427" s="498"/>
      <c r="M427" s="781"/>
      <c r="N427" s="626"/>
      <c r="O427" s="782"/>
      <c r="P427" s="780"/>
      <c r="Q427" s="719"/>
      <c r="R427" s="719"/>
      <c r="S427" s="731"/>
      <c r="T427" s="719"/>
      <c r="U427" s="719"/>
      <c r="V427" s="586" t="s">
        <v>46</v>
      </c>
      <c r="W427" s="294" t="s">
        <v>148</v>
      </c>
      <c r="X427" s="741"/>
      <c r="Y427" s="741"/>
      <c r="Z427" s="742">
        <v>41383.490135764128</v>
      </c>
      <c r="AA427" s="741"/>
      <c r="AB427" s="741"/>
      <c r="AC427" s="742">
        <v>41383.490135764128</v>
      </c>
      <c r="AD427" s="768"/>
      <c r="AE427" s="767"/>
      <c r="AF427" s="742">
        <v>31317.32</v>
      </c>
      <c r="AG427" s="743"/>
      <c r="AH427" s="744">
        <v>-10066.170135764129</v>
      </c>
      <c r="AI427" s="769">
        <v>-0.24324120809387265</v>
      </c>
      <c r="AJ427" s="768"/>
      <c r="AK427" s="741"/>
      <c r="AL427" s="742">
        <v>34661.589999999997</v>
      </c>
      <c r="AM427" s="746"/>
      <c r="AN427" s="744">
        <v>-3344.2699999999968</v>
      </c>
      <c r="AO427" s="770">
        <v>-9.6483456183054414E-2</v>
      </c>
      <c r="AP427" s="719"/>
      <c r="AQ427" s="719"/>
      <c r="AR427" s="719"/>
      <c r="AS427" s="719"/>
      <c r="AT427" s="719"/>
      <c r="AU427" s="719"/>
      <c r="AV427" s="719"/>
      <c r="AW427" s="719"/>
      <c r="AX427" s="719"/>
      <c r="AY427" s="719"/>
      <c r="AZ427" s="719"/>
      <c r="BA427" s="719"/>
      <c r="BB427" s="719"/>
      <c r="BC427" s="719"/>
      <c r="BD427" s="719"/>
      <c r="BE427" s="719"/>
      <c r="BF427" s="719"/>
      <c r="BG427" s="719"/>
      <c r="BH427" s="719"/>
      <c r="BI427" s="719"/>
    </row>
    <row r="428" spans="1:61" ht="15.75" customHeight="1">
      <c r="A428" s="493" t="s">
        <v>47</v>
      </c>
      <c r="B428" s="497"/>
      <c r="C428" s="719" t="s">
        <v>474</v>
      </c>
      <c r="D428" s="719"/>
      <c r="E428" s="719"/>
      <c r="F428" s="719"/>
      <c r="G428" s="719"/>
      <c r="H428" s="719"/>
      <c r="I428" s="719"/>
      <c r="J428" s="719"/>
      <c r="K428" s="719"/>
      <c r="L428" s="498"/>
      <c r="M428" s="781"/>
      <c r="N428" s="730"/>
      <c r="O428" s="781"/>
      <c r="P428" s="780"/>
      <c r="Q428" s="729"/>
      <c r="R428" s="719"/>
      <c r="S428" s="731"/>
      <c r="T428" s="719"/>
      <c r="U428" s="719"/>
      <c r="V428" s="585" t="s">
        <v>47</v>
      </c>
      <c r="W428" s="290" t="s">
        <v>149</v>
      </c>
      <c r="X428" s="757"/>
      <c r="Y428" s="757"/>
      <c r="Z428" s="758">
        <v>37063.157461409653</v>
      </c>
      <c r="AA428" s="757"/>
      <c r="AB428" s="757"/>
      <c r="AC428" s="758">
        <v>37063.157461409653</v>
      </c>
      <c r="AD428" s="765"/>
      <c r="AE428" s="764"/>
      <c r="AF428" s="758">
        <v>43880.1</v>
      </c>
      <c r="AG428" s="759"/>
      <c r="AH428" s="760">
        <v>6816.9425385903451</v>
      </c>
      <c r="AI428" s="761">
        <v>0.18392773323989409</v>
      </c>
      <c r="AJ428" s="765"/>
      <c r="AK428" s="757"/>
      <c r="AL428" s="758">
        <v>37434.42</v>
      </c>
      <c r="AM428" s="762"/>
      <c r="AN428" s="760">
        <v>6445.68</v>
      </c>
      <c r="AO428" s="766">
        <v>0.17218591873468322</v>
      </c>
      <c r="AP428" s="719"/>
      <c r="AQ428" s="719"/>
      <c r="AR428" s="719"/>
      <c r="AS428" s="719"/>
      <c r="AT428" s="719"/>
      <c r="AU428" s="719"/>
      <c r="AV428" s="719"/>
      <c r="AW428" s="719"/>
      <c r="AX428" s="719"/>
      <c r="AY428" s="719"/>
      <c r="AZ428" s="719"/>
      <c r="BA428" s="719"/>
      <c r="BB428" s="719"/>
      <c r="BC428" s="719"/>
      <c r="BD428" s="719"/>
      <c r="BE428" s="719"/>
      <c r="BF428" s="719"/>
      <c r="BG428" s="719"/>
      <c r="BH428" s="719"/>
      <c r="BI428" s="719"/>
    </row>
    <row r="429" spans="1:61" ht="15.75" customHeight="1">
      <c r="A429" s="493" t="s">
        <v>48</v>
      </c>
      <c r="B429" s="497"/>
      <c r="C429" s="719" t="s">
        <v>474</v>
      </c>
      <c r="D429" s="719"/>
      <c r="E429" s="719"/>
      <c r="F429" s="719"/>
      <c r="G429" s="719"/>
      <c r="H429" s="719"/>
      <c r="I429" s="719"/>
      <c r="J429" s="719"/>
      <c r="K429" s="719"/>
      <c r="L429" s="498"/>
      <c r="M429" s="781"/>
      <c r="N429" s="730"/>
      <c r="O429" s="781"/>
      <c r="P429" s="780"/>
      <c r="Q429" s="729"/>
      <c r="R429" s="719"/>
      <c r="S429" s="731"/>
      <c r="T429" s="719"/>
      <c r="U429" s="719"/>
      <c r="V429" s="585" t="s">
        <v>48</v>
      </c>
      <c r="W429" s="290" t="s">
        <v>150</v>
      </c>
      <c r="X429" s="757"/>
      <c r="Y429" s="757"/>
      <c r="Z429" s="758">
        <v>29432.50739582532</v>
      </c>
      <c r="AA429" s="757"/>
      <c r="AB429" s="757"/>
      <c r="AC429" s="758">
        <v>29432.50739582532</v>
      </c>
      <c r="AD429" s="765"/>
      <c r="AE429" s="764"/>
      <c r="AF429" s="758">
        <v>20868.7</v>
      </c>
      <c r="AG429" s="759"/>
      <c r="AH429" s="760">
        <v>-8563.807395825319</v>
      </c>
      <c r="AI429" s="761">
        <v>-0.29096424849756436</v>
      </c>
      <c r="AJ429" s="765"/>
      <c r="AK429" s="757"/>
      <c r="AL429" s="758">
        <v>29298.3</v>
      </c>
      <c r="AM429" s="762"/>
      <c r="AN429" s="760">
        <v>-8429.5999999999985</v>
      </c>
      <c r="AO429" s="766">
        <v>-0.28771635214329838</v>
      </c>
      <c r="AP429" s="719"/>
      <c r="AQ429" s="719"/>
      <c r="AR429" s="719"/>
      <c r="AS429" s="719"/>
      <c r="AT429" s="719"/>
      <c r="AU429" s="719"/>
      <c r="AV429" s="719"/>
      <c r="AW429" s="719"/>
      <c r="AX429" s="719"/>
      <c r="AY429" s="719"/>
      <c r="AZ429" s="719"/>
      <c r="BA429" s="719"/>
      <c r="BB429" s="719"/>
      <c r="BC429" s="719"/>
      <c r="BD429" s="719"/>
      <c r="BE429" s="719"/>
      <c r="BF429" s="719"/>
      <c r="BG429" s="719"/>
      <c r="BH429" s="719"/>
      <c r="BI429" s="719"/>
    </row>
    <row r="430" spans="1:61" ht="15.75" customHeight="1">
      <c r="A430" s="493" t="s">
        <v>49</v>
      </c>
      <c r="B430" s="497"/>
      <c r="C430" s="719" t="s">
        <v>474</v>
      </c>
      <c r="D430" s="719"/>
      <c r="E430" s="719"/>
      <c r="F430" s="719"/>
      <c r="G430" s="719"/>
      <c r="H430" s="719"/>
      <c r="I430" s="719"/>
      <c r="J430" s="719"/>
      <c r="K430" s="719"/>
      <c r="L430" s="498"/>
      <c r="M430" s="781"/>
      <c r="N430" s="730"/>
      <c r="O430" s="781"/>
      <c r="P430" s="780"/>
      <c r="Q430" s="729"/>
      <c r="R430" s="719"/>
      <c r="S430" s="731"/>
      <c r="T430" s="719"/>
      <c r="U430" s="719"/>
      <c r="V430" s="585" t="s">
        <v>49</v>
      </c>
      <c r="W430" s="290"/>
      <c r="X430" s="757"/>
      <c r="Y430" s="757"/>
      <c r="Z430" s="758">
        <v>11991.021531632534</v>
      </c>
      <c r="AA430" s="757"/>
      <c r="AB430" s="757"/>
      <c r="AC430" s="758">
        <v>11991.021531632534</v>
      </c>
      <c r="AD430" s="765"/>
      <c r="AE430" s="764"/>
      <c r="AF430" s="758">
        <v>13799.869999999999</v>
      </c>
      <c r="AG430" s="759"/>
      <c r="AH430" s="760">
        <v>1808.8484683674651</v>
      </c>
      <c r="AI430" s="783">
        <v>0.15085023937249131</v>
      </c>
      <c r="AJ430" s="765"/>
      <c r="AK430" s="757"/>
      <c r="AL430" s="758">
        <v>10260.509999999998</v>
      </c>
      <c r="AM430" s="762"/>
      <c r="AN430" s="760">
        <v>3539.3600000000006</v>
      </c>
      <c r="AO430" s="766">
        <v>0.34494971497518168</v>
      </c>
      <c r="AP430" s="719"/>
      <c r="AQ430" s="719"/>
      <c r="AR430" s="719"/>
      <c r="AS430" s="719"/>
      <c r="AT430" s="719"/>
      <c r="AU430" s="719"/>
      <c r="AV430" s="719"/>
      <c r="AW430" s="719"/>
      <c r="AX430" s="719"/>
      <c r="AY430" s="719"/>
      <c r="AZ430" s="719"/>
      <c r="BA430" s="719"/>
      <c r="BB430" s="719"/>
      <c r="BC430" s="719"/>
      <c r="BD430" s="719"/>
      <c r="BE430" s="719"/>
      <c r="BF430" s="719"/>
      <c r="BG430" s="719"/>
      <c r="BH430" s="719"/>
      <c r="BI430" s="719"/>
    </row>
    <row r="431" spans="1:61" ht="15.75" hidden="1" customHeight="1">
      <c r="A431" s="493" t="s">
        <v>21</v>
      </c>
      <c r="B431" s="497"/>
      <c r="C431" s="498" t="s">
        <v>474</v>
      </c>
      <c r="D431" s="498"/>
      <c r="E431" s="498"/>
      <c r="F431" s="498"/>
      <c r="G431" s="498"/>
      <c r="H431" s="498"/>
      <c r="I431" s="498"/>
      <c r="J431" s="498"/>
      <c r="K431" s="498"/>
      <c r="L431" s="498"/>
      <c r="M431" s="498"/>
      <c r="N431" s="498"/>
      <c r="O431" s="498"/>
      <c r="P431" s="732"/>
      <c r="Q431" s="738"/>
      <c r="R431" s="719"/>
      <c r="T431" s="719"/>
      <c r="U431" s="719"/>
      <c r="V431" s="513" t="s">
        <v>21</v>
      </c>
      <c r="W431" s="290"/>
      <c r="X431" s="757"/>
      <c r="Y431" s="764"/>
      <c r="Z431" s="758">
        <v>0</v>
      </c>
      <c r="AA431" s="757"/>
      <c r="AB431" s="764"/>
      <c r="AC431" s="758">
        <v>0</v>
      </c>
      <c r="AD431" s="765"/>
      <c r="AE431" s="764"/>
      <c r="AF431" s="758">
        <v>0</v>
      </c>
      <c r="AG431" s="759"/>
      <c r="AH431" s="760">
        <v>0</v>
      </c>
      <c r="AI431" s="761">
        <v>0</v>
      </c>
      <c r="AJ431" s="765"/>
      <c r="AK431" s="760"/>
      <c r="AL431" s="758">
        <v>0</v>
      </c>
      <c r="AM431" s="762"/>
      <c r="AN431" s="760"/>
      <c r="AO431" s="770"/>
      <c r="AP431" s="719"/>
      <c r="AQ431" s="719"/>
      <c r="AR431" s="719"/>
      <c r="AS431" s="719"/>
      <c r="AT431" s="719"/>
      <c r="AU431" s="719"/>
      <c r="AV431" s="719"/>
      <c r="AW431" s="719"/>
      <c r="AX431" s="719"/>
      <c r="AY431" s="719"/>
      <c r="AZ431" s="719"/>
      <c r="BA431" s="719"/>
      <c r="BB431" s="719"/>
      <c r="BC431" s="719"/>
      <c r="BD431" s="719"/>
      <c r="BE431" s="719"/>
      <c r="BF431" s="719"/>
      <c r="BG431" s="719"/>
      <c r="BH431" s="719"/>
      <c r="BI431" s="719"/>
    </row>
    <row r="432" spans="1:61" ht="15.75" customHeight="1">
      <c r="A432" s="493" t="s">
        <v>50</v>
      </c>
      <c r="B432" s="497"/>
      <c r="C432" s="719" t="s">
        <v>474</v>
      </c>
      <c r="D432" s="719"/>
      <c r="E432" s="719"/>
      <c r="F432" s="719"/>
      <c r="G432" s="719"/>
      <c r="H432" s="719"/>
      <c r="I432" s="719"/>
      <c r="J432" s="719"/>
      <c r="K432" s="719"/>
      <c r="O432" s="784"/>
      <c r="Q432" s="736"/>
      <c r="R432" s="719"/>
      <c r="T432" s="719"/>
      <c r="U432" s="719"/>
      <c r="V432" s="772" t="s">
        <v>50</v>
      </c>
      <c r="W432" s="773"/>
      <c r="X432" s="774">
        <v>0.39043140170435076</v>
      </c>
      <c r="Y432" s="773"/>
      <c r="Z432" s="775">
        <v>292094.0484001938</v>
      </c>
      <c r="AA432" s="774">
        <v>0.39043140170435076</v>
      </c>
      <c r="AB432" s="773"/>
      <c r="AC432" s="775">
        <v>292094.0484001938</v>
      </c>
      <c r="AD432" s="776">
        <v>0.43197209865158354</v>
      </c>
      <c r="AE432" s="785"/>
      <c r="AF432" s="775">
        <v>280382.48</v>
      </c>
      <c r="AG432" s="786"/>
      <c r="AH432" s="778">
        <v>-11711.568400193821</v>
      </c>
      <c r="AI432" s="774">
        <v>-4.0095196955700962E-2</v>
      </c>
      <c r="AJ432" s="776">
        <v>0.4331112843848291</v>
      </c>
      <c r="AK432" s="773"/>
      <c r="AL432" s="775">
        <v>277586.53999999998</v>
      </c>
      <c r="AM432" s="787"/>
      <c r="AN432" s="778">
        <v>2795.9400000000023</v>
      </c>
      <c r="AO432" s="755">
        <v>1.0072318348000601E-2</v>
      </c>
      <c r="AP432" s="719"/>
      <c r="AQ432" s="719"/>
      <c r="AR432" s="719"/>
      <c r="AS432" s="719"/>
      <c r="AT432" s="719"/>
      <c r="AU432" s="719"/>
      <c r="AV432" s="719"/>
      <c r="AW432" s="719"/>
      <c r="AX432" s="719"/>
      <c r="AY432" s="719"/>
      <c r="AZ432" s="719"/>
      <c r="BA432" s="719"/>
      <c r="BB432" s="719"/>
      <c r="BC432" s="719"/>
      <c r="BD432" s="719"/>
      <c r="BE432" s="719"/>
      <c r="BF432" s="719"/>
      <c r="BG432" s="719"/>
      <c r="BH432" s="719"/>
      <c r="BI432" s="719"/>
    </row>
    <row r="433" spans="1:62" ht="15.75" customHeight="1">
      <c r="A433" s="493" t="s">
        <v>51</v>
      </c>
      <c r="B433" s="497"/>
      <c r="C433" s="719" t="s">
        <v>474</v>
      </c>
      <c r="D433" s="719"/>
      <c r="E433" s="719"/>
      <c r="F433" s="719"/>
      <c r="G433" s="719"/>
      <c r="H433" s="719"/>
      <c r="I433" s="719"/>
      <c r="J433" s="719"/>
      <c r="K433" s="719"/>
      <c r="L433" s="719"/>
      <c r="M433" s="784"/>
      <c r="N433" s="730"/>
      <c r="O433" s="483"/>
      <c r="P433" s="732"/>
      <c r="Q433" s="740"/>
      <c r="R433" s="719"/>
      <c r="T433" s="719"/>
      <c r="U433" s="719"/>
      <c r="V433" s="686" t="s">
        <v>51</v>
      </c>
      <c r="W433" s="315" t="s">
        <v>140</v>
      </c>
      <c r="X433" s="788"/>
      <c r="Y433" s="788"/>
      <c r="Z433" s="789">
        <v>10644.25</v>
      </c>
      <c r="AA433" s="788"/>
      <c r="AB433" s="788"/>
      <c r="AC433" s="789">
        <v>10644.25</v>
      </c>
      <c r="AD433" s="790"/>
      <c r="AE433" s="791"/>
      <c r="AF433" s="789">
        <v>14668.98</v>
      </c>
      <c r="AG433" s="790"/>
      <c r="AH433" s="792">
        <v>4024.7299999999996</v>
      </c>
      <c r="AI433" s="793">
        <v>0.37811306573971859</v>
      </c>
      <c r="AJ433" s="790"/>
      <c r="AK433" s="788"/>
      <c r="AL433" s="789">
        <v>3826.1099999999997</v>
      </c>
      <c r="AM433" s="794"/>
      <c r="AN433" s="792">
        <v>10842.869999999999</v>
      </c>
      <c r="AO433" s="763">
        <v>2.8339148639218421</v>
      </c>
      <c r="AP433" s="719"/>
      <c r="AQ433" s="719"/>
      <c r="AR433" s="719"/>
      <c r="AS433" s="719"/>
      <c r="AT433" s="719"/>
      <c r="AU433" s="719"/>
      <c r="AV433" s="719"/>
      <c r="AW433" s="719"/>
      <c r="AX433" s="719"/>
      <c r="AY433" s="719"/>
      <c r="AZ433" s="719"/>
      <c r="BA433" s="719"/>
      <c r="BB433" s="719"/>
      <c r="BC433" s="719"/>
      <c r="BD433" s="719"/>
      <c r="BE433" s="719"/>
      <c r="BF433" s="719"/>
      <c r="BG433" s="719"/>
      <c r="BH433" s="719"/>
      <c r="BI433" s="719"/>
    </row>
    <row r="434" spans="1:62" ht="15.75" customHeight="1">
      <c r="A434" s="493" t="s">
        <v>52</v>
      </c>
      <c r="B434" s="497"/>
      <c r="C434" s="719" t="s">
        <v>474</v>
      </c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O434" s="782"/>
      <c r="P434" s="484"/>
      <c r="Q434" s="719"/>
      <c r="R434" s="719"/>
      <c r="T434" s="719"/>
      <c r="U434" s="719"/>
      <c r="V434" s="585" t="s">
        <v>52</v>
      </c>
      <c r="W434" s="290" t="s">
        <v>151</v>
      </c>
      <c r="X434" s="757"/>
      <c r="Y434" s="757"/>
      <c r="Z434" s="758">
        <v>6043.6941787975629</v>
      </c>
      <c r="AA434" s="757"/>
      <c r="AB434" s="757"/>
      <c r="AC434" s="758">
        <v>6043.6941787975629</v>
      </c>
      <c r="AD434" s="765"/>
      <c r="AE434" s="764"/>
      <c r="AF434" s="758">
        <v>3800.23</v>
      </c>
      <c r="AG434" s="759"/>
      <c r="AH434" s="760">
        <v>-2243.4641787975629</v>
      </c>
      <c r="AI434" s="761">
        <v>-0.37120742916940852</v>
      </c>
      <c r="AJ434" s="765"/>
      <c r="AK434" s="757"/>
      <c r="AL434" s="758">
        <v>3117.66</v>
      </c>
      <c r="AM434" s="762"/>
      <c r="AN434" s="760">
        <v>682.57000000000016</v>
      </c>
      <c r="AO434" s="766">
        <v>0.21893663837621813</v>
      </c>
      <c r="AP434" s="719"/>
      <c r="AQ434" s="719"/>
      <c r="AR434" s="719"/>
      <c r="AS434" s="719"/>
      <c r="AT434" s="719"/>
      <c r="AU434" s="719"/>
      <c r="AV434" s="719"/>
      <c r="AW434" s="719"/>
      <c r="AX434" s="719"/>
      <c r="AY434" s="719"/>
      <c r="AZ434" s="719"/>
      <c r="BA434" s="719"/>
      <c r="BB434" s="719"/>
      <c r="BC434" s="719"/>
      <c r="BD434" s="719"/>
      <c r="BE434" s="719"/>
      <c r="BF434" s="719"/>
      <c r="BG434" s="719"/>
      <c r="BH434" s="719"/>
      <c r="BI434" s="719"/>
    </row>
    <row r="435" spans="1:62" ht="15.75" customHeight="1">
      <c r="A435" s="493" t="s">
        <v>53</v>
      </c>
      <c r="B435" s="497"/>
      <c r="C435" s="719" t="s">
        <v>474</v>
      </c>
      <c r="D435" s="719"/>
      <c r="E435" s="719"/>
      <c r="F435" s="719"/>
      <c r="G435" s="719"/>
      <c r="H435" s="719"/>
      <c r="I435" s="719"/>
      <c r="J435" s="719"/>
      <c r="K435" s="719"/>
      <c r="L435" s="498"/>
      <c r="M435" s="781"/>
      <c r="N435" s="730"/>
      <c r="O435" s="781"/>
      <c r="P435" s="484"/>
      <c r="Q435" s="781"/>
      <c r="R435" s="719"/>
      <c r="T435" s="719"/>
      <c r="U435" s="719">
        <v>0</v>
      </c>
      <c r="V435" s="586" t="s">
        <v>53</v>
      </c>
      <c r="W435" s="294" t="s">
        <v>152</v>
      </c>
      <c r="X435" s="741"/>
      <c r="Y435" s="741"/>
      <c r="Z435" s="742">
        <v>24792.844444444443</v>
      </c>
      <c r="AA435" s="741"/>
      <c r="AB435" s="741"/>
      <c r="AC435" s="742">
        <v>24792.844444444443</v>
      </c>
      <c r="AD435" s="768"/>
      <c r="AE435" s="767"/>
      <c r="AF435" s="742">
        <v>17805.099999999999</v>
      </c>
      <c r="AG435" s="743"/>
      <c r="AH435" s="744">
        <v>-6987.7444444444445</v>
      </c>
      <c r="AI435" s="769">
        <v>-0.28184520981860361</v>
      </c>
      <c r="AJ435" s="768"/>
      <c r="AK435" s="741"/>
      <c r="AL435" s="742">
        <v>17388.189999999999</v>
      </c>
      <c r="AM435" s="746"/>
      <c r="AN435" s="744">
        <v>416.90999999999985</v>
      </c>
      <c r="AO435" s="747">
        <v>2.3976618612978111E-2</v>
      </c>
      <c r="AP435" s="719"/>
      <c r="AQ435" s="719"/>
      <c r="AR435" s="719"/>
      <c r="AS435" s="719"/>
      <c r="AT435" s="719"/>
      <c r="AU435" s="719"/>
      <c r="AV435" s="719"/>
      <c r="AW435" s="719"/>
      <c r="AX435" s="719"/>
      <c r="AY435" s="719"/>
      <c r="AZ435" s="719"/>
      <c r="BA435" s="719"/>
      <c r="BB435" s="719"/>
      <c r="BC435" s="719"/>
      <c r="BD435" s="719"/>
      <c r="BE435" s="719"/>
      <c r="BF435" s="719"/>
      <c r="BG435" s="719"/>
      <c r="BH435" s="719"/>
      <c r="BI435" s="719"/>
      <c r="BJ435" s="719"/>
    </row>
    <row r="436" spans="1:62" ht="15.75" customHeight="1">
      <c r="A436" s="493" t="s">
        <v>54</v>
      </c>
      <c r="B436" s="497"/>
      <c r="C436" s="719" t="s">
        <v>474</v>
      </c>
      <c r="D436" s="719"/>
      <c r="E436" s="719"/>
      <c r="F436" s="719"/>
      <c r="G436" s="719"/>
      <c r="H436" s="719"/>
      <c r="I436" s="719"/>
      <c r="J436" s="719"/>
      <c r="K436" s="719"/>
      <c r="L436" s="498"/>
      <c r="M436" s="781"/>
      <c r="N436" s="730"/>
      <c r="O436" s="781"/>
      <c r="P436" s="484"/>
      <c r="Q436" s="781"/>
      <c r="R436" s="719"/>
      <c r="T436" s="719"/>
      <c r="U436" s="719">
        <v>0</v>
      </c>
      <c r="V436" s="585" t="s">
        <v>54</v>
      </c>
      <c r="W436" s="290" t="s">
        <v>153</v>
      </c>
      <c r="X436" s="757"/>
      <c r="Y436" s="757"/>
      <c r="Z436" s="758">
        <v>20034.202416666667</v>
      </c>
      <c r="AA436" s="757"/>
      <c r="AB436" s="757"/>
      <c r="AC436" s="758">
        <v>20034.202416666667</v>
      </c>
      <c r="AD436" s="765"/>
      <c r="AE436" s="764"/>
      <c r="AF436" s="758">
        <v>18942.509999999998</v>
      </c>
      <c r="AG436" s="759"/>
      <c r="AH436" s="760">
        <v>-1091.6924166666686</v>
      </c>
      <c r="AI436" s="761">
        <v>-5.4491433896987983E-2</v>
      </c>
      <c r="AJ436" s="765"/>
      <c r="AK436" s="757"/>
      <c r="AL436" s="758">
        <v>14013.07</v>
      </c>
      <c r="AM436" s="762"/>
      <c r="AN436" s="760">
        <v>4929.4399999999987</v>
      </c>
      <c r="AO436" s="766">
        <v>0.35177445056650675</v>
      </c>
      <c r="AP436" s="719"/>
      <c r="AQ436" s="719"/>
      <c r="AR436" s="719"/>
      <c r="AS436" s="719"/>
      <c r="AT436" s="719"/>
      <c r="AU436" s="719"/>
      <c r="AV436" s="719"/>
      <c r="AW436" s="719"/>
      <c r="AX436" s="719"/>
      <c r="AY436" s="719"/>
      <c r="AZ436" s="719"/>
      <c r="BA436" s="719"/>
      <c r="BB436" s="719"/>
      <c r="BC436" s="719"/>
      <c r="BD436" s="719"/>
      <c r="BE436" s="719"/>
      <c r="BF436" s="719"/>
      <c r="BG436" s="719"/>
      <c r="BH436" s="719"/>
      <c r="BI436" s="719"/>
      <c r="BJ436" s="719"/>
    </row>
    <row r="437" spans="1:62" ht="15.75" customHeight="1">
      <c r="A437" s="493" t="s">
        <v>55</v>
      </c>
      <c r="B437" s="497"/>
      <c r="C437" s="719" t="s">
        <v>474</v>
      </c>
      <c r="D437" s="719"/>
      <c r="E437" s="719"/>
      <c r="F437" s="719"/>
      <c r="G437" s="719"/>
      <c r="H437" s="719"/>
      <c r="I437" s="719"/>
      <c r="J437" s="719"/>
      <c r="K437" s="719"/>
      <c r="L437" s="498"/>
      <c r="M437" s="781"/>
      <c r="N437" s="730"/>
      <c r="O437" s="781"/>
      <c r="P437" s="484"/>
      <c r="Q437" s="781"/>
      <c r="R437" s="719"/>
      <c r="T437" s="719"/>
      <c r="U437" s="719">
        <v>0</v>
      </c>
      <c r="V437" s="585" t="s">
        <v>55</v>
      </c>
      <c r="W437" s="290" t="s">
        <v>154</v>
      </c>
      <c r="X437" s="757"/>
      <c r="Y437" s="757"/>
      <c r="Z437" s="758">
        <v>2475.4431250000002</v>
      </c>
      <c r="AA437" s="757"/>
      <c r="AB437" s="757"/>
      <c r="AC437" s="758">
        <v>2475.4431250000002</v>
      </c>
      <c r="AD437" s="765"/>
      <c r="AE437" s="764"/>
      <c r="AF437" s="758">
        <v>2626.54</v>
      </c>
      <c r="AG437" s="759"/>
      <c r="AH437" s="760">
        <v>151.09687499999973</v>
      </c>
      <c r="AI437" s="761">
        <v>6.103831409982393E-2</v>
      </c>
      <c r="AJ437" s="765"/>
      <c r="AK437" s="757"/>
      <c r="AL437" s="758">
        <v>655.68</v>
      </c>
      <c r="AM437" s="762"/>
      <c r="AN437" s="760">
        <v>1970.8600000000001</v>
      </c>
      <c r="AO437" s="766">
        <v>3.0058260126891172</v>
      </c>
      <c r="AP437" s="719"/>
      <c r="AQ437" s="719"/>
      <c r="AR437" s="719"/>
      <c r="AS437" s="719"/>
      <c r="AT437" s="719"/>
      <c r="AU437" s="719"/>
      <c r="AV437" s="719"/>
      <c r="AW437" s="719"/>
      <c r="AX437" s="719"/>
      <c r="AY437" s="719"/>
      <c r="AZ437" s="719"/>
      <c r="BA437" s="719"/>
      <c r="BB437" s="719"/>
      <c r="BC437" s="719"/>
      <c r="BD437" s="719"/>
      <c r="BE437" s="719"/>
      <c r="BF437" s="719"/>
      <c r="BG437" s="719"/>
      <c r="BH437" s="719"/>
      <c r="BI437" s="719"/>
      <c r="BJ437" s="719"/>
    </row>
    <row r="438" spans="1:62" ht="15.75" customHeight="1">
      <c r="A438" s="493" t="s">
        <v>56</v>
      </c>
      <c r="B438" s="497"/>
      <c r="C438" s="719" t="s">
        <v>474</v>
      </c>
      <c r="D438" s="719"/>
      <c r="E438" s="719"/>
      <c r="F438" s="719"/>
      <c r="G438" s="719"/>
      <c r="H438" s="719"/>
      <c r="I438" s="719"/>
      <c r="J438" s="719"/>
      <c r="K438" s="719"/>
      <c r="L438" s="498"/>
      <c r="M438" s="498"/>
      <c r="N438" s="498"/>
      <c r="O438" s="740"/>
      <c r="P438" s="484"/>
      <c r="Q438" s="740"/>
      <c r="R438" s="719"/>
      <c r="T438" s="719"/>
      <c r="U438" s="719"/>
      <c r="V438" s="585" t="s">
        <v>56</v>
      </c>
      <c r="W438" s="290" t="s">
        <v>155</v>
      </c>
      <c r="X438" s="757"/>
      <c r="Y438" s="757"/>
      <c r="Z438" s="758">
        <v>19541.726855555557</v>
      </c>
      <c r="AA438" s="757"/>
      <c r="AB438" s="757"/>
      <c r="AC438" s="758">
        <v>19541.726855555557</v>
      </c>
      <c r="AD438" s="765"/>
      <c r="AE438" s="764"/>
      <c r="AF438" s="758">
        <v>20194.989999999998</v>
      </c>
      <c r="AG438" s="759"/>
      <c r="AH438" s="760">
        <v>653.26314444444142</v>
      </c>
      <c r="AI438" s="761">
        <v>3.3429141102682233E-2</v>
      </c>
      <c r="AJ438" s="765"/>
      <c r="AK438" s="757"/>
      <c r="AL438" s="758">
        <v>21607.97</v>
      </c>
      <c r="AM438" s="762"/>
      <c r="AN438" s="760">
        <v>-1412.9800000000032</v>
      </c>
      <c r="AO438" s="766">
        <v>-6.5391612446703842E-2</v>
      </c>
      <c r="AP438" s="719"/>
      <c r="AQ438" s="719"/>
      <c r="AR438" s="719"/>
      <c r="AS438" s="719"/>
      <c r="AT438" s="719"/>
      <c r="AU438" s="719"/>
      <c r="AV438" s="719"/>
      <c r="AW438" s="719"/>
      <c r="AX438" s="719"/>
      <c r="AY438" s="719"/>
      <c r="AZ438" s="719"/>
      <c r="BA438" s="719"/>
      <c r="BB438" s="719"/>
      <c r="BC438" s="719"/>
      <c r="BD438" s="719"/>
      <c r="BE438" s="719"/>
      <c r="BF438" s="719"/>
      <c r="BG438" s="719"/>
      <c r="BH438" s="719"/>
      <c r="BI438" s="719"/>
      <c r="BJ438" s="719"/>
    </row>
    <row r="439" spans="1:62" ht="15.75" customHeight="1">
      <c r="B439" s="497"/>
      <c r="C439" s="719" t="s">
        <v>474</v>
      </c>
      <c r="D439" s="719"/>
      <c r="E439" s="719"/>
      <c r="F439" s="719"/>
      <c r="G439" s="719"/>
      <c r="H439" s="719"/>
      <c r="I439" s="719"/>
      <c r="J439" s="719"/>
      <c r="K439" s="719"/>
      <c r="M439" s="784"/>
      <c r="N439" s="730"/>
      <c r="O439" s="782"/>
      <c r="P439" s="484"/>
      <c r="Q439" s="719"/>
      <c r="R439" s="719"/>
      <c r="T439" s="719"/>
      <c r="U439" s="719"/>
      <c r="V439" s="687" t="s">
        <v>99</v>
      </c>
      <c r="W439" s="323"/>
      <c r="X439" s="795"/>
      <c r="Y439" s="795"/>
      <c r="Z439" s="796">
        <v>0</v>
      </c>
      <c r="AA439" s="795"/>
      <c r="AB439" s="795"/>
      <c r="AC439" s="796">
        <v>0</v>
      </c>
      <c r="AD439" s="797"/>
      <c r="AE439" s="798"/>
      <c r="AF439" s="796">
        <v>0</v>
      </c>
      <c r="AG439" s="799"/>
      <c r="AH439" s="800">
        <v>0</v>
      </c>
      <c r="AI439" s="801">
        <v>0</v>
      </c>
      <c r="AJ439" s="797"/>
      <c r="AK439" s="795"/>
      <c r="AL439" s="796">
        <v>0</v>
      </c>
      <c r="AM439" s="802"/>
      <c r="AN439" s="800">
        <v>0</v>
      </c>
      <c r="AO439" s="803">
        <v>0</v>
      </c>
      <c r="AP439" s="719"/>
      <c r="AQ439" s="719"/>
      <c r="AR439" s="719"/>
      <c r="AS439" s="719"/>
      <c r="AT439" s="719"/>
      <c r="AU439" s="719"/>
      <c r="AV439" s="719"/>
      <c r="AW439" s="719"/>
      <c r="AX439" s="719"/>
      <c r="AY439" s="719"/>
      <c r="AZ439" s="719"/>
      <c r="BA439" s="719"/>
      <c r="BB439" s="719"/>
      <c r="BC439" s="719"/>
      <c r="BD439" s="719"/>
      <c r="BE439" s="719"/>
      <c r="BF439" s="719"/>
      <c r="BG439" s="719"/>
      <c r="BH439" s="719"/>
      <c r="BI439" s="719"/>
      <c r="BJ439" s="719"/>
    </row>
    <row r="440" spans="1:62" ht="15.75" customHeight="1">
      <c r="A440" s="493" t="s">
        <v>57</v>
      </c>
      <c r="B440" s="497"/>
      <c r="C440" s="719" t="s">
        <v>474</v>
      </c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19"/>
      <c r="P440" s="804"/>
      <c r="Q440" s="805"/>
      <c r="R440" s="719"/>
      <c r="S440" s="719"/>
      <c r="T440" s="719"/>
      <c r="U440" s="719"/>
      <c r="V440" s="585" t="s">
        <v>57</v>
      </c>
      <c r="W440" s="290" t="s">
        <v>156</v>
      </c>
      <c r="X440" s="757"/>
      <c r="Y440" s="764"/>
      <c r="Z440" s="758">
        <v>1673.3317772649877</v>
      </c>
      <c r="AA440" s="757"/>
      <c r="AB440" s="764"/>
      <c r="AC440" s="758">
        <v>1673.3317772649877</v>
      </c>
      <c r="AD440" s="765"/>
      <c r="AE440" s="764"/>
      <c r="AF440" s="758">
        <v>2068.39</v>
      </c>
      <c r="AG440" s="759"/>
      <c r="AH440" s="760">
        <v>395.05822273501212</v>
      </c>
      <c r="AI440" s="761">
        <v>0.23609079090144533</v>
      </c>
      <c r="AJ440" s="765"/>
      <c r="AK440" s="757"/>
      <c r="AL440" s="758">
        <v>1867.0900000000001</v>
      </c>
      <c r="AM440" s="762"/>
      <c r="AN440" s="760">
        <v>201.29999999999973</v>
      </c>
      <c r="AO440" s="766">
        <v>0.10781483484995352</v>
      </c>
      <c r="AP440" s="719"/>
      <c r="AQ440" s="719"/>
      <c r="AR440" s="719"/>
      <c r="AS440" s="719"/>
      <c r="AT440" s="719"/>
      <c r="AU440" s="719"/>
      <c r="AV440" s="719"/>
      <c r="AW440" s="719"/>
      <c r="AX440" s="719"/>
      <c r="AY440" s="719"/>
      <c r="AZ440" s="719"/>
      <c r="BA440" s="719"/>
      <c r="BB440" s="719"/>
      <c r="BC440" s="719"/>
      <c r="BD440" s="719"/>
      <c r="BE440" s="719"/>
      <c r="BF440" s="719"/>
      <c r="BG440" s="719"/>
      <c r="BH440" s="719"/>
      <c r="BI440" s="719"/>
      <c r="BJ440" s="719"/>
    </row>
    <row r="441" spans="1:62" ht="15.75" customHeight="1">
      <c r="A441" s="493" t="s">
        <v>58</v>
      </c>
      <c r="B441" s="497"/>
      <c r="C441" s="719" t="s">
        <v>474</v>
      </c>
      <c r="D441" s="719"/>
      <c r="E441" s="719"/>
      <c r="F441" s="719"/>
      <c r="G441" s="719"/>
      <c r="H441" s="719"/>
      <c r="I441" s="719"/>
      <c r="J441" s="719"/>
      <c r="K441" s="719"/>
      <c r="L441" s="719"/>
      <c r="M441" s="719"/>
      <c r="N441" s="719"/>
      <c r="O441" s="719"/>
      <c r="Q441" s="805"/>
      <c r="S441" s="719"/>
      <c r="T441" s="719"/>
      <c r="U441" s="719"/>
      <c r="V441" s="585" t="s">
        <v>58</v>
      </c>
      <c r="W441" s="290" t="s">
        <v>157</v>
      </c>
      <c r="X441" s="757"/>
      <c r="Y441" s="757"/>
      <c r="Z441" s="758">
        <v>889.16451825784043</v>
      </c>
      <c r="AA441" s="757"/>
      <c r="AB441" s="757"/>
      <c r="AC441" s="758">
        <v>889.16451825784043</v>
      </c>
      <c r="AD441" s="765"/>
      <c r="AE441" s="764"/>
      <c r="AF441" s="758">
        <v>1527.6</v>
      </c>
      <c r="AG441" s="759"/>
      <c r="AH441" s="760">
        <v>638.43548174215948</v>
      </c>
      <c r="AI441" s="783">
        <v>0.7180172719814103</v>
      </c>
      <c r="AJ441" s="765"/>
      <c r="AK441" s="757"/>
      <c r="AL441" s="758">
        <v>626.04</v>
      </c>
      <c r="AM441" s="762"/>
      <c r="AN441" s="760">
        <v>901.56</v>
      </c>
      <c r="AO441" s="766">
        <v>1.4400996741422274</v>
      </c>
      <c r="AP441" s="719"/>
      <c r="AQ441" s="719"/>
      <c r="AR441" s="719"/>
      <c r="AS441" s="719"/>
      <c r="AT441" s="719"/>
      <c r="AU441" s="719"/>
      <c r="AV441" s="719"/>
      <c r="AW441" s="719"/>
      <c r="AX441" s="719"/>
      <c r="AY441" s="719"/>
      <c r="AZ441" s="719"/>
      <c r="BA441" s="719"/>
      <c r="BB441" s="719"/>
      <c r="BC441" s="719"/>
      <c r="BD441" s="719"/>
      <c r="BE441" s="719"/>
      <c r="BF441" s="719"/>
      <c r="BG441" s="719"/>
      <c r="BH441" s="719"/>
      <c r="BI441" s="719"/>
      <c r="BJ441" s="719"/>
    </row>
    <row r="442" spans="1:62" ht="15.75" customHeight="1">
      <c r="A442" s="493" t="s">
        <v>59</v>
      </c>
      <c r="B442" s="497"/>
      <c r="C442" s="719" t="s">
        <v>474</v>
      </c>
      <c r="D442" s="719"/>
      <c r="E442" s="719"/>
      <c r="F442" s="719"/>
      <c r="G442" s="719"/>
      <c r="H442" s="719"/>
      <c r="I442" s="719"/>
      <c r="J442" s="719"/>
      <c r="K442" s="719"/>
      <c r="L442" s="719"/>
      <c r="M442" s="719"/>
      <c r="N442" s="719"/>
      <c r="O442" s="719"/>
      <c r="P442" s="804"/>
      <c r="Q442" s="805"/>
      <c r="R442" s="719"/>
      <c r="S442" s="719"/>
      <c r="T442" s="719"/>
      <c r="U442" s="719"/>
      <c r="V442" s="585" t="s">
        <v>59</v>
      </c>
      <c r="W442" s="290" t="s">
        <v>158</v>
      </c>
      <c r="X442" s="757"/>
      <c r="Y442" s="757"/>
      <c r="Z442" s="758">
        <v>2040.2009999999998</v>
      </c>
      <c r="AA442" s="757"/>
      <c r="AB442" s="757"/>
      <c r="AC442" s="758">
        <v>2040.2009999999998</v>
      </c>
      <c r="AD442" s="765"/>
      <c r="AE442" s="764"/>
      <c r="AF442" s="758">
        <v>2320.0100000000002</v>
      </c>
      <c r="AG442" s="759"/>
      <c r="AH442" s="760">
        <v>279.80900000000042</v>
      </c>
      <c r="AI442" s="761">
        <v>0.13714776142154644</v>
      </c>
      <c r="AJ442" s="765"/>
      <c r="AK442" s="757"/>
      <c r="AL442" s="758">
        <v>2120.67</v>
      </c>
      <c r="AM442" s="762"/>
      <c r="AN442" s="760">
        <v>199.34000000000015</v>
      </c>
      <c r="AO442" s="766">
        <v>9.3998594783724077E-2</v>
      </c>
      <c r="AP442" s="719"/>
      <c r="AQ442" s="719"/>
      <c r="AR442" s="719"/>
      <c r="AS442" s="719"/>
      <c r="AT442" s="719"/>
      <c r="AU442" s="719"/>
      <c r="AV442" s="719"/>
      <c r="AW442" s="719"/>
      <c r="AX442" s="719"/>
      <c r="AY442" s="719"/>
      <c r="AZ442" s="719"/>
      <c r="BA442" s="719"/>
      <c r="BB442" s="719"/>
      <c r="BC442" s="719"/>
      <c r="BD442" s="719"/>
      <c r="BE442" s="719"/>
      <c r="BF442" s="719"/>
      <c r="BG442" s="719"/>
      <c r="BH442" s="719"/>
      <c r="BI442" s="719"/>
      <c r="BJ442" s="719"/>
    </row>
    <row r="443" spans="1:62" ht="15.75" customHeight="1">
      <c r="A443" s="493" t="s">
        <v>60</v>
      </c>
      <c r="B443" s="497"/>
      <c r="C443" s="719" t="s">
        <v>474</v>
      </c>
      <c r="D443" s="719"/>
      <c r="E443" s="719"/>
      <c r="F443" s="719"/>
      <c r="G443" s="719"/>
      <c r="H443" s="719"/>
      <c r="I443" s="719"/>
      <c r="J443" s="719"/>
      <c r="K443" s="719"/>
      <c r="L443" s="719"/>
      <c r="M443" s="719"/>
      <c r="N443" s="719"/>
      <c r="O443" s="719"/>
      <c r="P443" s="719"/>
      <c r="Q443" s="805"/>
      <c r="S443" s="719"/>
      <c r="T443" s="719"/>
      <c r="U443" s="719"/>
      <c r="V443" s="585" t="s">
        <v>60</v>
      </c>
      <c r="W443" s="290" t="s">
        <v>159</v>
      </c>
      <c r="X443" s="757"/>
      <c r="Y443" s="757"/>
      <c r="Z443" s="758">
        <v>942.07664583333337</v>
      </c>
      <c r="AA443" s="757"/>
      <c r="AB443" s="757"/>
      <c r="AC443" s="758">
        <v>942.07664583333337</v>
      </c>
      <c r="AD443" s="765"/>
      <c r="AE443" s="764"/>
      <c r="AF443" s="758">
        <v>640.31000000000006</v>
      </c>
      <c r="AG443" s="759"/>
      <c r="AH443" s="760">
        <v>-301.76664583333331</v>
      </c>
      <c r="AI443" s="783">
        <v>-0.32032069489038167</v>
      </c>
      <c r="AJ443" s="765"/>
      <c r="AK443" s="757"/>
      <c r="AL443" s="758">
        <v>478.87</v>
      </c>
      <c r="AM443" s="762"/>
      <c r="AN443" s="760">
        <v>161.44000000000005</v>
      </c>
      <c r="AO443" s="766">
        <v>0.33712698644726136</v>
      </c>
      <c r="AP443" s="719"/>
      <c r="AQ443" s="719"/>
      <c r="AR443" s="719"/>
      <c r="AS443" s="719"/>
      <c r="AT443" s="719"/>
      <c r="AU443" s="719"/>
      <c r="AV443" s="719"/>
      <c r="AW443" s="719"/>
      <c r="AX443" s="719"/>
      <c r="AY443" s="719"/>
      <c r="AZ443" s="719"/>
      <c r="BA443" s="719"/>
      <c r="BB443" s="719"/>
      <c r="BC443" s="719"/>
      <c r="BD443" s="719"/>
      <c r="BE443" s="719"/>
      <c r="BF443" s="719"/>
      <c r="BG443" s="719"/>
      <c r="BH443" s="719"/>
      <c r="BI443" s="719"/>
      <c r="BJ443" s="719"/>
    </row>
    <row r="444" spans="1:62" ht="15.75" customHeight="1">
      <c r="A444" s="493" t="s">
        <v>61</v>
      </c>
      <c r="B444" s="497"/>
      <c r="C444" s="719" t="s">
        <v>474</v>
      </c>
      <c r="D444" s="719"/>
      <c r="E444" s="719"/>
      <c r="F444" s="719"/>
      <c r="G444" s="719"/>
      <c r="H444" s="719"/>
      <c r="I444" s="719"/>
      <c r="J444" s="719"/>
      <c r="K444" s="719"/>
      <c r="L444" s="719"/>
      <c r="M444" s="719"/>
      <c r="N444" s="719"/>
      <c r="O444" s="719"/>
      <c r="P444" s="719"/>
      <c r="Q444" s="805"/>
      <c r="S444" s="719"/>
      <c r="T444" s="719"/>
      <c r="U444" s="719"/>
      <c r="V444" s="585" t="s">
        <v>61</v>
      </c>
      <c r="W444" s="290" t="s">
        <v>160</v>
      </c>
      <c r="X444" s="757"/>
      <c r="Y444" s="757"/>
      <c r="Z444" s="758">
        <v>502.86585416666657</v>
      </c>
      <c r="AA444" s="757"/>
      <c r="AB444" s="757"/>
      <c r="AC444" s="758">
        <v>502.86585416666657</v>
      </c>
      <c r="AD444" s="765"/>
      <c r="AE444" s="764"/>
      <c r="AF444" s="758">
        <v>456.85</v>
      </c>
      <c r="AG444" s="759"/>
      <c r="AH444" s="760">
        <v>-46.015854166666543</v>
      </c>
      <c r="AI444" s="761">
        <v>-9.150721566275874E-2</v>
      </c>
      <c r="AJ444" s="765"/>
      <c r="AK444" s="757"/>
      <c r="AL444" s="758">
        <v>341.89</v>
      </c>
      <c r="AM444" s="762"/>
      <c r="AN444" s="760">
        <v>114.96000000000004</v>
      </c>
      <c r="AO444" s="766">
        <v>0.33624850097984743</v>
      </c>
      <c r="AP444" s="719"/>
      <c r="AQ444" s="719"/>
      <c r="AR444" s="719"/>
      <c r="AS444" s="719"/>
      <c r="AT444" s="719"/>
      <c r="AU444" s="719"/>
      <c r="AV444" s="719"/>
      <c r="AW444" s="719"/>
      <c r="AX444" s="719"/>
      <c r="AY444" s="719"/>
      <c r="AZ444" s="719"/>
      <c r="BA444" s="719"/>
      <c r="BB444" s="719"/>
      <c r="BC444" s="719"/>
      <c r="BD444" s="719"/>
      <c r="BE444" s="719"/>
      <c r="BF444" s="719"/>
      <c r="BG444" s="719"/>
      <c r="BH444" s="719"/>
      <c r="BI444" s="719"/>
      <c r="BJ444" s="719"/>
    </row>
    <row r="445" spans="1:62" ht="15.75" customHeight="1">
      <c r="A445" s="493" t="s">
        <v>62</v>
      </c>
      <c r="B445" s="497"/>
      <c r="C445" s="719" t="s">
        <v>474</v>
      </c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19"/>
      <c r="P445" s="719"/>
      <c r="Q445" s="805"/>
      <c r="R445" s="719"/>
      <c r="S445" s="719"/>
      <c r="T445" s="719"/>
      <c r="U445" s="719"/>
      <c r="V445" s="585" t="s">
        <v>62</v>
      </c>
      <c r="W445" s="290" t="s">
        <v>161</v>
      </c>
      <c r="X445" s="757"/>
      <c r="Y445" s="764"/>
      <c r="Z445" s="758">
        <v>2425.729979166666</v>
      </c>
      <c r="AA445" s="757"/>
      <c r="AB445" s="764"/>
      <c r="AC445" s="758">
        <v>2425.729979166666</v>
      </c>
      <c r="AD445" s="765"/>
      <c r="AE445" s="764"/>
      <c r="AF445" s="758">
        <v>2876.91</v>
      </c>
      <c r="AG445" s="759"/>
      <c r="AH445" s="760">
        <v>451.18002083333386</v>
      </c>
      <c r="AI445" s="783">
        <v>0.18599762739805525</v>
      </c>
      <c r="AJ445" s="765"/>
      <c r="AK445" s="757"/>
      <c r="AL445" s="758">
        <v>825.18000000000006</v>
      </c>
      <c r="AM445" s="762"/>
      <c r="AN445" s="760">
        <v>2051.7299999999996</v>
      </c>
      <c r="AO445" s="766">
        <v>2.4864029666254628</v>
      </c>
      <c r="AP445" s="719"/>
      <c r="AQ445" s="719"/>
      <c r="AR445" s="719"/>
      <c r="AS445" s="719"/>
      <c r="AT445" s="719"/>
      <c r="AU445" s="719"/>
      <c r="AV445" s="719"/>
      <c r="AW445" s="719"/>
      <c r="AX445" s="719"/>
      <c r="AY445" s="719"/>
      <c r="AZ445" s="719"/>
      <c r="BA445" s="719"/>
      <c r="BB445" s="719"/>
      <c r="BC445" s="719"/>
      <c r="BD445" s="719"/>
      <c r="BE445" s="719"/>
      <c r="BF445" s="719"/>
      <c r="BG445" s="719"/>
      <c r="BH445" s="719"/>
      <c r="BI445" s="719"/>
      <c r="BJ445" s="719"/>
    </row>
    <row r="446" spans="1:62" ht="15.75" customHeight="1">
      <c r="A446" s="493" t="s">
        <v>63</v>
      </c>
      <c r="B446" s="497"/>
      <c r="C446" s="719" t="s">
        <v>474</v>
      </c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19"/>
      <c r="P446" s="719"/>
      <c r="Q446" s="805"/>
      <c r="R446" s="719"/>
      <c r="S446" s="719"/>
      <c r="T446" s="719"/>
      <c r="U446" s="719"/>
      <c r="V446" s="585" t="s">
        <v>63</v>
      </c>
      <c r="W446" s="290" t="s">
        <v>162</v>
      </c>
      <c r="X446" s="757"/>
      <c r="Y446" s="764"/>
      <c r="Z446" s="758">
        <v>3603.9258333333332</v>
      </c>
      <c r="AA446" s="757"/>
      <c r="AB446" s="764"/>
      <c r="AC446" s="758">
        <v>3603.9258333333332</v>
      </c>
      <c r="AD446" s="765"/>
      <c r="AE446" s="764"/>
      <c r="AF446" s="758">
        <v>3542.92</v>
      </c>
      <c r="AG446" s="759"/>
      <c r="AH446" s="760">
        <v>-61.005833333333157</v>
      </c>
      <c r="AI446" s="761">
        <v>-1.6927605104710995E-2</v>
      </c>
      <c r="AJ446" s="765"/>
      <c r="AK446" s="757"/>
      <c r="AL446" s="758">
        <v>1945.5500000000002</v>
      </c>
      <c r="AM446" s="762"/>
      <c r="AN446" s="760">
        <v>1597.37</v>
      </c>
      <c r="AO446" s="766">
        <v>0.82103775282053904</v>
      </c>
      <c r="AP446" s="719"/>
      <c r="AQ446" s="719"/>
      <c r="AR446" s="719"/>
      <c r="AS446" s="719"/>
      <c r="AT446" s="719"/>
      <c r="AU446" s="719"/>
      <c r="AV446" s="719"/>
      <c r="AW446" s="719"/>
      <c r="AX446" s="719"/>
      <c r="AY446" s="719"/>
      <c r="AZ446" s="719"/>
      <c r="BA446" s="719"/>
      <c r="BB446" s="719"/>
      <c r="BC446" s="719"/>
      <c r="BD446" s="719"/>
      <c r="BE446" s="719"/>
      <c r="BF446" s="719"/>
      <c r="BG446" s="719"/>
      <c r="BH446" s="719"/>
      <c r="BI446" s="719"/>
      <c r="BJ446" s="719"/>
    </row>
    <row r="447" spans="1:62" ht="15.75" customHeight="1">
      <c r="A447" s="493" t="s">
        <v>64</v>
      </c>
      <c r="B447" s="497"/>
      <c r="C447" s="719" t="s">
        <v>474</v>
      </c>
      <c r="D447" s="719"/>
      <c r="E447" s="719"/>
      <c r="F447" s="719"/>
      <c r="G447" s="719"/>
      <c r="H447" s="719"/>
      <c r="I447" s="719"/>
      <c r="J447" s="719"/>
      <c r="K447" s="719"/>
      <c r="L447" s="719"/>
      <c r="M447" s="719"/>
      <c r="N447" s="719"/>
      <c r="O447" s="719"/>
      <c r="P447" s="719"/>
      <c r="Q447" s="805"/>
      <c r="R447" s="719"/>
      <c r="S447" s="719"/>
      <c r="T447" s="719"/>
      <c r="U447" s="719"/>
      <c r="V447" s="585" t="s">
        <v>64</v>
      </c>
      <c r="W447" s="290" t="s">
        <v>163</v>
      </c>
      <c r="X447" s="757"/>
      <c r="Y447" s="764"/>
      <c r="Z447" s="758">
        <v>10497.029953519042</v>
      </c>
      <c r="AA447" s="757"/>
      <c r="AB447" s="764"/>
      <c r="AC447" s="758">
        <v>10497.029953519042</v>
      </c>
      <c r="AD447" s="765"/>
      <c r="AE447" s="764"/>
      <c r="AF447" s="742">
        <v>9290.9699999999993</v>
      </c>
      <c r="AG447" s="759"/>
      <c r="AH447" s="760">
        <v>-1206.0599535190431</v>
      </c>
      <c r="AI447" s="761">
        <v>-0.11489535219576291</v>
      </c>
      <c r="AJ447" s="765"/>
      <c r="AK447" s="757"/>
      <c r="AL447" s="758">
        <v>9015.2999999999993</v>
      </c>
      <c r="AM447" s="762"/>
      <c r="AN447" s="760">
        <v>275.67000000000007</v>
      </c>
      <c r="AO447" s="766">
        <v>3.0578017370470213E-2</v>
      </c>
      <c r="AP447" s="719"/>
      <c r="AQ447" s="719"/>
      <c r="AR447" s="719"/>
      <c r="AS447" s="719"/>
      <c r="AT447" s="719"/>
      <c r="AU447" s="719"/>
      <c r="AV447" s="719"/>
      <c r="AW447" s="719"/>
      <c r="AX447" s="719"/>
      <c r="AY447" s="719"/>
      <c r="AZ447" s="719"/>
      <c r="BA447" s="719"/>
      <c r="BB447" s="719"/>
      <c r="BC447" s="719"/>
      <c r="BD447" s="719"/>
      <c r="BE447" s="719"/>
      <c r="BF447" s="719"/>
      <c r="BG447" s="719"/>
      <c r="BH447" s="719"/>
      <c r="BI447" s="719"/>
      <c r="BJ447" s="719"/>
    </row>
    <row r="448" spans="1:62" ht="15.75" hidden="1" customHeight="1">
      <c r="A448" s="493" t="s">
        <v>21</v>
      </c>
      <c r="B448" s="497"/>
      <c r="C448" s="719" t="s">
        <v>474</v>
      </c>
      <c r="D448" s="719"/>
      <c r="E448" s="719"/>
      <c r="F448" s="719"/>
      <c r="G448" s="719"/>
      <c r="H448" s="719"/>
      <c r="I448" s="719"/>
      <c r="J448" s="719"/>
      <c r="K448" s="719"/>
      <c r="L448" s="719"/>
      <c r="M448" s="719"/>
      <c r="N448" s="719"/>
      <c r="O448" s="719"/>
      <c r="P448" s="719"/>
      <c r="Q448" s="805"/>
      <c r="R448" s="719"/>
      <c r="S448" s="719"/>
      <c r="T448" s="719"/>
      <c r="U448" s="719"/>
      <c r="V448" s="585" t="s">
        <v>21</v>
      </c>
      <c r="W448" s="290"/>
      <c r="X448" s="757"/>
      <c r="Y448" s="764"/>
      <c r="Z448" s="758">
        <v>0</v>
      </c>
      <c r="AA448" s="757"/>
      <c r="AB448" s="764"/>
      <c r="AC448" s="758">
        <v>0</v>
      </c>
      <c r="AD448" s="765"/>
      <c r="AE448" s="764"/>
      <c r="AF448" s="758">
        <v>0</v>
      </c>
      <c r="AG448" s="759"/>
      <c r="AH448" s="760">
        <v>0</v>
      </c>
      <c r="AI448" s="761">
        <v>0</v>
      </c>
      <c r="AJ448" s="765"/>
      <c r="AK448" s="757"/>
      <c r="AL448" s="758">
        <v>0</v>
      </c>
      <c r="AM448" s="762"/>
      <c r="AN448" s="760">
        <v>0</v>
      </c>
      <c r="AO448" s="766">
        <v>0</v>
      </c>
      <c r="AP448" s="719"/>
      <c r="AQ448" s="719"/>
      <c r="AR448" s="719"/>
      <c r="AS448" s="719"/>
      <c r="AT448" s="719"/>
      <c r="AU448" s="719"/>
      <c r="AV448" s="719"/>
      <c r="AW448" s="719"/>
      <c r="AX448" s="719"/>
      <c r="AY448" s="719"/>
      <c r="AZ448" s="719"/>
      <c r="BA448" s="719"/>
      <c r="BB448" s="719"/>
      <c r="BC448" s="719"/>
      <c r="BD448" s="719"/>
      <c r="BE448" s="719"/>
      <c r="BF448" s="719"/>
      <c r="BG448" s="719"/>
      <c r="BH448" s="719"/>
      <c r="BI448" s="719"/>
      <c r="BJ448" s="719"/>
    </row>
    <row r="449" spans="1:62" ht="15.75" hidden="1" customHeight="1">
      <c r="A449" s="493" t="s">
        <v>21</v>
      </c>
      <c r="B449" s="497"/>
      <c r="C449" s="719" t="s">
        <v>474</v>
      </c>
      <c r="D449" s="719"/>
      <c r="E449" s="719"/>
      <c r="F449" s="719"/>
      <c r="G449" s="719"/>
      <c r="H449" s="719"/>
      <c r="I449" s="719"/>
      <c r="J449" s="719"/>
      <c r="K449" s="719"/>
      <c r="L449" s="719"/>
      <c r="M449" s="719"/>
      <c r="N449" s="719"/>
      <c r="O449" s="719"/>
      <c r="P449" s="719"/>
      <c r="Q449" s="805"/>
      <c r="R449" s="719"/>
      <c r="S449" s="719"/>
      <c r="T449" s="719"/>
      <c r="U449" s="719"/>
      <c r="V449" s="585" t="s">
        <v>21</v>
      </c>
      <c r="W449" s="290"/>
      <c r="X449" s="757"/>
      <c r="Y449" s="764"/>
      <c r="Z449" s="758">
        <v>0</v>
      </c>
      <c r="AA449" s="757"/>
      <c r="AB449" s="764"/>
      <c r="AC449" s="758">
        <v>0</v>
      </c>
      <c r="AD449" s="765"/>
      <c r="AE449" s="764"/>
      <c r="AF449" s="758">
        <v>0</v>
      </c>
      <c r="AG449" s="759"/>
      <c r="AH449" s="760">
        <v>0</v>
      </c>
      <c r="AI449" s="761">
        <v>0</v>
      </c>
      <c r="AJ449" s="765"/>
      <c r="AK449" s="757"/>
      <c r="AL449" s="758">
        <v>0</v>
      </c>
      <c r="AM449" s="762"/>
      <c r="AN449" s="760">
        <v>0</v>
      </c>
      <c r="AO449" s="766">
        <v>0</v>
      </c>
      <c r="AP449" s="719"/>
      <c r="AQ449" s="719"/>
      <c r="AR449" s="719"/>
      <c r="AS449" s="719"/>
      <c r="AT449" s="719"/>
      <c r="AU449" s="719"/>
      <c r="AV449" s="719"/>
      <c r="AW449" s="719"/>
      <c r="AX449" s="719"/>
      <c r="AY449" s="719"/>
      <c r="AZ449" s="719"/>
      <c r="BA449" s="719"/>
      <c r="BB449" s="719"/>
      <c r="BC449" s="719"/>
      <c r="BD449" s="719"/>
      <c r="BE449" s="719"/>
      <c r="BF449" s="719"/>
      <c r="BG449" s="719"/>
      <c r="BH449" s="719"/>
      <c r="BI449" s="719"/>
      <c r="BJ449" s="719"/>
    </row>
    <row r="450" spans="1:62" ht="15.75" hidden="1" customHeight="1">
      <c r="A450" s="493" t="s">
        <v>21</v>
      </c>
      <c r="B450" s="497"/>
      <c r="C450" s="719" t="s">
        <v>474</v>
      </c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19"/>
      <c r="P450" s="804"/>
      <c r="Q450" s="805"/>
      <c r="R450" s="719"/>
      <c r="S450" s="719"/>
      <c r="T450" s="719"/>
      <c r="U450" s="719"/>
      <c r="V450" s="585" t="s">
        <v>21</v>
      </c>
      <c r="W450" s="290"/>
      <c r="X450" s="757"/>
      <c r="Y450" s="764"/>
      <c r="Z450" s="758">
        <v>0</v>
      </c>
      <c r="AA450" s="757"/>
      <c r="AB450" s="764"/>
      <c r="AC450" s="758">
        <v>0</v>
      </c>
      <c r="AD450" s="765"/>
      <c r="AE450" s="764"/>
      <c r="AF450" s="758">
        <v>0</v>
      </c>
      <c r="AG450" s="759"/>
      <c r="AH450" s="760">
        <v>0</v>
      </c>
      <c r="AI450" s="761">
        <v>0</v>
      </c>
      <c r="AJ450" s="765"/>
      <c r="AK450" s="757"/>
      <c r="AL450" s="758">
        <v>0</v>
      </c>
      <c r="AM450" s="762"/>
      <c r="AN450" s="760">
        <v>0</v>
      </c>
      <c r="AO450" s="766">
        <v>0</v>
      </c>
      <c r="AP450" s="719"/>
      <c r="AQ450" s="719"/>
      <c r="AR450" s="719"/>
      <c r="AS450" s="719"/>
      <c r="AT450" s="719"/>
      <c r="AU450" s="719"/>
      <c r="AV450" s="719"/>
      <c r="AW450" s="719"/>
      <c r="AX450" s="719"/>
      <c r="AY450" s="719"/>
      <c r="AZ450" s="719"/>
      <c r="BA450" s="719"/>
      <c r="BB450" s="719"/>
      <c r="BC450" s="719"/>
      <c r="BD450" s="719"/>
      <c r="BE450" s="719"/>
      <c r="BF450" s="719"/>
      <c r="BG450" s="719"/>
      <c r="BH450" s="719"/>
      <c r="BI450" s="719"/>
      <c r="BJ450" s="719"/>
    </row>
    <row r="451" spans="1:62" ht="15.75" customHeight="1">
      <c r="A451" s="493" t="s">
        <v>65</v>
      </c>
      <c r="B451" s="497"/>
      <c r="C451" s="719" t="s">
        <v>474</v>
      </c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19"/>
      <c r="P451" s="719"/>
      <c r="Q451" s="805"/>
      <c r="R451" s="719"/>
      <c r="S451" s="719"/>
      <c r="T451" s="719"/>
      <c r="U451" s="719"/>
      <c r="V451" s="772" t="s">
        <v>65</v>
      </c>
      <c r="W451" s="806"/>
      <c r="X451" s="774">
        <v>0.14182864907051299</v>
      </c>
      <c r="Y451" s="773"/>
      <c r="Z451" s="775">
        <v>106106.48658200609</v>
      </c>
      <c r="AA451" s="774">
        <v>0.14182864907051299</v>
      </c>
      <c r="AB451" s="773"/>
      <c r="AC451" s="775">
        <v>106106.48658200609</v>
      </c>
      <c r="AD451" s="776">
        <v>0.15523975148404939</v>
      </c>
      <c r="AE451" s="773"/>
      <c r="AF451" s="775">
        <v>100762.31</v>
      </c>
      <c r="AG451" s="786"/>
      <c r="AH451" s="335">
        <v>-5344.1765820061064</v>
      </c>
      <c r="AI451" s="774">
        <v>-5.036616284411391E-2</v>
      </c>
      <c r="AJ451" s="776">
        <v>0.12143504902086986</v>
      </c>
      <c r="AK451" s="774"/>
      <c r="AL451" s="775">
        <v>77829.27</v>
      </c>
      <c r="AM451" s="787"/>
      <c r="AN451" s="778">
        <v>22933.039999999994</v>
      </c>
      <c r="AO451" s="807">
        <v>0.29465829500906271</v>
      </c>
      <c r="AP451" s="719"/>
      <c r="AQ451" s="719"/>
      <c r="AR451" s="719"/>
      <c r="AS451" s="719"/>
      <c r="AT451" s="719"/>
      <c r="AU451" s="719"/>
      <c r="AV451" s="719"/>
      <c r="AW451" s="719"/>
      <c r="AX451" s="719"/>
      <c r="AY451" s="719"/>
      <c r="AZ451" s="719"/>
      <c r="BA451" s="719"/>
      <c r="BB451" s="719"/>
      <c r="BC451" s="719"/>
      <c r="BD451" s="719"/>
      <c r="BE451" s="719"/>
      <c r="BF451" s="719"/>
      <c r="BG451" s="719"/>
      <c r="BH451" s="719"/>
      <c r="BI451" s="719"/>
      <c r="BJ451" s="719"/>
    </row>
    <row r="452" spans="1:62" ht="15.75" customHeight="1">
      <c r="A452" s="493" t="s">
        <v>164</v>
      </c>
      <c r="B452" s="497"/>
      <c r="C452" s="719" t="s">
        <v>474</v>
      </c>
      <c r="D452" s="719"/>
      <c r="E452" s="719"/>
      <c r="F452" s="719"/>
      <c r="G452" s="719"/>
      <c r="H452" s="719"/>
      <c r="I452" s="719"/>
      <c r="J452" s="719"/>
      <c r="K452" s="719"/>
      <c r="L452" s="719"/>
      <c r="M452" s="719"/>
      <c r="N452" s="719"/>
      <c r="O452" s="719"/>
      <c r="P452" s="719"/>
      <c r="Q452" s="719"/>
      <c r="R452" s="719"/>
      <c r="S452" s="719"/>
      <c r="T452" s="719"/>
      <c r="U452" s="719"/>
      <c r="V452" s="585" t="s">
        <v>164</v>
      </c>
      <c r="W452" s="290" t="s">
        <v>165</v>
      </c>
      <c r="X452" s="757"/>
      <c r="Y452" s="764"/>
      <c r="Z452" s="758">
        <v>26000</v>
      </c>
      <c r="AA452" s="757"/>
      <c r="AB452" s="764"/>
      <c r="AC452" s="758">
        <v>26000</v>
      </c>
      <c r="AD452" s="765"/>
      <c r="AE452" s="764"/>
      <c r="AF452" s="758">
        <v>26000</v>
      </c>
      <c r="AG452" s="759"/>
      <c r="AH452" s="760">
        <v>0</v>
      </c>
      <c r="AI452" s="761">
        <v>0</v>
      </c>
      <c r="AJ452" s="765"/>
      <c r="AK452" s="757"/>
      <c r="AL452" s="758">
        <v>26000</v>
      </c>
      <c r="AM452" s="762"/>
      <c r="AN452" s="760">
        <v>0</v>
      </c>
      <c r="AO452" s="766">
        <v>0</v>
      </c>
      <c r="AP452" s="719"/>
      <c r="AQ452" s="719"/>
      <c r="AR452" s="719"/>
      <c r="AS452" s="719"/>
      <c r="AT452" s="719"/>
      <c r="AU452" s="719"/>
      <c r="AV452" s="719"/>
      <c r="AW452" s="719"/>
      <c r="AX452" s="719"/>
      <c r="AY452" s="719"/>
      <c r="AZ452" s="719"/>
      <c r="BA452" s="719"/>
      <c r="BB452" s="719"/>
      <c r="BC452" s="719"/>
      <c r="BD452" s="719"/>
      <c r="BE452" s="719"/>
      <c r="BF452" s="719"/>
      <c r="BG452" s="719"/>
      <c r="BH452" s="719"/>
      <c r="BI452" s="719"/>
      <c r="BJ452" s="719"/>
    </row>
    <row r="453" spans="1:62" ht="15.75" customHeight="1">
      <c r="A453" s="493" t="s">
        <v>166</v>
      </c>
      <c r="B453" s="497"/>
      <c r="C453" s="719" t="s">
        <v>474</v>
      </c>
      <c r="D453" s="719"/>
      <c r="E453" s="719"/>
      <c r="F453" s="719"/>
      <c r="G453" s="719"/>
      <c r="H453" s="719"/>
      <c r="I453" s="719"/>
      <c r="J453" s="719"/>
      <c r="K453" s="719"/>
      <c r="L453" s="719"/>
      <c r="M453" s="719"/>
      <c r="N453" s="719"/>
      <c r="O453" s="719"/>
      <c r="P453" s="719"/>
      <c r="Q453" s="719"/>
      <c r="R453" s="719"/>
      <c r="S453" s="719"/>
      <c r="T453" s="719"/>
      <c r="U453" s="719"/>
      <c r="V453" s="585" t="s">
        <v>166</v>
      </c>
      <c r="W453" s="290" t="s">
        <v>167</v>
      </c>
      <c r="X453" s="757"/>
      <c r="Y453" s="764"/>
      <c r="Z453" s="758">
        <v>4930.2499999999991</v>
      </c>
      <c r="AA453" s="757"/>
      <c r="AB453" s="764"/>
      <c r="AC453" s="758">
        <v>4930.2499999999991</v>
      </c>
      <c r="AD453" s="765"/>
      <c r="AE453" s="764"/>
      <c r="AF453" s="758">
        <v>4930</v>
      </c>
      <c r="AG453" s="759"/>
      <c r="AH453" s="760">
        <v>-0.24999999999909051</v>
      </c>
      <c r="AI453" s="761">
        <v>-5.0707367780354051E-5</v>
      </c>
      <c r="AJ453" s="765"/>
      <c r="AK453" s="757"/>
      <c r="AL453" s="758">
        <v>4810</v>
      </c>
      <c r="AM453" s="762"/>
      <c r="AN453" s="760">
        <v>120</v>
      </c>
      <c r="AO453" s="766">
        <v>2.4948024948024949E-2</v>
      </c>
      <c r="AP453" s="719"/>
      <c r="AQ453" s="719"/>
      <c r="AR453" s="719"/>
      <c r="AS453" s="719"/>
      <c r="AT453" s="719"/>
      <c r="AU453" s="719"/>
      <c r="AV453" s="719"/>
      <c r="AW453" s="719"/>
      <c r="AX453" s="719"/>
      <c r="AY453" s="719"/>
      <c r="AZ453" s="719"/>
      <c r="BA453" s="719"/>
      <c r="BB453" s="719"/>
      <c r="BC453" s="719"/>
      <c r="BD453" s="719"/>
      <c r="BE453" s="719"/>
      <c r="BF453" s="719"/>
      <c r="BG453" s="719"/>
      <c r="BH453" s="719"/>
      <c r="BI453" s="719"/>
      <c r="BJ453" s="719"/>
    </row>
    <row r="454" spans="1:62" ht="15.75" customHeight="1">
      <c r="A454" s="493" t="s">
        <v>168</v>
      </c>
      <c r="B454" s="497"/>
      <c r="C454" s="719" t="s">
        <v>474</v>
      </c>
      <c r="D454" s="719"/>
      <c r="E454" s="719"/>
      <c r="F454" s="719"/>
      <c r="G454" s="719"/>
      <c r="H454" s="719"/>
      <c r="I454" s="719"/>
      <c r="J454" s="719"/>
      <c r="K454" s="719"/>
      <c r="L454" s="719"/>
      <c r="M454" s="719"/>
      <c r="N454" s="719"/>
      <c r="O454" s="719"/>
      <c r="P454" s="719"/>
      <c r="Q454" s="719"/>
      <c r="R454" s="719"/>
      <c r="S454" s="719"/>
      <c r="T454" s="719"/>
      <c r="U454" s="719"/>
      <c r="V454" s="586" t="s">
        <v>168</v>
      </c>
      <c r="W454" s="294" t="s">
        <v>169</v>
      </c>
      <c r="X454" s="741"/>
      <c r="Y454" s="767"/>
      <c r="Z454" s="742">
        <v>3279.9999999999995</v>
      </c>
      <c r="AA454" s="741"/>
      <c r="AB454" s="767"/>
      <c r="AC454" s="742">
        <v>3279.9999999999995</v>
      </c>
      <c r="AD454" s="768"/>
      <c r="AE454" s="767"/>
      <c r="AF454" s="742">
        <v>3279.9999999999995</v>
      </c>
      <c r="AG454" s="743"/>
      <c r="AH454" s="744">
        <v>0</v>
      </c>
      <c r="AI454" s="769">
        <v>0</v>
      </c>
      <c r="AJ454" s="768"/>
      <c r="AK454" s="741"/>
      <c r="AL454" s="742">
        <v>3200</v>
      </c>
      <c r="AM454" s="746"/>
      <c r="AN454" s="744">
        <v>79.999999999999545</v>
      </c>
      <c r="AO454" s="747">
        <v>2.4999999999999859E-2</v>
      </c>
      <c r="AP454" s="719"/>
      <c r="AQ454" s="719"/>
      <c r="AR454" s="719"/>
      <c r="AS454" s="719"/>
      <c r="AT454" s="719"/>
      <c r="AU454" s="719"/>
      <c r="AV454" s="719"/>
      <c r="AW454" s="719"/>
      <c r="AX454" s="719"/>
      <c r="AY454" s="719"/>
      <c r="AZ454" s="719"/>
      <c r="BA454" s="719"/>
      <c r="BB454" s="719"/>
      <c r="BC454" s="719"/>
      <c r="BD454" s="719"/>
      <c r="BE454" s="719"/>
      <c r="BF454" s="719"/>
      <c r="BG454" s="719"/>
      <c r="BH454" s="719"/>
      <c r="BI454" s="719"/>
      <c r="BJ454" s="719"/>
    </row>
    <row r="455" spans="1:62" ht="15.75" customHeight="1">
      <c r="A455" s="493" t="s">
        <v>170</v>
      </c>
      <c r="B455" s="497"/>
      <c r="C455" s="719" t="s">
        <v>474</v>
      </c>
      <c r="D455" s="719"/>
      <c r="E455" s="719"/>
      <c r="F455" s="719"/>
      <c r="G455" s="719"/>
      <c r="H455" s="719"/>
      <c r="I455" s="719"/>
      <c r="J455" s="719"/>
      <c r="K455" s="719"/>
      <c r="L455" s="719"/>
      <c r="M455" s="719"/>
      <c r="N455" s="719"/>
      <c r="O455" s="719"/>
      <c r="P455" s="719"/>
      <c r="Q455" s="719"/>
      <c r="R455" s="719"/>
      <c r="S455" s="719"/>
      <c r="T455" s="719"/>
      <c r="U455" s="719"/>
      <c r="V455" s="585" t="s">
        <v>170</v>
      </c>
      <c r="W455" s="290"/>
      <c r="X455" s="757"/>
      <c r="Y455" s="764"/>
      <c r="Z455" s="758">
        <v>0</v>
      </c>
      <c r="AA455" s="757"/>
      <c r="AB455" s="764"/>
      <c r="AC455" s="758">
        <v>0</v>
      </c>
      <c r="AD455" s="765"/>
      <c r="AE455" s="764"/>
      <c r="AF455" s="758">
        <v>0</v>
      </c>
      <c r="AG455" s="759"/>
      <c r="AH455" s="760">
        <v>0</v>
      </c>
      <c r="AI455" s="761">
        <v>0</v>
      </c>
      <c r="AJ455" s="765"/>
      <c r="AK455" s="757"/>
      <c r="AL455" s="758">
        <v>0</v>
      </c>
      <c r="AM455" s="762"/>
      <c r="AN455" s="760">
        <v>0</v>
      </c>
      <c r="AO455" s="766">
        <v>0</v>
      </c>
      <c r="AP455" s="719"/>
      <c r="AQ455" s="719"/>
      <c r="AR455" s="719"/>
      <c r="AS455" s="719"/>
      <c r="AT455" s="719"/>
      <c r="AU455" s="719"/>
      <c r="AV455" s="719"/>
      <c r="AW455" s="719"/>
      <c r="AX455" s="719"/>
      <c r="AY455" s="719"/>
      <c r="AZ455" s="719"/>
      <c r="BA455" s="719"/>
      <c r="BB455" s="719"/>
      <c r="BC455" s="719"/>
      <c r="BD455" s="719"/>
      <c r="BE455" s="719"/>
      <c r="BF455" s="719"/>
      <c r="BG455" s="719"/>
      <c r="BH455" s="719"/>
      <c r="BI455" s="719"/>
      <c r="BJ455" s="719"/>
    </row>
    <row r="456" spans="1:62" ht="15.75" customHeight="1">
      <c r="A456" s="493" t="s">
        <v>171</v>
      </c>
      <c r="B456" s="497"/>
      <c r="C456" s="719" t="s">
        <v>474</v>
      </c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19"/>
      <c r="P456" s="719"/>
      <c r="Q456" s="719"/>
      <c r="R456" s="719"/>
      <c r="S456" s="719"/>
      <c r="T456" s="719"/>
      <c r="U456" s="719"/>
      <c r="V456" s="586" t="s">
        <v>171</v>
      </c>
      <c r="W456" s="294" t="s">
        <v>172</v>
      </c>
      <c r="X456" s="741"/>
      <c r="Y456" s="767"/>
      <c r="Z456" s="742">
        <v>4270.5833333333321</v>
      </c>
      <c r="AA456" s="741"/>
      <c r="AB456" s="767"/>
      <c r="AC456" s="742">
        <v>4270.5833333333321</v>
      </c>
      <c r="AD456" s="768"/>
      <c r="AE456" s="767"/>
      <c r="AF456" s="742">
        <v>4271</v>
      </c>
      <c r="AG456" s="743"/>
      <c r="AH456" s="744">
        <v>0.41666666666787933</v>
      </c>
      <c r="AI456" s="769">
        <v>9.7566686830732595E-5</v>
      </c>
      <c r="AJ456" s="768"/>
      <c r="AK456" s="741"/>
      <c r="AL456" s="742">
        <v>3708.11</v>
      </c>
      <c r="AM456" s="746"/>
      <c r="AN456" s="744">
        <v>562.88999999999987</v>
      </c>
      <c r="AO456" s="747">
        <v>0.15179970389227931</v>
      </c>
      <c r="AP456" s="719"/>
      <c r="AQ456" s="719"/>
      <c r="AR456" s="719"/>
      <c r="AS456" s="719"/>
      <c r="AT456" s="719"/>
      <c r="AU456" s="719"/>
      <c r="AV456" s="719"/>
      <c r="AW456" s="719"/>
      <c r="AX456" s="719"/>
      <c r="AY456" s="719"/>
      <c r="AZ456" s="719"/>
      <c r="BA456" s="719"/>
      <c r="BB456" s="719"/>
      <c r="BC456" s="719"/>
      <c r="BD456" s="719"/>
      <c r="BE456" s="719"/>
      <c r="BF456" s="719"/>
      <c r="BG456" s="719"/>
      <c r="BH456" s="719"/>
      <c r="BI456" s="719"/>
      <c r="BJ456" s="719"/>
    </row>
    <row r="457" spans="1:62" ht="15.75" customHeight="1">
      <c r="A457" s="493" t="s">
        <v>173</v>
      </c>
      <c r="B457" s="497"/>
      <c r="C457" s="719" t="s">
        <v>474</v>
      </c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19"/>
      <c r="P457" s="719"/>
      <c r="Q457" s="719"/>
      <c r="R457" s="719"/>
      <c r="S457" s="719"/>
      <c r="T457" s="719"/>
      <c r="U457" s="719"/>
      <c r="V457" s="585" t="s">
        <v>173</v>
      </c>
      <c r="W457" s="290" t="s">
        <v>174</v>
      </c>
      <c r="X457" s="808"/>
      <c r="Y457" s="809"/>
      <c r="Z457" s="758">
        <v>2838.4863750000004</v>
      </c>
      <c r="AA457" s="808"/>
      <c r="AB457" s="809"/>
      <c r="AC457" s="758">
        <v>2838.4863750000004</v>
      </c>
      <c r="AD457" s="765"/>
      <c r="AE457" s="764"/>
      <c r="AF457" s="810">
        <v>0</v>
      </c>
      <c r="AG457" s="759"/>
      <c r="AH457" s="760">
        <v>-2838.4863750000004</v>
      </c>
      <c r="AI457" s="761">
        <v>-1</v>
      </c>
      <c r="AJ457" s="765"/>
      <c r="AK457" s="757"/>
      <c r="AL457" s="758">
        <v>738.78</v>
      </c>
      <c r="AM457" s="762"/>
      <c r="AN457" s="760">
        <v>-738.78</v>
      </c>
      <c r="AO457" s="766">
        <v>-1</v>
      </c>
      <c r="AP457" s="719"/>
      <c r="AQ457" s="719"/>
      <c r="AR457" s="719"/>
      <c r="AS457" s="719"/>
      <c r="AT457" s="719"/>
      <c r="AU457" s="719"/>
      <c r="AV457" s="719"/>
      <c r="AW457" s="719"/>
      <c r="AX457" s="719"/>
      <c r="AY457" s="719"/>
      <c r="AZ457" s="719"/>
      <c r="BA457" s="719"/>
      <c r="BB457" s="719"/>
      <c r="BC457" s="719"/>
      <c r="BD457" s="719"/>
      <c r="BE457" s="719"/>
      <c r="BF457" s="719"/>
      <c r="BG457" s="719"/>
      <c r="BH457" s="719"/>
      <c r="BI457" s="719"/>
      <c r="BJ457" s="719"/>
    </row>
    <row r="458" spans="1:62" ht="15.75" customHeight="1">
      <c r="A458" s="493" t="s">
        <v>175</v>
      </c>
      <c r="B458" s="497"/>
      <c r="C458" s="719" t="s">
        <v>474</v>
      </c>
      <c r="D458" s="719"/>
      <c r="E458" s="719"/>
      <c r="F458" s="719"/>
      <c r="G458" s="719"/>
      <c r="H458" s="719"/>
      <c r="I458" s="719"/>
      <c r="J458" s="719"/>
      <c r="K458" s="719"/>
      <c r="L458" s="719"/>
      <c r="M458" s="719"/>
      <c r="N458" s="719"/>
      <c r="O458" s="719"/>
      <c r="P458" s="719"/>
      <c r="Q458" s="719"/>
      <c r="R458" s="719"/>
      <c r="S458" s="719"/>
      <c r="T458" s="719"/>
      <c r="U458" s="719"/>
      <c r="V458" s="585" t="s">
        <v>175</v>
      </c>
      <c r="W458" s="290" t="s">
        <v>176</v>
      </c>
      <c r="X458" s="757"/>
      <c r="Y458" s="764"/>
      <c r="Z458" s="758">
        <v>6122.833333333333</v>
      </c>
      <c r="AA458" s="757"/>
      <c r="AB458" s="764"/>
      <c r="AC458" s="758">
        <v>6122.833333333333</v>
      </c>
      <c r="AD458" s="765"/>
      <c r="AE458" s="764"/>
      <c r="AF458" s="758">
        <v>6123.33</v>
      </c>
      <c r="AG458" s="759"/>
      <c r="AH458" s="760">
        <v>0.49666666666689707</v>
      </c>
      <c r="AI458" s="761">
        <v>8.1117129869106967E-5</v>
      </c>
      <c r="AJ458" s="765"/>
      <c r="AK458" s="757"/>
      <c r="AL458" s="758">
        <v>7088.17</v>
      </c>
      <c r="AM458" s="762"/>
      <c r="AN458" s="760">
        <v>-964.84000000000015</v>
      </c>
      <c r="AO458" s="766">
        <v>-0.13611976010733379</v>
      </c>
      <c r="AP458" s="719"/>
      <c r="AQ458" s="719"/>
      <c r="AR458" s="719"/>
      <c r="AS458" s="719"/>
      <c r="AT458" s="719"/>
      <c r="AU458" s="719"/>
      <c r="AV458" s="719"/>
      <c r="AW458" s="719"/>
      <c r="AX458" s="719"/>
      <c r="AY458" s="719"/>
      <c r="AZ458" s="719"/>
      <c r="BA458" s="719"/>
      <c r="BB458" s="719"/>
      <c r="BC458" s="719"/>
      <c r="BD458" s="719"/>
      <c r="BE458" s="719"/>
      <c r="BF458" s="719"/>
      <c r="BG458" s="719"/>
      <c r="BH458" s="719"/>
      <c r="BI458" s="719"/>
      <c r="BJ458" s="719"/>
    </row>
    <row r="459" spans="1:62" ht="15.75" customHeight="1">
      <c r="A459" s="493" t="s">
        <v>177</v>
      </c>
      <c r="B459" s="497"/>
      <c r="C459" s="719" t="s">
        <v>474</v>
      </c>
      <c r="D459" s="719"/>
      <c r="E459" s="719"/>
      <c r="F459" s="719"/>
      <c r="G459" s="719"/>
      <c r="H459" s="719"/>
      <c r="I459" s="719"/>
      <c r="J459" s="719"/>
      <c r="K459" s="719"/>
      <c r="L459" s="719"/>
      <c r="M459" s="719"/>
      <c r="N459" s="719"/>
      <c r="O459" s="719"/>
      <c r="P459" s="719"/>
      <c r="Q459" s="719"/>
      <c r="R459" s="719"/>
      <c r="S459" s="719"/>
      <c r="T459" s="719"/>
      <c r="U459" s="719"/>
      <c r="V459" s="586" t="s">
        <v>177</v>
      </c>
      <c r="W459" s="294" t="s">
        <v>178</v>
      </c>
      <c r="X459" s="741"/>
      <c r="Y459" s="767"/>
      <c r="Z459" s="742">
        <v>1188.8599166666665</v>
      </c>
      <c r="AA459" s="741"/>
      <c r="AB459" s="767"/>
      <c r="AC459" s="742">
        <v>1188.8599166666665</v>
      </c>
      <c r="AD459" s="768"/>
      <c r="AE459" s="767"/>
      <c r="AF459" s="742">
        <v>1880.43</v>
      </c>
      <c r="AG459" s="743"/>
      <c r="AH459" s="744">
        <v>691.57008333333351</v>
      </c>
      <c r="AI459" s="769">
        <v>0.581708638367052</v>
      </c>
      <c r="AJ459" s="768"/>
      <c r="AK459" s="741"/>
      <c r="AL459" s="742">
        <v>518.51</v>
      </c>
      <c r="AM459" s="746"/>
      <c r="AN459" s="744">
        <v>1361.92</v>
      </c>
      <c r="AO459" s="747">
        <v>2.6266031513374863</v>
      </c>
      <c r="AP459" s="719"/>
      <c r="AQ459" s="719"/>
      <c r="AR459" s="719"/>
      <c r="AS459" s="719"/>
      <c r="AT459" s="719"/>
      <c r="AU459" s="719"/>
      <c r="AV459" s="719"/>
      <c r="AW459" s="719"/>
      <c r="AX459" s="719"/>
      <c r="AY459" s="719"/>
      <c r="AZ459" s="719"/>
      <c r="BA459" s="719"/>
      <c r="BB459" s="719"/>
      <c r="BC459" s="719"/>
      <c r="BD459" s="719"/>
      <c r="BE459" s="719"/>
      <c r="BF459" s="719"/>
      <c r="BG459" s="719"/>
      <c r="BH459" s="719"/>
      <c r="BI459" s="719"/>
      <c r="BJ459" s="719"/>
    </row>
    <row r="460" spans="1:62" ht="15.75" customHeight="1">
      <c r="A460" s="493" t="s">
        <v>179</v>
      </c>
      <c r="B460" s="497"/>
      <c r="C460" s="719" t="s">
        <v>474</v>
      </c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19"/>
      <c r="P460" s="719"/>
      <c r="Q460" s="719"/>
      <c r="R460" s="719"/>
      <c r="S460" s="719"/>
      <c r="T460" s="719"/>
      <c r="U460" s="811"/>
      <c r="V460" s="585" t="s">
        <v>179</v>
      </c>
      <c r="W460" s="290" t="s">
        <v>180</v>
      </c>
      <c r="X460" s="757"/>
      <c r="Y460" s="764"/>
      <c r="Z460" s="758">
        <v>230.625</v>
      </c>
      <c r="AA460" s="757"/>
      <c r="AB460" s="764"/>
      <c r="AC460" s="758">
        <v>230.625</v>
      </c>
      <c r="AD460" s="765"/>
      <c r="AE460" s="764"/>
      <c r="AF460" s="758">
        <v>0</v>
      </c>
      <c r="AG460" s="759"/>
      <c r="AH460" s="760">
        <v>-230.625</v>
      </c>
      <c r="AI460" s="812">
        <v>-1</v>
      </c>
      <c r="AJ460" s="757"/>
      <c r="AK460" s="757"/>
      <c r="AL460" s="758">
        <v>0</v>
      </c>
      <c r="AM460" s="762"/>
      <c r="AN460" s="760">
        <v>0</v>
      </c>
      <c r="AO460" s="766">
        <v>0</v>
      </c>
      <c r="AP460" s="719"/>
      <c r="AQ460" s="719"/>
      <c r="AR460" s="719"/>
      <c r="AS460" s="719"/>
      <c r="AT460" s="719"/>
      <c r="AU460" s="719"/>
      <c r="AV460" s="719"/>
      <c r="AW460" s="719"/>
      <c r="AX460" s="719"/>
      <c r="AY460" s="719"/>
      <c r="AZ460" s="719"/>
      <c r="BA460" s="719"/>
      <c r="BB460" s="719"/>
      <c r="BC460" s="719"/>
      <c r="BD460" s="719"/>
      <c r="BE460" s="719"/>
      <c r="BF460" s="719"/>
      <c r="BG460" s="719"/>
      <c r="BH460" s="719"/>
      <c r="BI460" s="719"/>
      <c r="BJ460" s="719"/>
    </row>
    <row r="461" spans="1:62" ht="15.75" customHeight="1">
      <c r="A461" s="493" t="s">
        <v>181</v>
      </c>
      <c r="B461" s="497"/>
      <c r="C461" s="719" t="s">
        <v>474</v>
      </c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19"/>
      <c r="P461" s="719"/>
      <c r="Q461" s="719"/>
      <c r="R461" s="719"/>
      <c r="S461" s="719"/>
      <c r="T461" s="719"/>
      <c r="U461" s="811"/>
      <c r="V461" s="585" t="s">
        <v>181</v>
      </c>
      <c r="W461" s="290" t="s">
        <v>182</v>
      </c>
      <c r="X461" s="757"/>
      <c r="Y461" s="764"/>
      <c r="Z461" s="758">
        <v>0</v>
      </c>
      <c r="AA461" s="757"/>
      <c r="AB461" s="764"/>
      <c r="AC461" s="758">
        <v>0</v>
      </c>
      <c r="AD461" s="765"/>
      <c r="AE461" s="764"/>
      <c r="AF461" s="758">
        <v>0</v>
      </c>
      <c r="AG461" s="759"/>
      <c r="AH461" s="760">
        <v>0</v>
      </c>
      <c r="AI461" s="783">
        <v>0</v>
      </c>
      <c r="AJ461" s="757"/>
      <c r="AK461" s="757"/>
      <c r="AL461" s="758">
        <v>0</v>
      </c>
      <c r="AM461" s="762"/>
      <c r="AN461" s="760">
        <v>0</v>
      </c>
      <c r="AO461" s="766">
        <v>0</v>
      </c>
      <c r="AP461" s="719"/>
      <c r="AQ461" s="719"/>
      <c r="AR461" s="719"/>
      <c r="AS461" s="719"/>
      <c r="AT461" s="719"/>
      <c r="AU461" s="719"/>
      <c r="AV461" s="719"/>
      <c r="AW461" s="719"/>
      <c r="AX461" s="719"/>
      <c r="AY461" s="719"/>
      <c r="AZ461" s="719"/>
      <c r="BA461" s="719"/>
      <c r="BB461" s="719"/>
      <c r="BC461" s="719"/>
      <c r="BD461" s="719"/>
      <c r="BE461" s="719"/>
      <c r="BF461" s="719"/>
      <c r="BG461" s="719"/>
      <c r="BH461" s="719"/>
      <c r="BI461" s="719"/>
      <c r="BJ461" s="719"/>
    </row>
    <row r="462" spans="1:62" ht="15.75" hidden="1" customHeight="1">
      <c r="A462" s="493" t="s">
        <v>21</v>
      </c>
      <c r="B462" s="497"/>
      <c r="C462" s="719" t="s">
        <v>474</v>
      </c>
      <c r="D462" s="719"/>
      <c r="E462" s="719"/>
      <c r="F462" s="719"/>
      <c r="G462" s="719"/>
      <c r="H462" s="719"/>
      <c r="I462" s="719"/>
      <c r="J462" s="719"/>
      <c r="K462" s="719"/>
      <c r="L462" s="719"/>
      <c r="M462" s="719"/>
      <c r="N462" s="719"/>
      <c r="O462" s="719"/>
      <c r="P462" s="719"/>
      <c r="Q462" s="719"/>
      <c r="R462" s="719"/>
      <c r="S462" s="719"/>
      <c r="T462" s="719"/>
      <c r="U462" s="811"/>
      <c r="V462" s="585" t="s">
        <v>21</v>
      </c>
      <c r="W462" s="290"/>
      <c r="X462" s="757"/>
      <c r="Y462" s="764"/>
      <c r="Z462" s="758">
        <v>0</v>
      </c>
      <c r="AA462" s="757"/>
      <c r="AB462" s="764"/>
      <c r="AC462" s="758">
        <v>0</v>
      </c>
      <c r="AD462" s="765"/>
      <c r="AE462" s="764"/>
      <c r="AF462" s="758">
        <v>0</v>
      </c>
      <c r="AG462" s="759"/>
      <c r="AH462" s="760">
        <v>0</v>
      </c>
      <c r="AI462" s="783">
        <v>0</v>
      </c>
      <c r="AJ462" s="757"/>
      <c r="AK462" s="757"/>
      <c r="AL462" s="758">
        <v>0</v>
      </c>
      <c r="AM462" s="762"/>
      <c r="AN462" s="760">
        <v>0</v>
      </c>
      <c r="AO462" s="766">
        <v>1</v>
      </c>
      <c r="AP462" s="719"/>
      <c r="AQ462" s="719"/>
      <c r="AR462" s="719"/>
      <c r="AS462" s="719"/>
      <c r="AT462" s="719"/>
      <c r="AU462" s="719"/>
      <c r="AV462" s="719"/>
      <c r="AW462" s="719"/>
      <c r="AX462" s="719"/>
      <c r="AY462" s="719"/>
      <c r="AZ462" s="719"/>
      <c r="BA462" s="719"/>
      <c r="BB462" s="719"/>
      <c r="BC462" s="719"/>
      <c r="BD462" s="719"/>
      <c r="BE462" s="719"/>
      <c r="BF462" s="719"/>
      <c r="BG462" s="719"/>
      <c r="BH462" s="719"/>
      <c r="BI462" s="719"/>
      <c r="BJ462" s="719"/>
    </row>
    <row r="463" spans="1:62" ht="15.75" hidden="1" customHeight="1">
      <c r="A463" s="493" t="s">
        <v>21</v>
      </c>
      <c r="B463" s="497"/>
      <c r="C463" s="719" t="s">
        <v>474</v>
      </c>
      <c r="D463" s="719"/>
      <c r="E463" s="719"/>
      <c r="F463" s="719"/>
      <c r="G463" s="719"/>
      <c r="H463" s="719"/>
      <c r="I463" s="719"/>
      <c r="J463" s="719"/>
      <c r="K463" s="719"/>
      <c r="L463" s="719"/>
      <c r="M463" s="719"/>
      <c r="N463" s="719"/>
      <c r="O463" s="719"/>
      <c r="P463" s="719"/>
      <c r="Q463" s="719"/>
      <c r="R463" s="719"/>
      <c r="S463" s="719"/>
      <c r="T463" s="719"/>
      <c r="U463" s="811"/>
      <c r="V463" s="585" t="s">
        <v>21</v>
      </c>
      <c r="W463" s="290"/>
      <c r="X463" s="757"/>
      <c r="Y463" s="764"/>
      <c r="Z463" s="758">
        <v>0</v>
      </c>
      <c r="AA463" s="757"/>
      <c r="AB463" s="764"/>
      <c r="AC463" s="758">
        <v>0</v>
      </c>
      <c r="AD463" s="765"/>
      <c r="AE463" s="764"/>
      <c r="AF463" s="758">
        <v>0</v>
      </c>
      <c r="AG463" s="759"/>
      <c r="AH463" s="760">
        <v>0</v>
      </c>
      <c r="AI463" s="783">
        <v>0</v>
      </c>
      <c r="AJ463" s="757"/>
      <c r="AK463" s="757"/>
      <c r="AL463" s="758">
        <v>0</v>
      </c>
      <c r="AM463" s="762"/>
      <c r="AN463" s="760">
        <v>0</v>
      </c>
      <c r="AO463" s="766">
        <v>2</v>
      </c>
      <c r="AP463" s="719"/>
      <c r="AQ463" s="719"/>
      <c r="AR463" s="719"/>
      <c r="AS463" s="719"/>
      <c r="AT463" s="719"/>
      <c r="AU463" s="719"/>
      <c r="AV463" s="719"/>
      <c r="AW463" s="719"/>
      <c r="AX463" s="719"/>
      <c r="AY463" s="719"/>
      <c r="AZ463" s="719"/>
      <c r="BA463" s="719"/>
      <c r="BB463" s="719"/>
      <c r="BC463" s="719"/>
      <c r="BD463" s="719"/>
      <c r="BE463" s="719"/>
      <c r="BF463" s="719"/>
      <c r="BG463" s="719"/>
      <c r="BH463" s="719"/>
      <c r="BI463" s="719"/>
      <c r="BJ463" s="719"/>
    </row>
    <row r="464" spans="1:62" ht="15.75" hidden="1" customHeight="1">
      <c r="A464" s="493" t="s">
        <v>21</v>
      </c>
      <c r="B464" s="497"/>
      <c r="C464" s="719" t="s">
        <v>474</v>
      </c>
      <c r="D464" s="719"/>
      <c r="E464" s="719"/>
      <c r="F464" s="719"/>
      <c r="G464" s="719"/>
      <c r="H464" s="719"/>
      <c r="I464" s="719"/>
      <c r="J464" s="719"/>
      <c r="K464" s="719"/>
      <c r="L464" s="719"/>
      <c r="M464" s="719"/>
      <c r="N464" s="719"/>
      <c r="O464" s="719"/>
      <c r="P464" s="719"/>
      <c r="Q464" s="719"/>
      <c r="R464" s="719"/>
      <c r="S464" s="719"/>
      <c r="T464" s="719"/>
      <c r="U464" s="719"/>
      <c r="V464" s="585" t="s">
        <v>21</v>
      </c>
      <c r="W464" s="290"/>
      <c r="X464" s="757"/>
      <c r="Y464" s="764"/>
      <c r="Z464" s="758">
        <v>0</v>
      </c>
      <c r="AA464" s="757"/>
      <c r="AB464" s="764"/>
      <c r="AC464" s="758">
        <v>0</v>
      </c>
      <c r="AD464" s="765"/>
      <c r="AE464" s="764"/>
      <c r="AF464" s="758">
        <v>0</v>
      </c>
      <c r="AG464" s="759"/>
      <c r="AH464" s="760">
        <v>0</v>
      </c>
      <c r="AI464" s="783">
        <v>0</v>
      </c>
      <c r="AJ464" s="757"/>
      <c r="AK464" s="757"/>
      <c r="AL464" s="758">
        <v>0</v>
      </c>
      <c r="AM464" s="762"/>
      <c r="AN464" s="760">
        <v>0</v>
      </c>
      <c r="AO464" s="766">
        <v>3</v>
      </c>
      <c r="AP464" s="719"/>
      <c r="AQ464" s="719"/>
      <c r="AR464" s="719"/>
      <c r="AS464" s="719"/>
      <c r="AT464" s="719"/>
      <c r="AU464" s="719"/>
      <c r="AV464" s="719"/>
      <c r="AW464" s="719"/>
      <c r="AX464" s="719"/>
      <c r="AY464" s="719"/>
      <c r="AZ464" s="719"/>
      <c r="BA464" s="719"/>
      <c r="BB464" s="719"/>
      <c r="BC464" s="719"/>
      <c r="BD464" s="719"/>
      <c r="BE464" s="719"/>
      <c r="BF464" s="719"/>
      <c r="BG464" s="719"/>
      <c r="BH464" s="719"/>
      <c r="BI464" s="719"/>
      <c r="BJ464" s="719"/>
    </row>
    <row r="465" spans="1:62" ht="15.75" customHeight="1">
      <c r="A465" s="493" t="s">
        <v>183</v>
      </c>
      <c r="B465" s="497"/>
      <c r="C465" s="719" t="s">
        <v>474</v>
      </c>
      <c r="D465" s="719"/>
      <c r="E465" s="719"/>
      <c r="F465" s="719"/>
      <c r="G465" s="719"/>
      <c r="H465" s="719"/>
      <c r="I465" s="719"/>
      <c r="J465" s="719"/>
      <c r="K465" s="719"/>
      <c r="L465" s="719"/>
      <c r="M465" s="719"/>
      <c r="N465" s="719"/>
      <c r="O465" s="719"/>
      <c r="P465" s="719"/>
      <c r="Q465" s="719"/>
      <c r="R465" s="719"/>
      <c r="S465" s="719"/>
      <c r="T465" s="719"/>
      <c r="U465" s="719"/>
      <c r="V465" s="772" t="s">
        <v>183</v>
      </c>
      <c r="W465" s="773"/>
      <c r="X465" s="774">
        <v>6.5311559417689041E-2</v>
      </c>
      <c r="Y465" s="773"/>
      <c r="Z465" s="775">
        <v>48861.637958333333</v>
      </c>
      <c r="AA465" s="774">
        <v>6.5311559417689041E-2</v>
      </c>
      <c r="AB465" s="773"/>
      <c r="AC465" s="775">
        <v>48861.637958333333</v>
      </c>
      <c r="AD465" s="776">
        <v>7.161688323933503E-2</v>
      </c>
      <c r="AE465" s="773"/>
      <c r="AF465" s="775">
        <v>46484.76</v>
      </c>
      <c r="AG465" s="786"/>
      <c r="AH465" s="813">
        <v>-2376.8779583333312</v>
      </c>
      <c r="AI465" s="774">
        <v>-4.8645073265047099E-2</v>
      </c>
      <c r="AJ465" s="776">
        <v>7.1871827668771274E-2</v>
      </c>
      <c r="AK465" s="774"/>
      <c r="AL465" s="775">
        <v>46063.57</v>
      </c>
      <c r="AM465" s="787"/>
      <c r="AN465" s="778">
        <v>421.18999999999937</v>
      </c>
      <c r="AO465" s="807">
        <v>9.1436681959300888E-3</v>
      </c>
      <c r="AP465" s="719"/>
      <c r="AQ465" s="719"/>
      <c r="AR465" s="719"/>
      <c r="AS465" s="719"/>
      <c r="AT465" s="719"/>
      <c r="AU465" s="719"/>
      <c r="AV465" s="719"/>
      <c r="AW465" s="719"/>
      <c r="AX465" s="719"/>
      <c r="AY465" s="719"/>
      <c r="AZ465" s="719"/>
      <c r="BA465" s="719"/>
      <c r="BB465" s="719"/>
      <c r="BC465" s="719"/>
      <c r="BD465" s="719"/>
      <c r="BE465" s="719"/>
      <c r="BF465" s="719"/>
      <c r="BG465" s="719"/>
      <c r="BH465" s="719"/>
      <c r="BI465" s="719"/>
      <c r="BJ465" s="719"/>
    </row>
    <row r="466" spans="1:62" ht="15.75" customHeight="1">
      <c r="A466" s="493" t="s">
        <v>476</v>
      </c>
      <c r="B466" s="497"/>
      <c r="C466" s="719" t="s">
        <v>474</v>
      </c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19"/>
      <c r="P466" s="719"/>
      <c r="Q466" s="719"/>
      <c r="R466" s="719"/>
      <c r="S466" s="719"/>
      <c r="T466" s="719"/>
      <c r="U466" s="719"/>
      <c r="V466" s="585"/>
      <c r="W466" s="757"/>
      <c r="X466" s="757"/>
      <c r="Y466" s="757"/>
      <c r="Z466" s="814"/>
      <c r="AA466" s="757"/>
      <c r="AB466" s="757"/>
      <c r="AC466" s="814"/>
      <c r="AD466" s="765"/>
      <c r="AE466" s="757"/>
      <c r="AF466" s="814"/>
      <c r="AG466" s="765"/>
      <c r="AH466" s="760">
        <v>0</v>
      </c>
      <c r="AI466" s="761"/>
      <c r="AJ466" s="765"/>
      <c r="AK466" s="757"/>
      <c r="AL466" s="814"/>
      <c r="AM466" s="815"/>
      <c r="AN466" s="760">
        <v>0</v>
      </c>
      <c r="AO466" s="816">
        <v>0</v>
      </c>
      <c r="AP466" s="719"/>
      <c r="AQ466" s="719"/>
      <c r="AR466" s="719"/>
      <c r="AS466" s="719"/>
      <c r="AT466" s="719"/>
      <c r="AU466" s="719"/>
      <c r="AV466" s="719"/>
      <c r="AW466" s="719"/>
      <c r="AX466" s="719"/>
      <c r="AY466" s="719"/>
      <c r="AZ466" s="719"/>
      <c r="BA466" s="719"/>
      <c r="BB466" s="719"/>
      <c r="BC466" s="719"/>
      <c r="BD466" s="719"/>
      <c r="BE466" s="719"/>
      <c r="BF466" s="719"/>
      <c r="BG466" s="719"/>
      <c r="BH466" s="719"/>
      <c r="BI466" s="719"/>
      <c r="BJ466" s="719"/>
    </row>
    <row r="467" spans="1:62" ht="15.75" customHeight="1">
      <c r="A467" s="493" t="s">
        <v>66</v>
      </c>
      <c r="B467" s="497"/>
      <c r="C467" s="719" t="s">
        <v>474</v>
      </c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19"/>
      <c r="P467" s="719"/>
      <c r="Q467" s="719"/>
      <c r="R467" s="719"/>
      <c r="S467" s="719"/>
      <c r="T467" s="719"/>
      <c r="U467" s="719"/>
      <c r="V467" s="772" t="s">
        <v>66</v>
      </c>
      <c r="W467" s="773"/>
      <c r="X467" s="774">
        <v>0.82095750886459062</v>
      </c>
      <c r="Y467" s="773"/>
      <c r="Z467" s="775">
        <v>614184.21080376976</v>
      </c>
      <c r="AA467" s="774">
        <v>0.82095750886459062</v>
      </c>
      <c r="AB467" s="773"/>
      <c r="AC467" s="775">
        <v>614184.21080376976</v>
      </c>
      <c r="AD467" s="776">
        <v>0.85569997841853329</v>
      </c>
      <c r="AE467" s="773"/>
      <c r="AF467" s="775">
        <v>555413.84</v>
      </c>
      <c r="AG467" s="786"/>
      <c r="AH467" s="778">
        <v>-58770.370803769794</v>
      </c>
      <c r="AI467" s="774">
        <v>-9.5688508056659849E-2</v>
      </c>
      <c r="AJ467" s="776">
        <v>0.8665839128115943</v>
      </c>
      <c r="AK467" s="774"/>
      <c r="AL467" s="775">
        <v>555404.66999999993</v>
      </c>
      <c r="AM467" s="787"/>
      <c r="AN467" s="778">
        <v>9.1700000000419095</v>
      </c>
      <c r="AO467" s="755">
        <v>1.6510484148507268E-5</v>
      </c>
      <c r="AP467" s="719"/>
      <c r="AQ467" s="719"/>
      <c r="AR467" s="719"/>
      <c r="AS467" s="719"/>
      <c r="AT467" s="719"/>
      <c r="AU467" s="719"/>
      <c r="AV467" s="719"/>
      <c r="AW467" s="719"/>
      <c r="AX467" s="719"/>
      <c r="AY467" s="719"/>
      <c r="AZ467" s="719"/>
      <c r="BA467" s="719"/>
      <c r="BB467" s="719"/>
      <c r="BC467" s="719"/>
      <c r="BD467" s="719"/>
      <c r="BE467" s="719"/>
      <c r="BF467" s="719"/>
      <c r="BG467" s="719"/>
      <c r="BH467" s="719"/>
      <c r="BI467" s="719"/>
      <c r="BJ467" s="719"/>
    </row>
    <row r="468" spans="1:62" ht="15.75" customHeight="1">
      <c r="A468" s="493" t="s">
        <v>184</v>
      </c>
      <c r="B468" s="497"/>
      <c r="C468" s="719" t="s">
        <v>474</v>
      </c>
      <c r="D468" s="719"/>
      <c r="E468" s="719"/>
      <c r="F468" s="719"/>
      <c r="G468" s="719"/>
      <c r="H468" s="719"/>
      <c r="I468" s="719"/>
      <c r="J468" s="719"/>
      <c r="K468" s="719"/>
      <c r="L468" s="719"/>
      <c r="M468" s="719"/>
      <c r="N468" s="719"/>
      <c r="O468" s="719"/>
      <c r="P468" s="719"/>
      <c r="Q468" s="719"/>
      <c r="R468" s="719"/>
      <c r="S468" s="719"/>
      <c r="T468" s="719"/>
      <c r="U468" s="719"/>
      <c r="V468" s="585" t="s">
        <v>184</v>
      </c>
      <c r="W468" s="809"/>
      <c r="X468" s="809"/>
      <c r="Y468" s="757"/>
      <c r="Z468" s="789">
        <v>2969.34</v>
      </c>
      <c r="AA468" s="817"/>
      <c r="AB468" s="818"/>
      <c r="AC468" s="789">
        <v>2969.34</v>
      </c>
      <c r="AD468" s="819"/>
      <c r="AE468" s="818"/>
      <c r="AF468" s="758">
        <v>22.82</v>
      </c>
      <c r="AG468" s="820"/>
      <c r="AH468" s="760">
        <v>-2946.52</v>
      </c>
      <c r="AI468" s="812">
        <v>-0.9923147904921632</v>
      </c>
      <c r="AJ468" s="819"/>
      <c r="AK468" s="817"/>
      <c r="AL468" s="821">
        <v>11744.24</v>
      </c>
      <c r="AM468" s="822"/>
      <c r="AN468" s="760">
        <v>-11721.42</v>
      </c>
      <c r="AO468" s="766">
        <v>-0.99805691981771494</v>
      </c>
      <c r="AP468" s="719"/>
      <c r="AQ468" s="719"/>
      <c r="AR468" s="719"/>
      <c r="AS468" s="719"/>
      <c r="AT468" s="719"/>
      <c r="AU468" s="719"/>
      <c r="AV468" s="719"/>
      <c r="AW468" s="719"/>
      <c r="AX468" s="719"/>
      <c r="AY468" s="719"/>
      <c r="AZ468" s="719"/>
      <c r="BA468" s="719"/>
      <c r="BB468" s="719"/>
      <c r="BC468" s="719"/>
      <c r="BD468" s="719"/>
      <c r="BE468" s="719"/>
      <c r="BF468" s="719"/>
      <c r="BG468" s="719"/>
      <c r="BH468" s="719"/>
      <c r="BI468" s="719"/>
      <c r="BJ468" s="719"/>
    </row>
    <row r="469" spans="1:62" ht="30" customHeight="1">
      <c r="A469" s="493" t="s">
        <v>70</v>
      </c>
      <c r="B469" s="497"/>
      <c r="C469" s="719" t="s">
        <v>474</v>
      </c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585" t="s">
        <v>70</v>
      </c>
      <c r="W469" s="757"/>
      <c r="X469" s="757"/>
      <c r="Y469" s="757"/>
      <c r="Z469" s="758">
        <v>85775.868325301184</v>
      </c>
      <c r="AA469" s="808"/>
      <c r="AB469" s="809"/>
      <c r="AC469" s="758">
        <v>85775.868325301184</v>
      </c>
      <c r="AD469" s="823"/>
      <c r="AE469" s="809"/>
      <c r="AF469" s="758">
        <v>36636</v>
      </c>
      <c r="AG469" s="824"/>
      <c r="AH469" s="760">
        <v>-49139.868325301184</v>
      </c>
      <c r="AI469" s="783">
        <v>-0.57288686532371091</v>
      </c>
      <c r="AJ469" s="823"/>
      <c r="AK469" s="808"/>
      <c r="AL469" s="825">
        <v>64999</v>
      </c>
      <c r="AM469" s="826"/>
      <c r="AN469" s="760">
        <v>-28363</v>
      </c>
      <c r="AO469" s="766">
        <v>-0.43636055939322144</v>
      </c>
      <c r="AP469" s="719"/>
      <c r="AQ469" s="719"/>
      <c r="AR469" s="719"/>
      <c r="AS469" s="719"/>
      <c r="AT469" s="719"/>
      <c r="AU469" s="719"/>
      <c r="AV469" s="719"/>
      <c r="AW469" s="719"/>
      <c r="AX469" s="719"/>
      <c r="AY469" s="719"/>
      <c r="AZ469" s="719"/>
      <c r="BA469" s="719"/>
      <c r="BB469" s="719"/>
      <c r="BC469" s="719"/>
      <c r="BD469" s="719"/>
      <c r="BE469" s="719"/>
      <c r="BF469" s="719"/>
      <c r="BG469" s="719"/>
      <c r="BH469" s="719"/>
      <c r="BI469" s="719"/>
      <c r="BJ469" s="719"/>
    </row>
    <row r="470" spans="1:62" ht="15.75" customHeight="1">
      <c r="A470" s="493" t="s">
        <v>200</v>
      </c>
      <c r="B470" s="497"/>
      <c r="C470" s="719" t="s">
        <v>474</v>
      </c>
      <c r="D470" s="719"/>
      <c r="E470" s="719"/>
      <c r="F470" s="719"/>
      <c r="G470" s="719"/>
      <c r="H470" s="719"/>
      <c r="I470" s="719"/>
      <c r="J470" s="719"/>
      <c r="K470" s="719"/>
      <c r="L470" s="719"/>
      <c r="M470" s="719"/>
      <c r="N470" s="719"/>
      <c r="O470" s="719"/>
      <c r="P470" s="719"/>
      <c r="Q470" s="719"/>
      <c r="R470" s="719"/>
      <c r="S470" s="719"/>
      <c r="T470" s="719"/>
      <c r="U470" s="719"/>
      <c r="V470" s="585" t="s">
        <v>200</v>
      </c>
      <c r="W470" s="757"/>
      <c r="X470" s="757"/>
      <c r="Y470" s="757"/>
      <c r="Z470" s="758">
        <v>0</v>
      </c>
      <c r="AA470" s="808"/>
      <c r="AB470" s="809"/>
      <c r="AC470" s="758">
        <v>0</v>
      </c>
      <c r="AD470" s="823"/>
      <c r="AE470" s="809"/>
      <c r="AF470" s="758">
        <v>0</v>
      </c>
      <c r="AG470" s="824"/>
      <c r="AH470" s="760">
        <v>0</v>
      </c>
      <c r="AI470" s="783">
        <v>0</v>
      </c>
      <c r="AJ470" s="823"/>
      <c r="AK470" s="808"/>
      <c r="AL470" s="825">
        <v>0</v>
      </c>
      <c r="AM470" s="826"/>
      <c r="AN470" s="760">
        <v>0</v>
      </c>
      <c r="AO470" s="766">
        <v>0</v>
      </c>
      <c r="AP470" s="719"/>
      <c r="AQ470" s="719"/>
      <c r="AR470" s="719"/>
      <c r="AS470" s="719"/>
      <c r="AT470" s="719"/>
      <c r="AU470" s="719"/>
      <c r="AV470" s="719"/>
      <c r="AW470" s="719"/>
      <c r="AX470" s="719"/>
      <c r="AY470" s="719"/>
      <c r="AZ470" s="719"/>
      <c r="BA470" s="719"/>
      <c r="BB470" s="719"/>
      <c r="BC470" s="719"/>
      <c r="BD470" s="719"/>
      <c r="BE470" s="719"/>
      <c r="BF470" s="719"/>
      <c r="BG470" s="719"/>
      <c r="BH470" s="719"/>
      <c r="BI470" s="719"/>
      <c r="BJ470" s="719"/>
    </row>
    <row r="471" spans="1:62" ht="15.75" customHeight="1">
      <c r="A471" s="493" t="s">
        <v>197</v>
      </c>
      <c r="B471" s="497"/>
      <c r="C471" s="719" t="s">
        <v>474</v>
      </c>
      <c r="D471" s="719"/>
      <c r="E471" s="719"/>
      <c r="F471" s="719"/>
      <c r="G471" s="719"/>
      <c r="H471" s="719"/>
      <c r="I471" s="719"/>
      <c r="J471" s="719"/>
      <c r="K471" s="719"/>
      <c r="L471" s="719"/>
      <c r="M471" s="719"/>
      <c r="N471" s="719"/>
      <c r="O471" s="719"/>
      <c r="P471" s="719"/>
      <c r="Q471" s="719"/>
      <c r="R471" s="719"/>
      <c r="S471" s="719"/>
      <c r="T471" s="719"/>
      <c r="U471" s="719"/>
      <c r="V471" s="585" t="s">
        <v>197</v>
      </c>
      <c r="W471" s="757"/>
      <c r="X471" s="757"/>
      <c r="Y471" s="757"/>
      <c r="Z471" s="758">
        <v>0</v>
      </c>
      <c r="AA471" s="808"/>
      <c r="AB471" s="809"/>
      <c r="AC471" s="758">
        <v>0</v>
      </c>
      <c r="AD471" s="823"/>
      <c r="AE471" s="809"/>
      <c r="AF471" s="758">
        <v>0</v>
      </c>
      <c r="AG471" s="824"/>
      <c r="AH471" s="760">
        <v>0</v>
      </c>
      <c r="AI471" s="783">
        <v>0</v>
      </c>
      <c r="AJ471" s="823"/>
      <c r="AK471" s="808"/>
      <c r="AL471" s="825">
        <v>0</v>
      </c>
      <c r="AM471" s="826"/>
      <c r="AN471" s="760">
        <v>0</v>
      </c>
      <c r="AO471" s="766">
        <v>0</v>
      </c>
      <c r="AP471" s="719"/>
      <c r="AQ471" s="719"/>
      <c r="AR471" s="719"/>
      <c r="AS471" s="719"/>
      <c r="AT471" s="719"/>
      <c r="AU471" s="719"/>
      <c r="AV471" s="719"/>
      <c r="AW471" s="719"/>
      <c r="AX471" s="719"/>
      <c r="AY471" s="719"/>
      <c r="AZ471" s="719"/>
      <c r="BA471" s="719"/>
      <c r="BB471" s="719"/>
      <c r="BC471" s="719"/>
      <c r="BD471" s="719"/>
      <c r="BE471" s="719"/>
      <c r="BF471" s="719"/>
      <c r="BG471" s="719"/>
      <c r="BH471" s="719"/>
      <c r="BI471" s="719"/>
      <c r="BJ471" s="719"/>
    </row>
    <row r="472" spans="1:62" ht="15.75" customHeight="1">
      <c r="A472" s="493" t="s">
        <v>69</v>
      </c>
      <c r="B472" s="497"/>
      <c r="C472" s="719" t="s">
        <v>474</v>
      </c>
      <c r="D472" s="719"/>
      <c r="E472" s="719"/>
      <c r="F472" s="719"/>
      <c r="G472" s="719"/>
      <c r="H472" s="719"/>
      <c r="I472" s="719"/>
      <c r="J472" s="719"/>
      <c r="K472" s="719"/>
      <c r="L472" s="719"/>
      <c r="M472" s="719"/>
      <c r="N472" s="719"/>
      <c r="O472" s="719"/>
      <c r="P472" s="719"/>
      <c r="Q472" s="719"/>
      <c r="R472" s="719"/>
      <c r="S472" s="719"/>
      <c r="T472" s="719"/>
      <c r="U472" s="719"/>
      <c r="V472" s="585" t="s">
        <v>69</v>
      </c>
      <c r="W472" s="757"/>
      <c r="X472" s="757"/>
      <c r="Y472" s="757"/>
      <c r="Z472" s="758">
        <v>0</v>
      </c>
      <c r="AA472" s="808"/>
      <c r="AB472" s="809"/>
      <c r="AC472" s="758">
        <v>0</v>
      </c>
      <c r="AD472" s="823"/>
      <c r="AE472" s="809"/>
      <c r="AF472" s="758">
        <v>0</v>
      </c>
      <c r="AG472" s="824"/>
      <c r="AH472" s="760">
        <v>0</v>
      </c>
      <c r="AI472" s="783">
        <v>0</v>
      </c>
      <c r="AJ472" s="823"/>
      <c r="AK472" s="808"/>
      <c r="AL472" s="825">
        <v>0</v>
      </c>
      <c r="AM472" s="826"/>
      <c r="AN472" s="760">
        <v>0</v>
      </c>
      <c r="AO472" s="766">
        <v>0</v>
      </c>
      <c r="AP472" s="719"/>
      <c r="AQ472" s="719"/>
      <c r="AR472" s="719"/>
      <c r="AS472" s="719"/>
      <c r="AT472" s="719"/>
      <c r="AU472" s="719"/>
      <c r="AV472" s="719"/>
      <c r="AW472" s="719"/>
      <c r="AX472" s="719"/>
      <c r="AY472" s="719"/>
      <c r="AZ472" s="719"/>
      <c r="BA472" s="719"/>
      <c r="BB472" s="719"/>
      <c r="BC472" s="719"/>
      <c r="BD472" s="719"/>
      <c r="BE472" s="719"/>
      <c r="BF472" s="719"/>
      <c r="BG472" s="719"/>
      <c r="BH472" s="719"/>
      <c r="BI472" s="719"/>
      <c r="BJ472" s="719"/>
    </row>
    <row r="473" spans="1:62" ht="15.75" customHeight="1">
      <c r="A473" s="493" t="s">
        <v>215</v>
      </c>
      <c r="B473" s="497"/>
      <c r="C473" s="719" t="s">
        <v>474</v>
      </c>
      <c r="D473" s="719"/>
      <c r="E473" s="719"/>
      <c r="F473" s="719"/>
      <c r="G473" s="719"/>
      <c r="H473" s="719"/>
      <c r="I473" s="719"/>
      <c r="J473" s="719"/>
      <c r="K473" s="719"/>
      <c r="L473" s="719"/>
      <c r="M473" s="719"/>
      <c r="N473" s="719"/>
      <c r="O473" s="719"/>
      <c r="P473" s="719"/>
      <c r="Q473" s="719"/>
      <c r="R473" s="719"/>
      <c r="S473" s="719"/>
      <c r="T473" s="719"/>
      <c r="U473" s="719"/>
      <c r="V473" s="585" t="s">
        <v>215</v>
      </c>
      <c r="W473" s="757"/>
      <c r="X473" s="757"/>
      <c r="Y473" s="757"/>
      <c r="Z473" s="758">
        <v>0</v>
      </c>
      <c r="AA473" s="808"/>
      <c r="AB473" s="809"/>
      <c r="AC473" s="758">
        <v>0</v>
      </c>
      <c r="AD473" s="823"/>
      <c r="AE473" s="809"/>
      <c r="AF473" s="758">
        <v>0</v>
      </c>
      <c r="AG473" s="824"/>
      <c r="AH473" s="760">
        <v>0</v>
      </c>
      <c r="AI473" s="783">
        <v>0</v>
      </c>
      <c r="AJ473" s="823"/>
      <c r="AK473" s="808"/>
      <c r="AL473" s="825">
        <v>0</v>
      </c>
      <c r="AM473" s="826"/>
      <c r="AN473" s="760">
        <v>0</v>
      </c>
      <c r="AO473" s="766">
        <v>0</v>
      </c>
      <c r="AP473" s="719"/>
      <c r="AQ473" s="719"/>
      <c r="AR473" s="719"/>
      <c r="AS473" s="719"/>
      <c r="AT473" s="719"/>
      <c r="AU473" s="719"/>
      <c r="AV473" s="719"/>
      <c r="AW473" s="719"/>
      <c r="AX473" s="719"/>
      <c r="AY473" s="719"/>
      <c r="AZ473" s="719"/>
      <c r="BA473" s="719"/>
      <c r="BB473" s="719"/>
      <c r="BC473" s="719"/>
      <c r="BD473" s="719"/>
      <c r="BE473" s="719"/>
      <c r="BF473" s="719"/>
      <c r="BG473" s="719"/>
      <c r="BH473" s="719"/>
      <c r="BI473" s="719"/>
      <c r="BJ473" s="719"/>
    </row>
    <row r="474" spans="1:62" ht="15.75" customHeight="1">
      <c r="A474" s="493" t="s">
        <v>82</v>
      </c>
      <c r="B474" s="497"/>
      <c r="C474" s="719" t="s">
        <v>474</v>
      </c>
      <c r="D474" s="719"/>
      <c r="E474" s="719"/>
      <c r="F474" s="719"/>
      <c r="G474" s="719"/>
      <c r="H474" s="719"/>
      <c r="I474" s="719"/>
      <c r="J474" s="719"/>
      <c r="K474" s="719"/>
      <c r="L474" s="719"/>
      <c r="M474" s="719"/>
      <c r="N474" s="719"/>
      <c r="O474" s="719"/>
      <c r="P474" s="719"/>
      <c r="Q474" s="719"/>
      <c r="R474" s="719"/>
      <c r="S474" s="719"/>
      <c r="T474" s="719"/>
      <c r="U474" s="719"/>
      <c r="V474" s="585" t="s">
        <v>82</v>
      </c>
      <c r="W474" s="757"/>
      <c r="X474" s="757"/>
      <c r="Y474" s="757"/>
      <c r="Z474" s="758">
        <v>0</v>
      </c>
      <c r="AA474" s="808"/>
      <c r="AB474" s="809"/>
      <c r="AC474" s="758">
        <v>0</v>
      </c>
      <c r="AD474" s="823"/>
      <c r="AE474" s="809"/>
      <c r="AF474" s="758">
        <v>0</v>
      </c>
      <c r="AG474" s="824"/>
      <c r="AH474" s="760">
        <v>0</v>
      </c>
      <c r="AI474" s="783">
        <v>0</v>
      </c>
      <c r="AJ474" s="823"/>
      <c r="AK474" s="808"/>
      <c r="AL474" s="825">
        <v>0</v>
      </c>
      <c r="AM474" s="826"/>
      <c r="AN474" s="760">
        <v>0</v>
      </c>
      <c r="AO474" s="766">
        <v>0</v>
      </c>
      <c r="AP474" s="719"/>
      <c r="AQ474" s="719"/>
      <c r="AR474" s="719"/>
      <c r="AS474" s="719"/>
      <c r="AT474" s="719"/>
      <c r="AU474" s="719"/>
      <c r="AV474" s="719"/>
      <c r="AW474" s="719"/>
      <c r="AX474" s="719"/>
      <c r="AY474" s="719"/>
      <c r="AZ474" s="719"/>
      <c r="BA474" s="719"/>
      <c r="BB474" s="719"/>
      <c r="BC474" s="719"/>
      <c r="BD474" s="719"/>
      <c r="BE474" s="719"/>
      <c r="BF474" s="719"/>
      <c r="BG474" s="719"/>
      <c r="BH474" s="719"/>
      <c r="BI474" s="719"/>
      <c r="BJ474" s="719"/>
    </row>
    <row r="475" spans="1:62" ht="15.75" customHeight="1">
      <c r="A475" s="493" t="s">
        <v>83</v>
      </c>
      <c r="B475" s="497"/>
      <c r="C475" s="719" t="s">
        <v>474</v>
      </c>
      <c r="D475" s="719"/>
      <c r="E475" s="719"/>
      <c r="F475" s="719"/>
      <c r="G475" s="719"/>
      <c r="H475" s="719"/>
      <c r="I475" s="719"/>
      <c r="J475" s="719"/>
      <c r="K475" s="719"/>
      <c r="L475" s="719"/>
      <c r="M475" s="719"/>
      <c r="N475" s="719"/>
      <c r="O475" s="719"/>
      <c r="P475" s="719"/>
      <c r="Q475" s="719"/>
      <c r="R475" s="719"/>
      <c r="S475" s="719"/>
      <c r="T475" s="719"/>
      <c r="U475" s="719"/>
      <c r="V475" s="585" t="s">
        <v>83</v>
      </c>
      <c r="W475" s="757"/>
      <c r="X475" s="757"/>
      <c r="Y475" s="757"/>
      <c r="Z475" s="758">
        <v>0</v>
      </c>
      <c r="AA475" s="808"/>
      <c r="AB475" s="809"/>
      <c r="AC475" s="758">
        <v>0</v>
      </c>
      <c r="AD475" s="823"/>
      <c r="AE475" s="809"/>
      <c r="AF475" s="758">
        <v>0</v>
      </c>
      <c r="AG475" s="824"/>
      <c r="AH475" s="760">
        <v>0</v>
      </c>
      <c r="AI475" s="783">
        <v>0</v>
      </c>
      <c r="AJ475" s="823"/>
      <c r="AK475" s="808"/>
      <c r="AL475" s="825">
        <v>0</v>
      </c>
      <c r="AM475" s="826"/>
      <c r="AN475" s="760">
        <v>0</v>
      </c>
      <c r="AO475" s="766">
        <v>0</v>
      </c>
      <c r="AP475" s="719"/>
      <c r="AQ475" s="719"/>
      <c r="AR475" s="719"/>
      <c r="AS475" s="719"/>
      <c r="AT475" s="719"/>
      <c r="AU475" s="719"/>
      <c r="AV475" s="719"/>
      <c r="AW475" s="719"/>
      <c r="AX475" s="719"/>
      <c r="AY475" s="719"/>
      <c r="AZ475" s="719"/>
      <c r="BA475" s="719"/>
      <c r="BB475" s="719"/>
      <c r="BC475" s="719"/>
      <c r="BD475" s="719"/>
      <c r="BE475" s="719"/>
      <c r="BF475" s="719"/>
      <c r="BG475" s="719"/>
      <c r="BH475" s="719"/>
      <c r="BI475" s="719"/>
      <c r="BJ475" s="719"/>
    </row>
    <row r="476" spans="1:62" ht="15.75" hidden="1" customHeight="1">
      <c r="A476" s="493" t="s">
        <v>21</v>
      </c>
      <c r="B476" s="497"/>
      <c r="C476" s="719" t="s">
        <v>474</v>
      </c>
      <c r="D476" s="719"/>
      <c r="E476" s="719"/>
      <c r="F476" s="719"/>
      <c r="G476" s="719"/>
      <c r="H476" s="719"/>
      <c r="I476" s="719"/>
      <c r="J476" s="719"/>
      <c r="K476" s="719"/>
      <c r="L476" s="719"/>
      <c r="M476" s="719"/>
      <c r="N476" s="719"/>
      <c r="O476" s="719"/>
      <c r="P476" s="719"/>
      <c r="Q476" s="719"/>
      <c r="R476" s="719"/>
      <c r="S476" s="719"/>
      <c r="T476" s="719"/>
      <c r="U476" s="719"/>
      <c r="V476" s="585" t="s">
        <v>21</v>
      </c>
      <c r="W476" s="757"/>
      <c r="X476" s="757"/>
      <c r="Y476" s="757"/>
      <c r="Z476" s="758">
        <v>0</v>
      </c>
      <c r="AA476" s="808"/>
      <c r="AB476" s="809"/>
      <c r="AC476" s="758">
        <v>0</v>
      </c>
      <c r="AD476" s="823"/>
      <c r="AE476" s="809"/>
      <c r="AF476" s="758">
        <v>0</v>
      </c>
      <c r="AG476" s="824"/>
      <c r="AH476" s="760">
        <v>0</v>
      </c>
      <c r="AI476" s="783">
        <v>0</v>
      </c>
      <c r="AJ476" s="823"/>
      <c r="AK476" s="808"/>
      <c r="AL476" s="825">
        <v>0</v>
      </c>
      <c r="AM476" s="826"/>
      <c r="AN476" s="760">
        <v>0</v>
      </c>
      <c r="AO476" s="766">
        <v>0</v>
      </c>
      <c r="AP476" s="719"/>
      <c r="AQ476" s="719"/>
      <c r="AR476" s="719"/>
      <c r="AS476" s="719"/>
      <c r="AT476" s="719"/>
      <c r="AU476" s="719"/>
      <c r="AV476" s="719"/>
      <c r="AW476" s="719"/>
      <c r="AX476" s="719"/>
      <c r="AY476" s="719"/>
      <c r="AZ476" s="719"/>
      <c r="BA476" s="719"/>
      <c r="BB476" s="719"/>
      <c r="BC476" s="719"/>
      <c r="BD476" s="719"/>
      <c r="BE476" s="719"/>
      <c r="BF476" s="719"/>
      <c r="BG476" s="719"/>
      <c r="BH476" s="719"/>
      <c r="BI476" s="719"/>
      <c r="BJ476" s="719"/>
    </row>
    <row r="477" spans="1:62" ht="15.75" hidden="1" customHeight="1">
      <c r="A477" s="493" t="s">
        <v>21</v>
      </c>
      <c r="B477" s="497"/>
      <c r="C477" s="719" t="s">
        <v>474</v>
      </c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19"/>
      <c r="P477" s="719"/>
      <c r="Q477" s="719"/>
      <c r="R477" s="719"/>
      <c r="S477" s="719"/>
      <c r="T477" s="719"/>
      <c r="U477" s="719"/>
      <c r="V477" s="585" t="s">
        <v>21</v>
      </c>
      <c r="W477" s="757"/>
      <c r="X477" s="757"/>
      <c r="Y477" s="757"/>
      <c r="Z477" s="758">
        <v>0</v>
      </c>
      <c r="AA477" s="808"/>
      <c r="AB477" s="809"/>
      <c r="AC477" s="758">
        <v>0</v>
      </c>
      <c r="AD477" s="823"/>
      <c r="AE477" s="809"/>
      <c r="AF477" s="758">
        <v>0</v>
      </c>
      <c r="AG477" s="824"/>
      <c r="AH477" s="760">
        <v>0</v>
      </c>
      <c r="AI477" s="783">
        <v>0</v>
      </c>
      <c r="AJ477" s="823"/>
      <c r="AK477" s="808"/>
      <c r="AL477" s="825">
        <v>0</v>
      </c>
      <c r="AM477" s="826"/>
      <c r="AN477" s="760">
        <v>0</v>
      </c>
      <c r="AO477" s="766">
        <v>0</v>
      </c>
      <c r="AP477" s="719"/>
      <c r="AQ477" s="719"/>
      <c r="AR477" s="719"/>
      <c r="AS477" s="719"/>
      <c r="AT477" s="719"/>
      <c r="AU477" s="719"/>
      <c r="AV477" s="719"/>
      <c r="AW477" s="719"/>
      <c r="AX477" s="719"/>
      <c r="AY477" s="719"/>
      <c r="AZ477" s="719"/>
      <c r="BA477" s="719"/>
      <c r="BB477" s="719"/>
      <c r="BC477" s="719"/>
      <c r="BD477" s="719"/>
      <c r="BE477" s="719"/>
      <c r="BF477" s="719"/>
      <c r="BG477" s="719"/>
      <c r="BH477" s="719"/>
      <c r="BI477" s="719"/>
      <c r="BJ477" s="719"/>
    </row>
    <row r="478" spans="1:62" ht="15.75" hidden="1" customHeight="1">
      <c r="A478" s="493" t="s">
        <v>21</v>
      </c>
      <c r="B478" s="497"/>
      <c r="C478" s="719" t="s">
        <v>474</v>
      </c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19"/>
      <c r="P478" s="719"/>
      <c r="Q478" s="719"/>
      <c r="R478" s="719"/>
      <c r="S478" s="719"/>
      <c r="T478" s="719"/>
      <c r="U478" s="719"/>
      <c r="V478" s="585" t="s">
        <v>21</v>
      </c>
      <c r="W478" s="757"/>
      <c r="X478" s="757"/>
      <c r="Y478" s="757"/>
      <c r="Z478" s="758">
        <v>0</v>
      </c>
      <c r="AA478" s="808"/>
      <c r="AB478" s="809"/>
      <c r="AC478" s="758">
        <v>0</v>
      </c>
      <c r="AD478" s="823"/>
      <c r="AE478" s="809"/>
      <c r="AF478" s="758">
        <v>0</v>
      </c>
      <c r="AG478" s="824"/>
      <c r="AH478" s="760">
        <v>0</v>
      </c>
      <c r="AI478" s="783">
        <v>0</v>
      </c>
      <c r="AJ478" s="823"/>
      <c r="AK478" s="808"/>
      <c r="AL478" s="825">
        <v>0</v>
      </c>
      <c r="AM478" s="826"/>
      <c r="AN478" s="760">
        <v>0</v>
      </c>
      <c r="AO478" s="766">
        <v>0</v>
      </c>
      <c r="AP478" s="719"/>
      <c r="AQ478" s="719"/>
      <c r="AR478" s="719"/>
      <c r="AS478" s="719"/>
      <c r="AT478" s="719"/>
      <c r="AU478" s="719"/>
      <c r="AV478" s="719"/>
      <c r="AW478" s="719"/>
      <c r="AX478" s="719"/>
      <c r="AY478" s="719"/>
      <c r="AZ478" s="719"/>
      <c r="BA478" s="719"/>
      <c r="BB478" s="719"/>
      <c r="BC478" s="719"/>
      <c r="BD478" s="719"/>
      <c r="BE478" s="719"/>
      <c r="BF478" s="719"/>
      <c r="BG478" s="719"/>
      <c r="BH478" s="719"/>
      <c r="BI478" s="719"/>
      <c r="BJ478" s="719"/>
    </row>
    <row r="479" spans="1:62" ht="15.75" customHeight="1">
      <c r="A479" s="493" t="s">
        <v>71</v>
      </c>
      <c r="B479" s="497"/>
      <c r="C479" s="719" t="s">
        <v>474</v>
      </c>
      <c r="D479" s="719"/>
      <c r="E479" s="719"/>
      <c r="F479" s="719"/>
      <c r="G479" s="719"/>
      <c r="H479" s="719"/>
      <c r="I479" s="719"/>
      <c r="J479" s="719"/>
      <c r="K479" s="719"/>
      <c r="L479" s="719"/>
      <c r="M479" s="719"/>
      <c r="N479" s="719"/>
      <c r="O479" s="719"/>
      <c r="P479" s="719"/>
      <c r="Q479" s="719"/>
      <c r="R479" s="719"/>
      <c r="S479" s="719"/>
      <c r="T479" s="719"/>
      <c r="U479" s="719"/>
      <c r="V479" s="586" t="s">
        <v>71</v>
      </c>
      <c r="W479" s="757"/>
      <c r="X479" s="757"/>
      <c r="Y479" s="757"/>
      <c r="Z479" s="758">
        <v>45443.65398353272</v>
      </c>
      <c r="AA479" s="808"/>
      <c r="AB479" s="809"/>
      <c r="AC479" s="758">
        <v>45443.65398353272</v>
      </c>
      <c r="AD479" s="823">
        <v>56.210526315789473</v>
      </c>
      <c r="AE479" s="809">
        <v>0.87828947368421051</v>
      </c>
      <c r="AF479" s="758">
        <v>22428</v>
      </c>
      <c r="AG479" s="824"/>
      <c r="AH479" s="760">
        <v>-23015.65398353272</v>
      </c>
      <c r="AI479" s="783">
        <v>-0.50646574309083581</v>
      </c>
      <c r="AJ479" s="823"/>
      <c r="AK479" s="808"/>
      <c r="AL479" s="825">
        <v>32672</v>
      </c>
      <c r="AM479" s="826"/>
      <c r="AN479" s="760">
        <v>-10244</v>
      </c>
      <c r="AO479" s="766">
        <v>-0.31354064642507345</v>
      </c>
      <c r="AP479" s="719"/>
      <c r="AQ479" s="719"/>
      <c r="AR479" s="719"/>
      <c r="AS479" s="719"/>
      <c r="AT479" s="719"/>
      <c r="AU479" s="719"/>
      <c r="AV479" s="719"/>
      <c r="AW479" s="719"/>
      <c r="AX479" s="719"/>
      <c r="AY479" s="719"/>
      <c r="AZ479" s="719"/>
      <c r="BA479" s="719"/>
      <c r="BB479" s="719"/>
      <c r="BC479" s="719"/>
      <c r="BD479" s="719"/>
      <c r="BE479" s="719"/>
      <c r="BF479" s="719"/>
      <c r="BG479" s="719"/>
      <c r="BH479" s="719"/>
      <c r="BI479" s="719"/>
      <c r="BJ479" s="719"/>
    </row>
    <row r="480" spans="1:62" ht="15.75" customHeight="1">
      <c r="A480" s="493" t="s">
        <v>185</v>
      </c>
      <c r="B480" s="497"/>
      <c r="C480" s="719" t="s">
        <v>474</v>
      </c>
      <c r="D480" s="719"/>
      <c r="E480" s="719"/>
      <c r="F480" s="719"/>
      <c r="G480" s="719"/>
      <c r="H480" s="719"/>
      <c r="I480" s="719"/>
      <c r="J480" s="719"/>
      <c r="K480" s="719"/>
      <c r="L480" s="719"/>
      <c r="M480" s="719"/>
      <c r="N480" s="719"/>
      <c r="O480" s="719"/>
      <c r="P480" s="719"/>
      <c r="Q480" s="719"/>
      <c r="R480" s="719"/>
      <c r="S480" s="719"/>
      <c r="T480" s="719"/>
      <c r="U480" s="719"/>
      <c r="V480" s="772" t="s">
        <v>185</v>
      </c>
      <c r="W480" s="773"/>
      <c r="X480" s="774">
        <v>0.17936533076007508</v>
      </c>
      <c r="Y480" s="806"/>
      <c r="Z480" s="775">
        <v>134188.86230883389</v>
      </c>
      <c r="AA480" s="774">
        <v>0.17936533076007508</v>
      </c>
      <c r="AB480" s="806"/>
      <c r="AC480" s="775">
        <v>134188.86230883389</v>
      </c>
      <c r="AD480" s="774">
        <v>9.1032284321218515E-2</v>
      </c>
      <c r="AE480" s="806"/>
      <c r="AF480" s="775">
        <v>59086.82</v>
      </c>
      <c r="AG480" s="786"/>
      <c r="AH480" s="778">
        <v>-75102.042308833887</v>
      </c>
      <c r="AI480" s="774">
        <v>-0.55967418619279685</v>
      </c>
      <c r="AJ480" s="827"/>
      <c r="AK480" s="828"/>
      <c r="AL480" s="775">
        <v>109415.24</v>
      </c>
      <c r="AM480" s="829"/>
      <c r="AN480" s="778">
        <v>-50328.420000000006</v>
      </c>
      <c r="AO480" s="807">
        <v>-0.45997632505307307</v>
      </c>
      <c r="AP480" s="719"/>
      <c r="AQ480" s="719"/>
      <c r="AR480" s="719"/>
      <c r="AS480" s="719"/>
      <c r="AT480" s="719"/>
      <c r="AU480" s="719"/>
      <c r="AV480" s="719"/>
      <c r="AW480" s="719"/>
      <c r="AX480" s="719"/>
      <c r="AY480" s="719"/>
      <c r="AZ480" s="719"/>
      <c r="BA480" s="719"/>
      <c r="BB480" s="719"/>
      <c r="BC480" s="719"/>
      <c r="BD480" s="719"/>
      <c r="BE480" s="719"/>
      <c r="BF480" s="719"/>
      <c r="BG480" s="719"/>
      <c r="BH480" s="719"/>
      <c r="BI480" s="719"/>
      <c r="BJ480" s="719"/>
    </row>
    <row r="481" spans="1:62" ht="15.75" customHeight="1" thickBot="1">
      <c r="A481" s="493" t="s">
        <v>476</v>
      </c>
      <c r="B481" s="497"/>
      <c r="C481" s="719" t="s">
        <v>474</v>
      </c>
      <c r="D481" s="719"/>
      <c r="E481" s="719"/>
      <c r="F481" s="719"/>
      <c r="G481" s="719"/>
      <c r="H481" s="719"/>
      <c r="I481" s="719"/>
      <c r="J481" s="719"/>
      <c r="K481" s="719"/>
      <c r="L481" s="719"/>
      <c r="M481" s="719"/>
      <c r="N481" s="719"/>
      <c r="O481" s="719"/>
      <c r="P481" s="719"/>
      <c r="Q481" s="719"/>
      <c r="R481" s="719"/>
      <c r="S481" s="719"/>
      <c r="T481" s="719"/>
      <c r="U481" s="719"/>
      <c r="V481" s="830"/>
      <c r="W481" s="831"/>
      <c r="X481" s="831"/>
      <c r="Y481" s="832"/>
      <c r="Z481" s="833"/>
      <c r="AA481" s="831"/>
      <c r="AB481" s="834"/>
      <c r="AC481" s="833"/>
      <c r="AD481" s="831"/>
      <c r="AE481" s="834"/>
      <c r="AF481" s="835"/>
      <c r="AG481" s="836"/>
      <c r="AH481" s="837"/>
      <c r="AI481" s="838"/>
      <c r="AJ481" s="839"/>
      <c r="AK481" s="840"/>
      <c r="AL481" s="835"/>
      <c r="AM481" s="841"/>
      <c r="AN481" s="837">
        <v>0</v>
      </c>
      <c r="AO481" s="842">
        <v>0</v>
      </c>
      <c r="AP481" s="719"/>
      <c r="AQ481" s="719"/>
      <c r="AR481" s="719"/>
      <c r="AS481" s="719"/>
      <c r="AT481" s="719"/>
      <c r="AU481" s="719"/>
      <c r="AV481" s="719"/>
      <c r="AW481" s="719"/>
      <c r="AX481" s="719"/>
      <c r="AY481" s="719"/>
      <c r="AZ481" s="719"/>
      <c r="BA481" s="719"/>
      <c r="BB481" s="719"/>
      <c r="BC481" s="719"/>
      <c r="BD481" s="719"/>
      <c r="BE481" s="719"/>
      <c r="BF481" s="719"/>
      <c r="BG481" s="719"/>
      <c r="BH481" s="719"/>
      <c r="BI481" s="719"/>
      <c r="BJ481" s="719"/>
    </row>
    <row r="482" spans="1:62" ht="15.75" customHeight="1" thickTop="1" thickBot="1">
      <c r="A482" s="493" t="s">
        <v>186</v>
      </c>
      <c r="B482" s="497"/>
      <c r="C482" s="719" t="s">
        <v>474</v>
      </c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19"/>
      <c r="P482" s="719"/>
      <c r="Q482" s="719"/>
      <c r="R482" s="719"/>
      <c r="S482" s="719"/>
      <c r="T482" s="719"/>
      <c r="U482" s="719"/>
      <c r="V482" s="843" t="s">
        <v>186</v>
      </c>
      <c r="W482" s="844"/>
      <c r="X482" s="374" t="s">
        <v>187</v>
      </c>
      <c r="Y482" s="845">
        <v>4.9126838614733194E-2</v>
      </c>
      <c r="Z482" s="846">
        <v>268136.19810996123</v>
      </c>
      <c r="AA482" s="374" t="s">
        <v>187</v>
      </c>
      <c r="AB482" s="845">
        <v>4.9126838614733194E-2</v>
      </c>
      <c r="AC482" s="846">
        <v>268136.19810996123</v>
      </c>
      <c r="AD482" s="374" t="s">
        <v>187</v>
      </c>
      <c r="AE482" s="845">
        <v>4.0441827578287889E-2</v>
      </c>
      <c r="AF482" s="847">
        <v>152748.41999999998</v>
      </c>
      <c r="AG482" s="848"/>
      <c r="AH482" s="848">
        <v>-115387.77810996125</v>
      </c>
      <c r="AI482" s="849">
        <v>-0.43033271495347053</v>
      </c>
      <c r="AJ482" s="380" t="s">
        <v>187</v>
      </c>
      <c r="AK482" s="845">
        <v>3.7182690081429083E-2</v>
      </c>
      <c r="AL482" s="847">
        <v>194923.30999999994</v>
      </c>
      <c r="AM482" s="850"/>
      <c r="AN482" s="847">
        <v>-42174.889999999956</v>
      </c>
      <c r="AO482" s="851">
        <v>-0.21636658027200528</v>
      </c>
      <c r="AP482" s="719"/>
      <c r="AQ482" s="719"/>
      <c r="AR482" s="719"/>
      <c r="AS482" s="719"/>
      <c r="AT482" s="719"/>
      <c r="AU482" s="719"/>
      <c r="AV482" s="719"/>
      <c r="AW482" s="719"/>
      <c r="AX482" s="719"/>
      <c r="AY482" s="719"/>
      <c r="AZ482" s="719"/>
      <c r="BA482" s="719"/>
      <c r="BB482" s="719"/>
      <c r="BC482" s="719"/>
      <c r="BD482" s="719"/>
      <c r="BE482" s="719"/>
      <c r="BF482" s="719"/>
      <c r="BG482" s="719"/>
      <c r="BH482" s="719"/>
      <c r="BI482" s="719"/>
      <c r="BJ482" s="719"/>
    </row>
    <row r="483" spans="1:62" ht="15.75" customHeight="1" thickTop="1">
      <c r="A483" s="493" t="s">
        <v>476</v>
      </c>
      <c r="B483" s="497"/>
      <c r="C483" s="719" t="s">
        <v>474</v>
      </c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19"/>
      <c r="P483" s="719"/>
      <c r="Q483" s="719"/>
      <c r="R483" s="719"/>
      <c r="S483" s="719"/>
      <c r="T483" s="719"/>
      <c r="U483" s="719"/>
      <c r="V483" s="496"/>
      <c r="W483" s="496"/>
      <c r="X483" s="496"/>
      <c r="Y483" s="496"/>
      <c r="Z483" s="565"/>
      <c r="AA483" s="504"/>
      <c r="AB483" s="504"/>
      <c r="AC483" s="565"/>
      <c r="AD483" s="504"/>
      <c r="AE483" s="504"/>
      <c r="AF483" s="852"/>
      <c r="AG483" s="504"/>
      <c r="AH483" s="504"/>
      <c r="AI483" s="504"/>
      <c r="AJ483" s="504"/>
      <c r="AK483" s="504"/>
      <c r="AL483" s="565"/>
      <c r="AM483" s="504"/>
      <c r="AN483" s="504"/>
      <c r="AO483" s="504"/>
      <c r="AP483" s="719"/>
      <c r="AQ483" s="719"/>
      <c r="AR483" s="719"/>
      <c r="AS483" s="719"/>
      <c r="AT483" s="719"/>
      <c r="AU483" s="719"/>
      <c r="AV483" s="719"/>
      <c r="AW483" s="719"/>
      <c r="AX483" s="719"/>
      <c r="AY483" s="719"/>
      <c r="AZ483" s="719"/>
      <c r="BA483" s="719"/>
      <c r="BB483" s="719"/>
      <c r="BC483" s="719"/>
      <c r="BD483" s="719"/>
      <c r="BE483" s="719"/>
      <c r="BF483" s="719"/>
      <c r="BG483" s="719"/>
      <c r="BH483" s="719"/>
      <c r="BI483" s="719"/>
      <c r="BJ483" s="719"/>
    </row>
    <row r="484" spans="1:62" ht="35.25" customHeight="1">
      <c r="A484" s="493" t="s">
        <v>228</v>
      </c>
      <c r="B484" s="497"/>
      <c r="C484" s="719" t="s">
        <v>474</v>
      </c>
      <c r="D484" s="719"/>
      <c r="E484" s="719"/>
      <c r="F484" s="719"/>
      <c r="G484" s="719"/>
      <c r="H484" s="719"/>
      <c r="I484" s="719"/>
      <c r="J484" s="719"/>
      <c r="K484" s="719"/>
      <c r="L484" s="719"/>
      <c r="M484" s="719"/>
      <c r="N484" s="719"/>
      <c r="O484" s="719"/>
      <c r="P484" s="719"/>
      <c r="Q484" s="719"/>
      <c r="R484" s="719"/>
      <c r="S484" s="719"/>
      <c r="T484" s="719"/>
      <c r="U484" s="719"/>
      <c r="V484" s="496" t="s">
        <v>228</v>
      </c>
      <c r="W484" s="496"/>
      <c r="X484" s="496"/>
      <c r="Y484" s="496"/>
      <c r="Z484" s="494"/>
      <c r="AA484" s="494"/>
      <c r="AB484" s="496"/>
      <c r="AC484" s="496"/>
      <c r="AD484" s="494"/>
      <c r="AE484" s="3" t="s">
        <v>188</v>
      </c>
      <c r="AF484" s="496"/>
      <c r="AG484" s="496"/>
      <c r="AH484" s="494"/>
      <c r="AI484" s="494"/>
      <c r="AJ484" s="259"/>
      <c r="AK484" s="2"/>
      <c r="AL484" s="494"/>
      <c r="AM484" s="496"/>
      <c r="AN484" s="496"/>
      <c r="AO484" s="5" t="s">
        <v>229</v>
      </c>
      <c r="AP484" s="719"/>
      <c r="AQ484" s="719"/>
      <c r="AR484" s="719"/>
      <c r="AS484" s="719"/>
      <c r="AT484" s="719"/>
      <c r="AU484" s="719"/>
      <c r="AV484" s="719"/>
      <c r="AW484" s="719"/>
      <c r="AX484" s="719"/>
      <c r="AY484" s="719"/>
      <c r="AZ484" s="719"/>
      <c r="BA484" s="719"/>
      <c r="BB484" s="719"/>
      <c r="BC484" s="719"/>
      <c r="BD484" s="719"/>
      <c r="BE484" s="719"/>
      <c r="BF484" s="719"/>
      <c r="BG484" s="719"/>
      <c r="BH484" s="719"/>
      <c r="BI484" s="719"/>
      <c r="BJ484" s="719"/>
    </row>
    <row r="485" spans="1:62" ht="15.75" customHeight="1">
      <c r="A485" s="493" t="s">
        <v>476</v>
      </c>
      <c r="B485" s="497"/>
      <c r="C485" s="719" t="s">
        <v>474</v>
      </c>
      <c r="D485" s="719"/>
      <c r="E485" s="719"/>
      <c r="F485" s="719"/>
      <c r="G485" s="719"/>
      <c r="H485" s="719"/>
      <c r="I485" s="719"/>
      <c r="J485" s="719"/>
      <c r="K485" s="719"/>
      <c r="L485" s="719"/>
      <c r="M485" s="719"/>
      <c r="N485" s="719"/>
      <c r="O485" s="719"/>
      <c r="P485" s="719"/>
      <c r="Q485" s="719"/>
      <c r="R485" s="719"/>
      <c r="S485" s="719"/>
      <c r="T485" s="719"/>
      <c r="U485" s="719"/>
      <c r="V485" s="496"/>
      <c r="W485" s="496"/>
      <c r="X485" s="496"/>
      <c r="Y485" s="496"/>
      <c r="Z485" s="565"/>
      <c r="AA485" s="504"/>
      <c r="AB485" s="504"/>
      <c r="AC485" s="565"/>
      <c r="AD485" s="504"/>
      <c r="AE485" s="504"/>
      <c r="AF485" s="852"/>
      <c r="AG485" s="504"/>
      <c r="AH485" s="504"/>
      <c r="AI485" s="504"/>
      <c r="AJ485" s="504"/>
      <c r="AK485" s="504"/>
      <c r="AL485" s="565"/>
      <c r="AM485" s="504"/>
      <c r="AN485" s="504"/>
      <c r="AO485" s="504"/>
      <c r="AP485" s="719"/>
      <c r="AQ485" s="719"/>
      <c r="AR485" s="719"/>
      <c r="AS485" s="719"/>
      <c r="AT485" s="719"/>
      <c r="AU485" s="719"/>
      <c r="AV485" s="719"/>
      <c r="AW485" s="719"/>
      <c r="AX485" s="719"/>
      <c r="AY485" s="719"/>
      <c r="AZ485" s="719"/>
      <c r="BA485" s="719"/>
      <c r="BB485" s="719"/>
      <c r="BC485" s="719"/>
      <c r="BD485" s="719"/>
      <c r="BE485" s="719"/>
      <c r="BF485" s="719"/>
      <c r="BG485" s="719"/>
      <c r="BH485" s="719"/>
      <c r="BI485" s="719"/>
      <c r="BJ485" s="719"/>
    </row>
    <row r="486" spans="1:62" ht="15.75" customHeight="1">
      <c r="A486" s="493" t="s">
        <v>476</v>
      </c>
      <c r="B486" s="497"/>
      <c r="C486" s="719" t="s">
        <v>474</v>
      </c>
      <c r="D486" s="719"/>
      <c r="E486" s="719"/>
      <c r="F486" s="719"/>
      <c r="G486" s="719"/>
      <c r="H486" s="719"/>
      <c r="I486" s="719"/>
      <c r="J486" s="719"/>
      <c r="K486" s="719"/>
      <c r="L486" s="719"/>
      <c r="M486" s="719"/>
      <c r="N486" s="719"/>
      <c r="O486" s="719"/>
      <c r="P486" s="719"/>
      <c r="Q486" s="719"/>
      <c r="R486" s="719"/>
      <c r="S486" s="719"/>
      <c r="T486" s="719"/>
      <c r="U486" s="719"/>
      <c r="V486" s="496"/>
      <c r="W486" s="496"/>
      <c r="X486" s="496"/>
      <c r="Y486" s="496"/>
      <c r="Z486" s="565"/>
      <c r="AA486" s="504"/>
      <c r="AB486" s="504"/>
      <c r="AC486" s="565"/>
      <c r="AD486" s="504"/>
      <c r="AE486" s="504"/>
      <c r="AF486" s="852"/>
      <c r="AG486" s="504"/>
      <c r="AH486" s="504"/>
      <c r="AI486" s="504"/>
      <c r="AJ486" s="504"/>
      <c r="AK486" s="504"/>
      <c r="AL486" s="565"/>
      <c r="AM486" s="504"/>
      <c r="AN486" s="504"/>
      <c r="AO486" s="504"/>
      <c r="AP486" s="719"/>
      <c r="AQ486" s="719"/>
      <c r="AR486" s="719"/>
      <c r="AS486" s="719"/>
      <c r="AT486" s="719"/>
      <c r="AU486" s="719"/>
      <c r="AV486" s="719"/>
      <c r="AW486" s="719"/>
      <c r="AX486" s="719"/>
      <c r="AY486" s="719"/>
      <c r="AZ486" s="719"/>
      <c r="BA486" s="719"/>
      <c r="BB486" s="719"/>
      <c r="BC486" s="719"/>
      <c r="BD486" s="719"/>
      <c r="BE486" s="719"/>
      <c r="BF486" s="719"/>
      <c r="BG486" s="719"/>
      <c r="BH486" s="719"/>
      <c r="BI486" s="719"/>
      <c r="BJ486" s="719"/>
    </row>
    <row r="487" spans="1:62" ht="15.75" customHeight="1" thickBot="1">
      <c r="A487" s="493" t="s">
        <v>476</v>
      </c>
      <c r="B487" s="497"/>
      <c r="C487" s="719" t="s">
        <v>474</v>
      </c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19"/>
      <c r="P487" s="719"/>
      <c r="Q487" s="719"/>
      <c r="R487" s="719"/>
      <c r="S487" s="719"/>
      <c r="T487" s="719"/>
      <c r="U487" s="719"/>
      <c r="V487" s="496"/>
      <c r="W487" s="496"/>
      <c r="X487" s="496"/>
      <c r="Y487" s="496"/>
      <c r="Z487" s="565"/>
      <c r="AA487" s="504"/>
      <c r="AB487" s="504"/>
      <c r="AC487" s="565"/>
      <c r="AD487" s="504"/>
      <c r="AE487" s="504"/>
      <c r="AF487" s="852"/>
      <c r="AG487" s="504"/>
      <c r="AH487" s="504"/>
      <c r="AI487" s="504"/>
      <c r="AJ487" s="504"/>
      <c r="AK487" s="504"/>
      <c r="AL487" s="565"/>
      <c r="AM487" s="504"/>
      <c r="AN487" s="504"/>
      <c r="AO487" s="504"/>
      <c r="AP487" s="719"/>
      <c r="AQ487" s="719"/>
      <c r="AR487" s="719"/>
      <c r="AS487" s="719"/>
      <c r="AT487" s="719"/>
      <c r="AU487" s="719"/>
      <c r="AV487" s="719"/>
      <c r="AW487" s="719"/>
      <c r="AX487" s="719"/>
      <c r="AY487" s="719"/>
      <c r="AZ487" s="719"/>
      <c r="BA487" s="719"/>
      <c r="BB487" s="719"/>
      <c r="BC487" s="719"/>
      <c r="BD487" s="719"/>
      <c r="BE487" s="719"/>
      <c r="BF487" s="719"/>
      <c r="BG487" s="719"/>
      <c r="BH487" s="719"/>
      <c r="BI487" s="719"/>
      <c r="BJ487" s="719"/>
    </row>
    <row r="488" spans="1:62" ht="15.75" customHeight="1" thickTop="1" thickBot="1">
      <c r="A488" s="493" t="s">
        <v>186</v>
      </c>
      <c r="B488" s="497"/>
      <c r="C488" s="719" t="s">
        <v>474</v>
      </c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19"/>
      <c r="P488" s="719"/>
      <c r="Q488" s="719"/>
      <c r="R488" s="719"/>
      <c r="S488" s="719"/>
      <c r="T488" s="719"/>
      <c r="U488" s="719"/>
      <c r="V488" s="853" t="s">
        <v>186</v>
      </c>
      <c r="W488" s="854"/>
      <c r="X488" s="386" t="s">
        <v>187</v>
      </c>
      <c r="Y488" s="855">
        <v>4.9126838614733194E-2</v>
      </c>
      <c r="Z488" s="856">
        <v>268136.19810996123</v>
      </c>
      <c r="AA488" s="386" t="s">
        <v>187</v>
      </c>
      <c r="AB488" s="855">
        <v>4.9126838614733194E-2</v>
      </c>
      <c r="AC488" s="856">
        <v>268136.19810996123</v>
      </c>
      <c r="AD488" s="386" t="s">
        <v>187</v>
      </c>
      <c r="AE488" s="855">
        <v>4.0441827578287889E-2</v>
      </c>
      <c r="AF488" s="856">
        <v>152748.41999999998</v>
      </c>
      <c r="AG488" s="857"/>
      <c r="AH488" s="848">
        <v>-115387.77810996125</v>
      </c>
      <c r="AI488" s="849">
        <v>-0.43033271495347053</v>
      </c>
      <c r="AJ488" s="386" t="s">
        <v>187</v>
      </c>
      <c r="AK488" s="855">
        <v>3.7182690081429083E-2</v>
      </c>
      <c r="AL488" s="858">
        <v>194923.30999999994</v>
      </c>
      <c r="AM488" s="859"/>
      <c r="AN488" s="860">
        <v>-42174.889999999956</v>
      </c>
      <c r="AO488" s="861">
        <v>-0.21636658027200528</v>
      </c>
      <c r="AP488" s="719"/>
      <c r="AQ488" s="719"/>
      <c r="AR488" s="719"/>
      <c r="AS488" s="719"/>
      <c r="AT488" s="719"/>
      <c r="AU488" s="719"/>
      <c r="AV488" s="719"/>
      <c r="AW488" s="719"/>
      <c r="AX488" s="719"/>
      <c r="AY488" s="719"/>
      <c r="AZ488" s="719"/>
      <c r="BA488" s="719"/>
      <c r="BB488" s="719"/>
      <c r="BC488" s="719"/>
      <c r="BD488" s="719"/>
      <c r="BE488" s="719"/>
      <c r="BF488" s="719"/>
      <c r="BG488" s="719"/>
      <c r="BH488" s="719"/>
      <c r="BI488" s="719"/>
      <c r="BJ488" s="719"/>
    </row>
    <row r="489" spans="1:62" ht="15.75" customHeight="1" thickTop="1">
      <c r="A489" s="493" t="s">
        <v>476</v>
      </c>
      <c r="B489" s="497"/>
      <c r="C489" s="719" t="s">
        <v>474</v>
      </c>
      <c r="D489" s="719"/>
      <c r="E489" s="719"/>
      <c r="F489" s="805"/>
      <c r="G489" s="719"/>
      <c r="H489" s="719"/>
      <c r="I489" s="805"/>
      <c r="J489" s="719"/>
      <c r="K489" s="719"/>
      <c r="L489" s="719"/>
      <c r="M489" s="805"/>
      <c r="N489" s="719"/>
      <c r="O489" s="719"/>
      <c r="P489" s="719"/>
      <c r="Q489" s="805"/>
      <c r="R489" s="805"/>
      <c r="S489" s="805"/>
      <c r="T489" s="811"/>
      <c r="U489" s="811"/>
      <c r="V489" s="862"/>
      <c r="W489" s="719"/>
      <c r="X489" s="719"/>
      <c r="Y489" s="719"/>
      <c r="Z489" s="863"/>
      <c r="AA489" s="719"/>
      <c r="AB489" s="719"/>
      <c r="AC489" s="864"/>
      <c r="AD489" s="719"/>
      <c r="AE489" s="719"/>
      <c r="AF489" s="864"/>
      <c r="AG489" s="719"/>
      <c r="AH489" s="719"/>
      <c r="AI489" s="864"/>
      <c r="AJ489" s="719"/>
      <c r="AK489" s="719"/>
      <c r="AL489" s="865"/>
      <c r="AM489" s="866"/>
      <c r="AN489" s="719"/>
      <c r="AO489" s="867"/>
      <c r="AP489" s="719"/>
      <c r="AQ489" s="719"/>
      <c r="AR489" s="719"/>
      <c r="AS489" s="719"/>
      <c r="AT489" s="719"/>
      <c r="AU489" s="719"/>
      <c r="AV489" s="719"/>
      <c r="AW489" s="719"/>
      <c r="AX489" s="719"/>
      <c r="AY489" s="719"/>
      <c r="AZ489" s="719"/>
      <c r="BA489" s="719"/>
      <c r="BB489" s="719"/>
      <c r="BC489" s="719"/>
      <c r="BD489" s="719"/>
      <c r="BE489" s="719"/>
      <c r="BF489" s="719"/>
      <c r="BG489" s="719"/>
      <c r="BH489" s="719"/>
      <c r="BI489" s="719"/>
      <c r="BJ489" s="719"/>
    </row>
    <row r="490" spans="1:62" ht="15.75" customHeight="1">
      <c r="A490" s="493" t="s">
        <v>189</v>
      </c>
      <c r="B490" s="497"/>
      <c r="C490" s="719" t="s">
        <v>474</v>
      </c>
      <c r="D490" s="719"/>
      <c r="E490" s="719"/>
      <c r="F490" s="719"/>
      <c r="G490" s="719"/>
      <c r="H490" s="719"/>
      <c r="I490" s="719"/>
      <c r="J490" s="719"/>
      <c r="K490" s="719"/>
      <c r="L490" s="719"/>
      <c r="M490" s="719"/>
      <c r="N490" s="719"/>
      <c r="O490" s="719"/>
      <c r="P490" s="719"/>
      <c r="Q490" s="719"/>
      <c r="R490" s="719"/>
      <c r="S490" s="719"/>
      <c r="T490" s="719"/>
      <c r="U490" s="719"/>
      <c r="V490" s="585" t="s">
        <v>189</v>
      </c>
      <c r="W490" s="290"/>
      <c r="X490" s="757"/>
      <c r="Y490" s="764"/>
      <c r="Z490" s="758">
        <v>7468.25</v>
      </c>
      <c r="AA490" s="757"/>
      <c r="AB490" s="764"/>
      <c r="AC490" s="758">
        <v>7468.25</v>
      </c>
      <c r="AD490" s="757"/>
      <c r="AE490" s="764"/>
      <c r="AF490" s="758">
        <v>4314.5</v>
      </c>
      <c r="AG490" s="757"/>
      <c r="AH490" s="760">
        <v>-3153.75</v>
      </c>
      <c r="AI490" s="783">
        <v>-0.42228768453118198</v>
      </c>
      <c r="AJ490" s="757"/>
      <c r="AK490" s="757"/>
      <c r="AL490" s="758">
        <v>9167</v>
      </c>
      <c r="AM490" s="762"/>
      <c r="AN490" s="760">
        <v>-4852.5</v>
      </c>
      <c r="AO490" s="766">
        <v>-0.529344387476819</v>
      </c>
      <c r="AP490" s="719"/>
      <c r="AQ490" s="719"/>
      <c r="AR490" s="719"/>
      <c r="AS490" s="719"/>
      <c r="AT490" s="719"/>
      <c r="AU490" s="719"/>
      <c r="AV490" s="719"/>
      <c r="AW490" s="719"/>
      <c r="AX490" s="719"/>
      <c r="AY490" s="719"/>
      <c r="AZ490" s="719"/>
      <c r="BA490" s="719"/>
      <c r="BB490" s="719"/>
      <c r="BC490" s="719"/>
      <c r="BD490" s="719"/>
      <c r="BE490" s="719"/>
      <c r="BF490" s="719"/>
      <c r="BG490" s="719"/>
      <c r="BH490" s="719"/>
      <c r="BI490" s="719"/>
      <c r="BJ490" s="719"/>
    </row>
    <row r="491" spans="1:62" ht="15.75" customHeight="1">
      <c r="A491" s="493" t="s">
        <v>190</v>
      </c>
      <c r="B491" s="497"/>
      <c r="C491" s="719" t="s">
        <v>474</v>
      </c>
      <c r="D491" s="719"/>
      <c r="E491" s="719"/>
      <c r="F491" s="805"/>
      <c r="G491" s="719"/>
      <c r="H491" s="719"/>
      <c r="I491" s="805"/>
      <c r="J491" s="719"/>
      <c r="K491" s="719"/>
      <c r="L491" s="719"/>
      <c r="M491" s="805"/>
      <c r="N491" s="719"/>
      <c r="O491" s="719"/>
      <c r="P491" s="719"/>
      <c r="Q491" s="805"/>
      <c r="R491" s="805"/>
      <c r="S491" s="805"/>
      <c r="T491" s="719"/>
      <c r="U491" s="719"/>
      <c r="V491" s="585" t="s">
        <v>190</v>
      </c>
      <c r="W491" s="498"/>
      <c r="X491" s="498"/>
      <c r="Y491" s="498"/>
      <c r="Z491" s="758">
        <v>0</v>
      </c>
      <c r="AA491" s="498"/>
      <c r="AB491" s="498"/>
      <c r="AC491" s="758">
        <v>0</v>
      </c>
      <c r="AD491" s="498"/>
      <c r="AE491" s="504"/>
      <c r="AF491" s="758">
        <v>0</v>
      </c>
      <c r="AG491" s="498"/>
      <c r="AH491" s="760">
        <v>0</v>
      </c>
      <c r="AI491" s="783">
        <v>0</v>
      </c>
      <c r="AJ491" s="498"/>
      <c r="AK491" s="498"/>
      <c r="AL491" s="758">
        <v>-2045.53</v>
      </c>
      <c r="AM491" s="868"/>
      <c r="AN491" s="760">
        <v>2045.53</v>
      </c>
      <c r="AO491" s="766">
        <v>-1</v>
      </c>
      <c r="AP491" s="719"/>
      <c r="AQ491" s="719"/>
      <c r="AR491" s="719"/>
      <c r="AS491" s="719"/>
      <c r="AT491" s="719"/>
      <c r="AU491" s="719"/>
      <c r="AV491" s="719"/>
      <c r="AW491" s="719"/>
      <c r="AX491" s="719"/>
      <c r="AY491" s="719"/>
      <c r="AZ491" s="719"/>
      <c r="BA491" s="719"/>
      <c r="BB491" s="719"/>
      <c r="BC491" s="719"/>
      <c r="BD491" s="719"/>
      <c r="BE491" s="719"/>
      <c r="BF491" s="719"/>
      <c r="BG491" s="719"/>
      <c r="BH491" s="719"/>
      <c r="BI491" s="719"/>
      <c r="BJ491" s="719"/>
    </row>
    <row r="492" spans="1:62" ht="15.75" customHeight="1">
      <c r="A492" s="493" t="s">
        <v>191</v>
      </c>
      <c r="B492" s="497"/>
      <c r="C492" s="719" t="s">
        <v>474</v>
      </c>
      <c r="D492" s="719"/>
      <c r="E492" s="719"/>
      <c r="F492" s="805"/>
      <c r="G492" s="719"/>
      <c r="H492" s="719"/>
      <c r="I492" s="805"/>
      <c r="J492" s="719"/>
      <c r="K492" s="719"/>
      <c r="L492" s="719"/>
      <c r="M492" s="805"/>
      <c r="N492" s="719"/>
      <c r="O492" s="719"/>
      <c r="P492" s="719"/>
      <c r="Q492" s="805"/>
      <c r="R492" s="805"/>
      <c r="S492" s="805"/>
      <c r="T492" s="719"/>
      <c r="U492" s="719"/>
      <c r="V492" s="585" t="s">
        <v>191</v>
      </c>
      <c r="W492" s="504"/>
      <c r="X492" s="504"/>
      <c r="Y492" s="504"/>
      <c r="Z492" s="758">
        <v>434.49</v>
      </c>
      <c r="AA492" s="498"/>
      <c r="AB492" s="498"/>
      <c r="AC492" s="758">
        <v>434.49</v>
      </c>
      <c r="AD492" s="498"/>
      <c r="AE492" s="504"/>
      <c r="AF492" s="758">
        <v>426.79</v>
      </c>
      <c r="AG492" s="498"/>
      <c r="AH492" s="760">
        <v>-7.6999999999999886</v>
      </c>
      <c r="AI492" s="783">
        <v>-1.7721926856774584E-2</v>
      </c>
      <c r="AJ492" s="498"/>
      <c r="AK492" s="498"/>
      <c r="AL492" s="758">
        <v>570.58999999999992</v>
      </c>
      <c r="AM492" s="868"/>
      <c r="AN492" s="760">
        <v>-143.7999999999999</v>
      </c>
      <c r="AO492" s="766">
        <v>-0.25201983911389952</v>
      </c>
      <c r="AP492" s="719"/>
      <c r="AQ492" s="719"/>
      <c r="AR492" s="719"/>
      <c r="AS492" s="719"/>
      <c r="AT492" s="719"/>
      <c r="AU492" s="719"/>
      <c r="AV492" s="719"/>
      <c r="AW492" s="719"/>
      <c r="AX492" s="719"/>
      <c r="AY492" s="719"/>
      <c r="AZ492" s="719"/>
      <c r="BA492" s="719"/>
      <c r="BB492" s="719"/>
      <c r="BC492" s="719"/>
      <c r="BD492" s="719"/>
      <c r="BE492" s="719"/>
      <c r="BF492" s="719"/>
      <c r="BG492" s="719"/>
      <c r="BH492" s="719"/>
      <c r="BI492" s="719"/>
      <c r="BJ492" s="719"/>
    </row>
    <row r="493" spans="1:62" ht="15.75" customHeight="1" thickBot="1">
      <c r="A493" s="493" t="s">
        <v>192</v>
      </c>
      <c r="B493" s="497"/>
      <c r="C493" s="719" t="s">
        <v>474</v>
      </c>
      <c r="D493" s="719"/>
      <c r="E493" s="719"/>
      <c r="F493" s="805"/>
      <c r="G493" s="719"/>
      <c r="H493" s="719"/>
      <c r="I493" s="805"/>
      <c r="J493" s="719"/>
      <c r="K493" s="719"/>
      <c r="L493" s="719"/>
      <c r="M493" s="805"/>
      <c r="N493" s="719"/>
      <c r="O493" s="719"/>
      <c r="P493" s="719"/>
      <c r="Q493" s="805"/>
      <c r="R493" s="805"/>
      <c r="S493" s="805"/>
      <c r="T493" s="719"/>
      <c r="U493" s="719"/>
      <c r="V493" s="585" t="s">
        <v>192</v>
      </c>
      <c r="W493" s="504"/>
      <c r="X493" s="504"/>
      <c r="Y493" s="504"/>
      <c r="Z493" s="758">
        <v>0</v>
      </c>
      <c r="AA493" s="498"/>
      <c r="AB493" s="498"/>
      <c r="AC493" s="758">
        <v>0</v>
      </c>
      <c r="AD493" s="498"/>
      <c r="AE493" s="504"/>
      <c r="AF493" s="758">
        <v>0</v>
      </c>
      <c r="AG493" s="498"/>
      <c r="AH493" s="760">
        <v>0</v>
      </c>
      <c r="AI493" s="783">
        <v>0</v>
      </c>
      <c r="AJ493" s="498"/>
      <c r="AK493" s="498"/>
      <c r="AL493" s="758">
        <v>0</v>
      </c>
      <c r="AM493" s="868"/>
      <c r="AN493" s="760">
        <v>0</v>
      </c>
      <c r="AO493" s="766">
        <v>0</v>
      </c>
      <c r="AP493" s="719"/>
      <c r="AQ493" s="719"/>
      <c r="AR493" s="719"/>
      <c r="AS493" s="719"/>
      <c r="AT493" s="719"/>
      <c r="AU493" s="719"/>
      <c r="AV493" s="719"/>
      <c r="AW493" s="719"/>
      <c r="AX493" s="719"/>
      <c r="AY493" s="719"/>
      <c r="AZ493" s="719"/>
      <c r="BA493" s="719"/>
      <c r="BB493" s="719"/>
      <c r="BC493" s="719"/>
      <c r="BD493" s="719"/>
      <c r="BE493" s="719"/>
      <c r="BF493" s="719"/>
      <c r="BG493" s="719"/>
      <c r="BH493" s="719"/>
      <c r="BI493" s="719"/>
      <c r="BJ493" s="719"/>
    </row>
    <row r="494" spans="1:62" ht="15.75" hidden="1" customHeight="1" thickBot="1">
      <c r="A494" s="493" t="s">
        <v>21</v>
      </c>
      <c r="B494" s="497"/>
      <c r="C494" s="719" t="s">
        <v>474</v>
      </c>
      <c r="D494" s="719"/>
      <c r="E494" s="719"/>
      <c r="F494" s="805"/>
      <c r="G494" s="719"/>
      <c r="H494" s="719"/>
      <c r="I494" s="805"/>
      <c r="J494" s="719"/>
      <c r="K494" s="719"/>
      <c r="L494" s="719"/>
      <c r="M494" s="805"/>
      <c r="N494" s="719"/>
      <c r="O494" s="719"/>
      <c r="P494" s="719"/>
      <c r="Q494" s="805"/>
      <c r="R494" s="805"/>
      <c r="S494" s="805"/>
      <c r="T494" s="719"/>
      <c r="U494" s="719"/>
      <c r="V494" s="585" t="s">
        <v>21</v>
      </c>
      <c r="W494" s="504"/>
      <c r="X494" s="504"/>
      <c r="Y494" s="504"/>
      <c r="Z494" s="758">
        <v>0</v>
      </c>
      <c r="AA494" s="498"/>
      <c r="AB494" s="498"/>
      <c r="AC494" s="758">
        <v>0</v>
      </c>
      <c r="AD494" s="498"/>
      <c r="AE494" s="504"/>
      <c r="AF494" s="758">
        <v>0</v>
      </c>
      <c r="AG494" s="498"/>
      <c r="AH494" s="760">
        <v>0</v>
      </c>
      <c r="AI494" s="783">
        <v>0</v>
      </c>
      <c r="AJ494" s="498"/>
      <c r="AK494" s="498"/>
      <c r="AL494" s="758">
        <v>0</v>
      </c>
      <c r="AM494" s="868"/>
      <c r="AN494" s="760">
        <v>0</v>
      </c>
      <c r="AO494" s="766">
        <v>0</v>
      </c>
      <c r="AP494" s="719"/>
      <c r="AQ494" s="719"/>
      <c r="AR494" s="719"/>
      <c r="AS494" s="719"/>
      <c r="AT494" s="719"/>
      <c r="AU494" s="719"/>
      <c r="AV494" s="719"/>
      <c r="AW494" s="719"/>
      <c r="AX494" s="719"/>
      <c r="AY494" s="719"/>
      <c r="AZ494" s="719"/>
      <c r="BA494" s="719"/>
      <c r="BB494" s="719"/>
      <c r="BC494" s="719"/>
      <c r="BD494" s="719"/>
      <c r="BE494" s="719"/>
      <c r="BF494" s="719"/>
      <c r="BG494" s="719"/>
      <c r="BH494" s="719"/>
      <c r="BI494" s="719"/>
      <c r="BJ494" s="719"/>
    </row>
    <row r="495" spans="1:62" ht="15.75" hidden="1" customHeight="1" thickTop="1" thickBot="1">
      <c r="A495" s="493" t="s">
        <v>21</v>
      </c>
      <c r="B495" s="497"/>
      <c r="C495" s="719" t="s">
        <v>474</v>
      </c>
      <c r="D495" s="719"/>
      <c r="E495" s="719"/>
      <c r="F495" s="805"/>
      <c r="G495" s="719"/>
      <c r="H495" s="719"/>
      <c r="I495" s="805"/>
      <c r="J495" s="719"/>
      <c r="K495" s="719"/>
      <c r="L495" s="719"/>
      <c r="M495" s="805"/>
      <c r="N495" s="719"/>
      <c r="O495" s="719"/>
      <c r="P495" s="719"/>
      <c r="Q495" s="805"/>
      <c r="R495" s="805"/>
      <c r="S495" s="805"/>
      <c r="T495" s="719"/>
      <c r="U495" s="719"/>
      <c r="V495" s="585" t="s">
        <v>21</v>
      </c>
      <c r="W495" s="504"/>
      <c r="X495" s="504"/>
      <c r="Y495" s="504"/>
      <c r="Z495" s="758">
        <v>0</v>
      </c>
      <c r="AA495" s="498"/>
      <c r="AB495" s="498"/>
      <c r="AC495" s="758">
        <v>0</v>
      </c>
      <c r="AD495" s="498"/>
      <c r="AE495" s="504"/>
      <c r="AF495" s="758">
        <v>0</v>
      </c>
      <c r="AG495" s="498"/>
      <c r="AH495" s="760">
        <v>0</v>
      </c>
      <c r="AI495" s="783">
        <v>0</v>
      </c>
      <c r="AJ495" s="498"/>
      <c r="AK495" s="498"/>
      <c r="AL495" s="758">
        <v>0</v>
      </c>
      <c r="AM495" s="868"/>
      <c r="AN495" s="760">
        <v>0</v>
      </c>
      <c r="AO495" s="766">
        <v>0</v>
      </c>
      <c r="AP495" s="719"/>
      <c r="AQ495" s="719"/>
      <c r="AR495" s="719"/>
      <c r="AS495" s="719"/>
      <c r="AT495" s="719"/>
      <c r="AU495" s="719"/>
      <c r="AV495" s="719"/>
      <c r="AW495" s="719"/>
      <c r="AX495" s="719"/>
      <c r="AY495" s="719"/>
      <c r="AZ495" s="719"/>
      <c r="BA495" s="719"/>
      <c r="BB495" s="719"/>
      <c r="BC495" s="719"/>
      <c r="BD495" s="719"/>
      <c r="BE495" s="719"/>
      <c r="BF495" s="719"/>
      <c r="BG495" s="719"/>
      <c r="BH495" s="719"/>
      <c r="BI495" s="719"/>
      <c r="BJ495" s="719"/>
    </row>
    <row r="496" spans="1:62" ht="15.75" hidden="1" customHeight="1" thickTop="1" thickBot="1">
      <c r="A496" s="493" t="s">
        <v>21</v>
      </c>
      <c r="B496" s="497"/>
      <c r="C496" s="719" t="s">
        <v>474</v>
      </c>
      <c r="D496" s="719"/>
      <c r="E496" s="719"/>
      <c r="F496" s="805"/>
      <c r="G496" s="719"/>
      <c r="H496" s="719"/>
      <c r="I496" s="805"/>
      <c r="J496" s="719"/>
      <c r="K496" s="719"/>
      <c r="L496" s="719"/>
      <c r="M496" s="805"/>
      <c r="N496" s="719"/>
      <c r="O496" s="719"/>
      <c r="P496" s="719"/>
      <c r="Q496" s="805"/>
      <c r="R496" s="805"/>
      <c r="S496" s="805"/>
      <c r="T496" s="719"/>
      <c r="U496" s="719"/>
      <c r="V496" s="585" t="s">
        <v>21</v>
      </c>
      <c r="W496" s="504"/>
      <c r="X496" s="719"/>
      <c r="Y496" s="504"/>
      <c r="Z496" s="758">
        <v>0</v>
      </c>
      <c r="AA496" s="498"/>
      <c r="AB496" s="498"/>
      <c r="AC496" s="758">
        <v>0</v>
      </c>
      <c r="AD496" s="498"/>
      <c r="AE496" s="504"/>
      <c r="AF496" s="758">
        <v>0</v>
      </c>
      <c r="AG496" s="498"/>
      <c r="AH496" s="760">
        <v>0</v>
      </c>
      <c r="AI496" s="783">
        <v>0</v>
      </c>
      <c r="AJ496" s="498"/>
      <c r="AK496" s="498"/>
      <c r="AL496" s="758">
        <v>0</v>
      </c>
      <c r="AM496" s="868"/>
      <c r="AN496" s="760">
        <v>0</v>
      </c>
      <c r="AO496" s="766">
        <v>0</v>
      </c>
      <c r="AP496" s="719"/>
      <c r="AQ496" s="719"/>
      <c r="AR496" s="719"/>
      <c r="AS496" s="719"/>
      <c r="AT496" s="719"/>
      <c r="AU496" s="719"/>
      <c r="AV496" s="719"/>
      <c r="AW496" s="719"/>
      <c r="AX496" s="719"/>
      <c r="AY496" s="719"/>
      <c r="AZ496" s="719"/>
      <c r="BA496" s="719"/>
      <c r="BB496" s="719"/>
      <c r="BC496" s="719"/>
      <c r="BD496" s="719"/>
      <c r="BE496" s="719"/>
      <c r="BF496" s="719"/>
      <c r="BG496" s="719"/>
      <c r="BH496" s="719"/>
      <c r="BI496" s="719"/>
      <c r="BJ496" s="719"/>
    </row>
    <row r="497" spans="1:62" ht="15.75" customHeight="1" thickTop="1" thickBot="1">
      <c r="A497" s="493" t="s">
        <v>194</v>
      </c>
      <c r="B497" s="497"/>
      <c r="C497" s="719" t="s">
        <v>474</v>
      </c>
      <c r="D497" s="719"/>
      <c r="E497" s="719"/>
      <c r="F497" s="805"/>
      <c r="G497" s="719"/>
      <c r="H497" s="719"/>
      <c r="I497" s="805"/>
      <c r="J497" s="719"/>
      <c r="K497" s="719"/>
      <c r="L497" s="719"/>
      <c r="M497" s="805"/>
      <c r="N497" s="719"/>
      <c r="O497" s="719"/>
      <c r="P497" s="719"/>
      <c r="Q497" s="805"/>
      <c r="R497" s="805"/>
      <c r="S497" s="805"/>
      <c r="T497" s="719"/>
      <c r="U497" s="719"/>
      <c r="V497" s="843" t="s">
        <v>194</v>
      </c>
      <c r="W497" s="844"/>
      <c r="X497" s="374" t="s">
        <v>187</v>
      </c>
      <c r="Y497" s="845">
        <v>4.7678930293026542E-2</v>
      </c>
      <c r="Z497" s="846">
        <v>260233.45810996124</v>
      </c>
      <c r="AA497" s="374" t="s">
        <v>187</v>
      </c>
      <c r="AB497" s="845">
        <v>4.7678930293026542E-2</v>
      </c>
      <c r="AC497" s="846">
        <v>260233.45810996124</v>
      </c>
      <c r="AD497" s="374" t="s">
        <v>187</v>
      </c>
      <c r="AE497" s="845">
        <v>3.9186518798801584E-2</v>
      </c>
      <c r="AF497" s="847">
        <v>148007.12999999998</v>
      </c>
      <c r="AG497" s="848"/>
      <c r="AH497" s="848">
        <v>-112226.32810996126</v>
      </c>
      <c r="AI497" s="849">
        <v>-0.43125249506748747</v>
      </c>
      <c r="AJ497" s="380" t="s">
        <v>187</v>
      </c>
      <c r="AK497" s="845">
        <v>3.5715387463452007E-2</v>
      </c>
      <c r="AL497" s="847">
        <v>187231.24999999994</v>
      </c>
      <c r="AM497" s="850"/>
      <c r="AN497" s="847">
        <v>-39224.119999999966</v>
      </c>
      <c r="AO497" s="869">
        <v>-0.20949558366992679</v>
      </c>
      <c r="AP497" s="719"/>
      <c r="AQ497" s="719"/>
      <c r="AR497" s="719"/>
      <c r="AS497" s="719"/>
      <c r="AT497" s="719"/>
      <c r="AU497" s="719"/>
      <c r="AV497" s="719"/>
      <c r="AW497" s="719"/>
      <c r="AX497" s="719"/>
      <c r="AY497" s="719"/>
      <c r="AZ497" s="719"/>
      <c r="BA497" s="719"/>
      <c r="BB497" s="719"/>
      <c r="BC497" s="719"/>
      <c r="BD497" s="719"/>
      <c r="BE497" s="719"/>
      <c r="BF497" s="719"/>
      <c r="BG497" s="719"/>
      <c r="BH497" s="719"/>
      <c r="BI497" s="719"/>
      <c r="BJ497" s="719"/>
    </row>
    <row r="498" spans="1:62" ht="15.75" customHeight="1" thickTop="1">
      <c r="A498" s="493" t="s">
        <v>476</v>
      </c>
      <c r="B498" s="497"/>
      <c r="C498" s="719"/>
      <c r="D498" s="719"/>
      <c r="E498" s="719"/>
      <c r="F498" s="805"/>
      <c r="G498" s="719"/>
      <c r="H498" s="719"/>
      <c r="I498" s="805"/>
      <c r="J498" s="719"/>
      <c r="K498" s="719"/>
      <c r="L498" s="719"/>
      <c r="M498" s="805"/>
      <c r="N498" s="719"/>
      <c r="O498" s="719"/>
      <c r="P498" s="719"/>
      <c r="Q498" s="805"/>
      <c r="R498" s="805"/>
      <c r="S498" s="805"/>
      <c r="T498" s="719"/>
      <c r="U498" s="719"/>
      <c r="V498" s="719"/>
      <c r="W498" s="719"/>
      <c r="X498" s="719"/>
      <c r="Y498" s="719"/>
      <c r="Z498" s="719"/>
      <c r="AA498" s="719"/>
      <c r="AB498" s="719"/>
      <c r="AC498" s="719"/>
      <c r="AD498" s="719"/>
      <c r="AE498" s="870"/>
      <c r="AF498" s="871"/>
      <c r="AG498" s="719"/>
      <c r="AH498" s="719"/>
      <c r="AI498" s="719"/>
      <c r="AJ498" s="719"/>
      <c r="AK498" s="719"/>
      <c r="AL498" s="719"/>
      <c r="AM498" s="719"/>
      <c r="AN498" s="719"/>
      <c r="AO498" s="719"/>
      <c r="AP498" s="719"/>
      <c r="AQ498" s="719"/>
      <c r="AR498" s="719"/>
      <c r="AS498" s="719"/>
      <c r="AT498" s="719"/>
      <c r="AU498" s="719"/>
      <c r="AV498" s="719"/>
      <c r="AW498" s="719"/>
      <c r="AX498" s="719"/>
      <c r="AY498" s="719"/>
      <c r="AZ498" s="719"/>
      <c r="BA498" s="719"/>
      <c r="BB498" s="719"/>
      <c r="BC498" s="719"/>
      <c r="BD498" s="719"/>
      <c r="BE498" s="719"/>
      <c r="BF498" s="719"/>
      <c r="BG498" s="719"/>
      <c r="BH498" s="719"/>
      <c r="BI498" s="719"/>
      <c r="BJ498" s="719"/>
    </row>
    <row r="499" spans="1:62" ht="15.75" customHeight="1">
      <c r="B499" s="497"/>
      <c r="C499" s="719"/>
      <c r="D499" s="719"/>
      <c r="E499" s="719"/>
      <c r="F499" s="805"/>
      <c r="G499" s="719"/>
      <c r="H499" s="719"/>
      <c r="I499" s="805"/>
      <c r="J499" s="719"/>
      <c r="K499" s="719"/>
      <c r="L499" s="719"/>
      <c r="M499" s="805"/>
      <c r="N499" s="719"/>
      <c r="O499" s="719"/>
      <c r="P499" s="719"/>
      <c r="Q499" s="805"/>
      <c r="R499" s="805"/>
      <c r="S499" s="805"/>
      <c r="T499" s="719"/>
      <c r="U499" s="719"/>
      <c r="V499" s="719"/>
      <c r="W499" s="719"/>
      <c r="X499" s="719"/>
      <c r="Y499" s="719"/>
      <c r="Z499" s="805">
        <v>260233.45810996124</v>
      </c>
      <c r="AA499" s="719"/>
      <c r="AB499" s="719"/>
      <c r="AC499" s="719">
        <v>260233.45810996124</v>
      </c>
      <c r="AD499" s="719"/>
      <c r="AE499" s="719"/>
      <c r="AF499" s="826">
        <v>148007.12999999998</v>
      </c>
      <c r="AG499" s="719"/>
      <c r="AH499" s="719"/>
      <c r="AI499" s="719"/>
      <c r="AJ499" s="719"/>
      <c r="AK499" s="719"/>
      <c r="AL499" s="719">
        <v>187231.25</v>
      </c>
      <c r="AM499" s="719"/>
      <c r="AN499" s="719"/>
      <c r="AO499" s="719"/>
      <c r="AP499" s="719"/>
      <c r="AQ499" s="719"/>
      <c r="AR499" s="719"/>
      <c r="AS499" s="719"/>
      <c r="AT499" s="719"/>
      <c r="AU499" s="719"/>
      <c r="AV499" s="719"/>
      <c r="AW499" s="719"/>
      <c r="AX499" s="719"/>
      <c r="AY499" s="719"/>
      <c r="AZ499" s="719"/>
      <c r="BA499" s="719"/>
      <c r="BB499" s="719"/>
      <c r="BC499" s="719"/>
      <c r="BD499" s="719"/>
      <c r="BE499" s="719"/>
      <c r="BF499" s="719"/>
      <c r="BG499" s="719"/>
      <c r="BH499" s="719"/>
      <c r="BI499" s="719"/>
      <c r="BJ499" s="719"/>
    </row>
    <row r="500" spans="1:62" ht="15.75" customHeight="1">
      <c r="B500" s="497"/>
      <c r="C500" s="719"/>
      <c r="D500" s="719" t="s">
        <v>477</v>
      </c>
      <c r="E500" s="719"/>
      <c r="F500" s="805"/>
      <c r="G500" s="719"/>
      <c r="H500" s="719"/>
      <c r="I500" s="805"/>
      <c r="J500" s="719" t="s">
        <v>478</v>
      </c>
      <c r="K500" s="719"/>
      <c r="L500" s="719"/>
      <c r="M500" s="805"/>
      <c r="N500" s="719"/>
      <c r="O500" s="719" t="s">
        <v>479</v>
      </c>
      <c r="P500" s="719"/>
      <c r="Q500" s="805"/>
      <c r="R500" s="805"/>
      <c r="S500" s="805"/>
      <c r="T500" s="811"/>
      <c r="U500" s="811"/>
      <c r="V500" s="719"/>
      <c r="W500" s="719"/>
      <c r="X500" s="719"/>
      <c r="Y500" s="719"/>
      <c r="Z500" s="805">
        <v>0</v>
      </c>
      <c r="AA500" s="719"/>
      <c r="AB500" s="719"/>
      <c r="AC500" s="719">
        <v>0</v>
      </c>
      <c r="AD500" s="719"/>
      <c r="AE500" s="719"/>
      <c r="AF500" s="780">
        <v>0</v>
      </c>
      <c r="AG500" s="719"/>
      <c r="AH500" s="719"/>
      <c r="AI500" s="719"/>
      <c r="AJ500" s="719"/>
      <c r="AK500" s="719"/>
      <c r="AL500" s="719">
        <v>0</v>
      </c>
      <c r="AM500" s="719"/>
      <c r="AN500" s="719"/>
      <c r="AO500" s="719"/>
      <c r="AP500" s="719"/>
      <c r="AQ500" s="719"/>
      <c r="AR500" s="719"/>
      <c r="AS500" s="719"/>
      <c r="AT500" s="719"/>
      <c r="AU500" s="719"/>
      <c r="AV500" s="719"/>
      <c r="AW500" s="719"/>
      <c r="AX500" s="719"/>
      <c r="AY500" s="719"/>
      <c r="AZ500" s="719"/>
      <c r="BA500" s="719"/>
      <c r="BB500" s="719"/>
      <c r="BC500" s="719"/>
      <c r="BD500" s="719"/>
      <c r="BE500" s="719"/>
      <c r="BF500" s="719"/>
      <c r="BG500" s="719"/>
      <c r="BH500" s="719"/>
      <c r="BI500" s="719"/>
      <c r="BJ500" s="719"/>
    </row>
    <row r="501" spans="1:62" ht="15.75" customHeight="1">
      <c r="B501" s="497"/>
      <c r="C501" s="719"/>
      <c r="D501" s="719" t="s">
        <v>480</v>
      </c>
      <c r="E501" s="719"/>
      <c r="F501" s="805"/>
      <c r="G501" s="719"/>
      <c r="H501" s="719"/>
      <c r="I501" s="805"/>
      <c r="J501" s="719"/>
      <c r="K501" s="719"/>
      <c r="L501" s="719"/>
      <c r="M501" s="805"/>
      <c r="N501" s="719"/>
      <c r="O501" s="719"/>
      <c r="P501" s="719"/>
      <c r="Q501" s="805"/>
      <c r="R501" s="805"/>
      <c r="S501" s="805"/>
      <c r="T501" s="811"/>
      <c r="U501" s="811"/>
      <c r="V501" s="719"/>
      <c r="W501" s="719"/>
      <c r="X501" s="719"/>
      <c r="Y501" s="719"/>
      <c r="Z501" s="805"/>
      <c r="AA501" s="719"/>
      <c r="AB501" s="719"/>
      <c r="AC501" s="805"/>
      <c r="AD501" s="719"/>
      <c r="AE501" s="719"/>
      <c r="AF501" s="872"/>
      <c r="AG501" s="719"/>
      <c r="AH501" s="719"/>
      <c r="AI501" s="719"/>
      <c r="AJ501" s="719"/>
      <c r="AK501" s="719"/>
      <c r="AL501" s="872"/>
      <c r="AM501" s="719"/>
      <c r="AN501" s="719"/>
      <c r="AO501" s="719"/>
      <c r="AP501" s="719"/>
      <c r="AQ501" s="719"/>
      <c r="AR501" s="719"/>
      <c r="AS501" s="719"/>
      <c r="AT501" s="719"/>
      <c r="AU501" s="719"/>
      <c r="AV501" s="719"/>
      <c r="AW501" s="719"/>
      <c r="AX501" s="719"/>
      <c r="AY501" s="719"/>
      <c r="AZ501" s="719"/>
      <c r="BA501" s="719"/>
      <c r="BB501" s="719"/>
      <c r="BC501" s="719"/>
      <c r="BD501" s="719"/>
      <c r="BE501" s="719"/>
      <c r="BF501" s="719"/>
      <c r="BG501" s="719"/>
      <c r="BH501" s="719"/>
      <c r="BI501" s="719"/>
      <c r="BJ501" s="719"/>
    </row>
    <row r="502" spans="1:62" ht="15.75" customHeight="1">
      <c r="B502" s="497"/>
      <c r="C502" s="719"/>
      <c r="D502" s="719">
        <v>4423</v>
      </c>
      <c r="E502" s="719" t="e">
        <v>#N/A</v>
      </c>
      <c r="F502" s="805"/>
      <c r="G502" s="719"/>
      <c r="H502" s="719"/>
      <c r="I502" s="805"/>
      <c r="J502" s="719" t="e">
        <v>#N/A</v>
      </c>
      <c r="K502" s="719"/>
      <c r="L502" s="719"/>
      <c r="M502" s="805"/>
      <c r="N502" s="719"/>
      <c r="O502" s="719" t="e">
        <v>#N/A</v>
      </c>
      <c r="P502" s="719"/>
      <c r="Q502" s="805"/>
      <c r="R502" s="805"/>
      <c r="S502" s="805"/>
      <c r="T502" s="811"/>
      <c r="U502" s="811"/>
      <c r="V502" s="719"/>
      <c r="W502" s="719"/>
      <c r="X502" s="719"/>
      <c r="Y502" s="719"/>
      <c r="Z502" s="719"/>
      <c r="AA502" s="719"/>
      <c r="AB502" s="719"/>
      <c r="AC502" s="719"/>
      <c r="AD502" s="719"/>
      <c r="AE502" s="719"/>
      <c r="AF502" s="719"/>
      <c r="AG502" s="719"/>
      <c r="AH502" s="719"/>
      <c r="AI502" s="719"/>
      <c r="AJ502" s="719"/>
      <c r="AK502" s="719"/>
      <c r="AL502" s="719"/>
      <c r="AM502" s="719"/>
      <c r="AN502" s="719"/>
      <c r="AO502" s="719"/>
      <c r="AP502" s="719"/>
      <c r="AQ502" s="719"/>
      <c r="AR502" s="719"/>
      <c r="AS502" s="719"/>
      <c r="AT502" s="719"/>
      <c r="AU502" s="719"/>
      <c r="AV502" s="719"/>
      <c r="AW502" s="719"/>
      <c r="AX502" s="719"/>
      <c r="AY502" s="719"/>
      <c r="AZ502" s="719"/>
      <c r="BA502" s="719"/>
      <c r="BB502" s="719"/>
      <c r="BC502" s="719"/>
      <c r="BD502" s="719"/>
      <c r="BE502" s="719"/>
      <c r="BF502" s="719"/>
      <c r="BG502" s="719"/>
      <c r="BH502" s="719"/>
      <c r="BI502" s="719"/>
      <c r="BJ502" s="719"/>
    </row>
    <row r="503" spans="1:62" ht="15.75" customHeight="1">
      <c r="B503" s="497"/>
      <c r="C503" s="719"/>
      <c r="D503" s="719">
        <v>5423</v>
      </c>
      <c r="E503" s="719" t="e">
        <v>#N/A</v>
      </c>
      <c r="F503" s="805"/>
      <c r="G503" s="719"/>
      <c r="H503" s="719"/>
      <c r="I503" s="805"/>
      <c r="J503" s="719" t="e">
        <v>#N/A</v>
      </c>
      <c r="K503" s="719" t="e">
        <v>#N/A</v>
      </c>
      <c r="L503" s="719"/>
      <c r="M503" s="805"/>
      <c r="N503" s="719"/>
      <c r="O503" s="719" t="e">
        <v>#N/A</v>
      </c>
      <c r="P503" s="719" t="e">
        <v>#N/A</v>
      </c>
      <c r="Q503" s="805"/>
      <c r="R503" s="805"/>
      <c r="S503" s="805"/>
      <c r="T503" s="811"/>
      <c r="U503" s="811"/>
      <c r="V503" s="719"/>
      <c r="W503" s="719"/>
      <c r="X503" s="719"/>
      <c r="Y503" s="719"/>
      <c r="Z503" s="719"/>
      <c r="AA503" s="719"/>
      <c r="AB503" s="719"/>
      <c r="AC503" s="719"/>
      <c r="AD503" s="719"/>
      <c r="AE503" s="719"/>
      <c r="AF503" s="719"/>
      <c r="AG503" s="719"/>
      <c r="AH503" s="719"/>
      <c r="AI503" s="719"/>
      <c r="AJ503" s="719"/>
      <c r="AK503" s="719"/>
      <c r="AL503" s="719"/>
      <c r="AM503" s="719"/>
      <c r="AN503" s="719"/>
      <c r="AO503" s="719"/>
      <c r="AP503" s="719"/>
      <c r="AQ503" s="719"/>
      <c r="AR503" s="719"/>
      <c r="AS503" s="719"/>
      <c r="AT503" s="719"/>
      <c r="AU503" s="719"/>
      <c r="AV503" s="719"/>
      <c r="AW503" s="719"/>
      <c r="AX503" s="719"/>
      <c r="AY503" s="719"/>
      <c r="AZ503" s="719"/>
      <c r="BA503" s="719"/>
      <c r="BB503" s="719"/>
      <c r="BC503" s="719"/>
      <c r="BD503" s="719"/>
      <c r="BE503" s="719"/>
      <c r="BF503" s="719"/>
      <c r="BG503" s="719"/>
      <c r="BH503" s="719"/>
      <c r="BI503" s="719"/>
      <c r="BJ503" s="719"/>
    </row>
    <row r="504" spans="1:62" ht="15.75" customHeight="1">
      <c r="B504" s="497"/>
      <c r="C504" s="719"/>
      <c r="D504" s="719"/>
      <c r="E504" s="719" t="s">
        <v>481</v>
      </c>
      <c r="F504" s="805"/>
      <c r="G504" s="719"/>
      <c r="H504" s="719"/>
      <c r="I504" s="805"/>
      <c r="J504" s="719" t="e">
        <v>#N/A</v>
      </c>
      <c r="K504" s="719" t="e">
        <v>#N/A</v>
      </c>
      <c r="L504" s="719"/>
      <c r="M504" s="805"/>
      <c r="N504" s="719"/>
      <c r="O504" s="719" t="e">
        <v>#N/A</v>
      </c>
      <c r="P504" s="719" t="e">
        <v>#N/A</v>
      </c>
      <c r="Q504" s="805"/>
      <c r="R504" s="805"/>
      <c r="S504" s="805"/>
      <c r="T504" s="811"/>
      <c r="U504" s="811"/>
      <c r="V504" s="719"/>
      <c r="W504" s="719"/>
      <c r="X504" s="719"/>
      <c r="Y504" s="719"/>
      <c r="Z504" s="719"/>
      <c r="AA504" s="719"/>
      <c r="AB504" s="719"/>
      <c r="AC504" s="719"/>
      <c r="AD504" s="719"/>
      <c r="AE504" s="719"/>
      <c r="AF504" s="719"/>
      <c r="AG504" s="719"/>
      <c r="AH504" s="719"/>
      <c r="AI504" s="719"/>
      <c r="AJ504" s="719"/>
      <c r="AK504" s="719"/>
      <c r="AL504" s="719"/>
      <c r="AM504" s="719"/>
      <c r="AN504" s="719"/>
      <c r="AO504" s="719"/>
      <c r="AP504" s="719"/>
      <c r="AQ504" s="719"/>
      <c r="AR504" s="719"/>
      <c r="AS504" s="719"/>
      <c r="AT504" s="719"/>
      <c r="AU504" s="719"/>
      <c r="AV504" s="719"/>
      <c r="AW504" s="719"/>
      <c r="AX504" s="719"/>
      <c r="AY504" s="719"/>
      <c r="AZ504" s="719"/>
      <c r="BA504" s="719"/>
      <c r="BB504" s="719"/>
      <c r="BC504" s="719"/>
      <c r="BD504" s="719"/>
      <c r="BE504" s="719"/>
      <c r="BF504" s="719"/>
      <c r="BG504" s="719"/>
      <c r="BH504" s="719"/>
      <c r="BI504" s="719"/>
      <c r="BJ504" s="719"/>
    </row>
    <row r="505" spans="1:62" ht="15.75" customHeight="1">
      <c r="B505" s="497"/>
      <c r="C505" s="719"/>
      <c r="D505" s="719"/>
      <c r="E505" s="719"/>
      <c r="F505" s="805"/>
      <c r="G505" s="719"/>
      <c r="H505" s="719"/>
      <c r="I505" s="805"/>
      <c r="J505" s="719"/>
      <c r="K505" s="719"/>
      <c r="L505" s="719"/>
      <c r="M505" s="805"/>
      <c r="N505" s="719"/>
      <c r="O505" s="719"/>
      <c r="P505" s="719"/>
      <c r="Q505" s="805"/>
      <c r="R505" s="805"/>
      <c r="S505" s="805"/>
      <c r="T505" s="811"/>
      <c r="U505" s="811"/>
      <c r="V505" s="719"/>
      <c r="W505" s="719"/>
      <c r="X505" s="719"/>
      <c r="Y505" s="719"/>
      <c r="Z505" s="719"/>
      <c r="AA505" s="719"/>
      <c r="AB505" s="719"/>
      <c r="AC505" s="719"/>
      <c r="AD505" s="719"/>
      <c r="AE505" s="719"/>
      <c r="AF505" s="719"/>
      <c r="AG505" s="719"/>
      <c r="AH505" s="719"/>
      <c r="AI505" s="719"/>
      <c r="AJ505" s="719"/>
      <c r="AK505" s="719"/>
      <c r="AL505" s="719"/>
      <c r="AM505" s="719"/>
      <c r="AN505" s="719"/>
      <c r="AO505" s="719"/>
      <c r="AP505" s="719"/>
      <c r="AQ505" s="719"/>
      <c r="AR505" s="719"/>
      <c r="AS505" s="719"/>
      <c r="AT505" s="719"/>
      <c r="AU505" s="719"/>
      <c r="AV505" s="719"/>
      <c r="AW505" s="719"/>
      <c r="AX505" s="719"/>
      <c r="AY505" s="719"/>
      <c r="AZ505" s="719"/>
      <c r="BA505" s="719"/>
      <c r="BB505" s="719"/>
      <c r="BC505" s="719"/>
      <c r="BD505" s="719"/>
      <c r="BE505" s="719"/>
      <c r="BF505" s="719"/>
      <c r="BG505" s="719"/>
      <c r="BH505" s="719"/>
      <c r="BI505" s="719"/>
      <c r="BJ505" s="719"/>
    </row>
    <row r="506" spans="1:62" ht="15.75" customHeight="1">
      <c r="B506" s="497"/>
      <c r="C506" s="719"/>
      <c r="D506" s="719">
        <v>4425</v>
      </c>
      <c r="E506" s="719" t="e">
        <v>#N/A</v>
      </c>
      <c r="F506" s="805"/>
      <c r="G506" s="719"/>
      <c r="H506" s="719"/>
      <c r="I506" s="805"/>
      <c r="J506" s="719" t="e">
        <v>#N/A</v>
      </c>
      <c r="K506" s="719"/>
      <c r="L506" s="719"/>
      <c r="M506" s="805"/>
      <c r="N506" s="719"/>
      <c r="O506" s="719" t="e">
        <v>#N/A</v>
      </c>
      <c r="P506" s="719"/>
      <c r="Q506" s="805"/>
      <c r="R506" s="805"/>
      <c r="S506" s="805"/>
      <c r="T506" s="811"/>
      <c r="U506" s="811"/>
      <c r="V506" s="719"/>
      <c r="W506" s="719"/>
      <c r="X506" s="719"/>
      <c r="Y506" s="719"/>
      <c r="Z506" s="719"/>
      <c r="AA506" s="719"/>
      <c r="AB506" s="719"/>
      <c r="AC506" s="719"/>
      <c r="AD506" s="719"/>
      <c r="AE506" s="719"/>
      <c r="AF506" s="719"/>
      <c r="AG506" s="719"/>
      <c r="AH506" s="719"/>
      <c r="AI506" s="719"/>
      <c r="AJ506" s="719"/>
      <c r="AK506" s="719"/>
      <c r="AL506" s="719"/>
      <c r="AM506" s="719"/>
      <c r="AN506" s="719"/>
      <c r="AO506" s="719"/>
      <c r="AP506" s="719"/>
      <c r="AQ506" s="719"/>
      <c r="AR506" s="719"/>
      <c r="AS506" s="719"/>
      <c r="AT506" s="719"/>
      <c r="AU506" s="719"/>
      <c r="AV506" s="719"/>
      <c r="AW506" s="719"/>
      <c r="AX506" s="719"/>
      <c r="AY506" s="719"/>
      <c r="AZ506" s="719"/>
      <c r="BA506" s="719"/>
      <c r="BB506" s="719"/>
      <c r="BC506" s="719"/>
      <c r="BD506" s="719"/>
      <c r="BE506" s="719"/>
      <c r="BF506" s="719"/>
      <c r="BG506" s="719"/>
      <c r="BH506" s="719"/>
      <c r="BI506" s="719"/>
      <c r="BJ506" s="719"/>
    </row>
    <row r="507" spans="1:62" ht="15.75" customHeight="1">
      <c r="B507" s="497"/>
      <c r="C507" s="719"/>
      <c r="D507" s="719"/>
      <c r="E507" s="719"/>
      <c r="F507" s="805"/>
      <c r="G507" s="719"/>
      <c r="H507" s="719"/>
      <c r="I507" s="805"/>
      <c r="J507" s="719"/>
      <c r="K507" s="719"/>
      <c r="L507" s="719"/>
      <c r="M507" s="805"/>
      <c r="N507" s="719"/>
      <c r="O507" s="719"/>
      <c r="P507" s="719"/>
      <c r="Q507" s="805"/>
      <c r="R507" s="805"/>
      <c r="S507" s="805"/>
      <c r="T507" s="811"/>
      <c r="U507" s="811"/>
      <c r="V507" s="719"/>
      <c r="W507" s="811"/>
      <c r="X507" s="811"/>
      <c r="Y507" s="719"/>
      <c r="Z507" s="719"/>
      <c r="AA507" s="719"/>
      <c r="AB507" s="719"/>
      <c r="AC507" s="719"/>
      <c r="AD507" s="719"/>
      <c r="AE507" s="719"/>
      <c r="AF507" s="719"/>
      <c r="AG507" s="719"/>
      <c r="AH507" s="719"/>
      <c r="AI507" s="719"/>
      <c r="AJ507" s="719"/>
      <c r="AK507" s="719"/>
      <c r="AL507" s="719"/>
      <c r="AM507" s="719"/>
      <c r="AN507" s="719"/>
      <c r="AO507" s="719"/>
      <c r="AP507" s="719"/>
      <c r="AQ507" s="719"/>
      <c r="AR507" s="719"/>
      <c r="AS507" s="719"/>
      <c r="AT507" s="719"/>
      <c r="AU507" s="719"/>
      <c r="AV507" s="719"/>
      <c r="AW507" s="719"/>
      <c r="AX507" s="719"/>
      <c r="AY507" s="719"/>
      <c r="AZ507" s="719"/>
      <c r="BA507" s="719"/>
      <c r="BB507" s="719"/>
      <c r="BC507" s="719"/>
      <c r="BD507" s="719"/>
      <c r="BE507" s="719"/>
      <c r="BF507" s="719"/>
      <c r="BG507" s="719"/>
      <c r="BH507" s="719"/>
      <c r="BI507" s="719"/>
      <c r="BJ507" s="719"/>
    </row>
    <row r="508" spans="1:62" ht="15.75" customHeight="1">
      <c r="B508" s="497"/>
      <c r="C508" s="719"/>
      <c r="D508" s="719"/>
      <c r="E508" s="719"/>
      <c r="F508" s="805"/>
      <c r="G508" s="719"/>
      <c r="H508" s="719"/>
      <c r="I508" s="805"/>
      <c r="J508" s="719"/>
      <c r="K508" s="719"/>
      <c r="L508" s="719"/>
      <c r="M508" s="805"/>
      <c r="N508" s="719"/>
      <c r="O508" s="719"/>
      <c r="P508" s="719"/>
      <c r="Q508" s="805"/>
      <c r="R508" s="805"/>
      <c r="S508" s="805"/>
      <c r="T508" s="811"/>
      <c r="U508" s="811"/>
      <c r="V508" s="719"/>
      <c r="W508" s="811"/>
      <c r="X508" s="811"/>
      <c r="Y508" s="719"/>
      <c r="Z508" s="719"/>
      <c r="AA508" s="719"/>
      <c r="AB508" s="719"/>
      <c r="AC508" s="719"/>
      <c r="AD508" s="719"/>
      <c r="AE508" s="719"/>
      <c r="AF508" s="719"/>
      <c r="AG508" s="719"/>
      <c r="AH508" s="719"/>
      <c r="AI508" s="719"/>
      <c r="AJ508" s="719"/>
      <c r="AK508" s="719"/>
      <c r="AL508" s="719"/>
      <c r="AM508" s="719"/>
      <c r="AN508" s="719"/>
      <c r="AO508" s="719"/>
      <c r="AP508" s="719"/>
      <c r="AQ508" s="719"/>
      <c r="AR508" s="719"/>
      <c r="AS508" s="719"/>
      <c r="AT508" s="719"/>
      <c r="AU508" s="719"/>
      <c r="AV508" s="719"/>
      <c r="AW508" s="719"/>
      <c r="AX508" s="719"/>
      <c r="AY508" s="719"/>
      <c r="AZ508" s="719"/>
      <c r="BA508" s="719"/>
      <c r="BB508" s="719"/>
      <c r="BC508" s="719"/>
      <c r="BD508" s="719"/>
      <c r="BE508" s="719"/>
      <c r="BF508" s="719"/>
      <c r="BG508" s="719"/>
      <c r="BH508" s="719"/>
      <c r="BI508" s="719"/>
      <c r="BJ508" s="719"/>
    </row>
    <row r="509" spans="1:62" ht="15.75" customHeight="1">
      <c r="B509" s="497"/>
      <c r="C509" s="719"/>
      <c r="D509" s="719">
        <v>4727</v>
      </c>
      <c r="E509" s="719" t="e">
        <v>#N/A</v>
      </c>
      <c r="F509" s="805"/>
      <c r="G509" s="719"/>
      <c r="H509" s="719"/>
      <c r="I509" s="805"/>
      <c r="J509" s="719" t="e">
        <v>#N/A</v>
      </c>
      <c r="K509" s="719"/>
      <c r="L509" s="719"/>
      <c r="M509" s="805"/>
      <c r="N509" s="719"/>
      <c r="O509" s="719" t="e">
        <v>#N/A</v>
      </c>
      <c r="P509" s="719"/>
      <c r="Q509" s="805"/>
      <c r="R509" s="805"/>
      <c r="S509" s="805"/>
      <c r="T509" s="811"/>
      <c r="U509" s="811"/>
      <c r="V509" s="719"/>
      <c r="W509" s="811"/>
      <c r="X509" s="811"/>
      <c r="Y509" s="719"/>
      <c r="Z509" s="719"/>
      <c r="AA509" s="719"/>
      <c r="AB509" s="719"/>
      <c r="AC509" s="719"/>
      <c r="AD509" s="719"/>
      <c r="AE509" s="719"/>
      <c r="AF509" s="719"/>
      <c r="AG509" s="719"/>
      <c r="AH509" s="719"/>
      <c r="AI509" s="719"/>
      <c r="AJ509" s="719"/>
      <c r="AK509" s="719"/>
      <c r="AL509" s="719"/>
      <c r="AM509" s="719"/>
      <c r="AN509" s="719"/>
      <c r="AO509" s="719"/>
      <c r="AP509" s="719"/>
      <c r="AQ509" s="719"/>
      <c r="AR509" s="719"/>
      <c r="AS509" s="719"/>
      <c r="AT509" s="719"/>
      <c r="AU509" s="719"/>
      <c r="AV509" s="719"/>
      <c r="AW509" s="719"/>
      <c r="AX509" s="719"/>
      <c r="AY509" s="719"/>
      <c r="AZ509" s="719"/>
      <c r="BA509" s="719"/>
      <c r="BB509" s="719"/>
      <c r="BC509" s="719"/>
      <c r="BD509" s="719"/>
      <c r="BE509" s="719"/>
      <c r="BF509" s="719"/>
      <c r="BG509" s="719"/>
      <c r="BH509" s="719"/>
      <c r="BI509" s="719"/>
      <c r="BJ509" s="719"/>
    </row>
    <row r="510" spans="1:62" ht="15.75" customHeight="1">
      <c r="B510" s="497"/>
      <c r="C510" s="719"/>
      <c r="D510" s="719">
        <v>5727</v>
      </c>
      <c r="E510" s="719" t="e">
        <v>#N/A</v>
      </c>
      <c r="F510" s="805"/>
      <c r="G510" s="719"/>
      <c r="H510" s="719"/>
      <c r="I510" s="805"/>
      <c r="J510" s="719" t="e">
        <v>#N/A</v>
      </c>
      <c r="K510" s="719" t="e">
        <v>#N/A</v>
      </c>
      <c r="L510" s="719"/>
      <c r="M510" s="805"/>
      <c r="N510" s="719"/>
      <c r="O510" s="719" t="e">
        <v>#N/A</v>
      </c>
      <c r="P510" s="719" t="e">
        <v>#N/A</v>
      </c>
      <c r="Q510" s="805"/>
      <c r="R510" s="805"/>
      <c r="S510" s="805"/>
      <c r="T510" s="811"/>
      <c r="U510" s="811"/>
      <c r="V510" s="719"/>
      <c r="W510" s="811"/>
      <c r="X510" s="811"/>
      <c r="Y510" s="719"/>
      <c r="Z510" s="719"/>
      <c r="AA510" s="719"/>
      <c r="AB510" s="719"/>
      <c r="AC510" s="719"/>
      <c r="AD510" s="719"/>
      <c r="AE510" s="719"/>
      <c r="AF510" s="719"/>
      <c r="AG510" s="719"/>
      <c r="AH510" s="719"/>
      <c r="AI510" s="719"/>
      <c r="AJ510" s="719"/>
      <c r="AK510" s="719"/>
      <c r="AL510" s="719"/>
      <c r="AM510" s="719"/>
      <c r="AN510" s="719"/>
      <c r="AO510" s="719"/>
      <c r="AP510" s="719"/>
      <c r="AQ510" s="719"/>
      <c r="AR510" s="719"/>
      <c r="AS510" s="719"/>
      <c r="AT510" s="719"/>
      <c r="AU510" s="719"/>
      <c r="AV510" s="719"/>
      <c r="AW510" s="719"/>
      <c r="AX510" s="719"/>
      <c r="AY510" s="719"/>
      <c r="AZ510" s="719"/>
      <c r="BA510" s="719"/>
      <c r="BB510" s="719"/>
      <c r="BC510" s="719"/>
      <c r="BD510" s="719"/>
      <c r="BE510" s="719"/>
      <c r="BF510" s="719"/>
      <c r="BG510" s="719"/>
      <c r="BH510" s="719"/>
      <c r="BI510" s="719"/>
      <c r="BJ510" s="719"/>
    </row>
    <row r="511" spans="1:62" ht="15.75" customHeight="1">
      <c r="B511" s="497"/>
      <c r="C511" s="719"/>
      <c r="D511" s="719"/>
      <c r="E511" s="719" t="s">
        <v>482</v>
      </c>
      <c r="F511" s="805"/>
      <c r="G511" s="719"/>
      <c r="H511" s="719"/>
      <c r="I511" s="805"/>
      <c r="J511" s="719" t="e">
        <v>#N/A</v>
      </c>
      <c r="K511" s="719" t="e">
        <v>#N/A</v>
      </c>
      <c r="L511" s="719"/>
      <c r="M511" s="805"/>
      <c r="N511" s="719"/>
      <c r="O511" s="719" t="e">
        <v>#N/A</v>
      </c>
      <c r="P511" s="719" t="e">
        <v>#N/A</v>
      </c>
      <c r="Q511" s="805"/>
      <c r="R511" s="805"/>
      <c r="S511" s="805"/>
      <c r="T511" s="811"/>
      <c r="U511" s="811"/>
      <c r="V511" s="719"/>
      <c r="W511" s="811"/>
      <c r="X511" s="811"/>
      <c r="Y511" s="719"/>
      <c r="Z511" s="719"/>
      <c r="AA511" s="719"/>
      <c r="AB511" s="719"/>
      <c r="AC511" s="719"/>
      <c r="AD511" s="719"/>
      <c r="AE511" s="719"/>
      <c r="AF511" s="719"/>
      <c r="AG511" s="719"/>
      <c r="AH511" s="719"/>
      <c r="AI511" s="719"/>
      <c r="AJ511" s="719"/>
      <c r="AK511" s="719"/>
      <c r="AL511" s="719"/>
      <c r="AM511" s="719"/>
      <c r="AN511" s="719"/>
      <c r="AO511" s="719"/>
      <c r="AP511" s="719"/>
      <c r="AQ511" s="719"/>
      <c r="AR511" s="719"/>
      <c r="AS511" s="719"/>
      <c r="AT511" s="719"/>
      <c r="AU511" s="719"/>
      <c r="AV511" s="719"/>
      <c r="AW511" s="719"/>
      <c r="AX511" s="719"/>
      <c r="AY511" s="719"/>
      <c r="AZ511" s="719"/>
      <c r="BA511" s="719"/>
      <c r="BB511" s="719"/>
      <c r="BC511" s="719"/>
      <c r="BD511" s="719"/>
      <c r="BE511" s="719"/>
      <c r="BF511" s="719"/>
      <c r="BG511" s="719"/>
      <c r="BH511" s="719"/>
      <c r="BI511" s="719"/>
      <c r="BJ511" s="719"/>
    </row>
    <row r="512" spans="1:62" ht="15.75" customHeight="1">
      <c r="B512" s="497"/>
      <c r="C512" s="719"/>
      <c r="D512" s="719"/>
      <c r="E512" s="719"/>
      <c r="F512" s="805"/>
      <c r="G512" s="719"/>
      <c r="H512" s="719"/>
      <c r="I512" s="805"/>
      <c r="J512" s="719"/>
      <c r="K512" s="719"/>
      <c r="L512" s="719"/>
      <c r="M512" s="805"/>
      <c r="N512" s="719"/>
      <c r="O512" s="719"/>
      <c r="P512" s="719"/>
      <c r="Q512" s="805"/>
      <c r="R512" s="805"/>
      <c r="S512" s="805"/>
      <c r="T512" s="811"/>
      <c r="U512" s="811"/>
      <c r="V512" s="811"/>
      <c r="W512" s="811"/>
      <c r="X512" s="811"/>
      <c r="Y512" s="719"/>
      <c r="Z512" s="719"/>
      <c r="AA512" s="719"/>
      <c r="AB512" s="719"/>
      <c r="AC512" s="719"/>
      <c r="AD512" s="719"/>
      <c r="AE512" s="719"/>
      <c r="AF512" s="719"/>
      <c r="AG512" s="719"/>
      <c r="AH512" s="719"/>
      <c r="AI512" s="719"/>
      <c r="AJ512" s="719"/>
      <c r="AK512" s="719"/>
      <c r="AL512" s="719"/>
      <c r="AM512" s="719"/>
      <c r="AN512" s="719"/>
      <c r="AO512" s="719"/>
      <c r="AP512" s="719"/>
      <c r="AQ512" s="719"/>
      <c r="AR512" s="719"/>
      <c r="AS512" s="719"/>
      <c r="AT512" s="719"/>
      <c r="AU512" s="719"/>
      <c r="AV512" s="719"/>
      <c r="AW512" s="719"/>
      <c r="AX512" s="719"/>
      <c r="AY512" s="719"/>
      <c r="AZ512" s="719"/>
      <c r="BA512" s="719"/>
      <c r="BB512" s="719"/>
      <c r="BC512" s="719"/>
      <c r="BD512" s="719"/>
      <c r="BE512" s="719"/>
      <c r="BF512" s="719"/>
      <c r="BG512" s="719"/>
      <c r="BH512" s="719"/>
      <c r="BI512" s="719"/>
      <c r="BJ512" s="719"/>
    </row>
    <row r="513" spans="2:62" ht="15.75" customHeight="1">
      <c r="B513" s="497"/>
      <c r="C513" s="873"/>
      <c r="D513" s="811">
        <v>4729</v>
      </c>
      <c r="E513" s="811" t="e">
        <v>#N/A</v>
      </c>
      <c r="F513" s="874"/>
      <c r="G513" s="811"/>
      <c r="H513" s="811"/>
      <c r="I513" s="874"/>
      <c r="J513" s="811" t="e">
        <v>#N/A</v>
      </c>
      <c r="K513" s="811"/>
      <c r="L513" s="811"/>
      <c r="M513" s="874"/>
      <c r="N513" s="811"/>
      <c r="O513" s="811" t="e">
        <v>#N/A</v>
      </c>
      <c r="P513" s="811"/>
      <c r="Q513" s="874"/>
      <c r="R513" s="874"/>
      <c r="S513" s="874"/>
      <c r="T513" s="811"/>
      <c r="U513" s="811"/>
      <c r="V513" s="811"/>
      <c r="W513" s="811"/>
      <c r="X513" s="811"/>
      <c r="Y513" s="719"/>
      <c r="Z513" s="719"/>
      <c r="AA513" s="719"/>
      <c r="AB513" s="719"/>
      <c r="AC513" s="719"/>
      <c r="AD513" s="719"/>
      <c r="AE513" s="719"/>
      <c r="AF513" s="719"/>
      <c r="AG513" s="719"/>
      <c r="AH513" s="719"/>
      <c r="AI513" s="719"/>
      <c r="AJ513" s="719"/>
      <c r="AK513" s="719"/>
      <c r="AL513" s="719"/>
      <c r="AM513" s="719"/>
      <c r="AN513" s="719"/>
      <c r="AO513" s="719"/>
      <c r="AP513" s="719"/>
      <c r="AQ513" s="719"/>
      <c r="AR513" s="719"/>
      <c r="AS513" s="719"/>
      <c r="AT513" s="719"/>
      <c r="AU513" s="719"/>
      <c r="AV513" s="719"/>
      <c r="AW513" s="719"/>
      <c r="AX513" s="719"/>
      <c r="AY513" s="719"/>
      <c r="AZ513" s="719"/>
      <c r="BA513" s="719"/>
      <c r="BB513" s="719"/>
      <c r="BC513" s="719"/>
      <c r="BD513" s="719"/>
      <c r="BE513" s="719"/>
      <c r="BF513" s="719"/>
      <c r="BG513" s="719"/>
      <c r="BH513" s="719"/>
      <c r="BI513" s="719"/>
      <c r="BJ513" s="719"/>
    </row>
    <row r="514" spans="2:62" ht="15.75" customHeight="1">
      <c r="B514" s="497"/>
      <c r="C514" s="875"/>
      <c r="D514" s="811"/>
      <c r="E514" s="811"/>
      <c r="F514" s="874"/>
      <c r="G514" s="811"/>
      <c r="H514" s="811"/>
      <c r="I514" s="874"/>
      <c r="J514" s="811"/>
      <c r="K514" s="811"/>
      <c r="L514" s="811"/>
      <c r="M514" s="874"/>
      <c r="N514" s="811"/>
      <c r="O514" s="811"/>
      <c r="P514" s="811"/>
      <c r="Q514" s="874"/>
      <c r="R514" s="874"/>
      <c r="S514" s="874"/>
      <c r="T514" s="811"/>
      <c r="U514" s="811"/>
      <c r="V514" s="811"/>
      <c r="W514" s="811"/>
      <c r="X514" s="811"/>
      <c r="Y514" s="719"/>
      <c r="Z514" s="719"/>
      <c r="AA514" s="719"/>
      <c r="AB514" s="719"/>
      <c r="AC514" s="719"/>
      <c r="AD514" s="719"/>
      <c r="AE514" s="719"/>
      <c r="AF514" s="719"/>
      <c r="AG514" s="719"/>
      <c r="AH514" s="719"/>
      <c r="AI514" s="719"/>
      <c r="AJ514" s="719"/>
      <c r="AK514" s="719"/>
      <c r="AL514" s="719"/>
      <c r="AM514" s="719"/>
      <c r="AN514" s="719"/>
      <c r="AO514" s="719"/>
      <c r="AP514" s="719"/>
      <c r="AQ514" s="719"/>
      <c r="AR514" s="719"/>
      <c r="AS514" s="719"/>
      <c r="AT514" s="719"/>
      <c r="AU514" s="719"/>
      <c r="AV514" s="719"/>
      <c r="AW514" s="719"/>
      <c r="AX514" s="719"/>
      <c r="AY514" s="719"/>
      <c r="AZ514" s="719"/>
      <c r="BA514" s="719"/>
      <c r="BB514" s="719"/>
      <c r="BC514" s="719"/>
      <c r="BD514" s="719"/>
      <c r="BE514" s="719"/>
      <c r="BF514" s="719"/>
      <c r="BG514" s="719"/>
      <c r="BH514" s="719"/>
      <c r="BI514" s="719"/>
      <c r="BJ514" s="719"/>
    </row>
    <row r="515" spans="2:62" ht="15.75" customHeight="1">
      <c r="B515" s="497"/>
      <c r="C515" s="811"/>
      <c r="D515" s="811" t="s">
        <v>483</v>
      </c>
      <c r="E515" s="811"/>
      <c r="F515" s="874"/>
      <c r="G515" s="811"/>
      <c r="H515" s="811"/>
      <c r="I515" s="874"/>
      <c r="J515" s="811"/>
      <c r="K515" s="811"/>
      <c r="L515" s="811"/>
      <c r="M515" s="874"/>
      <c r="N515" s="811"/>
      <c r="O515" s="811"/>
      <c r="P515" s="811"/>
      <c r="Q515" s="874"/>
      <c r="R515" s="874"/>
      <c r="S515" s="874"/>
      <c r="T515" s="811"/>
      <c r="U515" s="811"/>
      <c r="V515" s="811"/>
      <c r="W515" s="811"/>
      <c r="X515" s="811"/>
      <c r="Y515" s="719"/>
      <c r="Z515" s="719"/>
      <c r="AA515" s="719"/>
      <c r="AB515" s="719"/>
      <c r="AC515" s="719"/>
      <c r="AD515" s="719"/>
      <c r="AE515" s="719"/>
      <c r="AF515" s="719"/>
      <c r="AG515" s="719"/>
      <c r="AH515" s="719"/>
      <c r="AI515" s="719"/>
      <c r="AJ515" s="719"/>
      <c r="AK515" s="719"/>
      <c r="AL515" s="719"/>
      <c r="AM515" s="719"/>
      <c r="AN515" s="719"/>
      <c r="AO515" s="719"/>
      <c r="AP515" s="719"/>
      <c r="AQ515" s="719"/>
      <c r="AR515" s="719"/>
      <c r="AS515" s="719"/>
      <c r="AT515" s="719"/>
      <c r="AU515" s="719"/>
      <c r="AV515" s="719"/>
      <c r="AW515" s="719"/>
      <c r="AX515" s="719"/>
      <c r="AY515" s="719"/>
      <c r="AZ515" s="719"/>
      <c r="BA515" s="719"/>
      <c r="BB515" s="719"/>
      <c r="BC515" s="719"/>
      <c r="BD515" s="719"/>
      <c r="BE515" s="719"/>
      <c r="BF515" s="719"/>
      <c r="BG515" s="719"/>
      <c r="BH515" s="719"/>
      <c r="BI515" s="719"/>
      <c r="BJ515" s="719"/>
    </row>
    <row r="516" spans="2:62" ht="15.75" customHeight="1">
      <c r="B516" s="497"/>
      <c r="C516" s="811"/>
      <c r="D516" s="811"/>
      <c r="E516" s="811" t="s">
        <v>484</v>
      </c>
      <c r="F516" s="811"/>
      <c r="G516" s="811"/>
      <c r="H516" s="811"/>
      <c r="I516" s="811"/>
      <c r="J516" s="873" t="e">
        <v>#N/A</v>
      </c>
      <c r="K516" s="873"/>
      <c r="L516" s="873"/>
      <c r="M516" s="874"/>
      <c r="N516" s="811"/>
      <c r="O516" s="811" t="e">
        <v>#N/A</v>
      </c>
      <c r="P516" s="811"/>
      <c r="Q516" s="811"/>
      <c r="R516" s="811"/>
      <c r="S516" s="874"/>
      <c r="T516" s="811"/>
      <c r="U516" s="811"/>
      <c r="V516" s="811"/>
      <c r="W516" s="811"/>
      <c r="X516" s="811"/>
      <c r="Y516" s="719"/>
      <c r="Z516" s="719"/>
      <c r="AA516" s="719"/>
      <c r="AB516" s="719"/>
      <c r="AC516" s="719"/>
      <c r="AD516" s="719"/>
      <c r="AE516" s="719"/>
      <c r="AF516" s="719"/>
      <c r="AG516" s="719"/>
      <c r="AH516" s="719"/>
      <c r="AI516" s="719"/>
      <c r="AJ516" s="719"/>
      <c r="AK516" s="719"/>
      <c r="AL516" s="719"/>
      <c r="AM516" s="719"/>
      <c r="AN516" s="719"/>
      <c r="AO516" s="719"/>
      <c r="AP516" s="719"/>
      <c r="AQ516" s="719"/>
      <c r="AR516" s="719"/>
      <c r="AS516" s="719"/>
      <c r="AT516" s="719"/>
      <c r="AU516" s="719"/>
      <c r="AV516" s="719"/>
      <c r="AW516" s="719"/>
      <c r="AX516" s="719"/>
      <c r="AY516" s="719"/>
      <c r="AZ516" s="719"/>
      <c r="BA516" s="719"/>
      <c r="BB516" s="719"/>
      <c r="BC516" s="719"/>
      <c r="BD516" s="719"/>
      <c r="BE516" s="719"/>
      <c r="BF516" s="719"/>
      <c r="BG516" s="719"/>
      <c r="BH516" s="719"/>
      <c r="BI516" s="719"/>
      <c r="BJ516" s="719"/>
    </row>
    <row r="517" spans="2:62" ht="15.75" customHeight="1">
      <c r="B517" s="497"/>
      <c r="C517" s="811"/>
      <c r="D517" s="811"/>
      <c r="E517" s="811" t="s">
        <v>485</v>
      </c>
      <c r="F517" s="811"/>
      <c r="G517" s="811"/>
      <c r="H517" s="811"/>
      <c r="I517" s="811"/>
      <c r="J517" s="811" t="e">
        <v>#N/A</v>
      </c>
      <c r="K517" s="811" t="e">
        <v>#N/A</v>
      </c>
      <c r="L517" s="811"/>
      <c r="M517" s="874"/>
      <c r="N517" s="811"/>
      <c r="O517" s="811" t="e">
        <v>#N/A</v>
      </c>
      <c r="P517" s="811" t="e">
        <v>#N/A</v>
      </c>
      <c r="Q517" s="811"/>
      <c r="R517" s="811"/>
      <c r="S517" s="874"/>
      <c r="T517" s="811"/>
      <c r="U517" s="811"/>
      <c r="V517" s="811"/>
      <c r="W517" s="811"/>
      <c r="X517" s="811"/>
      <c r="Y517" s="719"/>
      <c r="Z517" s="719"/>
      <c r="AA517" s="719"/>
      <c r="AB517" s="719"/>
      <c r="AC517" s="719"/>
      <c r="AD517" s="719"/>
      <c r="AE517" s="719"/>
      <c r="AF517" s="719"/>
      <c r="AG517" s="719"/>
      <c r="AH517" s="719"/>
      <c r="AI517" s="719"/>
      <c r="AJ517" s="719"/>
      <c r="AK517" s="719"/>
      <c r="AL517" s="719"/>
      <c r="AM517" s="719"/>
      <c r="AN517" s="719"/>
      <c r="AO517" s="719"/>
      <c r="AP517" s="719"/>
      <c r="AQ517" s="719"/>
      <c r="AR517" s="719"/>
      <c r="AS517" s="719"/>
      <c r="AT517" s="719"/>
      <c r="AU517" s="719"/>
      <c r="AV517" s="719"/>
      <c r="AW517" s="719"/>
      <c r="AX517" s="719"/>
      <c r="AY517" s="719"/>
      <c r="AZ517" s="719"/>
      <c r="BA517" s="719"/>
      <c r="BB517" s="719"/>
      <c r="BC517" s="719"/>
      <c r="BD517" s="719"/>
      <c r="BE517" s="719"/>
      <c r="BF517" s="719"/>
      <c r="BG517" s="719"/>
      <c r="BH517" s="719"/>
      <c r="BI517" s="719"/>
      <c r="BJ517" s="719"/>
    </row>
    <row r="518" spans="2:62" ht="15.75" customHeight="1">
      <c r="B518" s="497"/>
      <c r="C518" s="811"/>
      <c r="D518" s="811"/>
      <c r="E518" s="811"/>
      <c r="F518" s="811"/>
      <c r="G518" s="811"/>
      <c r="H518" s="811"/>
      <c r="I518" s="811"/>
      <c r="J518" s="811" t="e">
        <v>#N/A</v>
      </c>
      <c r="K518" s="811" t="e">
        <v>#N/A</v>
      </c>
      <c r="L518" s="811"/>
      <c r="M518" s="874"/>
      <c r="N518" s="811"/>
      <c r="O518" s="811" t="e">
        <v>#N/A</v>
      </c>
      <c r="P518" s="811" t="e">
        <v>#N/A</v>
      </c>
      <c r="Q518" s="811"/>
      <c r="R518" s="811"/>
      <c r="S518" s="874"/>
      <c r="T518" s="811"/>
      <c r="U518" s="811"/>
      <c r="V518" s="811"/>
      <c r="W518" s="811"/>
      <c r="X518" s="811"/>
      <c r="Y518" s="719"/>
      <c r="Z518" s="719"/>
      <c r="AA518" s="719"/>
      <c r="AB518" s="719"/>
      <c r="AC518" s="719"/>
      <c r="AD518" s="719"/>
      <c r="AE518" s="719"/>
      <c r="AF518" s="719"/>
      <c r="AG518" s="719"/>
      <c r="AH518" s="719"/>
      <c r="AI518" s="719"/>
      <c r="AJ518" s="719"/>
      <c r="AK518" s="719"/>
      <c r="AL518" s="719"/>
      <c r="AM518" s="719"/>
      <c r="AN518" s="719"/>
      <c r="AO518" s="719"/>
      <c r="AP518" s="719"/>
      <c r="AQ518" s="719"/>
      <c r="AR518" s="719"/>
      <c r="AS518" s="719"/>
      <c r="AT518" s="719"/>
      <c r="AU518" s="719"/>
      <c r="AV518" s="719"/>
      <c r="AW518" s="719"/>
      <c r="AX518" s="719"/>
      <c r="AY518" s="719"/>
      <c r="AZ518" s="719"/>
      <c r="BA518" s="719"/>
      <c r="BB518" s="719"/>
      <c r="BC518" s="719"/>
      <c r="BD518" s="719"/>
      <c r="BE518" s="719"/>
      <c r="BF518" s="719"/>
      <c r="BG518" s="719"/>
      <c r="BH518" s="719"/>
      <c r="BI518" s="719"/>
      <c r="BJ518" s="719"/>
    </row>
    <row r="519" spans="2:62" ht="15.75" customHeight="1">
      <c r="B519" s="497"/>
      <c r="C519" s="811"/>
      <c r="D519" s="811"/>
      <c r="E519" s="811"/>
      <c r="F519" s="811"/>
      <c r="G519" s="811"/>
      <c r="H519" s="811"/>
      <c r="I519" s="811"/>
      <c r="J519" s="811"/>
      <c r="K519" s="811"/>
      <c r="L519" s="811"/>
      <c r="M519" s="874"/>
      <c r="N519" s="811"/>
      <c r="O519" s="811"/>
      <c r="P519" s="811"/>
      <c r="Q519" s="811"/>
      <c r="R519" s="811"/>
      <c r="S519" s="874"/>
      <c r="T519" s="811"/>
      <c r="U519" s="811"/>
      <c r="V519" s="811"/>
      <c r="W519" s="811"/>
      <c r="X519" s="811"/>
      <c r="Y519" s="719"/>
      <c r="Z519" s="719"/>
      <c r="AA519" s="719"/>
      <c r="AB519" s="719"/>
      <c r="AC519" s="719"/>
      <c r="AD519" s="719"/>
      <c r="AE519" s="719"/>
      <c r="AF519" s="719"/>
      <c r="AG519" s="719"/>
      <c r="AH519" s="719"/>
      <c r="AI519" s="719"/>
      <c r="AJ519" s="719"/>
      <c r="AK519" s="719"/>
      <c r="AL519" s="719"/>
      <c r="AM519" s="719"/>
      <c r="AN519" s="719"/>
      <c r="AO519" s="719"/>
      <c r="AP519" s="719"/>
      <c r="AQ519" s="719"/>
      <c r="AR519" s="719"/>
      <c r="AS519" s="719"/>
      <c r="AT519" s="719"/>
      <c r="AU519" s="719"/>
      <c r="AV519" s="719"/>
      <c r="AW519" s="719"/>
      <c r="AX519" s="719"/>
      <c r="AY519" s="719"/>
      <c r="AZ519" s="719"/>
      <c r="BA519" s="719"/>
      <c r="BB519" s="719"/>
      <c r="BC519" s="719"/>
      <c r="BD519" s="719"/>
      <c r="BE519" s="719"/>
      <c r="BF519" s="719"/>
      <c r="BG519" s="719"/>
      <c r="BH519" s="719"/>
      <c r="BI519" s="719"/>
      <c r="BJ519" s="719"/>
    </row>
    <row r="520" spans="2:62" ht="15.75" customHeight="1">
      <c r="B520" s="497"/>
      <c r="C520" s="811"/>
      <c r="D520" s="811"/>
      <c r="E520" s="811" t="s">
        <v>486</v>
      </c>
      <c r="F520" s="811"/>
      <c r="G520" s="811"/>
      <c r="H520" s="811"/>
      <c r="I520" s="811"/>
      <c r="J520" s="811" t="e">
        <v>#N/A</v>
      </c>
      <c r="K520" s="811"/>
      <c r="L520" s="811"/>
      <c r="M520" s="874"/>
      <c r="N520" s="811"/>
      <c r="O520" s="811" t="e">
        <v>#N/A</v>
      </c>
      <c r="P520" s="811"/>
      <c r="Q520" s="811"/>
      <c r="R520" s="811"/>
      <c r="S520" s="811"/>
      <c r="T520" s="811"/>
      <c r="U520" s="811"/>
      <c r="V520" s="811"/>
      <c r="W520" s="811"/>
      <c r="X520" s="811"/>
      <c r="Y520" s="719"/>
      <c r="Z520" s="719"/>
      <c r="AA520" s="719"/>
      <c r="AB520" s="719"/>
      <c r="AC520" s="719"/>
      <c r="AD520" s="719"/>
      <c r="AE520" s="719"/>
      <c r="AF520" s="719"/>
      <c r="AG520" s="719"/>
      <c r="AH520" s="719"/>
      <c r="AI520" s="719"/>
      <c r="AJ520" s="719"/>
      <c r="AK520" s="719"/>
      <c r="AL520" s="719"/>
      <c r="AM520" s="719"/>
      <c r="AN520" s="719"/>
      <c r="AO520" s="719"/>
      <c r="AP520" s="719"/>
      <c r="AQ520" s="719"/>
      <c r="AR520" s="719"/>
      <c r="AS520" s="719"/>
      <c r="AT520" s="719"/>
      <c r="AU520" s="719"/>
      <c r="AV520" s="719"/>
      <c r="AW520" s="719"/>
      <c r="AX520" s="719"/>
      <c r="AY520" s="719"/>
      <c r="AZ520" s="719"/>
      <c r="BA520" s="719"/>
      <c r="BB520" s="719"/>
      <c r="BC520" s="719"/>
      <c r="BD520" s="719"/>
      <c r="BE520" s="719"/>
      <c r="BF520" s="719"/>
      <c r="BG520" s="719"/>
      <c r="BH520" s="719"/>
      <c r="BI520" s="719"/>
      <c r="BJ520" s="719"/>
    </row>
    <row r="521" spans="2:62" ht="15.75" customHeight="1">
      <c r="B521" s="497"/>
      <c r="C521" s="811"/>
      <c r="D521" s="811"/>
      <c r="E521" s="811"/>
      <c r="F521" s="811"/>
      <c r="G521" s="811"/>
      <c r="H521" s="811"/>
      <c r="I521" s="811"/>
      <c r="J521" s="873"/>
      <c r="K521" s="873"/>
      <c r="L521" s="873"/>
      <c r="M521" s="876"/>
      <c r="N521" s="873"/>
      <c r="O521" s="873"/>
      <c r="P521" s="873"/>
      <c r="Q521" s="811"/>
      <c r="R521" s="811"/>
      <c r="S521" s="873"/>
      <c r="T521" s="811"/>
      <c r="U521" s="811"/>
      <c r="V521" s="811"/>
      <c r="W521" s="811"/>
      <c r="X521" s="811"/>
      <c r="Y521" s="719"/>
      <c r="Z521" s="719"/>
      <c r="AA521" s="719"/>
      <c r="AB521" s="719"/>
      <c r="AC521" s="719"/>
      <c r="AD521" s="719"/>
      <c r="AE521" s="719"/>
      <c r="AF521" s="719"/>
      <c r="AG521" s="719"/>
      <c r="AH521" s="719"/>
      <c r="AI521" s="719"/>
      <c r="AJ521" s="719"/>
      <c r="AK521" s="719"/>
      <c r="AL521" s="719"/>
      <c r="AM521" s="719"/>
      <c r="AN521" s="719"/>
      <c r="AO521" s="719"/>
      <c r="AP521" s="719"/>
      <c r="AQ521" s="719"/>
      <c r="AR521" s="719"/>
      <c r="AS521" s="719"/>
      <c r="AT521" s="719"/>
      <c r="AU521" s="719"/>
      <c r="AV521" s="719"/>
      <c r="AW521" s="719"/>
      <c r="AX521" s="719"/>
      <c r="AY521" s="719"/>
      <c r="AZ521" s="719"/>
      <c r="BA521" s="719"/>
      <c r="BB521" s="719"/>
      <c r="BC521" s="719"/>
      <c r="BD521" s="719"/>
      <c r="BE521" s="719"/>
      <c r="BF521" s="719"/>
      <c r="BG521" s="719"/>
      <c r="BH521" s="719"/>
      <c r="BI521" s="719"/>
      <c r="BJ521" s="719"/>
    </row>
    <row r="522" spans="2:62" ht="15.75" customHeight="1">
      <c r="B522" s="497"/>
      <c r="C522" s="811"/>
      <c r="D522" s="811"/>
      <c r="E522" s="811"/>
      <c r="F522" s="811"/>
      <c r="G522" s="811"/>
      <c r="H522" s="811"/>
      <c r="I522" s="811"/>
      <c r="J522" s="811"/>
      <c r="K522" s="811"/>
      <c r="L522" s="811"/>
      <c r="M522" s="811"/>
      <c r="N522" s="811"/>
      <c r="O522" s="811"/>
      <c r="P522" s="811"/>
      <c r="Q522" s="811"/>
      <c r="R522" s="811"/>
      <c r="S522" s="811"/>
      <c r="T522" s="811"/>
      <c r="U522" s="811"/>
      <c r="V522" s="811"/>
      <c r="W522" s="811"/>
      <c r="X522" s="811"/>
      <c r="Y522" s="719"/>
      <c r="Z522" s="719"/>
      <c r="AA522" s="719"/>
      <c r="AB522" s="719"/>
      <c r="AC522" s="719"/>
      <c r="AD522" s="719"/>
      <c r="AE522" s="719"/>
      <c r="AF522" s="719"/>
      <c r="AG522" s="719"/>
      <c r="AH522" s="719"/>
      <c r="AI522" s="719"/>
      <c r="AJ522" s="719"/>
      <c r="AK522" s="719"/>
      <c r="AL522" s="719"/>
      <c r="AM522" s="719"/>
      <c r="AN522" s="719"/>
      <c r="AO522" s="719"/>
      <c r="AP522" s="719"/>
      <c r="AQ522" s="719"/>
      <c r="AR522" s="719"/>
      <c r="AS522" s="719"/>
      <c r="AT522" s="719"/>
      <c r="AU522" s="719"/>
      <c r="AV522" s="719"/>
      <c r="AW522" s="719"/>
      <c r="AX522" s="719"/>
      <c r="AY522" s="719"/>
      <c r="AZ522" s="719"/>
      <c r="BA522" s="719"/>
      <c r="BB522" s="719"/>
      <c r="BC522" s="719"/>
      <c r="BD522" s="719"/>
      <c r="BE522" s="719"/>
      <c r="BF522" s="719"/>
      <c r="BG522" s="719"/>
      <c r="BH522" s="719"/>
      <c r="BI522" s="719"/>
      <c r="BJ522" s="719"/>
    </row>
    <row r="523" spans="2:62" ht="15.75" customHeight="1">
      <c r="B523" s="497"/>
      <c r="C523" s="811"/>
      <c r="D523" s="811" t="s">
        <v>487</v>
      </c>
      <c r="E523" s="811"/>
      <c r="F523" s="811"/>
      <c r="G523" s="811"/>
      <c r="H523" s="811"/>
      <c r="I523" s="811"/>
      <c r="J523" s="811" t="s">
        <v>478</v>
      </c>
      <c r="K523" s="811"/>
      <c r="L523" s="811"/>
      <c r="M523" s="811"/>
      <c r="N523" s="811"/>
      <c r="O523" s="811" t="s">
        <v>479</v>
      </c>
      <c r="P523" s="811"/>
      <c r="Q523" s="811"/>
      <c r="R523" s="811"/>
      <c r="S523" s="811"/>
      <c r="T523" s="811"/>
      <c r="U523" s="811"/>
      <c r="V523" s="811"/>
      <c r="W523" s="811"/>
      <c r="X523" s="811"/>
      <c r="Y523" s="719"/>
      <c r="Z523" s="719"/>
      <c r="AA523" s="719"/>
      <c r="AB523" s="719"/>
      <c r="AC523" s="719"/>
      <c r="AD523" s="719"/>
      <c r="AE523" s="719"/>
      <c r="AF523" s="719"/>
      <c r="AG523" s="719"/>
      <c r="AH523" s="719"/>
      <c r="AI523" s="719"/>
      <c r="AJ523" s="719"/>
      <c r="AK523" s="719"/>
      <c r="AL523" s="719"/>
      <c r="AM523" s="719"/>
      <c r="AN523" s="719"/>
      <c r="AO523" s="719"/>
      <c r="AP523" s="719"/>
      <c r="AQ523" s="719"/>
      <c r="AR523" s="719"/>
      <c r="AS523" s="719"/>
      <c r="AT523" s="719"/>
      <c r="AU523" s="719"/>
      <c r="AV523" s="719"/>
      <c r="AW523" s="719"/>
      <c r="AX523" s="719"/>
      <c r="AY523" s="719"/>
      <c r="AZ523" s="719"/>
      <c r="BA523" s="719"/>
      <c r="BB523" s="719"/>
      <c r="BC523" s="719"/>
      <c r="BD523" s="719"/>
      <c r="BE523" s="719"/>
      <c r="BF523" s="719"/>
      <c r="BG523" s="719"/>
      <c r="BH523" s="719"/>
      <c r="BI523" s="719"/>
      <c r="BJ523" s="719"/>
    </row>
    <row r="524" spans="2:62" ht="15.75" customHeight="1">
      <c r="B524" s="497"/>
      <c r="C524" s="811"/>
      <c r="D524" s="811" t="s">
        <v>480</v>
      </c>
      <c r="E524" s="811"/>
      <c r="F524" s="811"/>
      <c r="G524" s="811"/>
      <c r="H524" s="811"/>
      <c r="I524" s="811"/>
      <c r="J524" s="811"/>
      <c r="K524" s="811"/>
      <c r="L524" s="811"/>
      <c r="M524" s="811"/>
      <c r="N524" s="811"/>
      <c r="O524" s="811"/>
      <c r="P524" s="811"/>
      <c r="Q524" s="811"/>
      <c r="R524" s="811"/>
      <c r="S524" s="811"/>
      <c r="T524" s="811"/>
      <c r="U524" s="811"/>
      <c r="V524" s="811"/>
      <c r="W524" s="811"/>
      <c r="X524" s="811"/>
      <c r="Y524" s="719"/>
      <c r="Z524" s="719"/>
      <c r="AA524" s="719"/>
      <c r="AB524" s="719"/>
      <c r="AC524" s="719"/>
      <c r="AD524" s="719"/>
      <c r="AE524" s="719"/>
      <c r="AF524" s="719"/>
      <c r="AG524" s="719"/>
      <c r="AH524" s="719"/>
      <c r="AI524" s="719"/>
      <c r="AJ524" s="719"/>
      <c r="AK524" s="719"/>
      <c r="AL524" s="719"/>
      <c r="AM524" s="719"/>
      <c r="AN524" s="719"/>
      <c r="AO524" s="719"/>
      <c r="AP524" s="719"/>
      <c r="AQ524" s="719"/>
      <c r="AR524" s="719"/>
      <c r="AS524" s="719"/>
      <c r="AT524" s="719"/>
      <c r="AU524" s="719"/>
      <c r="AV524" s="719"/>
      <c r="AW524" s="719"/>
      <c r="AX524" s="719"/>
      <c r="AY524" s="719"/>
      <c r="AZ524" s="719"/>
      <c r="BA524" s="719"/>
      <c r="BB524" s="719"/>
      <c r="BC524" s="719"/>
      <c r="BD524" s="719"/>
      <c r="BE524" s="719"/>
      <c r="BF524" s="719"/>
      <c r="BG524" s="719"/>
      <c r="BH524" s="719"/>
      <c r="BI524" s="719"/>
      <c r="BJ524" s="719"/>
    </row>
    <row r="525" spans="2:62" ht="15.75" customHeight="1">
      <c r="B525" s="497"/>
      <c r="C525" s="409"/>
      <c r="D525" s="410">
        <v>4405</v>
      </c>
      <c r="E525" s="410" t="s">
        <v>488</v>
      </c>
      <c r="F525" s="410"/>
      <c r="G525" s="410"/>
      <c r="H525" s="410"/>
      <c r="I525" s="410"/>
      <c r="J525" s="410">
        <v>41451.01</v>
      </c>
      <c r="K525" s="410"/>
      <c r="L525" s="410"/>
      <c r="M525" s="410"/>
      <c r="N525" s="410"/>
      <c r="O525" s="410">
        <v>161474.57</v>
      </c>
      <c r="P525" s="410"/>
      <c r="Q525" s="410"/>
      <c r="R525" s="410"/>
      <c r="S525" s="410"/>
      <c r="T525" s="811"/>
      <c r="U525" s="811"/>
      <c r="V525" s="811"/>
      <c r="W525" s="811"/>
      <c r="X525" s="811"/>
      <c r="Y525" s="719"/>
      <c r="Z525" s="719"/>
      <c r="AA525" s="719"/>
      <c r="AB525" s="719"/>
      <c r="AC525" s="719"/>
      <c r="AD525" s="719"/>
      <c r="AE525" s="719"/>
      <c r="AF525" s="719"/>
      <c r="AG525" s="719"/>
      <c r="AH525" s="719"/>
      <c r="AI525" s="719"/>
      <c r="AJ525" s="719"/>
      <c r="AK525" s="719"/>
      <c r="AL525" s="719"/>
      <c r="AM525" s="719"/>
      <c r="AN525" s="719"/>
      <c r="AO525" s="719"/>
      <c r="AP525" s="719"/>
      <c r="AQ525" s="719"/>
      <c r="AR525" s="719"/>
      <c r="AS525" s="719"/>
      <c r="AT525" s="719"/>
      <c r="AU525" s="719"/>
      <c r="AV525" s="719"/>
      <c r="AW525" s="719"/>
      <c r="AX525" s="719"/>
      <c r="AY525" s="719"/>
      <c r="AZ525" s="719"/>
      <c r="BA525" s="719"/>
      <c r="BB525" s="719"/>
      <c r="BC525" s="719"/>
      <c r="BD525" s="719"/>
      <c r="BE525" s="719"/>
      <c r="BF525" s="719"/>
      <c r="BG525" s="719"/>
      <c r="BH525" s="719"/>
      <c r="BI525" s="719"/>
      <c r="BJ525" s="719"/>
    </row>
    <row r="526" spans="2:62" ht="15.75" customHeight="1">
      <c r="B526" s="497"/>
      <c r="C526" s="811"/>
      <c r="D526" s="811">
        <v>5405</v>
      </c>
      <c r="E526" s="811" t="s">
        <v>489</v>
      </c>
      <c r="F526" s="811"/>
      <c r="G526" s="811"/>
      <c r="H526" s="811"/>
      <c r="I526" s="811"/>
      <c r="J526" s="811">
        <v>-12390</v>
      </c>
      <c r="K526" s="811">
        <v>0.29890707126316102</v>
      </c>
      <c r="L526" s="811"/>
      <c r="M526" s="811"/>
      <c r="N526" s="811"/>
      <c r="O526" s="811">
        <v>-47879.839999999997</v>
      </c>
      <c r="P526" s="811">
        <v>0.29651628736339097</v>
      </c>
      <c r="Q526" s="411"/>
      <c r="R526" s="811"/>
      <c r="S526" s="811"/>
      <c r="T526" s="811"/>
      <c r="U526" s="811"/>
      <c r="V526" s="811"/>
      <c r="W526" s="811"/>
      <c r="X526" s="811"/>
      <c r="Y526" s="719"/>
      <c r="Z526" s="719"/>
      <c r="AA526" s="719"/>
      <c r="AB526" s="719"/>
      <c r="AC526" s="719"/>
      <c r="AD526" s="719"/>
      <c r="AE526" s="719"/>
      <c r="AF526" s="719"/>
      <c r="AG526" s="719"/>
      <c r="AH526" s="719"/>
      <c r="AI526" s="719"/>
      <c r="AJ526" s="719"/>
      <c r="AK526" s="719"/>
      <c r="AL526" s="719"/>
      <c r="AM526" s="719"/>
      <c r="AN526" s="719"/>
      <c r="AO526" s="719"/>
      <c r="AP526" s="719"/>
      <c r="AQ526" s="719"/>
      <c r="AR526" s="719"/>
      <c r="AS526" s="719"/>
      <c r="AT526" s="719"/>
      <c r="AU526" s="719"/>
      <c r="AV526" s="719"/>
      <c r="AW526" s="719"/>
      <c r="AX526" s="719"/>
      <c r="AY526" s="719"/>
      <c r="AZ526" s="719"/>
      <c r="BA526" s="719"/>
      <c r="BB526" s="719"/>
      <c r="BC526" s="719"/>
      <c r="BD526" s="719"/>
      <c r="BE526" s="719"/>
      <c r="BF526" s="719"/>
      <c r="BG526" s="719"/>
      <c r="BH526" s="719"/>
      <c r="BI526" s="719"/>
      <c r="BJ526" s="719"/>
    </row>
    <row r="527" spans="2:62" ht="15.75" customHeight="1">
      <c r="B527" s="497"/>
      <c r="C527" s="811"/>
      <c r="D527" s="811"/>
      <c r="E527" s="811" t="s">
        <v>490</v>
      </c>
      <c r="F527" s="811"/>
      <c r="G527" s="811"/>
      <c r="H527" s="811"/>
      <c r="I527" s="811"/>
      <c r="J527" s="811">
        <v>29061.010000000002</v>
      </c>
      <c r="K527" s="811">
        <v>0.70109292873683904</v>
      </c>
      <c r="L527" s="412"/>
      <c r="M527" s="413"/>
      <c r="N527" s="413"/>
      <c r="O527" s="811">
        <v>113594.73000000001</v>
      </c>
      <c r="P527" s="412">
        <v>0.70348371263660903</v>
      </c>
      <c r="Q527" s="413"/>
      <c r="R527" s="413"/>
      <c r="S527" s="412"/>
      <c r="T527" s="811"/>
      <c r="U527" s="811"/>
      <c r="V527" s="811"/>
      <c r="W527" s="811"/>
      <c r="X527" s="811"/>
      <c r="Y527" s="719"/>
      <c r="Z527" s="719"/>
      <c r="AA527" s="719"/>
      <c r="AB527" s="719"/>
      <c r="AC527" s="719"/>
      <c r="AD527" s="719"/>
      <c r="AE527" s="719"/>
      <c r="AF527" s="719"/>
      <c r="AG527" s="719"/>
      <c r="AH527" s="719"/>
      <c r="AI527" s="719"/>
      <c r="AJ527" s="719"/>
      <c r="AK527" s="719"/>
      <c r="AL527" s="719"/>
      <c r="AM527" s="719"/>
      <c r="AN527" s="719"/>
      <c r="AO527" s="719"/>
      <c r="AP527" s="719"/>
      <c r="AQ527" s="719"/>
      <c r="AR527" s="719"/>
      <c r="AS527" s="719"/>
      <c r="AT527" s="719"/>
      <c r="AU527" s="719"/>
      <c r="AV527" s="719"/>
      <c r="AW527" s="719"/>
      <c r="AX527" s="719"/>
      <c r="AY527" s="719"/>
      <c r="AZ527" s="719"/>
      <c r="BA527" s="719"/>
      <c r="BB527" s="719"/>
      <c r="BC527" s="719"/>
      <c r="BD527" s="719"/>
      <c r="BE527" s="719"/>
      <c r="BF527" s="719"/>
      <c r="BG527" s="719"/>
      <c r="BH527" s="719"/>
      <c r="BI527" s="719"/>
      <c r="BJ527" s="719"/>
    </row>
    <row r="528" spans="2:62" ht="15.75" customHeight="1">
      <c r="B528" s="497"/>
      <c r="C528" s="811"/>
      <c r="D528" s="811"/>
      <c r="E528" s="412"/>
      <c r="F528" s="414"/>
      <c r="G528" s="811"/>
      <c r="H528" s="412"/>
      <c r="I528" s="414"/>
      <c r="J528" s="413"/>
      <c r="K528" s="873"/>
      <c r="L528" s="412"/>
      <c r="M528" s="413"/>
      <c r="N528" s="413"/>
      <c r="O528" s="873"/>
      <c r="P528" s="412"/>
      <c r="Q528" s="413"/>
      <c r="R528" s="413"/>
      <c r="S528" s="412"/>
      <c r="T528" s="811"/>
      <c r="U528" s="811"/>
      <c r="V528" s="811"/>
      <c r="W528" s="811"/>
      <c r="X528" s="811"/>
      <c r="Y528" s="719"/>
      <c r="Z528" s="719"/>
      <c r="AA528" s="719"/>
      <c r="AB528" s="719"/>
      <c r="AC528" s="719"/>
      <c r="AD528" s="719"/>
      <c r="AE528" s="719"/>
      <c r="AF528" s="719"/>
      <c r="AG528" s="719"/>
      <c r="AH528" s="719"/>
      <c r="AI528" s="719"/>
      <c r="AJ528" s="719"/>
      <c r="AK528" s="719"/>
      <c r="AL528" s="719"/>
      <c r="AM528" s="719"/>
      <c r="AN528" s="719"/>
      <c r="AO528" s="719"/>
      <c r="AP528" s="719"/>
      <c r="AQ528" s="719"/>
      <c r="AR528" s="719"/>
      <c r="AS528" s="719"/>
      <c r="AT528" s="719"/>
      <c r="AU528" s="719"/>
      <c r="AV528" s="719"/>
      <c r="AW528" s="719"/>
      <c r="AX528" s="719"/>
      <c r="AY528" s="719"/>
      <c r="AZ528" s="719"/>
      <c r="BA528" s="719"/>
      <c r="BB528" s="719"/>
      <c r="BC528" s="719"/>
      <c r="BD528" s="719"/>
      <c r="BE528" s="719"/>
      <c r="BF528" s="719"/>
      <c r="BG528" s="719"/>
      <c r="BH528" s="719"/>
      <c r="BI528" s="719"/>
      <c r="BJ528" s="719"/>
    </row>
    <row r="529" spans="2:62" ht="15.75" customHeight="1">
      <c r="B529" s="497"/>
      <c r="C529" s="811"/>
      <c r="D529" s="877"/>
      <c r="E529" s="414"/>
      <c r="F529" s="414"/>
      <c r="G529" s="877"/>
      <c r="H529" s="414"/>
      <c r="I529" s="414"/>
      <c r="J529" s="414"/>
      <c r="K529" s="414"/>
      <c r="L529" s="414"/>
      <c r="M529" s="414"/>
      <c r="N529" s="414"/>
      <c r="O529" s="414"/>
      <c r="P529" s="414"/>
      <c r="Q529" s="414"/>
      <c r="R529" s="414"/>
      <c r="S529" s="414"/>
      <c r="T529" s="811"/>
      <c r="U529" s="811"/>
      <c r="V529" s="811"/>
      <c r="W529" s="811"/>
      <c r="X529" s="811"/>
      <c r="Y529" s="719"/>
      <c r="Z529" s="719"/>
      <c r="AA529" s="719"/>
      <c r="AB529" s="719"/>
      <c r="AC529" s="719"/>
      <c r="AD529" s="719"/>
      <c r="AE529" s="719"/>
      <c r="AF529" s="719"/>
      <c r="AG529" s="719"/>
      <c r="AH529" s="719"/>
      <c r="AI529" s="719"/>
      <c r="AJ529" s="719"/>
      <c r="AK529" s="719"/>
      <c r="AL529" s="719"/>
      <c r="AM529" s="719"/>
      <c r="AN529" s="719"/>
      <c r="AO529" s="719"/>
      <c r="AP529" s="719"/>
      <c r="AQ529" s="719"/>
      <c r="AR529" s="719"/>
      <c r="AS529" s="719"/>
      <c r="AT529" s="719"/>
      <c r="AU529" s="719"/>
      <c r="AV529" s="719"/>
      <c r="AW529" s="719"/>
      <c r="AX529" s="719"/>
      <c r="AY529" s="719"/>
      <c r="AZ529" s="719"/>
      <c r="BA529" s="719"/>
      <c r="BB529" s="719"/>
      <c r="BC529" s="719"/>
      <c r="BD529" s="719"/>
      <c r="BE529" s="719"/>
      <c r="BF529" s="719"/>
      <c r="BG529" s="719"/>
      <c r="BH529" s="719"/>
      <c r="BI529" s="719"/>
      <c r="BJ529" s="719"/>
    </row>
    <row r="530" spans="2:62" ht="15.75" customHeight="1">
      <c r="B530" s="497"/>
      <c r="C530" s="873"/>
      <c r="D530" s="811">
        <v>4705</v>
      </c>
      <c r="E530" s="811" t="s">
        <v>491</v>
      </c>
      <c r="F530" s="811"/>
      <c r="G530" s="811"/>
      <c r="H530" s="811"/>
      <c r="I530" s="811"/>
      <c r="J530" s="811">
        <v>48183.94</v>
      </c>
      <c r="K530" s="811"/>
      <c r="L530" s="811"/>
      <c r="M530" s="811"/>
      <c r="N530" s="811"/>
      <c r="O530" s="811">
        <v>150810.26</v>
      </c>
      <c r="P530" s="811"/>
      <c r="Q530" s="811"/>
      <c r="R530" s="811"/>
      <c r="S530" s="811"/>
      <c r="T530" s="811"/>
      <c r="U530" s="811"/>
      <c r="V530" s="811"/>
      <c r="W530" s="811"/>
      <c r="X530" s="811"/>
      <c r="Y530" s="719"/>
      <c r="Z530" s="719"/>
      <c r="AA530" s="719"/>
      <c r="AB530" s="719"/>
      <c r="AC530" s="719"/>
      <c r="AD530" s="719"/>
      <c r="AE530" s="719"/>
      <c r="AF530" s="719"/>
      <c r="AG530" s="719"/>
      <c r="AH530" s="719"/>
      <c r="AI530" s="719"/>
      <c r="AJ530" s="719"/>
      <c r="AK530" s="719"/>
      <c r="AL530" s="719"/>
      <c r="AM530" s="719"/>
      <c r="AN530" s="719"/>
      <c r="AO530" s="719"/>
      <c r="AP530" s="719"/>
      <c r="AQ530" s="719"/>
      <c r="AR530" s="719"/>
      <c r="AS530" s="719"/>
      <c r="AT530" s="719"/>
      <c r="AU530" s="719"/>
      <c r="AV530" s="719"/>
      <c r="AW530" s="719"/>
      <c r="AX530" s="719"/>
      <c r="AY530" s="719"/>
      <c r="AZ530" s="719"/>
      <c r="BA530" s="719"/>
      <c r="BB530" s="719"/>
      <c r="BC530" s="719"/>
      <c r="BD530" s="719"/>
      <c r="BE530" s="719"/>
      <c r="BF530" s="719"/>
      <c r="BG530" s="719"/>
      <c r="BH530" s="719"/>
      <c r="BI530" s="719"/>
      <c r="BJ530" s="719"/>
    </row>
    <row r="531" spans="2:62" ht="15.75" customHeight="1">
      <c r="B531" s="497"/>
      <c r="C531" s="811"/>
      <c r="D531" s="811">
        <v>5705</v>
      </c>
      <c r="E531" s="811" t="s">
        <v>492</v>
      </c>
      <c r="F531" s="811"/>
      <c r="G531" s="811"/>
      <c r="H531" s="811"/>
      <c r="I531" s="811"/>
      <c r="J531" s="811">
        <v>-32954.1</v>
      </c>
      <c r="K531" s="811">
        <v>0.68392290045189319</v>
      </c>
      <c r="L531" s="811"/>
      <c r="M531" s="811"/>
      <c r="N531" s="811"/>
      <c r="O531" s="811">
        <v>-103242.44</v>
      </c>
      <c r="P531" s="811">
        <v>0.68458498778531374</v>
      </c>
      <c r="Q531" s="811"/>
      <c r="R531" s="811"/>
      <c r="S531" s="811"/>
      <c r="T531" s="811"/>
      <c r="U531" s="811"/>
      <c r="V531" s="811"/>
      <c r="W531" s="811"/>
      <c r="X531" s="811"/>
      <c r="Y531" s="719"/>
      <c r="Z531" s="719"/>
      <c r="AA531" s="719"/>
      <c r="AB531" s="719"/>
      <c r="AC531" s="719"/>
      <c r="AD531" s="719"/>
      <c r="AE531" s="719"/>
      <c r="AF531" s="719"/>
      <c r="AG531" s="719"/>
      <c r="AH531" s="719"/>
      <c r="AI531" s="719"/>
      <c r="AJ531" s="719"/>
      <c r="AK531" s="719"/>
      <c r="AL531" s="719"/>
      <c r="AM531" s="719"/>
      <c r="AN531" s="719"/>
      <c r="AO531" s="719"/>
      <c r="AP531" s="719"/>
      <c r="AQ531" s="719"/>
      <c r="AR531" s="719"/>
      <c r="AS531" s="719"/>
      <c r="AT531" s="719"/>
      <c r="AU531" s="719"/>
      <c r="AV531" s="719"/>
      <c r="AW531" s="719"/>
      <c r="AX531" s="719"/>
      <c r="AY531" s="719"/>
      <c r="AZ531" s="719"/>
      <c r="BA531" s="719"/>
      <c r="BB531" s="719"/>
      <c r="BC531" s="719"/>
      <c r="BD531" s="719"/>
      <c r="BE531" s="719"/>
      <c r="BF531" s="719"/>
      <c r="BG531" s="719"/>
      <c r="BH531" s="719"/>
      <c r="BI531" s="719"/>
      <c r="BJ531" s="719"/>
    </row>
    <row r="532" spans="2:62" ht="15.75" customHeight="1">
      <c r="B532" s="497"/>
      <c r="C532" s="811"/>
      <c r="D532" s="811"/>
      <c r="E532" s="874" t="s">
        <v>493</v>
      </c>
      <c r="F532" s="878"/>
      <c r="G532" s="811"/>
      <c r="H532" s="874"/>
      <c r="I532" s="878"/>
      <c r="J532" s="878">
        <v>15229.840000000004</v>
      </c>
      <c r="K532" s="874">
        <v>0.31607709954810675</v>
      </c>
      <c r="L532" s="878"/>
      <c r="M532" s="874"/>
      <c r="N532" s="878"/>
      <c r="O532" s="874">
        <v>47567.820000000007</v>
      </c>
      <c r="P532" s="878">
        <v>0.31541501221468621</v>
      </c>
      <c r="Q532" s="874"/>
      <c r="R532" s="874"/>
      <c r="S532" s="874"/>
      <c r="T532" s="811"/>
      <c r="U532" s="811"/>
      <c r="V532" s="811"/>
      <c r="W532" s="811"/>
      <c r="X532" s="811"/>
      <c r="Y532" s="719"/>
      <c r="Z532" s="719"/>
      <c r="AA532" s="719"/>
      <c r="AB532" s="719"/>
      <c r="AC532" s="719"/>
      <c r="AD532" s="719"/>
      <c r="AE532" s="719"/>
      <c r="AF532" s="719"/>
      <c r="AG532" s="719"/>
      <c r="AH532" s="719"/>
      <c r="AI532" s="719"/>
      <c r="AJ532" s="719"/>
      <c r="AK532" s="719"/>
      <c r="AL532" s="719"/>
      <c r="AM532" s="719"/>
      <c r="AN532" s="719"/>
      <c r="AO532" s="719"/>
      <c r="AP532" s="719"/>
      <c r="AQ532" s="719"/>
      <c r="AR532" s="719"/>
      <c r="AS532" s="719"/>
      <c r="AT532" s="719"/>
      <c r="AU532" s="719"/>
      <c r="AV532" s="719"/>
      <c r="AW532" s="719"/>
      <c r="AX532" s="719"/>
      <c r="AY532" s="719"/>
      <c r="AZ532" s="719"/>
      <c r="BA532" s="719"/>
      <c r="BB532" s="719"/>
      <c r="BC532" s="719"/>
      <c r="BD532" s="719"/>
      <c r="BE532" s="719"/>
      <c r="BF532" s="719"/>
      <c r="BG532" s="719"/>
      <c r="BH532" s="719"/>
      <c r="BI532" s="719"/>
      <c r="BJ532" s="719"/>
    </row>
    <row r="533" spans="2:62" ht="15.75" customHeight="1">
      <c r="B533" s="497"/>
      <c r="C533" s="811"/>
      <c r="D533" s="811"/>
      <c r="E533" s="874"/>
      <c r="F533" s="878"/>
      <c r="G533" s="811"/>
      <c r="H533" s="874"/>
      <c r="I533" s="878"/>
      <c r="J533" s="878"/>
      <c r="K533" s="874"/>
      <c r="L533" s="878"/>
      <c r="M533" s="874"/>
      <c r="N533" s="878"/>
      <c r="O533" s="874"/>
      <c r="P533" s="878"/>
      <c r="Q533" s="874"/>
      <c r="R533" s="874"/>
      <c r="S533" s="874"/>
      <c r="T533" s="811"/>
      <c r="U533" s="811"/>
      <c r="V533" s="811"/>
      <c r="W533" s="811"/>
      <c r="X533" s="811"/>
      <c r="Y533" s="719"/>
      <c r="Z533" s="719"/>
      <c r="AA533" s="719"/>
      <c r="AB533" s="719"/>
      <c r="AC533" s="719"/>
      <c r="AD533" s="719"/>
      <c r="AE533" s="719"/>
      <c r="AF533" s="719"/>
      <c r="AG533" s="719"/>
      <c r="AH533" s="719"/>
      <c r="AI533" s="719"/>
      <c r="AJ533" s="719"/>
      <c r="AK533" s="719"/>
      <c r="AL533" s="719"/>
      <c r="AM533" s="719"/>
      <c r="AN533" s="719"/>
      <c r="AO533" s="719"/>
      <c r="AP533" s="719"/>
      <c r="AQ533" s="719"/>
      <c r="AR533" s="719"/>
      <c r="AS533" s="719"/>
      <c r="AT533" s="719"/>
      <c r="AU533" s="719"/>
      <c r="AV533" s="719"/>
      <c r="AW533" s="719"/>
      <c r="AX533" s="719"/>
      <c r="AY533" s="719"/>
      <c r="AZ533" s="719"/>
      <c r="BA533" s="719"/>
      <c r="BB533" s="719"/>
      <c r="BC533" s="719"/>
      <c r="BD533" s="719"/>
      <c r="BE533" s="719"/>
      <c r="BF533" s="719"/>
      <c r="BG533" s="719"/>
      <c r="BH533" s="719"/>
      <c r="BI533" s="719"/>
      <c r="BJ533" s="719"/>
    </row>
    <row r="534" spans="2:62" ht="15.75" customHeight="1">
      <c r="B534" s="497"/>
      <c r="C534" s="811"/>
      <c r="D534" s="811" t="s">
        <v>483</v>
      </c>
      <c r="E534" s="874"/>
      <c r="F534" s="878"/>
      <c r="G534" s="811"/>
      <c r="H534" s="874"/>
      <c r="I534" s="878"/>
      <c r="J534" s="878"/>
      <c r="K534" s="874"/>
      <c r="L534" s="878"/>
      <c r="M534" s="874"/>
      <c r="N534" s="878"/>
      <c r="O534" s="874"/>
      <c r="P534" s="878"/>
      <c r="Q534" s="874"/>
      <c r="R534" s="874"/>
      <c r="S534" s="874"/>
      <c r="T534" s="811"/>
      <c r="U534" s="811"/>
      <c r="V534" s="811"/>
      <c r="W534" s="811"/>
      <c r="X534" s="811"/>
      <c r="Y534" s="719"/>
      <c r="Z534" s="719"/>
      <c r="AA534" s="719"/>
      <c r="AB534" s="719"/>
      <c r="AC534" s="719"/>
      <c r="AD534" s="719"/>
      <c r="AE534" s="719"/>
      <c r="AF534" s="719"/>
      <c r="AG534" s="719"/>
      <c r="AH534" s="719"/>
      <c r="AI534" s="719"/>
      <c r="AJ534" s="719"/>
      <c r="AK534" s="719"/>
      <c r="AL534" s="719"/>
      <c r="AM534" s="719"/>
      <c r="AN534" s="719"/>
      <c r="AO534" s="719"/>
      <c r="AP534" s="719"/>
      <c r="AQ534" s="719"/>
      <c r="AR534" s="719"/>
      <c r="AS534" s="719"/>
      <c r="AT534" s="719"/>
      <c r="AU534" s="719"/>
      <c r="AV534" s="719"/>
      <c r="AW534" s="719"/>
      <c r="AX534" s="719"/>
      <c r="AY534" s="719"/>
      <c r="AZ534" s="719"/>
      <c r="BA534" s="719"/>
      <c r="BB534" s="719"/>
      <c r="BC534" s="719"/>
      <c r="BD534" s="719"/>
      <c r="BE534" s="719"/>
      <c r="BF534" s="719"/>
      <c r="BG534" s="719"/>
      <c r="BH534" s="719"/>
      <c r="BI534" s="719"/>
      <c r="BJ534" s="719"/>
    </row>
    <row r="535" spans="2:62" ht="15.75" customHeight="1">
      <c r="B535" s="497"/>
      <c r="C535" s="811"/>
      <c r="D535" s="811"/>
      <c r="E535" s="874" t="s">
        <v>494</v>
      </c>
      <c r="F535" s="878"/>
      <c r="G535" s="811"/>
      <c r="H535" s="874"/>
      <c r="I535" s="878"/>
      <c r="J535" s="878">
        <v>41451.01</v>
      </c>
      <c r="K535" s="874"/>
      <c r="L535" s="878"/>
      <c r="M535" s="874"/>
      <c r="N535" s="878"/>
      <c r="O535" s="874">
        <v>161474.57</v>
      </c>
      <c r="P535" s="878"/>
      <c r="Q535" s="874"/>
      <c r="R535" s="874"/>
      <c r="S535" s="874"/>
      <c r="T535" s="811"/>
      <c r="U535" s="811"/>
      <c r="V535" s="811"/>
      <c r="W535" s="811"/>
      <c r="X535" s="811"/>
      <c r="Y535" s="719"/>
      <c r="Z535" s="719"/>
      <c r="AA535" s="719"/>
      <c r="AB535" s="719"/>
      <c r="AC535" s="719"/>
      <c r="AD535" s="719"/>
      <c r="AE535" s="719"/>
      <c r="AF535" s="719"/>
      <c r="AG535" s="719"/>
      <c r="AH535" s="719"/>
      <c r="AI535" s="719"/>
      <c r="AJ535" s="719"/>
      <c r="AK535" s="719"/>
      <c r="AL535" s="719"/>
      <c r="AM535" s="719"/>
      <c r="AN535" s="719"/>
      <c r="AO535" s="719"/>
      <c r="AP535" s="719"/>
      <c r="AQ535" s="719"/>
      <c r="AR535" s="719"/>
      <c r="AS535" s="719"/>
      <c r="AT535" s="719"/>
      <c r="AU535" s="719"/>
      <c r="AV535" s="719"/>
      <c r="AW535" s="719"/>
      <c r="AX535" s="719"/>
      <c r="AY535" s="719"/>
      <c r="AZ535" s="719"/>
      <c r="BA535" s="719"/>
      <c r="BB535" s="719"/>
      <c r="BC535" s="719"/>
      <c r="BD535" s="719"/>
      <c r="BE535" s="719"/>
      <c r="BF535" s="719"/>
      <c r="BG535" s="719"/>
      <c r="BH535" s="719"/>
      <c r="BI535" s="719"/>
      <c r="BJ535" s="719"/>
    </row>
    <row r="536" spans="2:62" ht="15.75" customHeight="1">
      <c r="B536" s="497"/>
      <c r="C536" s="811"/>
      <c r="D536" s="811"/>
      <c r="E536" s="874" t="s">
        <v>495</v>
      </c>
      <c r="F536" s="878"/>
      <c r="G536" s="811"/>
      <c r="H536" s="874"/>
      <c r="I536" s="878"/>
      <c r="J536" s="878">
        <v>-12390</v>
      </c>
      <c r="K536" s="874">
        <v>0.29890707126316102</v>
      </c>
      <c r="L536" s="878"/>
      <c r="M536" s="874"/>
      <c r="N536" s="878"/>
      <c r="O536" s="874">
        <v>-47879.839999999997</v>
      </c>
      <c r="P536" s="878">
        <v>0.29651628736339097</v>
      </c>
      <c r="Q536" s="874"/>
      <c r="R536" s="874"/>
      <c r="S536" s="811"/>
      <c r="T536" s="811"/>
      <c r="U536" s="811"/>
      <c r="V536" s="811"/>
      <c r="W536" s="811"/>
      <c r="X536" s="811"/>
      <c r="Y536" s="719"/>
      <c r="Z536" s="719"/>
      <c r="AA536" s="719"/>
      <c r="AB536" s="719"/>
      <c r="AC536" s="719"/>
      <c r="AD536" s="719"/>
      <c r="AE536" s="719"/>
      <c r="AF536" s="719"/>
      <c r="AG536" s="719"/>
      <c r="AH536" s="719"/>
      <c r="AI536" s="719"/>
      <c r="AJ536" s="719"/>
      <c r="AK536" s="719"/>
      <c r="AL536" s="719"/>
      <c r="AM536" s="719"/>
      <c r="AN536" s="719"/>
      <c r="AO536" s="719"/>
      <c r="AP536" s="719"/>
      <c r="AQ536" s="719"/>
      <c r="AR536" s="719"/>
      <c r="AS536" s="719"/>
      <c r="AT536" s="719"/>
      <c r="AU536" s="719"/>
      <c r="AV536" s="719"/>
      <c r="AW536" s="719"/>
      <c r="AX536" s="719"/>
      <c r="AY536" s="719"/>
      <c r="AZ536" s="719"/>
      <c r="BA536" s="719"/>
      <c r="BB536" s="719"/>
      <c r="BC536" s="719"/>
      <c r="BD536" s="719"/>
      <c r="BE536" s="719"/>
      <c r="BF536" s="719"/>
      <c r="BG536" s="719"/>
      <c r="BH536" s="719"/>
      <c r="BI536" s="719"/>
      <c r="BJ536" s="719"/>
    </row>
    <row r="537" spans="2:62" ht="15.75" customHeight="1">
      <c r="B537" s="497"/>
      <c r="C537" s="811"/>
      <c r="D537" s="811"/>
      <c r="E537" s="874"/>
      <c r="F537" s="878"/>
      <c r="G537" s="811"/>
      <c r="H537" s="874"/>
      <c r="I537" s="878"/>
      <c r="J537" s="878">
        <v>29061.010000000002</v>
      </c>
      <c r="K537" s="874">
        <v>0.70109292873683904</v>
      </c>
      <c r="L537" s="878"/>
      <c r="M537" s="874"/>
      <c r="N537" s="878"/>
      <c r="O537" s="874">
        <v>113594.73000000001</v>
      </c>
      <c r="P537" s="878">
        <v>0.70348371263660903</v>
      </c>
      <c r="Q537" s="874"/>
      <c r="R537" s="874"/>
      <c r="S537" s="874"/>
      <c r="T537" s="811"/>
      <c r="U537" s="811"/>
      <c r="V537" s="811"/>
      <c r="W537" s="811"/>
      <c r="X537" s="811"/>
      <c r="Y537" s="719"/>
      <c r="Z537" s="719"/>
      <c r="AA537" s="719"/>
      <c r="AB537" s="719"/>
      <c r="AC537" s="719"/>
      <c r="AD537" s="719"/>
      <c r="AE537" s="719"/>
      <c r="AF537" s="719"/>
      <c r="AG537" s="719"/>
      <c r="AH537" s="719"/>
      <c r="AI537" s="719"/>
      <c r="AJ537" s="719"/>
      <c r="AK537" s="719"/>
      <c r="AL537" s="719"/>
      <c r="AM537" s="719"/>
      <c r="AN537" s="719"/>
      <c r="AO537" s="719"/>
      <c r="AP537" s="719"/>
      <c r="AQ537" s="719"/>
      <c r="AR537" s="719"/>
      <c r="AS537" s="719"/>
      <c r="AT537" s="719"/>
      <c r="AU537" s="719"/>
      <c r="AV537" s="719"/>
      <c r="AW537" s="719"/>
      <c r="AX537" s="719"/>
      <c r="AY537" s="719"/>
      <c r="AZ537" s="719"/>
      <c r="BA537" s="719"/>
      <c r="BB537" s="719"/>
      <c r="BC537" s="719"/>
      <c r="BD537" s="719"/>
      <c r="BE537" s="719"/>
      <c r="BF537" s="719"/>
      <c r="BG537" s="719"/>
      <c r="BH537" s="719"/>
      <c r="BI537" s="719"/>
      <c r="BJ537" s="719"/>
    </row>
    <row r="538" spans="2:62" ht="15.75" customHeight="1">
      <c r="B538" s="497"/>
      <c r="C538" s="811"/>
      <c r="D538" s="811"/>
      <c r="E538" s="874"/>
      <c r="F538" s="879"/>
      <c r="G538" s="811"/>
      <c r="H538" s="874"/>
      <c r="I538" s="879"/>
      <c r="J538" s="878"/>
      <c r="K538" s="874"/>
      <c r="L538" s="878"/>
      <c r="M538" s="874"/>
      <c r="N538" s="878"/>
      <c r="O538" s="874"/>
      <c r="P538" s="811"/>
      <c r="Q538" s="811"/>
      <c r="R538" s="874"/>
      <c r="S538" s="874"/>
      <c r="T538" s="811"/>
      <c r="U538" s="811"/>
      <c r="V538" s="811"/>
      <c r="W538" s="811"/>
      <c r="X538" s="811"/>
      <c r="Y538" s="719"/>
      <c r="Z538" s="719"/>
      <c r="AA538" s="719"/>
      <c r="AB538" s="719"/>
      <c r="AC538" s="719"/>
      <c r="AD538" s="719"/>
      <c r="AE538" s="719"/>
      <c r="AF538" s="719"/>
      <c r="AG538" s="719"/>
      <c r="AH538" s="719"/>
      <c r="AI538" s="719"/>
      <c r="AJ538" s="719"/>
      <c r="AK538" s="719"/>
      <c r="AL538" s="719"/>
      <c r="AM538" s="719"/>
      <c r="AN538" s="719"/>
      <c r="AO538" s="719"/>
      <c r="AP538" s="719"/>
      <c r="AQ538" s="719"/>
      <c r="AR538" s="719"/>
      <c r="AS538" s="719"/>
      <c r="AT538" s="719"/>
      <c r="AU538" s="719"/>
      <c r="AV538" s="719"/>
      <c r="AW538" s="719"/>
      <c r="AX538" s="719"/>
      <c r="AY538" s="719"/>
      <c r="AZ538" s="719"/>
      <c r="BA538" s="719"/>
      <c r="BB538" s="719"/>
      <c r="BC538" s="719"/>
      <c r="BD538" s="719"/>
      <c r="BE538" s="719"/>
      <c r="BF538" s="719"/>
      <c r="BG538" s="719"/>
      <c r="BH538" s="719"/>
      <c r="BI538" s="719"/>
      <c r="BJ538" s="719"/>
    </row>
    <row r="539" spans="2:62" ht="15.75" customHeight="1">
      <c r="B539" s="497"/>
      <c r="C539" s="873"/>
      <c r="D539" s="873"/>
      <c r="E539" s="876"/>
      <c r="F539" s="880"/>
      <c r="G539" s="873"/>
      <c r="H539" s="876"/>
      <c r="I539" s="880"/>
      <c r="J539" s="880"/>
      <c r="K539" s="876"/>
      <c r="L539" s="880"/>
      <c r="M539" s="876"/>
      <c r="N539" s="880"/>
      <c r="O539" s="876"/>
      <c r="P539" s="880"/>
      <c r="Q539" s="876"/>
      <c r="R539" s="876"/>
      <c r="S539" s="873"/>
      <c r="T539" s="811"/>
      <c r="U539" s="811"/>
      <c r="V539" s="811"/>
      <c r="W539" s="811"/>
      <c r="X539" s="811"/>
      <c r="Y539" s="719"/>
      <c r="Z539" s="719"/>
      <c r="AA539" s="719"/>
      <c r="AB539" s="719"/>
      <c r="AC539" s="719"/>
      <c r="AD539" s="719"/>
      <c r="AE539" s="719"/>
      <c r="AF539" s="719"/>
      <c r="AG539" s="719"/>
      <c r="AH539" s="719"/>
      <c r="AI539" s="719"/>
      <c r="AJ539" s="719"/>
      <c r="AK539" s="719"/>
      <c r="AL539" s="719"/>
      <c r="AM539" s="719"/>
      <c r="AN539" s="719"/>
      <c r="AO539" s="719"/>
      <c r="AP539" s="719"/>
      <c r="AQ539" s="719"/>
      <c r="AR539" s="719"/>
      <c r="AS539" s="719"/>
      <c r="AT539" s="719"/>
      <c r="AU539" s="719"/>
      <c r="AV539" s="719"/>
      <c r="AW539" s="719"/>
      <c r="AX539" s="719"/>
      <c r="AY539" s="719"/>
      <c r="AZ539" s="719"/>
      <c r="BA539" s="719"/>
      <c r="BB539" s="719"/>
      <c r="BC539" s="719"/>
      <c r="BD539" s="719"/>
      <c r="BE539" s="719"/>
      <c r="BF539" s="719"/>
      <c r="BG539" s="719"/>
      <c r="BH539" s="719"/>
      <c r="BI539" s="719"/>
      <c r="BJ539" s="719"/>
    </row>
    <row r="540" spans="2:62" ht="15.75" customHeight="1">
      <c r="B540" s="497"/>
      <c r="C540" s="811"/>
      <c r="D540" s="811"/>
      <c r="E540" s="874"/>
      <c r="F540" s="811"/>
      <c r="G540" s="811"/>
      <c r="H540" s="874"/>
      <c r="I540" s="811"/>
      <c r="J540" s="878"/>
      <c r="K540" s="874"/>
      <c r="L540" s="878"/>
      <c r="M540" s="874"/>
      <c r="N540" s="878"/>
      <c r="O540" s="874"/>
      <c r="P540" s="873"/>
      <c r="Q540" s="880"/>
      <c r="R540" s="880"/>
      <c r="S540" s="811"/>
      <c r="T540" s="811"/>
      <c r="U540" s="811"/>
      <c r="V540" s="811"/>
      <c r="W540" s="811"/>
      <c r="X540" s="811"/>
      <c r="Y540" s="719"/>
      <c r="Z540" s="719"/>
      <c r="AA540" s="719"/>
      <c r="AB540" s="719"/>
      <c r="AC540" s="719"/>
      <c r="AD540" s="719"/>
      <c r="AE540" s="719"/>
      <c r="AF540" s="719"/>
      <c r="AG540" s="719"/>
      <c r="AH540" s="719"/>
      <c r="AI540" s="719"/>
      <c r="AJ540" s="719"/>
      <c r="AK540" s="719"/>
      <c r="AL540" s="719"/>
      <c r="AM540" s="719"/>
      <c r="AN540" s="719"/>
      <c r="AO540" s="719"/>
      <c r="AP540" s="719"/>
      <c r="AQ540" s="719"/>
      <c r="AR540" s="719"/>
      <c r="AS540" s="719"/>
      <c r="AT540" s="719"/>
      <c r="AU540" s="719"/>
      <c r="AV540" s="719"/>
      <c r="AW540" s="719"/>
      <c r="AX540" s="719"/>
      <c r="AY540" s="719"/>
      <c r="AZ540" s="719"/>
      <c r="BA540" s="719"/>
      <c r="BB540" s="719"/>
      <c r="BC540" s="719"/>
      <c r="BD540" s="719"/>
      <c r="BE540" s="719"/>
      <c r="BF540" s="719"/>
      <c r="BG540" s="719"/>
      <c r="BH540" s="719"/>
      <c r="BI540" s="719"/>
      <c r="BJ540" s="719"/>
    </row>
    <row r="541" spans="2:62" ht="15.75" customHeight="1">
      <c r="B541" s="497"/>
      <c r="C541" s="811"/>
      <c r="D541" s="811"/>
      <c r="E541" s="874"/>
      <c r="F541" s="811"/>
      <c r="G541" s="811"/>
      <c r="H541" s="874"/>
      <c r="I541" s="811"/>
      <c r="J541" s="878"/>
      <c r="K541" s="874"/>
      <c r="L541" s="878"/>
      <c r="M541" s="874"/>
      <c r="N541" s="878"/>
      <c r="O541" s="874"/>
      <c r="P541" s="811"/>
      <c r="Q541" s="811"/>
      <c r="R541" s="874"/>
      <c r="S541" s="811"/>
      <c r="T541" s="811"/>
      <c r="U541" s="811"/>
      <c r="V541" s="811"/>
      <c r="W541" s="811"/>
      <c r="X541" s="811"/>
      <c r="Y541" s="719"/>
      <c r="Z541" s="719"/>
      <c r="AA541" s="719"/>
      <c r="AB541" s="719"/>
      <c r="AC541" s="719"/>
      <c r="AD541" s="719"/>
      <c r="AE541" s="719"/>
      <c r="AF541" s="719"/>
      <c r="AG541" s="719"/>
      <c r="AH541" s="719"/>
      <c r="AI541" s="719"/>
      <c r="AJ541" s="719"/>
      <c r="AK541" s="719"/>
      <c r="AL541" s="719"/>
      <c r="AM541" s="719"/>
      <c r="AN541" s="719"/>
      <c r="AO541" s="719"/>
      <c r="AP541" s="719"/>
      <c r="AQ541" s="719"/>
      <c r="AR541" s="719"/>
      <c r="AS541" s="719"/>
      <c r="AT541" s="719"/>
      <c r="AU541" s="719"/>
      <c r="AV541" s="719"/>
      <c r="AW541" s="719"/>
      <c r="AX541" s="719"/>
      <c r="AY541" s="719"/>
      <c r="AZ541" s="719"/>
      <c r="BA541" s="719"/>
      <c r="BB541" s="719"/>
      <c r="BC541" s="719"/>
      <c r="BD541" s="719"/>
      <c r="BE541" s="719"/>
      <c r="BF541" s="719"/>
      <c r="BG541" s="719"/>
      <c r="BH541" s="719"/>
      <c r="BI541" s="719"/>
      <c r="BJ541" s="719"/>
    </row>
    <row r="542" spans="2:62" ht="15.75" customHeight="1">
      <c r="B542" s="497"/>
      <c r="C542" s="873"/>
      <c r="D542" s="811"/>
      <c r="E542" s="874"/>
      <c r="F542" s="811"/>
      <c r="G542" s="811"/>
      <c r="H542" s="874"/>
      <c r="I542" s="811"/>
      <c r="J542" s="878"/>
      <c r="K542" s="874"/>
      <c r="L542" s="878"/>
      <c r="M542" s="874"/>
      <c r="N542" s="878"/>
      <c r="O542" s="874"/>
      <c r="P542" s="811"/>
      <c r="Q542" s="811"/>
      <c r="R542" s="874"/>
      <c r="S542" s="811"/>
      <c r="T542" s="811"/>
      <c r="U542" s="811"/>
      <c r="V542" s="811"/>
      <c r="W542" s="811"/>
      <c r="X542" s="811"/>
      <c r="Y542" s="719"/>
      <c r="Z542" s="719"/>
      <c r="AA542" s="719"/>
      <c r="AB542" s="719"/>
      <c r="AC542" s="719"/>
      <c r="AD542" s="719"/>
      <c r="AE542" s="719"/>
      <c r="AF542" s="719"/>
      <c r="AG542" s="719"/>
      <c r="AH542" s="719"/>
      <c r="AI542" s="719"/>
      <c r="AJ542" s="719"/>
      <c r="AK542" s="719"/>
      <c r="AL542" s="719"/>
      <c r="AM542" s="719"/>
      <c r="AN542" s="719"/>
      <c r="AO542" s="719"/>
      <c r="AP542" s="719"/>
      <c r="AQ542" s="719"/>
      <c r="AR542" s="719"/>
      <c r="AS542" s="719"/>
      <c r="AT542" s="719"/>
      <c r="AU542" s="719"/>
      <c r="AV542" s="719"/>
      <c r="AW542" s="719"/>
      <c r="AX542" s="719"/>
      <c r="AY542" s="719"/>
      <c r="AZ542" s="719"/>
      <c r="BA542" s="719"/>
      <c r="BB542" s="719"/>
      <c r="BC542" s="719"/>
      <c r="BD542" s="719"/>
      <c r="BE542" s="719"/>
      <c r="BF542" s="719"/>
      <c r="BG542" s="719"/>
      <c r="BH542" s="719"/>
      <c r="BI542" s="719"/>
      <c r="BJ542" s="719"/>
    </row>
    <row r="543" spans="2:62" ht="15.75" customHeight="1">
      <c r="B543" s="497"/>
      <c r="C543" s="811"/>
      <c r="D543" s="811"/>
      <c r="E543" s="811"/>
      <c r="F543" s="811"/>
      <c r="G543" s="811"/>
      <c r="H543" s="811"/>
      <c r="I543" s="811"/>
      <c r="J543" s="811"/>
      <c r="K543" s="811"/>
      <c r="L543" s="811"/>
      <c r="M543" s="811"/>
      <c r="N543" s="811"/>
      <c r="O543" s="811"/>
      <c r="P543" s="811"/>
      <c r="Q543" s="811"/>
      <c r="R543" s="811"/>
      <c r="S543" s="811"/>
      <c r="T543" s="811"/>
      <c r="U543" s="811"/>
      <c r="V543" s="811"/>
      <c r="W543" s="811"/>
      <c r="X543" s="811"/>
      <c r="Y543" s="719"/>
      <c r="Z543" s="719"/>
      <c r="AA543" s="719"/>
      <c r="AB543" s="719"/>
      <c r="AC543" s="719"/>
      <c r="AD543" s="719"/>
      <c r="AE543" s="719"/>
      <c r="AF543" s="719"/>
      <c r="AG543" s="719"/>
      <c r="AH543" s="719"/>
      <c r="AI543" s="719"/>
      <c r="AJ543" s="719"/>
      <c r="AK543" s="719"/>
      <c r="AL543" s="719"/>
      <c r="AM543" s="719"/>
      <c r="AN543" s="719"/>
      <c r="AO543" s="719"/>
      <c r="AP543" s="719"/>
      <c r="AQ543" s="719"/>
      <c r="AR543" s="719"/>
      <c r="AS543" s="719"/>
      <c r="AT543" s="719"/>
      <c r="AU543" s="719"/>
      <c r="AV543" s="719"/>
      <c r="AW543" s="719"/>
      <c r="AX543" s="719"/>
      <c r="AY543" s="719"/>
      <c r="AZ543" s="719"/>
      <c r="BA543" s="719"/>
      <c r="BB543" s="719"/>
      <c r="BC543" s="719"/>
      <c r="BD543" s="719"/>
      <c r="BE543" s="719"/>
      <c r="BF543" s="719"/>
      <c r="BG543" s="719"/>
      <c r="BH543" s="719"/>
      <c r="BI543" s="719"/>
      <c r="BJ543" s="719"/>
    </row>
    <row r="544" spans="2:62" ht="15.75" customHeight="1">
      <c r="B544" s="497"/>
      <c r="C544" s="811"/>
      <c r="D544" s="811"/>
      <c r="E544" s="874"/>
      <c r="F544" s="878"/>
      <c r="G544" s="811"/>
      <c r="H544" s="874"/>
      <c r="I544" s="878"/>
      <c r="J544" s="878"/>
      <c r="K544" s="811"/>
      <c r="L544" s="878"/>
      <c r="M544" s="811"/>
      <c r="N544" s="878"/>
      <c r="O544" s="811"/>
      <c r="P544" s="878"/>
      <c r="Q544" s="874"/>
      <c r="R544" s="874"/>
      <c r="S544" s="811"/>
      <c r="T544" s="811"/>
      <c r="U544" s="811"/>
      <c r="V544" s="811"/>
      <c r="W544" s="811"/>
      <c r="X544" s="811"/>
      <c r="Y544" s="719"/>
      <c r="Z544" s="719"/>
      <c r="AA544" s="719"/>
      <c r="AB544" s="719"/>
      <c r="AC544" s="719"/>
      <c r="AD544" s="719"/>
      <c r="AE544" s="719"/>
      <c r="AF544" s="719"/>
      <c r="AG544" s="719"/>
      <c r="AH544" s="719"/>
      <c r="AI544" s="719"/>
      <c r="AJ544" s="719"/>
      <c r="AK544" s="719"/>
      <c r="AL544" s="719"/>
      <c r="AM544" s="719"/>
      <c r="AN544" s="719"/>
      <c r="AO544" s="719"/>
      <c r="AP544" s="719"/>
      <c r="AQ544" s="719"/>
      <c r="AR544" s="719"/>
      <c r="AS544" s="719"/>
      <c r="AT544" s="719"/>
      <c r="AU544" s="719"/>
      <c r="AV544" s="719"/>
      <c r="AW544" s="719"/>
      <c r="AX544" s="719"/>
      <c r="AY544" s="719"/>
      <c r="AZ544" s="719"/>
      <c r="BA544" s="719"/>
      <c r="BB544" s="719"/>
      <c r="BC544" s="719"/>
      <c r="BD544" s="719"/>
      <c r="BE544" s="719"/>
      <c r="BF544" s="719"/>
      <c r="BG544" s="719"/>
      <c r="BH544" s="719"/>
      <c r="BI544" s="719"/>
      <c r="BJ544" s="719"/>
    </row>
    <row r="545" spans="2:62" ht="15.75" customHeight="1">
      <c r="B545" s="497"/>
      <c r="C545" s="811"/>
      <c r="D545" s="811"/>
      <c r="E545" s="874"/>
      <c r="F545" s="879"/>
      <c r="G545" s="811"/>
      <c r="H545" s="874"/>
      <c r="I545" s="879"/>
      <c r="J545" s="878"/>
      <c r="K545" s="874"/>
      <c r="L545" s="878"/>
      <c r="M545" s="874"/>
      <c r="N545" s="878"/>
      <c r="O545" s="874"/>
      <c r="P545" s="811"/>
      <c r="Q545" s="878"/>
      <c r="R545" s="878"/>
      <c r="S545" s="874"/>
      <c r="T545" s="811"/>
      <c r="U545" s="811"/>
      <c r="V545" s="811"/>
      <c r="W545" s="811"/>
      <c r="X545" s="811"/>
      <c r="Y545" s="719"/>
      <c r="Z545" s="719"/>
      <c r="AA545" s="719"/>
      <c r="AB545" s="719"/>
      <c r="AC545" s="719"/>
      <c r="AD545" s="719"/>
      <c r="AE545" s="719"/>
      <c r="AF545" s="719"/>
      <c r="AG545" s="719"/>
      <c r="AH545" s="719"/>
      <c r="AI545" s="719"/>
      <c r="AJ545" s="719"/>
      <c r="AK545" s="719"/>
      <c r="AL545" s="719"/>
      <c r="AM545" s="719"/>
      <c r="AN545" s="719"/>
      <c r="AO545" s="719"/>
      <c r="AP545" s="719"/>
      <c r="AQ545" s="719"/>
      <c r="AR545" s="719"/>
      <c r="AS545" s="719"/>
      <c r="AT545" s="719"/>
      <c r="AU545" s="719"/>
      <c r="AV545" s="719"/>
      <c r="AW545" s="719"/>
      <c r="AX545" s="719"/>
      <c r="AY545" s="719"/>
      <c r="AZ545" s="719"/>
      <c r="BA545" s="719"/>
      <c r="BB545" s="719"/>
      <c r="BC545" s="719"/>
      <c r="BD545" s="719"/>
      <c r="BE545" s="719"/>
      <c r="BF545" s="719"/>
      <c r="BG545" s="719"/>
      <c r="BH545" s="719"/>
      <c r="BI545" s="719"/>
      <c r="BJ545" s="719"/>
    </row>
    <row r="546" spans="2:62" ht="15.75" customHeight="1">
      <c r="B546" s="497"/>
      <c r="C546" s="811"/>
      <c r="D546" s="811"/>
      <c r="E546" s="874"/>
      <c r="F546" s="879"/>
      <c r="G546" s="811"/>
      <c r="H546" s="874"/>
      <c r="I546" s="879"/>
      <c r="J546" s="878"/>
      <c r="K546" s="874"/>
      <c r="L546" s="878"/>
      <c r="M546" s="874"/>
      <c r="N546" s="878"/>
      <c r="O546" s="874"/>
      <c r="P546" s="811"/>
      <c r="Q546" s="811"/>
      <c r="R546" s="874"/>
      <c r="S546" s="874"/>
      <c r="T546" s="811"/>
      <c r="U546" s="811"/>
      <c r="V546" s="811"/>
      <c r="W546" s="811"/>
      <c r="X546" s="811"/>
      <c r="Y546" s="719"/>
      <c r="Z546" s="719"/>
      <c r="AA546" s="719"/>
      <c r="AB546" s="719"/>
      <c r="AC546" s="719"/>
      <c r="AD546" s="719"/>
      <c r="AE546" s="719"/>
      <c r="AF546" s="719"/>
      <c r="AG546" s="719"/>
      <c r="AH546" s="719"/>
      <c r="AI546" s="719"/>
      <c r="AJ546" s="719"/>
      <c r="AK546" s="719"/>
      <c r="AL546" s="719"/>
      <c r="AM546" s="719"/>
      <c r="AN546" s="719"/>
      <c r="AO546" s="719"/>
      <c r="AP546" s="719"/>
      <c r="AQ546" s="719"/>
      <c r="AR546" s="719"/>
      <c r="AS546" s="719"/>
      <c r="AT546" s="719"/>
      <c r="AU546" s="719"/>
      <c r="AV546" s="719"/>
      <c r="AW546" s="719"/>
      <c r="AX546" s="719"/>
      <c r="AY546" s="719"/>
      <c r="AZ546" s="719"/>
      <c r="BA546" s="719"/>
      <c r="BB546" s="719"/>
      <c r="BC546" s="719"/>
      <c r="BD546" s="719"/>
      <c r="BE546" s="719"/>
      <c r="BF546" s="719"/>
      <c r="BG546" s="719"/>
      <c r="BH546" s="719"/>
      <c r="BI546" s="719"/>
      <c r="BJ546" s="719"/>
    </row>
    <row r="547" spans="2:62" ht="15.75" customHeight="1">
      <c r="B547" s="497"/>
      <c r="C547" s="811"/>
      <c r="D547" s="811"/>
      <c r="E547" s="874"/>
      <c r="F547" s="878"/>
      <c r="G547" s="811"/>
      <c r="H547" s="874"/>
      <c r="I547" s="878"/>
      <c r="J547" s="878"/>
      <c r="K547" s="874"/>
      <c r="L547" s="878"/>
      <c r="M547" s="874"/>
      <c r="N547" s="878"/>
      <c r="O547" s="874"/>
      <c r="P547" s="811"/>
      <c r="Q547" s="811"/>
      <c r="R547" s="874"/>
      <c r="S547" s="811"/>
      <c r="T547" s="811"/>
      <c r="U547" s="811"/>
      <c r="V547" s="811"/>
      <c r="W547" s="811"/>
      <c r="X547" s="811"/>
      <c r="Y547" s="719"/>
      <c r="Z547" s="719"/>
      <c r="AA547" s="719"/>
      <c r="AB547" s="719"/>
      <c r="AC547" s="719"/>
      <c r="AD547" s="719"/>
      <c r="AE547" s="719"/>
      <c r="AF547" s="719"/>
      <c r="AG547" s="719"/>
      <c r="AH547" s="719"/>
      <c r="AI547" s="719"/>
      <c r="AJ547" s="719"/>
      <c r="AK547" s="719"/>
      <c r="AL547" s="719"/>
      <c r="AM547" s="719"/>
      <c r="AN547" s="719"/>
      <c r="AO547" s="719"/>
      <c r="AP547" s="719"/>
      <c r="AQ547" s="719"/>
      <c r="AR547" s="719"/>
      <c r="AS547" s="719"/>
      <c r="AT547" s="719"/>
      <c r="AU547" s="719"/>
      <c r="AV547" s="719"/>
      <c r="AW547" s="719"/>
      <c r="AX547" s="719"/>
      <c r="AY547" s="719"/>
      <c r="AZ547" s="719"/>
      <c r="BA547" s="719"/>
      <c r="BB547" s="719"/>
      <c r="BC547" s="719"/>
      <c r="BD547" s="719"/>
      <c r="BE547" s="719"/>
      <c r="BF547" s="719"/>
      <c r="BG547" s="719"/>
      <c r="BH547" s="719"/>
      <c r="BI547" s="719"/>
      <c r="BJ547" s="719"/>
    </row>
    <row r="548" spans="2:62" ht="15.75" customHeight="1">
      <c r="B548" s="497"/>
      <c r="C548" s="873"/>
      <c r="D548" s="873"/>
      <c r="E548" s="876"/>
      <c r="F548" s="880"/>
      <c r="G548" s="873"/>
      <c r="H548" s="876"/>
      <c r="I548" s="880"/>
      <c r="J548" s="880"/>
      <c r="K548" s="876"/>
      <c r="L548" s="880"/>
      <c r="M548" s="876"/>
      <c r="N548" s="880"/>
      <c r="O548" s="876"/>
      <c r="P548" s="880"/>
      <c r="Q548" s="873"/>
      <c r="R548" s="876"/>
      <c r="S548" s="873"/>
      <c r="T548" s="811"/>
      <c r="U548" s="811"/>
      <c r="V548" s="811"/>
      <c r="W548" s="811"/>
      <c r="X548" s="811"/>
      <c r="Y548" s="719"/>
      <c r="Z548" s="719"/>
      <c r="AA548" s="719"/>
      <c r="AB548" s="719"/>
      <c r="AC548" s="719"/>
      <c r="AD548" s="719"/>
      <c r="AE548" s="719"/>
      <c r="AF548" s="719"/>
      <c r="AG548" s="719"/>
      <c r="AH548" s="719"/>
      <c r="AI548" s="719"/>
      <c r="AJ548" s="719"/>
      <c r="AK548" s="719"/>
      <c r="AL548" s="719"/>
      <c r="AM548" s="719"/>
      <c r="AN548" s="719"/>
      <c r="AO548" s="719"/>
      <c r="AP548" s="719"/>
      <c r="AQ548" s="719"/>
      <c r="AR548" s="719"/>
      <c r="AS548" s="719"/>
      <c r="AT548" s="719"/>
      <c r="AU548" s="719"/>
      <c r="AV548" s="719"/>
      <c r="AW548" s="719"/>
      <c r="AX548" s="719"/>
      <c r="AY548" s="719"/>
      <c r="AZ548" s="719"/>
      <c r="BA548" s="719"/>
      <c r="BB548" s="719"/>
      <c r="BC548" s="719"/>
      <c r="BD548" s="719"/>
      <c r="BE548" s="719"/>
      <c r="BF548" s="719"/>
      <c r="BG548" s="719"/>
      <c r="BH548" s="719"/>
      <c r="BI548" s="719"/>
      <c r="BJ548" s="719"/>
    </row>
    <row r="549" spans="2:62" ht="15.75" customHeight="1">
      <c r="B549" s="497"/>
      <c r="C549" s="811"/>
      <c r="D549" s="811"/>
      <c r="E549" s="811"/>
      <c r="F549" s="811"/>
      <c r="G549" s="811"/>
      <c r="H549" s="811"/>
      <c r="I549" s="811"/>
      <c r="J549" s="811"/>
      <c r="K549" s="811"/>
      <c r="L549" s="811"/>
      <c r="M549" s="811"/>
      <c r="N549" s="811"/>
      <c r="O549" s="811"/>
      <c r="P549" s="873"/>
      <c r="Q549" s="880"/>
      <c r="R549" s="880"/>
      <c r="S549" s="811"/>
      <c r="T549" s="811"/>
      <c r="U549" s="811"/>
      <c r="V549" s="811"/>
      <c r="W549" s="811"/>
      <c r="X549" s="811"/>
      <c r="Y549" s="719"/>
      <c r="Z549" s="719"/>
      <c r="AA549" s="719"/>
      <c r="AB549" s="719"/>
      <c r="AC549" s="719"/>
      <c r="AD549" s="719"/>
      <c r="AE549" s="719"/>
      <c r="AF549" s="719"/>
      <c r="AG549" s="719"/>
      <c r="AH549" s="719"/>
      <c r="AI549" s="719"/>
      <c r="AJ549" s="719"/>
      <c r="AK549" s="719"/>
      <c r="AL549" s="719"/>
      <c r="AM549" s="719"/>
      <c r="AN549" s="719"/>
      <c r="AO549" s="719"/>
      <c r="AP549" s="719"/>
      <c r="AQ549" s="719"/>
      <c r="AR549" s="719"/>
      <c r="AS549" s="719"/>
      <c r="AT549" s="719"/>
      <c r="AU549" s="719"/>
      <c r="AV549" s="719"/>
      <c r="AW549" s="719"/>
      <c r="AX549" s="719"/>
      <c r="AY549" s="719"/>
      <c r="AZ549" s="719"/>
      <c r="BA549" s="719"/>
      <c r="BB549" s="719"/>
      <c r="BC549" s="719"/>
      <c r="BD549" s="719"/>
      <c r="BE549" s="719"/>
      <c r="BF549" s="719"/>
      <c r="BG549" s="719"/>
      <c r="BH549" s="719"/>
      <c r="BI549" s="719"/>
      <c r="BJ549" s="719"/>
    </row>
    <row r="550" spans="2:62" ht="15.75" customHeight="1">
      <c r="B550" s="497"/>
      <c r="C550" s="811"/>
      <c r="D550" s="811"/>
      <c r="E550" s="874"/>
      <c r="F550" s="878"/>
      <c r="G550" s="811"/>
      <c r="H550" s="874"/>
      <c r="I550" s="878"/>
      <c r="J550" s="878"/>
      <c r="K550" s="874"/>
      <c r="L550" s="878"/>
      <c r="M550" s="874"/>
      <c r="N550" s="878"/>
      <c r="O550" s="874"/>
      <c r="P550" s="811"/>
      <c r="Q550" s="811"/>
      <c r="R550" s="874"/>
      <c r="S550" s="811"/>
      <c r="T550" s="811"/>
      <c r="U550" s="811"/>
      <c r="V550" s="811"/>
      <c r="W550" s="811"/>
      <c r="X550" s="811"/>
      <c r="Y550" s="719"/>
      <c r="Z550" s="719"/>
      <c r="AA550" s="719"/>
      <c r="AB550" s="719"/>
      <c r="AC550" s="719"/>
      <c r="AD550" s="719"/>
      <c r="AE550" s="719"/>
      <c r="AF550" s="719"/>
      <c r="AG550" s="719"/>
      <c r="AH550" s="719"/>
      <c r="AI550" s="719"/>
      <c r="AJ550" s="719"/>
      <c r="AK550" s="719"/>
      <c r="AL550" s="719"/>
      <c r="AM550" s="719"/>
      <c r="AN550" s="719"/>
      <c r="AO550" s="719"/>
      <c r="AP550" s="719"/>
      <c r="AQ550" s="719"/>
      <c r="AR550" s="719"/>
      <c r="AS550" s="719"/>
      <c r="AT550" s="719"/>
      <c r="AU550" s="719"/>
      <c r="AV550" s="719"/>
      <c r="AW550" s="719"/>
      <c r="AX550" s="719"/>
      <c r="AY550" s="719"/>
      <c r="AZ550" s="719"/>
      <c r="BA550" s="719"/>
      <c r="BB550" s="719"/>
      <c r="BC550" s="719"/>
      <c r="BD550" s="719"/>
      <c r="BE550" s="719"/>
      <c r="BF550" s="719"/>
      <c r="BG550" s="719"/>
      <c r="BH550" s="719"/>
      <c r="BI550" s="719"/>
      <c r="BJ550" s="719"/>
    </row>
    <row r="551" spans="2:62" ht="15.75" customHeight="1">
      <c r="B551" s="497"/>
      <c r="C551" s="873"/>
      <c r="D551" s="811"/>
      <c r="E551" s="874"/>
      <c r="F551" s="878"/>
      <c r="G551" s="811"/>
      <c r="H551" s="874"/>
      <c r="I551" s="878"/>
      <c r="J551" s="878"/>
      <c r="K551" s="874"/>
      <c r="L551" s="878"/>
      <c r="M551" s="874"/>
      <c r="N551" s="878"/>
      <c r="O551" s="874"/>
      <c r="P551" s="811"/>
      <c r="Q551" s="811"/>
      <c r="R551" s="874"/>
      <c r="S551" s="811"/>
      <c r="T551" s="811"/>
      <c r="U551" s="811"/>
      <c r="V551" s="811"/>
      <c r="W551" s="811"/>
      <c r="X551" s="811"/>
      <c r="Y551" s="719"/>
      <c r="Z551" s="719"/>
      <c r="AA551" s="719"/>
      <c r="AB551" s="719"/>
      <c r="AC551" s="719"/>
      <c r="AD551" s="719"/>
      <c r="AE551" s="719"/>
      <c r="AF551" s="719"/>
      <c r="AG551" s="719"/>
      <c r="AH551" s="719"/>
      <c r="AI551" s="719"/>
      <c r="AJ551" s="719"/>
      <c r="AK551" s="719"/>
      <c r="AL551" s="719"/>
      <c r="AM551" s="719"/>
      <c r="AN551" s="719"/>
      <c r="AO551" s="719"/>
      <c r="AP551" s="719"/>
      <c r="AQ551" s="719"/>
      <c r="AR551" s="719"/>
      <c r="AS551" s="719"/>
      <c r="AT551" s="719"/>
      <c r="AU551" s="719"/>
      <c r="AV551" s="719"/>
      <c r="AW551" s="719"/>
      <c r="AX551" s="719"/>
      <c r="AY551" s="719"/>
      <c r="AZ551" s="719"/>
      <c r="BA551" s="719"/>
      <c r="BB551" s="719"/>
      <c r="BC551" s="719"/>
      <c r="BD551" s="719"/>
      <c r="BE551" s="719"/>
      <c r="BF551" s="719"/>
      <c r="BG551" s="719"/>
      <c r="BH551" s="719"/>
      <c r="BI551" s="719"/>
      <c r="BJ551" s="719"/>
    </row>
    <row r="552" spans="2:62" ht="15.75" customHeight="1">
      <c r="B552" s="497"/>
      <c r="C552" s="811"/>
      <c r="D552" s="811"/>
      <c r="E552" s="874"/>
      <c r="F552" s="878"/>
      <c r="G552" s="811"/>
      <c r="H552" s="874"/>
      <c r="I552" s="878"/>
      <c r="J552" s="878"/>
      <c r="K552" s="874"/>
      <c r="L552" s="878"/>
      <c r="M552" s="874"/>
      <c r="N552" s="878"/>
      <c r="O552" s="874"/>
      <c r="P552" s="811"/>
      <c r="Q552" s="811"/>
      <c r="R552" s="874"/>
      <c r="S552" s="811"/>
      <c r="T552" s="811"/>
      <c r="U552" s="811"/>
      <c r="V552" s="811"/>
      <c r="W552" s="811"/>
      <c r="X552" s="811"/>
      <c r="Y552" s="719"/>
      <c r="Z552" s="719"/>
      <c r="AA552" s="719"/>
      <c r="AB552" s="719"/>
      <c r="AC552" s="719"/>
      <c r="AD552" s="719"/>
      <c r="AE552" s="719"/>
      <c r="AF552" s="719"/>
      <c r="AG552" s="719"/>
      <c r="AH552" s="719"/>
      <c r="AI552" s="719"/>
      <c r="AJ552" s="719"/>
      <c r="AK552" s="719"/>
      <c r="AL552" s="719"/>
      <c r="AM552" s="719"/>
      <c r="AN552" s="719"/>
      <c r="AO552" s="719"/>
      <c r="AP552" s="719"/>
      <c r="AQ552" s="719"/>
      <c r="AR552" s="719"/>
      <c r="AS552" s="719"/>
      <c r="AT552" s="719"/>
      <c r="AU552" s="719"/>
      <c r="AV552" s="719"/>
      <c r="AW552" s="719"/>
      <c r="AX552" s="719"/>
      <c r="AY552" s="719"/>
      <c r="AZ552" s="719"/>
      <c r="BA552" s="719"/>
      <c r="BB552" s="719"/>
      <c r="BC552" s="719"/>
      <c r="BD552" s="719"/>
      <c r="BE552" s="719"/>
      <c r="BF552" s="719"/>
      <c r="BG552" s="719"/>
      <c r="BH552" s="719"/>
      <c r="BI552" s="719"/>
      <c r="BJ552" s="719"/>
    </row>
    <row r="553" spans="2:62" ht="15.75" customHeight="1">
      <c r="B553" s="497"/>
      <c r="C553" s="811"/>
      <c r="D553" s="811"/>
      <c r="E553" s="811"/>
      <c r="F553" s="811"/>
      <c r="G553" s="811"/>
      <c r="H553" s="811"/>
      <c r="I553" s="811"/>
      <c r="J553" s="811"/>
      <c r="K553" s="811"/>
      <c r="L553" s="811"/>
      <c r="M553" s="811"/>
      <c r="N553" s="811"/>
      <c r="O553" s="811"/>
      <c r="P553" s="878"/>
      <c r="Q553" s="874"/>
      <c r="R553" s="811"/>
      <c r="S553" s="874"/>
      <c r="T553" s="811"/>
      <c r="U553" s="811"/>
      <c r="V553" s="811"/>
      <c r="W553" s="811"/>
      <c r="X553" s="811"/>
      <c r="Y553" s="719"/>
      <c r="Z553" s="719"/>
      <c r="AA553" s="719"/>
      <c r="AB553" s="719"/>
      <c r="AC553" s="719"/>
      <c r="AD553" s="719"/>
      <c r="AE553" s="719"/>
      <c r="AF553" s="719"/>
      <c r="AG553" s="719"/>
      <c r="AH553" s="719"/>
      <c r="AI553" s="719"/>
      <c r="AJ553" s="719"/>
      <c r="AK553" s="719"/>
      <c r="AL553" s="719"/>
      <c r="AM553" s="719"/>
      <c r="AN553" s="719"/>
      <c r="AO553" s="719"/>
      <c r="AP553" s="719"/>
      <c r="AQ553" s="719"/>
      <c r="AR553" s="719"/>
      <c r="AS553" s="719"/>
      <c r="AT553" s="719"/>
      <c r="AU553" s="719"/>
      <c r="AV553" s="719"/>
      <c r="AW553" s="719"/>
      <c r="AX553" s="719"/>
      <c r="AY553" s="719"/>
      <c r="AZ553" s="719"/>
      <c r="BA553" s="719"/>
      <c r="BB553" s="719"/>
      <c r="BC553" s="719"/>
      <c r="BD553" s="719"/>
      <c r="BE553" s="719"/>
      <c r="BF553" s="719"/>
      <c r="BG553" s="719"/>
      <c r="BH553" s="719"/>
      <c r="BI553" s="719"/>
      <c r="BJ553" s="719"/>
    </row>
    <row r="554" spans="2:62" ht="15.75" customHeight="1">
      <c r="B554" s="497"/>
      <c r="C554" s="811"/>
      <c r="D554" s="811"/>
      <c r="E554" s="811"/>
      <c r="F554" s="811"/>
      <c r="G554" s="811"/>
      <c r="H554" s="811"/>
      <c r="I554" s="811"/>
      <c r="J554" s="811"/>
      <c r="K554" s="811"/>
      <c r="L554" s="811"/>
      <c r="M554" s="811"/>
      <c r="N554" s="811"/>
      <c r="O554" s="811"/>
      <c r="P554" s="878"/>
      <c r="Q554" s="874"/>
      <c r="R554" s="811"/>
      <c r="S554" s="874"/>
      <c r="T554" s="811"/>
      <c r="U554" s="811"/>
      <c r="V554" s="811"/>
      <c r="W554" s="811"/>
      <c r="X554" s="811"/>
      <c r="Y554" s="719"/>
      <c r="Z554" s="719"/>
      <c r="AA554" s="719"/>
      <c r="AB554" s="719"/>
      <c r="AC554" s="719"/>
      <c r="AD554" s="719"/>
      <c r="AE554" s="719"/>
      <c r="AF554" s="719"/>
      <c r="AG554" s="719"/>
      <c r="AH554" s="719"/>
      <c r="AI554" s="719"/>
      <c r="AJ554" s="719"/>
      <c r="AK554" s="719"/>
      <c r="AL554" s="719"/>
      <c r="AM554" s="719"/>
      <c r="AN554" s="719"/>
      <c r="AO554" s="719"/>
      <c r="AP554" s="719"/>
      <c r="AQ554" s="719"/>
      <c r="AR554" s="719"/>
      <c r="AS554" s="719"/>
      <c r="AT554" s="719"/>
      <c r="AU554" s="719"/>
      <c r="AV554" s="719"/>
      <c r="AW554" s="719"/>
      <c r="AX554" s="719"/>
      <c r="AY554" s="719"/>
      <c r="AZ554" s="719"/>
      <c r="BA554" s="719"/>
      <c r="BB554" s="719"/>
      <c r="BC554" s="719"/>
      <c r="BD554" s="719"/>
      <c r="BE554" s="719"/>
      <c r="BF554" s="719"/>
      <c r="BG554" s="719"/>
      <c r="BH554" s="719"/>
      <c r="BI554" s="719"/>
      <c r="BJ554" s="719"/>
    </row>
    <row r="555" spans="2:62" ht="15.75" customHeight="1">
      <c r="B555" s="497"/>
      <c r="C555" s="811"/>
      <c r="D555" s="811"/>
      <c r="E555" s="811"/>
      <c r="F555" s="811"/>
      <c r="G555" s="811"/>
      <c r="H555" s="811"/>
      <c r="I555" s="811"/>
      <c r="J555" s="811"/>
      <c r="K555" s="811"/>
      <c r="L555" s="811"/>
      <c r="M555" s="811"/>
      <c r="N555" s="811"/>
      <c r="O555" s="811"/>
      <c r="P555" s="878"/>
      <c r="Q555" s="874"/>
      <c r="R555" s="811"/>
      <c r="S555" s="874"/>
      <c r="T555" s="811"/>
      <c r="U555" s="811"/>
      <c r="V555" s="811"/>
      <c r="W555" s="811"/>
      <c r="X555" s="811"/>
      <c r="Y555" s="719"/>
      <c r="Z555" s="719"/>
      <c r="AA555" s="719"/>
      <c r="AB555" s="719"/>
      <c r="AC555" s="719"/>
      <c r="AD555" s="719"/>
      <c r="AE555" s="719"/>
      <c r="AF555" s="719"/>
      <c r="AG555" s="719"/>
      <c r="AH555" s="719"/>
      <c r="AI555" s="719"/>
      <c r="AJ555" s="719"/>
      <c r="AK555" s="719"/>
      <c r="AL555" s="719"/>
      <c r="AM555" s="719"/>
      <c r="AN555" s="719"/>
      <c r="AO555" s="719"/>
      <c r="AP555" s="719"/>
      <c r="AQ555" s="719"/>
      <c r="AR555" s="719"/>
      <c r="AS555" s="719"/>
      <c r="AT555" s="719"/>
      <c r="AU555" s="719"/>
      <c r="AV555" s="719"/>
      <c r="AW555" s="719"/>
      <c r="AX555" s="719"/>
      <c r="AY555" s="719"/>
      <c r="AZ555" s="719"/>
      <c r="BA555" s="719"/>
      <c r="BB555" s="719"/>
      <c r="BC555" s="719"/>
      <c r="BD555" s="719"/>
      <c r="BE555" s="719"/>
      <c r="BF555" s="719"/>
      <c r="BG555" s="719"/>
      <c r="BH555" s="719"/>
      <c r="BI555" s="719"/>
      <c r="BJ555" s="719"/>
    </row>
    <row r="556" spans="2:62" ht="15.75" customHeight="1">
      <c r="B556" s="497"/>
      <c r="C556" s="811"/>
      <c r="D556" s="811"/>
      <c r="E556" s="811"/>
      <c r="F556" s="811"/>
      <c r="G556" s="811"/>
      <c r="H556" s="811"/>
      <c r="I556" s="811"/>
      <c r="J556" s="811"/>
      <c r="K556" s="811"/>
      <c r="L556" s="811"/>
      <c r="M556" s="811"/>
      <c r="N556" s="811"/>
      <c r="O556" s="811"/>
      <c r="P556" s="878"/>
      <c r="Q556" s="874"/>
      <c r="R556" s="811"/>
      <c r="S556" s="874"/>
      <c r="T556" s="811"/>
      <c r="U556" s="811"/>
      <c r="V556" s="811"/>
      <c r="W556" s="811"/>
      <c r="X556" s="811"/>
      <c r="Y556" s="719"/>
      <c r="Z556" s="719"/>
      <c r="AA556" s="719"/>
      <c r="AB556" s="719"/>
      <c r="AC556" s="719"/>
      <c r="AD556" s="719"/>
      <c r="AE556" s="719"/>
      <c r="AF556" s="719"/>
      <c r="AG556" s="719"/>
      <c r="AH556" s="719"/>
      <c r="AI556" s="719"/>
      <c r="AJ556" s="719"/>
      <c r="AK556" s="719"/>
      <c r="AL556" s="719"/>
      <c r="AM556" s="719"/>
      <c r="AN556" s="719"/>
      <c r="AO556" s="719"/>
      <c r="AP556" s="719"/>
      <c r="AQ556" s="719"/>
      <c r="AR556" s="719"/>
      <c r="AS556" s="719"/>
      <c r="AT556" s="719"/>
      <c r="AU556" s="719"/>
      <c r="AV556" s="719"/>
      <c r="AW556" s="719"/>
      <c r="AX556" s="719"/>
      <c r="AY556" s="719"/>
      <c r="AZ556" s="719"/>
      <c r="BA556" s="719"/>
      <c r="BB556" s="719"/>
      <c r="BC556" s="719"/>
      <c r="BD556" s="719"/>
      <c r="BE556" s="719"/>
      <c r="BF556" s="719"/>
      <c r="BG556" s="719"/>
      <c r="BH556" s="719"/>
      <c r="BI556" s="719"/>
      <c r="BJ556" s="719"/>
    </row>
    <row r="557" spans="2:62" ht="15.75" customHeight="1">
      <c r="B557" s="497"/>
      <c r="C557" s="811"/>
      <c r="D557" s="811"/>
      <c r="E557" s="811"/>
      <c r="F557" s="811"/>
      <c r="G557" s="811"/>
      <c r="H557" s="811"/>
      <c r="I557" s="811"/>
      <c r="J557" s="811"/>
      <c r="K557" s="811"/>
      <c r="L557" s="811"/>
      <c r="M557" s="811"/>
      <c r="N557" s="811"/>
      <c r="O557" s="811"/>
      <c r="P557" s="878"/>
      <c r="Q557" s="874"/>
      <c r="R557" s="811"/>
      <c r="S557" s="874"/>
      <c r="T557" s="811"/>
      <c r="U557" s="811"/>
      <c r="V557" s="811"/>
      <c r="W557" s="811"/>
      <c r="X557" s="811"/>
      <c r="Y557" s="719"/>
      <c r="Z557" s="719"/>
      <c r="AA557" s="719"/>
      <c r="AB557" s="719"/>
      <c r="AC557" s="719"/>
      <c r="AD557" s="719"/>
      <c r="AE557" s="719"/>
      <c r="AF557" s="719"/>
      <c r="AG557" s="719"/>
      <c r="AH557" s="719"/>
      <c r="AI557" s="719"/>
      <c r="AJ557" s="719"/>
      <c r="AK557" s="719"/>
      <c r="AL557" s="719"/>
      <c r="AM557" s="719"/>
      <c r="AN557" s="719"/>
      <c r="AO557" s="719"/>
      <c r="AP557" s="719"/>
      <c r="AQ557" s="719"/>
      <c r="AR557" s="719"/>
      <c r="AS557" s="719"/>
      <c r="AT557" s="719"/>
      <c r="AU557" s="719"/>
      <c r="AV557" s="719"/>
      <c r="AW557" s="719"/>
      <c r="AX557" s="719"/>
      <c r="AY557" s="719"/>
      <c r="AZ557" s="719"/>
      <c r="BA557" s="719"/>
      <c r="BB557" s="719"/>
      <c r="BC557" s="719"/>
      <c r="BD557" s="719"/>
      <c r="BE557" s="719"/>
      <c r="BF557" s="719"/>
      <c r="BG557" s="719"/>
      <c r="BH557" s="719"/>
      <c r="BI557" s="719"/>
      <c r="BJ557" s="719"/>
    </row>
    <row r="558" spans="2:62" ht="15.75" customHeight="1">
      <c r="B558" s="497"/>
      <c r="C558" s="811"/>
      <c r="D558" s="811"/>
      <c r="E558" s="811"/>
      <c r="F558" s="811"/>
      <c r="G558" s="811"/>
      <c r="H558" s="811"/>
      <c r="I558" s="811"/>
      <c r="J558" s="811"/>
      <c r="K558" s="811"/>
      <c r="L558" s="811"/>
      <c r="M558" s="811"/>
      <c r="N558" s="811"/>
      <c r="O558" s="811"/>
      <c r="P558" s="878"/>
      <c r="Q558" s="874"/>
      <c r="R558" s="811"/>
      <c r="S558" s="874"/>
      <c r="T558" s="811"/>
      <c r="U558" s="811"/>
      <c r="V558" s="811"/>
      <c r="W558" s="811"/>
      <c r="X558" s="811"/>
      <c r="Y558" s="719"/>
      <c r="Z558" s="719"/>
      <c r="AA558" s="719"/>
      <c r="AB558" s="719"/>
      <c r="AC558" s="719"/>
      <c r="AD558" s="719"/>
      <c r="AE558" s="719"/>
      <c r="AF558" s="719"/>
      <c r="AG558" s="719"/>
      <c r="AH558" s="719"/>
      <c r="AI558" s="719"/>
      <c r="AJ558" s="719"/>
      <c r="AK558" s="719"/>
      <c r="AL558" s="719"/>
      <c r="AM558" s="719"/>
      <c r="AN558" s="719"/>
      <c r="AO558" s="719"/>
      <c r="AP558" s="719"/>
      <c r="AQ558" s="719"/>
      <c r="AR558" s="719"/>
      <c r="AS558" s="719"/>
      <c r="AT558" s="719"/>
      <c r="AU558" s="719"/>
      <c r="AV558" s="719"/>
      <c r="AW558" s="719"/>
      <c r="AX558" s="719"/>
      <c r="AY558" s="719"/>
      <c r="AZ558" s="719"/>
      <c r="BA558" s="719"/>
      <c r="BB558" s="719"/>
      <c r="BC558" s="719"/>
      <c r="BD558" s="719"/>
      <c r="BE558" s="719"/>
      <c r="BF558" s="719"/>
      <c r="BG558" s="719"/>
      <c r="BH558" s="719"/>
      <c r="BI558" s="719"/>
      <c r="BJ558" s="719"/>
    </row>
    <row r="559" spans="2:62" ht="15.75" customHeight="1">
      <c r="B559" s="497"/>
      <c r="C559" s="811"/>
      <c r="D559" s="811"/>
      <c r="E559" s="811"/>
      <c r="F559" s="811"/>
      <c r="G559" s="811"/>
      <c r="H559" s="811"/>
      <c r="I559" s="811"/>
      <c r="J559" s="811"/>
      <c r="K559" s="811"/>
      <c r="L559" s="811"/>
      <c r="M559" s="811"/>
      <c r="N559" s="811"/>
      <c r="O559" s="811"/>
      <c r="P559" s="878"/>
      <c r="Q559" s="874"/>
      <c r="R559" s="811"/>
      <c r="S559" s="874"/>
      <c r="T559" s="811"/>
      <c r="U559" s="811"/>
      <c r="V559" s="811"/>
      <c r="W559" s="811"/>
      <c r="X559" s="811"/>
      <c r="Y559" s="719"/>
      <c r="Z559" s="719"/>
      <c r="AA559" s="719"/>
      <c r="AB559" s="719"/>
      <c r="AC559" s="719"/>
      <c r="AD559" s="719"/>
      <c r="AE559" s="719"/>
      <c r="AF559" s="719"/>
      <c r="AG559" s="719"/>
      <c r="AH559" s="719"/>
      <c r="AI559" s="719"/>
      <c r="AJ559" s="719"/>
      <c r="AK559" s="719"/>
      <c r="AL559" s="719"/>
      <c r="AM559" s="719"/>
      <c r="AN559" s="719"/>
      <c r="AO559" s="719"/>
      <c r="AP559" s="719"/>
      <c r="AQ559" s="719"/>
      <c r="AR559" s="719"/>
      <c r="AS559" s="719"/>
      <c r="AT559" s="719"/>
      <c r="AU559" s="719"/>
      <c r="AV559" s="719"/>
      <c r="AW559" s="719"/>
      <c r="AX559" s="719"/>
      <c r="AY559" s="719"/>
      <c r="AZ559" s="719"/>
      <c r="BA559" s="719"/>
      <c r="BB559" s="719"/>
      <c r="BC559" s="719"/>
      <c r="BD559" s="719"/>
      <c r="BE559" s="719"/>
      <c r="BF559" s="719"/>
      <c r="BG559" s="719"/>
      <c r="BH559" s="719"/>
      <c r="BI559" s="719"/>
      <c r="BJ559" s="719"/>
    </row>
    <row r="560" spans="2:62" ht="15.75" customHeight="1">
      <c r="B560" s="497"/>
      <c r="C560" s="811"/>
      <c r="D560" s="811"/>
      <c r="E560" s="811"/>
      <c r="F560" s="811"/>
      <c r="G560" s="811"/>
      <c r="H560" s="811"/>
      <c r="I560" s="811"/>
      <c r="J560" s="811"/>
      <c r="K560" s="811"/>
      <c r="L560" s="811"/>
      <c r="M560" s="811"/>
      <c r="N560" s="811"/>
      <c r="O560" s="811"/>
      <c r="P560" s="878"/>
      <c r="Q560" s="874"/>
      <c r="R560" s="811"/>
      <c r="S560" s="874"/>
      <c r="T560" s="811"/>
      <c r="U560" s="811"/>
      <c r="V560" s="811"/>
      <c r="W560" s="811"/>
      <c r="X560" s="811"/>
      <c r="Y560" s="719"/>
      <c r="Z560" s="719"/>
      <c r="AA560" s="719"/>
      <c r="AB560" s="719"/>
      <c r="AC560" s="719"/>
      <c r="AD560" s="719"/>
      <c r="AE560" s="719"/>
      <c r="AF560" s="719"/>
      <c r="AG560" s="719"/>
      <c r="AH560" s="719"/>
      <c r="AI560" s="719"/>
      <c r="AJ560" s="719"/>
      <c r="AK560" s="719"/>
      <c r="AL560" s="719"/>
      <c r="AM560" s="719"/>
      <c r="AN560" s="719"/>
      <c r="AO560" s="719"/>
      <c r="AP560" s="719"/>
      <c r="AQ560" s="719"/>
      <c r="AR560" s="719"/>
      <c r="AS560" s="719"/>
      <c r="AT560" s="719"/>
      <c r="AU560" s="719"/>
      <c r="AV560" s="719"/>
      <c r="AW560" s="719"/>
      <c r="AX560" s="719"/>
      <c r="AY560" s="719"/>
      <c r="AZ560" s="719"/>
      <c r="BA560" s="719"/>
      <c r="BB560" s="719"/>
      <c r="BC560" s="719"/>
      <c r="BD560" s="719"/>
      <c r="BE560" s="719"/>
      <c r="BF560" s="719"/>
      <c r="BG560" s="719"/>
      <c r="BH560" s="719"/>
      <c r="BI560" s="719"/>
      <c r="BJ560" s="719"/>
    </row>
    <row r="561" spans="2:62" ht="15.75" customHeight="1">
      <c r="B561" s="497"/>
      <c r="C561" s="873"/>
      <c r="D561" s="873"/>
      <c r="E561" s="811"/>
      <c r="F561" s="811"/>
      <c r="G561" s="873"/>
      <c r="H561" s="811"/>
      <c r="I561" s="811"/>
      <c r="J561" s="811"/>
      <c r="K561" s="811"/>
      <c r="L561" s="811"/>
      <c r="M561" s="811"/>
      <c r="N561" s="811"/>
      <c r="O561" s="811"/>
      <c r="P561" s="880"/>
      <c r="Q561" s="876"/>
      <c r="R561" s="811"/>
      <c r="S561" s="876"/>
      <c r="T561" s="811"/>
      <c r="U561" s="811"/>
      <c r="V561" s="811"/>
      <c r="W561" s="811"/>
      <c r="X561" s="811"/>
      <c r="Y561" s="719"/>
      <c r="Z561" s="719"/>
      <c r="AA561" s="719"/>
      <c r="AB561" s="719"/>
      <c r="AC561" s="719"/>
      <c r="AD561" s="719"/>
      <c r="AE561" s="719"/>
      <c r="AF561" s="719"/>
      <c r="AG561" s="719"/>
      <c r="AH561" s="719"/>
      <c r="AI561" s="719"/>
      <c r="AJ561" s="719"/>
      <c r="AK561" s="719"/>
      <c r="AL561" s="719"/>
      <c r="AM561" s="719"/>
      <c r="AN561" s="719"/>
      <c r="AO561" s="719"/>
      <c r="AP561" s="719"/>
      <c r="AQ561" s="719"/>
      <c r="AR561" s="719"/>
      <c r="AS561" s="719"/>
      <c r="AT561" s="719"/>
      <c r="AU561" s="719"/>
      <c r="AV561" s="719"/>
      <c r="AW561" s="719"/>
      <c r="AX561" s="719"/>
      <c r="AY561" s="719"/>
      <c r="AZ561" s="719"/>
      <c r="BA561" s="719"/>
      <c r="BB561" s="719"/>
      <c r="BC561" s="719"/>
      <c r="BD561" s="719"/>
      <c r="BE561" s="719"/>
      <c r="BF561" s="719"/>
      <c r="BG561" s="719"/>
      <c r="BH561" s="719"/>
      <c r="BI561" s="719"/>
      <c r="BJ561" s="719"/>
    </row>
    <row r="562" spans="2:62" ht="15.75" customHeight="1">
      <c r="B562" s="497"/>
      <c r="C562" s="811"/>
      <c r="D562" s="811"/>
      <c r="E562" s="811"/>
      <c r="F562" s="811"/>
      <c r="G562" s="811"/>
      <c r="H562" s="811"/>
      <c r="I562" s="811"/>
      <c r="J562" s="811"/>
      <c r="K562" s="811"/>
      <c r="L562" s="811"/>
      <c r="M562" s="811"/>
      <c r="N562" s="811"/>
      <c r="O562" s="811"/>
      <c r="P562" s="880"/>
      <c r="Q562" s="880"/>
      <c r="R562" s="811"/>
      <c r="S562" s="811"/>
      <c r="T562" s="811"/>
      <c r="U562" s="811"/>
      <c r="V562" s="811"/>
      <c r="W562" s="811"/>
      <c r="X562" s="811"/>
      <c r="Y562" s="719"/>
      <c r="Z562" s="719"/>
      <c r="AA562" s="719"/>
      <c r="AB562" s="719"/>
      <c r="AC562" s="719"/>
      <c r="AD562" s="719"/>
      <c r="AE562" s="719"/>
      <c r="AF562" s="719"/>
      <c r="AG562" s="719"/>
      <c r="AH562" s="719"/>
      <c r="AI562" s="719"/>
      <c r="AJ562" s="719"/>
      <c r="AK562" s="719"/>
      <c r="AL562" s="719"/>
      <c r="AM562" s="719"/>
      <c r="AN562" s="719"/>
      <c r="AO562" s="719"/>
      <c r="AP562" s="719"/>
      <c r="AQ562" s="719"/>
      <c r="AR562" s="719"/>
      <c r="AS562" s="719"/>
      <c r="AT562" s="719"/>
      <c r="AU562" s="719"/>
      <c r="AV562" s="719"/>
      <c r="AW562" s="719"/>
      <c r="AX562" s="719"/>
      <c r="AY562" s="719"/>
      <c r="AZ562" s="719"/>
      <c r="BA562" s="719"/>
      <c r="BB562" s="719"/>
      <c r="BC562" s="719"/>
      <c r="BD562" s="719"/>
      <c r="BE562" s="719"/>
      <c r="BF562" s="719"/>
      <c r="BG562" s="719"/>
      <c r="BH562" s="719"/>
      <c r="BI562" s="719"/>
      <c r="BJ562" s="719"/>
    </row>
    <row r="563" spans="2:62" ht="15.75" customHeight="1">
      <c r="B563" s="497"/>
      <c r="C563" s="811"/>
      <c r="D563" s="811"/>
      <c r="E563" s="811"/>
      <c r="F563" s="811"/>
      <c r="G563" s="811"/>
      <c r="H563" s="811"/>
      <c r="I563" s="811"/>
      <c r="J563" s="811"/>
      <c r="K563" s="811"/>
      <c r="L563" s="811"/>
      <c r="M563" s="811"/>
      <c r="N563" s="811"/>
      <c r="O563" s="811"/>
      <c r="P563" s="878"/>
      <c r="Q563" s="874"/>
      <c r="R563" s="811"/>
      <c r="S563" s="874"/>
      <c r="T563" s="811"/>
      <c r="U563" s="811"/>
      <c r="V563" s="811"/>
      <c r="W563" s="811"/>
      <c r="X563" s="811"/>
      <c r="Y563" s="719"/>
      <c r="Z563" s="719"/>
      <c r="AA563" s="719"/>
      <c r="AB563" s="719"/>
      <c r="AC563" s="719"/>
      <c r="AD563" s="719"/>
      <c r="AE563" s="719"/>
      <c r="AF563" s="719"/>
      <c r="AG563" s="719"/>
      <c r="AH563" s="719"/>
      <c r="AI563" s="719"/>
      <c r="AJ563" s="719"/>
      <c r="AK563" s="719"/>
      <c r="AL563" s="719"/>
      <c r="AM563" s="719"/>
      <c r="AN563" s="719"/>
      <c r="AO563" s="719"/>
      <c r="AP563" s="719"/>
      <c r="AQ563" s="719"/>
      <c r="AR563" s="719"/>
      <c r="AS563" s="719"/>
      <c r="AT563" s="719"/>
      <c r="AU563" s="719"/>
      <c r="AV563" s="719"/>
      <c r="AW563" s="719"/>
      <c r="AX563" s="719"/>
      <c r="AY563" s="719"/>
      <c r="AZ563" s="719"/>
      <c r="BA563" s="719"/>
      <c r="BB563" s="719"/>
      <c r="BC563" s="719"/>
      <c r="BD563" s="719"/>
      <c r="BE563" s="719"/>
      <c r="BF563" s="719"/>
      <c r="BG563" s="719"/>
      <c r="BH563" s="719"/>
      <c r="BI563" s="719"/>
      <c r="BJ563" s="719"/>
    </row>
    <row r="564" spans="2:62" ht="15.75" customHeight="1">
      <c r="B564" s="497"/>
      <c r="C564" s="811"/>
      <c r="D564" s="811"/>
      <c r="E564" s="811"/>
      <c r="F564" s="811"/>
      <c r="G564" s="811"/>
      <c r="H564" s="811"/>
      <c r="I564" s="811"/>
      <c r="J564" s="811"/>
      <c r="K564" s="811"/>
      <c r="L564" s="811"/>
      <c r="M564" s="811"/>
      <c r="N564" s="811"/>
      <c r="O564" s="811"/>
      <c r="P564" s="878"/>
      <c r="Q564" s="874"/>
      <c r="R564" s="811"/>
      <c r="S564" s="874"/>
      <c r="T564" s="811"/>
      <c r="U564" s="811"/>
      <c r="V564" s="811"/>
      <c r="W564" s="811"/>
      <c r="X564" s="811"/>
      <c r="Y564" s="719"/>
      <c r="Z564" s="719"/>
      <c r="AA564" s="719"/>
      <c r="AB564" s="719"/>
      <c r="AC564" s="719"/>
      <c r="AD564" s="719"/>
      <c r="AE564" s="719"/>
      <c r="AF564" s="719"/>
      <c r="AG564" s="719"/>
      <c r="AH564" s="719"/>
      <c r="AI564" s="719"/>
      <c r="AJ564" s="719"/>
      <c r="AK564" s="719"/>
      <c r="AL564" s="719"/>
      <c r="AM564" s="719"/>
      <c r="AN564" s="719"/>
      <c r="AO564" s="719"/>
      <c r="AP564" s="719"/>
      <c r="AQ564" s="719"/>
      <c r="AR564" s="719"/>
      <c r="AS564" s="719"/>
      <c r="AT564" s="719"/>
      <c r="AU564" s="719"/>
      <c r="AV564" s="719"/>
      <c r="AW564" s="719"/>
      <c r="AX564" s="719"/>
      <c r="AY564" s="719"/>
      <c r="AZ564" s="719"/>
      <c r="BA564" s="719"/>
      <c r="BB564" s="719"/>
      <c r="BC564" s="719"/>
      <c r="BD564" s="719"/>
      <c r="BE564" s="719"/>
      <c r="BF564" s="719"/>
      <c r="BG564" s="719"/>
      <c r="BH564" s="719"/>
      <c r="BI564" s="719"/>
      <c r="BJ564" s="719"/>
    </row>
    <row r="565" spans="2:62" ht="15.75" customHeight="1">
      <c r="B565" s="497"/>
      <c r="C565" s="873"/>
      <c r="D565" s="811"/>
      <c r="E565" s="811"/>
      <c r="F565" s="811"/>
      <c r="G565" s="811"/>
      <c r="H565" s="811"/>
      <c r="I565" s="811"/>
      <c r="J565" s="811"/>
      <c r="K565" s="811"/>
      <c r="L565" s="811"/>
      <c r="M565" s="811"/>
      <c r="N565" s="811"/>
      <c r="O565" s="811"/>
      <c r="P565" s="880"/>
      <c r="Q565" s="876"/>
      <c r="R565" s="811"/>
      <c r="S565" s="876"/>
      <c r="T565" s="811"/>
      <c r="U565" s="811"/>
      <c r="V565" s="811"/>
      <c r="W565" s="811"/>
      <c r="X565" s="811"/>
      <c r="Y565" s="719"/>
      <c r="Z565" s="719"/>
      <c r="AA565" s="719"/>
      <c r="AB565" s="719"/>
      <c r="AC565" s="719"/>
      <c r="AD565" s="719"/>
      <c r="AE565" s="719"/>
      <c r="AF565" s="719"/>
      <c r="AG565" s="719"/>
      <c r="AH565" s="719"/>
      <c r="AI565" s="719"/>
      <c r="AJ565" s="719"/>
      <c r="AK565" s="719"/>
      <c r="AL565" s="719"/>
      <c r="AM565" s="719"/>
      <c r="AN565" s="719"/>
      <c r="AO565" s="719"/>
      <c r="AP565" s="719"/>
      <c r="AQ565" s="719"/>
      <c r="AR565" s="719"/>
      <c r="AS565" s="719"/>
      <c r="AT565" s="719"/>
      <c r="AU565" s="719"/>
      <c r="AV565" s="719"/>
      <c r="AW565" s="719"/>
      <c r="AX565" s="719"/>
      <c r="AY565" s="719"/>
      <c r="AZ565" s="719"/>
      <c r="BA565" s="719"/>
      <c r="BB565" s="719"/>
      <c r="BC565" s="719"/>
      <c r="BD565" s="719"/>
      <c r="BE565" s="719"/>
      <c r="BF565" s="719"/>
      <c r="BG565" s="719"/>
      <c r="BH565" s="719"/>
      <c r="BI565" s="719"/>
      <c r="BJ565" s="719"/>
    </row>
    <row r="566" spans="2:62" ht="15.75" customHeight="1">
      <c r="B566" s="497"/>
      <c r="C566" s="811"/>
      <c r="D566" s="811"/>
      <c r="E566" s="811"/>
      <c r="F566" s="811"/>
      <c r="G566" s="811"/>
      <c r="H566" s="811"/>
      <c r="I566" s="811"/>
      <c r="J566" s="811"/>
      <c r="K566" s="811"/>
      <c r="L566" s="811"/>
      <c r="M566" s="811"/>
      <c r="N566" s="811"/>
      <c r="O566" s="811"/>
      <c r="P566" s="880"/>
      <c r="Q566" s="880"/>
      <c r="R566" s="811"/>
      <c r="S566" s="811"/>
      <c r="T566" s="811"/>
      <c r="U566" s="811"/>
      <c r="V566" s="811"/>
      <c r="W566" s="811"/>
      <c r="X566" s="811"/>
      <c r="Y566" s="719"/>
      <c r="Z566" s="719"/>
      <c r="AA566" s="719"/>
      <c r="AB566" s="719"/>
      <c r="AC566" s="719"/>
      <c r="AD566" s="719"/>
      <c r="AE566" s="719"/>
      <c r="AF566" s="719"/>
      <c r="AG566" s="719"/>
      <c r="AH566" s="719"/>
      <c r="AI566" s="719"/>
      <c r="AJ566" s="719"/>
      <c r="AK566" s="719"/>
      <c r="AL566" s="719"/>
      <c r="AM566" s="719"/>
      <c r="AN566" s="719"/>
      <c r="AO566" s="719"/>
      <c r="AP566" s="719"/>
      <c r="AQ566" s="719"/>
      <c r="AR566" s="719"/>
      <c r="AS566" s="719"/>
      <c r="AT566" s="719"/>
      <c r="AU566" s="719"/>
      <c r="AV566" s="719"/>
      <c r="AW566" s="719"/>
      <c r="AX566" s="719"/>
      <c r="AY566" s="719"/>
      <c r="AZ566" s="719"/>
      <c r="BA566" s="719"/>
      <c r="BB566" s="719"/>
      <c r="BC566" s="719"/>
      <c r="BD566" s="719"/>
      <c r="BE566" s="719"/>
      <c r="BF566" s="719"/>
      <c r="BG566" s="719"/>
      <c r="BH566" s="719"/>
      <c r="BI566" s="719"/>
      <c r="BJ566" s="719"/>
    </row>
    <row r="567" spans="2:62" ht="15.75" customHeight="1">
      <c r="B567" s="497"/>
      <c r="C567" s="811"/>
      <c r="D567" s="811"/>
      <c r="E567" s="811"/>
      <c r="F567" s="811"/>
      <c r="G567" s="811"/>
      <c r="H567" s="811"/>
      <c r="I567" s="811"/>
      <c r="J567" s="811"/>
      <c r="K567" s="811"/>
      <c r="L567" s="811"/>
      <c r="M567" s="811"/>
      <c r="N567" s="811"/>
      <c r="O567" s="811"/>
      <c r="P567" s="878"/>
      <c r="Q567" s="874"/>
      <c r="R567" s="811"/>
      <c r="S567" s="874"/>
      <c r="T567" s="811"/>
      <c r="U567" s="811"/>
      <c r="V567" s="811"/>
      <c r="W567" s="811"/>
      <c r="X567" s="811"/>
      <c r="Y567" s="719"/>
      <c r="Z567" s="719"/>
      <c r="AA567" s="719"/>
      <c r="AB567" s="719"/>
      <c r="AC567" s="719"/>
      <c r="AD567" s="719"/>
      <c r="AE567" s="719"/>
      <c r="AF567" s="719"/>
      <c r="AG567" s="719"/>
      <c r="AH567" s="719"/>
      <c r="AI567" s="719"/>
      <c r="AJ567" s="719"/>
      <c r="AK567" s="719"/>
      <c r="AL567" s="719"/>
      <c r="AM567" s="719"/>
      <c r="AN567" s="719"/>
      <c r="AO567" s="719"/>
      <c r="AP567" s="719"/>
      <c r="AQ567" s="719"/>
      <c r="AR567" s="719"/>
      <c r="AS567" s="719"/>
      <c r="AT567" s="719"/>
      <c r="AU567" s="719"/>
      <c r="AV567" s="719"/>
      <c r="AW567" s="719"/>
      <c r="AX567" s="719"/>
      <c r="AY567" s="719"/>
      <c r="AZ567" s="719"/>
      <c r="BA567" s="719"/>
      <c r="BB567" s="719"/>
      <c r="BC567" s="719"/>
      <c r="BD567" s="719"/>
      <c r="BE567" s="719"/>
      <c r="BF567" s="719"/>
      <c r="BG567" s="719"/>
      <c r="BH567" s="719"/>
      <c r="BI567" s="719"/>
      <c r="BJ567" s="719"/>
    </row>
    <row r="568" spans="2:62" ht="15.75" customHeight="1">
      <c r="B568" s="497"/>
      <c r="C568" s="873"/>
      <c r="D568" s="873"/>
      <c r="E568" s="811"/>
      <c r="F568" s="811"/>
      <c r="G568" s="873"/>
      <c r="H568" s="811"/>
      <c r="I568" s="811"/>
      <c r="J568" s="811"/>
      <c r="K568" s="811"/>
      <c r="L568" s="811"/>
      <c r="M568" s="811"/>
      <c r="N568" s="811"/>
      <c r="O568" s="811"/>
      <c r="P568" s="880"/>
      <c r="Q568" s="876"/>
      <c r="R568" s="811"/>
      <c r="S568" s="876"/>
      <c r="T568" s="811"/>
      <c r="U568" s="811"/>
      <c r="V568" s="811"/>
      <c r="W568" s="811"/>
      <c r="X568" s="811"/>
      <c r="Y568" s="719"/>
      <c r="Z568" s="719"/>
      <c r="AA568" s="719"/>
      <c r="AB568" s="719"/>
      <c r="AC568" s="719"/>
      <c r="AD568" s="719"/>
      <c r="AE568" s="719"/>
      <c r="AF568" s="719"/>
      <c r="AG568" s="719"/>
      <c r="AH568" s="719"/>
      <c r="AI568" s="719"/>
      <c r="AJ568" s="719"/>
      <c r="AK568" s="719"/>
      <c r="AL568" s="719"/>
      <c r="AM568" s="719"/>
      <c r="AN568" s="719"/>
      <c r="AO568" s="719"/>
      <c r="AP568" s="719"/>
      <c r="AQ568" s="719"/>
      <c r="AR568" s="719"/>
      <c r="AS568" s="719"/>
      <c r="AT568" s="719"/>
      <c r="AU568" s="719"/>
      <c r="AV568" s="719"/>
      <c r="AW568" s="719"/>
      <c r="AX568" s="719"/>
      <c r="AY568" s="719"/>
      <c r="AZ568" s="719"/>
      <c r="BA568" s="719"/>
      <c r="BB568" s="719"/>
      <c r="BC568" s="719"/>
      <c r="BD568" s="719"/>
      <c r="BE568" s="719"/>
      <c r="BF568" s="719"/>
      <c r="BG568" s="719"/>
      <c r="BH568" s="719"/>
      <c r="BI568" s="719"/>
      <c r="BJ568" s="719"/>
    </row>
    <row r="569" spans="2:62" ht="15.75" customHeight="1">
      <c r="B569" s="497"/>
      <c r="C569" s="811"/>
      <c r="D569" s="811"/>
      <c r="E569" s="811"/>
      <c r="F569" s="811"/>
      <c r="G569" s="811"/>
      <c r="H569" s="811"/>
      <c r="I569" s="811"/>
      <c r="J569" s="811"/>
      <c r="K569" s="811"/>
      <c r="L569" s="811"/>
      <c r="M569" s="811"/>
      <c r="N569" s="811"/>
      <c r="O569" s="811"/>
      <c r="P569" s="880"/>
      <c r="Q569" s="880"/>
      <c r="R569" s="811"/>
      <c r="S569" s="811"/>
      <c r="T569" s="811"/>
      <c r="U569" s="811"/>
      <c r="V569" s="811"/>
      <c r="W569" s="811"/>
      <c r="X569" s="811"/>
      <c r="Y569" s="719"/>
      <c r="Z569" s="719"/>
      <c r="AA569" s="719"/>
      <c r="AB569" s="719"/>
      <c r="AC569" s="719"/>
      <c r="AD569" s="719"/>
      <c r="AE569" s="719"/>
      <c r="AF569" s="719"/>
      <c r="AG569" s="719"/>
      <c r="AH569" s="719"/>
      <c r="AI569" s="719"/>
      <c r="AJ569" s="719"/>
      <c r="AK569" s="719"/>
      <c r="AL569" s="719"/>
      <c r="AM569" s="719"/>
      <c r="AN569" s="719"/>
      <c r="AO569" s="719"/>
      <c r="AP569" s="719"/>
      <c r="AQ569" s="719"/>
      <c r="AR569" s="719"/>
      <c r="AS569" s="719"/>
      <c r="AT569" s="719"/>
      <c r="AU569" s="719"/>
      <c r="AV569" s="719"/>
      <c r="AW569" s="719"/>
      <c r="AX569" s="719"/>
      <c r="AY569" s="719"/>
      <c r="AZ569" s="719"/>
      <c r="BA569" s="719"/>
      <c r="BB569" s="719"/>
      <c r="BC569" s="719"/>
      <c r="BD569" s="719"/>
      <c r="BE569" s="719"/>
      <c r="BF569" s="719"/>
      <c r="BG569" s="719"/>
      <c r="BH569" s="719"/>
      <c r="BI569" s="719"/>
      <c r="BJ569" s="719"/>
    </row>
    <row r="570" spans="2:62" ht="15.75" customHeight="1">
      <c r="B570" s="497"/>
      <c r="C570" s="811"/>
      <c r="D570" s="811"/>
      <c r="E570" s="874"/>
      <c r="F570" s="878"/>
      <c r="G570" s="811"/>
      <c r="H570" s="874"/>
      <c r="I570" s="878"/>
      <c r="J570" s="878"/>
      <c r="K570" s="874"/>
      <c r="L570" s="878"/>
      <c r="M570" s="874"/>
      <c r="N570" s="878"/>
      <c r="O570" s="874"/>
      <c r="P570" s="878"/>
      <c r="Q570" s="874"/>
      <c r="R570" s="874"/>
      <c r="S570" s="811"/>
      <c r="T570" s="811"/>
      <c r="U570" s="811"/>
      <c r="V570" s="811"/>
      <c r="W570" s="811"/>
      <c r="X570" s="811"/>
      <c r="Y570" s="719"/>
      <c r="Z570" s="719"/>
      <c r="AA570" s="719"/>
      <c r="AB570" s="719"/>
      <c r="AC570" s="719"/>
      <c r="AD570" s="719"/>
      <c r="AE570" s="719"/>
      <c r="AF570" s="719"/>
      <c r="AG570" s="719"/>
      <c r="AH570" s="719"/>
      <c r="AI570" s="719"/>
      <c r="AJ570" s="719"/>
      <c r="AK570" s="719"/>
      <c r="AL570" s="719"/>
      <c r="AM570" s="719"/>
      <c r="AN570" s="719"/>
      <c r="AO570" s="719"/>
      <c r="AP570" s="719"/>
      <c r="AQ570" s="719"/>
      <c r="AR570" s="719"/>
      <c r="AS570" s="719"/>
      <c r="AT570" s="719"/>
      <c r="AU570" s="719"/>
      <c r="AV570" s="719"/>
      <c r="AW570" s="719"/>
      <c r="AX570" s="719"/>
      <c r="AY570" s="719"/>
      <c r="AZ570" s="719"/>
      <c r="BA570" s="719"/>
      <c r="BB570" s="719"/>
      <c r="BC570" s="719"/>
      <c r="BD570" s="719"/>
      <c r="BE570" s="719"/>
      <c r="BF570" s="719"/>
      <c r="BG570" s="719"/>
      <c r="BH570" s="719"/>
      <c r="BI570" s="719"/>
      <c r="BJ570" s="719"/>
    </row>
    <row r="571" spans="2:62" ht="15.75" customHeight="1">
      <c r="B571" s="497"/>
      <c r="C571" s="873"/>
      <c r="D571" s="873"/>
      <c r="E571" s="876"/>
      <c r="F571" s="880"/>
      <c r="G571" s="873"/>
      <c r="H571" s="876"/>
      <c r="I571" s="880"/>
      <c r="J571" s="880"/>
      <c r="K571" s="876"/>
      <c r="L571" s="880"/>
      <c r="M571" s="876"/>
      <c r="N571" s="880"/>
      <c r="O571" s="876"/>
      <c r="P571" s="880"/>
      <c r="Q571" s="876"/>
      <c r="R571" s="876"/>
      <c r="S571" s="876"/>
      <c r="T571" s="811"/>
      <c r="U571" s="811"/>
      <c r="V571" s="811"/>
      <c r="W571" s="811"/>
      <c r="X571" s="811"/>
      <c r="Y571" s="719"/>
      <c r="Z571" s="719"/>
      <c r="AA571" s="719"/>
      <c r="AB571" s="719"/>
      <c r="AC571" s="719"/>
      <c r="AD571" s="719"/>
      <c r="AE571" s="719"/>
      <c r="AF571" s="719"/>
      <c r="AG571" s="719"/>
      <c r="AH571" s="719"/>
      <c r="AI571" s="719"/>
      <c r="AJ571" s="719"/>
      <c r="AK571" s="719"/>
      <c r="AL571" s="719"/>
      <c r="AM571" s="719"/>
      <c r="AN571" s="719"/>
      <c r="AO571" s="719"/>
      <c r="AP571" s="719"/>
      <c r="AQ571" s="719"/>
      <c r="AR571" s="719"/>
      <c r="AS571" s="719"/>
      <c r="AT571" s="719"/>
      <c r="AU571" s="719"/>
      <c r="AV571" s="719"/>
      <c r="AW571" s="719"/>
      <c r="AX571" s="719"/>
      <c r="AY571" s="719"/>
      <c r="AZ571" s="719"/>
      <c r="BA571" s="719"/>
      <c r="BB571" s="719"/>
      <c r="BC571" s="719"/>
      <c r="BD571" s="719"/>
      <c r="BE571" s="719"/>
      <c r="BF571" s="719"/>
      <c r="BG571" s="719"/>
      <c r="BH571" s="719"/>
      <c r="BI571" s="719"/>
      <c r="BJ571" s="719"/>
    </row>
    <row r="572" spans="2:62" ht="15.75" customHeight="1">
      <c r="B572" s="497"/>
      <c r="C572" s="811"/>
      <c r="D572" s="811"/>
      <c r="E572" s="874"/>
      <c r="F572" s="878"/>
      <c r="G572" s="811"/>
      <c r="H572" s="874"/>
      <c r="I572" s="878"/>
      <c r="J572" s="874"/>
      <c r="K572" s="878"/>
      <c r="L572" s="874"/>
      <c r="M572" s="811"/>
      <c r="N572" s="874"/>
      <c r="O572" s="878"/>
      <c r="P572" s="876"/>
      <c r="Q572" s="880"/>
      <c r="R572" s="880"/>
      <c r="S572" s="874"/>
      <c r="T572" s="811"/>
      <c r="U572" s="811"/>
      <c r="V572" s="811"/>
      <c r="W572" s="811"/>
      <c r="X572" s="811"/>
      <c r="Y572" s="719"/>
      <c r="Z572" s="719"/>
      <c r="AA572" s="719"/>
      <c r="AB572" s="719"/>
      <c r="AC572" s="719"/>
      <c r="AD572" s="719"/>
      <c r="AE572" s="719"/>
      <c r="AF572" s="719"/>
      <c r="AG572" s="719"/>
      <c r="AH572" s="719"/>
      <c r="AI572" s="719"/>
      <c r="AJ572" s="719"/>
      <c r="AK572" s="719"/>
      <c r="AL572" s="719"/>
      <c r="AM572" s="719"/>
      <c r="AN572" s="719"/>
      <c r="AO572" s="719"/>
      <c r="AP572" s="719"/>
      <c r="AQ572" s="719"/>
      <c r="AR572" s="719"/>
      <c r="AS572" s="719"/>
      <c r="AT572" s="719"/>
      <c r="AU572" s="719"/>
      <c r="AV572" s="719"/>
      <c r="AW572" s="719"/>
      <c r="AX572" s="719"/>
      <c r="AY572" s="719"/>
      <c r="AZ572" s="719"/>
      <c r="BA572" s="719"/>
      <c r="BB572" s="719"/>
      <c r="BC572" s="719"/>
      <c r="BD572" s="719"/>
      <c r="BE572" s="719"/>
      <c r="BF572" s="719"/>
      <c r="BG572" s="719"/>
      <c r="BH572" s="719"/>
      <c r="BI572" s="719"/>
      <c r="BJ572" s="719"/>
    </row>
    <row r="573" spans="2:62" ht="15.75" customHeight="1">
      <c r="B573" s="497"/>
      <c r="C573" s="811"/>
      <c r="D573" s="811"/>
      <c r="E573" s="874"/>
      <c r="F573" s="878"/>
      <c r="G573" s="811"/>
      <c r="H573" s="874"/>
      <c r="I573" s="878"/>
      <c r="J573" s="874"/>
      <c r="K573" s="878"/>
      <c r="L573" s="874"/>
      <c r="M573" s="811"/>
      <c r="N573" s="874"/>
      <c r="O573" s="878"/>
      <c r="P573" s="874"/>
      <c r="Q573" s="811"/>
      <c r="R573" s="878"/>
      <c r="S573" s="874"/>
      <c r="T573" s="811"/>
      <c r="U573" s="811"/>
      <c r="V573" s="811"/>
      <c r="W573" s="811"/>
      <c r="X573" s="811"/>
      <c r="Y573" s="719"/>
      <c r="Z573" s="719"/>
      <c r="AA573" s="719"/>
      <c r="AB573" s="719"/>
      <c r="AC573" s="719"/>
      <c r="AD573" s="719"/>
      <c r="AE573" s="719"/>
      <c r="AF573" s="719"/>
      <c r="AG573" s="719"/>
      <c r="AH573" s="719"/>
      <c r="AI573" s="719"/>
      <c r="AJ573" s="719"/>
      <c r="AK573" s="719"/>
      <c r="AL573" s="719"/>
      <c r="AM573" s="719"/>
      <c r="AN573" s="719"/>
      <c r="AO573" s="719"/>
      <c r="AP573" s="719"/>
      <c r="AQ573" s="719"/>
      <c r="AR573" s="719"/>
      <c r="AS573" s="719"/>
      <c r="AT573" s="719"/>
      <c r="AU573" s="719"/>
      <c r="AV573" s="719"/>
      <c r="AW573" s="719"/>
      <c r="AX573" s="719"/>
      <c r="AY573" s="719"/>
      <c r="AZ573" s="719"/>
      <c r="BA573" s="719"/>
      <c r="BB573" s="719"/>
      <c r="BC573" s="719"/>
      <c r="BD573" s="719"/>
      <c r="BE573" s="719"/>
      <c r="BF573" s="719"/>
      <c r="BG573" s="719"/>
      <c r="BH573" s="719"/>
      <c r="BI573" s="719"/>
      <c r="BJ573" s="719"/>
    </row>
    <row r="574" spans="2:62" ht="15.75" customHeight="1">
      <c r="B574" s="497"/>
      <c r="C574" s="811"/>
      <c r="D574" s="811"/>
      <c r="E574" s="811"/>
      <c r="F574" s="811"/>
      <c r="G574" s="811"/>
      <c r="H574" s="811"/>
      <c r="I574" s="811"/>
      <c r="J574" s="811"/>
      <c r="K574" s="811"/>
      <c r="L574" s="811"/>
      <c r="M574" s="811"/>
      <c r="N574" s="811"/>
      <c r="O574" s="811"/>
      <c r="P574" s="811"/>
      <c r="Q574" s="811"/>
      <c r="R574" s="878"/>
      <c r="S574" s="874"/>
      <c r="T574" s="811"/>
      <c r="U574" s="811"/>
      <c r="V574" s="811"/>
      <c r="W574" s="811"/>
      <c r="X574" s="811"/>
      <c r="Y574" s="719"/>
      <c r="Z574" s="719"/>
      <c r="AA574" s="719"/>
      <c r="AB574" s="719"/>
      <c r="AC574" s="719"/>
      <c r="AD574" s="719"/>
      <c r="AE574" s="719"/>
      <c r="AF574" s="719"/>
      <c r="AG574" s="719"/>
      <c r="AH574" s="719"/>
      <c r="AI574" s="719"/>
      <c r="AJ574" s="719"/>
      <c r="AK574" s="719"/>
      <c r="AL574" s="719"/>
      <c r="AM574" s="719"/>
      <c r="AN574" s="719"/>
      <c r="AO574" s="719"/>
      <c r="AP574" s="719"/>
      <c r="AQ574" s="719"/>
      <c r="AR574" s="719"/>
      <c r="AS574" s="719"/>
      <c r="AT574" s="719"/>
      <c r="AU574" s="719"/>
      <c r="AV574" s="719"/>
      <c r="AW574" s="719"/>
      <c r="AX574" s="719"/>
      <c r="AY574" s="719"/>
      <c r="AZ574" s="719"/>
      <c r="BA574" s="719"/>
      <c r="BB574" s="719"/>
      <c r="BC574" s="719"/>
      <c r="BD574" s="719"/>
      <c r="BE574" s="719"/>
      <c r="BF574" s="719"/>
      <c r="BG574" s="719"/>
      <c r="BH574" s="719"/>
      <c r="BI574" s="719"/>
      <c r="BJ574" s="719"/>
    </row>
    <row r="575" spans="2:62" ht="15.75" customHeight="1">
      <c r="B575" s="497"/>
      <c r="C575" s="811"/>
      <c r="D575" s="811"/>
      <c r="E575" s="874"/>
      <c r="F575" s="878"/>
      <c r="G575" s="811"/>
      <c r="H575" s="874"/>
      <c r="I575" s="878"/>
      <c r="J575" s="874"/>
      <c r="K575" s="878"/>
      <c r="L575" s="874"/>
      <c r="M575" s="811"/>
      <c r="N575" s="874"/>
      <c r="O575" s="878"/>
      <c r="P575" s="874"/>
      <c r="Q575" s="811"/>
      <c r="R575" s="878"/>
      <c r="S575" s="874"/>
      <c r="T575" s="811"/>
      <c r="U575" s="811"/>
      <c r="V575" s="811"/>
      <c r="W575" s="811"/>
      <c r="X575" s="811"/>
      <c r="Y575" s="719"/>
      <c r="Z575" s="719"/>
      <c r="AA575" s="719"/>
      <c r="AB575" s="719"/>
      <c r="AC575" s="719"/>
      <c r="AD575" s="719"/>
      <c r="AE575" s="719"/>
      <c r="AF575" s="719"/>
      <c r="AG575" s="719"/>
      <c r="AH575" s="719"/>
      <c r="AI575" s="719"/>
      <c r="AJ575" s="719"/>
      <c r="AK575" s="719"/>
      <c r="AL575" s="719"/>
      <c r="AM575" s="719"/>
      <c r="AN575" s="719"/>
      <c r="AO575" s="719"/>
      <c r="AP575" s="719"/>
      <c r="AQ575" s="719"/>
      <c r="AR575" s="719"/>
      <c r="AS575" s="719"/>
      <c r="AT575" s="719"/>
      <c r="AU575" s="719"/>
      <c r="AV575" s="719"/>
      <c r="AW575" s="719"/>
      <c r="AX575" s="719"/>
      <c r="AY575" s="719"/>
      <c r="AZ575" s="719"/>
      <c r="BA575" s="719"/>
      <c r="BB575" s="719"/>
      <c r="BC575" s="719"/>
      <c r="BD575" s="719"/>
      <c r="BE575" s="719"/>
      <c r="BF575" s="719"/>
      <c r="BG575" s="719"/>
      <c r="BH575" s="719"/>
      <c r="BI575" s="719"/>
      <c r="BJ575" s="719"/>
    </row>
    <row r="576" spans="2:62" ht="15.75" customHeight="1">
      <c r="B576" s="497"/>
      <c r="C576" s="811"/>
      <c r="D576" s="811"/>
      <c r="E576" s="874"/>
      <c r="F576" s="878"/>
      <c r="G576" s="811"/>
      <c r="H576" s="874"/>
      <c r="I576" s="878"/>
      <c r="J576" s="874"/>
      <c r="K576" s="878"/>
      <c r="L576" s="874"/>
      <c r="M576" s="811"/>
      <c r="N576" s="874"/>
      <c r="O576" s="878"/>
      <c r="P576" s="874"/>
      <c r="Q576" s="811"/>
      <c r="R576" s="878"/>
      <c r="S576" s="874"/>
      <c r="T576" s="811"/>
      <c r="U576" s="811"/>
      <c r="V576" s="811"/>
      <c r="W576" s="811"/>
      <c r="X576" s="811"/>
      <c r="Y576" s="719"/>
      <c r="Z576" s="719"/>
      <c r="AA576" s="719"/>
      <c r="AB576" s="719"/>
      <c r="AC576" s="719"/>
      <c r="AD576" s="719"/>
      <c r="AE576" s="719"/>
      <c r="AF576" s="719"/>
      <c r="AG576" s="719"/>
      <c r="AH576" s="719"/>
      <c r="AI576" s="719"/>
      <c r="AJ576" s="719"/>
      <c r="AK576" s="719"/>
      <c r="AL576" s="719"/>
      <c r="AM576" s="719"/>
      <c r="AN576" s="719"/>
      <c r="AO576" s="719"/>
      <c r="AP576" s="719"/>
      <c r="AQ576" s="719"/>
      <c r="AR576" s="719"/>
      <c r="AS576" s="719"/>
      <c r="AT576" s="719"/>
      <c r="AU576" s="719"/>
      <c r="AV576" s="719"/>
      <c r="AW576" s="719"/>
      <c r="AX576" s="719"/>
      <c r="AY576" s="719"/>
      <c r="AZ576" s="719"/>
      <c r="BA576" s="719"/>
      <c r="BB576" s="719"/>
      <c r="BC576" s="719"/>
      <c r="BD576" s="719"/>
      <c r="BE576" s="719"/>
      <c r="BF576" s="719"/>
      <c r="BG576" s="719"/>
      <c r="BH576" s="719"/>
      <c r="BI576" s="719"/>
      <c r="BJ576" s="719"/>
    </row>
    <row r="577" spans="2:62" ht="15.75" customHeight="1">
      <c r="B577" s="497"/>
      <c r="C577" s="811"/>
      <c r="D577" s="811"/>
      <c r="E577" s="874"/>
      <c r="F577" s="878"/>
      <c r="G577" s="811"/>
      <c r="H577" s="874"/>
      <c r="I577" s="878"/>
      <c r="J577" s="874"/>
      <c r="K577" s="878"/>
      <c r="L577" s="874"/>
      <c r="M577" s="811"/>
      <c r="N577" s="874"/>
      <c r="O577" s="878"/>
      <c r="P577" s="874"/>
      <c r="Q577" s="811"/>
      <c r="R577" s="878"/>
      <c r="S577" s="874"/>
      <c r="T577" s="811"/>
      <c r="U577" s="811"/>
      <c r="V577" s="811"/>
      <c r="W577" s="811"/>
      <c r="X577" s="811"/>
      <c r="Y577" s="719"/>
      <c r="Z577" s="719"/>
      <c r="AA577" s="719"/>
      <c r="AB577" s="719"/>
      <c r="AC577" s="719"/>
      <c r="AD577" s="719"/>
      <c r="AE577" s="719"/>
      <c r="AF577" s="719"/>
      <c r="AG577" s="719"/>
      <c r="AH577" s="719"/>
      <c r="AI577" s="719"/>
      <c r="AJ577" s="719"/>
      <c r="AK577" s="719"/>
      <c r="AL577" s="719"/>
      <c r="AM577" s="719"/>
      <c r="AN577" s="719"/>
      <c r="AO577" s="719"/>
      <c r="AP577" s="719"/>
      <c r="AQ577" s="719"/>
      <c r="AR577" s="719"/>
      <c r="AS577" s="719"/>
      <c r="AT577" s="719"/>
      <c r="AU577" s="719"/>
      <c r="AV577" s="719"/>
      <c r="AW577" s="719"/>
      <c r="AX577" s="719"/>
      <c r="AY577" s="719"/>
      <c r="AZ577" s="719"/>
      <c r="BA577" s="719"/>
      <c r="BB577" s="719"/>
      <c r="BC577" s="719"/>
      <c r="BD577" s="719"/>
      <c r="BE577" s="719"/>
      <c r="BF577" s="719"/>
      <c r="BG577" s="719"/>
      <c r="BH577" s="719"/>
      <c r="BI577" s="719"/>
      <c r="BJ577" s="719"/>
    </row>
    <row r="578" spans="2:62" ht="15.75" customHeight="1">
      <c r="B578" s="497"/>
      <c r="C578" s="811"/>
      <c r="D578" s="811"/>
      <c r="E578" s="874"/>
      <c r="F578" s="878"/>
      <c r="G578" s="811"/>
      <c r="H578" s="874"/>
      <c r="I578" s="878"/>
      <c r="J578" s="874"/>
      <c r="K578" s="878"/>
      <c r="L578" s="874"/>
      <c r="M578" s="811"/>
      <c r="N578" s="874"/>
      <c r="O578" s="878"/>
      <c r="P578" s="874"/>
      <c r="Q578" s="811"/>
      <c r="R578" s="878"/>
      <c r="S578" s="874"/>
      <c r="T578" s="811"/>
      <c r="U578" s="811"/>
      <c r="V578" s="811"/>
      <c r="W578" s="811"/>
      <c r="X578" s="811"/>
      <c r="Y578" s="719"/>
      <c r="Z578" s="719"/>
      <c r="AA578" s="719"/>
      <c r="AB578" s="719"/>
      <c r="AC578" s="719"/>
      <c r="AD578" s="719"/>
      <c r="AE578" s="719"/>
      <c r="AF578" s="719"/>
      <c r="AG578" s="719"/>
      <c r="AH578" s="719"/>
      <c r="AI578" s="719"/>
      <c r="AJ578" s="719"/>
      <c r="AK578" s="719"/>
      <c r="AL578" s="719"/>
      <c r="AM578" s="719"/>
      <c r="AN578" s="719"/>
      <c r="AO578" s="719"/>
      <c r="AP578" s="719"/>
      <c r="AQ578" s="719"/>
      <c r="AR578" s="719"/>
      <c r="AS578" s="719"/>
      <c r="AT578" s="719"/>
      <c r="AU578" s="719"/>
      <c r="AV578" s="719"/>
      <c r="AW578" s="719"/>
      <c r="AX578" s="719"/>
      <c r="AY578" s="719"/>
      <c r="AZ578" s="719"/>
      <c r="BA578" s="719"/>
      <c r="BB578" s="719"/>
      <c r="BC578" s="719"/>
      <c r="BD578" s="719"/>
      <c r="BE578" s="719"/>
      <c r="BF578" s="719"/>
      <c r="BG578" s="719"/>
      <c r="BH578" s="719"/>
      <c r="BI578" s="719"/>
      <c r="BJ578" s="719"/>
    </row>
    <row r="579" spans="2:62" ht="15.75" customHeight="1">
      <c r="B579" s="497"/>
      <c r="C579" s="811"/>
      <c r="D579" s="811"/>
      <c r="E579" s="874"/>
      <c r="F579" s="878"/>
      <c r="G579" s="811"/>
      <c r="H579" s="874"/>
      <c r="I579" s="878"/>
      <c r="J579" s="874"/>
      <c r="K579" s="878"/>
      <c r="L579" s="874"/>
      <c r="M579" s="811"/>
      <c r="N579" s="874"/>
      <c r="O579" s="878"/>
      <c r="P579" s="874"/>
      <c r="Q579" s="811"/>
      <c r="R579" s="878"/>
      <c r="S579" s="874"/>
      <c r="T579" s="811"/>
      <c r="U579" s="811"/>
      <c r="V579" s="811"/>
      <c r="W579" s="811"/>
      <c r="X579" s="811"/>
      <c r="Y579" s="719"/>
      <c r="Z579" s="719"/>
      <c r="AA579" s="719"/>
      <c r="AB579" s="719"/>
      <c r="AC579" s="719"/>
      <c r="AD579" s="719"/>
      <c r="AE579" s="719"/>
      <c r="AF579" s="719"/>
      <c r="AG579" s="719"/>
      <c r="AH579" s="719"/>
      <c r="AI579" s="719"/>
      <c r="AJ579" s="719"/>
      <c r="AK579" s="719"/>
      <c r="AL579" s="719"/>
      <c r="AM579" s="719"/>
      <c r="AN579" s="719"/>
      <c r="AO579" s="719"/>
      <c r="AP579" s="719"/>
      <c r="AQ579" s="719"/>
      <c r="AR579" s="719"/>
      <c r="AS579" s="719"/>
      <c r="AT579" s="719"/>
      <c r="AU579" s="719"/>
      <c r="AV579" s="719"/>
      <c r="AW579" s="719"/>
      <c r="AX579" s="719"/>
      <c r="AY579" s="719"/>
      <c r="AZ579" s="719"/>
      <c r="BA579" s="719"/>
      <c r="BB579" s="719"/>
      <c r="BC579" s="719"/>
      <c r="BD579" s="719"/>
      <c r="BE579" s="719"/>
      <c r="BF579" s="719"/>
      <c r="BG579" s="719"/>
      <c r="BH579" s="719"/>
      <c r="BI579" s="719"/>
      <c r="BJ579" s="719"/>
    </row>
    <row r="580" spans="2:62" ht="15.75" customHeight="1">
      <c r="B580" s="497"/>
      <c r="C580" s="811"/>
      <c r="D580" s="811"/>
      <c r="E580" s="874"/>
      <c r="F580" s="878"/>
      <c r="G580" s="811"/>
      <c r="H580" s="874"/>
      <c r="I580" s="878"/>
      <c r="J580" s="874"/>
      <c r="K580" s="878"/>
      <c r="L580" s="874"/>
      <c r="M580" s="811"/>
      <c r="N580" s="874"/>
      <c r="O580" s="878"/>
      <c r="P580" s="874"/>
      <c r="Q580" s="811"/>
      <c r="R580" s="878"/>
      <c r="S580" s="874"/>
      <c r="T580" s="811"/>
      <c r="U580" s="811"/>
      <c r="V580" s="811"/>
      <c r="W580" s="811"/>
      <c r="X580" s="811"/>
      <c r="Y580" s="719"/>
      <c r="Z580" s="719"/>
      <c r="AA580" s="719"/>
      <c r="AB580" s="719"/>
      <c r="AC580" s="719"/>
      <c r="AD580" s="719"/>
      <c r="AE580" s="719"/>
      <c r="AF580" s="719"/>
      <c r="AG580" s="719"/>
      <c r="AH580" s="719"/>
      <c r="AI580" s="719"/>
      <c r="AJ580" s="719"/>
      <c r="AK580" s="719"/>
      <c r="AL580" s="719"/>
      <c r="AM580" s="719"/>
      <c r="AN580" s="719"/>
      <c r="AO580" s="719"/>
      <c r="AP580" s="719"/>
      <c r="AQ580" s="719"/>
      <c r="AR580" s="719"/>
      <c r="AS580" s="719"/>
      <c r="AT580" s="719"/>
      <c r="AU580" s="719"/>
      <c r="AV580" s="719"/>
      <c r="AW580" s="719"/>
      <c r="AX580" s="719"/>
      <c r="AY580" s="719"/>
      <c r="AZ580" s="719"/>
      <c r="BA580" s="719"/>
      <c r="BB580" s="719"/>
      <c r="BC580" s="719"/>
      <c r="BD580" s="719"/>
      <c r="BE580" s="719"/>
      <c r="BF580" s="719"/>
      <c r="BG580" s="719"/>
      <c r="BH580" s="719"/>
      <c r="BI580" s="719"/>
      <c r="BJ580" s="719"/>
    </row>
    <row r="581" spans="2:62" ht="15.75" customHeight="1">
      <c r="B581" s="497"/>
      <c r="C581" s="811"/>
      <c r="D581" s="811"/>
      <c r="E581" s="874"/>
      <c r="F581" s="878"/>
      <c r="G581" s="811"/>
      <c r="H581" s="874"/>
      <c r="I581" s="878"/>
      <c r="J581" s="874"/>
      <c r="K581" s="878"/>
      <c r="L581" s="874"/>
      <c r="M581" s="811"/>
      <c r="N581" s="874"/>
      <c r="O581" s="878"/>
      <c r="P581" s="874"/>
      <c r="Q581" s="811"/>
      <c r="R581" s="878"/>
      <c r="S581" s="874"/>
      <c r="T581" s="811"/>
      <c r="U581" s="811"/>
      <c r="V581" s="811"/>
      <c r="W581" s="811"/>
      <c r="X581" s="811"/>
      <c r="Y581" s="719"/>
      <c r="Z581" s="719"/>
      <c r="AA581" s="719"/>
      <c r="AB581" s="719"/>
      <c r="AC581" s="719"/>
      <c r="AD581" s="719"/>
      <c r="AE581" s="719"/>
      <c r="AF581" s="719"/>
      <c r="AG581" s="719"/>
      <c r="AH581" s="719"/>
      <c r="AI581" s="719"/>
      <c r="AJ581" s="719"/>
      <c r="AK581" s="719"/>
      <c r="AL581" s="719"/>
      <c r="AM581" s="719"/>
      <c r="AN581" s="719"/>
      <c r="AO581" s="719"/>
      <c r="AP581" s="719"/>
      <c r="AQ581" s="719"/>
      <c r="AR581" s="719"/>
      <c r="AS581" s="719"/>
      <c r="AT581" s="719"/>
      <c r="AU581" s="719"/>
      <c r="AV581" s="719"/>
      <c r="AW581" s="719"/>
      <c r="AX581" s="719"/>
      <c r="AY581" s="719"/>
      <c r="AZ581" s="719"/>
      <c r="BA581" s="719"/>
      <c r="BB581" s="719"/>
      <c r="BC581" s="719"/>
      <c r="BD581" s="719"/>
      <c r="BE581" s="719"/>
      <c r="BF581" s="719"/>
      <c r="BG581" s="719"/>
      <c r="BH581" s="719"/>
      <c r="BI581" s="719"/>
      <c r="BJ581" s="719"/>
    </row>
    <row r="582" spans="2:62" ht="15.75" customHeight="1">
      <c r="B582" s="497"/>
      <c r="C582" s="811"/>
      <c r="D582" s="811"/>
      <c r="E582" s="811"/>
      <c r="F582" s="811"/>
      <c r="G582" s="811"/>
      <c r="H582" s="811"/>
      <c r="I582" s="811"/>
      <c r="J582" s="811"/>
      <c r="K582" s="811"/>
      <c r="L582" s="811"/>
      <c r="M582" s="811"/>
      <c r="N582" s="811"/>
      <c r="O582" s="811"/>
      <c r="P582" s="811"/>
      <c r="Q582" s="811"/>
      <c r="R582" s="811"/>
      <c r="S582" s="811"/>
      <c r="T582" s="811"/>
      <c r="U582" s="811"/>
      <c r="V582" s="811"/>
      <c r="W582" s="811"/>
      <c r="X582" s="811"/>
      <c r="Y582" s="719"/>
      <c r="Z582" s="719"/>
      <c r="AA582" s="719"/>
      <c r="AB582" s="719"/>
      <c r="AC582" s="719"/>
      <c r="AD582" s="719"/>
      <c r="AE582" s="719"/>
      <c r="AF582" s="719"/>
      <c r="AG582" s="719"/>
      <c r="AH582" s="719"/>
      <c r="AI582" s="719"/>
      <c r="AJ582" s="719"/>
      <c r="AK582" s="719"/>
      <c r="AL582" s="719"/>
      <c r="AM582" s="719"/>
      <c r="AN582" s="719"/>
      <c r="AO582" s="719"/>
      <c r="AP582" s="719"/>
      <c r="AQ582" s="719"/>
      <c r="AR582" s="719"/>
      <c r="AS582" s="719"/>
      <c r="AT582" s="719"/>
      <c r="AU582" s="719"/>
      <c r="AV582" s="719"/>
      <c r="AW582" s="719"/>
      <c r="AX582" s="719"/>
      <c r="AY582" s="719"/>
      <c r="AZ582" s="719"/>
      <c r="BA582" s="719"/>
      <c r="BB582" s="719"/>
      <c r="BC582" s="719"/>
      <c r="BD582" s="719"/>
      <c r="BE582" s="719"/>
      <c r="BF582" s="719"/>
      <c r="BG582" s="719"/>
      <c r="BH582" s="719"/>
      <c r="BI582" s="719"/>
      <c r="BJ582" s="719"/>
    </row>
    <row r="583" spans="2:62" ht="15.75" customHeight="1">
      <c r="B583" s="497"/>
      <c r="C583" s="811"/>
      <c r="D583" s="811"/>
      <c r="E583" s="811"/>
      <c r="F583" s="811"/>
      <c r="G583" s="811"/>
      <c r="H583" s="811"/>
      <c r="I583" s="811"/>
      <c r="J583" s="811"/>
      <c r="K583" s="811"/>
      <c r="L583" s="811"/>
      <c r="M583" s="811"/>
      <c r="N583" s="811"/>
      <c r="O583" s="811"/>
      <c r="P583" s="811"/>
      <c r="Q583" s="811"/>
      <c r="R583" s="811"/>
      <c r="S583" s="811"/>
      <c r="T583" s="811"/>
      <c r="U583" s="811"/>
      <c r="V583" s="811"/>
      <c r="W583" s="811"/>
      <c r="X583" s="811"/>
      <c r="Y583" s="719"/>
      <c r="Z583" s="719"/>
      <c r="AA583" s="719"/>
      <c r="AB583" s="719"/>
      <c r="AC583" s="719"/>
      <c r="AD583" s="719"/>
      <c r="AE583" s="719"/>
      <c r="AF583" s="719"/>
      <c r="AG583" s="719"/>
      <c r="AH583" s="719"/>
      <c r="AI583" s="719"/>
      <c r="AJ583" s="719"/>
      <c r="AK583" s="719"/>
      <c r="AL583" s="719"/>
      <c r="AM583" s="719"/>
      <c r="AN583" s="719"/>
      <c r="AO583" s="719"/>
      <c r="AP583" s="719"/>
      <c r="AQ583" s="719"/>
      <c r="AR583" s="719"/>
      <c r="AS583" s="719"/>
      <c r="AT583" s="719"/>
      <c r="AU583" s="719"/>
      <c r="AV583" s="719"/>
      <c r="AW583" s="719"/>
      <c r="AX583" s="719"/>
      <c r="AY583" s="719"/>
      <c r="AZ583" s="719"/>
      <c r="BA583" s="719"/>
      <c r="BB583" s="719"/>
      <c r="BC583" s="719"/>
      <c r="BD583" s="719"/>
      <c r="BE583" s="719"/>
      <c r="BF583" s="719"/>
      <c r="BG583" s="719"/>
      <c r="BH583" s="719"/>
      <c r="BI583" s="719"/>
      <c r="BJ583" s="719"/>
    </row>
    <row r="584" spans="2:62" ht="15.75" customHeight="1">
      <c r="B584" s="497"/>
      <c r="C584" s="811"/>
      <c r="D584" s="811"/>
      <c r="E584" s="811"/>
      <c r="F584" s="811"/>
      <c r="G584" s="811"/>
      <c r="H584" s="811"/>
      <c r="I584" s="811"/>
      <c r="J584" s="811"/>
      <c r="K584" s="811"/>
      <c r="L584" s="811"/>
      <c r="M584" s="811"/>
      <c r="N584" s="811"/>
      <c r="O584" s="811"/>
      <c r="P584" s="811"/>
      <c r="Q584" s="811"/>
      <c r="R584" s="811"/>
      <c r="S584" s="811"/>
      <c r="T584" s="811"/>
      <c r="U584" s="811"/>
      <c r="V584" s="811"/>
      <c r="W584" s="811"/>
      <c r="X584" s="811"/>
      <c r="Y584" s="719"/>
      <c r="Z584" s="719"/>
      <c r="AA584" s="719"/>
      <c r="AB584" s="719"/>
      <c r="AC584" s="719"/>
      <c r="AD584" s="719"/>
      <c r="AE584" s="719"/>
      <c r="AF584" s="719"/>
      <c r="AG584" s="719"/>
      <c r="AH584" s="719"/>
      <c r="AI584" s="719"/>
      <c r="AJ584" s="719"/>
      <c r="AK584" s="719"/>
      <c r="AL584" s="719"/>
      <c r="AM584" s="719"/>
      <c r="AN584" s="719"/>
      <c r="AO584" s="719"/>
      <c r="AP584" s="719"/>
      <c r="AQ584" s="719"/>
      <c r="AR584" s="719"/>
      <c r="AS584" s="719"/>
      <c r="AT584" s="719"/>
      <c r="AU584" s="719"/>
      <c r="AV584" s="719"/>
      <c r="AW584" s="719"/>
      <c r="AX584" s="719"/>
      <c r="AY584" s="719"/>
      <c r="AZ584" s="719"/>
      <c r="BA584" s="719"/>
      <c r="BB584" s="719"/>
      <c r="BC584" s="719"/>
      <c r="BD584" s="719"/>
      <c r="BE584" s="719"/>
      <c r="BF584" s="719"/>
      <c r="BG584" s="719"/>
      <c r="BH584" s="719"/>
      <c r="BI584" s="719"/>
      <c r="BJ584" s="719"/>
    </row>
    <row r="585" spans="2:62" ht="15.75" customHeight="1">
      <c r="B585" s="497"/>
      <c r="C585" s="811"/>
      <c r="D585" s="811"/>
      <c r="E585" s="811"/>
      <c r="F585" s="811"/>
      <c r="G585" s="811"/>
      <c r="H585" s="811"/>
      <c r="I585" s="811"/>
      <c r="J585" s="811"/>
      <c r="K585" s="811"/>
      <c r="L585" s="811"/>
      <c r="M585" s="811"/>
      <c r="N585" s="811"/>
      <c r="O585" s="811"/>
      <c r="P585" s="811"/>
      <c r="Q585" s="811"/>
      <c r="R585" s="811"/>
      <c r="S585" s="811"/>
      <c r="T585" s="811"/>
      <c r="U585" s="811"/>
      <c r="V585" s="811"/>
      <c r="W585" s="811"/>
      <c r="X585" s="811"/>
      <c r="Y585" s="719"/>
      <c r="Z585" s="719"/>
      <c r="AA585" s="719"/>
      <c r="AB585" s="719"/>
      <c r="AC585" s="719"/>
      <c r="AD585" s="719"/>
      <c r="AE585" s="719"/>
      <c r="AF585" s="719"/>
      <c r="AG585" s="719"/>
      <c r="AH585" s="719"/>
      <c r="AI585" s="719"/>
      <c r="AJ585" s="719"/>
      <c r="AK585" s="719"/>
      <c r="AL585" s="719"/>
      <c r="AM585" s="719"/>
      <c r="AN585" s="719"/>
      <c r="AO585" s="719"/>
      <c r="AP585" s="719"/>
      <c r="AQ585" s="719"/>
      <c r="AR585" s="719"/>
      <c r="AS585" s="719"/>
      <c r="AT585" s="719"/>
      <c r="AU585" s="719"/>
      <c r="AV585" s="719"/>
      <c r="AW585" s="719"/>
      <c r="AX585" s="719"/>
      <c r="AY585" s="719"/>
      <c r="AZ585" s="719"/>
      <c r="BA585" s="719"/>
      <c r="BB585" s="719"/>
      <c r="BC585" s="719"/>
      <c r="BD585" s="719"/>
      <c r="BE585" s="719"/>
      <c r="BF585" s="719"/>
      <c r="BG585" s="719"/>
      <c r="BH585" s="719"/>
      <c r="BI585" s="719"/>
      <c r="BJ585" s="719"/>
    </row>
    <row r="586" spans="2:62" ht="15.75" customHeight="1">
      <c r="B586" s="497"/>
      <c r="C586" s="811"/>
      <c r="D586" s="811"/>
      <c r="E586" s="811"/>
      <c r="F586" s="811"/>
      <c r="G586" s="811"/>
      <c r="H586" s="811"/>
      <c r="I586" s="811"/>
      <c r="J586" s="811"/>
      <c r="K586" s="811"/>
      <c r="L586" s="811"/>
      <c r="M586" s="811"/>
      <c r="N586" s="811"/>
      <c r="O586" s="811"/>
      <c r="P586" s="811"/>
      <c r="Q586" s="811"/>
      <c r="R586" s="811"/>
      <c r="S586" s="811"/>
      <c r="T586" s="811"/>
      <c r="U586" s="811"/>
      <c r="V586" s="811"/>
      <c r="W586" s="811"/>
      <c r="X586" s="811"/>
      <c r="Y586" s="719"/>
      <c r="Z586" s="719"/>
      <c r="AA586" s="719"/>
      <c r="AB586" s="719"/>
      <c r="AC586" s="719"/>
      <c r="AD586" s="719"/>
      <c r="AE586" s="719"/>
      <c r="AF586" s="719"/>
      <c r="AG586" s="719"/>
      <c r="AH586" s="719"/>
      <c r="AI586" s="719"/>
      <c r="AJ586" s="719"/>
      <c r="AK586" s="719"/>
      <c r="AL586" s="719"/>
      <c r="AM586" s="719"/>
      <c r="AN586" s="719"/>
      <c r="AO586" s="719"/>
      <c r="AP586" s="719"/>
      <c r="AQ586" s="719"/>
      <c r="AR586" s="719"/>
      <c r="AS586" s="719"/>
      <c r="AT586" s="719"/>
      <c r="AU586" s="719"/>
      <c r="AV586" s="719"/>
      <c r="AW586" s="719"/>
      <c r="AX586" s="719"/>
      <c r="AY586" s="719"/>
      <c r="AZ586" s="719"/>
      <c r="BA586" s="719"/>
      <c r="BB586" s="719"/>
      <c r="BC586" s="719"/>
      <c r="BD586" s="719"/>
      <c r="BE586" s="719"/>
      <c r="BF586" s="719"/>
      <c r="BG586" s="719"/>
      <c r="BH586" s="719"/>
      <c r="BI586" s="719"/>
      <c r="BJ586" s="719"/>
    </row>
    <row r="587" spans="2:62" ht="15.75" customHeight="1">
      <c r="B587" s="497"/>
      <c r="C587" s="811"/>
      <c r="D587" s="811"/>
      <c r="E587" s="811"/>
      <c r="F587" s="811"/>
      <c r="G587" s="811"/>
      <c r="H587" s="811"/>
      <c r="I587" s="811"/>
      <c r="J587" s="811"/>
      <c r="K587" s="811"/>
      <c r="L587" s="811"/>
      <c r="M587" s="811"/>
      <c r="N587" s="811"/>
      <c r="O587" s="811"/>
      <c r="P587" s="811"/>
      <c r="Q587" s="811"/>
      <c r="R587" s="811"/>
      <c r="S587" s="811"/>
      <c r="T587" s="811"/>
      <c r="U587" s="811"/>
      <c r="V587" s="811"/>
      <c r="W587" s="811"/>
      <c r="X587" s="811"/>
      <c r="Y587" s="719"/>
      <c r="Z587" s="719"/>
      <c r="AA587" s="719"/>
      <c r="AB587" s="719"/>
      <c r="AC587" s="719"/>
      <c r="AD587" s="719"/>
      <c r="AE587" s="719"/>
      <c r="AF587" s="719"/>
      <c r="AG587" s="719"/>
      <c r="AH587" s="719"/>
      <c r="AI587" s="719"/>
      <c r="AJ587" s="719"/>
      <c r="AK587" s="719"/>
      <c r="AL587" s="719"/>
      <c r="AM587" s="719"/>
      <c r="AN587" s="719"/>
      <c r="AO587" s="719"/>
      <c r="AP587" s="719"/>
      <c r="AQ587" s="719"/>
      <c r="AR587" s="719"/>
      <c r="AS587" s="719"/>
      <c r="AT587" s="719"/>
      <c r="AU587" s="719"/>
      <c r="AV587" s="719"/>
      <c r="AW587" s="719"/>
      <c r="AX587" s="719"/>
      <c r="AY587" s="719"/>
      <c r="AZ587" s="719"/>
      <c r="BA587" s="719"/>
      <c r="BB587" s="719"/>
      <c r="BC587" s="719"/>
      <c r="BD587" s="719"/>
      <c r="BE587" s="719"/>
      <c r="BF587" s="719"/>
      <c r="BG587" s="719"/>
      <c r="BH587" s="719"/>
      <c r="BI587" s="719"/>
      <c r="BJ587" s="719"/>
    </row>
    <row r="588" spans="2:62" ht="15.75" customHeight="1">
      <c r="B588" s="497"/>
      <c r="C588" s="811"/>
      <c r="D588" s="811"/>
      <c r="E588" s="811"/>
      <c r="F588" s="811"/>
      <c r="G588" s="811"/>
      <c r="H588" s="811"/>
      <c r="I588" s="811"/>
      <c r="J588" s="811"/>
      <c r="K588" s="811"/>
      <c r="L588" s="811"/>
      <c r="M588" s="811"/>
      <c r="N588" s="811"/>
      <c r="O588" s="811"/>
      <c r="P588" s="811"/>
      <c r="Q588" s="811"/>
      <c r="R588" s="811"/>
      <c r="S588" s="811"/>
      <c r="T588" s="811"/>
      <c r="U588" s="811"/>
      <c r="V588" s="811"/>
      <c r="W588" s="811"/>
      <c r="X588" s="811"/>
      <c r="Y588" s="719"/>
      <c r="Z588" s="719"/>
      <c r="AA588" s="719"/>
      <c r="AB588" s="719"/>
      <c r="AC588" s="719"/>
      <c r="AD588" s="719"/>
      <c r="AE588" s="719"/>
      <c r="AF588" s="719"/>
      <c r="AG588" s="719"/>
      <c r="AH588" s="719"/>
      <c r="AI588" s="719"/>
      <c r="AJ588" s="719"/>
      <c r="AK588" s="719"/>
      <c r="AL588" s="719"/>
      <c r="AM588" s="719"/>
      <c r="AN588" s="719"/>
      <c r="AO588" s="719"/>
      <c r="AP588" s="719"/>
      <c r="AQ588" s="719"/>
      <c r="AR588" s="719"/>
      <c r="AS588" s="719"/>
      <c r="AT588" s="719"/>
      <c r="AU588" s="719"/>
      <c r="AV588" s="719"/>
      <c r="AW588" s="719"/>
      <c r="AX588" s="719"/>
      <c r="AY588" s="719"/>
      <c r="AZ588" s="719"/>
      <c r="BA588" s="719"/>
      <c r="BB588" s="719"/>
      <c r="BC588" s="719"/>
      <c r="BD588" s="719"/>
      <c r="BE588" s="719"/>
      <c r="BF588" s="719"/>
      <c r="BG588" s="719"/>
      <c r="BH588" s="719"/>
      <c r="BI588" s="719"/>
      <c r="BJ588" s="719"/>
    </row>
    <row r="589" spans="2:62" ht="15.75" customHeight="1">
      <c r="B589" s="497"/>
      <c r="C589" s="811"/>
      <c r="D589" s="811"/>
      <c r="E589" s="811"/>
      <c r="F589" s="811"/>
      <c r="G589" s="811"/>
      <c r="H589" s="811"/>
      <c r="I589" s="811"/>
      <c r="J589" s="811"/>
      <c r="K589" s="811"/>
      <c r="L589" s="811"/>
      <c r="M589" s="811"/>
      <c r="N589" s="811"/>
      <c r="O589" s="811"/>
      <c r="P589" s="811"/>
      <c r="Q589" s="811"/>
      <c r="R589" s="811"/>
      <c r="S589" s="811"/>
      <c r="T589" s="811"/>
      <c r="U589" s="811"/>
      <c r="V589" s="811"/>
      <c r="W589" s="811"/>
      <c r="X589" s="811"/>
      <c r="Y589" s="719"/>
      <c r="Z589" s="719"/>
      <c r="AA589" s="719"/>
      <c r="AB589" s="719"/>
      <c r="AC589" s="719"/>
      <c r="AD589" s="719"/>
      <c r="AE589" s="719"/>
      <c r="AF589" s="719"/>
      <c r="AG589" s="719"/>
      <c r="AH589" s="719"/>
      <c r="AI589" s="719"/>
      <c r="AJ589" s="719"/>
      <c r="AK589" s="719"/>
      <c r="AL589" s="719"/>
      <c r="AM589" s="719"/>
      <c r="AN589" s="719"/>
      <c r="AO589" s="719"/>
      <c r="AP589" s="719"/>
      <c r="AQ589" s="719"/>
      <c r="AR589" s="719"/>
      <c r="AS589" s="719"/>
      <c r="AT589" s="719"/>
      <c r="AU589" s="719"/>
      <c r="AV589" s="719"/>
      <c r="AW589" s="719"/>
      <c r="AX589" s="719"/>
      <c r="AY589" s="719"/>
      <c r="AZ589" s="719"/>
      <c r="BA589" s="719"/>
      <c r="BB589" s="719"/>
      <c r="BC589" s="719"/>
      <c r="BD589" s="719"/>
      <c r="BE589" s="719"/>
      <c r="BF589" s="719"/>
      <c r="BG589" s="719"/>
      <c r="BH589" s="719"/>
      <c r="BI589" s="719"/>
      <c r="BJ589" s="719"/>
    </row>
    <row r="590" spans="2:62" ht="15.75" customHeight="1">
      <c r="B590" s="497"/>
      <c r="C590" s="811"/>
      <c r="D590" s="811"/>
      <c r="E590" s="811"/>
      <c r="F590" s="811"/>
      <c r="G590" s="811"/>
      <c r="H590" s="811"/>
      <c r="I590" s="811"/>
      <c r="J590" s="811"/>
      <c r="K590" s="811"/>
      <c r="L590" s="811"/>
      <c r="M590" s="811"/>
      <c r="N590" s="811"/>
      <c r="O590" s="811"/>
      <c r="P590" s="811"/>
      <c r="Q590" s="811"/>
      <c r="R590" s="811"/>
      <c r="S590" s="811"/>
      <c r="T590" s="811"/>
      <c r="U590" s="811"/>
      <c r="V590" s="811"/>
      <c r="W590" s="811"/>
      <c r="X590" s="811"/>
      <c r="Y590" s="719"/>
      <c r="Z590" s="719"/>
      <c r="AA590" s="719"/>
      <c r="AB590" s="719"/>
      <c r="AC590" s="719"/>
      <c r="AD590" s="719"/>
      <c r="AE590" s="719"/>
      <c r="AF590" s="719"/>
      <c r="AG590" s="719"/>
      <c r="AH590" s="719"/>
      <c r="AI590" s="719"/>
      <c r="AJ590" s="719"/>
      <c r="AK590" s="719"/>
      <c r="AL590" s="719"/>
      <c r="AM590" s="719"/>
      <c r="AN590" s="719"/>
      <c r="AO590" s="719"/>
      <c r="AP590" s="719"/>
      <c r="AQ590" s="719"/>
      <c r="AR590" s="719"/>
      <c r="AS590" s="719"/>
      <c r="AT590" s="719"/>
      <c r="AU590" s="719"/>
      <c r="AV590" s="719"/>
      <c r="AW590" s="719"/>
      <c r="AX590" s="719"/>
      <c r="AY590" s="719"/>
      <c r="AZ590" s="719"/>
      <c r="BA590" s="719"/>
      <c r="BB590" s="719"/>
      <c r="BC590" s="719"/>
      <c r="BD590" s="719"/>
      <c r="BE590" s="719"/>
      <c r="BF590" s="719"/>
      <c r="BG590" s="719"/>
      <c r="BH590" s="719"/>
      <c r="BI590" s="719"/>
      <c r="BJ590" s="719"/>
    </row>
    <row r="591" spans="2:62" ht="15.75" customHeight="1">
      <c r="B591" s="497"/>
      <c r="C591" s="811"/>
      <c r="D591" s="811"/>
      <c r="E591" s="811"/>
      <c r="F591" s="811"/>
      <c r="G591" s="811"/>
      <c r="H591" s="811"/>
      <c r="I591" s="811"/>
      <c r="J591" s="811"/>
      <c r="K591" s="811"/>
      <c r="L591" s="811"/>
      <c r="M591" s="811"/>
      <c r="N591" s="811"/>
      <c r="O591" s="811"/>
      <c r="P591" s="811"/>
      <c r="Q591" s="811"/>
      <c r="R591" s="811"/>
      <c r="S591" s="811"/>
      <c r="T591" s="811"/>
      <c r="U591" s="811"/>
      <c r="V591" s="811"/>
      <c r="W591" s="811"/>
      <c r="X591" s="811"/>
      <c r="Y591" s="719"/>
      <c r="Z591" s="719"/>
      <c r="AA591" s="719"/>
      <c r="AB591" s="719"/>
      <c r="AC591" s="719"/>
      <c r="AD591" s="719"/>
      <c r="AE591" s="719"/>
      <c r="AF591" s="719"/>
      <c r="AG591" s="719"/>
      <c r="AH591" s="719"/>
      <c r="AI591" s="719"/>
      <c r="AJ591" s="719"/>
      <c r="AK591" s="719"/>
      <c r="AL591" s="719"/>
      <c r="AM591" s="719"/>
      <c r="AN591" s="719"/>
      <c r="AO591" s="719"/>
      <c r="AP591" s="719"/>
      <c r="AQ591" s="719"/>
      <c r="AR591" s="719"/>
      <c r="AS591" s="719"/>
      <c r="AT591" s="719"/>
      <c r="AU591" s="719"/>
      <c r="AV591" s="719"/>
      <c r="AW591" s="719"/>
      <c r="AX591" s="719"/>
      <c r="AY591" s="719"/>
      <c r="AZ591" s="719"/>
      <c r="BA591" s="719"/>
      <c r="BB591" s="719"/>
      <c r="BC591" s="719"/>
      <c r="BD591" s="719"/>
      <c r="BE591" s="719"/>
      <c r="BF591" s="719"/>
      <c r="BG591" s="719"/>
      <c r="BH591" s="719"/>
      <c r="BI591" s="719"/>
      <c r="BJ591" s="719"/>
    </row>
    <row r="592" spans="2:62" ht="15.75" customHeight="1">
      <c r="B592" s="497"/>
      <c r="C592" s="811"/>
      <c r="D592" s="811"/>
      <c r="E592" s="811"/>
      <c r="F592" s="811"/>
      <c r="G592" s="811"/>
      <c r="H592" s="811"/>
      <c r="I592" s="811"/>
      <c r="J592" s="811"/>
      <c r="K592" s="811"/>
      <c r="L592" s="811"/>
      <c r="M592" s="811"/>
      <c r="N592" s="811"/>
      <c r="O592" s="811"/>
      <c r="P592" s="811"/>
      <c r="Q592" s="811"/>
      <c r="R592" s="811"/>
      <c r="S592" s="811"/>
      <c r="T592" s="811"/>
      <c r="U592" s="811"/>
      <c r="V592" s="811"/>
      <c r="W592" s="811"/>
      <c r="X592" s="811"/>
      <c r="Y592" s="719"/>
      <c r="Z592" s="719"/>
      <c r="AA592" s="719"/>
      <c r="AB592" s="719"/>
      <c r="AC592" s="719"/>
      <c r="AD592" s="719"/>
      <c r="AE592" s="719"/>
      <c r="AF592" s="719"/>
      <c r="AG592" s="719"/>
      <c r="AH592" s="719"/>
      <c r="AI592" s="719"/>
      <c r="AJ592" s="719"/>
      <c r="AK592" s="719"/>
      <c r="AL592" s="719"/>
      <c r="AM592" s="719"/>
      <c r="AN592" s="719"/>
      <c r="AO592" s="719"/>
      <c r="AP592" s="719"/>
      <c r="AQ592" s="719"/>
      <c r="AR592" s="719"/>
      <c r="AS592" s="719"/>
      <c r="AT592" s="719"/>
      <c r="AU592" s="719"/>
      <c r="AV592" s="719"/>
      <c r="AW592" s="719"/>
      <c r="AX592" s="719"/>
      <c r="AY592" s="719"/>
      <c r="AZ592" s="719"/>
      <c r="BA592" s="719"/>
      <c r="BB592" s="719"/>
      <c r="BC592" s="719"/>
      <c r="BD592" s="719"/>
      <c r="BE592" s="719"/>
      <c r="BF592" s="719"/>
      <c r="BG592" s="719"/>
      <c r="BH592" s="719"/>
      <c r="BI592" s="719"/>
      <c r="BJ592" s="719"/>
    </row>
    <row r="593" spans="2:62" ht="15.75" customHeight="1">
      <c r="B593" s="497"/>
      <c r="C593" s="811"/>
      <c r="D593" s="811"/>
      <c r="E593" s="811"/>
      <c r="F593" s="811"/>
      <c r="G593" s="811"/>
      <c r="H593" s="811"/>
      <c r="I593" s="811"/>
      <c r="J593" s="811"/>
      <c r="K593" s="811"/>
      <c r="L593" s="811"/>
      <c r="M593" s="811"/>
      <c r="N593" s="811"/>
      <c r="O593" s="811"/>
      <c r="P593" s="811"/>
      <c r="Q593" s="811"/>
      <c r="R593" s="811"/>
      <c r="S593" s="811"/>
      <c r="T593" s="811"/>
      <c r="U593" s="811"/>
      <c r="V593" s="811"/>
      <c r="W593" s="811"/>
      <c r="X593" s="811"/>
      <c r="Y593" s="719"/>
      <c r="Z593" s="719"/>
      <c r="AA593" s="719"/>
      <c r="AB593" s="719"/>
      <c r="AC593" s="719"/>
      <c r="AD593" s="719"/>
      <c r="AE593" s="719"/>
      <c r="AF593" s="719"/>
      <c r="AG593" s="719"/>
      <c r="AH593" s="719"/>
      <c r="AI593" s="719"/>
      <c r="AJ593" s="719"/>
      <c r="AK593" s="719"/>
      <c r="AL593" s="719"/>
      <c r="AM593" s="719"/>
      <c r="AN593" s="719"/>
      <c r="AO593" s="719"/>
      <c r="AP593" s="719"/>
      <c r="AQ593" s="719"/>
      <c r="AR593" s="719"/>
      <c r="AS593" s="719"/>
      <c r="AT593" s="719"/>
      <c r="AU593" s="719"/>
      <c r="AV593" s="719"/>
      <c r="AW593" s="719"/>
      <c r="AX593" s="719"/>
      <c r="AY593" s="719"/>
      <c r="AZ593" s="719"/>
      <c r="BA593" s="719"/>
      <c r="BB593" s="719"/>
      <c r="BC593" s="719"/>
      <c r="BD593" s="719"/>
      <c r="BE593" s="719"/>
      <c r="BF593" s="719"/>
      <c r="BG593" s="719"/>
      <c r="BH593" s="719"/>
      <c r="BI593" s="719"/>
      <c r="BJ593" s="719"/>
    </row>
    <row r="594" spans="2:62" ht="15.75" customHeight="1">
      <c r="B594" s="497"/>
      <c r="C594" s="811"/>
      <c r="D594" s="811"/>
      <c r="E594" s="811"/>
      <c r="F594" s="811"/>
      <c r="G594" s="811"/>
      <c r="H594" s="811"/>
      <c r="I594" s="811"/>
      <c r="J594" s="811"/>
      <c r="K594" s="811"/>
      <c r="L594" s="811"/>
      <c r="M594" s="811"/>
      <c r="N594" s="811"/>
      <c r="O594" s="811"/>
      <c r="P594" s="811"/>
      <c r="Q594" s="811"/>
      <c r="R594" s="811"/>
      <c r="S594" s="811"/>
      <c r="T594" s="811"/>
      <c r="U594" s="811"/>
      <c r="V594" s="811"/>
      <c r="W594" s="811"/>
      <c r="X594" s="811"/>
      <c r="Y594" s="719"/>
      <c r="Z594" s="719"/>
      <c r="AA594" s="719"/>
      <c r="AB594" s="719"/>
      <c r="AC594" s="719"/>
      <c r="AD594" s="719"/>
      <c r="AE594" s="719"/>
      <c r="AF594" s="719"/>
      <c r="AG594" s="719"/>
      <c r="AH594" s="719"/>
      <c r="AI594" s="719"/>
      <c r="AJ594" s="719"/>
      <c r="AK594" s="719"/>
      <c r="AL594" s="719"/>
      <c r="AM594" s="719"/>
      <c r="AN594" s="719"/>
      <c r="AO594" s="719"/>
      <c r="AP594" s="719"/>
      <c r="AQ594" s="719"/>
      <c r="AR594" s="719"/>
      <c r="AS594" s="719"/>
      <c r="AT594" s="719"/>
      <c r="AU594" s="719"/>
      <c r="AV594" s="719"/>
      <c r="AW594" s="719"/>
      <c r="AX594" s="719"/>
      <c r="AY594" s="719"/>
      <c r="AZ594" s="719"/>
      <c r="BA594" s="719"/>
      <c r="BB594" s="719"/>
      <c r="BC594" s="719"/>
      <c r="BD594" s="719"/>
      <c r="BE594" s="719"/>
      <c r="BF594" s="719"/>
      <c r="BG594" s="719"/>
      <c r="BH594" s="719"/>
      <c r="BI594" s="719"/>
      <c r="BJ594" s="719"/>
    </row>
    <row r="595" spans="2:62" ht="15.75" customHeight="1">
      <c r="B595" s="497"/>
      <c r="C595" s="811"/>
      <c r="D595" s="811"/>
      <c r="E595" s="811"/>
      <c r="F595" s="811"/>
      <c r="G595" s="811"/>
      <c r="H595" s="811"/>
      <c r="I595" s="811"/>
      <c r="J595" s="811"/>
      <c r="K595" s="811"/>
      <c r="L595" s="811"/>
      <c r="M595" s="811"/>
      <c r="N595" s="811"/>
      <c r="O595" s="811"/>
      <c r="P595" s="811"/>
      <c r="Q595" s="811"/>
      <c r="R595" s="811"/>
      <c r="S595" s="811"/>
      <c r="T595" s="811"/>
      <c r="U595" s="811"/>
      <c r="V595" s="811"/>
      <c r="W595" s="811"/>
      <c r="X595" s="811"/>
      <c r="Y595" s="719"/>
      <c r="Z595" s="719"/>
      <c r="AA595" s="719"/>
      <c r="AB595" s="719"/>
      <c r="AC595" s="719"/>
      <c r="AD595" s="719"/>
      <c r="AE595" s="719"/>
      <c r="AF595" s="719"/>
      <c r="AG595" s="719"/>
      <c r="AH595" s="719"/>
      <c r="AI595" s="719"/>
      <c r="AJ595" s="719"/>
      <c r="AK595" s="719"/>
      <c r="AL595" s="719"/>
      <c r="AM595" s="719"/>
      <c r="AN595" s="719"/>
      <c r="AO595" s="719"/>
      <c r="AP595" s="719"/>
      <c r="AQ595" s="719"/>
      <c r="AR595" s="719"/>
      <c r="AS595" s="719"/>
      <c r="AT595" s="719"/>
      <c r="AU595" s="719"/>
      <c r="AV595" s="719"/>
      <c r="AW595" s="719"/>
      <c r="AX595" s="719"/>
      <c r="AY595" s="719"/>
      <c r="AZ595" s="719"/>
      <c r="BA595" s="719"/>
      <c r="BB595" s="719"/>
      <c r="BC595" s="719"/>
      <c r="BD595" s="719"/>
      <c r="BE595" s="719"/>
      <c r="BF595" s="719"/>
      <c r="BG595" s="719"/>
      <c r="BH595" s="719"/>
      <c r="BI595" s="719"/>
      <c r="BJ595" s="719"/>
    </row>
    <row r="596" spans="2:62" ht="15.75" customHeight="1">
      <c r="B596" s="497"/>
      <c r="C596" s="811"/>
      <c r="D596" s="811"/>
      <c r="E596" s="811"/>
      <c r="F596" s="811"/>
      <c r="G596" s="811"/>
      <c r="H596" s="811"/>
      <c r="I596" s="811"/>
      <c r="J596" s="811"/>
      <c r="K596" s="811"/>
      <c r="L596" s="811"/>
      <c r="M596" s="811"/>
      <c r="N596" s="811"/>
      <c r="O596" s="811"/>
      <c r="P596" s="811"/>
      <c r="Q596" s="811"/>
      <c r="R596" s="811"/>
      <c r="S596" s="811"/>
      <c r="T596" s="811"/>
      <c r="U596" s="811"/>
      <c r="V596" s="811"/>
      <c r="W596" s="811"/>
      <c r="X596" s="811"/>
      <c r="Y596" s="719"/>
      <c r="Z596" s="719"/>
      <c r="AA596" s="719"/>
      <c r="AB596" s="719"/>
      <c r="AC596" s="719"/>
      <c r="AD596" s="719"/>
      <c r="AE596" s="719"/>
      <c r="AF596" s="719"/>
      <c r="AG596" s="719"/>
      <c r="AH596" s="719"/>
      <c r="AI596" s="719"/>
      <c r="AJ596" s="719"/>
      <c r="AK596" s="719"/>
      <c r="AL596" s="719"/>
      <c r="AM596" s="719"/>
      <c r="AN596" s="719"/>
      <c r="AO596" s="719"/>
      <c r="AP596" s="719"/>
      <c r="AQ596" s="719"/>
      <c r="AR596" s="719"/>
      <c r="AS596" s="719"/>
      <c r="AT596" s="719"/>
      <c r="AU596" s="719"/>
      <c r="AV596" s="719"/>
      <c r="AW596" s="719"/>
      <c r="AX596" s="719"/>
      <c r="AY596" s="719"/>
      <c r="AZ596" s="719"/>
      <c r="BA596" s="719"/>
      <c r="BB596" s="719"/>
      <c r="BC596" s="719"/>
      <c r="BD596" s="719"/>
      <c r="BE596" s="719"/>
      <c r="BF596" s="719"/>
      <c r="BG596" s="719"/>
      <c r="BH596" s="719"/>
      <c r="BI596" s="719"/>
      <c r="BJ596" s="719"/>
    </row>
    <row r="597" spans="2:62" ht="15.75" customHeight="1">
      <c r="B597" s="497"/>
      <c r="C597" s="811"/>
      <c r="D597" s="811"/>
      <c r="E597" s="811"/>
      <c r="F597" s="811"/>
      <c r="G597" s="811"/>
      <c r="H597" s="811"/>
      <c r="I597" s="811"/>
      <c r="J597" s="811"/>
      <c r="K597" s="811"/>
      <c r="L597" s="811"/>
      <c r="M597" s="811"/>
      <c r="N597" s="811"/>
      <c r="O597" s="811"/>
      <c r="P597" s="811"/>
      <c r="Q597" s="811"/>
      <c r="R597" s="811"/>
      <c r="S597" s="811"/>
      <c r="T597" s="811"/>
      <c r="U597" s="811"/>
      <c r="V597" s="811"/>
      <c r="W597" s="811"/>
      <c r="X597" s="811"/>
      <c r="Y597" s="719"/>
      <c r="Z597" s="719"/>
      <c r="AA597" s="719"/>
      <c r="AB597" s="719"/>
      <c r="AC597" s="719"/>
      <c r="AD597" s="719"/>
      <c r="AE597" s="719"/>
      <c r="AF597" s="719"/>
      <c r="AG597" s="719"/>
      <c r="AH597" s="719"/>
      <c r="AI597" s="719"/>
      <c r="AJ597" s="719"/>
      <c r="AK597" s="719"/>
      <c r="AL597" s="719"/>
      <c r="AM597" s="719"/>
      <c r="AN597" s="719"/>
      <c r="AO597" s="719"/>
      <c r="AP597" s="719"/>
      <c r="AQ597" s="719"/>
      <c r="AR597" s="719"/>
      <c r="AS597" s="719"/>
      <c r="AT597" s="719"/>
      <c r="AU597" s="719"/>
      <c r="AV597" s="719"/>
      <c r="AW597" s="719"/>
      <c r="AX597" s="719"/>
      <c r="AY597" s="719"/>
      <c r="AZ597" s="719"/>
      <c r="BA597" s="719"/>
      <c r="BB597" s="719"/>
      <c r="BC597" s="719"/>
      <c r="BD597" s="719"/>
      <c r="BE597" s="719"/>
      <c r="BF597" s="719"/>
      <c r="BG597" s="719"/>
      <c r="BH597" s="719"/>
      <c r="BI597" s="719"/>
      <c r="BJ597" s="719"/>
    </row>
    <row r="598" spans="2:62" ht="15.75" customHeight="1">
      <c r="B598" s="497"/>
      <c r="C598" s="811"/>
      <c r="D598" s="811"/>
      <c r="E598" s="811"/>
      <c r="F598" s="811"/>
      <c r="G598" s="811"/>
      <c r="H598" s="811"/>
      <c r="I598" s="811"/>
      <c r="J598" s="811"/>
      <c r="K598" s="811"/>
      <c r="L598" s="811"/>
      <c r="M598" s="811"/>
      <c r="N598" s="811"/>
      <c r="O598" s="811"/>
      <c r="P598" s="811"/>
      <c r="Q598" s="811"/>
      <c r="R598" s="811"/>
      <c r="S598" s="811"/>
      <c r="T598" s="811"/>
      <c r="U598" s="811"/>
      <c r="V598" s="811"/>
      <c r="W598" s="811"/>
      <c r="X598" s="811"/>
      <c r="Y598" s="719"/>
      <c r="Z598" s="719"/>
      <c r="AA598" s="719"/>
      <c r="AB598" s="719"/>
      <c r="AC598" s="719"/>
      <c r="AD598" s="719"/>
      <c r="AE598" s="719"/>
      <c r="AF598" s="719"/>
      <c r="AG598" s="719"/>
      <c r="AH598" s="719"/>
      <c r="AI598" s="719"/>
      <c r="AJ598" s="719"/>
      <c r="AK598" s="719"/>
      <c r="AL598" s="719"/>
      <c r="AM598" s="719"/>
      <c r="AN598" s="719"/>
      <c r="AO598" s="719"/>
      <c r="AP598" s="719"/>
      <c r="AQ598" s="719"/>
      <c r="AR598" s="719"/>
      <c r="AS598" s="719"/>
      <c r="AT598" s="719"/>
      <c r="AU598" s="719"/>
      <c r="AV598" s="719"/>
      <c r="AW598" s="719"/>
      <c r="AX598" s="719"/>
      <c r="AY598" s="719"/>
      <c r="AZ598" s="719"/>
      <c r="BA598" s="719"/>
      <c r="BB598" s="719"/>
      <c r="BC598" s="719"/>
      <c r="BD598" s="719"/>
      <c r="BE598" s="719"/>
      <c r="BF598" s="719"/>
      <c r="BG598" s="719"/>
      <c r="BH598" s="719"/>
      <c r="BI598" s="719"/>
      <c r="BJ598" s="719"/>
    </row>
    <row r="599" spans="2:62" ht="15.75" customHeight="1">
      <c r="B599" s="497"/>
      <c r="C599" s="811"/>
      <c r="D599" s="811"/>
      <c r="E599" s="811"/>
      <c r="F599" s="811"/>
      <c r="G599" s="811"/>
      <c r="H599" s="811"/>
      <c r="I599" s="811"/>
      <c r="J599" s="811"/>
      <c r="K599" s="811"/>
      <c r="L599" s="811"/>
      <c r="M599" s="811"/>
      <c r="N599" s="811"/>
      <c r="O599" s="811"/>
      <c r="P599" s="811"/>
      <c r="Q599" s="811"/>
      <c r="R599" s="811"/>
      <c r="S599" s="811"/>
      <c r="T599" s="811"/>
      <c r="U599" s="811"/>
      <c r="V599" s="811"/>
      <c r="W599" s="811"/>
      <c r="X599" s="811"/>
      <c r="Y599" s="719"/>
      <c r="Z599" s="719"/>
      <c r="AA599" s="719"/>
      <c r="AB599" s="719"/>
      <c r="AC599" s="719"/>
      <c r="AD599" s="719"/>
      <c r="AE599" s="719"/>
      <c r="AF599" s="719"/>
      <c r="AG599" s="719"/>
      <c r="AH599" s="719"/>
      <c r="AI599" s="719"/>
      <c r="AJ599" s="719"/>
      <c r="AK599" s="719"/>
      <c r="AL599" s="719"/>
      <c r="AM599" s="719"/>
      <c r="AN599" s="719"/>
      <c r="AO599" s="719"/>
      <c r="AP599" s="719"/>
      <c r="AQ599" s="719"/>
      <c r="AR599" s="719"/>
      <c r="AS599" s="719"/>
      <c r="AT599" s="719"/>
      <c r="AU599" s="719"/>
      <c r="AV599" s="719"/>
      <c r="AW599" s="719"/>
      <c r="AX599" s="719"/>
      <c r="AY599" s="719"/>
      <c r="AZ599" s="719"/>
      <c r="BA599" s="719"/>
      <c r="BB599" s="719"/>
      <c r="BC599" s="719"/>
      <c r="BD599" s="719"/>
      <c r="BE599" s="719"/>
      <c r="BF599" s="719"/>
      <c r="BG599" s="719"/>
      <c r="BH599" s="719"/>
      <c r="BI599" s="719"/>
      <c r="BJ599" s="719"/>
    </row>
    <row r="600" spans="2:62" ht="15.75" customHeight="1">
      <c r="B600" s="497"/>
      <c r="C600" s="811"/>
      <c r="D600" s="811"/>
      <c r="E600" s="811"/>
      <c r="F600" s="811"/>
      <c r="G600" s="811"/>
      <c r="H600" s="811"/>
      <c r="I600" s="811"/>
      <c r="J600" s="811"/>
      <c r="K600" s="811"/>
      <c r="L600" s="811"/>
      <c r="M600" s="811"/>
      <c r="N600" s="811"/>
      <c r="O600" s="811"/>
      <c r="P600" s="811"/>
      <c r="Q600" s="811"/>
      <c r="R600" s="811"/>
      <c r="S600" s="811"/>
      <c r="T600" s="811"/>
      <c r="U600" s="811"/>
      <c r="V600" s="811"/>
      <c r="W600" s="811"/>
      <c r="X600" s="811"/>
      <c r="Y600" s="719"/>
      <c r="Z600" s="719"/>
      <c r="AA600" s="719"/>
      <c r="AB600" s="719"/>
      <c r="AC600" s="719"/>
      <c r="AD600" s="719"/>
      <c r="AE600" s="719"/>
      <c r="AF600" s="719"/>
      <c r="AG600" s="719"/>
      <c r="AH600" s="719"/>
      <c r="AI600" s="719"/>
      <c r="AJ600" s="719"/>
      <c r="AK600" s="719"/>
      <c r="AL600" s="719"/>
      <c r="AM600" s="719"/>
      <c r="AN600" s="719"/>
      <c r="AO600" s="719"/>
      <c r="AP600" s="719"/>
      <c r="AQ600" s="719"/>
      <c r="AR600" s="719"/>
      <c r="AS600" s="719"/>
      <c r="AT600" s="719"/>
      <c r="AU600" s="719"/>
      <c r="AV600" s="719"/>
      <c r="AW600" s="719"/>
      <c r="AX600" s="719"/>
      <c r="AY600" s="719"/>
      <c r="AZ600" s="719"/>
      <c r="BA600" s="719"/>
      <c r="BB600" s="719"/>
      <c r="BC600" s="719"/>
      <c r="BD600" s="719"/>
      <c r="BE600" s="719"/>
      <c r="BF600" s="719"/>
      <c r="BG600" s="719"/>
      <c r="BH600" s="719"/>
      <c r="BI600" s="719"/>
      <c r="BJ600" s="719"/>
    </row>
    <row r="601" spans="2:62" ht="15.75" customHeight="1">
      <c r="B601" s="497"/>
      <c r="C601" s="811"/>
      <c r="D601" s="811"/>
      <c r="E601" s="811"/>
      <c r="F601" s="811"/>
      <c r="G601" s="811"/>
      <c r="H601" s="811"/>
      <c r="I601" s="811"/>
      <c r="J601" s="811"/>
      <c r="K601" s="811"/>
      <c r="L601" s="811"/>
      <c r="M601" s="811"/>
      <c r="N601" s="811"/>
      <c r="O601" s="811"/>
      <c r="P601" s="811"/>
      <c r="Q601" s="811"/>
      <c r="R601" s="811"/>
      <c r="S601" s="811"/>
      <c r="T601" s="811"/>
      <c r="U601" s="811"/>
      <c r="V601" s="811"/>
      <c r="W601" s="811"/>
      <c r="X601" s="811"/>
      <c r="Y601" s="719"/>
      <c r="Z601" s="719"/>
      <c r="AA601" s="719"/>
      <c r="AB601" s="719"/>
      <c r="AC601" s="719"/>
      <c r="AD601" s="719"/>
      <c r="AE601" s="719"/>
      <c r="AF601" s="719"/>
      <c r="AG601" s="719"/>
      <c r="AH601" s="719"/>
      <c r="AI601" s="719"/>
      <c r="AJ601" s="719"/>
      <c r="AK601" s="719"/>
      <c r="AL601" s="719"/>
      <c r="AM601" s="719"/>
      <c r="AN601" s="719"/>
      <c r="AO601" s="719"/>
      <c r="AP601" s="719"/>
      <c r="AQ601" s="719"/>
      <c r="AR601" s="719"/>
      <c r="AS601" s="719"/>
      <c r="AT601" s="719"/>
      <c r="AU601" s="719"/>
      <c r="AV601" s="719"/>
      <c r="AW601" s="719"/>
      <c r="AX601" s="719"/>
      <c r="AY601" s="719"/>
      <c r="AZ601" s="719"/>
      <c r="BA601" s="719"/>
      <c r="BB601" s="719"/>
      <c r="BC601" s="719"/>
      <c r="BD601" s="719"/>
      <c r="BE601" s="719"/>
      <c r="BF601" s="719"/>
      <c r="BG601" s="719"/>
      <c r="BH601" s="719"/>
      <c r="BI601" s="719"/>
      <c r="BJ601" s="719"/>
    </row>
    <row r="602" spans="2:62" ht="15.75" customHeight="1">
      <c r="B602" s="497"/>
      <c r="C602" s="811"/>
      <c r="D602" s="811"/>
      <c r="E602" s="811"/>
      <c r="F602" s="811"/>
      <c r="G602" s="811"/>
      <c r="H602" s="811"/>
      <c r="I602" s="811"/>
      <c r="J602" s="811"/>
      <c r="K602" s="811"/>
      <c r="L602" s="811"/>
      <c r="M602" s="811"/>
      <c r="N602" s="811"/>
      <c r="O602" s="811"/>
      <c r="P602" s="811"/>
      <c r="Q602" s="811"/>
      <c r="R602" s="811"/>
      <c r="S602" s="811"/>
      <c r="T602" s="811"/>
      <c r="U602" s="811"/>
      <c r="V602" s="811"/>
      <c r="W602" s="811"/>
      <c r="X602" s="811"/>
      <c r="Y602" s="719"/>
      <c r="Z602" s="719"/>
      <c r="AA602" s="719"/>
      <c r="AB602" s="719"/>
      <c r="AC602" s="719"/>
      <c r="AD602" s="719"/>
      <c r="AE602" s="719"/>
      <c r="AF602" s="719"/>
      <c r="AG602" s="719"/>
      <c r="AH602" s="719"/>
      <c r="AI602" s="719"/>
      <c r="AJ602" s="719"/>
      <c r="AK602" s="719"/>
      <c r="AL602" s="719"/>
      <c r="AM602" s="719"/>
      <c r="AN602" s="719"/>
      <c r="AO602" s="719"/>
      <c r="AP602" s="719"/>
      <c r="AQ602" s="719"/>
      <c r="AR602" s="719"/>
      <c r="AS602" s="719"/>
      <c r="AT602" s="719"/>
      <c r="AU602" s="719"/>
      <c r="AV602" s="719"/>
      <c r="AW602" s="719"/>
      <c r="AX602" s="719"/>
      <c r="AY602" s="719"/>
      <c r="AZ602" s="719"/>
      <c r="BA602" s="719"/>
      <c r="BB602" s="719"/>
      <c r="BC602" s="719"/>
      <c r="BD602" s="719"/>
      <c r="BE602" s="719"/>
      <c r="BF602" s="719"/>
      <c r="BG602" s="719"/>
      <c r="BH602" s="719"/>
      <c r="BI602" s="719"/>
      <c r="BJ602" s="719"/>
    </row>
    <row r="603" spans="2:62" ht="15.75" customHeight="1">
      <c r="B603" s="497"/>
      <c r="C603" s="811"/>
      <c r="D603" s="811"/>
      <c r="E603" s="811"/>
      <c r="F603" s="811"/>
      <c r="G603" s="811"/>
      <c r="H603" s="811"/>
      <c r="I603" s="811"/>
      <c r="J603" s="811"/>
      <c r="K603" s="811"/>
      <c r="L603" s="811"/>
      <c r="M603" s="811"/>
      <c r="N603" s="811"/>
      <c r="O603" s="811"/>
      <c r="P603" s="811"/>
      <c r="Q603" s="811"/>
      <c r="R603" s="811"/>
      <c r="S603" s="811"/>
      <c r="T603" s="811"/>
      <c r="U603" s="811"/>
      <c r="V603" s="811"/>
      <c r="W603" s="811"/>
      <c r="X603" s="811"/>
      <c r="Y603" s="719"/>
      <c r="Z603" s="719"/>
      <c r="AA603" s="719"/>
      <c r="AB603" s="719"/>
      <c r="AC603" s="719"/>
      <c r="AD603" s="719"/>
      <c r="AE603" s="719"/>
      <c r="AF603" s="719"/>
      <c r="AG603" s="719"/>
      <c r="AH603" s="719"/>
      <c r="AI603" s="719"/>
      <c r="AJ603" s="719"/>
      <c r="AK603" s="719"/>
      <c r="AL603" s="719"/>
      <c r="AM603" s="719"/>
      <c r="AN603" s="719"/>
      <c r="AO603" s="719"/>
      <c r="AP603" s="719"/>
      <c r="AQ603" s="719"/>
      <c r="AR603" s="719"/>
      <c r="AS603" s="719"/>
      <c r="AT603" s="719"/>
      <c r="AU603" s="719"/>
      <c r="AV603" s="719"/>
      <c r="AW603" s="719"/>
      <c r="AX603" s="719"/>
      <c r="AY603" s="719"/>
      <c r="AZ603" s="719"/>
      <c r="BA603" s="719"/>
      <c r="BB603" s="719"/>
      <c r="BC603" s="719"/>
      <c r="BD603" s="719"/>
      <c r="BE603" s="719"/>
      <c r="BF603" s="719"/>
      <c r="BG603" s="719"/>
      <c r="BH603" s="719"/>
      <c r="BI603" s="719"/>
      <c r="BJ603" s="719"/>
    </row>
    <row r="604" spans="2:62" ht="15.75" customHeight="1">
      <c r="B604" s="497"/>
      <c r="C604" s="811"/>
      <c r="D604" s="811"/>
      <c r="E604" s="811"/>
      <c r="F604" s="811"/>
      <c r="G604" s="811"/>
      <c r="H604" s="811"/>
      <c r="I604" s="811"/>
      <c r="J604" s="811"/>
      <c r="K604" s="811"/>
      <c r="L604" s="811"/>
      <c r="M604" s="811"/>
      <c r="N604" s="811"/>
      <c r="O604" s="811"/>
      <c r="P604" s="811"/>
      <c r="Q604" s="811"/>
      <c r="R604" s="811"/>
      <c r="S604" s="811"/>
      <c r="T604" s="811"/>
      <c r="U604" s="811"/>
      <c r="V604" s="811"/>
      <c r="W604" s="811"/>
      <c r="X604" s="811"/>
      <c r="Y604" s="719"/>
      <c r="Z604" s="719"/>
      <c r="AA604" s="719"/>
      <c r="AB604" s="719"/>
      <c r="AC604" s="719"/>
      <c r="AD604" s="719"/>
      <c r="AE604" s="719"/>
      <c r="AF604" s="719"/>
      <c r="AG604" s="719"/>
      <c r="AH604" s="719"/>
      <c r="AI604" s="719"/>
      <c r="AJ604" s="719"/>
      <c r="AK604" s="719"/>
      <c r="AL604" s="719"/>
      <c r="AM604" s="719"/>
      <c r="AN604" s="719"/>
      <c r="AO604" s="719"/>
      <c r="AP604" s="719"/>
      <c r="AQ604" s="719"/>
      <c r="AR604" s="719"/>
      <c r="AS604" s="719"/>
      <c r="AT604" s="719"/>
      <c r="AU604" s="719"/>
      <c r="AV604" s="719"/>
      <c r="AW604" s="719"/>
      <c r="AX604" s="719"/>
      <c r="AY604" s="719"/>
      <c r="AZ604" s="719"/>
      <c r="BA604" s="719"/>
      <c r="BB604" s="719"/>
      <c r="BC604" s="719"/>
      <c r="BD604" s="719"/>
      <c r="BE604" s="719"/>
      <c r="BF604" s="719"/>
      <c r="BG604" s="719"/>
      <c r="BH604" s="719"/>
      <c r="BI604" s="719"/>
      <c r="BJ604" s="719"/>
    </row>
    <row r="605" spans="2:62" ht="15.75" customHeight="1">
      <c r="B605" s="497"/>
      <c r="C605" s="811"/>
      <c r="D605" s="811"/>
      <c r="E605" s="811"/>
      <c r="F605" s="811"/>
      <c r="G605" s="811"/>
      <c r="H605" s="811"/>
      <c r="I605" s="811"/>
      <c r="J605" s="811"/>
      <c r="K605" s="811"/>
      <c r="L605" s="811"/>
      <c r="M605" s="811"/>
      <c r="N605" s="811"/>
      <c r="O605" s="811"/>
      <c r="P605" s="811"/>
      <c r="Q605" s="811"/>
      <c r="R605" s="811"/>
      <c r="S605" s="811"/>
      <c r="T605" s="811"/>
      <c r="U605" s="811"/>
      <c r="V605" s="811"/>
      <c r="W605" s="811"/>
      <c r="X605" s="811"/>
      <c r="Y605" s="719"/>
      <c r="Z605" s="719"/>
      <c r="AA605" s="719"/>
      <c r="AB605" s="719"/>
      <c r="AC605" s="719"/>
      <c r="AD605" s="719"/>
      <c r="AE605" s="719"/>
      <c r="AF605" s="719"/>
      <c r="AG605" s="719"/>
      <c r="AH605" s="719"/>
      <c r="AI605" s="719"/>
      <c r="AJ605" s="719"/>
      <c r="AK605" s="719"/>
      <c r="AL605" s="719"/>
      <c r="AM605" s="719"/>
      <c r="AN605" s="719"/>
      <c r="AO605" s="719"/>
      <c r="AP605" s="719"/>
      <c r="AQ605" s="719"/>
      <c r="AR605" s="719"/>
      <c r="AS605" s="719"/>
      <c r="AT605" s="719"/>
      <c r="AU605" s="719"/>
      <c r="AV605" s="719"/>
      <c r="AW605" s="719"/>
      <c r="AX605" s="719"/>
      <c r="AY605" s="719"/>
      <c r="AZ605" s="719"/>
      <c r="BA605" s="719"/>
      <c r="BB605" s="719"/>
      <c r="BC605" s="719"/>
      <c r="BD605" s="719"/>
      <c r="BE605" s="719"/>
      <c r="BF605" s="719"/>
      <c r="BG605" s="719"/>
      <c r="BH605" s="719"/>
      <c r="BI605" s="719"/>
      <c r="BJ605" s="719"/>
    </row>
    <row r="606" spans="2:62" ht="15.75" customHeight="1">
      <c r="B606" s="497"/>
      <c r="C606" s="811"/>
      <c r="D606" s="811"/>
      <c r="E606" s="811"/>
      <c r="F606" s="811"/>
      <c r="G606" s="811"/>
      <c r="H606" s="811"/>
      <c r="I606" s="811"/>
      <c r="J606" s="811"/>
      <c r="K606" s="811"/>
      <c r="L606" s="811"/>
      <c r="M606" s="811"/>
      <c r="N606" s="811"/>
      <c r="O606" s="811"/>
      <c r="P606" s="811"/>
      <c r="Q606" s="811"/>
      <c r="R606" s="811"/>
      <c r="S606" s="811"/>
      <c r="T606" s="811"/>
      <c r="U606" s="811"/>
      <c r="V606" s="811"/>
      <c r="W606" s="811"/>
      <c r="X606" s="811"/>
      <c r="Y606" s="719"/>
      <c r="Z606" s="719"/>
      <c r="AA606" s="719"/>
      <c r="AB606" s="719"/>
      <c r="AC606" s="719"/>
      <c r="AD606" s="719"/>
      <c r="AE606" s="719"/>
      <c r="AF606" s="719"/>
      <c r="AG606" s="719"/>
      <c r="AH606" s="719"/>
      <c r="AI606" s="719"/>
      <c r="AJ606" s="719"/>
      <c r="AK606" s="719"/>
      <c r="AL606" s="719"/>
      <c r="AM606" s="719"/>
      <c r="AN606" s="719"/>
      <c r="AO606" s="719"/>
      <c r="AP606" s="719"/>
      <c r="AQ606" s="719"/>
      <c r="AR606" s="719"/>
      <c r="AS606" s="719"/>
      <c r="AT606" s="719"/>
      <c r="AU606" s="719"/>
      <c r="AV606" s="719"/>
      <c r="AW606" s="719"/>
      <c r="AX606" s="719"/>
      <c r="AY606" s="719"/>
      <c r="AZ606" s="719"/>
      <c r="BA606" s="719"/>
      <c r="BB606" s="719"/>
      <c r="BC606" s="719"/>
      <c r="BD606" s="719"/>
      <c r="BE606" s="719"/>
      <c r="BF606" s="719"/>
      <c r="BG606" s="719"/>
      <c r="BH606" s="719"/>
      <c r="BI606" s="719"/>
      <c r="BJ606" s="719"/>
    </row>
    <row r="607" spans="2:62" ht="15.75" customHeight="1">
      <c r="B607" s="497"/>
      <c r="C607" s="811"/>
      <c r="D607" s="811"/>
      <c r="E607" s="811"/>
      <c r="F607" s="811"/>
      <c r="G607" s="811"/>
      <c r="H607" s="811"/>
      <c r="I607" s="811"/>
      <c r="J607" s="811"/>
      <c r="K607" s="811"/>
      <c r="L607" s="811"/>
      <c r="M607" s="811"/>
      <c r="N607" s="811"/>
      <c r="O607" s="811"/>
      <c r="P607" s="811"/>
      <c r="Q607" s="811"/>
      <c r="R607" s="811"/>
      <c r="S607" s="811"/>
      <c r="T607" s="811"/>
      <c r="U607" s="811"/>
      <c r="V607" s="811"/>
      <c r="W607" s="811"/>
      <c r="X607" s="811"/>
      <c r="Y607" s="719"/>
      <c r="Z607" s="719"/>
      <c r="AA607" s="719"/>
      <c r="AB607" s="719"/>
      <c r="AC607" s="719"/>
      <c r="AD607" s="719"/>
      <c r="AE607" s="719"/>
      <c r="AF607" s="719"/>
      <c r="AG607" s="719"/>
      <c r="AH607" s="719"/>
      <c r="AI607" s="719"/>
      <c r="AJ607" s="719"/>
      <c r="AK607" s="719"/>
      <c r="AL607" s="719"/>
      <c r="AM607" s="719"/>
      <c r="AN607" s="719"/>
      <c r="AO607" s="719"/>
      <c r="AP607" s="719"/>
      <c r="AQ607" s="719"/>
      <c r="AR607" s="719"/>
      <c r="AS607" s="719"/>
      <c r="AT607" s="719"/>
      <c r="AU607" s="719"/>
      <c r="AV607" s="719"/>
      <c r="AW607" s="719"/>
      <c r="AX607" s="719"/>
      <c r="AY607" s="719"/>
      <c r="AZ607" s="719"/>
      <c r="BA607" s="719"/>
      <c r="BB607" s="719"/>
      <c r="BC607" s="719"/>
      <c r="BD607" s="719"/>
      <c r="BE607" s="719"/>
      <c r="BF607" s="719"/>
      <c r="BG607" s="719"/>
      <c r="BH607" s="719"/>
      <c r="BI607" s="719"/>
      <c r="BJ607" s="719"/>
    </row>
    <row r="608" spans="2:62" ht="15.75" customHeight="1">
      <c r="B608" s="497"/>
      <c r="C608" s="811"/>
      <c r="D608" s="811"/>
      <c r="E608" s="811"/>
      <c r="F608" s="811"/>
      <c r="G608" s="811"/>
      <c r="H608" s="811"/>
      <c r="I608" s="811"/>
      <c r="J608" s="811"/>
      <c r="K608" s="811"/>
      <c r="L608" s="811"/>
      <c r="M608" s="811"/>
      <c r="N608" s="811"/>
      <c r="O608" s="811"/>
      <c r="P608" s="811"/>
      <c r="Q608" s="811"/>
      <c r="R608" s="811"/>
      <c r="S608" s="811"/>
      <c r="T608" s="811"/>
      <c r="U608" s="811"/>
      <c r="V608" s="811"/>
      <c r="W608" s="811"/>
      <c r="X608" s="811"/>
      <c r="Y608" s="719"/>
      <c r="Z608" s="719"/>
      <c r="AA608" s="719"/>
      <c r="AB608" s="719"/>
      <c r="AC608" s="719"/>
      <c r="AD608" s="719"/>
      <c r="AE608" s="719"/>
      <c r="AF608" s="719"/>
      <c r="AG608" s="719"/>
      <c r="AH608" s="719"/>
      <c r="AI608" s="719"/>
      <c r="AJ608" s="719"/>
      <c r="AK608" s="719"/>
      <c r="AL608" s="719"/>
      <c r="AM608" s="719"/>
      <c r="AN608" s="719"/>
      <c r="AO608" s="719"/>
      <c r="AP608" s="719"/>
      <c r="AQ608" s="719"/>
      <c r="AR608" s="719"/>
      <c r="AS608" s="719"/>
      <c r="AT608" s="719"/>
      <c r="AU608" s="719"/>
      <c r="AV608" s="719"/>
      <c r="AW608" s="719"/>
      <c r="AX608" s="719"/>
      <c r="AY608" s="719"/>
      <c r="AZ608" s="719"/>
      <c r="BA608" s="719"/>
      <c r="BB608" s="719"/>
      <c r="BC608" s="719"/>
      <c r="BD608" s="719"/>
      <c r="BE608" s="719"/>
      <c r="BF608" s="719"/>
      <c r="BG608" s="719"/>
      <c r="BH608" s="719"/>
      <c r="BI608" s="719"/>
      <c r="BJ608" s="719"/>
    </row>
    <row r="609" spans="2:62" ht="15.75" customHeight="1">
      <c r="B609" s="497"/>
      <c r="C609" s="811"/>
      <c r="D609" s="811"/>
      <c r="E609" s="811"/>
      <c r="F609" s="811"/>
      <c r="G609" s="811"/>
      <c r="H609" s="811"/>
      <c r="I609" s="811"/>
      <c r="J609" s="811"/>
      <c r="K609" s="811"/>
      <c r="L609" s="811"/>
      <c r="M609" s="811"/>
      <c r="N609" s="811"/>
      <c r="O609" s="811"/>
      <c r="P609" s="811"/>
      <c r="Q609" s="811"/>
      <c r="R609" s="811"/>
      <c r="S609" s="811"/>
      <c r="T609" s="811"/>
      <c r="U609" s="811"/>
      <c r="V609" s="811"/>
      <c r="W609" s="811"/>
      <c r="X609" s="811"/>
      <c r="Y609" s="719"/>
      <c r="Z609" s="719"/>
      <c r="AA609" s="719"/>
      <c r="AB609" s="719"/>
      <c r="AC609" s="719"/>
      <c r="AD609" s="719"/>
      <c r="AE609" s="719"/>
      <c r="AF609" s="719"/>
      <c r="AG609" s="719"/>
      <c r="AH609" s="719"/>
      <c r="AI609" s="719"/>
      <c r="AJ609" s="719"/>
      <c r="AK609" s="719"/>
      <c r="AL609" s="719"/>
      <c r="AM609" s="719"/>
      <c r="AN609" s="719"/>
      <c r="AO609" s="719"/>
      <c r="AP609" s="719"/>
      <c r="AQ609" s="719"/>
      <c r="AR609" s="719"/>
      <c r="AS609" s="719"/>
      <c r="AT609" s="719"/>
      <c r="AU609" s="719"/>
      <c r="AV609" s="719"/>
      <c r="AW609" s="719"/>
      <c r="AX609" s="719"/>
      <c r="AY609" s="719"/>
      <c r="AZ609" s="719"/>
      <c r="BA609" s="719"/>
      <c r="BB609" s="719"/>
      <c r="BC609" s="719"/>
      <c r="BD609" s="719"/>
      <c r="BE609" s="719"/>
      <c r="BF609" s="719"/>
      <c r="BG609" s="719"/>
      <c r="BH609" s="719"/>
      <c r="BI609" s="719"/>
      <c r="BJ609" s="719"/>
    </row>
    <row r="610" spans="2:62" ht="15.75" customHeight="1">
      <c r="B610" s="497"/>
      <c r="C610" s="811"/>
      <c r="D610" s="811"/>
      <c r="E610" s="811"/>
      <c r="F610" s="811"/>
      <c r="G610" s="811"/>
      <c r="H610" s="811"/>
      <c r="I610" s="811"/>
      <c r="J610" s="811"/>
      <c r="K610" s="811"/>
      <c r="L610" s="811"/>
      <c r="M610" s="811"/>
      <c r="N610" s="811"/>
      <c r="O610" s="811"/>
      <c r="P610" s="811"/>
      <c r="Q610" s="811"/>
      <c r="R610" s="811"/>
      <c r="S610" s="811"/>
      <c r="T610" s="811"/>
      <c r="U610" s="811"/>
      <c r="V610" s="811"/>
      <c r="W610" s="811"/>
      <c r="X610" s="811"/>
      <c r="Y610" s="719"/>
      <c r="Z610" s="719"/>
      <c r="AA610" s="719"/>
      <c r="AB610" s="719"/>
      <c r="AC610" s="719"/>
      <c r="AD610" s="719"/>
      <c r="AE610" s="719"/>
      <c r="AF610" s="719"/>
      <c r="AG610" s="719"/>
      <c r="AH610" s="719"/>
      <c r="AI610" s="719"/>
      <c r="AJ610" s="719"/>
      <c r="AK610" s="719"/>
      <c r="AL610" s="719"/>
      <c r="AM610" s="719"/>
      <c r="AN610" s="719"/>
      <c r="AO610" s="719"/>
      <c r="AP610" s="719"/>
      <c r="AQ610" s="719"/>
      <c r="AR610" s="719"/>
      <c r="AS610" s="719"/>
      <c r="AT610" s="719"/>
      <c r="AU610" s="719"/>
      <c r="AV610" s="719"/>
      <c r="AW610" s="719"/>
      <c r="AX610" s="719"/>
      <c r="AY610" s="719"/>
      <c r="AZ610" s="719"/>
      <c r="BA610" s="719"/>
      <c r="BB610" s="719"/>
      <c r="BC610" s="719"/>
      <c r="BD610" s="719"/>
      <c r="BE610" s="719"/>
      <c r="BF610" s="719"/>
      <c r="BG610" s="719"/>
      <c r="BH610" s="719"/>
      <c r="BI610" s="719"/>
      <c r="BJ610" s="719"/>
    </row>
    <row r="611" spans="2:62" ht="15.75" customHeight="1">
      <c r="B611" s="497"/>
      <c r="C611" s="811"/>
      <c r="D611" s="811"/>
      <c r="E611" s="811"/>
      <c r="F611" s="811"/>
      <c r="G611" s="811"/>
      <c r="H611" s="811"/>
      <c r="I611" s="811"/>
      <c r="J611" s="811"/>
      <c r="K611" s="811"/>
      <c r="L611" s="811"/>
      <c r="M611" s="811"/>
      <c r="N611" s="811"/>
      <c r="O611" s="811"/>
      <c r="P611" s="811"/>
      <c r="Q611" s="811"/>
      <c r="R611" s="811"/>
      <c r="S611" s="811"/>
      <c r="T611" s="811"/>
      <c r="U611" s="811"/>
      <c r="V611" s="811"/>
      <c r="W611" s="811"/>
      <c r="X611" s="811"/>
      <c r="Y611" s="719"/>
      <c r="Z611" s="719"/>
      <c r="AA611" s="719"/>
      <c r="AB611" s="719"/>
      <c r="AC611" s="719"/>
      <c r="AD611" s="719"/>
      <c r="AE611" s="719"/>
      <c r="AF611" s="719"/>
      <c r="AG611" s="719"/>
      <c r="AH611" s="719"/>
      <c r="AI611" s="719"/>
      <c r="AJ611" s="719"/>
      <c r="AK611" s="719"/>
      <c r="AL611" s="719"/>
      <c r="AM611" s="719"/>
      <c r="AN611" s="719"/>
      <c r="AO611" s="719"/>
      <c r="AP611" s="719"/>
      <c r="AQ611" s="719"/>
      <c r="AR611" s="719"/>
      <c r="AS611" s="719"/>
      <c r="AT611" s="719"/>
      <c r="AU611" s="719"/>
      <c r="AV611" s="719"/>
      <c r="AW611" s="719"/>
      <c r="AX611" s="719"/>
      <c r="AY611" s="719"/>
      <c r="AZ611" s="719"/>
      <c r="BA611" s="719"/>
      <c r="BB611" s="719"/>
      <c r="BC611" s="719"/>
      <c r="BD611" s="719"/>
      <c r="BE611" s="719"/>
      <c r="BF611" s="719"/>
      <c r="BG611" s="719"/>
      <c r="BH611" s="719"/>
      <c r="BI611" s="719"/>
      <c r="BJ611" s="719"/>
    </row>
    <row r="612" spans="2:62" ht="15.75" customHeight="1">
      <c r="B612" s="497"/>
      <c r="C612" s="811"/>
      <c r="D612" s="811"/>
      <c r="E612" s="811"/>
      <c r="F612" s="811"/>
      <c r="G612" s="811"/>
      <c r="H612" s="811"/>
      <c r="I612" s="811"/>
      <c r="J612" s="811"/>
      <c r="K612" s="811"/>
      <c r="L612" s="811"/>
      <c r="M612" s="811"/>
      <c r="N612" s="811"/>
      <c r="O612" s="811"/>
      <c r="P612" s="811"/>
      <c r="Q612" s="811"/>
      <c r="R612" s="811"/>
      <c r="S612" s="811"/>
      <c r="T612" s="811"/>
      <c r="U612" s="811"/>
      <c r="V612" s="811"/>
      <c r="W612" s="811"/>
      <c r="X612" s="811"/>
      <c r="Y612" s="719"/>
      <c r="Z612" s="719"/>
      <c r="AA612" s="719"/>
      <c r="AB612" s="719"/>
      <c r="AC612" s="719"/>
      <c r="AD612" s="719"/>
      <c r="AE612" s="719"/>
      <c r="AF612" s="719"/>
      <c r="AG612" s="719"/>
      <c r="AH612" s="719"/>
      <c r="AI612" s="719"/>
      <c r="AJ612" s="719"/>
      <c r="AK612" s="719"/>
      <c r="AL612" s="719"/>
      <c r="AM612" s="719"/>
      <c r="AN612" s="719"/>
      <c r="AO612" s="719"/>
      <c r="AP612" s="719"/>
      <c r="AQ612" s="719"/>
      <c r="AR612" s="719"/>
      <c r="AS612" s="719"/>
      <c r="AT612" s="719"/>
      <c r="AU612" s="719"/>
      <c r="AV612" s="719"/>
      <c r="AW612" s="719"/>
      <c r="AX612" s="719"/>
      <c r="AY612" s="719"/>
      <c r="AZ612" s="719"/>
      <c r="BA612" s="719"/>
      <c r="BB612" s="719"/>
      <c r="BC612" s="719"/>
      <c r="BD612" s="719"/>
      <c r="BE612" s="719"/>
      <c r="BF612" s="719"/>
      <c r="BG612" s="719"/>
      <c r="BH612" s="719"/>
      <c r="BI612" s="719"/>
      <c r="BJ612" s="719"/>
    </row>
    <row r="613" spans="2:62" ht="15.75" customHeight="1">
      <c r="B613" s="497"/>
      <c r="C613" s="811"/>
      <c r="D613" s="811"/>
      <c r="E613" s="811"/>
      <c r="F613" s="811"/>
      <c r="G613" s="811"/>
      <c r="H613" s="811"/>
      <c r="I613" s="811"/>
      <c r="J613" s="811"/>
      <c r="K613" s="811"/>
      <c r="L613" s="811"/>
      <c r="M613" s="811"/>
      <c r="N613" s="811"/>
      <c r="O613" s="811"/>
      <c r="P613" s="811"/>
      <c r="Q613" s="811"/>
      <c r="R613" s="811"/>
      <c r="S613" s="811"/>
      <c r="T613" s="811"/>
      <c r="U613" s="811"/>
      <c r="V613" s="811"/>
      <c r="W613" s="811"/>
      <c r="X613" s="811"/>
      <c r="Y613" s="719"/>
      <c r="Z613" s="719"/>
      <c r="AA613" s="719"/>
      <c r="AB613" s="719"/>
      <c r="AC613" s="719"/>
      <c r="AD613" s="719"/>
      <c r="AE613" s="719"/>
      <c r="AF613" s="719"/>
      <c r="AG613" s="719"/>
      <c r="AH613" s="719"/>
      <c r="AI613" s="719"/>
      <c r="AJ613" s="719"/>
      <c r="AK613" s="719"/>
      <c r="AL613" s="719"/>
      <c r="AM613" s="719"/>
      <c r="AN613" s="719"/>
      <c r="AO613" s="719"/>
      <c r="AP613" s="719"/>
      <c r="AQ613" s="719"/>
      <c r="AR613" s="719"/>
      <c r="AS613" s="719"/>
      <c r="AT613" s="719"/>
      <c r="AU613" s="719"/>
      <c r="AV613" s="719"/>
      <c r="AW613" s="719"/>
      <c r="AX613" s="719"/>
      <c r="AY613" s="719"/>
      <c r="AZ613" s="719"/>
      <c r="BA613" s="719"/>
      <c r="BB613" s="719"/>
      <c r="BC613" s="719"/>
      <c r="BD613" s="719"/>
      <c r="BE613" s="719"/>
      <c r="BF613" s="719"/>
      <c r="BG613" s="719"/>
      <c r="BH613" s="719"/>
      <c r="BI613" s="719"/>
      <c r="BJ613" s="719"/>
    </row>
    <row r="614" spans="2:62" ht="15.75" customHeight="1">
      <c r="B614" s="497"/>
      <c r="C614" s="811"/>
      <c r="D614" s="811"/>
      <c r="E614" s="811"/>
      <c r="F614" s="811"/>
      <c r="G614" s="811"/>
      <c r="H614" s="811"/>
      <c r="I614" s="811"/>
      <c r="J614" s="811"/>
      <c r="K614" s="811"/>
      <c r="L614" s="811"/>
      <c r="M614" s="811"/>
      <c r="N614" s="811"/>
      <c r="O614" s="811"/>
      <c r="P614" s="811"/>
      <c r="Q614" s="811"/>
      <c r="R614" s="811"/>
      <c r="S614" s="811"/>
      <c r="T614" s="811"/>
      <c r="U614" s="811"/>
      <c r="V614" s="811"/>
      <c r="W614" s="811"/>
      <c r="X614" s="811"/>
      <c r="Y614" s="719"/>
      <c r="Z614" s="719"/>
      <c r="AA614" s="719"/>
      <c r="AB614" s="719"/>
      <c r="AC614" s="719"/>
      <c r="AD614" s="719"/>
      <c r="AE614" s="719"/>
      <c r="AF614" s="719"/>
      <c r="AG614" s="719"/>
      <c r="AH614" s="719"/>
      <c r="AI614" s="719"/>
      <c r="AJ614" s="719"/>
      <c r="AK614" s="719"/>
      <c r="AL614" s="719"/>
      <c r="AM614" s="719"/>
      <c r="AN614" s="719"/>
      <c r="AO614" s="719"/>
      <c r="AP614" s="719"/>
      <c r="AQ614" s="719"/>
      <c r="AR614" s="719"/>
      <c r="AS614" s="719"/>
      <c r="AT614" s="719"/>
      <c r="AU614" s="719"/>
      <c r="AV614" s="719"/>
      <c r="AW614" s="719"/>
      <c r="AX614" s="719"/>
      <c r="AY614" s="719"/>
      <c r="AZ614" s="719"/>
      <c r="BA614" s="719"/>
      <c r="BB614" s="719"/>
      <c r="BC614" s="719"/>
      <c r="BD614" s="719"/>
      <c r="BE614" s="719"/>
      <c r="BF614" s="719"/>
      <c r="BG614" s="719"/>
      <c r="BH614" s="719"/>
      <c r="BI614" s="719"/>
      <c r="BJ614" s="719"/>
    </row>
    <row r="615" spans="2:62" ht="15.75" customHeight="1">
      <c r="B615" s="497"/>
      <c r="C615" s="811"/>
      <c r="D615" s="811"/>
      <c r="E615" s="811"/>
      <c r="F615" s="811"/>
      <c r="G615" s="811"/>
      <c r="H615" s="811"/>
      <c r="I615" s="811"/>
      <c r="J615" s="811"/>
      <c r="K615" s="811"/>
      <c r="L615" s="811"/>
      <c r="M615" s="811"/>
      <c r="N615" s="811"/>
      <c r="O615" s="811"/>
      <c r="P615" s="811"/>
      <c r="Q615" s="811"/>
      <c r="R615" s="811"/>
      <c r="S615" s="811"/>
      <c r="T615" s="811"/>
      <c r="U615" s="811"/>
      <c r="V615" s="811"/>
      <c r="W615" s="811"/>
      <c r="X615" s="811"/>
      <c r="Y615" s="719"/>
      <c r="Z615" s="719"/>
      <c r="AA615" s="719"/>
      <c r="AB615" s="719"/>
      <c r="AC615" s="719"/>
      <c r="AD615" s="719"/>
      <c r="AE615" s="719"/>
      <c r="AF615" s="719"/>
      <c r="AG615" s="719"/>
      <c r="AH615" s="719"/>
      <c r="AI615" s="719"/>
      <c r="AJ615" s="719"/>
      <c r="AK615" s="719"/>
      <c r="AL615" s="719"/>
      <c r="AM615" s="719"/>
      <c r="AN615" s="719"/>
      <c r="AO615" s="719"/>
      <c r="AP615" s="719"/>
      <c r="AQ615" s="719"/>
      <c r="AR615" s="719"/>
      <c r="AS615" s="719"/>
      <c r="AT615" s="719"/>
      <c r="AU615" s="719"/>
      <c r="AV615" s="719"/>
      <c r="AW615" s="719"/>
      <c r="AX615" s="719"/>
      <c r="AY615" s="719"/>
      <c r="AZ615" s="719"/>
      <c r="BA615" s="719"/>
      <c r="BB615" s="719"/>
      <c r="BC615" s="719"/>
      <c r="BD615" s="719"/>
      <c r="BE615" s="719"/>
      <c r="BF615" s="719"/>
      <c r="BG615" s="719"/>
      <c r="BH615" s="719"/>
      <c r="BI615" s="719"/>
      <c r="BJ615" s="719"/>
    </row>
    <row r="616" spans="2:62" ht="15.75" customHeight="1">
      <c r="B616" s="497"/>
      <c r="C616" s="811"/>
      <c r="D616" s="811"/>
      <c r="E616" s="811"/>
      <c r="F616" s="811"/>
      <c r="G616" s="811"/>
      <c r="H616" s="811"/>
      <c r="I616" s="811"/>
      <c r="J616" s="811"/>
      <c r="K616" s="811"/>
      <c r="L616" s="811"/>
      <c r="M616" s="811"/>
      <c r="N616" s="811"/>
      <c r="O616" s="811"/>
      <c r="P616" s="811"/>
      <c r="Q616" s="811"/>
      <c r="R616" s="811"/>
      <c r="S616" s="811"/>
      <c r="T616" s="811"/>
      <c r="U616" s="811"/>
      <c r="V616" s="811"/>
      <c r="W616" s="811"/>
      <c r="X616" s="811"/>
      <c r="Y616" s="719"/>
      <c r="Z616" s="719"/>
      <c r="AA616" s="719"/>
      <c r="AB616" s="719"/>
      <c r="AC616" s="719"/>
      <c r="AD616" s="719"/>
      <c r="AE616" s="719"/>
      <c r="AF616" s="719"/>
      <c r="AG616" s="719"/>
      <c r="AH616" s="719"/>
      <c r="AI616" s="719"/>
      <c r="AJ616" s="719"/>
      <c r="AK616" s="719"/>
      <c r="AL616" s="719"/>
      <c r="AM616" s="719"/>
      <c r="AN616" s="719"/>
      <c r="AO616" s="719"/>
      <c r="AP616" s="719"/>
      <c r="AQ616" s="719"/>
      <c r="AR616" s="719"/>
      <c r="AS616" s="719"/>
      <c r="AT616" s="719"/>
      <c r="AU616" s="719"/>
      <c r="AV616" s="719"/>
      <c r="AW616" s="719"/>
      <c r="AX616" s="719"/>
      <c r="AY616" s="719"/>
      <c r="AZ616" s="719"/>
      <c r="BA616" s="719"/>
      <c r="BB616" s="719"/>
      <c r="BC616" s="719"/>
      <c r="BD616" s="719"/>
      <c r="BE616" s="719"/>
      <c r="BF616" s="719"/>
      <c r="BG616" s="719"/>
      <c r="BH616" s="719"/>
      <c r="BI616" s="719"/>
      <c r="BJ616" s="719"/>
    </row>
    <row r="617" spans="2:62" ht="15.75" customHeight="1">
      <c r="B617" s="497"/>
      <c r="C617" s="811"/>
      <c r="D617" s="811"/>
      <c r="E617" s="811"/>
      <c r="F617" s="811"/>
      <c r="G617" s="811"/>
      <c r="H617" s="811"/>
      <c r="I617" s="811"/>
      <c r="J617" s="811"/>
      <c r="K617" s="811"/>
      <c r="L617" s="811"/>
      <c r="M617" s="811"/>
      <c r="N617" s="811"/>
      <c r="O617" s="811"/>
      <c r="P617" s="811"/>
      <c r="Q617" s="811"/>
      <c r="R617" s="811"/>
      <c r="S617" s="811"/>
      <c r="T617" s="811"/>
      <c r="U617" s="811"/>
      <c r="V617" s="811"/>
      <c r="W617" s="811"/>
      <c r="X617" s="811"/>
      <c r="Y617" s="719"/>
      <c r="Z617" s="719"/>
      <c r="AA617" s="719"/>
      <c r="AB617" s="719"/>
      <c r="AC617" s="719"/>
      <c r="AD617" s="719"/>
      <c r="AE617" s="719"/>
      <c r="AF617" s="719"/>
      <c r="AG617" s="719"/>
      <c r="AH617" s="719"/>
      <c r="AI617" s="719"/>
      <c r="AJ617" s="719"/>
      <c r="AK617" s="719"/>
      <c r="AL617" s="719"/>
      <c r="AM617" s="719"/>
      <c r="AN617" s="719"/>
      <c r="AO617" s="719"/>
      <c r="AP617" s="719"/>
      <c r="AQ617" s="719"/>
      <c r="AR617" s="719"/>
      <c r="AS617" s="719"/>
      <c r="AT617" s="719"/>
      <c r="AU617" s="719"/>
      <c r="AV617" s="719"/>
      <c r="AW617" s="719"/>
      <c r="AX617" s="719"/>
      <c r="AY617" s="719"/>
      <c r="AZ617" s="719"/>
      <c r="BA617" s="719"/>
      <c r="BB617" s="719"/>
      <c r="BC617" s="719"/>
      <c r="BD617" s="719"/>
      <c r="BE617" s="719"/>
      <c r="BF617" s="719"/>
      <c r="BG617" s="719"/>
      <c r="BH617" s="719"/>
      <c r="BI617" s="719"/>
      <c r="BJ617" s="719"/>
    </row>
    <row r="618" spans="2:62" ht="15.75" customHeight="1">
      <c r="B618" s="497"/>
      <c r="C618" s="811"/>
      <c r="D618" s="811"/>
      <c r="E618" s="811"/>
      <c r="F618" s="811"/>
      <c r="G618" s="811"/>
      <c r="H618" s="811"/>
      <c r="I618" s="811"/>
      <c r="J618" s="811"/>
      <c r="K618" s="811"/>
      <c r="L618" s="811"/>
      <c r="M618" s="811"/>
      <c r="N618" s="811"/>
      <c r="O618" s="811"/>
      <c r="P618" s="811"/>
      <c r="Q618" s="811"/>
      <c r="R618" s="811"/>
      <c r="S618" s="811"/>
      <c r="T618" s="811"/>
      <c r="U618" s="811"/>
      <c r="V618" s="811"/>
      <c r="W618" s="811"/>
      <c r="X618" s="811"/>
      <c r="Y618" s="719"/>
      <c r="Z618" s="719"/>
      <c r="AA618" s="719"/>
      <c r="AB618" s="719"/>
      <c r="AC618" s="719"/>
      <c r="AD618" s="719"/>
      <c r="AE618" s="719"/>
      <c r="AF618" s="719"/>
      <c r="AG618" s="719"/>
      <c r="AH618" s="719"/>
      <c r="AI618" s="719"/>
      <c r="AJ618" s="719"/>
      <c r="AK618" s="719"/>
      <c r="AL618" s="719"/>
      <c r="AM618" s="719"/>
      <c r="AN618" s="719"/>
      <c r="AO618" s="719"/>
      <c r="AP618" s="719"/>
      <c r="AQ618" s="719"/>
      <c r="AR618" s="719"/>
      <c r="AS618" s="719"/>
      <c r="AT618" s="719"/>
      <c r="AU618" s="719"/>
      <c r="AV618" s="719"/>
      <c r="AW618" s="719"/>
      <c r="AX618" s="719"/>
      <c r="AY618" s="719"/>
      <c r="AZ618" s="719"/>
      <c r="BA618" s="719"/>
      <c r="BB618" s="719"/>
      <c r="BC618" s="719"/>
      <c r="BD618" s="719"/>
      <c r="BE618" s="719"/>
      <c r="BF618" s="719"/>
      <c r="BG618" s="719"/>
      <c r="BH618" s="719"/>
      <c r="BI618" s="719"/>
      <c r="BJ618" s="719"/>
    </row>
    <row r="619" spans="2:62" ht="15.75" customHeight="1">
      <c r="B619" s="497"/>
      <c r="C619" s="811"/>
      <c r="D619" s="811"/>
      <c r="E619" s="811"/>
      <c r="F619" s="811"/>
      <c r="G619" s="811"/>
      <c r="H619" s="811"/>
      <c r="I619" s="811"/>
      <c r="J619" s="811"/>
      <c r="K619" s="811"/>
      <c r="L619" s="811"/>
      <c r="M619" s="811"/>
      <c r="N619" s="811"/>
      <c r="O619" s="811"/>
      <c r="P619" s="811"/>
      <c r="Q619" s="811"/>
      <c r="R619" s="811"/>
      <c r="S619" s="811"/>
      <c r="T619" s="811"/>
      <c r="U619" s="811"/>
      <c r="V619" s="811"/>
      <c r="W619" s="811"/>
      <c r="X619" s="811"/>
      <c r="Y619" s="719"/>
      <c r="Z619" s="719"/>
      <c r="AA619" s="719"/>
      <c r="AB619" s="719"/>
      <c r="AC619" s="719"/>
      <c r="AD619" s="719"/>
      <c r="AE619" s="719"/>
      <c r="AF619" s="719"/>
      <c r="AG619" s="719"/>
      <c r="AH619" s="719"/>
      <c r="AI619" s="719"/>
      <c r="AJ619" s="719"/>
      <c r="AK619" s="719"/>
      <c r="AL619" s="719"/>
      <c r="AM619" s="719"/>
      <c r="AN619" s="719"/>
      <c r="AO619" s="719"/>
      <c r="AP619" s="719"/>
      <c r="AQ619" s="719"/>
      <c r="AR619" s="719"/>
      <c r="AS619" s="719"/>
      <c r="AT619" s="719"/>
      <c r="AU619" s="719"/>
      <c r="AV619" s="719"/>
      <c r="AW619" s="719"/>
      <c r="AX619" s="719"/>
      <c r="AY619" s="719"/>
      <c r="AZ619" s="719"/>
      <c r="BA619" s="719"/>
      <c r="BB619" s="719"/>
      <c r="BC619" s="719"/>
      <c r="BD619" s="719"/>
      <c r="BE619" s="719"/>
      <c r="BF619" s="719"/>
      <c r="BG619" s="719"/>
      <c r="BH619" s="719"/>
      <c r="BI619" s="719"/>
      <c r="BJ619" s="719"/>
    </row>
    <row r="620" spans="2:62" ht="15.75" customHeight="1">
      <c r="B620" s="497"/>
      <c r="C620" s="811"/>
      <c r="D620" s="811"/>
      <c r="E620" s="811"/>
      <c r="F620" s="811"/>
      <c r="G620" s="811"/>
      <c r="H620" s="811"/>
      <c r="I620" s="811"/>
      <c r="J620" s="811"/>
      <c r="K620" s="811"/>
      <c r="L620" s="811"/>
      <c r="M620" s="811"/>
      <c r="N620" s="811"/>
      <c r="O620" s="811"/>
      <c r="P620" s="811"/>
      <c r="Q620" s="811"/>
      <c r="R620" s="811"/>
      <c r="S620" s="811"/>
      <c r="T620" s="811"/>
      <c r="U620" s="811"/>
      <c r="V620" s="811"/>
      <c r="W620" s="811"/>
      <c r="X620" s="811"/>
      <c r="Y620" s="719"/>
      <c r="Z620" s="719"/>
      <c r="AA620" s="719"/>
      <c r="AB620" s="719"/>
      <c r="AC620" s="719"/>
      <c r="AD620" s="719"/>
      <c r="AE620" s="719"/>
      <c r="AF620" s="719"/>
      <c r="AG620" s="719"/>
      <c r="AH620" s="719"/>
      <c r="AI620" s="719"/>
      <c r="AJ620" s="719"/>
      <c r="AK620" s="719"/>
      <c r="AL620" s="719"/>
      <c r="AM620" s="719"/>
      <c r="AN620" s="719"/>
      <c r="AO620" s="719"/>
      <c r="AP620" s="719"/>
      <c r="AQ620" s="719"/>
      <c r="AR620" s="719"/>
      <c r="AS620" s="719"/>
      <c r="AT620" s="719"/>
      <c r="AU620" s="719"/>
      <c r="AV620" s="719"/>
      <c r="AW620" s="719"/>
      <c r="AX620" s="719"/>
      <c r="AY620" s="719"/>
      <c r="AZ620" s="719"/>
      <c r="BA620" s="719"/>
      <c r="BB620" s="719"/>
      <c r="BC620" s="719"/>
      <c r="BD620" s="719"/>
      <c r="BE620" s="719"/>
      <c r="BF620" s="719"/>
      <c r="BG620" s="719"/>
      <c r="BH620" s="719"/>
      <c r="BI620" s="719"/>
      <c r="BJ620" s="719"/>
    </row>
    <row r="621" spans="2:62" ht="15.75" customHeight="1">
      <c r="B621" s="497"/>
      <c r="C621" s="811"/>
      <c r="D621" s="811"/>
      <c r="E621" s="811"/>
      <c r="F621" s="811"/>
      <c r="G621" s="811"/>
      <c r="H621" s="811"/>
      <c r="I621" s="811"/>
      <c r="J621" s="811"/>
      <c r="K621" s="811"/>
      <c r="L621" s="811"/>
      <c r="M621" s="811"/>
      <c r="N621" s="811"/>
      <c r="O621" s="811"/>
      <c r="P621" s="811"/>
      <c r="Q621" s="811"/>
      <c r="R621" s="811"/>
      <c r="S621" s="811"/>
      <c r="T621" s="811"/>
      <c r="U621" s="811"/>
      <c r="V621" s="811"/>
      <c r="W621" s="811"/>
      <c r="X621" s="811"/>
      <c r="Y621" s="719"/>
      <c r="Z621" s="719"/>
      <c r="AA621" s="719"/>
      <c r="AB621" s="719"/>
      <c r="AC621" s="719"/>
      <c r="AD621" s="719"/>
      <c r="AE621" s="719"/>
      <c r="AF621" s="719"/>
      <c r="AG621" s="719"/>
      <c r="AH621" s="719"/>
      <c r="AI621" s="719"/>
      <c r="AJ621" s="719"/>
      <c r="AK621" s="719"/>
      <c r="AL621" s="719"/>
      <c r="AM621" s="719"/>
      <c r="AN621" s="719"/>
      <c r="AO621" s="719"/>
      <c r="AP621" s="719"/>
      <c r="AQ621" s="719"/>
      <c r="AR621" s="719"/>
      <c r="AS621" s="719"/>
      <c r="AT621" s="719"/>
      <c r="AU621" s="719"/>
      <c r="AV621" s="719"/>
      <c r="AW621" s="719"/>
      <c r="AX621" s="719"/>
      <c r="AY621" s="719"/>
      <c r="AZ621" s="719"/>
      <c r="BA621" s="719"/>
      <c r="BB621" s="719"/>
      <c r="BC621" s="719"/>
      <c r="BD621" s="719"/>
      <c r="BE621" s="719"/>
      <c r="BF621" s="719"/>
      <c r="BG621" s="719"/>
      <c r="BH621" s="719"/>
      <c r="BI621" s="719"/>
      <c r="BJ621" s="719"/>
    </row>
    <row r="622" spans="2:62" ht="15.75" customHeight="1">
      <c r="B622" s="497"/>
      <c r="C622" s="811"/>
      <c r="D622" s="811"/>
      <c r="E622" s="811"/>
      <c r="F622" s="811"/>
      <c r="G622" s="811"/>
      <c r="H622" s="811"/>
      <c r="I622" s="811"/>
      <c r="J622" s="811"/>
      <c r="K622" s="811"/>
      <c r="L622" s="811"/>
      <c r="M622" s="811"/>
      <c r="N622" s="811"/>
      <c r="O622" s="811"/>
      <c r="P622" s="811"/>
      <c r="Q622" s="811"/>
      <c r="R622" s="811"/>
      <c r="S622" s="811"/>
      <c r="T622" s="811"/>
      <c r="U622" s="811"/>
      <c r="V622" s="811"/>
      <c r="W622" s="811"/>
      <c r="X622" s="811"/>
      <c r="Y622" s="719"/>
      <c r="Z622" s="719"/>
      <c r="AA622" s="719"/>
      <c r="AB622" s="719"/>
      <c r="AC622" s="719"/>
      <c r="AD622" s="719"/>
      <c r="AE622" s="719"/>
      <c r="AF622" s="719"/>
      <c r="AG622" s="719"/>
      <c r="AH622" s="719"/>
      <c r="AI622" s="719"/>
      <c r="AJ622" s="719"/>
      <c r="AK622" s="719"/>
      <c r="AL622" s="719"/>
      <c r="AM622" s="719"/>
      <c r="AN622" s="719"/>
      <c r="AO622" s="719"/>
      <c r="AP622" s="719"/>
      <c r="AQ622" s="719"/>
      <c r="AR622" s="719"/>
      <c r="AS622" s="719"/>
      <c r="AT622" s="719"/>
      <c r="AU622" s="719"/>
      <c r="AV622" s="719"/>
      <c r="AW622" s="719"/>
      <c r="AX622" s="719"/>
      <c r="AY622" s="719"/>
      <c r="AZ622" s="719"/>
      <c r="BA622" s="719"/>
      <c r="BB622" s="719"/>
      <c r="BC622" s="719"/>
      <c r="BD622" s="719"/>
      <c r="BE622" s="719"/>
      <c r="BF622" s="719"/>
      <c r="BG622" s="719"/>
      <c r="BH622" s="719"/>
      <c r="BI622" s="719"/>
      <c r="BJ622" s="719"/>
    </row>
    <row r="623" spans="2:62" ht="15.75" customHeight="1">
      <c r="B623" s="497"/>
      <c r="C623" s="811"/>
      <c r="D623" s="811"/>
      <c r="E623" s="811"/>
      <c r="F623" s="811"/>
      <c r="G623" s="811"/>
      <c r="H623" s="811"/>
      <c r="I623" s="811"/>
      <c r="J623" s="811"/>
      <c r="K623" s="811"/>
      <c r="L623" s="811"/>
      <c r="M623" s="811"/>
      <c r="N623" s="811"/>
      <c r="O623" s="811"/>
      <c r="P623" s="811"/>
      <c r="Q623" s="811"/>
      <c r="R623" s="811"/>
      <c r="S623" s="811"/>
      <c r="T623" s="811"/>
      <c r="U623" s="811"/>
      <c r="V623" s="811"/>
      <c r="W623" s="811"/>
      <c r="X623" s="811"/>
      <c r="Y623" s="719"/>
      <c r="Z623" s="719"/>
      <c r="AA623" s="719"/>
      <c r="AB623" s="719"/>
      <c r="AC623" s="719"/>
      <c r="AD623" s="719"/>
      <c r="AE623" s="719"/>
      <c r="AF623" s="719"/>
      <c r="AG623" s="719"/>
      <c r="AH623" s="719"/>
      <c r="AI623" s="719"/>
      <c r="AJ623" s="719"/>
      <c r="AK623" s="719"/>
      <c r="AL623" s="719"/>
      <c r="AM623" s="719"/>
      <c r="AN623" s="719"/>
      <c r="AO623" s="719"/>
      <c r="AP623" s="719"/>
      <c r="AQ623" s="719"/>
      <c r="AR623" s="719"/>
      <c r="AS623" s="719"/>
      <c r="AT623" s="719"/>
      <c r="AU623" s="719"/>
      <c r="AV623" s="719"/>
      <c r="AW623" s="719"/>
      <c r="AX623" s="719"/>
      <c r="AY623" s="719"/>
      <c r="AZ623" s="719"/>
      <c r="BA623" s="719"/>
      <c r="BB623" s="719"/>
      <c r="BC623" s="719"/>
      <c r="BD623" s="719"/>
      <c r="BE623" s="719"/>
      <c r="BF623" s="719"/>
      <c r="BG623" s="719"/>
      <c r="BH623" s="719"/>
      <c r="BI623" s="719"/>
      <c r="BJ623" s="719"/>
    </row>
    <row r="624" spans="2:62" ht="15.75" customHeight="1">
      <c r="B624" s="497"/>
      <c r="C624" s="811"/>
      <c r="D624" s="811"/>
      <c r="E624" s="811"/>
      <c r="F624" s="811"/>
      <c r="G624" s="811"/>
      <c r="H624" s="811"/>
      <c r="I624" s="811"/>
      <c r="J624" s="811"/>
      <c r="K624" s="811"/>
      <c r="L624" s="811"/>
      <c r="M624" s="811"/>
      <c r="N624" s="811"/>
      <c r="O624" s="811"/>
      <c r="P624" s="811"/>
      <c r="Q624" s="811"/>
      <c r="R624" s="811"/>
      <c r="S624" s="811"/>
      <c r="T624" s="811"/>
      <c r="U624" s="811"/>
      <c r="V624" s="811"/>
      <c r="W624" s="811"/>
      <c r="X624" s="811"/>
      <c r="Y624" s="719"/>
      <c r="Z624" s="719"/>
      <c r="AA624" s="719"/>
      <c r="AB624" s="719"/>
      <c r="AC624" s="719"/>
      <c r="AD624" s="719"/>
      <c r="AE624" s="719"/>
      <c r="AF624" s="719"/>
      <c r="AG624" s="719"/>
      <c r="AH624" s="719"/>
      <c r="AI624" s="719"/>
      <c r="AJ624" s="719"/>
      <c r="AK624" s="719"/>
      <c r="AL624" s="719"/>
      <c r="AM624" s="719"/>
      <c r="AN624" s="719"/>
      <c r="AO624" s="719"/>
      <c r="AP624" s="719"/>
      <c r="AQ624" s="719"/>
      <c r="AR624" s="719"/>
      <c r="AS624" s="719"/>
      <c r="AT624" s="719"/>
      <c r="AU624" s="719"/>
      <c r="AV624" s="719"/>
      <c r="AW624" s="719"/>
      <c r="AX624" s="719"/>
      <c r="AY624" s="719"/>
      <c r="AZ624" s="719"/>
      <c r="BA624" s="719"/>
      <c r="BB624" s="719"/>
      <c r="BC624" s="719"/>
      <c r="BD624" s="719"/>
      <c r="BE624" s="719"/>
      <c r="BF624" s="719"/>
      <c r="BG624" s="719"/>
      <c r="BH624" s="719"/>
      <c r="BI624" s="719"/>
      <c r="BJ624" s="719"/>
    </row>
    <row r="625" spans="2:62" ht="15.75" customHeight="1">
      <c r="B625" s="497"/>
      <c r="C625" s="811"/>
      <c r="D625" s="811"/>
      <c r="E625" s="811"/>
      <c r="F625" s="811"/>
      <c r="G625" s="811"/>
      <c r="H625" s="811"/>
      <c r="I625" s="811"/>
      <c r="J625" s="811"/>
      <c r="K625" s="811"/>
      <c r="L625" s="811"/>
      <c r="M625" s="811"/>
      <c r="N625" s="811"/>
      <c r="O625" s="811"/>
      <c r="P625" s="811"/>
      <c r="Q625" s="811"/>
      <c r="R625" s="811"/>
      <c r="S625" s="811"/>
      <c r="T625" s="811"/>
      <c r="U625" s="811"/>
      <c r="V625" s="811"/>
      <c r="W625" s="811"/>
      <c r="X625" s="811"/>
      <c r="Y625" s="719"/>
      <c r="Z625" s="719"/>
      <c r="AA625" s="719"/>
      <c r="AB625" s="719"/>
      <c r="AC625" s="719"/>
      <c r="AD625" s="719"/>
      <c r="AE625" s="719"/>
      <c r="AF625" s="719"/>
      <c r="AG625" s="719"/>
      <c r="AH625" s="719"/>
      <c r="AI625" s="719"/>
      <c r="AJ625" s="719"/>
      <c r="AK625" s="719"/>
      <c r="AL625" s="719"/>
      <c r="AM625" s="719"/>
      <c r="AN625" s="719"/>
      <c r="AO625" s="719"/>
      <c r="AP625" s="719"/>
      <c r="AQ625" s="719"/>
      <c r="AR625" s="719"/>
      <c r="AS625" s="719"/>
      <c r="AT625" s="719"/>
      <c r="AU625" s="719"/>
      <c r="AV625" s="719"/>
      <c r="AW625" s="719"/>
      <c r="AX625" s="719"/>
      <c r="AY625" s="719"/>
      <c r="AZ625" s="719"/>
      <c r="BA625" s="719"/>
      <c r="BB625" s="719"/>
      <c r="BC625" s="719"/>
      <c r="BD625" s="719"/>
      <c r="BE625" s="719"/>
      <c r="BF625" s="719"/>
      <c r="BG625" s="719"/>
      <c r="BH625" s="719"/>
      <c r="BI625" s="719"/>
      <c r="BJ625" s="719"/>
    </row>
    <row r="626" spans="2:62" ht="15.75" customHeight="1">
      <c r="B626" s="497"/>
      <c r="C626" s="811"/>
      <c r="D626" s="811"/>
      <c r="E626" s="811"/>
      <c r="F626" s="811"/>
      <c r="G626" s="811"/>
      <c r="H626" s="811"/>
      <c r="I626" s="811"/>
      <c r="J626" s="811"/>
      <c r="K626" s="811"/>
      <c r="L626" s="811"/>
      <c r="M626" s="811"/>
      <c r="N626" s="811"/>
      <c r="O626" s="811"/>
      <c r="P626" s="811"/>
      <c r="Q626" s="811"/>
      <c r="R626" s="811"/>
      <c r="S626" s="811"/>
      <c r="T626" s="811"/>
      <c r="U626" s="811"/>
      <c r="V626" s="811"/>
      <c r="W626" s="811"/>
      <c r="X626" s="811"/>
      <c r="Y626" s="719"/>
      <c r="Z626" s="719"/>
      <c r="AA626" s="719"/>
      <c r="AB626" s="719"/>
      <c r="AC626" s="719"/>
      <c r="AD626" s="719"/>
      <c r="AE626" s="719"/>
      <c r="AF626" s="719"/>
      <c r="AG626" s="719"/>
      <c r="AH626" s="719"/>
      <c r="AI626" s="719"/>
      <c r="AJ626" s="719"/>
      <c r="AK626" s="719"/>
      <c r="AL626" s="719"/>
      <c r="AM626" s="719"/>
      <c r="AN626" s="719"/>
      <c r="AO626" s="719"/>
      <c r="AP626" s="719"/>
      <c r="AQ626" s="719"/>
      <c r="AR626" s="719"/>
      <c r="AS626" s="719"/>
      <c r="AT626" s="719"/>
      <c r="AU626" s="719"/>
      <c r="AV626" s="719"/>
      <c r="AW626" s="719"/>
      <c r="AX626" s="719"/>
      <c r="AY626" s="719"/>
      <c r="AZ626" s="719"/>
      <c r="BA626" s="719"/>
      <c r="BB626" s="719"/>
      <c r="BC626" s="719"/>
      <c r="BD626" s="719"/>
      <c r="BE626" s="719"/>
      <c r="BF626" s="719"/>
      <c r="BG626" s="719"/>
      <c r="BH626" s="719"/>
      <c r="BI626" s="719"/>
      <c r="BJ626" s="719"/>
    </row>
    <row r="627" spans="2:62" ht="15.75" customHeight="1">
      <c r="B627" s="497"/>
      <c r="C627" s="811"/>
      <c r="D627" s="811"/>
      <c r="E627" s="811"/>
      <c r="F627" s="811"/>
      <c r="G627" s="811"/>
      <c r="H627" s="811"/>
      <c r="I627" s="811"/>
      <c r="J627" s="811"/>
      <c r="K627" s="811"/>
      <c r="L627" s="811"/>
      <c r="M627" s="811"/>
      <c r="N627" s="811"/>
      <c r="O627" s="811"/>
      <c r="P627" s="811"/>
      <c r="Q627" s="811"/>
      <c r="R627" s="811"/>
      <c r="S627" s="811"/>
      <c r="T627" s="811"/>
      <c r="U627" s="811"/>
      <c r="V627" s="811"/>
      <c r="W627" s="811"/>
      <c r="X627" s="811"/>
      <c r="Y627" s="719"/>
      <c r="Z627" s="719"/>
      <c r="AA627" s="719"/>
      <c r="AB627" s="719"/>
      <c r="AC627" s="719"/>
      <c r="AD627" s="719"/>
      <c r="AE627" s="719"/>
      <c r="AF627" s="719"/>
      <c r="AG627" s="719"/>
      <c r="AH627" s="719"/>
      <c r="AI627" s="719"/>
      <c r="AJ627" s="719"/>
      <c r="AK627" s="719"/>
      <c r="AL627" s="719"/>
      <c r="AM627" s="719"/>
      <c r="AN627" s="719"/>
      <c r="AO627" s="719"/>
      <c r="AP627" s="719"/>
      <c r="AQ627" s="719"/>
      <c r="AR627" s="719"/>
      <c r="AS627" s="719"/>
      <c r="AT627" s="719"/>
      <c r="AU627" s="719"/>
      <c r="AV627" s="719"/>
      <c r="AW627" s="719"/>
      <c r="AX627" s="719"/>
      <c r="AY627" s="719"/>
      <c r="AZ627" s="719"/>
      <c r="BA627" s="719"/>
      <c r="BB627" s="719"/>
      <c r="BC627" s="719"/>
      <c r="BD627" s="719"/>
      <c r="BE627" s="719"/>
      <c r="BF627" s="719"/>
      <c r="BG627" s="719"/>
      <c r="BH627" s="719"/>
      <c r="BI627" s="719"/>
      <c r="BJ627" s="719"/>
    </row>
    <row r="628" spans="2:62" ht="15.75" customHeight="1">
      <c r="B628" s="497"/>
      <c r="C628" s="811"/>
      <c r="D628" s="811"/>
      <c r="E628" s="811"/>
      <c r="F628" s="811"/>
      <c r="G628" s="811"/>
      <c r="H628" s="811"/>
      <c r="I628" s="811"/>
      <c r="J628" s="811"/>
      <c r="K628" s="811"/>
      <c r="L628" s="811"/>
      <c r="M628" s="811"/>
      <c r="N628" s="811"/>
      <c r="O628" s="811"/>
      <c r="P628" s="811"/>
      <c r="Q628" s="811"/>
      <c r="R628" s="811"/>
      <c r="S628" s="811"/>
      <c r="T628" s="811"/>
      <c r="U628" s="811"/>
      <c r="V628" s="811"/>
      <c r="W628" s="811"/>
      <c r="X628" s="811"/>
      <c r="Y628" s="719"/>
      <c r="Z628" s="719"/>
      <c r="AA628" s="719"/>
      <c r="AB628" s="719"/>
      <c r="AC628" s="719"/>
      <c r="AD628" s="719"/>
      <c r="AE628" s="719"/>
      <c r="AF628" s="719"/>
      <c r="AG628" s="719"/>
      <c r="AH628" s="719"/>
      <c r="AI628" s="719"/>
      <c r="AJ628" s="719"/>
      <c r="AK628" s="719"/>
      <c r="AL628" s="719"/>
      <c r="AM628" s="719"/>
      <c r="AN628" s="719"/>
      <c r="AO628" s="719"/>
      <c r="AP628" s="719"/>
      <c r="AQ628" s="719"/>
      <c r="AR628" s="719"/>
      <c r="AS628" s="719"/>
      <c r="AT628" s="719"/>
      <c r="AU628" s="719"/>
      <c r="AV628" s="719"/>
      <c r="AW628" s="719"/>
      <c r="AX628" s="719"/>
      <c r="AY628" s="719"/>
      <c r="AZ628" s="719"/>
      <c r="BA628" s="719"/>
      <c r="BB628" s="719"/>
      <c r="BC628" s="719"/>
      <c r="BD628" s="719"/>
      <c r="BE628" s="719"/>
      <c r="BF628" s="719"/>
      <c r="BG628" s="719"/>
      <c r="BH628" s="719"/>
      <c r="BI628" s="719"/>
      <c r="BJ628" s="719"/>
    </row>
    <row r="629" spans="2:62" ht="15.75" customHeight="1">
      <c r="B629" s="497"/>
      <c r="C629" s="811"/>
      <c r="D629" s="811"/>
      <c r="E629" s="811"/>
      <c r="F629" s="811"/>
      <c r="G629" s="811"/>
      <c r="H629" s="811"/>
      <c r="I629" s="811"/>
      <c r="J629" s="811"/>
      <c r="K629" s="811"/>
      <c r="L629" s="811"/>
      <c r="M629" s="811"/>
      <c r="N629" s="811"/>
      <c r="O629" s="811"/>
      <c r="P629" s="811"/>
      <c r="Q629" s="811"/>
      <c r="R629" s="811"/>
      <c r="S629" s="811"/>
      <c r="T629" s="811"/>
      <c r="U629" s="811"/>
      <c r="V629" s="811"/>
      <c r="W629" s="811"/>
      <c r="X629" s="811"/>
      <c r="Y629" s="719"/>
      <c r="Z629" s="719"/>
      <c r="AA629" s="719"/>
      <c r="AB629" s="719"/>
      <c r="AC629" s="719"/>
      <c r="AD629" s="719"/>
      <c r="AE629" s="719"/>
      <c r="AF629" s="719"/>
      <c r="AG629" s="719"/>
      <c r="AH629" s="719"/>
      <c r="AI629" s="719"/>
      <c r="AJ629" s="719"/>
      <c r="AK629" s="719"/>
      <c r="AL629" s="719"/>
      <c r="AM629" s="719"/>
      <c r="AN629" s="719"/>
      <c r="AO629" s="719"/>
      <c r="AP629" s="719"/>
      <c r="AQ629" s="719"/>
      <c r="AR629" s="719"/>
      <c r="AS629" s="719"/>
      <c r="AT629" s="719"/>
      <c r="AU629" s="719"/>
      <c r="AV629" s="719"/>
      <c r="AW629" s="719"/>
      <c r="AX629" s="719"/>
      <c r="AY629" s="719"/>
      <c r="AZ629" s="719"/>
      <c r="BA629" s="719"/>
      <c r="BB629" s="719"/>
      <c r="BC629" s="719"/>
      <c r="BD629" s="719"/>
      <c r="BE629" s="719"/>
      <c r="BF629" s="719"/>
      <c r="BG629" s="719"/>
      <c r="BH629" s="719"/>
      <c r="BI629" s="719"/>
      <c r="BJ629" s="719"/>
    </row>
    <row r="630" spans="2:62" ht="15.75" customHeight="1">
      <c r="B630" s="497"/>
      <c r="C630" s="811"/>
      <c r="D630" s="811"/>
      <c r="E630" s="811"/>
      <c r="F630" s="811"/>
      <c r="G630" s="811"/>
      <c r="H630" s="811"/>
      <c r="I630" s="811"/>
      <c r="J630" s="811"/>
      <c r="K630" s="811"/>
      <c r="L630" s="811"/>
      <c r="M630" s="811"/>
      <c r="N630" s="811"/>
      <c r="O630" s="811"/>
      <c r="P630" s="811"/>
      <c r="Q630" s="811"/>
      <c r="R630" s="811"/>
      <c r="S630" s="811"/>
      <c r="T630" s="811"/>
      <c r="U630" s="811"/>
      <c r="V630" s="811"/>
      <c r="W630" s="811"/>
      <c r="X630" s="811"/>
      <c r="Y630" s="719"/>
      <c r="Z630" s="719"/>
      <c r="AA630" s="719"/>
      <c r="AB630" s="719"/>
      <c r="AC630" s="719"/>
      <c r="AD630" s="719"/>
      <c r="AE630" s="719"/>
      <c r="AF630" s="719"/>
      <c r="AG630" s="719"/>
      <c r="AH630" s="719"/>
      <c r="AI630" s="719"/>
      <c r="AJ630" s="719"/>
      <c r="AK630" s="719"/>
      <c r="AL630" s="719"/>
      <c r="AM630" s="719"/>
      <c r="AN630" s="719"/>
      <c r="AO630" s="719"/>
      <c r="AP630" s="719"/>
      <c r="AQ630" s="719"/>
      <c r="AR630" s="719"/>
      <c r="AS630" s="719"/>
      <c r="AT630" s="719"/>
      <c r="AU630" s="719"/>
      <c r="AV630" s="719"/>
      <c r="AW630" s="719"/>
      <c r="AX630" s="719"/>
      <c r="AY630" s="719"/>
      <c r="AZ630" s="719"/>
      <c r="BA630" s="719"/>
      <c r="BB630" s="719"/>
      <c r="BC630" s="719"/>
      <c r="BD630" s="719"/>
      <c r="BE630" s="719"/>
      <c r="BF630" s="719"/>
      <c r="BG630" s="719"/>
      <c r="BH630" s="719"/>
      <c r="BI630" s="719"/>
      <c r="BJ630" s="719"/>
    </row>
    <row r="631" spans="2:62" ht="15.75" customHeight="1">
      <c r="B631" s="497"/>
      <c r="C631" s="811"/>
      <c r="D631" s="811"/>
      <c r="E631" s="811"/>
      <c r="F631" s="811"/>
      <c r="G631" s="811"/>
      <c r="H631" s="811"/>
      <c r="I631" s="811"/>
      <c r="J631" s="811"/>
      <c r="K631" s="811"/>
      <c r="L631" s="811"/>
      <c r="M631" s="811"/>
      <c r="N631" s="811"/>
      <c r="O631" s="811"/>
      <c r="P631" s="811"/>
      <c r="Q631" s="811"/>
      <c r="R631" s="811"/>
      <c r="S631" s="811"/>
      <c r="T631" s="811"/>
      <c r="U631" s="811"/>
      <c r="V631" s="811"/>
      <c r="W631" s="811"/>
      <c r="X631" s="811"/>
      <c r="Y631" s="719"/>
      <c r="Z631" s="719"/>
      <c r="AA631" s="719"/>
      <c r="AB631" s="719"/>
      <c r="AC631" s="719"/>
      <c r="AD631" s="719"/>
      <c r="AE631" s="719"/>
      <c r="AF631" s="719"/>
      <c r="AG631" s="719"/>
      <c r="AH631" s="719"/>
      <c r="AI631" s="719"/>
      <c r="AJ631" s="719"/>
      <c r="AK631" s="719"/>
      <c r="AL631" s="719"/>
      <c r="AM631" s="719"/>
      <c r="AN631" s="719"/>
      <c r="AO631" s="719"/>
      <c r="AP631" s="719"/>
      <c r="AQ631" s="719"/>
      <c r="AR631" s="719"/>
      <c r="AS631" s="719"/>
      <c r="AT631" s="719"/>
      <c r="AU631" s="719"/>
      <c r="AV631" s="719"/>
      <c r="AW631" s="719"/>
      <c r="AX631" s="719"/>
      <c r="AY631" s="719"/>
      <c r="AZ631" s="719"/>
      <c r="BA631" s="719"/>
      <c r="BB631" s="719"/>
      <c r="BC631" s="719"/>
      <c r="BD631" s="719"/>
      <c r="BE631" s="719"/>
      <c r="BF631" s="719"/>
      <c r="BG631" s="719"/>
      <c r="BH631" s="719"/>
      <c r="BI631" s="719"/>
      <c r="BJ631" s="719"/>
    </row>
    <row r="632" spans="2:62" ht="15.75" customHeight="1">
      <c r="B632" s="497"/>
      <c r="C632" s="811"/>
      <c r="D632" s="811"/>
      <c r="E632" s="811"/>
      <c r="F632" s="811"/>
      <c r="G632" s="811"/>
      <c r="H632" s="811"/>
      <c r="I632" s="811"/>
      <c r="J632" s="811"/>
      <c r="K632" s="811"/>
      <c r="L632" s="811"/>
      <c r="M632" s="811"/>
      <c r="N632" s="811"/>
      <c r="O632" s="811"/>
      <c r="P632" s="811"/>
      <c r="Q632" s="811"/>
      <c r="R632" s="811"/>
      <c r="S632" s="811"/>
      <c r="T632" s="811"/>
      <c r="U632" s="811"/>
      <c r="V632" s="811"/>
      <c r="W632" s="811"/>
      <c r="X632" s="811"/>
      <c r="Y632" s="719"/>
      <c r="Z632" s="719"/>
      <c r="AA632" s="719"/>
      <c r="AB632" s="719"/>
      <c r="AC632" s="719"/>
      <c r="AD632" s="719"/>
      <c r="AE632" s="719"/>
      <c r="AF632" s="719"/>
      <c r="AG632" s="719"/>
      <c r="AH632" s="719"/>
      <c r="AI632" s="719"/>
      <c r="AJ632" s="719"/>
      <c r="AK632" s="719"/>
      <c r="AL632" s="719"/>
      <c r="AM632" s="719"/>
      <c r="AN632" s="719"/>
      <c r="AO632" s="719"/>
      <c r="AP632" s="719"/>
      <c r="AQ632" s="719"/>
      <c r="AR632" s="719"/>
      <c r="AS632" s="719"/>
      <c r="AT632" s="719"/>
      <c r="AU632" s="719"/>
      <c r="AV632" s="719"/>
      <c r="AW632" s="719"/>
      <c r="AX632" s="719"/>
      <c r="AY632" s="719"/>
      <c r="AZ632" s="719"/>
      <c r="BA632" s="719"/>
      <c r="BB632" s="719"/>
      <c r="BC632" s="719"/>
      <c r="BD632" s="719"/>
      <c r="BE632" s="719"/>
      <c r="BF632" s="719"/>
      <c r="BG632" s="719"/>
      <c r="BH632" s="719"/>
      <c r="BI632" s="719"/>
      <c r="BJ632" s="719"/>
    </row>
    <row r="633" spans="2:62" ht="15.75" customHeight="1">
      <c r="B633" s="497"/>
      <c r="C633" s="811"/>
      <c r="D633" s="811"/>
      <c r="E633" s="811"/>
      <c r="F633" s="811"/>
      <c r="G633" s="811"/>
      <c r="H633" s="811"/>
      <c r="I633" s="811"/>
      <c r="J633" s="811"/>
      <c r="K633" s="811"/>
      <c r="L633" s="811"/>
      <c r="M633" s="811"/>
      <c r="N633" s="811"/>
      <c r="O633" s="811"/>
      <c r="P633" s="811"/>
      <c r="Q633" s="811"/>
      <c r="R633" s="811"/>
      <c r="S633" s="811"/>
      <c r="T633" s="811"/>
      <c r="U633" s="811"/>
      <c r="V633" s="811"/>
      <c r="W633" s="811"/>
      <c r="X633" s="811"/>
      <c r="Y633" s="719"/>
      <c r="Z633" s="719"/>
      <c r="AA633" s="719"/>
      <c r="AB633" s="719"/>
      <c r="AC633" s="719"/>
      <c r="AD633" s="719"/>
      <c r="AE633" s="719"/>
      <c r="AF633" s="719"/>
      <c r="AG633" s="719"/>
      <c r="AH633" s="719"/>
      <c r="AI633" s="719"/>
      <c r="AJ633" s="719"/>
      <c r="AK633" s="719"/>
      <c r="AL633" s="719"/>
      <c r="AM633" s="719"/>
      <c r="AN633" s="719"/>
      <c r="AO633" s="719"/>
      <c r="AP633" s="719"/>
      <c r="AQ633" s="719"/>
      <c r="AR633" s="719"/>
      <c r="AS633" s="719"/>
      <c r="AT633" s="719"/>
      <c r="AU633" s="719"/>
      <c r="AV633" s="719"/>
      <c r="AW633" s="719"/>
      <c r="AX633" s="719"/>
      <c r="AY633" s="719"/>
      <c r="AZ633" s="719"/>
      <c r="BA633" s="719"/>
      <c r="BB633" s="719"/>
      <c r="BC633" s="719"/>
      <c r="BD633" s="719"/>
      <c r="BE633" s="719"/>
      <c r="BF633" s="719"/>
      <c r="BG633" s="719"/>
      <c r="BH633" s="719"/>
      <c r="BI633" s="719"/>
      <c r="BJ633" s="719"/>
    </row>
    <row r="634" spans="2:62" ht="15.75" customHeight="1">
      <c r="B634" s="497"/>
      <c r="C634" s="811"/>
      <c r="D634" s="811"/>
      <c r="E634" s="811"/>
      <c r="F634" s="811"/>
      <c r="G634" s="811"/>
      <c r="H634" s="811"/>
      <c r="I634" s="811"/>
      <c r="J634" s="811"/>
      <c r="K634" s="811"/>
      <c r="L634" s="811"/>
      <c r="M634" s="811"/>
      <c r="N634" s="811"/>
      <c r="O634" s="811"/>
      <c r="P634" s="811"/>
      <c r="Q634" s="811"/>
      <c r="R634" s="811"/>
      <c r="S634" s="811"/>
      <c r="T634" s="811"/>
      <c r="U634" s="811"/>
      <c r="V634" s="811"/>
      <c r="W634" s="811"/>
      <c r="X634" s="811"/>
      <c r="Y634" s="719"/>
      <c r="Z634" s="719"/>
      <c r="AA634" s="719"/>
      <c r="AB634" s="719"/>
      <c r="AC634" s="719"/>
      <c r="AD634" s="719"/>
      <c r="AE634" s="719"/>
      <c r="AF634" s="719"/>
      <c r="AG634" s="719"/>
      <c r="AH634" s="719"/>
      <c r="AI634" s="719"/>
      <c r="AJ634" s="719"/>
      <c r="AK634" s="719"/>
      <c r="AL634" s="719"/>
      <c r="AM634" s="719"/>
      <c r="AN634" s="719"/>
      <c r="AO634" s="719"/>
      <c r="AP634" s="719"/>
      <c r="AQ634" s="719"/>
      <c r="AR634" s="719"/>
      <c r="AS634" s="719"/>
      <c r="AT634" s="719"/>
      <c r="AU634" s="719"/>
      <c r="AV634" s="719"/>
      <c r="AW634" s="719"/>
      <c r="AX634" s="719"/>
      <c r="AY634" s="719"/>
      <c r="AZ634" s="719"/>
      <c r="BA634" s="719"/>
      <c r="BB634" s="719"/>
      <c r="BC634" s="719"/>
      <c r="BD634" s="719"/>
      <c r="BE634" s="719"/>
      <c r="BF634" s="719"/>
      <c r="BG634" s="719"/>
      <c r="BH634" s="719"/>
      <c r="BI634" s="719"/>
      <c r="BJ634" s="719"/>
    </row>
    <row r="635" spans="2:62" ht="15.75" customHeight="1">
      <c r="B635" s="497"/>
      <c r="C635" s="811"/>
      <c r="D635" s="811"/>
      <c r="E635" s="811"/>
      <c r="F635" s="811"/>
      <c r="G635" s="811"/>
      <c r="H635" s="811"/>
      <c r="I635" s="811"/>
      <c r="J635" s="811"/>
      <c r="K635" s="811"/>
      <c r="L635" s="811"/>
      <c r="M635" s="811"/>
      <c r="N635" s="811"/>
      <c r="O635" s="811"/>
      <c r="P635" s="811"/>
      <c r="Q635" s="811"/>
      <c r="R635" s="811"/>
      <c r="S635" s="811"/>
      <c r="T635" s="811"/>
      <c r="U635" s="811"/>
      <c r="V635" s="811"/>
      <c r="W635" s="811"/>
      <c r="X635" s="811"/>
      <c r="Y635" s="719"/>
      <c r="Z635" s="719"/>
      <c r="AA635" s="719"/>
      <c r="AB635" s="719"/>
      <c r="AC635" s="719"/>
      <c r="AD635" s="719"/>
      <c r="AE635" s="719"/>
      <c r="AF635" s="719"/>
      <c r="AG635" s="719"/>
      <c r="AH635" s="719"/>
      <c r="AI635" s="719"/>
      <c r="AJ635" s="719"/>
      <c r="AK635" s="719"/>
      <c r="AL635" s="719"/>
      <c r="AM635" s="719"/>
      <c r="AN635" s="719"/>
      <c r="AO635" s="719"/>
      <c r="AP635" s="719"/>
      <c r="AQ635" s="719"/>
      <c r="AR635" s="719"/>
      <c r="AS635" s="719"/>
      <c r="AT635" s="719"/>
      <c r="AU635" s="719"/>
      <c r="AV635" s="719"/>
      <c r="AW635" s="719"/>
      <c r="AX635" s="719"/>
      <c r="AY635" s="719"/>
      <c r="AZ635" s="719"/>
      <c r="BA635" s="719"/>
      <c r="BB635" s="719"/>
      <c r="BC635" s="719"/>
      <c r="BD635" s="719"/>
      <c r="BE635" s="719"/>
      <c r="BF635" s="719"/>
      <c r="BG635" s="719"/>
      <c r="BH635" s="719"/>
      <c r="BI635" s="719"/>
      <c r="BJ635" s="719"/>
    </row>
    <row r="636" spans="2:62" ht="15.75" customHeight="1">
      <c r="B636" s="497"/>
      <c r="C636" s="811"/>
      <c r="D636" s="811"/>
      <c r="E636" s="811"/>
      <c r="F636" s="811"/>
      <c r="G636" s="811"/>
      <c r="H636" s="811"/>
      <c r="I636" s="811"/>
      <c r="J636" s="811"/>
      <c r="K636" s="811"/>
      <c r="L636" s="811"/>
      <c r="M636" s="811"/>
      <c r="N636" s="811"/>
      <c r="O636" s="811"/>
      <c r="P636" s="811"/>
      <c r="Q636" s="811"/>
      <c r="R636" s="811"/>
      <c r="S636" s="811"/>
      <c r="T636" s="811"/>
      <c r="U636" s="811"/>
      <c r="V636" s="811"/>
      <c r="W636" s="811"/>
      <c r="X636" s="811"/>
      <c r="Y636" s="719"/>
      <c r="Z636" s="719"/>
      <c r="AA636" s="719"/>
      <c r="AB636" s="719"/>
      <c r="AC636" s="719"/>
      <c r="AD636" s="719"/>
      <c r="AE636" s="719"/>
      <c r="AF636" s="719"/>
      <c r="AG636" s="719"/>
      <c r="AH636" s="719"/>
      <c r="AI636" s="719"/>
      <c r="AJ636" s="719"/>
      <c r="AK636" s="719"/>
      <c r="AL636" s="719"/>
      <c r="AM636" s="719"/>
      <c r="AN636" s="719"/>
      <c r="AO636" s="719"/>
      <c r="AP636" s="719"/>
      <c r="AQ636" s="719"/>
      <c r="AR636" s="719"/>
      <c r="AS636" s="719"/>
      <c r="AT636" s="719"/>
      <c r="AU636" s="719"/>
      <c r="AV636" s="719"/>
      <c r="AW636" s="719"/>
      <c r="AX636" s="719"/>
      <c r="AY636" s="719"/>
      <c r="AZ636" s="719"/>
      <c r="BA636" s="719"/>
      <c r="BB636" s="719"/>
      <c r="BC636" s="719"/>
      <c r="BD636" s="719"/>
      <c r="BE636" s="719"/>
      <c r="BF636" s="719"/>
      <c r="BG636" s="719"/>
      <c r="BH636" s="719"/>
      <c r="BI636" s="719"/>
      <c r="BJ636" s="719"/>
    </row>
    <row r="637" spans="2:62" ht="15.75" customHeight="1">
      <c r="B637" s="497"/>
      <c r="C637" s="811"/>
      <c r="D637" s="811"/>
      <c r="E637" s="811"/>
      <c r="F637" s="811"/>
      <c r="G637" s="811"/>
      <c r="H637" s="811"/>
      <c r="I637" s="811"/>
      <c r="J637" s="811"/>
      <c r="K637" s="811"/>
      <c r="L637" s="811"/>
      <c r="M637" s="811"/>
      <c r="N637" s="811"/>
      <c r="O637" s="811"/>
      <c r="P637" s="811"/>
      <c r="Q637" s="811"/>
      <c r="R637" s="811"/>
      <c r="S637" s="811"/>
      <c r="T637" s="811"/>
      <c r="U637" s="811"/>
      <c r="V637" s="811"/>
      <c r="W637" s="811"/>
      <c r="X637" s="811"/>
      <c r="Y637" s="719"/>
      <c r="Z637" s="719"/>
      <c r="AA637" s="719"/>
      <c r="AB637" s="719"/>
      <c r="AC637" s="719"/>
      <c r="AD637" s="719"/>
      <c r="AE637" s="719"/>
      <c r="AF637" s="719"/>
      <c r="AG637" s="719"/>
      <c r="AH637" s="719"/>
      <c r="AI637" s="719"/>
      <c r="AJ637" s="719"/>
      <c r="AK637" s="719"/>
      <c r="AL637" s="719"/>
      <c r="AM637" s="719"/>
      <c r="AN637" s="719"/>
      <c r="AO637" s="719"/>
      <c r="AP637" s="719"/>
      <c r="AQ637" s="719"/>
      <c r="AR637" s="719"/>
      <c r="AS637" s="719"/>
      <c r="AT637" s="719"/>
      <c r="AU637" s="719"/>
      <c r="AV637" s="719"/>
      <c r="AW637" s="719"/>
      <c r="AX637" s="719"/>
      <c r="AY637" s="719"/>
      <c r="AZ637" s="719"/>
      <c r="BA637" s="719"/>
      <c r="BB637" s="719"/>
      <c r="BC637" s="719"/>
      <c r="BD637" s="719"/>
      <c r="BE637" s="719"/>
      <c r="BF637" s="719"/>
      <c r="BG637" s="719"/>
      <c r="BH637" s="719"/>
      <c r="BI637" s="719"/>
      <c r="BJ637" s="719"/>
    </row>
    <row r="638" spans="2:62" ht="15.75" customHeight="1">
      <c r="B638" s="497"/>
      <c r="C638" s="811"/>
      <c r="D638" s="811"/>
      <c r="E638" s="811"/>
      <c r="F638" s="811"/>
      <c r="G638" s="811"/>
      <c r="H638" s="811"/>
      <c r="I638" s="811"/>
      <c r="J638" s="811"/>
      <c r="K638" s="811"/>
      <c r="L638" s="811"/>
      <c r="M638" s="811"/>
      <c r="N638" s="811"/>
      <c r="O638" s="811"/>
      <c r="P638" s="811"/>
      <c r="Q638" s="811"/>
      <c r="R638" s="811"/>
      <c r="S638" s="811"/>
      <c r="T638" s="811"/>
      <c r="U638" s="811"/>
      <c r="V638" s="811"/>
      <c r="W638" s="811"/>
      <c r="X638" s="811"/>
      <c r="Y638" s="719"/>
      <c r="Z638" s="719"/>
      <c r="AA638" s="719"/>
      <c r="AB638" s="719"/>
      <c r="AC638" s="719"/>
      <c r="AD638" s="719"/>
      <c r="AE638" s="719"/>
      <c r="AF638" s="719"/>
      <c r="AG638" s="719"/>
      <c r="AH638" s="719"/>
      <c r="AI638" s="719"/>
      <c r="AJ638" s="719"/>
      <c r="AK638" s="719"/>
      <c r="AL638" s="719"/>
      <c r="AM638" s="719"/>
      <c r="AN638" s="719"/>
      <c r="AO638" s="719"/>
      <c r="AP638" s="719"/>
      <c r="AQ638" s="719"/>
      <c r="AR638" s="719"/>
      <c r="AS638" s="719"/>
      <c r="AT638" s="719"/>
      <c r="AU638" s="719"/>
      <c r="AV638" s="719"/>
      <c r="AW638" s="719"/>
      <c r="AX638" s="719"/>
      <c r="AY638" s="719"/>
      <c r="AZ638" s="719"/>
      <c r="BA638" s="719"/>
      <c r="BB638" s="719"/>
      <c r="BC638" s="719"/>
      <c r="BD638" s="719"/>
      <c r="BE638" s="719"/>
      <c r="BF638" s="719"/>
      <c r="BG638" s="719"/>
      <c r="BH638" s="719"/>
      <c r="BI638" s="719"/>
      <c r="BJ638" s="719"/>
    </row>
    <row r="639" spans="2:62" ht="15.75" customHeight="1">
      <c r="B639" s="497"/>
      <c r="C639" s="811"/>
      <c r="D639" s="811"/>
      <c r="E639" s="811"/>
      <c r="F639" s="811"/>
      <c r="G639" s="811"/>
      <c r="H639" s="811"/>
      <c r="I639" s="811"/>
      <c r="J639" s="811"/>
      <c r="K639" s="811"/>
      <c r="L639" s="811"/>
      <c r="M639" s="811"/>
      <c r="N639" s="811"/>
      <c r="O639" s="811"/>
      <c r="P639" s="811"/>
      <c r="Q639" s="811"/>
      <c r="R639" s="811"/>
      <c r="S639" s="811"/>
      <c r="T639" s="811"/>
      <c r="U639" s="811"/>
      <c r="V639" s="811"/>
      <c r="W639" s="811"/>
      <c r="X639" s="811"/>
      <c r="Y639" s="719"/>
      <c r="Z639" s="719"/>
      <c r="AA639" s="719"/>
      <c r="AB639" s="719"/>
      <c r="AC639" s="719"/>
      <c r="AD639" s="719"/>
      <c r="AE639" s="719"/>
      <c r="AF639" s="719"/>
      <c r="AG639" s="719"/>
      <c r="AH639" s="719"/>
      <c r="AI639" s="719"/>
      <c r="AJ639" s="719"/>
      <c r="AK639" s="719"/>
      <c r="AL639" s="719"/>
      <c r="AM639" s="719"/>
      <c r="AN639" s="719"/>
      <c r="AO639" s="719"/>
      <c r="AP639" s="719"/>
      <c r="AQ639" s="719"/>
      <c r="AR639" s="719"/>
      <c r="AS639" s="719"/>
      <c r="AT639" s="719"/>
      <c r="AU639" s="719"/>
      <c r="AV639" s="719"/>
      <c r="AW639" s="719"/>
      <c r="AX639" s="719"/>
      <c r="AY639" s="719"/>
      <c r="AZ639" s="719"/>
      <c r="BA639" s="719"/>
      <c r="BB639" s="719"/>
      <c r="BC639" s="719"/>
      <c r="BD639" s="719"/>
      <c r="BE639" s="719"/>
      <c r="BF639" s="719"/>
      <c r="BG639" s="719"/>
      <c r="BH639" s="719"/>
      <c r="BI639" s="719"/>
      <c r="BJ639" s="719"/>
    </row>
    <row r="640" spans="2:62" ht="15.75" customHeight="1">
      <c r="B640" s="497"/>
      <c r="C640" s="811"/>
      <c r="D640" s="811"/>
      <c r="E640" s="811"/>
      <c r="F640" s="811"/>
      <c r="G640" s="811"/>
      <c r="H640" s="811"/>
      <c r="I640" s="811"/>
      <c r="J640" s="811"/>
      <c r="K640" s="811"/>
      <c r="L640" s="811"/>
      <c r="M640" s="811"/>
      <c r="N640" s="811"/>
      <c r="O640" s="811"/>
      <c r="P640" s="811"/>
      <c r="Q640" s="811"/>
      <c r="R640" s="811"/>
      <c r="S640" s="811"/>
      <c r="T640" s="811"/>
      <c r="U640" s="811"/>
      <c r="V640" s="811"/>
      <c r="W640" s="811"/>
      <c r="X640" s="811"/>
      <c r="Y640" s="719"/>
      <c r="Z640" s="719"/>
      <c r="AA640" s="719"/>
      <c r="AB640" s="719"/>
      <c r="AC640" s="719"/>
      <c r="AD640" s="719"/>
      <c r="AE640" s="719"/>
      <c r="AF640" s="719"/>
      <c r="AG640" s="719"/>
      <c r="AH640" s="719"/>
      <c r="AI640" s="719"/>
      <c r="AJ640" s="719"/>
      <c r="AK640" s="719"/>
      <c r="AL640" s="719"/>
      <c r="AM640" s="719"/>
      <c r="AN640" s="719"/>
      <c r="AO640" s="719"/>
      <c r="AP640" s="719"/>
      <c r="AQ640" s="719"/>
      <c r="AR640" s="719"/>
      <c r="AS640" s="719"/>
      <c r="AT640" s="719"/>
      <c r="AU640" s="719"/>
      <c r="AV640" s="719"/>
      <c r="AW640" s="719"/>
      <c r="AX640" s="719"/>
      <c r="AY640" s="719"/>
      <c r="AZ640" s="719"/>
      <c r="BA640" s="719"/>
      <c r="BB640" s="719"/>
      <c r="BC640" s="719"/>
      <c r="BD640" s="719"/>
      <c r="BE640" s="719"/>
      <c r="BF640" s="719"/>
      <c r="BG640" s="719"/>
      <c r="BH640" s="719"/>
      <c r="BI640" s="719"/>
      <c r="BJ640" s="719"/>
    </row>
    <row r="641" spans="2:62" ht="15.75" customHeight="1">
      <c r="B641" s="497"/>
      <c r="C641" s="811"/>
      <c r="D641" s="811"/>
      <c r="E641" s="811"/>
      <c r="F641" s="811"/>
      <c r="G641" s="811"/>
      <c r="H641" s="811"/>
      <c r="I641" s="811"/>
      <c r="J641" s="811"/>
      <c r="K641" s="811"/>
      <c r="L641" s="811"/>
      <c r="M641" s="811"/>
      <c r="N641" s="811"/>
      <c r="O641" s="811"/>
      <c r="P641" s="811"/>
      <c r="Q641" s="811"/>
      <c r="R641" s="811"/>
      <c r="S641" s="811"/>
      <c r="T641" s="811"/>
      <c r="U641" s="811"/>
      <c r="V641" s="811"/>
      <c r="W641" s="811"/>
      <c r="X641" s="811"/>
      <c r="Y641" s="719"/>
      <c r="Z641" s="719"/>
      <c r="AA641" s="719"/>
      <c r="AB641" s="719"/>
      <c r="AC641" s="719"/>
      <c r="AD641" s="719"/>
      <c r="AE641" s="719"/>
      <c r="AF641" s="719"/>
      <c r="AG641" s="719"/>
      <c r="AH641" s="719"/>
      <c r="AI641" s="719"/>
      <c r="AJ641" s="719"/>
      <c r="AK641" s="719"/>
      <c r="AL641" s="719"/>
      <c r="AM641" s="719"/>
      <c r="AN641" s="719"/>
      <c r="AO641" s="719"/>
      <c r="AP641" s="719"/>
      <c r="AQ641" s="719"/>
      <c r="AR641" s="719"/>
      <c r="AS641" s="719"/>
      <c r="AT641" s="719"/>
      <c r="AU641" s="719"/>
      <c r="AV641" s="719"/>
      <c r="AW641" s="719"/>
      <c r="AX641" s="719"/>
      <c r="AY641" s="719"/>
      <c r="AZ641" s="719"/>
      <c r="BA641" s="719"/>
      <c r="BB641" s="719"/>
      <c r="BC641" s="719"/>
      <c r="BD641" s="719"/>
      <c r="BE641" s="719"/>
      <c r="BF641" s="719"/>
      <c r="BG641" s="719"/>
      <c r="BH641" s="719"/>
      <c r="BI641" s="719"/>
      <c r="BJ641" s="719"/>
    </row>
    <row r="642" spans="2:62" ht="15.75" customHeight="1">
      <c r="B642" s="497"/>
      <c r="C642" s="811"/>
      <c r="D642" s="811"/>
      <c r="E642" s="811"/>
      <c r="F642" s="811"/>
      <c r="G642" s="811"/>
      <c r="H642" s="811"/>
      <c r="I642" s="811"/>
      <c r="J642" s="811"/>
      <c r="K642" s="811"/>
      <c r="L642" s="811"/>
      <c r="M642" s="811"/>
      <c r="N642" s="811"/>
      <c r="O642" s="811"/>
      <c r="P642" s="811"/>
      <c r="Q642" s="811"/>
      <c r="R642" s="811"/>
      <c r="S642" s="811"/>
      <c r="T642" s="811"/>
      <c r="U642" s="811"/>
      <c r="V642" s="811"/>
      <c r="W642" s="811"/>
      <c r="X642" s="811"/>
      <c r="Y642" s="719"/>
      <c r="Z642" s="719"/>
      <c r="AA642" s="719"/>
      <c r="AB642" s="719"/>
      <c r="AC642" s="719"/>
      <c r="AD642" s="719"/>
      <c r="AE642" s="719"/>
      <c r="AF642" s="719"/>
      <c r="AG642" s="719"/>
      <c r="AH642" s="719"/>
      <c r="AI642" s="719"/>
      <c r="AJ642" s="719"/>
      <c r="AK642" s="719"/>
      <c r="AL642" s="719"/>
      <c r="AM642" s="719"/>
      <c r="AN642" s="719"/>
      <c r="AO642" s="719"/>
      <c r="AP642" s="719"/>
      <c r="AQ642" s="719"/>
      <c r="AR642" s="719"/>
      <c r="AS642" s="719"/>
      <c r="AT642" s="719"/>
      <c r="AU642" s="719"/>
      <c r="AV642" s="719"/>
      <c r="AW642" s="719"/>
      <c r="AX642" s="719"/>
      <c r="AY642" s="719"/>
      <c r="AZ642" s="719"/>
      <c r="BA642" s="719"/>
      <c r="BB642" s="719"/>
      <c r="BC642" s="719"/>
      <c r="BD642" s="719"/>
      <c r="BE642" s="719"/>
      <c r="BF642" s="719"/>
      <c r="BG642" s="719"/>
      <c r="BH642" s="719"/>
      <c r="BI642" s="719"/>
      <c r="BJ642" s="719"/>
    </row>
    <row r="643" spans="2:62" ht="15.75" customHeight="1">
      <c r="B643" s="497"/>
      <c r="C643" s="811"/>
      <c r="D643" s="811"/>
      <c r="E643" s="811"/>
      <c r="F643" s="811"/>
      <c r="G643" s="811"/>
      <c r="H643" s="811"/>
      <c r="I643" s="811"/>
      <c r="J643" s="811"/>
      <c r="K643" s="811"/>
      <c r="L643" s="811"/>
      <c r="M643" s="811"/>
      <c r="N643" s="811"/>
      <c r="O643" s="811"/>
      <c r="P643" s="811"/>
      <c r="Q643" s="811"/>
      <c r="R643" s="811"/>
      <c r="S643" s="811"/>
      <c r="T643" s="811"/>
      <c r="U643" s="811"/>
      <c r="V643" s="811"/>
      <c r="W643" s="811"/>
      <c r="X643" s="811"/>
      <c r="Y643" s="719"/>
      <c r="Z643" s="719"/>
      <c r="AA643" s="719"/>
      <c r="AB643" s="719"/>
      <c r="AC643" s="719"/>
      <c r="AD643" s="719"/>
      <c r="AE643" s="719"/>
      <c r="AF643" s="719"/>
      <c r="AG643" s="719"/>
      <c r="AH643" s="719"/>
      <c r="AI643" s="719"/>
      <c r="AJ643" s="719"/>
      <c r="AK643" s="719"/>
      <c r="AL643" s="719"/>
      <c r="AM643" s="719"/>
      <c r="AN643" s="719"/>
      <c r="AO643" s="719"/>
      <c r="AP643" s="719"/>
      <c r="AQ643" s="719"/>
      <c r="AR643" s="719"/>
      <c r="AS643" s="719"/>
      <c r="AT643" s="719"/>
      <c r="AU643" s="719"/>
      <c r="AV643" s="719"/>
      <c r="AW643" s="719"/>
      <c r="AX643" s="719"/>
      <c r="AY643" s="719"/>
      <c r="AZ643" s="719"/>
      <c r="BA643" s="719"/>
      <c r="BB643" s="719"/>
      <c r="BC643" s="719"/>
      <c r="BD643" s="719"/>
      <c r="BE643" s="719"/>
      <c r="BF643" s="719"/>
      <c r="BG643" s="719"/>
      <c r="BH643" s="719"/>
      <c r="BI643" s="719"/>
      <c r="BJ643" s="719"/>
    </row>
    <row r="644" spans="2:62" ht="15.75" customHeight="1">
      <c r="B644" s="497"/>
      <c r="C644" s="811"/>
      <c r="D644" s="811"/>
      <c r="E644" s="811"/>
      <c r="F644" s="811"/>
      <c r="G644" s="811"/>
      <c r="H644" s="811"/>
      <c r="I644" s="811"/>
      <c r="J644" s="811"/>
      <c r="K644" s="811"/>
      <c r="L644" s="811"/>
      <c r="M644" s="811"/>
      <c r="N644" s="811"/>
      <c r="O644" s="811"/>
      <c r="P644" s="811"/>
      <c r="Q644" s="811"/>
      <c r="R644" s="811"/>
      <c r="S644" s="811"/>
      <c r="T644" s="811"/>
      <c r="U644" s="811"/>
      <c r="V644" s="811"/>
      <c r="W644" s="811"/>
      <c r="X644" s="811"/>
      <c r="Y644" s="719"/>
      <c r="Z644" s="719"/>
      <c r="AA644" s="719"/>
      <c r="AB644" s="719"/>
      <c r="AC644" s="719"/>
      <c r="AD644" s="719"/>
      <c r="AE644" s="719"/>
      <c r="AF644" s="719"/>
      <c r="AG644" s="719"/>
      <c r="AH644" s="719"/>
      <c r="AI644" s="719"/>
      <c r="AJ644" s="719"/>
      <c r="AK644" s="719"/>
      <c r="AL644" s="719"/>
      <c r="AM644" s="719"/>
      <c r="AN644" s="719"/>
      <c r="AO644" s="719"/>
      <c r="AP644" s="719"/>
      <c r="AQ644" s="719"/>
      <c r="AR644" s="719"/>
      <c r="AS644" s="719"/>
      <c r="AT644" s="719"/>
      <c r="AU644" s="719"/>
      <c r="AV644" s="719"/>
      <c r="AW644" s="719"/>
      <c r="AX644" s="719"/>
      <c r="AY644" s="719"/>
      <c r="AZ644" s="719"/>
      <c r="BA644" s="719"/>
      <c r="BB644" s="719"/>
      <c r="BC644" s="719"/>
      <c r="BD644" s="719"/>
      <c r="BE644" s="719"/>
      <c r="BF644" s="719"/>
      <c r="BG644" s="719"/>
      <c r="BH644" s="719"/>
      <c r="BI644" s="719"/>
      <c r="BJ644" s="719"/>
    </row>
    <row r="645" spans="2:62" ht="15.75" customHeight="1">
      <c r="B645" s="497"/>
      <c r="C645" s="881"/>
      <c r="D645" s="811"/>
      <c r="E645" s="811"/>
      <c r="F645" s="811"/>
      <c r="G645" s="811"/>
      <c r="H645" s="811"/>
      <c r="I645" s="811"/>
      <c r="J645" s="811"/>
      <c r="K645" s="811"/>
      <c r="L645" s="811"/>
      <c r="M645" s="811"/>
      <c r="N645" s="811"/>
      <c r="O645" s="420"/>
      <c r="P645" s="811"/>
      <c r="Q645" s="811"/>
      <c r="R645" s="811"/>
      <c r="S645" s="811"/>
      <c r="T645" s="811"/>
      <c r="U645" s="811"/>
      <c r="V645" s="811"/>
      <c r="W645" s="811"/>
      <c r="X645" s="811"/>
      <c r="Y645" s="719"/>
      <c r="Z645" s="719"/>
      <c r="AA645" s="719"/>
      <c r="AB645" s="719"/>
      <c r="AC645" s="719"/>
      <c r="AD645" s="719"/>
      <c r="AE645" s="719"/>
      <c r="AF645" s="719"/>
      <c r="AG645" s="719"/>
      <c r="AH645" s="719"/>
      <c r="AI645" s="719"/>
      <c r="AJ645" s="719"/>
      <c r="AK645" s="719"/>
      <c r="AL645" s="719"/>
      <c r="AM645" s="719"/>
      <c r="AN645" s="719"/>
      <c r="AO645" s="719"/>
      <c r="AP645" s="719"/>
      <c r="AQ645" s="719"/>
      <c r="AR645" s="719"/>
      <c r="AS645" s="719"/>
      <c r="AT645" s="719"/>
      <c r="AU645" s="719"/>
      <c r="AV645" s="719"/>
      <c r="AW645" s="719"/>
      <c r="AX645" s="719"/>
      <c r="AY645" s="719"/>
      <c r="AZ645" s="719"/>
      <c r="BA645" s="719"/>
      <c r="BB645" s="719"/>
      <c r="BC645" s="719"/>
      <c r="BD645" s="719"/>
      <c r="BE645" s="719"/>
      <c r="BF645" s="719"/>
      <c r="BG645" s="719"/>
      <c r="BH645" s="719"/>
      <c r="BI645" s="719"/>
      <c r="BJ645" s="719"/>
    </row>
    <row r="646" spans="2:62" ht="15.75" customHeight="1">
      <c r="B646" s="497"/>
      <c r="C646" s="409"/>
      <c r="D646" s="413"/>
      <c r="E646" s="413"/>
      <c r="F646" s="413"/>
      <c r="G646" s="413"/>
      <c r="H646" s="413"/>
      <c r="I646" s="413"/>
      <c r="J646" s="413"/>
      <c r="K646" s="413"/>
      <c r="L646" s="413"/>
      <c r="M646" s="413"/>
      <c r="N646" s="413"/>
      <c r="O646" s="413"/>
      <c r="P646" s="413"/>
      <c r="Q646" s="421"/>
      <c r="R646" s="413"/>
      <c r="S646" s="413"/>
      <c r="T646" s="811"/>
      <c r="U646" s="811"/>
      <c r="V646" s="811"/>
      <c r="W646" s="811"/>
      <c r="X646" s="811"/>
      <c r="Y646" s="719"/>
      <c r="Z646" s="719"/>
      <c r="AA646" s="719"/>
      <c r="AB646" s="719"/>
      <c r="AC646" s="719"/>
      <c r="AD646" s="719"/>
      <c r="AE646" s="719"/>
      <c r="AF646" s="719"/>
      <c r="AG646" s="719"/>
      <c r="AH646" s="719"/>
      <c r="AI646" s="719"/>
      <c r="AJ646" s="719"/>
      <c r="AK646" s="719"/>
      <c r="AL646" s="719"/>
      <c r="AM646" s="719"/>
      <c r="AN646" s="719"/>
      <c r="AO646" s="719"/>
      <c r="AP646" s="719"/>
      <c r="AQ646" s="719"/>
      <c r="AR646" s="719"/>
      <c r="AS646" s="719"/>
      <c r="AT646" s="719"/>
      <c r="AU646" s="719"/>
      <c r="AV646" s="719"/>
      <c r="AW646" s="719"/>
      <c r="AX646" s="719"/>
      <c r="AY646" s="719"/>
      <c r="AZ646" s="719"/>
      <c r="BA646" s="719"/>
      <c r="BB646" s="719"/>
      <c r="BC646" s="719"/>
      <c r="BD646" s="719"/>
      <c r="BE646" s="719"/>
      <c r="BF646" s="719"/>
      <c r="BG646" s="719"/>
      <c r="BH646" s="719"/>
      <c r="BI646" s="719"/>
      <c r="BJ646" s="719"/>
    </row>
    <row r="647" spans="2:62" ht="15.75" customHeight="1">
      <c r="B647" s="497"/>
      <c r="C647" s="811"/>
      <c r="D647" s="410"/>
      <c r="E647" s="410"/>
      <c r="F647" s="422"/>
      <c r="G647" s="410"/>
      <c r="H647" s="410"/>
      <c r="I647" s="422"/>
      <c r="J647" s="414"/>
      <c r="K647" s="414"/>
      <c r="L647" s="423"/>
      <c r="M647" s="414"/>
      <c r="N647" s="414"/>
      <c r="O647" s="414"/>
      <c r="P647" s="414"/>
      <c r="Q647" s="411"/>
      <c r="R647" s="410"/>
      <c r="S647" s="422"/>
      <c r="T647" s="811"/>
      <c r="U647" s="811"/>
      <c r="V647" s="811"/>
      <c r="W647" s="811"/>
      <c r="X647" s="811"/>
      <c r="Y647" s="719"/>
      <c r="Z647" s="719"/>
      <c r="AA647" s="719"/>
      <c r="AB647" s="719"/>
      <c r="AC647" s="719"/>
      <c r="AD647" s="719"/>
      <c r="AE647" s="719"/>
      <c r="AF647" s="719"/>
      <c r="AG647" s="719"/>
      <c r="AH647" s="719"/>
      <c r="AI647" s="719"/>
      <c r="AJ647" s="719"/>
      <c r="AK647" s="719"/>
      <c r="AL647" s="719"/>
      <c r="AM647" s="719"/>
      <c r="AN647" s="719"/>
      <c r="AO647" s="719"/>
      <c r="AP647" s="719"/>
      <c r="AQ647" s="719"/>
      <c r="AR647" s="719"/>
      <c r="AS647" s="719"/>
      <c r="AT647" s="719"/>
      <c r="AU647" s="719"/>
      <c r="AV647" s="719"/>
      <c r="AW647" s="719"/>
      <c r="AX647" s="719"/>
      <c r="AY647" s="719"/>
      <c r="AZ647" s="719"/>
      <c r="BA647" s="719"/>
      <c r="BB647" s="719"/>
      <c r="BC647" s="719"/>
      <c r="BD647" s="719"/>
      <c r="BE647" s="719"/>
      <c r="BF647" s="719"/>
      <c r="BG647" s="719"/>
      <c r="BH647" s="719"/>
      <c r="BI647" s="719"/>
      <c r="BJ647" s="719"/>
    </row>
    <row r="648" spans="2:62" ht="15.75" customHeight="1">
      <c r="B648" s="497"/>
      <c r="C648" s="882"/>
      <c r="D648" s="811"/>
      <c r="E648" s="811"/>
      <c r="F648" s="413"/>
      <c r="G648" s="811"/>
      <c r="H648" s="811"/>
      <c r="I648" s="413"/>
      <c r="J648" s="413"/>
      <c r="K648" s="413"/>
      <c r="L648" s="811"/>
      <c r="M648" s="413"/>
      <c r="N648" s="413"/>
      <c r="O648" s="811"/>
      <c r="P648" s="413"/>
      <c r="Q648" s="413"/>
      <c r="R648" s="811"/>
      <c r="S648" s="413"/>
      <c r="T648" s="811"/>
      <c r="U648" s="811"/>
      <c r="V648" s="811"/>
      <c r="W648" s="811"/>
      <c r="X648" s="811"/>
      <c r="Y648" s="719"/>
      <c r="Z648" s="719"/>
      <c r="AA648" s="719"/>
      <c r="AB648" s="719"/>
      <c r="AC648" s="719"/>
      <c r="AD648" s="719"/>
      <c r="AE648" s="719"/>
      <c r="AF648" s="719"/>
      <c r="AG648" s="719"/>
      <c r="AH648" s="719"/>
      <c r="AI648" s="719"/>
      <c r="AJ648" s="719"/>
      <c r="AK648" s="719"/>
      <c r="AL648" s="719"/>
      <c r="AM648" s="719"/>
      <c r="AN648" s="719"/>
      <c r="AO648" s="719"/>
      <c r="AP648" s="719"/>
      <c r="AQ648" s="719"/>
      <c r="AR648" s="719"/>
      <c r="AS648" s="719"/>
      <c r="AT648" s="719"/>
      <c r="AU648" s="719"/>
      <c r="AV648" s="719"/>
      <c r="AW648" s="719"/>
      <c r="AX648" s="719"/>
      <c r="AY648" s="719"/>
      <c r="AZ648" s="719"/>
      <c r="BA648" s="719"/>
      <c r="BB648" s="719"/>
      <c r="BC648" s="719"/>
      <c r="BD648" s="719"/>
      <c r="BE648" s="719"/>
      <c r="BF648" s="719"/>
      <c r="BG648" s="719"/>
      <c r="BH648" s="719"/>
      <c r="BI648" s="719"/>
      <c r="BJ648" s="719"/>
    </row>
    <row r="649" spans="2:62" ht="15.75" customHeight="1">
      <c r="B649" s="497"/>
      <c r="C649" s="811"/>
      <c r="D649" s="811"/>
      <c r="E649" s="811"/>
      <c r="F649" s="874"/>
      <c r="G649" s="811"/>
      <c r="H649" s="811"/>
      <c r="I649" s="874"/>
      <c r="J649" s="874"/>
      <c r="K649" s="874"/>
      <c r="L649" s="874"/>
      <c r="M649" s="874"/>
      <c r="N649" s="874"/>
      <c r="O649" s="874"/>
      <c r="P649" s="874"/>
      <c r="Q649" s="874"/>
      <c r="R649" s="874"/>
      <c r="S649" s="874"/>
      <c r="T649" s="811"/>
      <c r="U649" s="811"/>
      <c r="V649" s="811"/>
      <c r="W649" s="811"/>
      <c r="X649" s="811"/>
      <c r="Y649" s="719"/>
      <c r="Z649" s="719"/>
      <c r="AA649" s="719"/>
      <c r="AB649" s="719"/>
      <c r="AC649" s="719"/>
      <c r="AD649" s="719"/>
      <c r="AE649" s="719"/>
      <c r="AF649" s="719"/>
      <c r="AG649" s="719"/>
      <c r="AH649" s="719"/>
      <c r="AI649" s="719"/>
      <c r="AJ649" s="719"/>
      <c r="AK649" s="719"/>
      <c r="AL649" s="719"/>
      <c r="AM649" s="719"/>
      <c r="AN649" s="719"/>
      <c r="AO649" s="719"/>
      <c r="AP649" s="719"/>
      <c r="AQ649" s="719"/>
      <c r="AR649" s="719"/>
      <c r="AS649" s="719"/>
      <c r="AT649" s="719"/>
      <c r="AU649" s="719"/>
      <c r="AV649" s="719"/>
      <c r="AW649" s="719"/>
      <c r="AX649" s="719"/>
      <c r="AY649" s="719"/>
      <c r="AZ649" s="719"/>
      <c r="BA649" s="719"/>
      <c r="BB649" s="719"/>
      <c r="BC649" s="719"/>
      <c r="BD649" s="719"/>
      <c r="BE649" s="719"/>
      <c r="BF649" s="719"/>
      <c r="BG649" s="719"/>
      <c r="BH649" s="719"/>
      <c r="BI649" s="719"/>
      <c r="BJ649" s="719"/>
    </row>
    <row r="650" spans="2:62" ht="15.75" customHeight="1">
      <c r="B650" s="497"/>
      <c r="C650" s="873"/>
      <c r="D650" s="873"/>
      <c r="E650" s="873"/>
      <c r="F650" s="876"/>
      <c r="G650" s="873"/>
      <c r="H650" s="873"/>
      <c r="I650" s="876"/>
      <c r="J650" s="876"/>
      <c r="K650" s="876"/>
      <c r="L650" s="876"/>
      <c r="M650" s="876"/>
      <c r="N650" s="876"/>
      <c r="O650" s="876"/>
      <c r="P650" s="876"/>
      <c r="Q650" s="876"/>
      <c r="R650" s="876"/>
      <c r="S650" s="876"/>
      <c r="T650" s="811"/>
      <c r="U650" s="811"/>
      <c r="V650" s="811"/>
      <c r="W650" s="811"/>
      <c r="X650" s="811"/>
      <c r="Y650" s="719"/>
      <c r="Z650" s="719"/>
      <c r="AA650" s="719"/>
      <c r="AB650" s="719"/>
      <c r="AC650" s="719"/>
      <c r="AD650" s="719"/>
      <c r="AE650" s="719"/>
      <c r="AF650" s="719"/>
      <c r="AG650" s="719"/>
      <c r="AH650" s="719"/>
      <c r="AI650" s="719"/>
      <c r="AJ650" s="719"/>
      <c r="AK650" s="719"/>
      <c r="AL650" s="719"/>
      <c r="AM650" s="719"/>
      <c r="AN650" s="719"/>
      <c r="AO650" s="719"/>
      <c r="AP650" s="719"/>
      <c r="AQ650" s="719"/>
      <c r="AR650" s="719"/>
      <c r="AS650" s="719"/>
      <c r="AT650" s="719"/>
      <c r="AU650" s="719"/>
      <c r="AV650" s="719"/>
      <c r="AW650" s="719"/>
      <c r="AX650" s="719"/>
      <c r="AY650" s="719"/>
      <c r="AZ650" s="719"/>
      <c r="BA650" s="719"/>
      <c r="BB650" s="719"/>
      <c r="BC650" s="719"/>
      <c r="BD650" s="719"/>
      <c r="BE650" s="719"/>
      <c r="BF650" s="719"/>
      <c r="BG650" s="719"/>
      <c r="BH650" s="719"/>
      <c r="BI650" s="719"/>
      <c r="BJ650" s="719"/>
    </row>
    <row r="651" spans="2:62" ht="15.75" customHeight="1">
      <c r="B651" s="497"/>
      <c r="C651" s="811"/>
      <c r="D651" s="811"/>
      <c r="E651" s="811"/>
      <c r="F651" s="811"/>
      <c r="G651" s="811"/>
      <c r="H651" s="811"/>
      <c r="I651" s="811"/>
      <c r="J651" s="874"/>
      <c r="K651" s="874"/>
      <c r="L651" s="874"/>
      <c r="M651" s="874"/>
      <c r="N651" s="874"/>
      <c r="O651" s="874"/>
      <c r="P651" s="874"/>
      <c r="Q651" s="874"/>
      <c r="R651" s="874"/>
      <c r="S651" s="874"/>
      <c r="T651" s="811"/>
      <c r="U651" s="811"/>
      <c r="V651" s="811"/>
      <c r="W651" s="811"/>
      <c r="X651" s="811"/>
      <c r="Y651" s="719"/>
      <c r="Z651" s="719"/>
      <c r="AA651" s="719"/>
      <c r="AB651" s="719"/>
      <c r="AC651" s="719"/>
      <c r="AD651" s="719"/>
      <c r="AE651" s="719"/>
      <c r="AF651" s="719"/>
      <c r="AG651" s="719"/>
      <c r="AH651" s="719"/>
      <c r="AI651" s="719"/>
      <c r="AJ651" s="719"/>
      <c r="AK651" s="719"/>
      <c r="AL651" s="719"/>
      <c r="AM651" s="719"/>
      <c r="AN651" s="719"/>
      <c r="AO651" s="719"/>
      <c r="AP651" s="719"/>
      <c r="AQ651" s="719"/>
      <c r="AR651" s="719"/>
      <c r="AS651" s="719"/>
      <c r="AT651" s="719"/>
      <c r="AU651" s="719"/>
      <c r="AV651" s="719"/>
      <c r="AW651" s="719"/>
      <c r="AX651" s="719"/>
      <c r="AY651" s="719"/>
      <c r="AZ651" s="719"/>
      <c r="BA651" s="719"/>
      <c r="BB651" s="719"/>
      <c r="BC651" s="719"/>
      <c r="BD651" s="719"/>
      <c r="BE651" s="719"/>
      <c r="BF651" s="719"/>
      <c r="BG651" s="719"/>
      <c r="BH651" s="719"/>
      <c r="BI651" s="719"/>
      <c r="BJ651" s="719"/>
    </row>
    <row r="652" spans="2:62" ht="15.75" customHeight="1">
      <c r="B652" s="497"/>
      <c r="C652" s="811"/>
      <c r="D652" s="811"/>
      <c r="E652" s="811"/>
      <c r="F652" s="811"/>
      <c r="G652" s="811"/>
      <c r="H652" s="811"/>
      <c r="I652" s="811"/>
      <c r="J652" s="811"/>
      <c r="K652" s="874"/>
      <c r="L652" s="874"/>
      <c r="M652" s="811"/>
      <c r="N652" s="874"/>
      <c r="O652" s="874"/>
      <c r="P652" s="811"/>
      <c r="Q652" s="874"/>
      <c r="R652" s="874"/>
      <c r="S652" s="811"/>
      <c r="T652" s="811"/>
      <c r="U652" s="811"/>
      <c r="V652" s="811"/>
      <c r="W652" s="811"/>
      <c r="X652" s="811"/>
      <c r="Y652" s="719"/>
      <c r="Z652" s="719"/>
      <c r="AA652" s="719"/>
      <c r="AB652" s="719"/>
      <c r="AC652" s="719"/>
      <c r="AD652" s="719"/>
      <c r="AE652" s="719"/>
      <c r="AF652" s="719"/>
      <c r="AG652" s="719"/>
      <c r="AH652" s="719"/>
      <c r="AI652" s="719"/>
      <c r="AJ652" s="719"/>
      <c r="AK652" s="719"/>
      <c r="AL652" s="719"/>
      <c r="AM652" s="719"/>
      <c r="AN652" s="719"/>
      <c r="AO652" s="719"/>
      <c r="AP652" s="719"/>
      <c r="AQ652" s="719"/>
      <c r="AR652" s="719"/>
      <c r="AS652" s="719"/>
      <c r="AT652" s="719"/>
      <c r="AU652" s="719"/>
      <c r="AV652" s="719"/>
      <c r="AW652" s="719"/>
      <c r="AX652" s="719"/>
      <c r="AY652" s="719"/>
      <c r="AZ652" s="719"/>
      <c r="BA652" s="719"/>
      <c r="BB652" s="719"/>
      <c r="BC652" s="719"/>
      <c r="BD652" s="719"/>
      <c r="BE652" s="719"/>
      <c r="BF652" s="719"/>
      <c r="BG652" s="719"/>
      <c r="BH652" s="719"/>
      <c r="BI652" s="719"/>
      <c r="BJ652" s="719"/>
    </row>
    <row r="653" spans="2:62" ht="15.75" customHeight="1">
      <c r="B653" s="497"/>
      <c r="C653" s="811"/>
      <c r="D653" s="811"/>
      <c r="E653" s="811"/>
      <c r="F653" s="811"/>
      <c r="G653" s="811"/>
      <c r="H653" s="811"/>
      <c r="I653" s="811"/>
      <c r="J653" s="811"/>
      <c r="K653" s="874"/>
      <c r="L653" s="874"/>
      <c r="M653" s="811"/>
      <c r="N653" s="874"/>
      <c r="O653" s="874"/>
      <c r="P653" s="811"/>
      <c r="Q653" s="874"/>
      <c r="R653" s="874"/>
      <c r="S653" s="811"/>
      <c r="T653" s="811"/>
      <c r="U653" s="811"/>
      <c r="V653" s="811"/>
      <c r="W653" s="811"/>
      <c r="X653" s="811"/>
      <c r="Y653" s="719"/>
      <c r="Z653" s="719"/>
      <c r="AA653" s="719"/>
      <c r="AB653" s="719"/>
      <c r="AC653" s="719"/>
      <c r="AD653" s="719"/>
      <c r="AE653" s="719"/>
      <c r="AF653" s="719"/>
      <c r="AG653" s="719"/>
      <c r="AH653" s="719"/>
      <c r="AI653" s="719"/>
      <c r="AJ653" s="719"/>
      <c r="AK653" s="719"/>
      <c r="AL653" s="719"/>
      <c r="AM653" s="719"/>
      <c r="AN653" s="719"/>
      <c r="AO653" s="719"/>
      <c r="AP653" s="719"/>
      <c r="AQ653" s="719"/>
      <c r="AR653" s="719"/>
      <c r="AS653" s="719"/>
      <c r="AT653" s="719"/>
      <c r="AU653" s="719"/>
      <c r="AV653" s="719"/>
      <c r="AW653" s="719"/>
      <c r="AX653" s="719"/>
      <c r="AY653" s="719"/>
      <c r="AZ653" s="719"/>
      <c r="BA653" s="719"/>
      <c r="BB653" s="719"/>
      <c r="BC653" s="719"/>
      <c r="BD653" s="719"/>
      <c r="BE653" s="719"/>
      <c r="BF653" s="719"/>
      <c r="BG653" s="719"/>
      <c r="BH653" s="719"/>
      <c r="BI653" s="719"/>
      <c r="BJ653" s="719"/>
    </row>
    <row r="654" spans="2:62" ht="15.75" customHeight="1">
      <c r="B654" s="497"/>
      <c r="C654" s="811"/>
      <c r="D654" s="811"/>
      <c r="E654" s="811"/>
      <c r="F654" s="811"/>
      <c r="G654" s="811"/>
      <c r="H654" s="811"/>
      <c r="I654" s="811"/>
      <c r="J654" s="811"/>
      <c r="K654" s="874"/>
      <c r="L654" s="874"/>
      <c r="M654" s="811"/>
      <c r="N654" s="874"/>
      <c r="O654" s="874"/>
      <c r="P654" s="811"/>
      <c r="Q654" s="874"/>
      <c r="R654" s="874"/>
      <c r="S654" s="811"/>
      <c r="T654" s="811"/>
      <c r="U654" s="811"/>
      <c r="V654" s="811"/>
      <c r="W654" s="811"/>
      <c r="X654" s="811"/>
      <c r="Y654" s="719"/>
      <c r="Z654" s="719"/>
      <c r="AA654" s="719"/>
      <c r="AB654" s="719"/>
      <c r="AC654" s="719"/>
      <c r="AD654" s="719"/>
      <c r="AE654" s="719"/>
      <c r="AF654" s="719"/>
      <c r="AG654" s="719"/>
      <c r="AH654" s="719"/>
      <c r="AI654" s="719"/>
      <c r="AJ654" s="719"/>
      <c r="AK654" s="719"/>
      <c r="AL654" s="719"/>
      <c r="AM654" s="719"/>
      <c r="AN654" s="719"/>
      <c r="AO654" s="719"/>
      <c r="AP654" s="719"/>
      <c r="AQ654" s="719"/>
      <c r="AR654" s="719"/>
      <c r="AS654" s="719"/>
      <c r="AT654" s="719"/>
      <c r="AU654" s="719"/>
      <c r="AV654" s="719"/>
      <c r="AW654" s="719"/>
      <c r="AX654" s="719"/>
      <c r="AY654" s="719"/>
      <c r="AZ654" s="719"/>
      <c r="BA654" s="719"/>
      <c r="BB654" s="719"/>
      <c r="BC654" s="719"/>
      <c r="BD654" s="719"/>
      <c r="BE654" s="719"/>
      <c r="BF654" s="719"/>
      <c r="BG654" s="719"/>
      <c r="BH654" s="719"/>
      <c r="BI654" s="719"/>
      <c r="BJ654" s="719"/>
    </row>
    <row r="655" spans="2:62" ht="15.75" customHeight="1">
      <c r="B655" s="497"/>
      <c r="C655" s="811"/>
      <c r="D655" s="811"/>
      <c r="E655" s="811"/>
      <c r="F655" s="811"/>
      <c r="G655" s="811"/>
      <c r="H655" s="811"/>
      <c r="I655" s="811"/>
      <c r="J655" s="811"/>
      <c r="K655" s="874"/>
      <c r="L655" s="874"/>
      <c r="M655" s="811"/>
      <c r="N655" s="874"/>
      <c r="O655" s="874"/>
      <c r="P655" s="811"/>
      <c r="Q655" s="874"/>
      <c r="R655" s="874"/>
      <c r="S655" s="811"/>
      <c r="T655" s="811"/>
      <c r="U655" s="811"/>
      <c r="V655" s="811"/>
      <c r="W655" s="811"/>
      <c r="X655" s="811"/>
      <c r="Y655" s="719"/>
      <c r="Z655" s="719"/>
      <c r="AA655" s="719"/>
      <c r="AB655" s="719"/>
      <c r="AC655" s="719"/>
      <c r="AD655" s="719"/>
      <c r="AE655" s="719"/>
      <c r="AF655" s="719"/>
      <c r="AG655" s="719"/>
      <c r="AH655" s="719"/>
      <c r="AI655" s="719"/>
      <c r="AJ655" s="719"/>
      <c r="AK655" s="719"/>
      <c r="AL655" s="719"/>
      <c r="AM655" s="719"/>
      <c r="AN655" s="719"/>
      <c r="AO655" s="719"/>
      <c r="AP655" s="719"/>
      <c r="AQ655" s="719"/>
      <c r="AR655" s="719"/>
      <c r="AS655" s="719"/>
      <c r="AT655" s="719"/>
      <c r="AU655" s="719"/>
      <c r="AV655" s="719"/>
      <c r="AW655" s="719"/>
      <c r="AX655" s="719"/>
      <c r="AY655" s="719"/>
      <c r="AZ655" s="719"/>
      <c r="BA655" s="719"/>
      <c r="BB655" s="719"/>
      <c r="BC655" s="719"/>
      <c r="BD655" s="719"/>
      <c r="BE655" s="719"/>
      <c r="BF655" s="719"/>
      <c r="BG655" s="719"/>
      <c r="BH655" s="719"/>
      <c r="BI655" s="719"/>
      <c r="BJ655" s="719"/>
    </row>
    <row r="656" spans="2:62" ht="15.75" customHeight="1">
      <c r="B656" s="497"/>
      <c r="C656" s="811"/>
      <c r="D656" s="811"/>
      <c r="E656" s="811"/>
      <c r="F656" s="811"/>
      <c r="G656" s="811"/>
      <c r="H656" s="811"/>
      <c r="I656" s="811"/>
      <c r="J656" s="811"/>
      <c r="K656" s="874"/>
      <c r="L656" s="874"/>
      <c r="M656" s="811"/>
      <c r="N656" s="874"/>
      <c r="O656" s="874"/>
      <c r="P656" s="811"/>
      <c r="Q656" s="874"/>
      <c r="R656" s="874"/>
      <c r="S656" s="811"/>
      <c r="T656" s="811"/>
      <c r="U656" s="811"/>
      <c r="V656" s="811"/>
      <c r="W656" s="811"/>
      <c r="X656" s="811"/>
      <c r="Y656" s="719"/>
      <c r="Z656" s="719"/>
      <c r="AA656" s="719"/>
      <c r="AB656" s="719"/>
      <c r="AC656" s="719"/>
      <c r="AD656" s="719"/>
      <c r="AE656" s="719"/>
      <c r="AF656" s="719"/>
      <c r="AG656" s="719"/>
      <c r="AH656" s="719"/>
      <c r="AI656" s="719"/>
      <c r="AJ656" s="719"/>
      <c r="AK656" s="719"/>
      <c r="AL656" s="719"/>
      <c r="AM656" s="719"/>
      <c r="AN656" s="719"/>
      <c r="AO656" s="719"/>
      <c r="AP656" s="719"/>
      <c r="AQ656" s="719"/>
      <c r="AR656" s="719"/>
      <c r="AS656" s="719"/>
      <c r="AT656" s="719"/>
      <c r="AU656" s="719"/>
      <c r="AV656" s="719"/>
      <c r="AW656" s="719"/>
      <c r="AX656" s="719"/>
      <c r="AY656" s="719"/>
      <c r="AZ656" s="719"/>
      <c r="BA656" s="719"/>
      <c r="BB656" s="719"/>
      <c r="BC656" s="719"/>
      <c r="BD656" s="719"/>
      <c r="BE656" s="719"/>
      <c r="BF656" s="719"/>
      <c r="BG656" s="719"/>
      <c r="BH656" s="719"/>
      <c r="BI656" s="719"/>
      <c r="BJ656" s="719"/>
    </row>
    <row r="657" spans="2:62" ht="15.75" customHeight="1">
      <c r="B657" s="497"/>
      <c r="C657" s="811"/>
      <c r="D657" s="811"/>
      <c r="E657" s="811"/>
      <c r="F657" s="811"/>
      <c r="G657" s="811"/>
      <c r="H657" s="811"/>
      <c r="I657" s="811"/>
      <c r="J657" s="811"/>
      <c r="K657" s="874"/>
      <c r="L657" s="876"/>
      <c r="M657" s="811"/>
      <c r="N657" s="874"/>
      <c r="O657" s="874"/>
      <c r="P657" s="811"/>
      <c r="Q657" s="874"/>
      <c r="R657" s="876"/>
      <c r="S657" s="811"/>
      <c r="T657" s="811"/>
      <c r="U657" s="811"/>
      <c r="V657" s="811"/>
      <c r="W657" s="811"/>
      <c r="X657" s="811"/>
      <c r="Y657" s="719"/>
      <c r="Z657" s="719"/>
      <c r="AA657" s="719"/>
      <c r="AB657" s="719"/>
      <c r="AC657" s="719"/>
      <c r="AD657" s="719"/>
      <c r="AE657" s="719"/>
      <c r="AF657" s="719"/>
      <c r="AG657" s="719"/>
      <c r="AH657" s="719"/>
      <c r="AI657" s="719"/>
      <c r="AJ657" s="719"/>
      <c r="AK657" s="719"/>
      <c r="AL657" s="719"/>
      <c r="AM657" s="719"/>
      <c r="AN657" s="719"/>
      <c r="AO657" s="719"/>
      <c r="AP657" s="719"/>
      <c r="AQ657" s="719"/>
      <c r="AR657" s="719"/>
      <c r="AS657" s="719"/>
      <c r="AT657" s="719"/>
      <c r="AU657" s="719"/>
      <c r="AV657" s="719"/>
      <c r="AW657" s="719"/>
      <c r="AX657" s="719"/>
      <c r="AY657" s="719"/>
      <c r="AZ657" s="719"/>
      <c r="BA657" s="719"/>
      <c r="BB657" s="719"/>
      <c r="BC657" s="719"/>
      <c r="BD657" s="719"/>
      <c r="BE657" s="719"/>
      <c r="BF657" s="719"/>
      <c r="BG657" s="719"/>
      <c r="BH657" s="719"/>
      <c r="BI657" s="719"/>
      <c r="BJ657" s="719"/>
    </row>
    <row r="658" spans="2:62" ht="15.75" customHeight="1">
      <c r="B658" s="497"/>
      <c r="C658" s="811"/>
      <c r="D658" s="811"/>
      <c r="E658" s="811"/>
      <c r="F658" s="811"/>
      <c r="G658" s="811"/>
      <c r="H658" s="811"/>
      <c r="I658" s="811"/>
      <c r="J658" s="811"/>
      <c r="K658" s="874"/>
      <c r="L658" s="874"/>
      <c r="M658" s="811"/>
      <c r="N658" s="874"/>
      <c r="O658" s="874"/>
      <c r="P658" s="811"/>
      <c r="Q658" s="874"/>
      <c r="R658" s="874"/>
      <c r="S658" s="811"/>
      <c r="T658" s="811"/>
      <c r="U658" s="811"/>
      <c r="V658" s="811"/>
      <c r="W658" s="811"/>
      <c r="X658" s="811"/>
      <c r="Y658" s="719"/>
      <c r="Z658" s="719"/>
      <c r="AA658" s="719"/>
      <c r="AB658" s="719"/>
      <c r="AC658" s="719"/>
      <c r="AD658" s="719"/>
      <c r="AE658" s="719"/>
      <c r="AF658" s="719"/>
      <c r="AG658" s="719"/>
      <c r="AH658" s="719"/>
      <c r="AI658" s="719"/>
      <c r="AJ658" s="719"/>
      <c r="AK658" s="719"/>
      <c r="AL658" s="719"/>
      <c r="AM658" s="719"/>
      <c r="AN658" s="719"/>
      <c r="AO658" s="719"/>
      <c r="AP658" s="719"/>
      <c r="AQ658" s="719"/>
      <c r="AR658" s="719"/>
      <c r="AS658" s="719"/>
      <c r="AT658" s="719"/>
      <c r="AU658" s="719"/>
      <c r="AV658" s="719"/>
      <c r="AW658" s="719"/>
      <c r="AX658" s="719"/>
      <c r="AY658" s="719"/>
      <c r="AZ658" s="719"/>
      <c r="BA658" s="719"/>
      <c r="BB658" s="719"/>
      <c r="BC658" s="719"/>
      <c r="BD658" s="719"/>
      <c r="BE658" s="719"/>
      <c r="BF658" s="719"/>
      <c r="BG658" s="719"/>
      <c r="BH658" s="719"/>
      <c r="BI658" s="719"/>
      <c r="BJ658" s="719"/>
    </row>
    <row r="659" spans="2:62" ht="15.75" customHeight="1">
      <c r="B659" s="497"/>
      <c r="C659" s="811"/>
      <c r="D659" s="811"/>
      <c r="E659" s="811"/>
      <c r="F659" s="811"/>
      <c r="G659" s="811"/>
      <c r="H659" s="811"/>
      <c r="I659" s="811"/>
      <c r="J659" s="811"/>
      <c r="K659" s="811"/>
      <c r="L659" s="811"/>
      <c r="M659" s="811"/>
      <c r="N659" s="876"/>
      <c r="O659" s="876"/>
      <c r="P659" s="811"/>
      <c r="Q659" s="876"/>
      <c r="R659" s="811"/>
      <c r="S659" s="811"/>
      <c r="T659" s="811"/>
      <c r="U659" s="811"/>
      <c r="V659" s="811"/>
      <c r="W659" s="811"/>
      <c r="X659" s="811"/>
      <c r="Y659" s="719"/>
      <c r="Z659" s="719"/>
      <c r="AA659" s="719"/>
      <c r="AB659" s="719"/>
      <c r="AC659" s="719"/>
      <c r="AD659" s="719"/>
      <c r="AE659" s="719"/>
      <c r="AF659" s="719"/>
      <c r="AG659" s="719"/>
      <c r="AH659" s="719"/>
      <c r="AI659" s="719"/>
      <c r="AJ659" s="719"/>
      <c r="AK659" s="719"/>
      <c r="AL659" s="719"/>
      <c r="AM659" s="719"/>
      <c r="AN659" s="719"/>
      <c r="AO659" s="719"/>
      <c r="AP659" s="719"/>
      <c r="AQ659" s="719"/>
      <c r="AR659" s="719"/>
      <c r="AS659" s="719"/>
      <c r="AT659" s="719"/>
      <c r="AU659" s="719"/>
      <c r="AV659" s="719"/>
      <c r="AW659" s="719"/>
      <c r="AX659" s="719"/>
      <c r="AY659" s="719"/>
      <c r="AZ659" s="719"/>
      <c r="BA659" s="719"/>
      <c r="BB659" s="719"/>
      <c r="BC659" s="719"/>
      <c r="BD659" s="719"/>
      <c r="BE659" s="719"/>
      <c r="BF659" s="719"/>
      <c r="BG659" s="719"/>
      <c r="BH659" s="719"/>
      <c r="BI659" s="719"/>
      <c r="BJ659" s="719"/>
    </row>
    <row r="660" spans="2:62" ht="15.75" customHeight="1">
      <c r="B660" s="497"/>
      <c r="C660" s="811"/>
      <c r="D660" s="811"/>
      <c r="E660" s="811"/>
      <c r="F660" s="811"/>
      <c r="G660" s="811"/>
      <c r="H660" s="811"/>
      <c r="I660" s="811"/>
      <c r="J660" s="811"/>
      <c r="K660" s="876"/>
      <c r="L660" s="876"/>
      <c r="M660" s="811"/>
      <c r="N660" s="874"/>
      <c r="O660" s="874"/>
      <c r="P660" s="811"/>
      <c r="Q660" s="874"/>
      <c r="R660" s="876"/>
      <c r="S660" s="811"/>
      <c r="T660" s="811"/>
      <c r="U660" s="811"/>
      <c r="V660" s="811"/>
      <c r="W660" s="811"/>
      <c r="X660" s="811"/>
      <c r="Y660" s="719"/>
      <c r="Z660" s="719"/>
      <c r="AA660" s="719"/>
      <c r="AB660" s="719"/>
      <c r="AC660" s="719"/>
      <c r="AD660" s="719"/>
      <c r="AE660" s="719"/>
      <c r="AF660" s="719"/>
      <c r="AG660" s="719"/>
      <c r="AH660" s="719"/>
      <c r="AI660" s="719"/>
      <c r="AJ660" s="719"/>
      <c r="AK660" s="719"/>
      <c r="AL660" s="719"/>
      <c r="AM660" s="719"/>
      <c r="AN660" s="719"/>
      <c r="AO660" s="719"/>
      <c r="AP660" s="719"/>
      <c r="AQ660" s="719"/>
      <c r="AR660" s="719"/>
      <c r="AS660" s="719"/>
      <c r="AT660" s="719"/>
      <c r="AU660" s="719"/>
      <c r="AV660" s="719"/>
      <c r="AW660" s="719"/>
      <c r="AX660" s="719"/>
      <c r="AY660" s="719"/>
      <c r="AZ660" s="719"/>
      <c r="BA660" s="719"/>
      <c r="BB660" s="719"/>
      <c r="BC660" s="719"/>
      <c r="BD660" s="719"/>
      <c r="BE660" s="719"/>
      <c r="BF660" s="719"/>
      <c r="BG660" s="719"/>
      <c r="BH660" s="719"/>
      <c r="BI660" s="719"/>
      <c r="BJ660" s="719"/>
    </row>
    <row r="661" spans="2:62" ht="15.75" customHeight="1">
      <c r="B661" s="497"/>
      <c r="C661" s="811"/>
      <c r="D661" s="811"/>
      <c r="E661" s="811"/>
      <c r="F661" s="811"/>
      <c r="G661" s="811"/>
      <c r="H661" s="811"/>
      <c r="I661" s="811"/>
      <c r="J661" s="811"/>
      <c r="K661" s="874"/>
      <c r="L661" s="874"/>
      <c r="M661" s="811"/>
      <c r="N661" s="874"/>
      <c r="O661" s="874"/>
      <c r="P661" s="811"/>
      <c r="Q661" s="874"/>
      <c r="R661" s="874"/>
      <c r="S661" s="811"/>
      <c r="T661" s="811"/>
      <c r="U661" s="811"/>
      <c r="V661" s="811"/>
      <c r="W661" s="811"/>
      <c r="X661" s="811"/>
      <c r="Y661" s="719"/>
      <c r="Z661" s="719"/>
      <c r="AA661" s="719"/>
      <c r="AB661" s="719"/>
      <c r="AC661" s="719"/>
      <c r="AD661" s="719"/>
      <c r="AE661" s="719"/>
      <c r="AF661" s="719"/>
      <c r="AG661" s="719"/>
      <c r="AH661" s="719"/>
      <c r="AI661" s="719"/>
      <c r="AJ661" s="719"/>
      <c r="AK661" s="719"/>
      <c r="AL661" s="719"/>
      <c r="AM661" s="719"/>
      <c r="AN661" s="719"/>
      <c r="AO661" s="719"/>
      <c r="AP661" s="719"/>
      <c r="AQ661" s="719"/>
      <c r="AR661" s="719"/>
      <c r="AS661" s="719"/>
      <c r="AT661" s="719"/>
      <c r="AU661" s="719"/>
      <c r="AV661" s="719"/>
      <c r="AW661" s="719"/>
      <c r="AX661" s="719"/>
      <c r="AY661" s="719"/>
      <c r="AZ661" s="719"/>
      <c r="BA661" s="719"/>
      <c r="BB661" s="719"/>
      <c r="BC661" s="719"/>
      <c r="BD661" s="719"/>
      <c r="BE661" s="719"/>
      <c r="BF661" s="719"/>
      <c r="BG661" s="719"/>
      <c r="BH661" s="719"/>
      <c r="BI661" s="719"/>
      <c r="BJ661" s="719"/>
    </row>
    <row r="662" spans="2:62" ht="15.75" customHeight="1">
      <c r="B662" s="497"/>
      <c r="C662" s="811"/>
      <c r="D662" s="811"/>
      <c r="E662" s="811"/>
      <c r="F662" s="811"/>
      <c r="G662" s="811"/>
      <c r="H662" s="811"/>
      <c r="I662" s="811"/>
      <c r="J662" s="811"/>
      <c r="K662" s="874"/>
      <c r="L662" s="874"/>
      <c r="M662" s="811"/>
      <c r="N662" s="874"/>
      <c r="O662" s="874"/>
      <c r="P662" s="811"/>
      <c r="Q662" s="874"/>
      <c r="R662" s="874"/>
      <c r="S662" s="811"/>
      <c r="T662" s="811"/>
      <c r="U662" s="811"/>
      <c r="V662" s="811"/>
      <c r="W662" s="811"/>
      <c r="X662" s="811"/>
      <c r="Y662" s="719"/>
      <c r="Z662" s="719"/>
      <c r="AA662" s="719"/>
      <c r="AB662" s="719"/>
      <c r="AC662" s="719"/>
      <c r="AD662" s="719"/>
      <c r="AE662" s="719"/>
      <c r="AF662" s="719"/>
      <c r="AG662" s="719"/>
      <c r="AH662" s="719"/>
      <c r="AI662" s="719"/>
      <c r="AJ662" s="719"/>
      <c r="AK662" s="719"/>
      <c r="AL662" s="719"/>
      <c r="AM662" s="719"/>
      <c r="AN662" s="719"/>
      <c r="AO662" s="719"/>
      <c r="AP662" s="719"/>
      <c r="AQ662" s="719"/>
      <c r="AR662" s="719"/>
      <c r="AS662" s="719"/>
      <c r="AT662" s="719"/>
      <c r="AU662" s="719"/>
      <c r="AV662" s="719"/>
      <c r="AW662" s="719"/>
      <c r="AX662" s="719"/>
      <c r="AY662" s="719"/>
      <c r="AZ662" s="719"/>
      <c r="BA662" s="719"/>
      <c r="BB662" s="719"/>
      <c r="BC662" s="719"/>
      <c r="BD662" s="719"/>
      <c r="BE662" s="719"/>
      <c r="BF662" s="719"/>
      <c r="BG662" s="719"/>
      <c r="BH662" s="719"/>
      <c r="BI662" s="719"/>
      <c r="BJ662" s="719"/>
    </row>
    <row r="663" spans="2:62" ht="15.75" customHeight="1">
      <c r="B663" s="497"/>
      <c r="C663" s="811"/>
      <c r="D663" s="811"/>
      <c r="E663" s="811"/>
      <c r="F663" s="811"/>
      <c r="G663" s="811"/>
      <c r="H663" s="811"/>
      <c r="I663" s="811"/>
      <c r="J663" s="811"/>
      <c r="K663" s="874"/>
      <c r="L663" s="874"/>
      <c r="M663" s="811"/>
      <c r="N663" s="874"/>
      <c r="O663" s="874"/>
      <c r="P663" s="811"/>
      <c r="Q663" s="874"/>
      <c r="R663" s="874"/>
      <c r="S663" s="811"/>
      <c r="T663" s="811"/>
      <c r="U663" s="811"/>
      <c r="V663" s="811"/>
      <c r="W663" s="811"/>
      <c r="X663" s="811"/>
      <c r="Y663" s="719"/>
      <c r="Z663" s="719"/>
      <c r="AA663" s="719"/>
      <c r="AB663" s="719"/>
      <c r="AC663" s="719"/>
      <c r="AD663" s="719"/>
      <c r="AE663" s="719"/>
      <c r="AF663" s="719"/>
      <c r="AG663" s="719"/>
      <c r="AH663" s="719"/>
      <c r="AI663" s="719"/>
      <c r="AJ663" s="719"/>
      <c r="AK663" s="719"/>
      <c r="AL663" s="719"/>
      <c r="AM663" s="719"/>
      <c r="AN663" s="719"/>
      <c r="AO663" s="719"/>
      <c r="AP663" s="719"/>
      <c r="AQ663" s="719"/>
      <c r="AR663" s="719"/>
      <c r="AS663" s="719"/>
      <c r="AT663" s="719"/>
      <c r="AU663" s="719"/>
      <c r="AV663" s="719"/>
      <c r="AW663" s="719"/>
      <c r="AX663" s="719"/>
      <c r="AY663" s="719"/>
      <c r="AZ663" s="719"/>
      <c r="BA663" s="719"/>
      <c r="BB663" s="719"/>
      <c r="BC663" s="719"/>
      <c r="BD663" s="719"/>
      <c r="BE663" s="719"/>
      <c r="BF663" s="719"/>
      <c r="BG663" s="719"/>
      <c r="BH663" s="719"/>
      <c r="BI663" s="719"/>
      <c r="BJ663" s="719"/>
    </row>
    <row r="664" spans="2:62" ht="15.75" customHeight="1">
      <c r="B664" s="497"/>
      <c r="C664" s="811"/>
      <c r="D664" s="811"/>
      <c r="E664" s="811"/>
      <c r="F664" s="811"/>
      <c r="G664" s="811"/>
      <c r="H664" s="811"/>
      <c r="I664" s="811"/>
      <c r="J664" s="811"/>
      <c r="K664" s="874"/>
      <c r="L664" s="874"/>
      <c r="M664" s="811"/>
      <c r="N664" s="874"/>
      <c r="O664" s="874"/>
      <c r="P664" s="811"/>
      <c r="Q664" s="874"/>
      <c r="R664" s="874"/>
      <c r="S664" s="811"/>
      <c r="T664" s="811"/>
      <c r="U664" s="811"/>
      <c r="V664" s="811"/>
      <c r="W664" s="811"/>
      <c r="X664" s="811"/>
      <c r="Y664" s="719"/>
      <c r="Z664" s="719"/>
      <c r="AA664" s="719"/>
      <c r="AB664" s="719"/>
      <c r="AC664" s="719"/>
      <c r="AD664" s="719"/>
      <c r="AE664" s="719"/>
      <c r="AF664" s="719"/>
      <c r="AG664" s="719"/>
      <c r="AH664" s="719"/>
      <c r="AI664" s="719"/>
      <c r="AJ664" s="719"/>
      <c r="AK664" s="719"/>
      <c r="AL664" s="719"/>
      <c r="AM664" s="719"/>
      <c r="AN664" s="719"/>
      <c r="AO664" s="719"/>
      <c r="AP664" s="719"/>
      <c r="AQ664" s="719"/>
      <c r="AR664" s="719"/>
      <c r="AS664" s="719"/>
      <c r="AT664" s="719"/>
      <c r="AU664" s="719"/>
      <c r="AV664" s="719"/>
      <c r="AW664" s="719"/>
      <c r="AX664" s="719"/>
      <c r="AY664" s="719"/>
      <c r="AZ664" s="719"/>
      <c r="BA664" s="719"/>
      <c r="BB664" s="719"/>
      <c r="BC664" s="719"/>
      <c r="BD664" s="719"/>
      <c r="BE664" s="719"/>
      <c r="BF664" s="719"/>
      <c r="BG664" s="719"/>
      <c r="BH664" s="719"/>
      <c r="BI664" s="719"/>
      <c r="BJ664" s="719"/>
    </row>
    <row r="665" spans="2:62" ht="15.75" customHeight="1">
      <c r="B665" s="497"/>
      <c r="C665" s="811"/>
      <c r="D665" s="811"/>
      <c r="E665" s="811"/>
      <c r="F665" s="811"/>
      <c r="G665" s="811"/>
      <c r="H665" s="811"/>
      <c r="I665" s="811"/>
      <c r="J665" s="811"/>
      <c r="K665" s="874"/>
      <c r="L665" s="874"/>
      <c r="M665" s="811"/>
      <c r="N665" s="874"/>
      <c r="O665" s="874"/>
      <c r="P665" s="811"/>
      <c r="Q665" s="874"/>
      <c r="R665" s="874"/>
      <c r="S665" s="811"/>
      <c r="T665" s="811"/>
      <c r="U665" s="811"/>
      <c r="V665" s="811"/>
      <c r="W665" s="811"/>
      <c r="X665" s="811"/>
      <c r="Y665" s="719"/>
      <c r="Z665" s="719"/>
      <c r="AA665" s="719"/>
      <c r="AB665" s="719"/>
      <c r="AC665" s="719"/>
      <c r="AD665" s="719"/>
      <c r="AE665" s="719"/>
      <c r="AF665" s="719"/>
      <c r="AG665" s="719"/>
      <c r="AH665" s="719"/>
      <c r="AI665" s="719"/>
      <c r="AJ665" s="719"/>
      <c r="AK665" s="719"/>
      <c r="AL665" s="719"/>
      <c r="AM665" s="719"/>
      <c r="AN665" s="719"/>
      <c r="AO665" s="719"/>
      <c r="AP665" s="719"/>
      <c r="AQ665" s="719"/>
      <c r="AR665" s="719"/>
      <c r="AS665" s="719"/>
      <c r="AT665" s="719"/>
      <c r="AU665" s="719"/>
      <c r="AV665" s="719"/>
      <c r="AW665" s="719"/>
      <c r="AX665" s="719"/>
      <c r="AY665" s="719"/>
      <c r="AZ665" s="719"/>
      <c r="BA665" s="719"/>
      <c r="BB665" s="719"/>
      <c r="BC665" s="719"/>
      <c r="BD665" s="719"/>
      <c r="BE665" s="719"/>
      <c r="BF665" s="719"/>
      <c r="BG665" s="719"/>
      <c r="BH665" s="719"/>
      <c r="BI665" s="719"/>
      <c r="BJ665" s="719"/>
    </row>
    <row r="666" spans="2:62" ht="15.75" customHeight="1">
      <c r="B666" s="497"/>
      <c r="C666" s="811"/>
      <c r="D666" s="811"/>
      <c r="E666" s="811"/>
      <c r="F666" s="811"/>
      <c r="G666" s="811"/>
      <c r="H666" s="811"/>
      <c r="I666" s="811"/>
      <c r="J666" s="811"/>
      <c r="K666" s="874"/>
      <c r="L666" s="874"/>
      <c r="M666" s="811"/>
      <c r="N666" s="874"/>
      <c r="O666" s="874"/>
      <c r="P666" s="811"/>
      <c r="Q666" s="874"/>
      <c r="R666" s="874"/>
      <c r="S666" s="811"/>
      <c r="T666" s="811"/>
      <c r="U666" s="811"/>
      <c r="V666" s="811"/>
      <c r="W666" s="811"/>
      <c r="X666" s="811"/>
      <c r="Y666" s="719"/>
      <c r="Z666" s="719"/>
      <c r="AA666" s="719"/>
      <c r="AB666" s="719"/>
      <c r="AC666" s="719"/>
      <c r="AD666" s="719"/>
      <c r="AE666" s="719"/>
      <c r="AF666" s="719"/>
      <c r="AG666" s="719"/>
      <c r="AH666" s="719"/>
      <c r="AI666" s="719"/>
      <c r="AJ666" s="719"/>
      <c r="AK666" s="719"/>
      <c r="AL666" s="719"/>
      <c r="AM666" s="719"/>
      <c r="AN666" s="719"/>
      <c r="AO666" s="719"/>
      <c r="AP666" s="719"/>
      <c r="AQ666" s="719"/>
      <c r="AR666" s="719"/>
      <c r="AS666" s="719"/>
      <c r="AT666" s="719"/>
      <c r="AU666" s="719"/>
      <c r="AV666" s="719"/>
      <c r="AW666" s="719"/>
      <c r="AX666" s="719"/>
      <c r="AY666" s="719"/>
      <c r="AZ666" s="719"/>
      <c r="BA666" s="719"/>
      <c r="BB666" s="719"/>
      <c r="BC666" s="719"/>
      <c r="BD666" s="719"/>
      <c r="BE666" s="719"/>
      <c r="BF666" s="719"/>
      <c r="BG666" s="719"/>
      <c r="BH666" s="719"/>
      <c r="BI666" s="719"/>
      <c r="BJ666" s="719"/>
    </row>
    <row r="667" spans="2:62" ht="15.75" customHeight="1">
      <c r="B667" s="497"/>
      <c r="C667" s="811"/>
      <c r="D667" s="811"/>
      <c r="E667" s="811"/>
      <c r="F667" s="811"/>
      <c r="G667" s="811"/>
      <c r="H667" s="811"/>
      <c r="I667" s="811"/>
      <c r="J667" s="811"/>
      <c r="K667" s="874"/>
      <c r="L667" s="874"/>
      <c r="M667" s="811"/>
      <c r="N667" s="874"/>
      <c r="O667" s="874"/>
      <c r="P667" s="811"/>
      <c r="Q667" s="874"/>
      <c r="R667" s="874"/>
      <c r="S667" s="811"/>
      <c r="T667" s="811"/>
      <c r="U667" s="811"/>
      <c r="V667" s="811"/>
      <c r="W667" s="811"/>
      <c r="X667" s="811"/>
      <c r="Y667" s="719"/>
      <c r="Z667" s="719"/>
      <c r="AA667" s="719"/>
      <c r="AB667" s="719"/>
      <c r="AC667" s="719"/>
      <c r="AD667" s="719"/>
      <c r="AE667" s="719"/>
      <c r="AF667" s="719"/>
      <c r="AG667" s="719"/>
      <c r="AH667" s="719"/>
      <c r="AI667" s="719"/>
      <c r="AJ667" s="719"/>
      <c r="AK667" s="719"/>
      <c r="AL667" s="719"/>
      <c r="AM667" s="719"/>
      <c r="AN667" s="719"/>
      <c r="AO667" s="719"/>
      <c r="AP667" s="719"/>
      <c r="AQ667" s="719"/>
      <c r="AR667" s="719"/>
      <c r="AS667" s="719"/>
      <c r="AT667" s="719"/>
      <c r="AU667" s="719"/>
      <c r="AV667" s="719"/>
      <c r="AW667" s="719"/>
      <c r="AX667" s="719"/>
      <c r="AY667" s="719"/>
      <c r="AZ667" s="719"/>
      <c r="BA667" s="719"/>
      <c r="BB667" s="719"/>
      <c r="BC667" s="719"/>
      <c r="BD667" s="719"/>
      <c r="BE667" s="719"/>
      <c r="BF667" s="719"/>
      <c r="BG667" s="719"/>
      <c r="BH667" s="719"/>
      <c r="BI667" s="719"/>
      <c r="BJ667" s="719"/>
    </row>
    <row r="668" spans="2:62" ht="15.75" customHeight="1">
      <c r="B668" s="497"/>
      <c r="C668" s="811"/>
      <c r="D668" s="811"/>
      <c r="E668" s="811"/>
      <c r="F668" s="811"/>
      <c r="G668" s="811"/>
      <c r="H668" s="811"/>
      <c r="I668" s="811"/>
      <c r="J668" s="811"/>
      <c r="K668" s="874"/>
      <c r="L668" s="874"/>
      <c r="M668" s="811"/>
      <c r="N668" s="874"/>
      <c r="O668" s="874"/>
      <c r="P668" s="811"/>
      <c r="Q668" s="874"/>
      <c r="R668" s="874"/>
      <c r="S668" s="811"/>
      <c r="T668" s="811"/>
      <c r="U668" s="811"/>
      <c r="V668" s="811"/>
      <c r="W668" s="811"/>
      <c r="X668" s="811"/>
      <c r="Y668" s="719"/>
      <c r="Z668" s="719"/>
      <c r="AA668" s="719"/>
      <c r="AB668" s="719"/>
      <c r="AC668" s="719"/>
      <c r="AD668" s="719"/>
      <c r="AE668" s="719"/>
      <c r="AF668" s="719"/>
      <c r="AG668" s="719"/>
      <c r="AH668" s="719"/>
      <c r="AI668" s="719"/>
      <c r="AJ668" s="719"/>
      <c r="AK668" s="719"/>
      <c r="AL668" s="719"/>
      <c r="AM668" s="719"/>
      <c r="AN668" s="719"/>
      <c r="AO668" s="719"/>
      <c r="AP668" s="719"/>
      <c r="AQ668" s="719"/>
      <c r="AR668" s="719"/>
      <c r="AS668" s="719"/>
      <c r="AT668" s="719"/>
      <c r="AU668" s="719"/>
      <c r="AV668" s="719"/>
      <c r="AW668" s="719"/>
      <c r="AX668" s="719"/>
      <c r="AY668" s="719"/>
      <c r="AZ668" s="719"/>
      <c r="BA668" s="719"/>
      <c r="BB668" s="719"/>
      <c r="BC668" s="719"/>
      <c r="BD668" s="719"/>
      <c r="BE668" s="719"/>
      <c r="BF668" s="719"/>
      <c r="BG668" s="719"/>
      <c r="BH668" s="719"/>
      <c r="BI668" s="719"/>
      <c r="BJ668" s="719"/>
    </row>
    <row r="669" spans="2:62" ht="15.75" customHeight="1">
      <c r="B669" s="497"/>
      <c r="C669" s="811"/>
      <c r="D669" s="811"/>
      <c r="E669" s="811"/>
      <c r="F669" s="811"/>
      <c r="G669" s="811"/>
      <c r="H669" s="811"/>
      <c r="I669" s="811"/>
      <c r="J669" s="811"/>
      <c r="K669" s="874"/>
      <c r="L669" s="874"/>
      <c r="M669" s="811"/>
      <c r="N669" s="876"/>
      <c r="O669" s="876"/>
      <c r="P669" s="811"/>
      <c r="Q669" s="876"/>
      <c r="R669" s="874"/>
      <c r="S669" s="811"/>
      <c r="T669" s="811"/>
      <c r="U669" s="811"/>
      <c r="V669" s="811"/>
      <c r="W669" s="811"/>
      <c r="X669" s="811"/>
      <c r="Y669" s="719"/>
      <c r="Z669" s="719"/>
      <c r="AA669" s="719"/>
      <c r="AB669" s="719"/>
      <c r="AC669" s="719"/>
      <c r="AD669" s="719"/>
      <c r="AE669" s="719"/>
      <c r="AF669" s="719"/>
      <c r="AG669" s="719"/>
      <c r="AH669" s="719"/>
      <c r="AI669" s="719"/>
      <c r="AJ669" s="719"/>
      <c r="AK669" s="719"/>
      <c r="AL669" s="719"/>
      <c r="AM669" s="719"/>
      <c r="AN669" s="719"/>
      <c r="AO669" s="719"/>
      <c r="AP669" s="719"/>
      <c r="AQ669" s="719"/>
      <c r="AR669" s="719"/>
      <c r="AS669" s="719"/>
      <c r="AT669" s="719"/>
      <c r="AU669" s="719"/>
      <c r="AV669" s="719"/>
      <c r="AW669" s="719"/>
      <c r="AX669" s="719"/>
      <c r="AY669" s="719"/>
      <c r="AZ669" s="719"/>
      <c r="BA669" s="719"/>
      <c r="BB669" s="719"/>
      <c r="BC669" s="719"/>
      <c r="BD669" s="719"/>
      <c r="BE669" s="719"/>
      <c r="BF669" s="719"/>
      <c r="BG669" s="719"/>
      <c r="BH669" s="719"/>
      <c r="BI669" s="719"/>
      <c r="BJ669" s="719"/>
    </row>
    <row r="670" spans="2:62" ht="15.75" customHeight="1">
      <c r="B670" s="497"/>
      <c r="C670" s="811"/>
      <c r="D670" s="811"/>
      <c r="E670" s="811"/>
      <c r="F670" s="811"/>
      <c r="G670" s="811"/>
      <c r="H670" s="811"/>
      <c r="I670" s="811"/>
      <c r="J670" s="811"/>
      <c r="K670" s="876"/>
      <c r="L670" s="876"/>
      <c r="M670" s="811"/>
      <c r="N670" s="874"/>
      <c r="O670" s="874"/>
      <c r="P670" s="811"/>
      <c r="Q670" s="874"/>
      <c r="R670" s="876"/>
      <c r="S670" s="811"/>
      <c r="T670" s="811"/>
      <c r="U670" s="811"/>
      <c r="V670" s="811"/>
      <c r="W670" s="811"/>
      <c r="X670" s="811"/>
      <c r="Y670" s="719"/>
      <c r="Z670" s="719"/>
      <c r="AA670" s="719"/>
      <c r="AB670" s="719"/>
      <c r="AC670" s="719"/>
      <c r="AD670" s="719"/>
      <c r="AE670" s="719"/>
      <c r="AF670" s="719"/>
      <c r="AG670" s="719"/>
      <c r="AH670" s="719"/>
      <c r="AI670" s="719"/>
      <c r="AJ670" s="719"/>
      <c r="AK670" s="719"/>
      <c r="AL670" s="719"/>
      <c r="AM670" s="719"/>
      <c r="AN670" s="719"/>
      <c r="AO670" s="719"/>
      <c r="AP670" s="719"/>
      <c r="AQ670" s="719"/>
      <c r="AR670" s="719"/>
      <c r="AS670" s="719"/>
      <c r="AT670" s="719"/>
      <c r="AU670" s="719"/>
      <c r="AV670" s="719"/>
      <c r="AW670" s="719"/>
      <c r="AX670" s="719"/>
      <c r="AY670" s="719"/>
      <c r="AZ670" s="719"/>
      <c r="BA670" s="719"/>
      <c r="BB670" s="719"/>
      <c r="BC670" s="719"/>
      <c r="BD670" s="719"/>
      <c r="BE670" s="719"/>
      <c r="BF670" s="719"/>
      <c r="BG670" s="719"/>
      <c r="BH670" s="719"/>
      <c r="BI670" s="719"/>
      <c r="BJ670" s="719"/>
    </row>
    <row r="671" spans="2:62" ht="15.75" customHeight="1">
      <c r="B671" s="497"/>
      <c r="C671" s="811"/>
      <c r="D671" s="811"/>
      <c r="E671" s="811"/>
      <c r="F671" s="811"/>
      <c r="G671" s="811"/>
      <c r="H671" s="811"/>
      <c r="I671" s="811"/>
      <c r="J671" s="811"/>
      <c r="K671" s="874"/>
      <c r="L671" s="874"/>
      <c r="M671" s="811"/>
      <c r="N671" s="874"/>
      <c r="O671" s="874"/>
      <c r="P671" s="811"/>
      <c r="Q671" s="874"/>
      <c r="R671" s="874"/>
      <c r="S671" s="811"/>
      <c r="T671" s="811"/>
      <c r="U671" s="811"/>
      <c r="V671" s="811"/>
      <c r="W671" s="811"/>
      <c r="X671" s="811"/>
      <c r="Y671" s="719"/>
      <c r="Z671" s="719"/>
      <c r="AA671" s="719"/>
      <c r="AB671" s="719"/>
      <c r="AC671" s="719"/>
      <c r="AD671" s="719"/>
      <c r="AE671" s="719"/>
      <c r="AF671" s="719"/>
      <c r="AG671" s="719"/>
      <c r="AH671" s="719"/>
      <c r="AI671" s="719"/>
      <c r="AJ671" s="719"/>
      <c r="AK671" s="719"/>
      <c r="AL671" s="719"/>
      <c r="AM671" s="719"/>
      <c r="AN671" s="719"/>
      <c r="AO671" s="719"/>
      <c r="AP671" s="719"/>
      <c r="AQ671" s="719"/>
      <c r="AR671" s="719"/>
      <c r="AS671" s="719"/>
      <c r="AT671" s="719"/>
      <c r="AU671" s="719"/>
      <c r="AV671" s="719"/>
      <c r="AW671" s="719"/>
      <c r="AX671" s="719"/>
      <c r="AY671" s="719"/>
      <c r="AZ671" s="719"/>
      <c r="BA671" s="719"/>
      <c r="BB671" s="719"/>
      <c r="BC671" s="719"/>
      <c r="BD671" s="719"/>
      <c r="BE671" s="719"/>
      <c r="BF671" s="719"/>
      <c r="BG671" s="719"/>
      <c r="BH671" s="719"/>
      <c r="BI671" s="719"/>
      <c r="BJ671" s="719"/>
    </row>
    <row r="672" spans="2:62" ht="15.75" customHeight="1">
      <c r="B672" s="497"/>
      <c r="C672" s="811"/>
      <c r="D672" s="811"/>
      <c r="E672" s="811"/>
      <c r="F672" s="811"/>
      <c r="G672" s="811"/>
      <c r="H672" s="811"/>
      <c r="I672" s="811"/>
      <c r="J672" s="811"/>
      <c r="K672" s="874"/>
      <c r="L672" s="874"/>
      <c r="M672" s="811"/>
      <c r="N672" s="874"/>
      <c r="O672" s="874"/>
      <c r="P672" s="811"/>
      <c r="Q672" s="874"/>
      <c r="R672" s="874"/>
      <c r="S672" s="811"/>
      <c r="T672" s="811"/>
      <c r="U672" s="811"/>
      <c r="V672" s="811"/>
      <c r="W672" s="811"/>
      <c r="X672" s="811"/>
      <c r="Y672" s="719"/>
      <c r="Z672" s="719"/>
      <c r="AA672" s="719"/>
      <c r="AB672" s="719"/>
      <c r="AC672" s="719"/>
      <c r="AD672" s="719"/>
      <c r="AE672" s="719"/>
      <c r="AF672" s="719"/>
      <c r="AG672" s="719"/>
      <c r="AH672" s="719"/>
      <c r="AI672" s="719"/>
      <c r="AJ672" s="719"/>
      <c r="AK672" s="719"/>
      <c r="AL672" s="719"/>
      <c r="AM672" s="719"/>
      <c r="AN672" s="719"/>
      <c r="AO672" s="719"/>
      <c r="AP672" s="719"/>
      <c r="AQ672" s="719"/>
      <c r="AR672" s="719"/>
      <c r="AS672" s="719"/>
      <c r="AT672" s="719"/>
      <c r="AU672" s="719"/>
      <c r="AV672" s="719"/>
      <c r="AW672" s="719"/>
      <c r="AX672" s="719"/>
      <c r="AY672" s="719"/>
      <c r="AZ672" s="719"/>
      <c r="BA672" s="719"/>
      <c r="BB672" s="719"/>
      <c r="BC672" s="719"/>
      <c r="BD672" s="719"/>
      <c r="BE672" s="719"/>
      <c r="BF672" s="719"/>
      <c r="BG672" s="719"/>
      <c r="BH672" s="719"/>
      <c r="BI672" s="719"/>
      <c r="BJ672" s="719"/>
    </row>
    <row r="673" spans="2:62" ht="15.75" customHeight="1">
      <c r="B673" s="497"/>
      <c r="C673" s="811"/>
      <c r="D673" s="811"/>
      <c r="E673" s="811"/>
      <c r="F673" s="811"/>
      <c r="G673" s="811"/>
      <c r="H673" s="811"/>
      <c r="I673" s="811"/>
      <c r="J673" s="811"/>
      <c r="K673" s="874"/>
      <c r="L673" s="874"/>
      <c r="M673" s="811"/>
      <c r="N673" s="874"/>
      <c r="O673" s="874"/>
      <c r="P673" s="811"/>
      <c r="Q673" s="874"/>
      <c r="R673" s="874"/>
      <c r="S673" s="811"/>
      <c r="T673" s="811"/>
      <c r="U673" s="811"/>
      <c r="V673" s="811"/>
      <c r="W673" s="811"/>
      <c r="X673" s="811"/>
      <c r="Y673" s="719"/>
      <c r="Z673" s="719"/>
      <c r="AA673" s="719"/>
      <c r="AB673" s="719"/>
      <c r="AC673" s="719"/>
      <c r="AD673" s="719"/>
      <c r="AE673" s="719"/>
      <c r="AF673" s="719"/>
      <c r="AG673" s="719"/>
      <c r="AH673" s="719"/>
      <c r="AI673" s="719"/>
      <c r="AJ673" s="719"/>
      <c r="AK673" s="719"/>
      <c r="AL673" s="719"/>
      <c r="AM673" s="719"/>
      <c r="AN673" s="719"/>
      <c r="AO673" s="719"/>
      <c r="AP673" s="719"/>
      <c r="AQ673" s="719"/>
      <c r="AR673" s="719"/>
      <c r="AS673" s="719"/>
      <c r="AT673" s="719"/>
      <c r="AU673" s="719"/>
      <c r="AV673" s="719"/>
      <c r="AW673" s="719"/>
      <c r="AX673" s="719"/>
      <c r="AY673" s="719"/>
      <c r="AZ673" s="719"/>
      <c r="BA673" s="719"/>
      <c r="BB673" s="719"/>
      <c r="BC673" s="719"/>
      <c r="BD673" s="719"/>
      <c r="BE673" s="719"/>
      <c r="BF673" s="719"/>
      <c r="BG673" s="719"/>
      <c r="BH673" s="719"/>
      <c r="BI673" s="719"/>
      <c r="BJ673" s="719"/>
    </row>
    <row r="674" spans="2:62" ht="15.75" customHeight="1">
      <c r="B674" s="497"/>
      <c r="C674" s="811"/>
      <c r="D674" s="811"/>
      <c r="E674" s="811"/>
      <c r="F674" s="811"/>
      <c r="G674" s="811"/>
      <c r="H674" s="811"/>
      <c r="I674" s="811"/>
      <c r="J674" s="811"/>
      <c r="K674" s="874"/>
      <c r="L674" s="874"/>
      <c r="M674" s="811"/>
      <c r="N674" s="874"/>
      <c r="O674" s="874"/>
      <c r="P674" s="811"/>
      <c r="Q674" s="874"/>
      <c r="R674" s="874"/>
      <c r="S674" s="811"/>
      <c r="T674" s="811"/>
      <c r="U674" s="811"/>
      <c r="V674" s="811"/>
      <c r="W674" s="811"/>
      <c r="X674" s="811"/>
      <c r="Y674" s="719"/>
      <c r="Z674" s="719"/>
      <c r="AA674" s="719"/>
      <c r="AB674" s="719"/>
      <c r="AC674" s="719"/>
      <c r="AD674" s="719"/>
      <c r="AE674" s="719"/>
      <c r="AF674" s="719"/>
      <c r="AG674" s="719"/>
      <c r="AH674" s="719"/>
      <c r="AI674" s="719"/>
      <c r="AJ674" s="719"/>
      <c r="AK674" s="719"/>
      <c r="AL674" s="719"/>
      <c r="AM674" s="719"/>
      <c r="AN674" s="719"/>
      <c r="AO674" s="719"/>
      <c r="AP674" s="719"/>
      <c r="AQ674" s="719"/>
      <c r="AR674" s="719"/>
      <c r="AS674" s="719"/>
      <c r="AT674" s="719"/>
      <c r="AU674" s="719"/>
      <c r="AV674" s="719"/>
      <c r="AW674" s="719"/>
      <c r="AX674" s="719"/>
      <c r="AY674" s="719"/>
      <c r="AZ674" s="719"/>
      <c r="BA674" s="719"/>
      <c r="BB674" s="719"/>
      <c r="BC674" s="719"/>
      <c r="BD674" s="719"/>
      <c r="BE674" s="719"/>
      <c r="BF674" s="719"/>
      <c r="BG674" s="719"/>
      <c r="BH674" s="719"/>
      <c r="BI674" s="719"/>
      <c r="BJ674" s="719"/>
    </row>
    <row r="675" spans="2:62" ht="15.75" customHeight="1">
      <c r="B675" s="497"/>
      <c r="C675" s="811"/>
      <c r="D675" s="811"/>
      <c r="E675" s="811"/>
      <c r="F675" s="811"/>
      <c r="G675" s="811"/>
      <c r="H675" s="811"/>
      <c r="I675" s="811"/>
      <c r="J675" s="811"/>
      <c r="K675" s="874"/>
      <c r="L675" s="874"/>
      <c r="M675" s="811"/>
      <c r="N675" s="874"/>
      <c r="O675" s="874"/>
      <c r="P675" s="811"/>
      <c r="Q675" s="874"/>
      <c r="R675" s="874"/>
      <c r="S675" s="811"/>
      <c r="T675" s="811"/>
      <c r="U675" s="811"/>
      <c r="V675" s="811"/>
      <c r="W675" s="811"/>
      <c r="X675" s="811"/>
      <c r="Y675" s="719"/>
      <c r="Z675" s="719"/>
      <c r="AA675" s="719"/>
      <c r="AB675" s="719"/>
      <c r="AC675" s="719"/>
      <c r="AD675" s="719"/>
      <c r="AE675" s="719"/>
      <c r="AF675" s="719"/>
      <c r="AG675" s="719"/>
      <c r="AH675" s="719"/>
      <c r="AI675" s="719"/>
      <c r="AJ675" s="719"/>
      <c r="AK675" s="719"/>
      <c r="AL675" s="719"/>
      <c r="AM675" s="719"/>
      <c r="AN675" s="719"/>
      <c r="AO675" s="719"/>
      <c r="AP675" s="719"/>
      <c r="AQ675" s="719"/>
      <c r="AR675" s="719"/>
      <c r="AS675" s="719"/>
      <c r="AT675" s="719"/>
      <c r="AU675" s="719"/>
      <c r="AV675" s="719"/>
      <c r="AW675" s="719"/>
      <c r="AX675" s="719"/>
      <c r="AY675" s="719"/>
      <c r="AZ675" s="719"/>
      <c r="BA675" s="719"/>
      <c r="BB675" s="719"/>
      <c r="BC675" s="719"/>
      <c r="BD675" s="719"/>
      <c r="BE675" s="719"/>
      <c r="BF675" s="719"/>
      <c r="BG675" s="719"/>
      <c r="BH675" s="719"/>
      <c r="BI675" s="719"/>
      <c r="BJ675" s="719"/>
    </row>
    <row r="676" spans="2:62" ht="15.75" customHeight="1">
      <c r="B676" s="497"/>
      <c r="C676" s="811"/>
      <c r="D676" s="811"/>
      <c r="E676" s="811"/>
      <c r="F676" s="811"/>
      <c r="G676" s="811"/>
      <c r="H676" s="811"/>
      <c r="I676" s="811"/>
      <c r="J676" s="811"/>
      <c r="K676" s="874"/>
      <c r="L676" s="874"/>
      <c r="M676" s="811"/>
      <c r="N676" s="874"/>
      <c r="O676" s="874"/>
      <c r="P676" s="811"/>
      <c r="Q676" s="874"/>
      <c r="R676" s="874"/>
      <c r="S676" s="811"/>
      <c r="T676" s="811"/>
      <c r="U676" s="811"/>
      <c r="V676" s="811"/>
      <c r="W676" s="811"/>
      <c r="X676" s="811"/>
      <c r="Y676" s="719"/>
      <c r="Z676" s="719"/>
      <c r="AA676" s="719"/>
      <c r="AB676" s="719"/>
      <c r="AC676" s="719"/>
      <c r="AD676" s="719"/>
      <c r="AE676" s="719"/>
      <c r="AF676" s="719"/>
      <c r="AG676" s="719"/>
      <c r="AH676" s="719"/>
      <c r="AI676" s="719"/>
      <c r="AJ676" s="719"/>
      <c r="AK676" s="719"/>
      <c r="AL676" s="719"/>
      <c r="AM676" s="719"/>
      <c r="AN676" s="719"/>
      <c r="AO676" s="719"/>
      <c r="AP676" s="719"/>
      <c r="AQ676" s="719"/>
      <c r="AR676" s="719"/>
      <c r="AS676" s="719"/>
      <c r="AT676" s="719"/>
      <c r="AU676" s="719"/>
      <c r="AV676" s="719"/>
      <c r="AW676" s="719"/>
      <c r="AX676" s="719"/>
      <c r="AY676" s="719"/>
      <c r="AZ676" s="719"/>
      <c r="BA676" s="719"/>
      <c r="BB676" s="719"/>
      <c r="BC676" s="719"/>
      <c r="BD676" s="719"/>
      <c r="BE676" s="719"/>
      <c r="BF676" s="719"/>
      <c r="BG676" s="719"/>
      <c r="BH676" s="719"/>
      <c r="BI676" s="719"/>
      <c r="BJ676" s="719"/>
    </row>
    <row r="677" spans="2:62" ht="15.75" customHeight="1">
      <c r="B677" s="497"/>
      <c r="C677" s="811"/>
      <c r="D677" s="811"/>
      <c r="E677" s="811"/>
      <c r="F677" s="811"/>
      <c r="G677" s="811"/>
      <c r="H677" s="811"/>
      <c r="I677" s="811"/>
      <c r="J677" s="811"/>
      <c r="K677" s="874"/>
      <c r="L677" s="874"/>
      <c r="M677" s="811"/>
      <c r="N677" s="874"/>
      <c r="O677" s="874"/>
      <c r="P677" s="811"/>
      <c r="Q677" s="874"/>
      <c r="R677" s="874"/>
      <c r="S677" s="811"/>
      <c r="T677" s="811"/>
      <c r="U677" s="811"/>
      <c r="V677" s="811"/>
      <c r="W677" s="811"/>
      <c r="X677" s="811"/>
      <c r="Y677" s="719"/>
      <c r="Z677" s="719"/>
      <c r="AA677" s="719"/>
      <c r="AB677" s="719"/>
      <c r="AC677" s="719"/>
      <c r="AD677" s="719"/>
      <c r="AE677" s="719"/>
      <c r="AF677" s="719"/>
      <c r="AG677" s="719"/>
      <c r="AH677" s="719"/>
      <c r="AI677" s="719"/>
      <c r="AJ677" s="719"/>
      <c r="AK677" s="719"/>
      <c r="AL677" s="719"/>
      <c r="AM677" s="719"/>
      <c r="AN677" s="719"/>
      <c r="AO677" s="719"/>
      <c r="AP677" s="719"/>
      <c r="AQ677" s="719"/>
      <c r="AR677" s="719"/>
      <c r="AS677" s="719"/>
      <c r="AT677" s="719"/>
      <c r="AU677" s="719"/>
      <c r="AV677" s="719"/>
      <c r="AW677" s="719"/>
      <c r="AX677" s="719"/>
      <c r="AY677" s="719"/>
      <c r="AZ677" s="719"/>
      <c r="BA677" s="719"/>
      <c r="BB677" s="719"/>
      <c r="BC677" s="719"/>
      <c r="BD677" s="719"/>
      <c r="BE677" s="719"/>
      <c r="BF677" s="719"/>
      <c r="BG677" s="719"/>
      <c r="BH677" s="719"/>
      <c r="BI677" s="719"/>
      <c r="BJ677" s="719"/>
    </row>
    <row r="678" spans="2:62" ht="15.75" customHeight="1">
      <c r="B678" s="497"/>
      <c r="C678" s="811"/>
      <c r="D678" s="811"/>
      <c r="E678" s="811"/>
      <c r="F678" s="811"/>
      <c r="G678" s="811"/>
      <c r="H678" s="811"/>
      <c r="I678" s="811"/>
      <c r="J678" s="811"/>
      <c r="K678" s="874"/>
      <c r="L678" s="874"/>
      <c r="M678" s="811"/>
      <c r="N678" s="874"/>
      <c r="O678" s="874"/>
      <c r="P678" s="811"/>
      <c r="Q678" s="874"/>
      <c r="R678" s="874"/>
      <c r="S678" s="811"/>
      <c r="T678" s="811"/>
      <c r="U678" s="811"/>
      <c r="V678" s="811"/>
      <c r="W678" s="811"/>
      <c r="X678" s="811"/>
      <c r="Y678" s="719"/>
      <c r="Z678" s="719"/>
      <c r="AA678" s="719"/>
      <c r="AB678" s="719"/>
      <c r="AC678" s="719"/>
      <c r="AD678" s="719"/>
      <c r="AE678" s="719"/>
      <c r="AF678" s="719"/>
      <c r="AG678" s="719"/>
      <c r="AH678" s="719"/>
      <c r="AI678" s="719"/>
      <c r="AJ678" s="719"/>
      <c r="AK678" s="719"/>
      <c r="AL678" s="719"/>
      <c r="AM678" s="719"/>
      <c r="AN678" s="719"/>
      <c r="AO678" s="719"/>
      <c r="AP678" s="719"/>
      <c r="AQ678" s="719"/>
      <c r="AR678" s="719"/>
      <c r="AS678" s="719"/>
      <c r="AT678" s="719"/>
      <c r="AU678" s="719"/>
      <c r="AV678" s="719"/>
      <c r="AW678" s="719"/>
      <c r="AX678" s="719"/>
      <c r="AY678" s="719"/>
      <c r="AZ678" s="719"/>
      <c r="BA678" s="719"/>
      <c r="BB678" s="719"/>
      <c r="BC678" s="719"/>
      <c r="BD678" s="719"/>
      <c r="BE678" s="719"/>
      <c r="BF678" s="719"/>
      <c r="BG678" s="719"/>
      <c r="BH678" s="719"/>
      <c r="BI678" s="719"/>
      <c r="BJ678" s="719"/>
    </row>
    <row r="679" spans="2:62" ht="15.75" customHeight="1">
      <c r="B679" s="497"/>
      <c r="C679" s="811"/>
      <c r="D679" s="811"/>
      <c r="E679" s="811"/>
      <c r="F679" s="811"/>
      <c r="G679" s="811"/>
      <c r="H679" s="811"/>
      <c r="I679" s="811"/>
      <c r="J679" s="811"/>
      <c r="K679" s="874"/>
      <c r="L679" s="874"/>
      <c r="M679" s="811"/>
      <c r="N679" s="874"/>
      <c r="O679" s="874"/>
      <c r="P679" s="811"/>
      <c r="Q679" s="874"/>
      <c r="R679" s="874"/>
      <c r="S679" s="811"/>
      <c r="T679" s="811"/>
      <c r="U679" s="811"/>
      <c r="V679" s="811"/>
      <c r="W679" s="811"/>
      <c r="X679" s="811"/>
      <c r="Y679" s="719"/>
      <c r="Z679" s="719"/>
      <c r="AA679" s="719"/>
      <c r="AB679" s="719"/>
      <c r="AC679" s="719"/>
      <c r="AD679" s="719"/>
      <c r="AE679" s="719"/>
      <c r="AF679" s="719"/>
      <c r="AG679" s="719"/>
      <c r="AH679" s="719"/>
      <c r="AI679" s="719"/>
      <c r="AJ679" s="719"/>
      <c r="AK679" s="719"/>
      <c r="AL679" s="719"/>
      <c r="AM679" s="719"/>
      <c r="AN679" s="719"/>
      <c r="AO679" s="719"/>
      <c r="AP679" s="719"/>
      <c r="AQ679" s="719"/>
      <c r="AR679" s="719"/>
      <c r="AS679" s="719"/>
      <c r="AT679" s="719"/>
      <c r="AU679" s="719"/>
      <c r="AV679" s="719"/>
      <c r="AW679" s="719"/>
      <c r="AX679" s="719"/>
      <c r="AY679" s="719"/>
      <c r="AZ679" s="719"/>
      <c r="BA679" s="719"/>
      <c r="BB679" s="719"/>
      <c r="BC679" s="719"/>
      <c r="BD679" s="719"/>
      <c r="BE679" s="719"/>
      <c r="BF679" s="719"/>
      <c r="BG679" s="719"/>
      <c r="BH679" s="719"/>
      <c r="BI679" s="719"/>
      <c r="BJ679" s="719"/>
    </row>
    <row r="680" spans="2:62" ht="15.75" customHeight="1">
      <c r="B680" s="497"/>
      <c r="C680" s="811"/>
      <c r="D680" s="811"/>
      <c r="E680" s="811"/>
      <c r="F680" s="811"/>
      <c r="G680" s="811"/>
      <c r="H680" s="811"/>
      <c r="I680" s="811"/>
      <c r="J680" s="811"/>
      <c r="K680" s="874"/>
      <c r="L680" s="874"/>
      <c r="M680" s="811"/>
      <c r="N680" s="874"/>
      <c r="O680" s="874"/>
      <c r="P680" s="811"/>
      <c r="Q680" s="874"/>
      <c r="R680" s="874"/>
      <c r="S680" s="811"/>
      <c r="T680" s="811"/>
      <c r="U680" s="811"/>
      <c r="V680" s="811"/>
      <c r="W680" s="811"/>
      <c r="X680" s="811"/>
      <c r="Y680" s="719"/>
      <c r="Z680" s="719"/>
      <c r="AA680" s="719"/>
      <c r="AB680" s="719"/>
      <c r="AC680" s="719"/>
      <c r="AD680" s="719"/>
      <c r="AE680" s="719"/>
      <c r="AF680" s="719"/>
      <c r="AG680" s="719"/>
      <c r="AH680" s="719"/>
      <c r="AI680" s="719"/>
      <c r="AJ680" s="719"/>
      <c r="AK680" s="719"/>
      <c r="AL680" s="719"/>
      <c r="AM680" s="719"/>
      <c r="AN680" s="719"/>
      <c r="AO680" s="719"/>
      <c r="AP680" s="719"/>
      <c r="AQ680" s="719"/>
      <c r="AR680" s="719"/>
      <c r="AS680" s="719"/>
      <c r="AT680" s="719"/>
      <c r="AU680" s="719"/>
      <c r="AV680" s="719"/>
      <c r="AW680" s="719"/>
      <c r="AX680" s="719"/>
      <c r="AY680" s="719"/>
      <c r="AZ680" s="719"/>
      <c r="BA680" s="719"/>
      <c r="BB680" s="719"/>
      <c r="BC680" s="719"/>
      <c r="BD680" s="719"/>
      <c r="BE680" s="719"/>
      <c r="BF680" s="719"/>
      <c r="BG680" s="719"/>
      <c r="BH680" s="719"/>
      <c r="BI680" s="719"/>
      <c r="BJ680" s="719"/>
    </row>
    <row r="681" spans="2:62" ht="15.75" customHeight="1">
      <c r="B681" s="497"/>
      <c r="C681" s="811"/>
      <c r="D681" s="811"/>
      <c r="E681" s="811"/>
      <c r="F681" s="811"/>
      <c r="G681" s="811"/>
      <c r="H681" s="811"/>
      <c r="I681" s="811"/>
      <c r="J681" s="811"/>
      <c r="K681" s="874"/>
      <c r="L681" s="874"/>
      <c r="M681" s="811"/>
      <c r="N681" s="874"/>
      <c r="O681" s="874"/>
      <c r="P681" s="811"/>
      <c r="Q681" s="874"/>
      <c r="R681" s="874"/>
      <c r="S681" s="811"/>
      <c r="T681" s="811"/>
      <c r="U681" s="811"/>
      <c r="V681" s="811"/>
      <c r="W681" s="811"/>
      <c r="X681" s="811"/>
      <c r="Y681" s="719"/>
      <c r="Z681" s="719"/>
      <c r="AA681" s="719"/>
      <c r="AB681" s="719"/>
      <c r="AC681" s="719"/>
      <c r="AD681" s="719"/>
      <c r="AE681" s="719"/>
      <c r="AF681" s="719"/>
      <c r="AG681" s="719"/>
      <c r="AH681" s="719"/>
      <c r="AI681" s="719"/>
      <c r="AJ681" s="719"/>
      <c r="AK681" s="719"/>
      <c r="AL681" s="719"/>
      <c r="AM681" s="719"/>
      <c r="AN681" s="719"/>
      <c r="AO681" s="719"/>
      <c r="AP681" s="719"/>
      <c r="AQ681" s="719"/>
      <c r="AR681" s="719"/>
      <c r="AS681" s="719"/>
      <c r="AT681" s="719"/>
      <c r="AU681" s="719"/>
      <c r="AV681" s="719"/>
      <c r="AW681" s="719"/>
      <c r="AX681" s="719"/>
      <c r="AY681" s="719"/>
      <c r="AZ681" s="719"/>
      <c r="BA681" s="719"/>
      <c r="BB681" s="719"/>
      <c r="BC681" s="719"/>
      <c r="BD681" s="719"/>
      <c r="BE681" s="719"/>
      <c r="BF681" s="719"/>
      <c r="BG681" s="719"/>
      <c r="BH681" s="719"/>
      <c r="BI681" s="719"/>
      <c r="BJ681" s="719"/>
    </row>
    <row r="682" spans="2:62" ht="15.75" customHeight="1">
      <c r="B682" s="497"/>
      <c r="C682" s="811"/>
      <c r="D682" s="811"/>
      <c r="E682" s="811"/>
      <c r="F682" s="811"/>
      <c r="G682" s="811"/>
      <c r="H682" s="811"/>
      <c r="I682" s="811"/>
      <c r="J682" s="811"/>
      <c r="K682" s="874"/>
      <c r="L682" s="874"/>
      <c r="M682" s="811"/>
      <c r="N682" s="874"/>
      <c r="O682" s="874"/>
      <c r="P682" s="811"/>
      <c r="Q682" s="874"/>
      <c r="R682" s="874"/>
      <c r="S682" s="811"/>
      <c r="T682" s="811"/>
      <c r="U682" s="811"/>
      <c r="V682" s="811"/>
      <c r="W682" s="811"/>
      <c r="X682" s="811"/>
      <c r="Y682" s="719"/>
      <c r="Z682" s="719"/>
      <c r="AA682" s="719"/>
      <c r="AB682" s="719"/>
      <c r="AC682" s="719"/>
      <c r="AD682" s="719"/>
      <c r="AE682" s="719"/>
      <c r="AF682" s="719"/>
      <c r="AG682" s="719"/>
      <c r="AH682" s="719"/>
      <c r="AI682" s="719"/>
      <c r="AJ682" s="719"/>
      <c r="AK682" s="719"/>
      <c r="AL682" s="719"/>
      <c r="AM682" s="719"/>
      <c r="AN682" s="719"/>
      <c r="AO682" s="719"/>
      <c r="AP682" s="719"/>
      <c r="AQ682" s="719"/>
      <c r="AR682" s="719"/>
      <c r="AS682" s="719"/>
      <c r="AT682" s="719"/>
      <c r="AU682" s="719"/>
      <c r="AV682" s="719"/>
      <c r="AW682" s="719"/>
      <c r="AX682" s="719"/>
      <c r="AY682" s="719"/>
      <c r="AZ682" s="719"/>
      <c r="BA682" s="719"/>
      <c r="BB682" s="719"/>
      <c r="BC682" s="719"/>
      <c r="BD682" s="719"/>
      <c r="BE682" s="719"/>
      <c r="BF682" s="719"/>
      <c r="BG682" s="719"/>
      <c r="BH682" s="719"/>
      <c r="BI682" s="719"/>
      <c r="BJ682" s="719"/>
    </row>
    <row r="683" spans="2:62" ht="15.75" customHeight="1">
      <c r="B683" s="497"/>
      <c r="C683" s="811"/>
      <c r="D683" s="811"/>
      <c r="E683" s="811"/>
      <c r="F683" s="811"/>
      <c r="G683" s="811"/>
      <c r="H683" s="811"/>
      <c r="I683" s="811"/>
      <c r="J683" s="811"/>
      <c r="K683" s="874"/>
      <c r="L683" s="874"/>
      <c r="M683" s="811"/>
      <c r="N683" s="874"/>
      <c r="O683" s="874"/>
      <c r="P683" s="811"/>
      <c r="Q683" s="874"/>
      <c r="R683" s="874"/>
      <c r="S683" s="811"/>
      <c r="T683" s="811"/>
      <c r="U683" s="811"/>
      <c r="V683" s="811"/>
      <c r="W683" s="811"/>
      <c r="X683" s="811"/>
      <c r="Y683" s="719"/>
      <c r="Z683" s="719"/>
      <c r="AA683" s="719"/>
      <c r="AB683" s="719"/>
      <c r="AC683" s="719"/>
      <c r="AD683" s="719"/>
      <c r="AE683" s="719"/>
      <c r="AF683" s="719"/>
      <c r="AG683" s="719"/>
      <c r="AH683" s="719"/>
      <c r="AI683" s="719"/>
      <c r="AJ683" s="719"/>
      <c r="AK683" s="719"/>
      <c r="AL683" s="719"/>
      <c r="AM683" s="719"/>
      <c r="AN683" s="719"/>
      <c r="AO683" s="719"/>
      <c r="AP683" s="719"/>
      <c r="AQ683" s="719"/>
      <c r="AR683" s="719"/>
      <c r="AS683" s="719"/>
      <c r="AT683" s="719"/>
      <c r="AU683" s="719"/>
      <c r="AV683" s="719"/>
      <c r="AW683" s="719"/>
      <c r="AX683" s="719"/>
      <c r="AY683" s="719"/>
      <c r="AZ683" s="719"/>
      <c r="BA683" s="719"/>
      <c r="BB683" s="719"/>
      <c r="BC683" s="719"/>
      <c r="BD683" s="719"/>
      <c r="BE683" s="719"/>
      <c r="BF683" s="719"/>
      <c r="BG683" s="719"/>
      <c r="BH683" s="719"/>
      <c r="BI683" s="719"/>
      <c r="BJ683" s="719"/>
    </row>
    <row r="684" spans="2:62" ht="15.75" customHeight="1">
      <c r="B684" s="497"/>
      <c r="C684" s="811"/>
      <c r="D684" s="811"/>
      <c r="E684" s="811"/>
      <c r="F684" s="811"/>
      <c r="G684" s="811"/>
      <c r="H684" s="811"/>
      <c r="I684" s="811"/>
      <c r="J684" s="811"/>
      <c r="K684" s="874"/>
      <c r="L684" s="874"/>
      <c r="M684" s="811"/>
      <c r="N684" s="811"/>
      <c r="O684" s="811"/>
      <c r="P684" s="811"/>
      <c r="Q684" s="811"/>
      <c r="R684" s="874"/>
      <c r="S684" s="811"/>
      <c r="T684" s="811"/>
      <c r="U684" s="811"/>
      <c r="V684" s="811"/>
      <c r="W684" s="811"/>
      <c r="X684" s="811"/>
      <c r="Y684" s="719"/>
      <c r="Z684" s="719"/>
      <c r="AA684" s="719"/>
      <c r="AB684" s="719"/>
      <c r="AC684" s="719"/>
      <c r="AD684" s="719"/>
      <c r="AE684" s="719"/>
      <c r="AF684" s="719"/>
      <c r="AG684" s="719"/>
      <c r="AH684" s="719"/>
      <c r="AI684" s="719"/>
      <c r="AJ684" s="719"/>
      <c r="AK684" s="719"/>
      <c r="AL684" s="719"/>
      <c r="AM684" s="719"/>
      <c r="AN684" s="719"/>
      <c r="AO684" s="719"/>
      <c r="AP684" s="719"/>
      <c r="AQ684" s="719"/>
      <c r="AR684" s="719"/>
      <c r="AS684" s="719"/>
      <c r="AT684" s="719"/>
      <c r="AU684" s="719"/>
      <c r="AV684" s="719"/>
      <c r="AW684" s="719"/>
      <c r="AX684" s="719"/>
      <c r="AY684" s="719"/>
      <c r="AZ684" s="719"/>
      <c r="BA684" s="719"/>
      <c r="BB684" s="719"/>
      <c r="BC684" s="719"/>
      <c r="BD684" s="719"/>
      <c r="BE684" s="719"/>
      <c r="BF684" s="719"/>
      <c r="BG684" s="719"/>
      <c r="BH684" s="719"/>
      <c r="BI684" s="719"/>
      <c r="BJ684" s="719"/>
    </row>
    <row r="685" spans="2:62" ht="15.75" customHeight="1">
      <c r="B685" s="497"/>
      <c r="C685" s="811"/>
      <c r="D685" s="811"/>
      <c r="E685" s="811"/>
      <c r="F685" s="811"/>
      <c r="G685" s="811"/>
      <c r="H685" s="811"/>
      <c r="I685" s="811"/>
      <c r="J685" s="811"/>
      <c r="K685" s="874"/>
      <c r="L685" s="874"/>
      <c r="M685" s="811"/>
      <c r="N685" s="876"/>
      <c r="O685" s="876"/>
      <c r="P685" s="811"/>
      <c r="Q685" s="876"/>
      <c r="R685" s="874"/>
      <c r="S685" s="811"/>
      <c r="T685" s="811"/>
      <c r="U685" s="811"/>
      <c r="V685" s="811"/>
      <c r="W685" s="811"/>
      <c r="X685" s="811"/>
      <c r="Y685" s="719"/>
      <c r="Z685" s="719"/>
      <c r="AA685" s="719"/>
      <c r="AB685" s="719"/>
      <c r="AC685" s="719"/>
      <c r="AD685" s="719"/>
      <c r="AE685" s="719"/>
      <c r="AF685" s="719"/>
      <c r="AG685" s="719"/>
      <c r="AH685" s="719"/>
      <c r="AI685" s="719"/>
      <c r="AJ685" s="719"/>
      <c r="AK685" s="719"/>
      <c r="AL685" s="719"/>
      <c r="AM685" s="719"/>
      <c r="AN685" s="719"/>
      <c r="AO685" s="719"/>
      <c r="AP685" s="719"/>
      <c r="AQ685" s="719"/>
      <c r="AR685" s="719"/>
      <c r="AS685" s="719"/>
      <c r="AT685" s="719"/>
      <c r="AU685" s="719"/>
      <c r="AV685" s="719"/>
      <c r="AW685" s="719"/>
      <c r="AX685" s="719"/>
      <c r="AY685" s="719"/>
      <c r="AZ685" s="719"/>
      <c r="BA685" s="719"/>
      <c r="BB685" s="719"/>
      <c r="BC685" s="719"/>
      <c r="BD685" s="719"/>
      <c r="BE685" s="719"/>
      <c r="BF685" s="719"/>
      <c r="BG685" s="719"/>
      <c r="BH685" s="719"/>
      <c r="BI685" s="719"/>
      <c r="BJ685" s="719"/>
    </row>
    <row r="686" spans="2:62" ht="15.75" customHeight="1">
      <c r="B686" s="497"/>
      <c r="C686" s="811"/>
      <c r="D686" s="811"/>
      <c r="E686" s="811"/>
      <c r="F686" s="811"/>
      <c r="G686" s="811"/>
      <c r="H686" s="811"/>
      <c r="I686" s="811"/>
      <c r="J686" s="811"/>
      <c r="K686" s="811"/>
      <c r="L686" s="811"/>
      <c r="M686" s="811"/>
      <c r="N686" s="874"/>
      <c r="O686" s="874"/>
      <c r="P686" s="811"/>
      <c r="Q686" s="874"/>
      <c r="R686" s="811"/>
      <c r="S686" s="811"/>
      <c r="T686" s="811"/>
      <c r="U686" s="811"/>
      <c r="V686" s="811"/>
      <c r="W686" s="811"/>
      <c r="X686" s="811"/>
      <c r="Y686" s="719"/>
      <c r="Z686" s="719"/>
      <c r="AA686" s="719"/>
      <c r="AB686" s="719"/>
      <c r="AC686" s="719"/>
      <c r="AD686" s="719"/>
      <c r="AE686" s="719"/>
      <c r="AF686" s="719"/>
      <c r="AG686" s="719"/>
      <c r="AH686" s="719"/>
      <c r="AI686" s="719"/>
      <c r="AJ686" s="719"/>
      <c r="AK686" s="719"/>
      <c r="AL686" s="719"/>
      <c r="AM686" s="719"/>
      <c r="AN686" s="719"/>
      <c r="AO686" s="719"/>
      <c r="AP686" s="719"/>
      <c r="AQ686" s="719"/>
      <c r="AR686" s="719"/>
      <c r="AS686" s="719"/>
      <c r="AT686" s="719"/>
      <c r="AU686" s="719"/>
      <c r="AV686" s="719"/>
      <c r="AW686" s="719"/>
      <c r="AX686" s="719"/>
      <c r="AY686" s="719"/>
      <c r="AZ686" s="719"/>
      <c r="BA686" s="719"/>
      <c r="BB686" s="719"/>
      <c r="BC686" s="719"/>
      <c r="BD686" s="719"/>
      <c r="BE686" s="719"/>
      <c r="BF686" s="719"/>
      <c r="BG686" s="719"/>
      <c r="BH686" s="719"/>
      <c r="BI686" s="719"/>
      <c r="BJ686" s="719"/>
    </row>
    <row r="687" spans="2:62" ht="15.75" customHeight="1">
      <c r="B687" s="497"/>
      <c r="C687" s="811"/>
      <c r="D687" s="811"/>
      <c r="E687" s="811"/>
      <c r="F687" s="811"/>
      <c r="G687" s="811"/>
      <c r="H687" s="811"/>
      <c r="I687" s="811"/>
      <c r="J687" s="811"/>
      <c r="K687" s="876"/>
      <c r="L687" s="876"/>
      <c r="M687" s="811"/>
      <c r="N687" s="874"/>
      <c r="O687" s="874"/>
      <c r="P687" s="811"/>
      <c r="Q687" s="874"/>
      <c r="R687" s="876"/>
      <c r="S687" s="811"/>
      <c r="T687" s="811"/>
      <c r="U687" s="811"/>
      <c r="V687" s="811"/>
      <c r="W687" s="811"/>
      <c r="X687" s="811"/>
      <c r="Y687" s="719"/>
      <c r="Z687" s="719"/>
      <c r="AA687" s="719"/>
      <c r="AB687" s="719"/>
      <c r="AC687" s="719"/>
      <c r="AD687" s="719"/>
      <c r="AE687" s="719"/>
      <c r="AF687" s="719"/>
      <c r="AG687" s="719"/>
      <c r="AH687" s="719"/>
      <c r="AI687" s="719"/>
      <c r="AJ687" s="719"/>
      <c r="AK687" s="719"/>
      <c r="AL687" s="719"/>
      <c r="AM687" s="719"/>
      <c r="AN687" s="719"/>
      <c r="AO687" s="719"/>
      <c r="AP687" s="719"/>
      <c r="AQ687" s="719"/>
      <c r="AR687" s="719"/>
      <c r="AS687" s="719"/>
      <c r="AT687" s="719"/>
      <c r="AU687" s="719"/>
      <c r="AV687" s="719"/>
      <c r="AW687" s="719"/>
      <c r="AX687" s="719"/>
      <c r="AY687" s="719"/>
      <c r="AZ687" s="719"/>
      <c r="BA687" s="719"/>
      <c r="BB687" s="719"/>
      <c r="BC687" s="719"/>
      <c r="BD687" s="719"/>
      <c r="BE687" s="719"/>
      <c r="BF687" s="719"/>
      <c r="BG687" s="719"/>
      <c r="BH687" s="719"/>
      <c r="BI687" s="719"/>
      <c r="BJ687" s="719"/>
    </row>
    <row r="688" spans="2:62" ht="15.75" customHeight="1">
      <c r="B688" s="497"/>
      <c r="C688" s="811"/>
      <c r="D688" s="811"/>
      <c r="E688" s="811"/>
      <c r="F688" s="811"/>
      <c r="G688" s="811"/>
      <c r="H688" s="811"/>
      <c r="I688" s="811"/>
      <c r="J688" s="811"/>
      <c r="K688" s="874"/>
      <c r="L688" s="874"/>
      <c r="M688" s="811"/>
      <c r="N688" s="874"/>
      <c r="O688" s="874"/>
      <c r="P688" s="811"/>
      <c r="Q688" s="874"/>
      <c r="R688" s="874"/>
      <c r="S688" s="811"/>
      <c r="T688" s="811"/>
      <c r="U688" s="811"/>
      <c r="V688" s="811"/>
      <c r="W688" s="811"/>
      <c r="X688" s="811"/>
      <c r="Y688" s="719"/>
      <c r="Z688" s="719"/>
      <c r="AA688" s="719"/>
      <c r="AB688" s="719"/>
      <c r="AC688" s="719"/>
      <c r="AD688" s="719"/>
      <c r="AE688" s="719"/>
      <c r="AF688" s="719"/>
      <c r="AG688" s="719"/>
      <c r="AH688" s="719"/>
      <c r="AI688" s="719"/>
      <c r="AJ688" s="719"/>
      <c r="AK688" s="719"/>
      <c r="AL688" s="719"/>
      <c r="AM688" s="719"/>
      <c r="AN688" s="719"/>
      <c r="AO688" s="719"/>
      <c r="AP688" s="719"/>
      <c r="AQ688" s="719"/>
      <c r="AR688" s="719"/>
      <c r="AS688" s="719"/>
      <c r="AT688" s="719"/>
      <c r="AU688" s="719"/>
      <c r="AV688" s="719"/>
      <c r="AW688" s="719"/>
      <c r="AX688" s="719"/>
      <c r="AY688" s="719"/>
      <c r="AZ688" s="719"/>
      <c r="BA688" s="719"/>
      <c r="BB688" s="719"/>
      <c r="BC688" s="719"/>
      <c r="BD688" s="719"/>
      <c r="BE688" s="719"/>
      <c r="BF688" s="719"/>
      <c r="BG688" s="719"/>
      <c r="BH688" s="719"/>
      <c r="BI688" s="719"/>
      <c r="BJ688" s="719"/>
    </row>
    <row r="689" spans="2:62" ht="15.75" customHeight="1">
      <c r="B689" s="497"/>
      <c r="C689" s="811"/>
      <c r="D689" s="811"/>
      <c r="E689" s="811"/>
      <c r="F689" s="811"/>
      <c r="G689" s="811"/>
      <c r="H689" s="811"/>
      <c r="I689" s="811"/>
      <c r="J689" s="811"/>
      <c r="K689" s="874"/>
      <c r="L689" s="874"/>
      <c r="M689" s="811"/>
      <c r="N689" s="874"/>
      <c r="O689" s="874"/>
      <c r="P689" s="811"/>
      <c r="Q689" s="874"/>
      <c r="R689" s="874"/>
      <c r="S689" s="811"/>
      <c r="T689" s="811"/>
      <c r="U689" s="811"/>
      <c r="V689" s="811"/>
      <c r="W689" s="811"/>
      <c r="X689" s="811"/>
      <c r="Y689" s="719"/>
      <c r="Z689" s="719"/>
      <c r="AA689" s="719"/>
      <c r="AB689" s="719"/>
      <c r="AC689" s="719"/>
      <c r="AD689" s="719"/>
      <c r="AE689" s="719"/>
      <c r="AF689" s="719"/>
      <c r="AG689" s="719"/>
      <c r="AH689" s="719"/>
      <c r="AI689" s="719"/>
      <c r="AJ689" s="719"/>
      <c r="AK689" s="719"/>
      <c r="AL689" s="719"/>
      <c r="AM689" s="719"/>
      <c r="AN689" s="719"/>
      <c r="AO689" s="719"/>
      <c r="AP689" s="719"/>
      <c r="AQ689" s="719"/>
      <c r="AR689" s="719"/>
      <c r="AS689" s="719"/>
      <c r="AT689" s="719"/>
      <c r="AU689" s="719"/>
      <c r="AV689" s="719"/>
      <c r="AW689" s="719"/>
      <c r="AX689" s="719"/>
      <c r="AY689" s="719"/>
      <c r="AZ689" s="719"/>
      <c r="BA689" s="719"/>
      <c r="BB689" s="719"/>
      <c r="BC689" s="719"/>
      <c r="BD689" s="719"/>
      <c r="BE689" s="719"/>
      <c r="BF689" s="719"/>
      <c r="BG689" s="719"/>
      <c r="BH689" s="719"/>
      <c r="BI689" s="719"/>
      <c r="BJ689" s="719"/>
    </row>
    <row r="690" spans="2:62" ht="15.75" customHeight="1">
      <c r="B690" s="497"/>
      <c r="C690" s="811"/>
      <c r="D690" s="811"/>
      <c r="E690" s="811"/>
      <c r="F690" s="811"/>
      <c r="G690" s="811"/>
      <c r="H690" s="811"/>
      <c r="I690" s="811"/>
      <c r="J690" s="811"/>
      <c r="K690" s="874"/>
      <c r="L690" s="874"/>
      <c r="M690" s="811"/>
      <c r="N690" s="874"/>
      <c r="O690" s="874"/>
      <c r="P690" s="811"/>
      <c r="Q690" s="874"/>
      <c r="R690" s="874"/>
      <c r="S690" s="811"/>
      <c r="T690" s="811"/>
      <c r="U690" s="811"/>
      <c r="V690" s="811"/>
      <c r="W690" s="811"/>
      <c r="X690" s="811"/>
      <c r="Y690" s="719"/>
      <c r="Z690" s="719"/>
      <c r="AA690" s="719"/>
      <c r="AB690" s="719"/>
      <c r="AC690" s="719"/>
      <c r="AD690" s="719"/>
      <c r="AE690" s="719"/>
      <c r="AF690" s="719"/>
      <c r="AG690" s="719"/>
      <c r="AH690" s="719"/>
      <c r="AI690" s="719"/>
      <c r="AJ690" s="719"/>
      <c r="AK690" s="719"/>
      <c r="AL690" s="719"/>
      <c r="AM690" s="719"/>
      <c r="AN690" s="719"/>
      <c r="AO690" s="719"/>
      <c r="AP690" s="719"/>
      <c r="AQ690" s="719"/>
      <c r="AR690" s="719"/>
      <c r="AS690" s="719"/>
      <c r="AT690" s="719"/>
      <c r="AU690" s="719"/>
      <c r="AV690" s="719"/>
      <c r="AW690" s="719"/>
      <c r="AX690" s="719"/>
      <c r="AY690" s="719"/>
      <c r="AZ690" s="719"/>
      <c r="BA690" s="719"/>
      <c r="BB690" s="719"/>
      <c r="BC690" s="719"/>
      <c r="BD690" s="719"/>
      <c r="BE690" s="719"/>
      <c r="BF690" s="719"/>
      <c r="BG690" s="719"/>
      <c r="BH690" s="719"/>
      <c r="BI690" s="719"/>
      <c r="BJ690" s="719"/>
    </row>
    <row r="691" spans="2:62" ht="15.75" customHeight="1">
      <c r="B691" s="497"/>
      <c r="C691" s="811"/>
      <c r="D691" s="811"/>
      <c r="E691" s="811"/>
      <c r="F691" s="811"/>
      <c r="G691" s="811"/>
      <c r="H691" s="811"/>
      <c r="I691" s="811"/>
      <c r="J691" s="811"/>
      <c r="K691" s="874"/>
      <c r="L691" s="874"/>
      <c r="M691" s="811"/>
      <c r="N691" s="874"/>
      <c r="O691" s="874"/>
      <c r="P691" s="811"/>
      <c r="Q691" s="874"/>
      <c r="R691" s="874"/>
      <c r="S691" s="811"/>
      <c r="T691" s="811"/>
      <c r="U691" s="811"/>
      <c r="V691" s="811"/>
      <c r="W691" s="811"/>
      <c r="X691" s="811"/>
      <c r="Y691" s="719"/>
      <c r="Z691" s="719"/>
      <c r="AA691" s="719"/>
      <c r="AB691" s="719"/>
      <c r="AC691" s="719"/>
      <c r="AD691" s="719"/>
      <c r="AE691" s="719"/>
      <c r="AF691" s="719"/>
      <c r="AG691" s="719"/>
      <c r="AH691" s="719"/>
      <c r="AI691" s="719"/>
      <c r="AJ691" s="719"/>
      <c r="AK691" s="719"/>
      <c r="AL691" s="719"/>
      <c r="AM691" s="719"/>
      <c r="AN691" s="719"/>
      <c r="AO691" s="719"/>
      <c r="AP691" s="719"/>
      <c r="AQ691" s="719"/>
      <c r="AR691" s="719"/>
      <c r="AS691" s="719"/>
      <c r="AT691" s="719"/>
      <c r="AU691" s="719"/>
      <c r="AV691" s="719"/>
      <c r="AW691" s="719"/>
      <c r="AX691" s="719"/>
      <c r="AY691" s="719"/>
      <c r="AZ691" s="719"/>
      <c r="BA691" s="719"/>
      <c r="BB691" s="719"/>
      <c r="BC691" s="719"/>
      <c r="BD691" s="719"/>
      <c r="BE691" s="719"/>
      <c r="BF691" s="719"/>
      <c r="BG691" s="719"/>
      <c r="BH691" s="719"/>
      <c r="BI691" s="719"/>
      <c r="BJ691" s="719"/>
    </row>
    <row r="692" spans="2:62" ht="15.75" customHeight="1">
      <c r="B692" s="497"/>
      <c r="C692" s="811"/>
      <c r="D692" s="811"/>
      <c r="E692" s="811"/>
      <c r="F692" s="811"/>
      <c r="G692" s="811"/>
      <c r="H692" s="811"/>
      <c r="I692" s="811"/>
      <c r="J692" s="811"/>
      <c r="K692" s="874"/>
      <c r="L692" s="874"/>
      <c r="M692" s="811"/>
      <c r="N692" s="874"/>
      <c r="O692" s="874"/>
      <c r="P692" s="811"/>
      <c r="Q692" s="874"/>
      <c r="R692" s="874"/>
      <c r="S692" s="811"/>
      <c r="T692" s="811"/>
      <c r="U692" s="811"/>
      <c r="V692" s="811"/>
      <c r="W692" s="811"/>
      <c r="X692" s="811"/>
      <c r="Y692" s="719"/>
      <c r="Z692" s="719"/>
      <c r="AA692" s="719"/>
      <c r="AB692" s="719"/>
      <c r="AC692" s="719"/>
      <c r="AD692" s="719"/>
      <c r="AE692" s="719"/>
      <c r="AF692" s="719"/>
      <c r="AG692" s="719"/>
      <c r="AH692" s="719"/>
      <c r="AI692" s="719"/>
      <c r="AJ692" s="719"/>
      <c r="AK692" s="719"/>
      <c r="AL692" s="719"/>
      <c r="AM692" s="719"/>
      <c r="AN692" s="719"/>
      <c r="AO692" s="719"/>
      <c r="AP692" s="719"/>
      <c r="AQ692" s="719"/>
      <c r="AR692" s="719"/>
      <c r="AS692" s="719"/>
      <c r="AT692" s="719"/>
      <c r="AU692" s="719"/>
      <c r="AV692" s="719"/>
      <c r="AW692" s="719"/>
      <c r="AX692" s="719"/>
      <c r="AY692" s="719"/>
      <c r="AZ692" s="719"/>
      <c r="BA692" s="719"/>
      <c r="BB692" s="719"/>
      <c r="BC692" s="719"/>
      <c r="BD692" s="719"/>
      <c r="BE692" s="719"/>
      <c r="BF692" s="719"/>
      <c r="BG692" s="719"/>
      <c r="BH692" s="719"/>
      <c r="BI692" s="719"/>
      <c r="BJ692" s="719"/>
    </row>
    <row r="693" spans="2:62" ht="15.75" customHeight="1">
      <c r="B693" s="497"/>
      <c r="C693" s="811"/>
      <c r="D693" s="811"/>
      <c r="E693" s="811"/>
      <c r="F693" s="811"/>
      <c r="G693" s="811"/>
      <c r="H693" s="811"/>
      <c r="I693" s="811"/>
      <c r="J693" s="811"/>
      <c r="K693" s="874"/>
      <c r="L693" s="874"/>
      <c r="M693" s="811"/>
      <c r="N693" s="874"/>
      <c r="O693" s="874"/>
      <c r="P693" s="811"/>
      <c r="Q693" s="874"/>
      <c r="R693" s="874"/>
      <c r="S693" s="811"/>
      <c r="T693" s="811"/>
      <c r="U693" s="811"/>
      <c r="V693" s="811"/>
      <c r="W693" s="811"/>
      <c r="X693" s="811"/>
      <c r="Y693" s="719"/>
      <c r="Z693" s="719"/>
      <c r="AA693" s="719"/>
      <c r="AB693" s="719"/>
      <c r="AC693" s="719"/>
      <c r="AD693" s="719"/>
      <c r="AE693" s="719"/>
      <c r="AF693" s="719"/>
      <c r="AG693" s="719"/>
      <c r="AH693" s="719"/>
      <c r="AI693" s="719"/>
      <c r="AJ693" s="719"/>
      <c r="AK693" s="719"/>
      <c r="AL693" s="719"/>
      <c r="AM693" s="719"/>
      <c r="AN693" s="719"/>
      <c r="AO693" s="719"/>
      <c r="AP693" s="719"/>
      <c r="AQ693" s="719"/>
      <c r="AR693" s="719"/>
      <c r="AS693" s="719"/>
      <c r="AT693" s="719"/>
      <c r="AU693" s="719"/>
      <c r="AV693" s="719"/>
      <c r="AW693" s="719"/>
      <c r="AX693" s="719"/>
      <c r="AY693" s="719"/>
      <c r="AZ693" s="719"/>
      <c r="BA693" s="719"/>
      <c r="BB693" s="719"/>
      <c r="BC693" s="719"/>
      <c r="BD693" s="719"/>
      <c r="BE693" s="719"/>
      <c r="BF693" s="719"/>
      <c r="BG693" s="719"/>
      <c r="BH693" s="719"/>
      <c r="BI693" s="719"/>
      <c r="BJ693" s="719"/>
    </row>
    <row r="694" spans="2:62" ht="15.75" customHeight="1">
      <c r="B694" s="497"/>
      <c r="C694" s="811"/>
      <c r="D694" s="811"/>
      <c r="E694" s="811"/>
      <c r="F694" s="811"/>
      <c r="G694" s="811"/>
      <c r="H694" s="811"/>
      <c r="I694" s="811"/>
      <c r="J694" s="811"/>
      <c r="K694" s="874"/>
      <c r="L694" s="876"/>
      <c r="M694" s="811"/>
      <c r="N694" s="874"/>
      <c r="O694" s="874"/>
      <c r="P694" s="811"/>
      <c r="Q694" s="874"/>
      <c r="R694" s="876"/>
      <c r="S694" s="811"/>
      <c r="T694" s="811"/>
      <c r="U694" s="811"/>
      <c r="V694" s="811"/>
      <c r="W694" s="811"/>
      <c r="X694" s="811"/>
      <c r="Y694" s="719"/>
      <c r="Z694" s="719"/>
      <c r="AA694" s="719"/>
      <c r="AB694" s="719"/>
      <c r="AC694" s="719"/>
      <c r="AD694" s="719"/>
      <c r="AE694" s="719"/>
      <c r="AF694" s="719"/>
      <c r="AG694" s="719"/>
      <c r="AH694" s="719"/>
      <c r="AI694" s="719"/>
      <c r="AJ694" s="719"/>
      <c r="AK694" s="719"/>
      <c r="AL694" s="719"/>
      <c r="AM694" s="719"/>
      <c r="AN694" s="719"/>
      <c r="AO694" s="719"/>
      <c r="AP694" s="719"/>
      <c r="AQ694" s="719"/>
      <c r="AR694" s="719"/>
      <c r="AS694" s="719"/>
      <c r="AT694" s="719"/>
      <c r="AU694" s="719"/>
      <c r="AV694" s="719"/>
      <c r="AW694" s="719"/>
      <c r="AX694" s="719"/>
      <c r="AY694" s="719"/>
      <c r="AZ694" s="719"/>
      <c r="BA694" s="719"/>
      <c r="BB694" s="719"/>
      <c r="BC694" s="719"/>
      <c r="BD694" s="719"/>
      <c r="BE694" s="719"/>
      <c r="BF694" s="719"/>
      <c r="BG694" s="719"/>
      <c r="BH694" s="719"/>
      <c r="BI694" s="719"/>
      <c r="BJ694" s="719"/>
    </row>
    <row r="695" spans="2:62" ht="15.75" customHeight="1">
      <c r="B695" s="497"/>
      <c r="C695" s="811"/>
      <c r="D695" s="811"/>
      <c r="E695" s="811"/>
      <c r="F695" s="811"/>
      <c r="G695" s="811"/>
      <c r="H695" s="811"/>
      <c r="I695" s="811"/>
      <c r="J695" s="811"/>
      <c r="K695" s="874"/>
      <c r="L695" s="874"/>
      <c r="M695" s="811"/>
      <c r="N695" s="874"/>
      <c r="O695" s="874"/>
      <c r="P695" s="811"/>
      <c r="Q695" s="874"/>
      <c r="R695" s="874"/>
      <c r="S695" s="811"/>
      <c r="T695" s="811"/>
      <c r="U695" s="811"/>
      <c r="V695" s="811"/>
      <c r="W695" s="811"/>
      <c r="X695" s="811"/>
      <c r="Y695" s="719"/>
      <c r="Z695" s="719"/>
      <c r="AA695" s="719"/>
      <c r="AB695" s="719"/>
      <c r="AC695" s="719"/>
      <c r="AD695" s="719"/>
      <c r="AE695" s="719"/>
      <c r="AF695" s="719"/>
      <c r="AG695" s="719"/>
      <c r="AH695" s="719"/>
      <c r="AI695" s="719"/>
      <c r="AJ695" s="719"/>
      <c r="AK695" s="719"/>
      <c r="AL695" s="719"/>
      <c r="AM695" s="719"/>
      <c r="AN695" s="719"/>
      <c r="AO695" s="719"/>
      <c r="AP695" s="719"/>
      <c r="AQ695" s="719"/>
      <c r="AR695" s="719"/>
      <c r="AS695" s="719"/>
      <c r="AT695" s="719"/>
      <c r="AU695" s="719"/>
      <c r="AV695" s="719"/>
      <c r="AW695" s="719"/>
      <c r="AX695" s="719"/>
      <c r="AY695" s="719"/>
      <c r="AZ695" s="719"/>
      <c r="BA695" s="719"/>
      <c r="BB695" s="719"/>
      <c r="BC695" s="719"/>
      <c r="BD695" s="719"/>
      <c r="BE695" s="719"/>
      <c r="BF695" s="719"/>
      <c r="BG695" s="719"/>
      <c r="BH695" s="719"/>
      <c r="BI695" s="719"/>
      <c r="BJ695" s="719"/>
    </row>
    <row r="696" spans="2:62" ht="15.75" customHeight="1">
      <c r="B696" s="497"/>
      <c r="C696" s="811"/>
      <c r="D696" s="811"/>
      <c r="E696" s="811"/>
      <c r="F696" s="811"/>
      <c r="G696" s="811"/>
      <c r="H696" s="811"/>
      <c r="I696" s="811"/>
      <c r="J696" s="811"/>
      <c r="K696" s="874"/>
      <c r="L696" s="874"/>
      <c r="M696" s="811"/>
      <c r="N696" s="874"/>
      <c r="O696" s="874"/>
      <c r="P696" s="811"/>
      <c r="Q696" s="874"/>
      <c r="R696" s="874"/>
      <c r="S696" s="811"/>
      <c r="T696" s="811"/>
      <c r="U696" s="811"/>
      <c r="V696" s="811"/>
      <c r="W696" s="811"/>
      <c r="X696" s="811"/>
      <c r="Y696" s="719"/>
      <c r="Z696" s="719"/>
      <c r="AA696" s="719"/>
      <c r="AB696" s="719"/>
      <c r="AC696" s="719"/>
      <c r="AD696" s="719"/>
      <c r="AE696" s="719"/>
      <c r="AF696" s="719"/>
      <c r="AG696" s="719"/>
      <c r="AH696" s="719"/>
      <c r="AI696" s="719"/>
      <c r="AJ696" s="719"/>
      <c r="AK696" s="719"/>
      <c r="AL696" s="719"/>
      <c r="AM696" s="719"/>
      <c r="AN696" s="719"/>
      <c r="AO696" s="719"/>
      <c r="AP696" s="719"/>
      <c r="AQ696" s="719"/>
      <c r="AR696" s="719"/>
      <c r="AS696" s="719"/>
      <c r="AT696" s="719"/>
      <c r="AU696" s="719"/>
      <c r="AV696" s="719"/>
      <c r="AW696" s="719"/>
      <c r="AX696" s="719"/>
      <c r="AY696" s="719"/>
      <c r="AZ696" s="719"/>
      <c r="BA696" s="719"/>
      <c r="BB696" s="719"/>
      <c r="BC696" s="719"/>
      <c r="BD696" s="719"/>
      <c r="BE696" s="719"/>
      <c r="BF696" s="719"/>
      <c r="BG696" s="719"/>
      <c r="BH696" s="719"/>
      <c r="BI696" s="719"/>
      <c r="BJ696" s="719"/>
    </row>
    <row r="697" spans="2:62" ht="15.75" customHeight="1">
      <c r="B697" s="497"/>
      <c r="C697" s="811"/>
      <c r="D697" s="811"/>
      <c r="E697" s="811"/>
      <c r="F697" s="811"/>
      <c r="G697" s="811"/>
      <c r="H697" s="811"/>
      <c r="I697" s="811"/>
      <c r="J697" s="811"/>
      <c r="K697" s="874"/>
      <c r="L697" s="874"/>
      <c r="M697" s="811"/>
      <c r="N697" s="876"/>
      <c r="O697" s="876"/>
      <c r="P697" s="811"/>
      <c r="Q697" s="876"/>
      <c r="R697" s="874"/>
      <c r="S697" s="811"/>
      <c r="T697" s="811"/>
      <c r="U697" s="811"/>
      <c r="V697" s="811"/>
      <c r="W697" s="811"/>
      <c r="X697" s="811"/>
      <c r="Y697" s="719"/>
      <c r="Z697" s="719"/>
      <c r="AA697" s="719"/>
      <c r="AB697" s="719"/>
      <c r="AC697" s="719"/>
      <c r="AD697" s="719"/>
      <c r="AE697" s="719"/>
      <c r="AF697" s="719"/>
      <c r="AG697" s="719"/>
      <c r="AH697" s="719"/>
      <c r="AI697" s="719"/>
      <c r="AJ697" s="719"/>
      <c r="AK697" s="719"/>
      <c r="AL697" s="719"/>
      <c r="AM697" s="719"/>
      <c r="AN697" s="719"/>
      <c r="AO697" s="719"/>
      <c r="AP697" s="719"/>
      <c r="AQ697" s="719"/>
      <c r="AR697" s="719"/>
      <c r="AS697" s="719"/>
      <c r="AT697" s="719"/>
      <c r="AU697" s="719"/>
      <c r="AV697" s="719"/>
      <c r="AW697" s="719"/>
      <c r="AX697" s="719"/>
      <c r="AY697" s="719"/>
      <c r="AZ697" s="719"/>
      <c r="BA697" s="719"/>
      <c r="BB697" s="719"/>
      <c r="BC697" s="719"/>
      <c r="BD697" s="719"/>
      <c r="BE697" s="719"/>
      <c r="BF697" s="719"/>
      <c r="BG697" s="719"/>
      <c r="BH697" s="719"/>
      <c r="BI697" s="719"/>
      <c r="BJ697" s="719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1049" priority="319" stopIfTrue="1">
      <formula>"esterreur(reference)"</formula>
    </cfRule>
  </conditionalFormatting>
  <conditionalFormatting sqref="M95:M96">
    <cfRule type="expression" dxfId="1048" priority="320" stopIfTrue="1">
      <formula>"esterreur(reference)"</formula>
    </cfRule>
  </conditionalFormatting>
  <conditionalFormatting sqref="H275:H280 J275:K280">
    <cfRule type="expression" dxfId="1047" priority="321" stopIfTrue="1">
      <formula>"esterreur(reference)"</formula>
    </cfRule>
  </conditionalFormatting>
  <conditionalFormatting sqref="H219:H224 J219:K224">
    <cfRule type="expression" dxfId="1046" priority="322" stopIfTrue="1">
      <formula>"esterreur(reference)"</formula>
    </cfRule>
  </conditionalFormatting>
  <conditionalFormatting sqref="H141:H147 J141:K147">
    <cfRule type="expression" dxfId="1045" priority="323" stopIfTrue="1">
      <formula>"esterreur(reference)"</formula>
    </cfRule>
  </conditionalFormatting>
  <conditionalFormatting sqref="H137:H139 J137:K139">
    <cfRule type="expression" dxfId="1044" priority="324" stopIfTrue="1">
      <formula>"esterreur(reference)"</formula>
    </cfRule>
  </conditionalFormatting>
  <conditionalFormatting sqref="H140 J140:K140">
    <cfRule type="expression" dxfId="1043" priority="325" stopIfTrue="1">
      <formula>"esterreur(reference)"</formula>
    </cfRule>
  </conditionalFormatting>
  <conditionalFormatting sqref="L82">
    <cfRule type="expression" dxfId="1042" priority="299" stopIfTrue="1">
      <formula>"esterreur(reference)"</formula>
    </cfRule>
  </conditionalFormatting>
  <conditionalFormatting sqref="M311">
    <cfRule type="expression" dxfId="1041" priority="326" stopIfTrue="1">
      <formula>"esterreur(reference)"</formula>
    </cfRule>
  </conditionalFormatting>
  <conditionalFormatting sqref="R311">
    <cfRule type="expression" dxfId="1040" priority="327" stopIfTrue="1">
      <formula>"esterreur(reference)"</formula>
    </cfRule>
  </conditionalFormatting>
  <conditionalFormatting sqref="AG408:AI413 AH490:AI490 AG431:AI431 AH465:AI467 AH452:AI459 AH432:AI450 AH460:AH464 AI491:AI496 AH419:AI430">
    <cfRule type="cellIs" dxfId="1039" priority="328" operator="greaterThan">
      <formula>0</formula>
    </cfRule>
  </conditionalFormatting>
  <conditionalFormatting sqref="AH468:AI479">
    <cfRule type="cellIs" dxfId="1038" priority="329" operator="lessThan">
      <formula>0</formula>
    </cfRule>
  </conditionalFormatting>
  <conditionalFormatting sqref="AH491:AH496">
    <cfRule type="cellIs" dxfId="1037" priority="330" operator="greaterThan">
      <formula>0</formula>
    </cfRule>
  </conditionalFormatting>
  <conditionalFormatting sqref="J281:K283">
    <cfRule type="expression" dxfId="1036" priority="331" stopIfTrue="1">
      <formula>"esterreur(reference)"</formula>
    </cfRule>
  </conditionalFormatting>
  <conditionalFormatting sqref="K356 J356:J357 H356:I356 L355:L356 H358:L358">
    <cfRule type="expression" dxfId="1035" priority="332" stopIfTrue="1">
      <formula>"esterreur(reference)"</formula>
    </cfRule>
  </conditionalFormatting>
  <conditionalFormatting sqref="H396">
    <cfRule type="expression" dxfId="1034" priority="333" stopIfTrue="1">
      <formula>"esterreur(reference)"</formula>
    </cfRule>
  </conditionalFormatting>
  <conditionalFormatting sqref="I376:L376 H377:H392 J377:K392">
    <cfRule type="expression" dxfId="1033" priority="334" stopIfTrue="1">
      <formula>"esterreur(reference)"</formula>
    </cfRule>
  </conditionalFormatting>
  <conditionalFormatting sqref="H397:L398 I396:L396 H395:L395 H393:H394 J393:K393">
    <cfRule type="expression" dxfId="1032" priority="335" stopIfTrue="1">
      <formula>"esterreur(reference)"</formula>
    </cfRule>
  </conditionalFormatting>
  <conditionalFormatting sqref="H360:L362 H359 K359">
    <cfRule type="expression" dxfId="1031" priority="336" stopIfTrue="1">
      <formula>"esterreur(reference)"</formula>
    </cfRule>
  </conditionalFormatting>
  <conditionalFormatting sqref="K394">
    <cfRule type="expression" dxfId="1030" priority="337" stopIfTrue="1">
      <formula>"esterreur(reference)"</formula>
    </cfRule>
  </conditionalFormatting>
  <conditionalFormatting sqref="H316:L316">
    <cfRule type="expression" dxfId="1029" priority="338" stopIfTrue="1">
      <formula>"esterreur(reference)"</formula>
    </cfRule>
  </conditionalFormatting>
  <conditionalFormatting sqref="H196:L196">
    <cfRule type="expression" dxfId="1028" priority="339" stopIfTrue="1">
      <formula>"esterreur(reference)"</formula>
    </cfRule>
  </conditionalFormatting>
  <conditionalFormatting sqref="H55:H56 J55:K56 H71 J71:K71">
    <cfRule type="expression" dxfId="1027" priority="340" stopIfTrue="1">
      <formula>"esterreur(reference)"</formula>
    </cfRule>
  </conditionalFormatting>
  <conditionalFormatting sqref="J61:K70 H61:H70">
    <cfRule type="expression" dxfId="1026" priority="341" stopIfTrue="1">
      <formula>"esterreur(reference)"</formula>
    </cfRule>
  </conditionalFormatting>
  <conditionalFormatting sqref="H57:H59 J57:K59">
    <cfRule type="expression" dxfId="1025" priority="342" stopIfTrue="1">
      <formula>"esterreur(reference)"</formula>
    </cfRule>
  </conditionalFormatting>
  <conditionalFormatting sqref="H60 J60:K60">
    <cfRule type="expression" dxfId="1024" priority="343" stopIfTrue="1">
      <formula>"esterreur(reference)"</formula>
    </cfRule>
  </conditionalFormatting>
  <conditionalFormatting sqref="L19 L21:L23">
    <cfRule type="expression" dxfId="1023" priority="317" stopIfTrue="1">
      <formula>"esterreur(reference)"</formula>
    </cfRule>
  </conditionalFormatting>
  <conditionalFormatting sqref="K98">
    <cfRule type="expression" dxfId="1022" priority="344" stopIfTrue="1">
      <formula>"esterreur(reference)"</formula>
    </cfRule>
  </conditionalFormatting>
  <conditionalFormatting sqref="L331:L347">
    <cfRule type="expression" dxfId="1021" priority="213" stopIfTrue="1">
      <formula>"esterreur(reference)"</formula>
    </cfRule>
  </conditionalFormatting>
  <conditionalFormatting sqref="L16:L17">
    <cfRule type="expression" dxfId="1020" priority="318" stopIfTrue="1">
      <formula>"esterreur(reference)"</formula>
    </cfRule>
  </conditionalFormatting>
  <conditionalFormatting sqref="L20">
    <cfRule type="expression" dxfId="1019" priority="316" stopIfTrue="1">
      <formula>"esterreur(reference)"</formula>
    </cfRule>
  </conditionalFormatting>
  <conditionalFormatting sqref="L325">
    <cfRule type="expression" dxfId="1018" priority="217" stopIfTrue="1">
      <formula>"esterreur(reference)"</formula>
    </cfRule>
  </conditionalFormatting>
  <conditionalFormatting sqref="L326">
    <cfRule type="expression" dxfId="1017" priority="216" stopIfTrue="1">
      <formula>"esterreur(reference)"</formula>
    </cfRule>
  </conditionalFormatting>
  <conditionalFormatting sqref="L327">
    <cfRule type="expression" dxfId="1016" priority="215" stopIfTrue="1">
      <formula>"esterreur(reference)"</formula>
    </cfRule>
  </conditionalFormatting>
  <conditionalFormatting sqref="L328">
    <cfRule type="expression" dxfId="1015" priority="214" stopIfTrue="1">
      <formula>"esterreur(reference)"</formula>
    </cfRule>
  </conditionalFormatting>
  <conditionalFormatting sqref="L42">
    <cfRule type="expression" dxfId="1014" priority="315" stopIfTrue="1">
      <formula>"esterreur(reference)"</formula>
    </cfRule>
  </conditionalFormatting>
  <conditionalFormatting sqref="L43">
    <cfRule type="expression" dxfId="1013" priority="314" stopIfTrue="1">
      <formula>"esterreur(reference)"</formula>
    </cfRule>
  </conditionalFormatting>
  <conditionalFormatting sqref="L44">
    <cfRule type="expression" dxfId="1012" priority="313" stopIfTrue="1">
      <formula>"esterreur(reference)"</formula>
    </cfRule>
  </conditionalFormatting>
  <conditionalFormatting sqref="L45:L48">
    <cfRule type="expression" dxfId="1011" priority="312" stopIfTrue="1">
      <formula>"esterreur(reference)"</formula>
    </cfRule>
  </conditionalFormatting>
  <conditionalFormatting sqref="L55">
    <cfRule type="expression" dxfId="1010" priority="311" stopIfTrue="1">
      <formula>"esterreur(reference)"</formula>
    </cfRule>
  </conditionalFormatting>
  <conditionalFormatting sqref="L56">
    <cfRule type="expression" dxfId="1009" priority="310" stopIfTrue="1">
      <formula>"esterreur(reference)"</formula>
    </cfRule>
  </conditionalFormatting>
  <conditionalFormatting sqref="L271">
    <cfRule type="expression" dxfId="1008" priority="228" stopIfTrue="1">
      <formula>"esterreur(reference)"</formula>
    </cfRule>
  </conditionalFormatting>
  <conditionalFormatting sqref="L58">
    <cfRule type="expression" dxfId="1007" priority="309" stopIfTrue="1">
      <formula>"esterreur(reference)"</formula>
    </cfRule>
  </conditionalFormatting>
  <conditionalFormatting sqref="L61">
    <cfRule type="expression" dxfId="1006" priority="308" stopIfTrue="1">
      <formula>"esterreur(reference)"</formula>
    </cfRule>
  </conditionalFormatting>
  <conditionalFormatting sqref="L274">
    <cfRule type="expression" dxfId="1005" priority="226" stopIfTrue="1">
      <formula>"esterreur(reference)"</formula>
    </cfRule>
  </conditionalFormatting>
  <conditionalFormatting sqref="L63">
    <cfRule type="expression" dxfId="1004" priority="307" stopIfTrue="1">
      <formula>"esterreur(reference)"</formula>
    </cfRule>
  </conditionalFormatting>
  <conditionalFormatting sqref="L62">
    <cfRule type="expression" dxfId="1003" priority="306" stopIfTrue="1">
      <formula>"esterreur(reference)"</formula>
    </cfRule>
  </conditionalFormatting>
  <conditionalFormatting sqref="L64">
    <cfRule type="expression" dxfId="1002" priority="305" stopIfTrue="1">
      <formula>"esterreur(reference)"</formula>
    </cfRule>
  </conditionalFormatting>
  <conditionalFormatting sqref="L65">
    <cfRule type="expression" dxfId="1001" priority="304" stopIfTrue="1">
      <formula>"esterreur(reference)"</formula>
    </cfRule>
  </conditionalFormatting>
  <conditionalFormatting sqref="L69 L66:L67">
    <cfRule type="expression" dxfId="1000" priority="303" stopIfTrue="1">
      <formula>"esterreur(reference)"</formula>
    </cfRule>
  </conditionalFormatting>
  <conditionalFormatting sqref="L70">
    <cfRule type="expression" dxfId="999" priority="302" stopIfTrue="1">
      <formula>"esterreur(reference)"</formula>
    </cfRule>
  </conditionalFormatting>
  <conditionalFormatting sqref="L76:L77">
    <cfRule type="expression" dxfId="998" priority="301" stopIfTrue="1">
      <formula>"esterreur(reference)"</formula>
    </cfRule>
  </conditionalFormatting>
  <conditionalFormatting sqref="L78:L81">
    <cfRule type="expression" dxfId="997" priority="300" stopIfTrue="1">
      <formula>"esterreur(reference)"</formula>
    </cfRule>
  </conditionalFormatting>
  <conditionalFormatting sqref="L57">
    <cfRule type="expression" dxfId="996" priority="298" stopIfTrue="1">
      <formula>"esterreur(reference)"</formula>
    </cfRule>
  </conditionalFormatting>
  <conditionalFormatting sqref="L94:L95">
    <cfRule type="expression" dxfId="995" priority="297" stopIfTrue="1">
      <formula>"esterreur(reference)"</formula>
    </cfRule>
  </conditionalFormatting>
  <conditionalFormatting sqref="L98">
    <cfRule type="expression" dxfId="994" priority="296" stopIfTrue="1">
      <formula>"esterreur(reference)"</formula>
    </cfRule>
  </conditionalFormatting>
  <conditionalFormatting sqref="L99">
    <cfRule type="expression" dxfId="993" priority="295" stopIfTrue="1">
      <formula>"esterreur(reference)"</formula>
    </cfRule>
  </conditionalFormatting>
  <conditionalFormatting sqref="L101">
    <cfRule type="expression" dxfId="992" priority="294" stopIfTrue="1">
      <formula>"esterreur(reference)"</formula>
    </cfRule>
  </conditionalFormatting>
  <conditionalFormatting sqref="L102">
    <cfRule type="expression" dxfId="991" priority="293" stopIfTrue="1">
      <formula>"esterreur(reference)"</formula>
    </cfRule>
  </conditionalFormatting>
  <conditionalFormatting sqref="L103">
    <cfRule type="expression" dxfId="990" priority="292" stopIfTrue="1">
      <formula>"esterreur(reference)"</formula>
    </cfRule>
  </conditionalFormatting>
  <conditionalFormatting sqref="L111">
    <cfRule type="expression" dxfId="989" priority="291" stopIfTrue="1">
      <formula>"esterreur(reference)"</formula>
    </cfRule>
  </conditionalFormatting>
  <conditionalFormatting sqref="L112">
    <cfRule type="expression" dxfId="988" priority="290" stopIfTrue="1">
      <formula>"esterreur(reference)"</formula>
    </cfRule>
  </conditionalFormatting>
  <conditionalFormatting sqref="L207">
    <cfRule type="expression" dxfId="987" priority="251" stopIfTrue="1">
      <formula>"esterreur(reference)"</formula>
    </cfRule>
  </conditionalFormatting>
  <conditionalFormatting sqref="L114">
    <cfRule type="expression" dxfId="986" priority="289" stopIfTrue="1">
      <formula>"esterreur(reference)"</formula>
    </cfRule>
  </conditionalFormatting>
  <conditionalFormatting sqref="L227">
    <cfRule type="expression" dxfId="985" priority="247" stopIfTrue="1">
      <formula>"esterreur(reference)"</formula>
    </cfRule>
  </conditionalFormatting>
  <conditionalFormatting sqref="L116:L119">
    <cfRule type="expression" dxfId="984" priority="288" stopIfTrue="1">
      <formula>"esterreur(reference)"</formula>
    </cfRule>
  </conditionalFormatting>
  <conditionalFormatting sqref="L120">
    <cfRule type="expression" dxfId="983" priority="287" stopIfTrue="1">
      <formula>"esterreur(reference)"</formula>
    </cfRule>
  </conditionalFormatting>
  <conditionalFormatting sqref="L130">
    <cfRule type="expression" dxfId="982" priority="284" stopIfTrue="1">
      <formula>"esterreur(reference)"</formula>
    </cfRule>
  </conditionalFormatting>
  <conditionalFormatting sqref="L124">
    <cfRule type="expression" dxfId="981" priority="286" stopIfTrue="1">
      <formula>"esterreur(reference)"</formula>
    </cfRule>
  </conditionalFormatting>
  <conditionalFormatting sqref="L123">
    <cfRule type="expression" dxfId="980" priority="285" stopIfTrue="1">
      <formula>"esterreur(reference)"</formula>
    </cfRule>
  </conditionalFormatting>
  <conditionalFormatting sqref="L138">
    <cfRule type="expression" dxfId="979" priority="278" stopIfTrue="1">
      <formula>"esterreur(reference)"</formula>
    </cfRule>
  </conditionalFormatting>
  <conditionalFormatting sqref="L131">
    <cfRule type="expression" dxfId="978" priority="283" stopIfTrue="1">
      <formula>"esterreur(reference)"</formula>
    </cfRule>
  </conditionalFormatting>
  <conditionalFormatting sqref="L132">
    <cfRule type="expression" dxfId="977" priority="282" stopIfTrue="1">
      <formula>"esterreur(reference)"</formula>
    </cfRule>
  </conditionalFormatting>
  <conditionalFormatting sqref="L133">
    <cfRule type="expression" dxfId="976" priority="281" stopIfTrue="1">
      <formula>"esterreur(reference)"</formula>
    </cfRule>
  </conditionalFormatting>
  <conditionalFormatting sqref="L139">
    <cfRule type="expression" dxfId="975" priority="277" stopIfTrue="1">
      <formula>"esterreur(reference)"</formula>
    </cfRule>
  </conditionalFormatting>
  <conditionalFormatting sqref="L136">
    <cfRule type="expression" dxfId="974" priority="280" stopIfTrue="1">
      <formula>"esterreur(reference)"</formula>
    </cfRule>
  </conditionalFormatting>
  <conditionalFormatting sqref="L137">
    <cfRule type="expression" dxfId="973" priority="279" stopIfTrue="1">
      <formula>"esterreur(reference)"</formula>
    </cfRule>
  </conditionalFormatting>
  <conditionalFormatting sqref="L140">
    <cfRule type="expression" dxfId="972" priority="276" stopIfTrue="1">
      <formula>"esterreur(reference)"</formula>
    </cfRule>
  </conditionalFormatting>
  <conditionalFormatting sqref="L141">
    <cfRule type="expression" dxfId="971" priority="275" stopIfTrue="1">
      <formula>"esterreur(reference)"</formula>
    </cfRule>
  </conditionalFormatting>
  <conditionalFormatting sqref="L142">
    <cfRule type="expression" dxfId="970" priority="274" stopIfTrue="1">
      <formula>"esterreur(reference)"</formula>
    </cfRule>
  </conditionalFormatting>
  <conditionalFormatting sqref="L143">
    <cfRule type="expression" dxfId="969" priority="273" stopIfTrue="1">
      <formula>"esterreur(reference)"</formula>
    </cfRule>
  </conditionalFormatting>
  <conditionalFormatting sqref="L144">
    <cfRule type="expression" dxfId="968" priority="272" stopIfTrue="1">
      <formula>"esterreur(reference)"</formula>
    </cfRule>
  </conditionalFormatting>
  <conditionalFormatting sqref="L145">
    <cfRule type="expression" dxfId="967" priority="271" stopIfTrue="1">
      <formula>"esterreur(reference)"</formula>
    </cfRule>
  </conditionalFormatting>
  <conditionalFormatting sqref="L146">
    <cfRule type="expression" dxfId="966" priority="270" stopIfTrue="1">
      <formula>"esterreur(reference)"</formula>
    </cfRule>
  </conditionalFormatting>
  <conditionalFormatting sqref="L147">
    <cfRule type="expression" dxfId="965" priority="269" stopIfTrue="1">
      <formula>"esterreur(reference)"</formula>
    </cfRule>
  </conditionalFormatting>
  <conditionalFormatting sqref="L155">
    <cfRule type="expression" dxfId="964" priority="268" stopIfTrue="1">
      <formula>"esterreur(reference)"</formula>
    </cfRule>
  </conditionalFormatting>
  <conditionalFormatting sqref="L157">
    <cfRule type="expression" dxfId="963" priority="266" stopIfTrue="1">
      <formula>"esterreur(reference)"</formula>
    </cfRule>
  </conditionalFormatting>
  <conditionalFormatting sqref="L156">
    <cfRule type="expression" dxfId="962" priority="267" stopIfTrue="1">
      <formula>"esterreur(reference)"</formula>
    </cfRule>
  </conditionalFormatting>
  <conditionalFormatting sqref="L115">
    <cfRule type="expression" dxfId="961" priority="265" stopIfTrue="1">
      <formula>"esterreur(reference)"</formula>
    </cfRule>
  </conditionalFormatting>
  <conditionalFormatting sqref="L113">
    <cfRule type="expression" dxfId="960" priority="264" stopIfTrue="1">
      <formula>"esterreur(reference)"</formula>
    </cfRule>
  </conditionalFormatting>
  <conditionalFormatting sqref="L171">
    <cfRule type="expression" dxfId="959" priority="263" stopIfTrue="1">
      <formula>"esterreur(reference)"</formula>
    </cfRule>
  </conditionalFormatting>
  <conditionalFormatting sqref="L174">
    <cfRule type="expression" dxfId="958" priority="262" stopIfTrue="1">
      <formula>"esterreur(reference)"</formula>
    </cfRule>
  </conditionalFormatting>
  <conditionalFormatting sqref="L177">
    <cfRule type="expression" dxfId="957" priority="261" stopIfTrue="1">
      <formula>"esterreur(reference)"</formula>
    </cfRule>
  </conditionalFormatting>
  <conditionalFormatting sqref="L187">
    <cfRule type="expression" dxfId="956" priority="260" stopIfTrue="1">
      <formula>"esterreur(reference)"</formula>
    </cfRule>
  </conditionalFormatting>
  <conditionalFormatting sqref="L197">
    <cfRule type="expression" dxfId="955" priority="259" stopIfTrue="1">
      <formula>"esterreur(reference)"</formula>
    </cfRule>
  </conditionalFormatting>
  <conditionalFormatting sqref="L199">
    <cfRule type="expression" dxfId="954" priority="258" stopIfTrue="1">
      <formula>"esterreur(reference)"</formula>
    </cfRule>
  </conditionalFormatting>
  <conditionalFormatting sqref="L198">
    <cfRule type="expression" dxfId="953" priority="257" stopIfTrue="1">
      <formula>"esterreur(reference)"</formula>
    </cfRule>
  </conditionalFormatting>
  <conditionalFormatting sqref="L200">
    <cfRule type="expression" dxfId="952" priority="256" stopIfTrue="1">
      <formula>"esterreur(reference)"</formula>
    </cfRule>
  </conditionalFormatting>
  <conditionalFormatting sqref="L201">
    <cfRule type="expression" dxfId="951" priority="255" stopIfTrue="1">
      <formula>"esterreur(reference)"</formula>
    </cfRule>
  </conditionalFormatting>
  <conditionalFormatting sqref="L202:L204">
    <cfRule type="expression" dxfId="950" priority="254" stopIfTrue="1">
      <formula>"esterreur(reference)"</formula>
    </cfRule>
  </conditionalFormatting>
  <conditionalFormatting sqref="L206">
    <cfRule type="expression" dxfId="949" priority="252" stopIfTrue="1">
      <formula>"esterreur(reference)"</formula>
    </cfRule>
  </conditionalFormatting>
  <conditionalFormatting sqref="L205">
    <cfRule type="expression" dxfId="948" priority="253" stopIfTrue="1">
      <formula>"esterreur(reference)"</formula>
    </cfRule>
  </conditionalFormatting>
  <conditionalFormatting sqref="L208">
    <cfRule type="expression" dxfId="947" priority="250" stopIfTrue="1">
      <formula>"esterreur(reference)"</formula>
    </cfRule>
  </conditionalFormatting>
  <conditionalFormatting sqref="L211:L224">
    <cfRule type="expression" dxfId="946" priority="249" stopIfTrue="1">
      <formula>"esterreur(reference)"</formula>
    </cfRule>
  </conditionalFormatting>
  <conditionalFormatting sqref="L225:L226">
    <cfRule type="expression" dxfId="945" priority="248" stopIfTrue="1">
      <formula>"esterreur(reference)"</formula>
    </cfRule>
  </conditionalFormatting>
  <conditionalFormatting sqref="L180">
    <cfRule type="expression" dxfId="944" priority="246" stopIfTrue="1">
      <formula>"esterreur(reference)"</formula>
    </cfRule>
  </conditionalFormatting>
  <conditionalFormatting sqref="L243">
    <cfRule type="expression" dxfId="943" priority="245" stopIfTrue="1">
      <formula>"esterreur(reference)"</formula>
    </cfRule>
  </conditionalFormatting>
  <conditionalFormatting sqref="L246">
    <cfRule type="expression" dxfId="942" priority="244" stopIfTrue="1">
      <formula>"esterreur(reference)"</formula>
    </cfRule>
  </conditionalFormatting>
  <conditionalFormatting sqref="L253">
    <cfRule type="expression" dxfId="941" priority="243" stopIfTrue="1">
      <formula>"esterreur(reference)"</formula>
    </cfRule>
  </conditionalFormatting>
  <conditionalFormatting sqref="L254">
    <cfRule type="expression" dxfId="940" priority="242" stopIfTrue="1">
      <formula>"esterreur(reference)"</formula>
    </cfRule>
  </conditionalFormatting>
  <conditionalFormatting sqref="L255">
    <cfRule type="expression" dxfId="939" priority="241" stopIfTrue="1">
      <formula>"esterreur(reference)"</formula>
    </cfRule>
  </conditionalFormatting>
  <conditionalFormatting sqref="L256">
    <cfRule type="expression" dxfId="938" priority="240" stopIfTrue="1">
      <formula>"esterreur(reference)"</formula>
    </cfRule>
  </conditionalFormatting>
  <conditionalFormatting sqref="L257">
    <cfRule type="expression" dxfId="937" priority="239" stopIfTrue="1">
      <formula>"esterreur(reference)"</formula>
    </cfRule>
  </conditionalFormatting>
  <conditionalFormatting sqref="L258">
    <cfRule type="expression" dxfId="936" priority="238" stopIfTrue="1">
      <formula>"esterreur(reference)"</formula>
    </cfRule>
  </conditionalFormatting>
  <conditionalFormatting sqref="L259">
    <cfRule type="expression" dxfId="935" priority="237" stopIfTrue="1">
      <formula>"esterreur(reference)"</formula>
    </cfRule>
  </conditionalFormatting>
  <conditionalFormatting sqref="L260">
    <cfRule type="expression" dxfId="934" priority="236" stopIfTrue="1">
      <formula>"esterreur(reference)"</formula>
    </cfRule>
  </conditionalFormatting>
  <conditionalFormatting sqref="L261">
    <cfRule type="expression" dxfId="933" priority="235" stopIfTrue="1">
      <formula>"esterreur(reference)"</formula>
    </cfRule>
  </conditionalFormatting>
  <conditionalFormatting sqref="L262">
    <cfRule type="expression" dxfId="932" priority="234" stopIfTrue="1">
      <formula>"esterreur(reference)"</formula>
    </cfRule>
  </conditionalFormatting>
  <conditionalFormatting sqref="L263:L264">
    <cfRule type="expression" dxfId="931" priority="233" stopIfTrue="1">
      <formula>"esterreur(reference)"</formula>
    </cfRule>
  </conditionalFormatting>
  <conditionalFormatting sqref="L268">
    <cfRule type="expression" dxfId="930" priority="231" stopIfTrue="1">
      <formula>"esterreur(reference)"</formula>
    </cfRule>
  </conditionalFormatting>
  <conditionalFormatting sqref="L267">
    <cfRule type="expression" dxfId="929" priority="232" stopIfTrue="1">
      <formula>"esterreur(reference)"</formula>
    </cfRule>
  </conditionalFormatting>
  <conditionalFormatting sqref="L269">
    <cfRule type="expression" dxfId="928" priority="230" stopIfTrue="1">
      <formula>"esterreur(reference)"</formula>
    </cfRule>
  </conditionalFormatting>
  <conditionalFormatting sqref="L270">
    <cfRule type="expression" dxfId="927" priority="229" stopIfTrue="1">
      <formula>"esterreur(reference)"</formula>
    </cfRule>
  </conditionalFormatting>
  <conditionalFormatting sqref="L272:L273">
    <cfRule type="expression" dxfId="926" priority="227" stopIfTrue="1">
      <formula>"esterreur(reference)"</formula>
    </cfRule>
  </conditionalFormatting>
  <conditionalFormatting sqref="L294:L300">
    <cfRule type="expression" dxfId="925" priority="225" stopIfTrue="1">
      <formula>"esterreur(reference)"</formula>
    </cfRule>
  </conditionalFormatting>
  <conditionalFormatting sqref="L301">
    <cfRule type="expression" dxfId="924" priority="224" stopIfTrue="1">
      <formula>"esterreur(reference)"</formula>
    </cfRule>
  </conditionalFormatting>
  <conditionalFormatting sqref="L302">
    <cfRule type="expression" dxfId="923" priority="223" stopIfTrue="1">
      <formula>"esterreur(reference)"</formula>
    </cfRule>
  </conditionalFormatting>
  <conditionalFormatting sqref="L306">
    <cfRule type="expression" dxfId="922" priority="222" stopIfTrue="1">
      <formula>"esterreur(reference)"</formula>
    </cfRule>
  </conditionalFormatting>
  <conditionalFormatting sqref="L307">
    <cfRule type="expression" dxfId="921" priority="221" stopIfTrue="1">
      <formula>"esterreur(reference)"</formula>
    </cfRule>
  </conditionalFormatting>
  <conditionalFormatting sqref="L311">
    <cfRule type="expression" dxfId="920" priority="220" stopIfTrue="1">
      <formula>"esterreur(reference)"</formula>
    </cfRule>
  </conditionalFormatting>
  <conditionalFormatting sqref="L317">
    <cfRule type="expression" dxfId="919" priority="219" stopIfTrue="1">
      <formula>"esterreur(reference)"</formula>
    </cfRule>
  </conditionalFormatting>
  <conditionalFormatting sqref="L318">
    <cfRule type="expression" dxfId="918" priority="218" stopIfTrue="1">
      <formula>"esterreur(reference)"</formula>
    </cfRule>
  </conditionalFormatting>
  <conditionalFormatting sqref="K5">
    <cfRule type="expression" dxfId="917" priority="212" stopIfTrue="1">
      <formula>"esterreur(reference)"</formula>
    </cfRule>
  </conditionalFormatting>
  <conditionalFormatting sqref="L5">
    <cfRule type="expression" dxfId="916" priority="211" stopIfTrue="1">
      <formula>"esterreur(reference)"</formula>
    </cfRule>
  </conditionalFormatting>
  <conditionalFormatting sqref="K182">
    <cfRule type="expression" dxfId="915" priority="210" stopIfTrue="1">
      <formula>"esterreur(reference)"</formula>
    </cfRule>
  </conditionalFormatting>
  <conditionalFormatting sqref="L93">
    <cfRule type="expression" dxfId="914" priority="209" stopIfTrue="1">
      <formula>"esterreur(reference)"</formula>
    </cfRule>
  </conditionalFormatting>
  <conditionalFormatting sqref="K171">
    <cfRule type="expression" dxfId="913" priority="208" stopIfTrue="1">
      <formula>"esterreur(reference)"</formula>
    </cfRule>
  </conditionalFormatting>
  <conditionalFormatting sqref="K174">
    <cfRule type="expression" dxfId="912" priority="207" stopIfTrue="1">
      <formula>"esterreur(reference)"</formula>
    </cfRule>
  </conditionalFormatting>
  <conditionalFormatting sqref="K177">
    <cfRule type="expression" dxfId="911" priority="206" stopIfTrue="1">
      <formula>"esterreur(reference)"</formula>
    </cfRule>
  </conditionalFormatting>
  <conditionalFormatting sqref="K180">
    <cfRule type="expression" dxfId="910" priority="205" stopIfTrue="1">
      <formula>"esterreur(reference)"</formula>
    </cfRule>
  </conditionalFormatting>
  <conditionalFormatting sqref="K240">
    <cfRule type="expression" dxfId="909" priority="204" stopIfTrue="1">
      <formula>"esterreur(reference)"</formula>
    </cfRule>
  </conditionalFormatting>
  <conditionalFormatting sqref="K243">
    <cfRule type="expression" dxfId="908" priority="203" stopIfTrue="1">
      <formula>"esterreur(reference)"</formula>
    </cfRule>
  </conditionalFormatting>
  <conditionalFormatting sqref="K246">
    <cfRule type="expression" dxfId="907" priority="202" stopIfTrue="1">
      <formula>"esterreur(reference)"</formula>
    </cfRule>
  </conditionalFormatting>
  <conditionalFormatting sqref="J306:J307">
    <cfRule type="expression" dxfId="906" priority="201" stopIfTrue="1">
      <formula>"esterreur(reference)"</formula>
    </cfRule>
  </conditionalFormatting>
  <conditionalFormatting sqref="K187">
    <cfRule type="expression" dxfId="905" priority="200" stopIfTrue="1">
      <formula>"esterreur(reference)"</formula>
    </cfRule>
  </conditionalFormatting>
  <conditionalFormatting sqref="K190">
    <cfRule type="expression" dxfId="904" priority="199" stopIfTrue="1">
      <formula>"esterreur(reference)"</formula>
    </cfRule>
  </conditionalFormatting>
  <conditionalFormatting sqref="J311">
    <cfRule type="expression" dxfId="903" priority="198" stopIfTrue="1">
      <formula>"esterreur(reference)"</formula>
    </cfRule>
  </conditionalFormatting>
  <conditionalFormatting sqref="L364:L375">
    <cfRule type="expression" dxfId="902" priority="197" stopIfTrue="1">
      <formula>"esterreur(reference)"</formula>
    </cfRule>
  </conditionalFormatting>
  <conditionalFormatting sqref="L377:L393">
    <cfRule type="expression" dxfId="901" priority="196" stopIfTrue="1">
      <formula>"esterreur(reference)"</formula>
    </cfRule>
  </conditionalFormatting>
  <conditionalFormatting sqref="K93">
    <cfRule type="expression" dxfId="900" priority="195" stopIfTrue="1">
      <formula>"esterreur(reference)"</formula>
    </cfRule>
  </conditionalFormatting>
  <conditionalFormatting sqref="L240">
    <cfRule type="expression" dxfId="899" priority="194" stopIfTrue="1">
      <formula>"esterreur(reference)"</formula>
    </cfRule>
  </conditionalFormatting>
  <conditionalFormatting sqref="K239">
    <cfRule type="expression" dxfId="898" priority="193" stopIfTrue="1">
      <formula>"esterreur(reference)"</formula>
    </cfRule>
  </conditionalFormatting>
  <conditionalFormatting sqref="L239">
    <cfRule type="expression" dxfId="897" priority="192" stopIfTrue="1">
      <formula>"esterreur(reference)"</formula>
    </cfRule>
  </conditionalFormatting>
  <conditionalFormatting sqref="F183">
    <cfRule type="expression" dxfId="896" priority="191" stopIfTrue="1">
      <formula>"esterreur(reference)"</formula>
    </cfRule>
  </conditionalFormatting>
  <conditionalFormatting sqref="J359">
    <cfRule type="expression" dxfId="895" priority="190" stopIfTrue="1">
      <formula>"esterreur(reference)"</formula>
    </cfRule>
  </conditionalFormatting>
  <conditionalFormatting sqref="L359">
    <cfRule type="expression" dxfId="894" priority="189" stopIfTrue="1">
      <formula>"esterreur(reference)"</formula>
    </cfRule>
  </conditionalFormatting>
  <conditionalFormatting sqref="S185">
    <cfRule type="expression" dxfId="893" priority="188" stopIfTrue="1">
      <formula>"esterreur(reference)"</formula>
    </cfRule>
  </conditionalFormatting>
  <conditionalFormatting sqref="K286">
    <cfRule type="expression" dxfId="892" priority="187" stopIfTrue="1">
      <formula>"esterreur(reference)"</formula>
    </cfRule>
  </conditionalFormatting>
  <conditionalFormatting sqref="AO408:AO413">
    <cfRule type="cellIs" dxfId="891" priority="186" operator="greaterThan">
      <formula>0</formula>
    </cfRule>
  </conditionalFormatting>
  <conditionalFormatting sqref="L71">
    <cfRule type="expression" dxfId="890" priority="185" stopIfTrue="1">
      <formula>"esterreur(reference)"</formula>
    </cfRule>
  </conditionalFormatting>
  <conditionalFormatting sqref="L210">
    <cfRule type="expression" dxfId="889" priority="182" stopIfTrue="1">
      <formula>"esterreur(reference)"</formula>
    </cfRule>
  </conditionalFormatting>
  <conditionalFormatting sqref="L122">
    <cfRule type="expression" dxfId="888" priority="184" stopIfTrue="1">
      <formula>"esterreur(reference)"</formula>
    </cfRule>
  </conditionalFormatting>
  <conditionalFormatting sqref="L266">
    <cfRule type="expression" dxfId="887" priority="181" stopIfTrue="1">
      <formula>"esterreur(reference)"</formula>
    </cfRule>
  </conditionalFormatting>
  <conditionalFormatting sqref="L135">
    <cfRule type="expression" dxfId="886" priority="183" stopIfTrue="1">
      <formula>"esterreur(reference)"</formula>
    </cfRule>
  </conditionalFormatting>
  <conditionalFormatting sqref="L330">
    <cfRule type="expression" dxfId="885" priority="180" stopIfTrue="1">
      <formula>"esterreur(reference)"</formula>
    </cfRule>
  </conditionalFormatting>
  <conditionalFormatting sqref="L75">
    <cfRule type="expression" dxfId="884" priority="179" stopIfTrue="1">
      <formula>"esterreur(reference)"</formula>
    </cfRule>
  </conditionalFormatting>
  <conditionalFormatting sqref="L60">
    <cfRule type="expression" dxfId="883" priority="177" stopIfTrue="1">
      <formula>"esterreur(reference)"</formula>
    </cfRule>
  </conditionalFormatting>
  <conditionalFormatting sqref="L59">
    <cfRule type="expression" dxfId="882" priority="178" stopIfTrue="1">
      <formula>"esterreur(reference)"</formula>
    </cfRule>
  </conditionalFormatting>
  <conditionalFormatting sqref="F5">
    <cfRule type="expression" dxfId="881" priority="176" stopIfTrue="1">
      <formula>"esterreur(reference)"</formula>
    </cfRule>
  </conditionalFormatting>
  <conditionalFormatting sqref="O25:Q30 Q18 O83:Q85 O41:Q41 O72:Q72 Q24 O13:O14 O16 O18:O24 O49:Q54 Q6:Q14 O31:P40 O42:P48">
    <cfRule type="expression" dxfId="880" priority="171" stopIfTrue="1">
      <formula>"esterreur(reference)"</formula>
    </cfRule>
  </conditionalFormatting>
  <conditionalFormatting sqref="P5">
    <cfRule type="expression" dxfId="879" priority="148" stopIfTrue="1">
      <formula>"esterreur(reference)"</formula>
    </cfRule>
  </conditionalFormatting>
  <conditionalFormatting sqref="Q32">
    <cfRule type="expression" dxfId="878" priority="166" stopIfTrue="1">
      <formula>"esterreur(reference)"</formula>
    </cfRule>
  </conditionalFormatting>
  <conditionalFormatting sqref="Q35">
    <cfRule type="expression" dxfId="877" priority="165" stopIfTrue="1">
      <formula>"esterreur(reference)"</formula>
    </cfRule>
  </conditionalFormatting>
  <conditionalFormatting sqref="O55:P56 O71:P71">
    <cfRule type="expression" dxfId="876" priority="172" stopIfTrue="1">
      <formula>"esterreur(reference)"</formula>
    </cfRule>
  </conditionalFormatting>
  <conditionalFormatting sqref="O61:P70">
    <cfRule type="expression" dxfId="875" priority="173" stopIfTrue="1">
      <formula>"esterreur(reference)"</formula>
    </cfRule>
  </conditionalFormatting>
  <conditionalFormatting sqref="O57:P59">
    <cfRule type="expression" dxfId="874" priority="174" stopIfTrue="1">
      <formula>"esterreur(reference)"</formula>
    </cfRule>
  </conditionalFormatting>
  <conditionalFormatting sqref="O60:P60">
    <cfRule type="expression" dxfId="873" priority="175" stopIfTrue="1">
      <formula>"esterreur(reference)"</formula>
    </cfRule>
  </conditionalFormatting>
  <conditionalFormatting sqref="Q19 Q21:Q23">
    <cfRule type="expression" dxfId="872" priority="169" stopIfTrue="1">
      <formula>"esterreur(reference)"</formula>
    </cfRule>
  </conditionalFormatting>
  <conditionalFormatting sqref="Q16:Q17">
    <cfRule type="expression" dxfId="871" priority="170" stopIfTrue="1">
      <formula>"esterreur(reference)"</formula>
    </cfRule>
  </conditionalFormatting>
  <conditionalFormatting sqref="Q20">
    <cfRule type="expression" dxfId="870" priority="168" stopIfTrue="1">
      <formula>"esterreur(reference)"</formula>
    </cfRule>
  </conditionalFormatting>
  <conditionalFormatting sqref="Q31 Q33:Q34">
    <cfRule type="expression" dxfId="869" priority="167" stopIfTrue="1">
      <formula>"esterreur(reference)"</formula>
    </cfRule>
  </conditionalFormatting>
  <conditionalFormatting sqref="Q42">
    <cfRule type="expression" dxfId="868" priority="164" stopIfTrue="1">
      <formula>"esterreur(reference)"</formula>
    </cfRule>
  </conditionalFormatting>
  <conditionalFormatting sqref="Q43">
    <cfRule type="expression" dxfId="867" priority="163" stopIfTrue="1">
      <formula>"esterreur(reference)"</formula>
    </cfRule>
  </conditionalFormatting>
  <conditionalFormatting sqref="Q44">
    <cfRule type="expression" dxfId="866" priority="162" stopIfTrue="1">
      <formula>"esterreur(reference)"</formula>
    </cfRule>
  </conditionalFormatting>
  <conditionalFormatting sqref="Q45:Q48">
    <cfRule type="expression" dxfId="865" priority="161" stopIfTrue="1">
      <formula>"esterreur(reference)"</formula>
    </cfRule>
  </conditionalFormatting>
  <conditionalFormatting sqref="Q55">
    <cfRule type="expression" dxfId="864" priority="160" stopIfTrue="1">
      <formula>"esterreur(reference)"</formula>
    </cfRule>
  </conditionalFormatting>
  <conditionalFormatting sqref="Q56">
    <cfRule type="expression" dxfId="863" priority="159" stopIfTrue="1">
      <formula>"esterreur(reference)"</formula>
    </cfRule>
  </conditionalFormatting>
  <conditionalFormatting sqref="Q58">
    <cfRule type="expression" dxfId="862" priority="158" stopIfTrue="1">
      <formula>"esterreur(reference)"</formula>
    </cfRule>
  </conditionalFormatting>
  <conditionalFormatting sqref="Q61">
    <cfRule type="expression" dxfId="861" priority="157" stopIfTrue="1">
      <formula>"esterreur(reference)"</formula>
    </cfRule>
  </conditionalFormatting>
  <conditionalFormatting sqref="Q63">
    <cfRule type="expression" dxfId="860" priority="156" stopIfTrue="1">
      <formula>"esterreur(reference)"</formula>
    </cfRule>
  </conditionalFormatting>
  <conditionalFormatting sqref="Q62">
    <cfRule type="expression" dxfId="859" priority="155" stopIfTrue="1">
      <formula>"esterreur(reference)"</formula>
    </cfRule>
  </conditionalFormatting>
  <conditionalFormatting sqref="Q64">
    <cfRule type="expression" dxfId="858" priority="154" stopIfTrue="1">
      <formula>"esterreur(reference)"</formula>
    </cfRule>
  </conditionalFormatting>
  <conditionalFormatting sqref="Q65">
    <cfRule type="expression" dxfId="857" priority="153" stopIfTrue="1">
      <formula>"esterreur(reference)"</formula>
    </cfRule>
  </conditionalFormatting>
  <conditionalFormatting sqref="Q66:Q69">
    <cfRule type="expression" dxfId="856" priority="152" stopIfTrue="1">
      <formula>"esterreur(reference)"</formula>
    </cfRule>
  </conditionalFormatting>
  <conditionalFormatting sqref="Q70">
    <cfRule type="expression" dxfId="855" priority="151" stopIfTrue="1">
      <formula>"esterreur(reference)"</formula>
    </cfRule>
  </conditionalFormatting>
  <conditionalFormatting sqref="Q75:Q82">
    <cfRule type="expression" dxfId="854" priority="150" stopIfTrue="1">
      <formula>"esterreur(reference)"</formula>
    </cfRule>
  </conditionalFormatting>
  <conditionalFormatting sqref="Q57">
    <cfRule type="expression" dxfId="853" priority="149" stopIfTrue="1">
      <formula>"esterreur(reference)"</formula>
    </cfRule>
  </conditionalFormatting>
  <conditionalFormatting sqref="Q5">
    <cfRule type="expression" dxfId="852" priority="147" stopIfTrue="1">
      <formula>"esterreur(reference)"</formula>
    </cfRule>
  </conditionalFormatting>
  <conditionalFormatting sqref="Q71">
    <cfRule type="expression" dxfId="851" priority="146" stopIfTrue="1">
      <formula>"esterreur(reference)"</formula>
    </cfRule>
  </conditionalFormatting>
  <conditionalFormatting sqref="Q60">
    <cfRule type="expression" dxfId="850" priority="144" stopIfTrue="1">
      <formula>"esterreur(reference)"</formula>
    </cfRule>
  </conditionalFormatting>
  <conditionalFormatting sqref="P98">
    <cfRule type="expression" dxfId="849" priority="143" stopIfTrue="1">
      <formula>"esterreur(reference)"</formula>
    </cfRule>
  </conditionalFormatting>
  <conditionalFormatting sqref="Q59">
    <cfRule type="expression" dxfId="848" priority="145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847" priority="139" stopIfTrue="1">
      <formula>"esterreur(reference)"</formula>
    </cfRule>
  </conditionalFormatting>
  <conditionalFormatting sqref="O141:P147">
    <cfRule type="expression" dxfId="846" priority="140" stopIfTrue="1">
      <formula>"esterreur(reference)"</formula>
    </cfRule>
  </conditionalFormatting>
  <conditionalFormatting sqref="O137:P139">
    <cfRule type="expression" dxfId="845" priority="141" stopIfTrue="1">
      <formula>"esterreur(reference)"</formula>
    </cfRule>
  </conditionalFormatting>
  <conditionalFormatting sqref="O140:P140">
    <cfRule type="expression" dxfId="844" priority="142" stopIfTrue="1">
      <formula>"esterreur(reference)"</formula>
    </cfRule>
  </conditionalFormatting>
  <conditionalFormatting sqref="Q94:Q95">
    <cfRule type="expression" dxfId="843" priority="138" stopIfTrue="1">
      <formula>"esterreur(reference)"</formula>
    </cfRule>
  </conditionalFormatting>
  <conditionalFormatting sqref="Q98">
    <cfRule type="expression" dxfId="842" priority="137" stopIfTrue="1">
      <formula>"esterreur(reference)"</formula>
    </cfRule>
  </conditionalFormatting>
  <conditionalFormatting sqref="Q99">
    <cfRule type="expression" dxfId="841" priority="136" stopIfTrue="1">
      <formula>"esterreur(reference)"</formula>
    </cfRule>
  </conditionalFormatting>
  <conditionalFormatting sqref="Q101">
    <cfRule type="expression" dxfId="840" priority="135" stopIfTrue="1">
      <formula>"esterreur(reference)"</formula>
    </cfRule>
  </conditionalFormatting>
  <conditionalFormatting sqref="Q102">
    <cfRule type="expression" dxfId="839" priority="134" stopIfTrue="1">
      <formula>"esterreur(reference)"</formula>
    </cfRule>
  </conditionalFormatting>
  <conditionalFormatting sqref="Q103">
    <cfRule type="expression" dxfId="838" priority="133" stopIfTrue="1">
      <formula>"esterreur(reference)"</formula>
    </cfRule>
  </conditionalFormatting>
  <conditionalFormatting sqref="Q111">
    <cfRule type="expression" dxfId="837" priority="132" stopIfTrue="1">
      <formula>"esterreur(reference)"</formula>
    </cfRule>
  </conditionalFormatting>
  <conditionalFormatting sqref="Q112">
    <cfRule type="expression" dxfId="836" priority="131" stopIfTrue="1">
      <formula>"esterreur(reference)"</formula>
    </cfRule>
  </conditionalFormatting>
  <conditionalFormatting sqref="Q114">
    <cfRule type="expression" dxfId="835" priority="130" stopIfTrue="1">
      <formula>"esterreur(reference)"</formula>
    </cfRule>
  </conditionalFormatting>
  <conditionalFormatting sqref="Q116:Q119">
    <cfRule type="expression" dxfId="834" priority="129" stopIfTrue="1">
      <formula>"esterreur(reference)"</formula>
    </cfRule>
  </conditionalFormatting>
  <conditionalFormatting sqref="Q120">
    <cfRule type="expression" dxfId="833" priority="128" stopIfTrue="1">
      <formula>"esterreur(reference)"</formula>
    </cfRule>
  </conditionalFormatting>
  <conditionalFormatting sqref="Q130">
    <cfRule type="expression" dxfId="832" priority="125" stopIfTrue="1">
      <formula>"esterreur(reference)"</formula>
    </cfRule>
  </conditionalFormatting>
  <conditionalFormatting sqref="Q124">
    <cfRule type="expression" dxfId="831" priority="127" stopIfTrue="1">
      <formula>"esterreur(reference)"</formula>
    </cfRule>
  </conditionalFormatting>
  <conditionalFormatting sqref="Q123">
    <cfRule type="expression" dxfId="830" priority="126" stopIfTrue="1">
      <formula>"esterreur(reference)"</formula>
    </cfRule>
  </conditionalFormatting>
  <conditionalFormatting sqref="Q139">
    <cfRule type="expression" dxfId="829" priority="118" stopIfTrue="1">
      <formula>"esterreur(reference)"</formula>
    </cfRule>
  </conditionalFormatting>
  <conditionalFormatting sqref="Q131">
    <cfRule type="expression" dxfId="828" priority="124" stopIfTrue="1">
      <formula>"esterreur(reference)"</formula>
    </cfRule>
  </conditionalFormatting>
  <conditionalFormatting sqref="Q132">
    <cfRule type="expression" dxfId="827" priority="123" stopIfTrue="1">
      <formula>"esterreur(reference)"</formula>
    </cfRule>
  </conditionalFormatting>
  <conditionalFormatting sqref="Q133">
    <cfRule type="expression" dxfId="826" priority="122" stopIfTrue="1">
      <formula>"esterreur(reference)"</formula>
    </cfRule>
  </conditionalFormatting>
  <conditionalFormatting sqref="Q141">
    <cfRule type="expression" dxfId="825" priority="116" stopIfTrue="1">
      <formula>"esterreur(reference)"</formula>
    </cfRule>
  </conditionalFormatting>
  <conditionalFormatting sqref="Q136">
    <cfRule type="expression" dxfId="824" priority="121" stopIfTrue="1">
      <formula>"esterreur(reference)"</formula>
    </cfRule>
  </conditionalFormatting>
  <conditionalFormatting sqref="Q137">
    <cfRule type="expression" dxfId="823" priority="120" stopIfTrue="1">
      <formula>"esterreur(reference)"</formula>
    </cfRule>
  </conditionalFormatting>
  <conditionalFormatting sqref="Q138">
    <cfRule type="expression" dxfId="822" priority="119" stopIfTrue="1">
      <formula>"esterreur(reference)"</formula>
    </cfRule>
  </conditionalFormatting>
  <conditionalFormatting sqref="Q143">
    <cfRule type="expression" dxfId="821" priority="114" stopIfTrue="1">
      <formula>"esterreur(reference)"</formula>
    </cfRule>
  </conditionalFormatting>
  <conditionalFormatting sqref="Q140">
    <cfRule type="expression" dxfId="820" priority="117" stopIfTrue="1">
      <formula>"esterreur(reference)"</formula>
    </cfRule>
  </conditionalFormatting>
  <conditionalFormatting sqref="Q142">
    <cfRule type="expression" dxfId="819" priority="115" stopIfTrue="1">
      <formula>"esterreur(reference)"</formula>
    </cfRule>
  </conditionalFormatting>
  <conditionalFormatting sqref="Q144">
    <cfRule type="expression" dxfId="818" priority="113" stopIfTrue="1">
      <formula>"esterreur(reference)"</formula>
    </cfRule>
  </conditionalFormatting>
  <conditionalFormatting sqref="Q145">
    <cfRule type="expression" dxfId="817" priority="112" stopIfTrue="1">
      <formula>"esterreur(reference)"</formula>
    </cfRule>
  </conditionalFormatting>
  <conditionalFormatting sqref="Q146">
    <cfRule type="expression" dxfId="816" priority="111" stopIfTrue="1">
      <formula>"esterreur(reference)"</formula>
    </cfRule>
  </conditionalFormatting>
  <conditionalFormatting sqref="Q147">
    <cfRule type="expression" dxfId="815" priority="110" stopIfTrue="1">
      <formula>"esterreur(reference)"</formula>
    </cfRule>
  </conditionalFormatting>
  <conditionalFormatting sqref="Q113">
    <cfRule type="expression" dxfId="814" priority="107" stopIfTrue="1">
      <formula>"esterreur(reference)"</formula>
    </cfRule>
  </conditionalFormatting>
  <conditionalFormatting sqref="Q155:Q161">
    <cfRule type="expression" dxfId="813" priority="109" stopIfTrue="1">
      <formula>"esterreur(reference)"</formula>
    </cfRule>
  </conditionalFormatting>
  <conditionalFormatting sqref="Q93">
    <cfRule type="expression" dxfId="812" priority="106" stopIfTrue="1">
      <formula>"esterreur(reference)"</formula>
    </cfRule>
  </conditionalFormatting>
  <conditionalFormatting sqref="Q115">
    <cfRule type="expression" dxfId="811" priority="108" stopIfTrue="1">
      <formula>"esterreur(reference)"</formula>
    </cfRule>
  </conditionalFormatting>
  <conditionalFormatting sqref="P93">
    <cfRule type="expression" dxfId="810" priority="105" stopIfTrue="1">
      <formula>"esterreur(reference)"</formula>
    </cfRule>
  </conditionalFormatting>
  <conditionalFormatting sqref="Q122">
    <cfRule type="expression" dxfId="809" priority="104" stopIfTrue="1">
      <formula>"esterreur(reference)"</formula>
    </cfRule>
  </conditionalFormatting>
  <conditionalFormatting sqref="Q135">
    <cfRule type="expression" dxfId="808" priority="103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807" priority="100" stopIfTrue="1">
      <formula>"esterreur(reference)"</formula>
    </cfRule>
  </conditionalFormatting>
  <conditionalFormatting sqref="O219:P224">
    <cfRule type="expression" dxfId="806" priority="101" stopIfTrue="1">
      <formula>"esterreur(reference)"</formula>
    </cfRule>
  </conditionalFormatting>
  <conditionalFormatting sqref="O196:Q196">
    <cfRule type="expression" dxfId="805" priority="102" stopIfTrue="1">
      <formula>"esterreur(reference)"</formula>
    </cfRule>
  </conditionalFormatting>
  <conditionalFormatting sqref="Q207">
    <cfRule type="expression" dxfId="804" priority="86" stopIfTrue="1">
      <formula>"esterreur(reference)"</formula>
    </cfRule>
  </conditionalFormatting>
  <conditionalFormatting sqref="Q227">
    <cfRule type="expression" dxfId="803" priority="82" stopIfTrue="1">
      <formula>"esterreur(reference)"</formula>
    </cfRule>
  </conditionalFormatting>
  <conditionalFormatting sqref="Q171">
    <cfRule type="expression" dxfId="802" priority="99" stopIfTrue="1">
      <formula>"esterreur(reference)"</formula>
    </cfRule>
  </conditionalFormatting>
  <conditionalFormatting sqref="Q174">
    <cfRule type="expression" dxfId="801" priority="98" stopIfTrue="1">
      <formula>"esterreur(reference)"</formula>
    </cfRule>
  </conditionalFormatting>
  <conditionalFormatting sqref="Q177">
    <cfRule type="expression" dxfId="800" priority="97" stopIfTrue="1">
      <formula>"esterreur(reference)"</formula>
    </cfRule>
  </conditionalFormatting>
  <conditionalFormatting sqref="Q183">
    <cfRule type="expression" dxfId="799" priority="96" stopIfTrue="1">
      <formula>"esterreur(reference)"</formula>
    </cfRule>
  </conditionalFormatting>
  <conditionalFormatting sqref="Q187">
    <cfRule type="expression" dxfId="798" priority="95" stopIfTrue="1">
      <formula>"esterreur(reference)"</formula>
    </cfRule>
  </conditionalFormatting>
  <conditionalFormatting sqref="Q197">
    <cfRule type="expression" dxfId="797" priority="94" stopIfTrue="1">
      <formula>"esterreur(reference)"</formula>
    </cfRule>
  </conditionalFormatting>
  <conditionalFormatting sqref="Q199">
    <cfRule type="expression" dxfId="796" priority="93" stopIfTrue="1">
      <formula>"esterreur(reference)"</formula>
    </cfRule>
  </conditionalFormatting>
  <conditionalFormatting sqref="Q198">
    <cfRule type="expression" dxfId="795" priority="92" stopIfTrue="1">
      <formula>"esterreur(reference)"</formula>
    </cfRule>
  </conditionalFormatting>
  <conditionalFormatting sqref="Q200">
    <cfRule type="expression" dxfId="794" priority="91" stopIfTrue="1">
      <formula>"esterreur(reference)"</formula>
    </cfRule>
  </conditionalFormatting>
  <conditionalFormatting sqref="Q201">
    <cfRule type="expression" dxfId="793" priority="90" stopIfTrue="1">
      <formula>"esterreur(reference)"</formula>
    </cfRule>
  </conditionalFormatting>
  <conditionalFormatting sqref="Q202:Q204">
    <cfRule type="expression" dxfId="792" priority="89" stopIfTrue="1">
      <formula>"esterreur(reference)"</formula>
    </cfRule>
  </conditionalFormatting>
  <conditionalFormatting sqref="Q206">
    <cfRule type="expression" dxfId="791" priority="87" stopIfTrue="1">
      <formula>"esterreur(reference)"</formula>
    </cfRule>
  </conditionalFormatting>
  <conditionalFormatting sqref="Q205">
    <cfRule type="expression" dxfId="790" priority="88" stopIfTrue="1">
      <formula>"esterreur(reference)"</formula>
    </cfRule>
  </conditionalFormatting>
  <conditionalFormatting sqref="Q208">
    <cfRule type="expression" dxfId="789" priority="85" stopIfTrue="1">
      <formula>"esterreur(reference)"</formula>
    </cfRule>
  </conditionalFormatting>
  <conditionalFormatting sqref="Q211:Q224">
    <cfRule type="expression" dxfId="788" priority="84" stopIfTrue="1">
      <formula>"esterreur(reference)"</formula>
    </cfRule>
  </conditionalFormatting>
  <conditionalFormatting sqref="Q225:Q226">
    <cfRule type="expression" dxfId="787" priority="83" stopIfTrue="1">
      <formula>"esterreur(reference)"</formula>
    </cfRule>
  </conditionalFormatting>
  <conditionalFormatting sqref="Q180">
    <cfRule type="expression" dxfId="786" priority="81" stopIfTrue="1">
      <formula>"esterreur(reference)"</formula>
    </cfRule>
  </conditionalFormatting>
  <conditionalFormatting sqref="P182">
    <cfRule type="expression" dxfId="785" priority="80" stopIfTrue="1">
      <formula>"esterreur(reference)"</formula>
    </cfRule>
  </conditionalFormatting>
  <conditionalFormatting sqref="P171">
    <cfRule type="expression" dxfId="784" priority="79" stopIfTrue="1">
      <formula>"esterreur(reference)"</formula>
    </cfRule>
  </conditionalFormatting>
  <conditionalFormatting sqref="P174">
    <cfRule type="expression" dxfId="783" priority="78" stopIfTrue="1">
      <formula>"esterreur(reference)"</formula>
    </cfRule>
  </conditionalFormatting>
  <conditionalFormatting sqref="P177">
    <cfRule type="expression" dxfId="782" priority="77" stopIfTrue="1">
      <formula>"esterreur(reference)"</formula>
    </cfRule>
  </conditionalFormatting>
  <conditionalFormatting sqref="P180">
    <cfRule type="expression" dxfId="781" priority="76" stopIfTrue="1">
      <formula>"esterreur(reference)"</formula>
    </cfRule>
  </conditionalFormatting>
  <conditionalFormatting sqref="P187">
    <cfRule type="expression" dxfId="780" priority="75" stopIfTrue="1">
      <formula>"esterreur(reference)"</formula>
    </cfRule>
  </conditionalFormatting>
  <conditionalFormatting sqref="P190">
    <cfRule type="expression" dxfId="779" priority="74" stopIfTrue="1">
      <formula>"esterreur(reference)"</formula>
    </cfRule>
  </conditionalFormatting>
  <conditionalFormatting sqref="Q210">
    <cfRule type="expression" dxfId="778" priority="73" stopIfTrue="1">
      <formula>"esterreur(reference)"</formula>
    </cfRule>
  </conditionalFormatting>
  <conditionalFormatting sqref="O287:Q287 O288:P288 O242:Q242 O251:Q252 O284:Q284 Q275:Q283 O253:P274">
    <cfRule type="expression" dxfId="777" priority="70" stopIfTrue="1">
      <formula>"esterreur(reference)"</formula>
    </cfRule>
  </conditionalFormatting>
  <conditionalFormatting sqref="O275:P280">
    <cfRule type="expression" dxfId="776" priority="71" stopIfTrue="1">
      <formula>"esterreur(reference)"</formula>
    </cfRule>
  </conditionalFormatting>
  <conditionalFormatting sqref="O281:P283">
    <cfRule type="expression" dxfId="775" priority="72" stopIfTrue="1">
      <formula>"esterreur(reference)"</formula>
    </cfRule>
  </conditionalFormatting>
  <conditionalFormatting sqref="Q271">
    <cfRule type="expression" dxfId="774" priority="52" stopIfTrue="1">
      <formula>"esterreur(reference)"</formula>
    </cfRule>
  </conditionalFormatting>
  <conditionalFormatting sqref="Q274">
    <cfRule type="expression" dxfId="773" priority="50" stopIfTrue="1">
      <formula>"esterreur(reference)"</formula>
    </cfRule>
  </conditionalFormatting>
  <conditionalFormatting sqref="Q243">
    <cfRule type="expression" dxfId="772" priority="69" stopIfTrue="1">
      <formula>"esterreur(reference)"</formula>
    </cfRule>
  </conditionalFormatting>
  <conditionalFormatting sqref="Q246">
    <cfRule type="expression" dxfId="771" priority="68" stopIfTrue="1">
      <formula>"esterreur(reference)"</formula>
    </cfRule>
  </conditionalFormatting>
  <conditionalFormatting sqref="Q253">
    <cfRule type="expression" dxfId="770" priority="67" stopIfTrue="1">
      <formula>"esterreur(reference)"</formula>
    </cfRule>
  </conditionalFormatting>
  <conditionalFormatting sqref="Q254">
    <cfRule type="expression" dxfId="769" priority="66" stopIfTrue="1">
      <formula>"esterreur(reference)"</formula>
    </cfRule>
  </conditionalFormatting>
  <conditionalFormatting sqref="Q255">
    <cfRule type="expression" dxfId="768" priority="65" stopIfTrue="1">
      <formula>"esterreur(reference)"</formula>
    </cfRule>
  </conditionalFormatting>
  <conditionalFormatting sqref="Q256">
    <cfRule type="expression" dxfId="767" priority="64" stopIfTrue="1">
      <formula>"esterreur(reference)"</formula>
    </cfRule>
  </conditionalFormatting>
  <conditionalFormatting sqref="Q257">
    <cfRule type="expression" dxfId="766" priority="63" stopIfTrue="1">
      <formula>"esterreur(reference)"</formula>
    </cfRule>
  </conditionalFormatting>
  <conditionalFormatting sqref="Q258">
    <cfRule type="expression" dxfId="765" priority="62" stopIfTrue="1">
      <formula>"esterreur(reference)"</formula>
    </cfRule>
  </conditionalFormatting>
  <conditionalFormatting sqref="Q259">
    <cfRule type="expression" dxfId="764" priority="61" stopIfTrue="1">
      <formula>"esterreur(reference)"</formula>
    </cfRule>
  </conditionalFormatting>
  <conditionalFormatting sqref="Q260">
    <cfRule type="expression" dxfId="763" priority="60" stopIfTrue="1">
      <formula>"esterreur(reference)"</formula>
    </cfRule>
  </conditionalFormatting>
  <conditionalFormatting sqref="Q261">
    <cfRule type="expression" dxfId="762" priority="59" stopIfTrue="1">
      <formula>"esterreur(reference)"</formula>
    </cfRule>
  </conditionalFormatting>
  <conditionalFormatting sqref="Q262">
    <cfRule type="expression" dxfId="761" priority="58" stopIfTrue="1">
      <formula>"esterreur(reference)"</formula>
    </cfRule>
  </conditionalFormatting>
  <conditionalFormatting sqref="Q263:Q264">
    <cfRule type="expression" dxfId="760" priority="57" stopIfTrue="1">
      <formula>"esterreur(reference)"</formula>
    </cfRule>
  </conditionalFormatting>
  <conditionalFormatting sqref="Q268">
    <cfRule type="expression" dxfId="759" priority="55" stopIfTrue="1">
      <formula>"esterreur(reference)"</formula>
    </cfRule>
  </conditionalFormatting>
  <conditionalFormatting sqref="Q267">
    <cfRule type="expression" dxfId="758" priority="56" stopIfTrue="1">
      <formula>"esterreur(reference)"</formula>
    </cfRule>
  </conditionalFormatting>
  <conditionalFormatting sqref="Q269">
    <cfRule type="expression" dxfId="757" priority="54" stopIfTrue="1">
      <formula>"esterreur(reference)"</formula>
    </cfRule>
  </conditionalFormatting>
  <conditionalFormatting sqref="Q270">
    <cfRule type="expression" dxfId="756" priority="53" stopIfTrue="1">
      <formula>"esterreur(reference)"</formula>
    </cfRule>
  </conditionalFormatting>
  <conditionalFormatting sqref="Q272:Q273">
    <cfRule type="expression" dxfId="755" priority="51" stopIfTrue="1">
      <formula>"esterreur(reference)"</formula>
    </cfRule>
  </conditionalFormatting>
  <conditionalFormatting sqref="P240">
    <cfRule type="expression" dxfId="754" priority="49" stopIfTrue="1">
      <formula>"esterreur(reference)"</formula>
    </cfRule>
  </conditionalFormatting>
  <conditionalFormatting sqref="P243">
    <cfRule type="expression" dxfId="753" priority="48" stopIfTrue="1">
      <formula>"esterreur(reference)"</formula>
    </cfRule>
  </conditionalFormatting>
  <conditionalFormatting sqref="P246">
    <cfRule type="expression" dxfId="752" priority="47" stopIfTrue="1">
      <formula>"esterreur(reference)"</formula>
    </cfRule>
  </conditionalFormatting>
  <conditionalFormatting sqref="Q240">
    <cfRule type="expression" dxfId="751" priority="46" stopIfTrue="1">
      <formula>"esterreur(reference)"</formula>
    </cfRule>
  </conditionalFormatting>
  <conditionalFormatting sqref="P286">
    <cfRule type="expression" dxfId="750" priority="45" stopIfTrue="1">
      <formula>"esterreur(reference)"</formula>
    </cfRule>
  </conditionalFormatting>
  <conditionalFormatting sqref="Q266">
    <cfRule type="expression" dxfId="749" priority="44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748" priority="42" stopIfTrue="1">
      <formula>"esterreur(reference)"</formula>
    </cfRule>
  </conditionalFormatting>
  <conditionalFormatting sqref="O316:Q316">
    <cfRule type="expression" dxfId="747" priority="43" stopIfTrue="1">
      <formula>"esterreur(reference)"</formula>
    </cfRule>
  </conditionalFormatting>
  <conditionalFormatting sqref="Q331:Q347">
    <cfRule type="expression" dxfId="746" priority="29" stopIfTrue="1">
      <formula>"esterreur(reference)"</formula>
    </cfRule>
  </conditionalFormatting>
  <conditionalFormatting sqref="Q325">
    <cfRule type="expression" dxfId="745" priority="33" stopIfTrue="1">
      <formula>"esterreur(reference)"</formula>
    </cfRule>
  </conditionalFormatting>
  <conditionalFormatting sqref="Q326">
    <cfRule type="expression" dxfId="744" priority="32" stopIfTrue="1">
      <formula>"esterreur(reference)"</formula>
    </cfRule>
  </conditionalFormatting>
  <conditionalFormatting sqref="Q327">
    <cfRule type="expression" dxfId="743" priority="31" stopIfTrue="1">
      <formula>"esterreur(reference)"</formula>
    </cfRule>
  </conditionalFormatting>
  <conditionalFormatting sqref="Q328">
    <cfRule type="expression" dxfId="742" priority="30" stopIfTrue="1">
      <formula>"esterreur(reference)"</formula>
    </cfRule>
  </conditionalFormatting>
  <conditionalFormatting sqref="Q294:Q300">
    <cfRule type="expression" dxfId="741" priority="41" stopIfTrue="1">
      <formula>"esterreur(reference)"</formula>
    </cfRule>
  </conditionalFormatting>
  <conditionalFormatting sqref="Q301">
    <cfRule type="expression" dxfId="740" priority="40" stopIfTrue="1">
      <formula>"esterreur(reference)"</formula>
    </cfRule>
  </conditionalFormatting>
  <conditionalFormatting sqref="Q302">
    <cfRule type="expression" dxfId="739" priority="39" stopIfTrue="1">
      <formula>"esterreur(reference)"</formula>
    </cfRule>
  </conditionalFormatting>
  <conditionalFormatting sqref="Q306">
    <cfRule type="expression" dxfId="738" priority="38" stopIfTrue="1">
      <formula>"esterreur(reference)"</formula>
    </cfRule>
  </conditionalFormatting>
  <conditionalFormatting sqref="Q307">
    <cfRule type="expression" dxfId="737" priority="37" stopIfTrue="1">
      <formula>"esterreur(reference)"</formula>
    </cfRule>
  </conditionalFormatting>
  <conditionalFormatting sqref="Q311">
    <cfRule type="expression" dxfId="736" priority="36" stopIfTrue="1">
      <formula>"esterreur(reference)"</formula>
    </cfRule>
  </conditionalFormatting>
  <conditionalFormatting sqref="Q317">
    <cfRule type="expression" dxfId="735" priority="35" stopIfTrue="1">
      <formula>"esterreur(reference)"</formula>
    </cfRule>
  </conditionalFormatting>
  <conditionalFormatting sqref="Q318">
    <cfRule type="expression" dxfId="734" priority="34" stopIfTrue="1">
      <formula>"esterreur(reference)"</formula>
    </cfRule>
  </conditionalFormatting>
  <conditionalFormatting sqref="O306:O307">
    <cfRule type="expression" dxfId="733" priority="28" stopIfTrue="1">
      <formula>"esterreur(reference)"</formula>
    </cfRule>
  </conditionalFormatting>
  <conditionalFormatting sqref="O311">
    <cfRule type="expression" dxfId="732" priority="27" stopIfTrue="1">
      <formula>"esterreur(reference)"</formula>
    </cfRule>
  </conditionalFormatting>
  <conditionalFormatting sqref="Q330">
    <cfRule type="expression" dxfId="731" priority="26" stopIfTrue="1">
      <formula>"esterreur(reference)"</formula>
    </cfRule>
  </conditionalFormatting>
  <conditionalFormatting sqref="O363:Q363 O364:P375">
    <cfRule type="expression" dxfId="730" priority="20" stopIfTrue="1">
      <formula>"esterreur(reference)"</formula>
    </cfRule>
  </conditionalFormatting>
  <conditionalFormatting sqref="O358:Q358">
    <cfRule type="expression" dxfId="729" priority="21" stopIfTrue="1">
      <formula>"esterreur(reference)"</formula>
    </cfRule>
  </conditionalFormatting>
  <conditionalFormatting sqref="O376:Q376 O377:P392">
    <cfRule type="expression" dxfId="728" priority="22" stopIfTrue="1">
      <formula>"esterreur(reference)"</formula>
    </cfRule>
  </conditionalFormatting>
  <conditionalFormatting sqref="O395:Q398 O393:P393">
    <cfRule type="expression" dxfId="727" priority="23" stopIfTrue="1">
      <formula>"esterreur(reference)"</formula>
    </cfRule>
  </conditionalFormatting>
  <conditionalFormatting sqref="O360:Q362 P359">
    <cfRule type="expression" dxfId="726" priority="24" stopIfTrue="1">
      <formula>"esterreur(reference)"</formula>
    </cfRule>
  </conditionalFormatting>
  <conditionalFormatting sqref="P394">
    <cfRule type="expression" dxfId="725" priority="25" stopIfTrue="1">
      <formula>"esterreur(reference)"</formula>
    </cfRule>
  </conditionalFormatting>
  <conditionalFormatting sqref="Q364:Q375">
    <cfRule type="expression" dxfId="724" priority="19" stopIfTrue="1">
      <formula>"esterreur(reference)"</formula>
    </cfRule>
  </conditionalFormatting>
  <conditionalFormatting sqref="Q377:Q393">
    <cfRule type="expression" dxfId="723" priority="18" stopIfTrue="1">
      <formula>"esterreur(reference)"</formula>
    </cfRule>
  </conditionalFormatting>
  <conditionalFormatting sqref="O359">
    <cfRule type="expression" dxfId="722" priority="17" stopIfTrue="1">
      <formula>"esterreur(reference)"</formula>
    </cfRule>
  </conditionalFormatting>
  <conditionalFormatting sqref="Q359">
    <cfRule type="expression" dxfId="721" priority="16" stopIfTrue="1">
      <formula>"esterreur(reference)"</formula>
    </cfRule>
  </conditionalFormatting>
  <conditionalFormatting sqref="Q36:Q40">
    <cfRule type="expression" dxfId="720" priority="15" stopIfTrue="1">
      <formula>"esterreur(reference)"</formula>
    </cfRule>
  </conditionalFormatting>
  <conditionalFormatting sqref="L68">
    <cfRule type="expression" dxfId="719" priority="14" stopIfTrue="1">
      <formula>"esterreur(reference)"</formula>
    </cfRule>
  </conditionalFormatting>
  <conditionalFormatting sqref="Q149:Q151">
    <cfRule type="expression" dxfId="718" priority="6" stopIfTrue="1">
      <formula>"esterreur(reference)"</formula>
    </cfRule>
  </conditionalFormatting>
  <conditionalFormatting sqref="H148 J148:K148">
    <cfRule type="expression" dxfId="717" priority="13" stopIfTrue="1">
      <formula>"esterreur(reference)"</formula>
    </cfRule>
  </conditionalFormatting>
  <conditionalFormatting sqref="L148">
    <cfRule type="expression" dxfId="716" priority="12" stopIfTrue="1">
      <formula>"esterreur(reference)"</formula>
    </cfRule>
  </conditionalFormatting>
  <conditionalFormatting sqref="O148:P148">
    <cfRule type="expression" dxfId="715" priority="11" stopIfTrue="1">
      <formula>"esterreur(reference)"</formula>
    </cfRule>
  </conditionalFormatting>
  <conditionalFormatting sqref="Q148">
    <cfRule type="expression" dxfId="714" priority="10" stopIfTrue="1">
      <formula>"esterreur(reference)"</formula>
    </cfRule>
  </conditionalFormatting>
  <conditionalFormatting sqref="H149:H151 J149:K151">
    <cfRule type="expression" dxfId="713" priority="9" stopIfTrue="1">
      <formula>"esterreur(reference)"</formula>
    </cfRule>
  </conditionalFormatting>
  <conditionalFormatting sqref="L149:L151">
    <cfRule type="expression" dxfId="712" priority="8" stopIfTrue="1">
      <formula>"esterreur(reference)"</formula>
    </cfRule>
  </conditionalFormatting>
  <conditionalFormatting sqref="O149:P151">
    <cfRule type="expression" dxfId="711" priority="7" stopIfTrue="1">
      <formula>"esterreur(reference)"</formula>
    </cfRule>
  </conditionalFormatting>
  <conditionalFormatting sqref="L158:L161">
    <cfRule type="expression" dxfId="710" priority="5" stopIfTrue="1">
      <formula>"esterreur(reference)"</formula>
    </cfRule>
  </conditionalFormatting>
  <conditionalFormatting sqref="AG414:AI417">
    <cfRule type="cellIs" dxfId="709" priority="4" operator="greaterThan">
      <formula>0</formula>
    </cfRule>
  </conditionalFormatting>
  <conditionalFormatting sqref="AO414:AO417">
    <cfRule type="cellIs" dxfId="708" priority="3" operator="greaterThan">
      <formula>0</formula>
    </cfRule>
  </conditionalFormatting>
  <conditionalFormatting sqref="G31:G32">
    <cfRule type="expression" dxfId="707" priority="2" stopIfTrue="1">
      <formula>"esterreur(reference)"</formula>
    </cfRule>
  </conditionalFormatting>
  <conditionalFormatting sqref="G111:G112">
    <cfRule type="expression" dxfId="706" priority="1" stopIfTrue="1">
      <formula>"esterreur(reference)"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697"/>
  <sheetViews>
    <sheetView zoomScale="60" zoomScaleNormal="60" workbookViewId="0"/>
  </sheetViews>
  <sheetFormatPr baseColWidth="10" defaultColWidth="12.59765625" defaultRowHeight="15" customHeight="1"/>
  <cols>
    <col min="1" max="1" width="24.09765625" style="493" customWidth="1"/>
    <col min="2" max="2" width="36" style="493" customWidth="1"/>
    <col min="3" max="3" width="34.59765625" style="493" customWidth="1"/>
    <col min="4" max="4" width="16.3984375" style="493" customWidth="1"/>
    <col min="5" max="5" width="15.59765625" style="493" customWidth="1"/>
    <col min="6" max="6" width="16.8984375" style="493" customWidth="1"/>
    <col min="7" max="7" width="17.69921875" style="493" customWidth="1"/>
    <col min="8" max="8" width="15.59765625" style="493" customWidth="1"/>
    <col min="9" max="9" width="15.8984375" style="493" customWidth="1"/>
    <col min="10" max="10" width="16.69921875" style="493" customWidth="1"/>
    <col min="11" max="11" width="14.5" style="493" customWidth="1"/>
    <col min="12" max="12" width="15.8984375" style="493" customWidth="1"/>
    <col min="13" max="13" width="13.59765625" style="493" customWidth="1"/>
    <col min="14" max="14" width="18.59765625" style="493" customWidth="1"/>
    <col min="15" max="15" width="16.3984375" style="493" customWidth="1"/>
    <col min="16" max="16" width="15.59765625" style="493" customWidth="1"/>
    <col min="17" max="17" width="16.3984375" style="493" customWidth="1"/>
    <col min="18" max="18" width="13.8984375" style="493" customWidth="1"/>
    <col min="19" max="19" width="18.59765625" style="493" customWidth="1"/>
    <col min="20" max="20" width="3" style="493" customWidth="1"/>
    <col min="21" max="21" width="13.09765625" style="493" customWidth="1"/>
    <col min="22" max="22" width="28.69921875" style="493" customWidth="1"/>
    <col min="23" max="23" width="12.19921875" style="493" customWidth="1"/>
    <col min="24" max="24" width="17.69921875" style="493" customWidth="1"/>
    <col min="25" max="25" width="10" style="493" customWidth="1"/>
    <col min="26" max="26" width="17.3984375" style="493" customWidth="1"/>
    <col min="27" max="27" width="10.8984375" style="493" customWidth="1"/>
    <col min="28" max="28" width="10" style="493" customWidth="1"/>
    <col min="29" max="29" width="17.5" style="493" customWidth="1"/>
    <col min="30" max="30" width="10.8984375" style="493" customWidth="1"/>
    <col min="31" max="31" width="12" style="493" customWidth="1"/>
    <col min="32" max="32" width="18.8984375" style="493" customWidth="1"/>
    <col min="33" max="33" width="10.8984375" style="493" customWidth="1"/>
    <col min="34" max="34" width="16.19921875" style="493" customWidth="1"/>
    <col min="35" max="35" width="12.3984375" style="493" customWidth="1"/>
    <col min="36" max="36" width="10.8984375" style="493" customWidth="1"/>
    <col min="37" max="37" width="10" style="493" customWidth="1"/>
    <col min="38" max="38" width="17.5" style="493" customWidth="1"/>
    <col min="39" max="39" width="10.8984375" style="493" customWidth="1"/>
    <col min="40" max="40" width="16" style="493" customWidth="1"/>
    <col min="41" max="41" width="12.3984375" style="493" customWidth="1"/>
    <col min="42" max="62" width="11" style="493" customWidth="1"/>
    <col min="63" max="16384" width="12.59765625" style="493"/>
  </cols>
  <sheetData>
    <row r="1" spans="1:40" ht="35.4">
      <c r="B1" s="494"/>
      <c r="C1" s="494" t="s">
        <v>228</v>
      </c>
      <c r="D1" s="2"/>
      <c r="E1" s="2"/>
      <c r="F1" s="2"/>
      <c r="G1" s="2"/>
      <c r="H1" s="494"/>
      <c r="I1" s="2"/>
      <c r="J1" s="494"/>
      <c r="K1" s="3" t="s">
        <v>0</v>
      </c>
      <c r="L1" s="2"/>
      <c r="M1" s="2"/>
      <c r="N1" s="495"/>
      <c r="O1" s="494"/>
      <c r="P1" s="2"/>
      <c r="Q1" s="494"/>
      <c r="R1" s="2"/>
      <c r="S1" s="5" t="s">
        <v>496</v>
      </c>
      <c r="T1" s="2" t="s">
        <v>1</v>
      </c>
      <c r="U1" s="496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</row>
    <row r="2" spans="1:40" ht="15" customHeight="1" thickBot="1">
      <c r="B2" s="49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217</v>
      </c>
      <c r="K2" s="9"/>
      <c r="L2" s="9" t="s">
        <v>214</v>
      </c>
      <c r="M2" s="498"/>
      <c r="N2" s="498"/>
      <c r="O2" s="9" t="s">
        <v>217</v>
      </c>
      <c r="P2" s="9"/>
      <c r="Q2" s="9" t="s">
        <v>214</v>
      </c>
      <c r="R2" s="498"/>
      <c r="S2" s="498"/>
      <c r="T2" s="498"/>
      <c r="U2" s="498"/>
      <c r="V2" s="493" t="s">
        <v>230</v>
      </c>
    </row>
    <row r="3" spans="1:40" ht="21.6" thickTop="1">
      <c r="B3" s="499"/>
      <c r="C3" s="500"/>
      <c r="D3" s="488" t="s">
        <v>5</v>
      </c>
      <c r="E3" s="501"/>
      <c r="F3" s="502"/>
      <c r="G3" s="489" t="s">
        <v>6</v>
      </c>
      <c r="H3" s="501"/>
      <c r="I3" s="502"/>
      <c r="J3" s="489" t="s">
        <v>7</v>
      </c>
      <c r="K3" s="501"/>
      <c r="L3" s="502"/>
      <c r="M3" s="489" t="s">
        <v>8</v>
      </c>
      <c r="N3" s="502"/>
      <c r="O3" s="488" t="s">
        <v>9</v>
      </c>
      <c r="P3" s="501"/>
      <c r="Q3" s="502"/>
      <c r="R3" s="489" t="s">
        <v>10</v>
      </c>
      <c r="S3" s="503"/>
      <c r="T3" s="504"/>
      <c r="U3" s="504"/>
      <c r="V3" s="493" t="s">
        <v>222</v>
      </c>
      <c r="W3" s="505">
        <v>0.45</v>
      </c>
      <c r="X3" s="499"/>
      <c r="Y3" s="499"/>
      <c r="Z3" s="499"/>
      <c r="AA3" s="499"/>
      <c r="AB3" s="499"/>
      <c r="AC3" s="499"/>
      <c r="AD3" s="499"/>
      <c r="AE3" s="499"/>
      <c r="AF3" s="499"/>
      <c r="AG3" s="499"/>
      <c r="AH3" s="499"/>
      <c r="AI3" s="499"/>
      <c r="AJ3" s="499"/>
      <c r="AK3" s="499"/>
      <c r="AL3" s="499"/>
      <c r="AM3" s="499"/>
      <c r="AN3" s="499"/>
    </row>
    <row r="4" spans="1:40" ht="20.399999999999999">
      <c r="B4" s="499"/>
      <c r="C4" s="506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504"/>
      <c r="U4" s="504"/>
      <c r="V4" s="493" t="s">
        <v>223</v>
      </c>
      <c r="W4" s="505">
        <v>0.1</v>
      </c>
      <c r="X4" s="499"/>
      <c r="Y4" s="499"/>
      <c r="Z4" s="499"/>
      <c r="AA4" s="499"/>
      <c r="AB4" s="499"/>
      <c r="AC4" s="499"/>
      <c r="AD4" s="499"/>
      <c r="AE4" s="499"/>
      <c r="AF4" s="499"/>
      <c r="AG4" s="499"/>
      <c r="AH4" s="499"/>
      <c r="AI4" s="499"/>
      <c r="AJ4" s="499"/>
      <c r="AK4" s="499"/>
      <c r="AL4" s="499"/>
      <c r="AM4" s="499"/>
      <c r="AN4" s="499"/>
    </row>
    <row r="5" spans="1:40" ht="20.399999999999999">
      <c r="A5" s="493" t="s">
        <v>231</v>
      </c>
      <c r="B5" s="499" t="s">
        <v>0</v>
      </c>
      <c r="C5" s="507" t="s">
        <v>16</v>
      </c>
      <c r="D5" s="22"/>
      <c r="E5" s="22"/>
      <c r="F5" s="508">
        <v>3809901.4647436189</v>
      </c>
      <c r="G5" s="509"/>
      <c r="H5" s="22"/>
      <c r="I5" s="25">
        <v>3809901.4647436189</v>
      </c>
      <c r="J5" s="509"/>
      <c r="K5" s="510"/>
      <c r="L5" s="508">
        <v>2400932.7400000002</v>
      </c>
      <c r="M5" s="27"/>
      <c r="N5" s="28"/>
      <c r="O5" s="509"/>
      <c r="P5" s="510"/>
      <c r="Q5" s="508">
        <v>3829078.5799999996</v>
      </c>
      <c r="R5" s="27"/>
      <c r="S5" s="29"/>
      <c r="T5" s="504"/>
      <c r="U5" s="504"/>
      <c r="V5" s="511" t="s">
        <v>218</v>
      </c>
      <c r="W5" s="512">
        <v>0.22500000000000001</v>
      </c>
      <c r="X5" s="499"/>
      <c r="Y5" s="499"/>
      <c r="Z5" s="499"/>
      <c r="AA5" s="499"/>
      <c r="AB5" s="499"/>
      <c r="AC5" s="499"/>
      <c r="AD5" s="499"/>
      <c r="AE5" s="499"/>
      <c r="AF5" s="499"/>
      <c r="AG5" s="499"/>
      <c r="AH5" s="499"/>
      <c r="AI5" s="499"/>
      <c r="AJ5" s="499"/>
      <c r="AK5" s="499"/>
      <c r="AL5" s="499"/>
      <c r="AM5" s="499"/>
      <c r="AN5" s="499"/>
    </row>
    <row r="6" spans="1:40" ht="20.399999999999999">
      <c r="A6" s="493" t="s">
        <v>232</v>
      </c>
      <c r="B6" s="499" t="s">
        <v>0</v>
      </c>
      <c r="C6" s="513" t="s">
        <v>17</v>
      </c>
      <c r="D6" s="514">
        <v>19.431325301204819</v>
      </c>
      <c r="E6" s="514">
        <v>1450.6297619047618</v>
      </c>
      <c r="F6" s="514">
        <v>28187.65879518072</v>
      </c>
      <c r="G6" s="515">
        <v>19.431325301204819</v>
      </c>
      <c r="H6" s="514">
        <v>1450.6297619047618</v>
      </c>
      <c r="I6" s="514">
        <v>28187.65879518072</v>
      </c>
      <c r="J6" s="515">
        <v>7</v>
      </c>
      <c r="K6" s="514">
        <v>3196.7428571428609</v>
      </c>
      <c r="L6" s="516">
        <v>22377.200000000026</v>
      </c>
      <c r="M6" s="515">
        <v>-12.431325301204819</v>
      </c>
      <c r="N6" s="517">
        <v>-5810.4587951806934</v>
      </c>
      <c r="O6" s="515">
        <v>25</v>
      </c>
      <c r="P6" s="514">
        <v>1020.8359999999963</v>
      </c>
      <c r="Q6" s="516">
        <v>25520.899999999907</v>
      </c>
      <c r="R6" s="515">
        <v>-18</v>
      </c>
      <c r="S6" s="518">
        <v>-3143.6999999998807</v>
      </c>
      <c r="T6" s="504"/>
      <c r="U6" s="504"/>
      <c r="V6" s="511" t="s">
        <v>224</v>
      </c>
      <c r="W6" s="512">
        <v>2.5000000000000001E-2</v>
      </c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</row>
    <row r="7" spans="1:40" ht="20.399999999999999">
      <c r="A7" s="493" t="s">
        <v>233</v>
      </c>
      <c r="B7" s="499" t="s">
        <v>0</v>
      </c>
      <c r="C7" s="513" t="s">
        <v>18</v>
      </c>
      <c r="D7" s="514">
        <v>67.084337349397586</v>
      </c>
      <c r="E7" s="514">
        <v>2081.8275862068967</v>
      </c>
      <c r="F7" s="514">
        <v>139658.02409638555</v>
      </c>
      <c r="G7" s="515">
        <v>67.084337349397586</v>
      </c>
      <c r="H7" s="514">
        <v>2081.8275862068967</v>
      </c>
      <c r="I7" s="514">
        <v>139658.02409638555</v>
      </c>
      <c r="J7" s="515">
        <v>36</v>
      </c>
      <c r="K7" s="514">
        <v>3783.5983333333311</v>
      </c>
      <c r="L7" s="516">
        <v>136209.53999999992</v>
      </c>
      <c r="M7" s="515">
        <v>-31.084337349397586</v>
      </c>
      <c r="N7" s="517">
        <v>-3448.4840963856259</v>
      </c>
      <c r="O7" s="515">
        <v>58</v>
      </c>
      <c r="P7" s="514">
        <v>2126.4851724137952</v>
      </c>
      <c r="Q7" s="516">
        <v>123336.14000000013</v>
      </c>
      <c r="R7" s="515">
        <v>-22</v>
      </c>
      <c r="S7" s="518">
        <v>12873.39999999979</v>
      </c>
      <c r="T7" s="504"/>
      <c r="U7" s="504"/>
      <c r="V7" s="493" t="s">
        <v>225</v>
      </c>
      <c r="W7" s="505">
        <v>0.2</v>
      </c>
      <c r="X7" s="499"/>
      <c r="Y7" s="499"/>
      <c r="Z7" s="499"/>
      <c r="AA7" s="499"/>
      <c r="AB7" s="499"/>
      <c r="AC7" s="499"/>
      <c r="AD7" s="499"/>
      <c r="AE7" s="499"/>
      <c r="AF7" s="499"/>
      <c r="AG7" s="499"/>
      <c r="AH7" s="499"/>
      <c r="AI7" s="499"/>
      <c r="AJ7" s="499"/>
      <c r="AK7" s="499"/>
      <c r="AL7" s="499"/>
      <c r="AM7" s="499"/>
      <c r="AN7" s="499"/>
    </row>
    <row r="8" spans="1:40" ht="20.399999999999999">
      <c r="A8" s="493" t="s">
        <v>234</v>
      </c>
      <c r="B8" s="499" t="s">
        <v>0</v>
      </c>
      <c r="C8" s="513" t="s">
        <v>19</v>
      </c>
      <c r="D8" s="514">
        <v>0</v>
      </c>
      <c r="E8" s="514">
        <v>0</v>
      </c>
      <c r="F8" s="514">
        <v>0</v>
      </c>
      <c r="G8" s="515">
        <v>0</v>
      </c>
      <c r="H8" s="514">
        <v>0</v>
      </c>
      <c r="I8" s="514">
        <v>0</v>
      </c>
      <c r="J8" s="515">
        <v>0</v>
      </c>
      <c r="K8" s="514">
        <v>0</v>
      </c>
      <c r="L8" s="516">
        <v>0</v>
      </c>
      <c r="M8" s="515">
        <v>0</v>
      </c>
      <c r="N8" s="517">
        <v>0</v>
      </c>
      <c r="O8" s="515">
        <v>0</v>
      </c>
      <c r="P8" s="514">
        <v>0</v>
      </c>
      <c r="Q8" s="516">
        <v>0</v>
      </c>
      <c r="R8" s="515">
        <v>0</v>
      </c>
      <c r="S8" s="518">
        <v>0</v>
      </c>
      <c r="T8" s="504"/>
      <c r="U8" s="504"/>
      <c r="W8" s="505">
        <v>1</v>
      </c>
      <c r="X8" s="499"/>
      <c r="Y8" s="499"/>
      <c r="Z8" s="499"/>
      <c r="AA8" s="499"/>
      <c r="AB8" s="499"/>
      <c r="AC8" s="499"/>
      <c r="AD8" s="499"/>
      <c r="AE8" s="499"/>
      <c r="AF8" s="499"/>
      <c r="AG8" s="499"/>
      <c r="AH8" s="499"/>
      <c r="AI8" s="499"/>
      <c r="AJ8" s="499"/>
      <c r="AK8" s="499"/>
      <c r="AL8" s="499"/>
      <c r="AM8" s="499"/>
      <c r="AN8" s="499"/>
    </row>
    <row r="9" spans="1:40" ht="20.399999999999999">
      <c r="A9" s="493" t="s">
        <v>235</v>
      </c>
      <c r="B9" s="499" t="s">
        <v>0</v>
      </c>
      <c r="C9" s="513" t="s">
        <v>20</v>
      </c>
      <c r="D9" s="514">
        <v>0</v>
      </c>
      <c r="E9" s="514">
        <v>0</v>
      </c>
      <c r="F9" s="514">
        <v>0</v>
      </c>
      <c r="G9" s="515">
        <v>0</v>
      </c>
      <c r="H9" s="514">
        <v>0</v>
      </c>
      <c r="I9" s="514">
        <v>0</v>
      </c>
      <c r="J9" s="515">
        <v>0</v>
      </c>
      <c r="K9" s="514">
        <v>0</v>
      </c>
      <c r="L9" s="516">
        <v>0</v>
      </c>
      <c r="M9" s="515">
        <v>0</v>
      </c>
      <c r="N9" s="517">
        <v>0</v>
      </c>
      <c r="O9" s="515">
        <v>0</v>
      </c>
      <c r="P9" s="514">
        <v>0</v>
      </c>
      <c r="Q9" s="516">
        <v>0</v>
      </c>
      <c r="R9" s="515">
        <v>0</v>
      </c>
      <c r="S9" s="518">
        <v>0</v>
      </c>
      <c r="T9" s="504"/>
      <c r="U9" s="504"/>
      <c r="V9" s="499"/>
      <c r="W9" s="499"/>
      <c r="X9" s="499"/>
      <c r="Y9" s="499"/>
      <c r="Z9" s="499"/>
      <c r="AA9" s="499"/>
      <c r="AB9" s="499"/>
      <c r="AC9" s="499"/>
      <c r="AD9" s="499"/>
      <c r="AE9" s="499"/>
      <c r="AF9" s="499"/>
      <c r="AG9" s="499"/>
      <c r="AH9" s="499"/>
      <c r="AI9" s="499"/>
      <c r="AJ9" s="499"/>
      <c r="AK9" s="499"/>
      <c r="AL9" s="499"/>
      <c r="AM9" s="499"/>
      <c r="AN9" s="499"/>
    </row>
    <row r="10" spans="1:40" ht="20.399999999999999" hidden="1">
      <c r="A10" s="493" t="s">
        <v>236</v>
      </c>
      <c r="B10" s="499" t="s">
        <v>0</v>
      </c>
      <c r="C10" s="513" t="s">
        <v>21</v>
      </c>
      <c r="D10" s="514">
        <v>0</v>
      </c>
      <c r="E10" s="514">
        <v>0</v>
      </c>
      <c r="F10" s="514">
        <v>0</v>
      </c>
      <c r="G10" s="515">
        <v>0</v>
      </c>
      <c r="H10" s="514">
        <v>0</v>
      </c>
      <c r="I10" s="514">
        <v>0</v>
      </c>
      <c r="J10" s="515">
        <v>0</v>
      </c>
      <c r="K10" s="514">
        <v>0</v>
      </c>
      <c r="L10" s="516">
        <v>0</v>
      </c>
      <c r="M10" s="515">
        <v>0</v>
      </c>
      <c r="N10" s="517">
        <v>0</v>
      </c>
      <c r="O10" s="515">
        <v>0</v>
      </c>
      <c r="P10" s="514">
        <v>0</v>
      </c>
      <c r="Q10" s="516">
        <v>0</v>
      </c>
      <c r="R10" s="515">
        <v>0</v>
      </c>
      <c r="S10" s="518">
        <v>0</v>
      </c>
      <c r="T10" s="504"/>
      <c r="U10" s="504"/>
      <c r="V10" s="499"/>
      <c r="W10" s="499"/>
      <c r="X10" s="499"/>
      <c r="Y10" s="499"/>
      <c r="Z10" s="499"/>
      <c r="AA10" s="499"/>
      <c r="AB10" s="499"/>
      <c r="AC10" s="499"/>
      <c r="AD10" s="499"/>
      <c r="AE10" s="499"/>
      <c r="AF10" s="499"/>
      <c r="AG10" s="499"/>
      <c r="AH10" s="499"/>
      <c r="AI10" s="499"/>
      <c r="AJ10" s="499"/>
      <c r="AK10" s="499"/>
      <c r="AL10" s="499"/>
      <c r="AM10" s="499"/>
      <c r="AN10" s="499"/>
    </row>
    <row r="11" spans="1:40" ht="20.399999999999999" hidden="1">
      <c r="A11" s="493" t="s">
        <v>236</v>
      </c>
      <c r="B11" s="499" t="s">
        <v>0</v>
      </c>
      <c r="C11" s="513" t="s">
        <v>21</v>
      </c>
      <c r="D11" s="514">
        <v>0</v>
      </c>
      <c r="E11" s="514">
        <v>0</v>
      </c>
      <c r="F11" s="514">
        <v>0</v>
      </c>
      <c r="G11" s="515">
        <v>0</v>
      </c>
      <c r="H11" s="514">
        <v>0</v>
      </c>
      <c r="I11" s="514">
        <v>0</v>
      </c>
      <c r="J11" s="515">
        <v>0</v>
      </c>
      <c r="K11" s="514">
        <v>0</v>
      </c>
      <c r="L11" s="516">
        <v>0</v>
      </c>
      <c r="M11" s="515">
        <v>0</v>
      </c>
      <c r="N11" s="517">
        <v>0</v>
      </c>
      <c r="O11" s="515">
        <v>0</v>
      </c>
      <c r="P11" s="514">
        <v>0</v>
      </c>
      <c r="Q11" s="516">
        <v>0</v>
      </c>
      <c r="R11" s="515">
        <v>0</v>
      </c>
      <c r="S11" s="518">
        <v>0</v>
      </c>
      <c r="T11" s="504"/>
      <c r="U11" s="504"/>
      <c r="V11" s="499"/>
      <c r="W11" s="499"/>
      <c r="X11" s="499"/>
      <c r="Y11" s="499"/>
      <c r="Z11" s="499"/>
      <c r="AA11" s="499"/>
      <c r="AB11" s="499"/>
      <c r="AC11" s="499"/>
      <c r="AD11" s="499"/>
      <c r="AE11" s="499"/>
      <c r="AF11" s="499"/>
      <c r="AG11" s="499"/>
      <c r="AH11" s="499"/>
      <c r="AI11" s="499"/>
      <c r="AJ11" s="499"/>
      <c r="AK11" s="499"/>
      <c r="AL11" s="499"/>
      <c r="AM11" s="499"/>
      <c r="AN11" s="499"/>
    </row>
    <row r="12" spans="1:40" ht="20.399999999999999" hidden="1">
      <c r="A12" s="493" t="s">
        <v>236</v>
      </c>
      <c r="B12" s="499" t="s">
        <v>0</v>
      </c>
      <c r="C12" s="513" t="s">
        <v>21</v>
      </c>
      <c r="D12" s="514">
        <v>0</v>
      </c>
      <c r="E12" s="514">
        <v>0</v>
      </c>
      <c r="F12" s="514">
        <v>0</v>
      </c>
      <c r="G12" s="515">
        <v>0</v>
      </c>
      <c r="H12" s="514">
        <v>0</v>
      </c>
      <c r="I12" s="514">
        <v>0</v>
      </c>
      <c r="J12" s="515">
        <v>0</v>
      </c>
      <c r="K12" s="514">
        <v>0</v>
      </c>
      <c r="L12" s="516">
        <v>0</v>
      </c>
      <c r="M12" s="515">
        <v>0</v>
      </c>
      <c r="N12" s="517">
        <v>0</v>
      </c>
      <c r="O12" s="515">
        <v>0</v>
      </c>
      <c r="P12" s="514">
        <v>0</v>
      </c>
      <c r="Q12" s="516">
        <v>0</v>
      </c>
      <c r="R12" s="515">
        <v>0</v>
      </c>
      <c r="S12" s="518">
        <v>0</v>
      </c>
      <c r="T12" s="504"/>
      <c r="U12" s="504"/>
      <c r="V12" s="499"/>
      <c r="W12" s="499"/>
      <c r="X12" s="499"/>
      <c r="Y12" s="499"/>
      <c r="Z12" s="499"/>
      <c r="AA12" s="499"/>
      <c r="AB12" s="499"/>
      <c r="AC12" s="499"/>
      <c r="AD12" s="499"/>
      <c r="AE12" s="499"/>
      <c r="AF12" s="499"/>
      <c r="AG12" s="499"/>
      <c r="AH12" s="499"/>
      <c r="AI12" s="499"/>
      <c r="AJ12" s="499"/>
      <c r="AK12" s="499"/>
      <c r="AL12" s="499"/>
      <c r="AM12" s="499"/>
      <c r="AN12" s="499"/>
    </row>
    <row r="13" spans="1:40" ht="21">
      <c r="A13" s="493" t="s">
        <v>237</v>
      </c>
      <c r="B13" s="499" t="s">
        <v>0</v>
      </c>
      <c r="C13" s="519" t="s">
        <v>22</v>
      </c>
      <c r="D13" s="520">
        <v>86.515662650602408</v>
      </c>
      <c r="E13" s="520">
        <v>1940.0612299465242</v>
      </c>
      <c r="F13" s="521">
        <v>167845.68289156628</v>
      </c>
      <c r="G13" s="522">
        <v>86.515662650602408</v>
      </c>
      <c r="H13" s="520">
        <v>1940.0612299465242</v>
      </c>
      <c r="I13" s="521">
        <v>167845.68289156628</v>
      </c>
      <c r="J13" s="522">
        <v>43</v>
      </c>
      <c r="K13" s="520">
        <v>3688.0637209302308</v>
      </c>
      <c r="L13" s="521">
        <v>158586.73999999993</v>
      </c>
      <c r="M13" s="522">
        <v>-43.515662650602408</v>
      </c>
      <c r="N13" s="521">
        <v>-9258.9428915663193</v>
      </c>
      <c r="O13" s="522">
        <v>83</v>
      </c>
      <c r="P13" s="520">
        <v>1793.4583132530124</v>
      </c>
      <c r="Q13" s="521">
        <v>148857.04000000004</v>
      </c>
      <c r="R13" s="522">
        <v>-40</v>
      </c>
      <c r="S13" s="523">
        <v>9729.6999999999098</v>
      </c>
      <c r="T13" s="504"/>
      <c r="U13" s="504"/>
      <c r="V13" s="499"/>
      <c r="W13" s="499"/>
      <c r="X13" s="499"/>
      <c r="Y13" s="499"/>
      <c r="Z13" s="499"/>
      <c r="AA13" s="499"/>
      <c r="AB13" s="499"/>
      <c r="AC13" s="499"/>
      <c r="AD13" s="499"/>
      <c r="AE13" s="499"/>
      <c r="AF13" s="499"/>
      <c r="AG13" s="499"/>
      <c r="AH13" s="499"/>
      <c r="AI13" s="499"/>
      <c r="AJ13" s="499"/>
      <c r="AK13" s="499"/>
      <c r="AL13" s="499"/>
      <c r="AM13" s="499"/>
      <c r="AN13" s="499"/>
    </row>
    <row r="14" spans="1:40" ht="21">
      <c r="A14" s="493" t="s">
        <v>0</v>
      </c>
      <c r="B14" s="499" t="s">
        <v>0</v>
      </c>
      <c r="C14" s="513"/>
      <c r="D14" s="504"/>
      <c r="E14" s="514"/>
      <c r="F14" s="524"/>
      <c r="G14" s="525"/>
      <c r="H14" s="514"/>
      <c r="I14" s="524"/>
      <c r="J14" s="525"/>
      <c r="K14" s="514"/>
      <c r="L14" s="524"/>
      <c r="M14" s="526"/>
      <c r="N14" s="527"/>
      <c r="O14" s="525"/>
      <c r="P14" s="514"/>
      <c r="Q14" s="524"/>
      <c r="R14" s="526">
        <v>-0.48192771084337349</v>
      </c>
      <c r="S14" s="528">
        <v>6.5362713110511311E-2</v>
      </c>
      <c r="T14" s="504"/>
      <c r="U14" s="504"/>
      <c r="V14" s="499"/>
      <c r="W14" s="499"/>
      <c r="X14" s="499"/>
      <c r="Y14" s="499"/>
      <c r="Z14" s="499"/>
      <c r="AA14" s="499"/>
      <c r="AB14" s="499"/>
      <c r="AC14" s="499"/>
      <c r="AD14" s="499"/>
      <c r="AE14" s="499"/>
      <c r="AF14" s="499"/>
      <c r="AG14" s="499"/>
      <c r="AH14" s="499"/>
      <c r="AI14" s="499"/>
      <c r="AJ14" s="499"/>
      <c r="AK14" s="499"/>
      <c r="AL14" s="499"/>
      <c r="AM14" s="499"/>
      <c r="AN14" s="499"/>
    </row>
    <row r="15" spans="1:40" ht="21">
      <c r="A15" s="493" t="s">
        <v>238</v>
      </c>
      <c r="B15" s="499" t="s">
        <v>0</v>
      </c>
      <c r="C15" s="529" t="s">
        <v>23</v>
      </c>
      <c r="D15" s="510">
        <v>8.0963855421686741</v>
      </c>
      <c r="E15" s="510">
        <v>1386.1016187312014</v>
      </c>
      <c r="F15" s="508">
        <v>11222.413105871894</v>
      </c>
      <c r="G15" s="530">
        <v>8.0963855421686741</v>
      </c>
      <c r="H15" s="531">
        <v>1386.1016187312014</v>
      </c>
      <c r="I15" s="532">
        <v>11222.413105871894</v>
      </c>
      <c r="J15" s="533">
        <v>3</v>
      </c>
      <c r="K15" s="534">
        <v>5865.1166666666686</v>
      </c>
      <c r="L15" s="534">
        <v>17595.350000000006</v>
      </c>
      <c r="M15" s="535">
        <v>-5.0963855421686741</v>
      </c>
      <c r="N15" s="532">
        <v>6372.9368941281118</v>
      </c>
      <c r="O15" s="533">
        <v>4</v>
      </c>
      <c r="P15" s="534">
        <v>2427.2750000000015</v>
      </c>
      <c r="Q15" s="534">
        <v>9709.1000000000058</v>
      </c>
      <c r="R15" s="535">
        <v>-1</v>
      </c>
      <c r="S15" s="536">
        <v>7886.25</v>
      </c>
      <c r="T15" s="504"/>
      <c r="U15" s="504"/>
      <c r="V15" s="537"/>
      <c r="W15" s="499"/>
      <c r="X15" s="499"/>
      <c r="Y15" s="499"/>
      <c r="Z15" s="499"/>
      <c r="AA15" s="499"/>
      <c r="AB15" s="499"/>
      <c r="AC15" s="499"/>
      <c r="AD15" s="499"/>
      <c r="AE15" s="499"/>
      <c r="AF15" s="499"/>
      <c r="AG15" s="499"/>
      <c r="AH15" s="499"/>
      <c r="AI15" s="499"/>
      <c r="AJ15" s="499"/>
      <c r="AK15" s="499"/>
      <c r="AL15" s="499"/>
      <c r="AM15" s="499"/>
      <c r="AN15" s="499"/>
    </row>
    <row r="16" spans="1:40" ht="21">
      <c r="A16" s="493" t="s">
        <v>0</v>
      </c>
      <c r="B16" s="499" t="s">
        <v>0</v>
      </c>
      <c r="C16" s="513"/>
      <c r="D16" s="504"/>
      <c r="E16" s="514"/>
      <c r="F16" s="524"/>
      <c r="G16" s="525"/>
      <c r="H16" s="514"/>
      <c r="I16" s="524"/>
      <c r="J16" s="525"/>
      <c r="K16" s="514"/>
      <c r="L16" s="517"/>
      <c r="M16" s="526"/>
      <c r="N16" s="527"/>
      <c r="O16" s="525"/>
      <c r="P16" s="514"/>
      <c r="Q16" s="517"/>
      <c r="R16" s="526"/>
      <c r="S16" s="528"/>
      <c r="T16" s="504"/>
      <c r="U16" s="504"/>
      <c r="V16" s="499"/>
      <c r="W16" s="499"/>
      <c r="X16" s="499"/>
      <c r="Y16" s="499"/>
      <c r="Z16" s="499"/>
      <c r="AA16" s="499"/>
      <c r="AB16" s="499"/>
      <c r="AC16" s="499"/>
      <c r="AD16" s="499"/>
      <c r="AE16" s="499"/>
      <c r="AF16" s="499"/>
      <c r="AG16" s="499"/>
      <c r="AH16" s="499"/>
      <c r="AI16" s="499"/>
      <c r="AJ16" s="499"/>
      <c r="AK16" s="499"/>
      <c r="AL16" s="499"/>
      <c r="AM16" s="499"/>
      <c r="AN16" s="499"/>
    </row>
    <row r="17" spans="1:40" ht="21">
      <c r="A17" s="493" t="s">
        <v>239</v>
      </c>
      <c r="B17" s="499" t="s">
        <v>0</v>
      </c>
      <c r="C17" s="538" t="s">
        <v>24</v>
      </c>
      <c r="D17" s="514">
        <v>1.456384323640961</v>
      </c>
      <c r="E17" s="514">
        <v>1938.8731623598242</v>
      </c>
      <c r="F17" s="514">
        <v>2823.7444791890239</v>
      </c>
      <c r="G17" s="515">
        <v>1.456384323640961</v>
      </c>
      <c r="H17" s="514">
        <v>1938.8731623598242</v>
      </c>
      <c r="I17" s="514">
        <v>2823.7444791890239</v>
      </c>
      <c r="J17" s="535">
        <v>0</v>
      </c>
      <c r="K17" s="514">
        <v>0</v>
      </c>
      <c r="L17" s="517">
        <v>0</v>
      </c>
      <c r="M17" s="535">
        <v>-1.456384323640961</v>
      </c>
      <c r="N17" s="517">
        <v>-2823.7444791890239</v>
      </c>
      <c r="O17" s="535">
        <v>4</v>
      </c>
      <c r="P17" s="514">
        <v>2789.6125000000029</v>
      </c>
      <c r="Q17" s="517">
        <v>11158.450000000012</v>
      </c>
      <c r="R17" s="515">
        <v>-4</v>
      </c>
      <c r="S17" s="518">
        <v>-11158.450000000012</v>
      </c>
      <c r="T17" s="504"/>
      <c r="U17" s="504"/>
      <c r="V17" s="499"/>
      <c r="W17" s="499"/>
      <c r="X17" s="499"/>
      <c r="Y17" s="499"/>
      <c r="Z17" s="499"/>
      <c r="AA17" s="499"/>
      <c r="AB17" s="499"/>
      <c r="AC17" s="499"/>
      <c r="AD17" s="499"/>
      <c r="AE17" s="499"/>
      <c r="AF17" s="499"/>
      <c r="AG17" s="499"/>
      <c r="AH17" s="499"/>
      <c r="AI17" s="499"/>
      <c r="AJ17" s="499"/>
      <c r="AK17" s="499"/>
      <c r="AL17" s="499"/>
      <c r="AM17" s="499"/>
      <c r="AN17" s="499"/>
    </row>
    <row r="18" spans="1:40" ht="21">
      <c r="A18" s="493" t="s">
        <v>0</v>
      </c>
      <c r="B18" s="499" t="s">
        <v>0</v>
      </c>
      <c r="C18" s="519"/>
      <c r="D18" s="539"/>
      <c r="E18" s="539"/>
      <c r="F18" s="540"/>
      <c r="G18" s="541"/>
      <c r="H18" s="539"/>
      <c r="I18" s="540"/>
      <c r="J18" s="515"/>
      <c r="K18" s="539"/>
      <c r="L18" s="540"/>
      <c r="M18" s="515"/>
      <c r="N18" s="540"/>
      <c r="O18" s="515"/>
      <c r="P18" s="539"/>
      <c r="Q18" s="540"/>
      <c r="R18" s="541"/>
      <c r="S18" s="542"/>
      <c r="T18" s="504"/>
      <c r="U18" s="504"/>
      <c r="V18" s="499"/>
      <c r="W18" s="499"/>
      <c r="X18" s="499"/>
      <c r="Y18" s="499"/>
      <c r="Z18" s="499"/>
      <c r="AA18" s="499"/>
      <c r="AB18" s="499"/>
      <c r="AC18" s="499"/>
      <c r="AD18" s="499"/>
      <c r="AE18" s="499"/>
      <c r="AF18" s="499"/>
      <c r="AG18" s="499"/>
      <c r="AH18" s="499"/>
      <c r="AI18" s="499"/>
      <c r="AJ18" s="499"/>
      <c r="AK18" s="499"/>
      <c r="AL18" s="499"/>
      <c r="AM18" s="499"/>
      <c r="AN18" s="499"/>
    </row>
    <row r="19" spans="1:40" ht="21">
      <c r="A19" s="493" t="s">
        <v>240</v>
      </c>
      <c r="B19" s="499" t="s">
        <v>0</v>
      </c>
      <c r="C19" s="529" t="s">
        <v>25</v>
      </c>
      <c r="D19" s="514">
        <v>0</v>
      </c>
      <c r="E19" s="514">
        <v>0</v>
      </c>
      <c r="F19" s="514">
        <v>8416.038959999998</v>
      </c>
      <c r="G19" s="515">
        <v>0</v>
      </c>
      <c r="H19" s="514">
        <v>0</v>
      </c>
      <c r="I19" s="514">
        <v>8416.038959999998</v>
      </c>
      <c r="J19" s="530"/>
      <c r="K19" s="514"/>
      <c r="L19" s="517">
        <v>10153.059999999998</v>
      </c>
      <c r="M19" s="515"/>
      <c r="N19" s="517">
        <v>1737.0210399999996</v>
      </c>
      <c r="O19" s="530"/>
      <c r="P19" s="514"/>
      <c r="Q19" s="517">
        <v>6141.9900000000198</v>
      </c>
      <c r="R19" s="515">
        <v>0</v>
      </c>
      <c r="S19" s="518">
        <v>4011.0699999999779</v>
      </c>
      <c r="T19" s="504"/>
      <c r="U19" s="504"/>
      <c r="V19" s="537"/>
      <c r="W19" s="537"/>
      <c r="X19" s="543"/>
      <c r="Y19" s="499"/>
      <c r="Z19" s="499"/>
      <c r="AA19" s="499"/>
      <c r="AB19" s="499"/>
      <c r="AC19" s="499"/>
      <c r="AD19" s="499"/>
      <c r="AE19" s="499"/>
      <c r="AF19" s="499"/>
      <c r="AG19" s="499"/>
      <c r="AH19" s="499"/>
      <c r="AI19" s="499"/>
      <c r="AJ19" s="499"/>
      <c r="AK19" s="499"/>
      <c r="AL19" s="499"/>
      <c r="AM19" s="499"/>
      <c r="AN19" s="499"/>
    </row>
    <row r="20" spans="1:40" ht="21">
      <c r="A20" s="493" t="s">
        <v>0</v>
      </c>
      <c r="B20" s="499" t="s">
        <v>0</v>
      </c>
      <c r="C20" s="519"/>
      <c r="D20" s="539"/>
      <c r="E20" s="539"/>
      <c r="F20" s="540"/>
      <c r="G20" s="541"/>
      <c r="H20" s="539"/>
      <c r="I20" s="540"/>
      <c r="J20" s="515"/>
      <c r="K20" s="539"/>
      <c r="L20" s="540"/>
      <c r="M20" s="541"/>
      <c r="N20" s="540"/>
      <c r="O20" s="515"/>
      <c r="P20" s="539"/>
      <c r="Q20" s="540"/>
      <c r="R20" s="541"/>
      <c r="S20" s="542"/>
      <c r="T20" s="504"/>
      <c r="U20" s="504"/>
      <c r="V20" s="537"/>
      <c r="W20" s="537"/>
      <c r="X20" s="543"/>
      <c r="Y20" s="499"/>
      <c r="Z20" s="499"/>
      <c r="AA20" s="499"/>
      <c r="AB20" s="499"/>
      <c r="AC20" s="499"/>
      <c r="AD20" s="499"/>
      <c r="AE20" s="499"/>
      <c r="AF20" s="499"/>
      <c r="AG20" s="499"/>
      <c r="AH20" s="499"/>
      <c r="AI20" s="499"/>
      <c r="AJ20" s="499"/>
      <c r="AK20" s="499"/>
      <c r="AL20" s="499"/>
      <c r="AM20" s="499"/>
      <c r="AN20" s="499"/>
    </row>
    <row r="21" spans="1:40" ht="15.75" customHeight="1">
      <c r="A21" s="493" t="s">
        <v>241</v>
      </c>
      <c r="B21" s="499" t="s">
        <v>0</v>
      </c>
      <c r="C21" s="513" t="s">
        <v>26</v>
      </c>
      <c r="D21" s="514">
        <v>0</v>
      </c>
      <c r="E21" s="514">
        <v>0</v>
      </c>
      <c r="F21" s="514">
        <v>2831.1484952484525</v>
      </c>
      <c r="G21" s="525">
        <v>0</v>
      </c>
      <c r="H21" s="514">
        <v>0</v>
      </c>
      <c r="I21" s="514">
        <v>2831.1484952484525</v>
      </c>
      <c r="J21" s="515"/>
      <c r="K21" s="514">
        <v>235.93391304347824</v>
      </c>
      <c r="L21" s="517">
        <v>10852.96</v>
      </c>
      <c r="M21" s="515"/>
      <c r="N21" s="517">
        <v>8021.8115047515466</v>
      </c>
      <c r="O21" s="515"/>
      <c r="P21" s="514">
        <v>0</v>
      </c>
      <c r="Q21" s="517">
        <v>0</v>
      </c>
      <c r="R21" s="515">
        <v>-235.93391304347824</v>
      </c>
      <c r="S21" s="518">
        <v>10852.96</v>
      </c>
      <c r="T21" s="504"/>
      <c r="U21" s="504"/>
      <c r="V21" s="499"/>
      <c r="W21" s="499"/>
      <c r="X21" s="499"/>
      <c r="Y21" s="499"/>
      <c r="Z21" s="499"/>
      <c r="AA21" s="499"/>
      <c r="AB21" s="499"/>
      <c r="AC21" s="499"/>
      <c r="AD21" s="499"/>
      <c r="AE21" s="499"/>
      <c r="AF21" s="499"/>
      <c r="AG21" s="499"/>
      <c r="AH21" s="499"/>
      <c r="AI21" s="499"/>
      <c r="AJ21" s="499"/>
      <c r="AK21" s="499"/>
      <c r="AL21" s="499"/>
      <c r="AM21" s="499"/>
      <c r="AN21" s="499"/>
    </row>
    <row r="22" spans="1:40" ht="18" customHeight="1">
      <c r="A22" s="493" t="s">
        <v>242</v>
      </c>
      <c r="B22" s="499" t="s">
        <v>0</v>
      </c>
      <c r="C22" s="513" t="s">
        <v>27</v>
      </c>
      <c r="D22" s="514">
        <v>0</v>
      </c>
      <c r="E22" s="514">
        <v>0</v>
      </c>
      <c r="F22" s="514">
        <v>75715.125898060665</v>
      </c>
      <c r="G22" s="525">
        <v>0</v>
      </c>
      <c r="H22" s="514">
        <v>0</v>
      </c>
      <c r="I22" s="514">
        <v>75715.125898060665</v>
      </c>
      <c r="J22" s="515"/>
      <c r="K22" s="514">
        <v>1009.41</v>
      </c>
      <c r="L22" s="517">
        <v>46432.86</v>
      </c>
      <c r="M22" s="515"/>
      <c r="N22" s="517">
        <v>-29282.265898060665</v>
      </c>
      <c r="O22" s="515"/>
      <c r="P22" s="514">
        <v>765.23471264367811</v>
      </c>
      <c r="Q22" s="517">
        <v>66575.42</v>
      </c>
      <c r="R22" s="515">
        <v>-1009.41</v>
      </c>
      <c r="S22" s="518">
        <v>-20142.559999999998</v>
      </c>
      <c r="T22" s="504"/>
      <c r="U22" s="504"/>
      <c r="V22" s="499"/>
      <c r="W22" s="499"/>
      <c r="X22" s="499"/>
      <c r="Y22" s="499"/>
      <c r="Z22" s="499"/>
      <c r="AA22" s="499"/>
      <c r="AB22" s="499"/>
      <c r="AC22" s="499"/>
      <c r="AD22" s="499"/>
      <c r="AE22" s="499"/>
      <c r="AF22" s="499"/>
      <c r="AG22" s="499"/>
      <c r="AH22" s="499"/>
      <c r="AI22" s="499"/>
      <c r="AJ22" s="499"/>
      <c r="AK22" s="499"/>
      <c r="AL22" s="499"/>
      <c r="AM22" s="499"/>
      <c r="AN22" s="499"/>
    </row>
    <row r="23" spans="1:40" ht="19.5" customHeight="1">
      <c r="A23" s="493" t="s">
        <v>243</v>
      </c>
      <c r="B23" s="499" t="s">
        <v>0</v>
      </c>
      <c r="C23" s="513" t="s">
        <v>28</v>
      </c>
      <c r="D23" s="514">
        <v>0</v>
      </c>
      <c r="E23" s="514">
        <v>0</v>
      </c>
      <c r="F23" s="514">
        <v>1873.9665705463003</v>
      </c>
      <c r="G23" s="525">
        <v>0</v>
      </c>
      <c r="H23" s="514">
        <v>0</v>
      </c>
      <c r="I23" s="514">
        <v>1873.9665705463003</v>
      </c>
      <c r="J23" s="515"/>
      <c r="K23" s="514">
        <v>6.1243478260869573</v>
      </c>
      <c r="L23" s="517">
        <v>281.72000000000003</v>
      </c>
      <c r="M23" s="535"/>
      <c r="N23" s="517">
        <v>-1592.2465705463003</v>
      </c>
      <c r="O23" s="515"/>
      <c r="P23" s="514">
        <v>18.082413793103449</v>
      </c>
      <c r="Q23" s="517">
        <v>1573.17</v>
      </c>
      <c r="R23" s="515">
        <v>-6.1243478260869573</v>
      </c>
      <c r="S23" s="518">
        <v>-1291.45</v>
      </c>
      <c r="T23" s="504"/>
      <c r="U23" s="504"/>
      <c r="V23" s="499"/>
      <c r="W23" s="499"/>
      <c r="X23" s="499"/>
      <c r="Y23" s="499"/>
      <c r="Z23" s="499"/>
      <c r="AA23" s="499"/>
      <c r="AB23" s="499"/>
      <c r="AC23" s="499"/>
      <c r="AD23" s="499"/>
      <c r="AE23" s="499"/>
      <c r="AF23" s="499"/>
      <c r="AG23" s="499"/>
      <c r="AH23" s="499"/>
      <c r="AI23" s="499"/>
      <c r="AJ23" s="499"/>
      <c r="AK23" s="499"/>
      <c r="AL23" s="499"/>
      <c r="AM23" s="499"/>
      <c r="AN23" s="499"/>
    </row>
    <row r="24" spans="1:40" ht="18" customHeight="1">
      <c r="A24" s="493" t="s">
        <v>244</v>
      </c>
      <c r="B24" s="499" t="s">
        <v>0</v>
      </c>
      <c r="C24" s="519" t="s">
        <v>29</v>
      </c>
      <c r="D24" s="520">
        <v>94.612048192771084</v>
      </c>
      <c r="E24" s="520">
        <v>849.99999999999989</v>
      </c>
      <c r="F24" s="521">
        <v>80420.240963855409</v>
      </c>
      <c r="G24" s="522">
        <v>94.612048192771084</v>
      </c>
      <c r="H24" s="520">
        <v>849.99999999999989</v>
      </c>
      <c r="I24" s="521">
        <v>80420.240963855409</v>
      </c>
      <c r="J24" s="522">
        <v>46</v>
      </c>
      <c r="K24" s="520">
        <v>1251.4682608695653</v>
      </c>
      <c r="L24" s="521">
        <v>57567.54</v>
      </c>
      <c r="M24" s="544">
        <v>-48.612048192771084</v>
      </c>
      <c r="N24" s="521">
        <v>-22852.700963855408</v>
      </c>
      <c r="O24" s="522">
        <v>87</v>
      </c>
      <c r="P24" s="520">
        <v>783.31712643678156</v>
      </c>
      <c r="Q24" s="521">
        <v>68148.59</v>
      </c>
      <c r="R24" s="541"/>
      <c r="S24" s="523">
        <v>-10581.049999999996</v>
      </c>
      <c r="T24" s="504"/>
      <c r="U24" s="504"/>
      <c r="V24" s="499"/>
      <c r="W24" s="499"/>
      <c r="X24" s="499"/>
      <c r="Y24" s="499"/>
      <c r="Z24" s="499"/>
      <c r="AA24" s="499"/>
      <c r="AB24" s="499"/>
      <c r="AC24" s="499"/>
      <c r="AD24" s="499"/>
      <c r="AE24" s="499"/>
      <c r="AF24" s="499"/>
      <c r="AG24" s="499"/>
      <c r="AH24" s="499"/>
      <c r="AI24" s="499"/>
      <c r="AJ24" s="499"/>
      <c r="AK24" s="499"/>
      <c r="AL24" s="499"/>
      <c r="AM24" s="499"/>
      <c r="AN24" s="499"/>
    </row>
    <row r="25" spans="1:40" ht="15.75" customHeight="1">
      <c r="A25" s="493" t="s">
        <v>0</v>
      </c>
      <c r="B25" s="499" t="s">
        <v>0</v>
      </c>
      <c r="C25" s="513"/>
      <c r="D25" s="504"/>
      <c r="E25" s="504"/>
      <c r="F25" s="545"/>
      <c r="G25" s="525"/>
      <c r="H25" s="504"/>
      <c r="I25" s="545"/>
      <c r="J25" s="525"/>
      <c r="K25" s="504"/>
      <c r="L25" s="545"/>
      <c r="M25" s="526"/>
      <c r="N25" s="527">
        <v>-0.28416603444556293</v>
      </c>
      <c r="O25" s="525"/>
      <c r="P25" s="504"/>
      <c r="Q25" s="545"/>
      <c r="R25" s="546"/>
      <c r="S25" s="528">
        <v>-0.1552644009215744</v>
      </c>
      <c r="T25" s="504"/>
      <c r="U25" s="504"/>
      <c r="V25" s="499"/>
      <c r="W25" s="499"/>
      <c r="X25" s="499"/>
      <c r="Y25" s="499"/>
      <c r="Z25" s="499"/>
      <c r="AA25" s="499"/>
      <c r="AB25" s="499"/>
      <c r="AC25" s="499"/>
      <c r="AD25" s="499"/>
      <c r="AE25" s="499"/>
      <c r="AF25" s="499"/>
      <c r="AG25" s="499"/>
      <c r="AH25" s="499"/>
      <c r="AI25" s="499"/>
      <c r="AJ25" s="499"/>
      <c r="AK25" s="499"/>
      <c r="AL25" s="499"/>
      <c r="AM25" s="499"/>
      <c r="AN25" s="499"/>
    </row>
    <row r="26" spans="1:40" ht="15.75" customHeight="1" thickBot="1">
      <c r="A26" s="493" t="s">
        <v>0</v>
      </c>
      <c r="B26" s="499" t="s">
        <v>0</v>
      </c>
      <c r="C26" s="513"/>
      <c r="D26" s="504"/>
      <c r="E26" s="504"/>
      <c r="F26" s="524"/>
      <c r="G26" s="525"/>
      <c r="H26" s="504"/>
      <c r="I26" s="524"/>
      <c r="J26" s="525"/>
      <c r="K26" s="504"/>
      <c r="L26" s="524"/>
      <c r="M26" s="525"/>
      <c r="N26" s="524"/>
      <c r="O26" s="525"/>
      <c r="P26" s="504"/>
      <c r="Q26" s="524"/>
      <c r="R26" s="525"/>
      <c r="S26" s="547"/>
      <c r="T26" s="504"/>
      <c r="U26" s="504"/>
      <c r="V26" s="499"/>
      <c r="W26" s="499"/>
      <c r="X26" s="499"/>
      <c r="Y26" s="499"/>
      <c r="Z26" s="499"/>
      <c r="AA26" s="499"/>
      <c r="AB26" s="499"/>
      <c r="AC26" s="499"/>
      <c r="AD26" s="499"/>
      <c r="AE26" s="499"/>
      <c r="AF26" s="499"/>
      <c r="AG26" s="499"/>
      <c r="AH26" s="499"/>
      <c r="AI26" s="499"/>
      <c r="AJ26" s="499"/>
      <c r="AK26" s="499"/>
      <c r="AL26" s="499"/>
      <c r="AM26" s="499"/>
      <c r="AN26" s="499"/>
    </row>
    <row r="27" spans="1:40" ht="18" customHeight="1" thickTop="1">
      <c r="A27" s="493" t="s">
        <v>245</v>
      </c>
      <c r="B27" s="499" t="s">
        <v>0</v>
      </c>
      <c r="C27" s="548" t="s">
        <v>30</v>
      </c>
      <c r="D27" s="549">
        <v>96.068432516412045</v>
      </c>
      <c r="E27" s="550">
        <v>2818.0757540124559</v>
      </c>
      <c r="F27" s="551">
        <v>270728.12040048261</v>
      </c>
      <c r="G27" s="552">
        <v>96.068432516412045</v>
      </c>
      <c r="H27" s="553">
        <v>2818.0757540124559</v>
      </c>
      <c r="I27" s="551">
        <v>270728.12040048261</v>
      </c>
      <c r="J27" s="552">
        <v>46</v>
      </c>
      <c r="K27" s="553">
        <v>5302.2323913043465</v>
      </c>
      <c r="L27" s="551">
        <v>243902.68999999994</v>
      </c>
      <c r="M27" s="552">
        <v>-50.068432516412045</v>
      </c>
      <c r="N27" s="551">
        <v>-26825.43040048267</v>
      </c>
      <c r="O27" s="552">
        <v>91</v>
      </c>
      <c r="P27" s="553">
        <v>2681.4853846153856</v>
      </c>
      <c r="Q27" s="551">
        <v>244015.17000000007</v>
      </c>
      <c r="R27" s="552">
        <v>-45</v>
      </c>
      <c r="S27" s="554">
        <v>-112.48000000012689</v>
      </c>
      <c r="T27" s="504"/>
      <c r="U27" s="504"/>
      <c r="V27" s="499"/>
      <c r="W27" s="499"/>
      <c r="X27" s="499"/>
      <c r="Y27" s="499"/>
      <c r="Z27" s="499"/>
      <c r="AA27" s="499"/>
      <c r="AB27" s="499"/>
      <c r="AC27" s="499"/>
      <c r="AD27" s="499"/>
      <c r="AE27" s="499"/>
      <c r="AF27" s="499"/>
      <c r="AG27" s="499"/>
      <c r="AH27" s="499"/>
      <c r="AI27" s="499"/>
      <c r="AJ27" s="499"/>
      <c r="AK27" s="499"/>
      <c r="AL27" s="499"/>
      <c r="AM27" s="499"/>
      <c r="AN27" s="499"/>
    </row>
    <row r="28" spans="1:40" ht="22.5" customHeight="1" thickBot="1">
      <c r="A28" s="493" t="s">
        <v>0</v>
      </c>
      <c r="B28" s="499" t="s">
        <v>0</v>
      </c>
      <c r="C28" s="555"/>
      <c r="D28" s="556"/>
      <c r="E28" s="556"/>
      <c r="F28" s="557"/>
      <c r="G28" s="558"/>
      <c r="H28" s="556"/>
      <c r="I28" s="557"/>
      <c r="J28" s="558"/>
      <c r="K28" s="556"/>
      <c r="L28" s="557"/>
      <c r="M28" s="559">
        <v>-0.52117465857328837</v>
      </c>
      <c r="N28" s="560">
        <v>-9.9086235891566621E-2</v>
      </c>
      <c r="O28" s="558"/>
      <c r="P28" s="556"/>
      <c r="Q28" s="557"/>
      <c r="R28" s="559">
        <v>-0.49450549450549453</v>
      </c>
      <c r="S28" s="561">
        <v>-4.6095494800641639E-4</v>
      </c>
      <c r="T28" s="504"/>
      <c r="U28" s="504"/>
      <c r="V28" s="499"/>
      <c r="W28" s="499"/>
      <c r="X28" s="499"/>
      <c r="Y28" s="499"/>
      <c r="Z28" s="499"/>
      <c r="AA28" s="499"/>
      <c r="AB28" s="499"/>
      <c r="AC28" s="499"/>
      <c r="AD28" s="499"/>
      <c r="AE28" s="499"/>
      <c r="AF28" s="499"/>
      <c r="AG28" s="499"/>
      <c r="AH28" s="499"/>
      <c r="AI28" s="499"/>
      <c r="AJ28" s="499"/>
      <c r="AK28" s="499"/>
      <c r="AL28" s="499"/>
      <c r="AM28" s="499"/>
      <c r="AN28" s="499"/>
    </row>
    <row r="29" spans="1:40" ht="15.75" customHeight="1" thickTop="1">
      <c r="A29" s="493" t="s">
        <v>0</v>
      </c>
      <c r="B29" s="499" t="s">
        <v>0</v>
      </c>
      <c r="C29" s="538"/>
      <c r="D29" s="562"/>
      <c r="E29" s="562"/>
      <c r="F29" s="563"/>
      <c r="G29" s="564"/>
      <c r="H29" s="562"/>
      <c r="I29" s="563"/>
      <c r="J29" s="564"/>
      <c r="K29" s="562"/>
      <c r="L29" s="563"/>
      <c r="M29" s="526"/>
      <c r="N29" s="527"/>
      <c r="O29" s="564"/>
      <c r="P29" s="562"/>
      <c r="Q29" s="563"/>
      <c r="R29" s="526"/>
      <c r="S29" s="528"/>
      <c r="T29" s="504"/>
      <c r="U29" s="504"/>
      <c r="V29" s="499"/>
      <c r="W29" s="499"/>
      <c r="X29" s="499"/>
      <c r="Y29" s="499"/>
      <c r="Z29" s="499"/>
      <c r="AA29" s="499"/>
      <c r="AB29" s="499"/>
      <c r="AC29" s="499"/>
      <c r="AD29" s="499"/>
      <c r="AE29" s="499"/>
      <c r="AF29" s="499"/>
      <c r="AG29" s="499"/>
      <c r="AH29" s="499"/>
      <c r="AI29" s="499"/>
      <c r="AJ29" s="499"/>
      <c r="AK29" s="499"/>
      <c r="AL29" s="499"/>
      <c r="AM29" s="499"/>
      <c r="AN29" s="499"/>
    </row>
    <row r="30" spans="1:40" ht="15.75" customHeight="1">
      <c r="A30" s="493" t="s">
        <v>246</v>
      </c>
      <c r="B30" s="499" t="s">
        <v>0</v>
      </c>
      <c r="C30" s="80" t="s">
        <v>31</v>
      </c>
      <c r="D30" s="504"/>
      <c r="E30" s="81"/>
      <c r="F30" s="545"/>
      <c r="G30" s="525"/>
      <c r="H30" s="81"/>
      <c r="I30" s="545"/>
      <c r="J30" s="525"/>
      <c r="K30" s="81"/>
      <c r="L30" s="524"/>
      <c r="M30" s="525"/>
      <c r="N30" s="524"/>
      <c r="O30" s="525"/>
      <c r="P30" s="81"/>
      <c r="Q30" s="524"/>
      <c r="R30" s="525"/>
      <c r="S30" s="547"/>
      <c r="T30" s="504"/>
      <c r="U30" s="504"/>
      <c r="V30" s="499"/>
      <c r="W30" s="499"/>
      <c r="X30" s="499"/>
      <c r="Y30" s="499"/>
      <c r="Z30" s="499"/>
      <c r="AA30" s="499"/>
      <c r="AB30" s="499"/>
      <c r="AC30" s="499"/>
      <c r="AD30" s="499"/>
      <c r="AE30" s="499"/>
      <c r="AF30" s="499"/>
      <c r="AG30" s="499"/>
      <c r="AH30" s="499"/>
      <c r="AI30" s="499"/>
      <c r="AJ30" s="499"/>
      <c r="AK30" s="499"/>
      <c r="AL30" s="499"/>
      <c r="AM30" s="499"/>
      <c r="AN30" s="499"/>
    </row>
    <row r="31" spans="1:40" ht="15.75" customHeight="1">
      <c r="A31" s="493" t="s">
        <v>247</v>
      </c>
      <c r="B31" s="499" t="s">
        <v>0</v>
      </c>
      <c r="C31" s="513" t="s">
        <v>32</v>
      </c>
      <c r="D31" s="82">
        <v>0.3128667715313766</v>
      </c>
      <c r="E31" s="565">
        <v>592.1492891142135</v>
      </c>
      <c r="F31" s="514">
        <v>56024.4570789891</v>
      </c>
      <c r="G31" s="566">
        <v>0.3128667715313766</v>
      </c>
      <c r="H31" s="565">
        <v>592.1492891142135</v>
      </c>
      <c r="I31" s="514">
        <v>56024.4570789891</v>
      </c>
      <c r="J31" s="566">
        <v>0.28520486957556251</v>
      </c>
      <c r="K31" s="565">
        <v>1092.3476086956521</v>
      </c>
      <c r="L31" s="514">
        <v>50247.99</v>
      </c>
      <c r="M31" s="525"/>
      <c r="N31" s="545">
        <v>-5776.4670789891024</v>
      </c>
      <c r="O31" s="525"/>
      <c r="P31" s="565">
        <v>611.33367816091948</v>
      </c>
      <c r="Q31" s="517">
        <v>53186.03</v>
      </c>
      <c r="R31" s="525"/>
      <c r="S31" s="567">
        <v>-2938.0400000000009</v>
      </c>
      <c r="T31" s="504"/>
      <c r="U31" s="504"/>
      <c r="V31" s="499"/>
      <c r="W31" s="499"/>
      <c r="X31" s="499"/>
      <c r="Y31" s="499"/>
      <c r="Z31" s="499"/>
      <c r="AA31" s="499"/>
      <c r="AB31" s="499"/>
      <c r="AC31" s="499"/>
      <c r="AD31" s="499"/>
      <c r="AE31" s="499"/>
      <c r="AF31" s="499"/>
      <c r="AG31" s="499"/>
      <c r="AH31" s="499"/>
      <c r="AI31" s="499"/>
      <c r="AJ31" s="499"/>
      <c r="AK31" s="499"/>
      <c r="AL31" s="499"/>
      <c r="AM31" s="499"/>
      <c r="AN31" s="499"/>
    </row>
    <row r="32" spans="1:40" ht="15.75" customHeight="1">
      <c r="A32" s="493" t="s">
        <v>248</v>
      </c>
      <c r="B32" s="499" t="s">
        <v>0</v>
      </c>
      <c r="C32" s="568" t="s">
        <v>33</v>
      </c>
      <c r="D32" s="89">
        <v>0.3</v>
      </c>
      <c r="E32" s="569">
        <v>254.99999999999994</v>
      </c>
      <c r="F32" s="508">
        <v>24126.072289156622</v>
      </c>
      <c r="G32" s="570">
        <v>0.3</v>
      </c>
      <c r="H32" s="571">
        <v>254.99999999999994</v>
      </c>
      <c r="I32" s="508">
        <v>24126.072289156622</v>
      </c>
      <c r="J32" s="572">
        <v>0.36279907044838117</v>
      </c>
      <c r="K32" s="569">
        <v>454.03152173913043</v>
      </c>
      <c r="L32" s="508">
        <v>20885.45</v>
      </c>
      <c r="M32" s="509"/>
      <c r="N32" s="573">
        <v>-3240.6222891566213</v>
      </c>
      <c r="O32" s="509"/>
      <c r="P32" s="569">
        <v>240.78988505747128</v>
      </c>
      <c r="Q32" s="508">
        <v>20948.72</v>
      </c>
      <c r="R32" s="509"/>
      <c r="S32" s="574">
        <v>-63.270000000000437</v>
      </c>
      <c r="T32" s="504"/>
      <c r="U32" s="504">
        <v>0.2970387209511331</v>
      </c>
      <c r="V32" s="499" t="s">
        <v>497</v>
      </c>
      <c r="W32" s="499"/>
      <c r="X32" s="499"/>
      <c r="Y32" s="499"/>
      <c r="Z32" s="499"/>
      <c r="AA32" s="499"/>
      <c r="AB32" s="499"/>
      <c r="AC32" s="499"/>
      <c r="AD32" s="499"/>
      <c r="AE32" s="499"/>
      <c r="AF32" s="499"/>
      <c r="AG32" s="499"/>
      <c r="AH32" s="499"/>
      <c r="AI32" s="499"/>
      <c r="AJ32" s="499"/>
      <c r="AK32" s="499"/>
      <c r="AL32" s="499"/>
      <c r="AM32" s="499"/>
      <c r="AN32" s="499"/>
    </row>
    <row r="33" spans="1:40" ht="15.75" customHeight="1">
      <c r="A33" s="493" t="s">
        <v>249</v>
      </c>
      <c r="B33" s="499" t="s">
        <v>0</v>
      </c>
      <c r="C33" s="513" t="s">
        <v>34</v>
      </c>
      <c r="D33" s="82"/>
      <c r="E33" s="565">
        <v>167.84930226439229</v>
      </c>
      <c r="F33" s="514">
        <v>15880.566274961684</v>
      </c>
      <c r="G33" s="84"/>
      <c r="H33" s="565">
        <v>167.84930226439229</v>
      </c>
      <c r="I33" s="514">
        <v>15880.566274961684</v>
      </c>
      <c r="J33" s="525"/>
      <c r="K33" s="565">
        <v>104.73239130434781</v>
      </c>
      <c r="L33" s="514">
        <v>4817.6899999999996</v>
      </c>
      <c r="M33" s="525"/>
      <c r="N33" s="545">
        <v>-11062.876274961684</v>
      </c>
      <c r="O33" s="525"/>
      <c r="P33" s="565">
        <v>74.750689655172422</v>
      </c>
      <c r="Q33" s="517">
        <v>6503.31</v>
      </c>
      <c r="R33" s="525"/>
      <c r="S33" s="567">
        <v>-1685.6200000000008</v>
      </c>
      <c r="T33" s="504"/>
      <c r="U33" s="504"/>
      <c r="V33" s="499"/>
      <c r="W33" s="499"/>
      <c r="X33" s="499"/>
      <c r="Y33" s="499"/>
      <c r="Z33" s="499"/>
      <c r="AA33" s="499"/>
      <c r="AB33" s="499"/>
      <c r="AC33" s="499"/>
      <c r="AD33" s="499"/>
      <c r="AE33" s="499"/>
      <c r="AF33" s="499"/>
      <c r="AG33" s="499"/>
      <c r="AH33" s="499"/>
      <c r="AI33" s="499"/>
      <c r="AJ33" s="499"/>
      <c r="AK33" s="499"/>
      <c r="AL33" s="499"/>
      <c r="AM33" s="499"/>
      <c r="AN33" s="499"/>
    </row>
    <row r="34" spans="1:40" ht="15.75" customHeight="1">
      <c r="A34" s="493" t="s">
        <v>250</v>
      </c>
      <c r="B34" s="499" t="s">
        <v>0</v>
      </c>
      <c r="C34" s="513" t="s">
        <v>35</v>
      </c>
      <c r="D34" s="82"/>
      <c r="E34" s="565">
        <v>7.3548076275245782</v>
      </c>
      <c r="F34" s="514">
        <v>695.85341370391575</v>
      </c>
      <c r="G34" s="84"/>
      <c r="H34" s="565">
        <v>7.3548076275245782</v>
      </c>
      <c r="I34" s="514">
        <v>695.85341370391575</v>
      </c>
      <c r="J34" s="525"/>
      <c r="K34" s="565">
        <v>0</v>
      </c>
      <c r="L34" s="514">
        <v>0</v>
      </c>
      <c r="M34" s="525"/>
      <c r="N34" s="545">
        <v>-695.85341370391575</v>
      </c>
      <c r="O34" s="525"/>
      <c r="P34" s="565">
        <v>6.8565517241379306</v>
      </c>
      <c r="Q34" s="517">
        <v>596.52</v>
      </c>
      <c r="R34" s="525"/>
      <c r="S34" s="567">
        <v>-596.52</v>
      </c>
      <c r="T34" s="504"/>
      <c r="U34" s="504"/>
      <c r="V34" s="499"/>
      <c r="W34" s="499"/>
      <c r="X34" s="499"/>
      <c r="Y34" s="499"/>
      <c r="Z34" s="499"/>
      <c r="AA34" s="499"/>
      <c r="AB34" s="499"/>
      <c r="AC34" s="499"/>
      <c r="AD34" s="499"/>
      <c r="AE34" s="499"/>
      <c r="AF34" s="499"/>
      <c r="AG34" s="499"/>
      <c r="AH34" s="499"/>
      <c r="AI34" s="499"/>
      <c r="AJ34" s="499"/>
      <c r="AK34" s="499"/>
      <c r="AL34" s="499"/>
      <c r="AM34" s="499"/>
      <c r="AN34" s="499"/>
    </row>
    <row r="35" spans="1:40" ht="15.75" customHeight="1">
      <c r="A35" s="493" t="s">
        <v>251</v>
      </c>
      <c r="B35" s="499" t="s">
        <v>0</v>
      </c>
      <c r="C35" s="568" t="s">
        <v>36</v>
      </c>
      <c r="D35" s="89"/>
      <c r="E35" s="569">
        <v>17.733118212476484</v>
      </c>
      <c r="F35" s="508">
        <v>1677.7666349269316</v>
      </c>
      <c r="G35" s="91"/>
      <c r="H35" s="571">
        <v>17.733118212476484</v>
      </c>
      <c r="I35" s="508">
        <v>1677.7666349269316</v>
      </c>
      <c r="J35" s="509"/>
      <c r="K35" s="569">
        <v>100.76913043478261</v>
      </c>
      <c r="L35" s="508">
        <v>4635.38</v>
      </c>
      <c r="M35" s="509"/>
      <c r="N35" s="573">
        <v>2957.6133650730685</v>
      </c>
      <c r="O35" s="509"/>
      <c r="P35" s="569">
        <v>13.448275862068966</v>
      </c>
      <c r="Q35" s="517">
        <v>1170</v>
      </c>
      <c r="R35" s="509"/>
      <c r="S35" s="574">
        <v>3465.38</v>
      </c>
      <c r="T35" s="504"/>
      <c r="U35" s="504"/>
      <c r="V35" s="499"/>
      <c r="W35" s="537"/>
      <c r="X35" s="499"/>
      <c r="Y35" s="499"/>
      <c r="Z35" s="499"/>
      <c r="AA35" s="499"/>
      <c r="AB35" s="499"/>
      <c r="AC35" s="499"/>
      <c r="AD35" s="499"/>
      <c r="AE35" s="499"/>
      <c r="AF35" s="499"/>
      <c r="AG35" s="499"/>
      <c r="AH35" s="499"/>
      <c r="AI35" s="499"/>
      <c r="AJ35" s="499"/>
      <c r="AK35" s="499"/>
      <c r="AL35" s="499"/>
      <c r="AM35" s="499"/>
      <c r="AN35" s="499"/>
    </row>
    <row r="36" spans="1:40" ht="15.75" customHeight="1">
      <c r="A36" s="493" t="s">
        <v>252</v>
      </c>
      <c r="B36" s="499" t="s">
        <v>0</v>
      </c>
      <c r="C36" s="513" t="s">
        <v>37</v>
      </c>
      <c r="D36" s="82"/>
      <c r="E36" s="565">
        <v>195.93765281173589</v>
      </c>
      <c r="F36" s="514">
        <v>18538.062650602405</v>
      </c>
      <c r="G36" s="84"/>
      <c r="H36" s="565">
        <v>195.93765281173589</v>
      </c>
      <c r="I36" s="514">
        <v>18538.062650602405</v>
      </c>
      <c r="J36" s="525"/>
      <c r="K36" s="565">
        <v>382.71152173913043</v>
      </c>
      <c r="L36" s="575">
        <v>17604.73</v>
      </c>
      <c r="M36" s="504"/>
      <c r="N36" s="545">
        <v>-933.33265060240592</v>
      </c>
      <c r="O36" s="525"/>
      <c r="P36" s="565">
        <v>119.94091954022988</v>
      </c>
      <c r="Q36" s="540">
        <v>10434.86</v>
      </c>
      <c r="R36" s="525"/>
      <c r="S36" s="567">
        <v>7169.869999999999</v>
      </c>
      <c r="T36" s="504"/>
      <c r="U36" s="504"/>
      <c r="V36" s="499"/>
      <c r="W36" s="499"/>
      <c r="X36" s="499"/>
      <c r="Y36" s="499"/>
      <c r="Z36" s="499"/>
      <c r="AA36" s="499"/>
      <c r="AB36" s="499"/>
      <c r="AC36" s="499"/>
      <c r="AD36" s="499"/>
      <c r="AE36" s="499"/>
      <c r="AF36" s="499"/>
      <c r="AG36" s="499"/>
      <c r="AH36" s="499"/>
      <c r="AI36" s="499"/>
      <c r="AJ36" s="499"/>
      <c r="AK36" s="499"/>
      <c r="AL36" s="499"/>
      <c r="AM36" s="499"/>
      <c r="AN36" s="499"/>
    </row>
    <row r="37" spans="1:40" ht="15.75" customHeight="1">
      <c r="A37" s="493" t="s">
        <v>253</v>
      </c>
      <c r="B37" s="499" t="s">
        <v>0</v>
      </c>
      <c r="C37" s="513" t="s">
        <v>38</v>
      </c>
      <c r="D37" s="82"/>
      <c r="E37" s="565">
        <v>83.856314119243052</v>
      </c>
      <c r="F37" s="514">
        <v>7933.8176327179735</v>
      </c>
      <c r="G37" s="84"/>
      <c r="H37" s="565">
        <v>83.856314119243052</v>
      </c>
      <c r="I37" s="514">
        <v>7933.8176327179735</v>
      </c>
      <c r="J37" s="525"/>
      <c r="K37" s="565">
        <v>5.9121739130434774</v>
      </c>
      <c r="L37" s="576">
        <v>271.95999999999998</v>
      </c>
      <c r="M37" s="504"/>
      <c r="N37" s="545">
        <v>-7661.8576327179735</v>
      </c>
      <c r="O37" s="525"/>
      <c r="P37" s="565">
        <v>161.06482758620689</v>
      </c>
      <c r="Q37" s="517">
        <v>14012.64</v>
      </c>
      <c r="R37" s="525"/>
      <c r="S37" s="567">
        <v>-13740.68</v>
      </c>
      <c r="T37" s="504"/>
      <c r="U37" s="504"/>
      <c r="V37" s="499"/>
      <c r="W37" s="499"/>
      <c r="X37" s="499"/>
      <c r="Y37" s="499"/>
      <c r="Z37" s="499"/>
      <c r="AA37" s="499"/>
      <c r="AB37" s="499"/>
      <c r="AC37" s="499"/>
      <c r="AD37" s="499"/>
      <c r="AE37" s="499"/>
      <c r="AF37" s="499"/>
      <c r="AG37" s="499"/>
      <c r="AH37" s="499"/>
      <c r="AI37" s="499"/>
      <c r="AJ37" s="499"/>
      <c r="AK37" s="499"/>
      <c r="AL37" s="499"/>
      <c r="AM37" s="499"/>
      <c r="AN37" s="499"/>
    </row>
    <row r="38" spans="1:40" ht="15.75" hidden="1" customHeight="1">
      <c r="A38" s="493" t="s">
        <v>236</v>
      </c>
      <c r="B38" s="499" t="s">
        <v>0</v>
      </c>
      <c r="C38" s="513" t="s">
        <v>21</v>
      </c>
      <c r="D38" s="82"/>
      <c r="E38" s="565">
        <v>0</v>
      </c>
      <c r="F38" s="514">
        <v>0</v>
      </c>
      <c r="G38" s="84"/>
      <c r="H38" s="565">
        <v>0</v>
      </c>
      <c r="I38" s="514">
        <v>0</v>
      </c>
      <c r="J38" s="525"/>
      <c r="K38" s="565">
        <v>0</v>
      </c>
      <c r="L38" s="576">
        <v>0</v>
      </c>
      <c r="M38" s="504"/>
      <c r="N38" s="545">
        <v>0</v>
      </c>
      <c r="O38" s="525"/>
      <c r="P38" s="565">
        <v>0</v>
      </c>
      <c r="Q38" s="517">
        <v>0</v>
      </c>
      <c r="R38" s="525"/>
      <c r="S38" s="567">
        <v>0</v>
      </c>
      <c r="T38" s="504"/>
      <c r="U38" s="504"/>
      <c r="V38" s="499"/>
      <c r="W38" s="499"/>
      <c r="X38" s="499"/>
      <c r="Y38" s="499"/>
      <c r="Z38" s="499"/>
      <c r="AA38" s="499"/>
      <c r="AB38" s="499"/>
      <c r="AC38" s="499"/>
      <c r="AD38" s="499"/>
      <c r="AE38" s="499"/>
      <c r="AF38" s="499"/>
      <c r="AG38" s="499"/>
      <c r="AH38" s="499"/>
      <c r="AI38" s="499"/>
      <c r="AJ38" s="499"/>
      <c r="AK38" s="499"/>
      <c r="AL38" s="499"/>
      <c r="AM38" s="499"/>
      <c r="AN38" s="499"/>
    </row>
    <row r="39" spans="1:40" ht="15.75" hidden="1" customHeight="1">
      <c r="A39" s="493" t="s">
        <v>236</v>
      </c>
      <c r="B39" s="499" t="s">
        <v>0</v>
      </c>
      <c r="C39" s="513" t="s">
        <v>21</v>
      </c>
      <c r="D39" s="82"/>
      <c r="E39" s="565">
        <v>0</v>
      </c>
      <c r="F39" s="514">
        <v>0</v>
      </c>
      <c r="G39" s="84"/>
      <c r="H39" s="565">
        <v>0</v>
      </c>
      <c r="I39" s="514">
        <v>0</v>
      </c>
      <c r="J39" s="525"/>
      <c r="K39" s="565">
        <v>0</v>
      </c>
      <c r="L39" s="576">
        <v>0</v>
      </c>
      <c r="M39" s="504"/>
      <c r="N39" s="545">
        <v>0</v>
      </c>
      <c r="O39" s="525"/>
      <c r="P39" s="565">
        <v>0</v>
      </c>
      <c r="Q39" s="517">
        <v>0</v>
      </c>
      <c r="R39" s="525"/>
      <c r="S39" s="567">
        <v>0</v>
      </c>
      <c r="T39" s="504"/>
      <c r="U39" s="504"/>
      <c r="V39" s="499"/>
      <c r="W39" s="499"/>
      <c r="X39" s="499"/>
      <c r="Y39" s="499"/>
      <c r="Z39" s="499"/>
      <c r="AA39" s="499"/>
      <c r="AB39" s="499"/>
      <c r="AC39" s="499"/>
      <c r="AD39" s="499"/>
      <c r="AE39" s="499"/>
      <c r="AF39" s="499"/>
      <c r="AG39" s="499"/>
      <c r="AH39" s="499"/>
      <c r="AI39" s="499"/>
      <c r="AJ39" s="499"/>
      <c r="AK39" s="499"/>
      <c r="AL39" s="499"/>
      <c r="AM39" s="499"/>
      <c r="AN39" s="499"/>
    </row>
    <row r="40" spans="1:40" ht="15.75" hidden="1" customHeight="1">
      <c r="A40" s="493" t="s">
        <v>236</v>
      </c>
      <c r="B40" s="499" t="s">
        <v>0</v>
      </c>
      <c r="C40" s="513" t="s">
        <v>21</v>
      </c>
      <c r="D40" s="82"/>
      <c r="E40" s="565">
        <v>0</v>
      </c>
      <c r="F40" s="514">
        <v>0</v>
      </c>
      <c r="G40" s="84"/>
      <c r="H40" s="565">
        <v>0</v>
      </c>
      <c r="I40" s="514">
        <v>0</v>
      </c>
      <c r="J40" s="525"/>
      <c r="K40" s="565">
        <v>0</v>
      </c>
      <c r="L40" s="577">
        <v>0</v>
      </c>
      <c r="M40" s="504"/>
      <c r="N40" s="545">
        <v>0</v>
      </c>
      <c r="O40" s="525"/>
      <c r="P40" s="565">
        <v>0</v>
      </c>
      <c r="Q40" s="517">
        <v>0</v>
      </c>
      <c r="R40" s="525"/>
      <c r="S40" s="567">
        <v>0</v>
      </c>
      <c r="T40" s="504"/>
      <c r="U40" s="504"/>
      <c r="V40" s="499"/>
      <c r="W40" s="499"/>
      <c r="X40" s="499"/>
      <c r="Y40" s="499"/>
      <c r="Z40" s="499"/>
      <c r="AA40" s="499"/>
      <c r="AB40" s="499"/>
      <c r="AC40" s="499"/>
      <c r="AD40" s="499"/>
      <c r="AE40" s="499"/>
      <c r="AF40" s="499"/>
      <c r="AG40" s="499"/>
      <c r="AH40" s="499"/>
      <c r="AI40" s="499"/>
      <c r="AJ40" s="499"/>
      <c r="AK40" s="499"/>
      <c r="AL40" s="499"/>
      <c r="AM40" s="499"/>
      <c r="AN40" s="499"/>
    </row>
    <row r="41" spans="1:40" ht="15.75" customHeight="1">
      <c r="A41" s="493" t="s">
        <v>254</v>
      </c>
      <c r="B41" s="499" t="s">
        <v>0</v>
      </c>
      <c r="C41" s="578" t="s">
        <v>39</v>
      </c>
      <c r="D41" s="97" t="s">
        <v>40</v>
      </c>
      <c r="E41" s="579">
        <v>0.46126200629004188</v>
      </c>
      <c r="F41" s="580">
        <v>124876.59597505863</v>
      </c>
      <c r="G41" s="100" t="s">
        <v>40</v>
      </c>
      <c r="H41" s="579">
        <v>0.46126200629004188</v>
      </c>
      <c r="I41" s="580">
        <v>124876.59597505863</v>
      </c>
      <c r="J41" s="100" t="s">
        <v>40</v>
      </c>
      <c r="K41" s="579">
        <v>0.40369870459403312</v>
      </c>
      <c r="L41" s="580">
        <v>98463.200000000012</v>
      </c>
      <c r="M41" s="581"/>
      <c r="N41" s="580">
        <v>-26413.395975058622</v>
      </c>
      <c r="O41" s="100" t="s">
        <v>40</v>
      </c>
      <c r="P41" s="579">
        <v>0.43789113603059993</v>
      </c>
      <c r="Q41" s="582">
        <v>106852.08</v>
      </c>
      <c r="R41" s="583"/>
      <c r="S41" s="584">
        <v>-8388.8799999999901</v>
      </c>
      <c r="T41" s="504"/>
      <c r="U41" s="504"/>
      <c r="V41" s="499"/>
      <c r="W41" s="499"/>
      <c r="X41" s="499"/>
      <c r="Y41" s="499"/>
      <c r="Z41" s="499"/>
      <c r="AA41" s="499"/>
      <c r="AB41" s="499"/>
      <c r="AC41" s="499"/>
      <c r="AD41" s="499"/>
      <c r="AE41" s="499"/>
      <c r="AF41" s="499"/>
      <c r="AG41" s="499"/>
      <c r="AH41" s="499"/>
      <c r="AI41" s="499"/>
      <c r="AJ41" s="499"/>
      <c r="AK41" s="499"/>
      <c r="AL41" s="499"/>
      <c r="AM41" s="499"/>
      <c r="AN41" s="499"/>
    </row>
    <row r="42" spans="1:40" ht="15.75" customHeight="1">
      <c r="A42" s="493" t="s">
        <v>255</v>
      </c>
      <c r="B42" s="499" t="s">
        <v>0</v>
      </c>
      <c r="C42" s="585" t="s">
        <v>42</v>
      </c>
      <c r="D42" s="504"/>
      <c r="E42" s="504"/>
      <c r="F42" s="514">
        <v>15886.260919540229</v>
      </c>
      <c r="G42" s="525"/>
      <c r="H42" s="504"/>
      <c r="I42" s="514">
        <v>15886.260919540229</v>
      </c>
      <c r="J42" s="525"/>
      <c r="K42" s="504"/>
      <c r="L42" s="517">
        <v>14110.59</v>
      </c>
      <c r="M42" s="525"/>
      <c r="N42" s="545">
        <v>-1775.6709195402291</v>
      </c>
      <c r="O42" s="525"/>
      <c r="P42" s="504"/>
      <c r="Q42" s="517">
        <v>21334.91</v>
      </c>
      <c r="R42" s="525"/>
      <c r="S42" s="567">
        <v>-7224.32</v>
      </c>
      <c r="T42" s="504"/>
      <c r="U42" s="504"/>
      <c r="V42" s="504"/>
      <c r="W42" s="504"/>
      <c r="X42" s="504"/>
      <c r="Y42" s="504"/>
      <c r="Z42" s="504"/>
      <c r="AA42" s="504"/>
      <c r="AB42" s="504"/>
      <c r="AC42" s="504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</row>
    <row r="43" spans="1:40" ht="15.75" customHeight="1">
      <c r="A43" s="493" t="s">
        <v>257</v>
      </c>
      <c r="B43" s="499" t="s">
        <v>0</v>
      </c>
      <c r="C43" s="586" t="s">
        <v>43</v>
      </c>
      <c r="D43" s="82"/>
      <c r="E43" s="504"/>
      <c r="F43" s="508">
        <v>9822.0277770344837</v>
      </c>
      <c r="G43" s="84"/>
      <c r="H43" s="504"/>
      <c r="I43" s="508">
        <v>9822.0277770344837</v>
      </c>
      <c r="J43" s="525"/>
      <c r="K43" s="504"/>
      <c r="L43" s="517">
        <v>7742.61</v>
      </c>
      <c r="M43" s="525"/>
      <c r="N43" s="545">
        <v>-2079.4177770344841</v>
      </c>
      <c r="O43" s="525"/>
      <c r="P43" s="504"/>
      <c r="Q43" s="517">
        <v>9816.59</v>
      </c>
      <c r="R43" s="525"/>
      <c r="S43" s="567">
        <v>-2073.9800000000005</v>
      </c>
      <c r="T43" s="504"/>
      <c r="U43" s="504"/>
      <c r="V43" s="499"/>
      <c r="W43" s="499"/>
      <c r="X43" s="499"/>
      <c r="Y43" s="499"/>
      <c r="Z43" s="499"/>
      <c r="AA43" s="499"/>
      <c r="AB43" s="499"/>
      <c r="AC43" s="499"/>
      <c r="AD43" s="499"/>
      <c r="AE43" s="499"/>
      <c r="AF43" s="499"/>
      <c r="AG43" s="499"/>
      <c r="AH43" s="499"/>
      <c r="AI43" s="499"/>
      <c r="AJ43" s="499"/>
      <c r="AK43" s="499"/>
      <c r="AL43" s="499"/>
      <c r="AM43" s="499"/>
      <c r="AN43" s="499"/>
    </row>
    <row r="44" spans="1:40" ht="15.75" customHeight="1">
      <c r="A44" s="493" t="s">
        <v>258</v>
      </c>
      <c r="B44" s="499" t="s">
        <v>0</v>
      </c>
      <c r="C44" s="585" t="s">
        <v>44</v>
      </c>
      <c r="D44" s="107"/>
      <c r="E44" s="587"/>
      <c r="F44" s="514">
        <v>8921.4021694406129</v>
      </c>
      <c r="G44" s="109"/>
      <c r="H44" s="587"/>
      <c r="I44" s="514">
        <v>8921.4021694406129</v>
      </c>
      <c r="J44" s="588"/>
      <c r="K44" s="587"/>
      <c r="L44" s="589">
        <v>4148.58</v>
      </c>
      <c r="M44" s="588"/>
      <c r="N44" s="590">
        <v>-4772.8221694406129</v>
      </c>
      <c r="O44" s="588"/>
      <c r="P44" s="587"/>
      <c r="Q44" s="589">
        <v>8653.41</v>
      </c>
      <c r="R44" s="588"/>
      <c r="S44" s="591">
        <v>-4504.83</v>
      </c>
      <c r="T44" s="504"/>
      <c r="U44" s="504"/>
      <c r="V44" s="499"/>
      <c r="W44" s="499"/>
      <c r="X44" s="499"/>
      <c r="Y44" s="499"/>
      <c r="Z44" s="499"/>
      <c r="AA44" s="499"/>
      <c r="AB44" s="499"/>
      <c r="AC44" s="499"/>
      <c r="AD44" s="499"/>
      <c r="AE44" s="499"/>
      <c r="AF44" s="499"/>
      <c r="AG44" s="499"/>
      <c r="AH44" s="499"/>
      <c r="AI44" s="499"/>
      <c r="AJ44" s="499"/>
      <c r="AK44" s="499"/>
      <c r="AL44" s="499"/>
      <c r="AM44" s="499"/>
      <c r="AN44" s="499"/>
    </row>
    <row r="45" spans="1:40" ht="15.75" customHeight="1">
      <c r="A45" s="493" t="s">
        <v>259</v>
      </c>
      <c r="B45" s="499" t="s">
        <v>0</v>
      </c>
      <c r="C45" s="585" t="s">
        <v>45</v>
      </c>
      <c r="D45" s="82"/>
      <c r="E45" s="504"/>
      <c r="F45" s="514">
        <v>0</v>
      </c>
      <c r="G45" s="84"/>
      <c r="H45" s="504"/>
      <c r="I45" s="514">
        <v>0</v>
      </c>
      <c r="J45" s="525"/>
      <c r="K45" s="504"/>
      <c r="L45" s="517">
        <v>0</v>
      </c>
      <c r="M45" s="525"/>
      <c r="N45" s="545">
        <v>0</v>
      </c>
      <c r="O45" s="525"/>
      <c r="P45" s="504"/>
      <c r="Q45" s="517">
        <v>0</v>
      </c>
      <c r="R45" s="525"/>
      <c r="S45" s="567">
        <v>0</v>
      </c>
      <c r="T45" s="504"/>
      <c r="U45" s="504"/>
      <c r="V45" s="499"/>
      <c r="W45" s="499"/>
      <c r="X45" s="499"/>
      <c r="Y45" s="499"/>
      <c r="Z45" s="499"/>
      <c r="AA45" s="499"/>
      <c r="AB45" s="499"/>
      <c r="AC45" s="499"/>
      <c r="AD45" s="499"/>
      <c r="AE45" s="499"/>
      <c r="AF45" s="499"/>
      <c r="AG45" s="499"/>
      <c r="AH45" s="499"/>
      <c r="AI45" s="499"/>
      <c r="AJ45" s="499"/>
      <c r="AK45" s="499"/>
      <c r="AL45" s="499"/>
      <c r="AM45" s="499"/>
      <c r="AN45" s="499"/>
    </row>
    <row r="46" spans="1:40" ht="15.75" hidden="1" customHeight="1">
      <c r="A46" s="493" t="s">
        <v>236</v>
      </c>
      <c r="B46" s="499" t="s">
        <v>0</v>
      </c>
      <c r="C46" s="585" t="s">
        <v>21</v>
      </c>
      <c r="D46" s="82"/>
      <c r="E46" s="504"/>
      <c r="F46" s="514">
        <v>0</v>
      </c>
      <c r="G46" s="84"/>
      <c r="H46" s="504"/>
      <c r="I46" s="514">
        <v>0</v>
      </c>
      <c r="J46" s="525"/>
      <c r="K46" s="504"/>
      <c r="L46" s="517">
        <v>0</v>
      </c>
      <c r="M46" s="525"/>
      <c r="N46" s="545">
        <v>0</v>
      </c>
      <c r="O46" s="525"/>
      <c r="P46" s="504"/>
      <c r="Q46" s="517">
        <v>0</v>
      </c>
      <c r="R46" s="525"/>
      <c r="S46" s="567">
        <v>0</v>
      </c>
      <c r="T46" s="504"/>
      <c r="U46" s="504"/>
      <c r="V46" s="499"/>
      <c r="W46" s="499"/>
      <c r="X46" s="499"/>
      <c r="Y46" s="499"/>
      <c r="Z46" s="499"/>
      <c r="AA46" s="499"/>
      <c r="AB46" s="499"/>
      <c r="AC46" s="499"/>
      <c r="AD46" s="499"/>
      <c r="AE46" s="499"/>
      <c r="AF46" s="499"/>
      <c r="AG46" s="499"/>
      <c r="AH46" s="499"/>
      <c r="AI46" s="499"/>
      <c r="AJ46" s="499"/>
      <c r="AK46" s="499"/>
      <c r="AL46" s="499"/>
      <c r="AM46" s="499"/>
      <c r="AN46" s="499"/>
    </row>
    <row r="47" spans="1:40" ht="15.75" hidden="1" customHeight="1">
      <c r="A47" s="493" t="s">
        <v>236</v>
      </c>
      <c r="B47" s="499" t="s">
        <v>0</v>
      </c>
      <c r="C47" s="585" t="s">
        <v>21</v>
      </c>
      <c r="D47" s="82"/>
      <c r="E47" s="504"/>
      <c r="F47" s="514">
        <v>0</v>
      </c>
      <c r="G47" s="84"/>
      <c r="H47" s="504"/>
      <c r="I47" s="514">
        <v>0</v>
      </c>
      <c r="J47" s="525"/>
      <c r="K47" s="504"/>
      <c r="L47" s="517">
        <v>0</v>
      </c>
      <c r="M47" s="525"/>
      <c r="N47" s="545">
        <v>0</v>
      </c>
      <c r="O47" s="525"/>
      <c r="P47" s="504"/>
      <c r="Q47" s="517">
        <v>0</v>
      </c>
      <c r="R47" s="525"/>
      <c r="S47" s="567">
        <v>0</v>
      </c>
      <c r="T47" s="504"/>
      <c r="U47" s="504"/>
      <c r="V47" s="499"/>
      <c r="W47" s="499"/>
      <c r="X47" s="499"/>
      <c r="Y47" s="499"/>
      <c r="Z47" s="499"/>
      <c r="AA47" s="499"/>
      <c r="AB47" s="499"/>
      <c r="AC47" s="499"/>
      <c r="AD47" s="499"/>
      <c r="AE47" s="499"/>
      <c r="AF47" s="499"/>
      <c r="AG47" s="499"/>
      <c r="AH47" s="499"/>
      <c r="AI47" s="499"/>
      <c r="AJ47" s="499"/>
      <c r="AK47" s="499"/>
      <c r="AL47" s="499"/>
      <c r="AM47" s="499"/>
      <c r="AN47" s="499"/>
    </row>
    <row r="48" spans="1:40" ht="15.75" hidden="1" customHeight="1">
      <c r="A48" s="493" t="s">
        <v>236</v>
      </c>
      <c r="B48" s="499" t="s">
        <v>0</v>
      </c>
      <c r="C48" s="585" t="s">
        <v>21</v>
      </c>
      <c r="D48" s="82"/>
      <c r="E48" s="504"/>
      <c r="F48" s="514">
        <v>0</v>
      </c>
      <c r="G48" s="84"/>
      <c r="H48" s="504"/>
      <c r="I48" s="514">
        <v>0</v>
      </c>
      <c r="J48" s="525"/>
      <c r="K48" s="504"/>
      <c r="L48" s="517">
        <v>0</v>
      </c>
      <c r="M48" s="525"/>
      <c r="N48" s="545">
        <v>0</v>
      </c>
      <c r="O48" s="525"/>
      <c r="P48" s="504"/>
      <c r="Q48" s="517">
        <v>0</v>
      </c>
      <c r="R48" s="525"/>
      <c r="S48" s="567">
        <v>0</v>
      </c>
      <c r="T48" s="504"/>
      <c r="U48" s="504"/>
      <c r="V48" s="499"/>
      <c r="W48" s="499"/>
      <c r="X48" s="499"/>
      <c r="Y48" s="499"/>
      <c r="Z48" s="499"/>
      <c r="AA48" s="499"/>
      <c r="AB48" s="499"/>
      <c r="AC48" s="499"/>
      <c r="AD48" s="499"/>
      <c r="AE48" s="499"/>
      <c r="AF48" s="499"/>
      <c r="AG48" s="499"/>
      <c r="AH48" s="499"/>
      <c r="AI48" s="499"/>
      <c r="AJ48" s="499"/>
      <c r="AK48" s="499"/>
      <c r="AL48" s="499"/>
      <c r="AM48" s="499"/>
      <c r="AN48" s="499"/>
    </row>
    <row r="49" spans="1:40" ht="15.75" customHeight="1">
      <c r="A49" s="493" t="s">
        <v>260</v>
      </c>
      <c r="B49" s="499" t="s">
        <v>0</v>
      </c>
      <c r="C49" s="586" t="s">
        <v>46</v>
      </c>
      <c r="D49" s="82"/>
      <c r="E49" s="504"/>
      <c r="F49" s="508">
        <v>13866.553316713922</v>
      </c>
      <c r="G49" s="84"/>
      <c r="H49" s="504"/>
      <c r="I49" s="508">
        <v>13866.553316713922</v>
      </c>
      <c r="J49" s="525"/>
      <c r="K49" s="504"/>
      <c r="L49" s="508">
        <v>16348.41</v>
      </c>
      <c r="M49" s="525"/>
      <c r="N49" s="545">
        <v>2481.8566832860779</v>
      </c>
      <c r="O49" s="525"/>
      <c r="P49" s="504"/>
      <c r="Q49" s="508">
        <v>15115.93</v>
      </c>
      <c r="R49" s="525"/>
      <c r="S49" s="567">
        <v>1232.4799999999996</v>
      </c>
      <c r="T49" s="504"/>
      <c r="U49" s="504"/>
      <c r="V49" s="504"/>
      <c r="W49" s="504"/>
      <c r="X49" s="504"/>
      <c r="Y49" s="504"/>
      <c r="Z49" s="504"/>
      <c r="AA49" s="504"/>
      <c r="AB49" s="504"/>
      <c r="AC49" s="50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</row>
    <row r="50" spans="1:40" ht="15.75" customHeight="1">
      <c r="A50" s="493" t="s">
        <v>261</v>
      </c>
      <c r="B50" s="499" t="s">
        <v>0</v>
      </c>
      <c r="C50" s="585" t="s">
        <v>47</v>
      </c>
      <c r="D50" s="107"/>
      <c r="E50" s="587"/>
      <c r="F50" s="514">
        <v>12418.919896276426</v>
      </c>
      <c r="G50" s="109"/>
      <c r="H50" s="587"/>
      <c r="I50" s="514">
        <v>12418.919896276426</v>
      </c>
      <c r="J50" s="588"/>
      <c r="K50" s="587"/>
      <c r="L50" s="517">
        <v>18335.87</v>
      </c>
      <c r="M50" s="588"/>
      <c r="N50" s="590">
        <v>5916.9501037235732</v>
      </c>
      <c r="O50" s="588"/>
      <c r="P50" s="587"/>
      <c r="Q50" s="517">
        <v>12289.25</v>
      </c>
      <c r="R50" s="588"/>
      <c r="S50" s="591">
        <v>6046.619999999999</v>
      </c>
      <c r="T50" s="504"/>
      <c r="U50" s="504"/>
      <c r="V50" s="504"/>
      <c r="W50" s="504"/>
      <c r="X50" s="504"/>
      <c r="Y50" s="504"/>
      <c r="Z50" s="504"/>
      <c r="AA50" s="504"/>
      <c r="AB50" s="504"/>
      <c r="AC50" s="50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</row>
    <row r="51" spans="1:40" ht="15.75" customHeight="1">
      <c r="A51" s="493" t="s">
        <v>262</v>
      </c>
      <c r="B51" s="499" t="s">
        <v>0</v>
      </c>
      <c r="C51" s="585" t="s">
        <v>48</v>
      </c>
      <c r="D51" s="82"/>
      <c r="E51" s="504"/>
      <c r="F51" s="514">
        <v>9862.0834470430455</v>
      </c>
      <c r="G51" s="84"/>
      <c r="H51" s="504"/>
      <c r="I51" s="514">
        <v>9862.0834470430455</v>
      </c>
      <c r="J51" s="525"/>
      <c r="K51" s="504"/>
      <c r="L51" s="517">
        <v>6650.68</v>
      </c>
      <c r="M51" s="525"/>
      <c r="N51" s="545">
        <v>-3211.4034470430452</v>
      </c>
      <c r="O51" s="525"/>
      <c r="P51" s="504"/>
      <c r="Q51" s="517">
        <v>8807.2900000000009</v>
      </c>
      <c r="R51" s="525"/>
      <c r="S51" s="567">
        <v>-2156.6100000000006</v>
      </c>
      <c r="T51" s="504"/>
      <c r="U51" s="504"/>
      <c r="V51" s="504"/>
      <c r="W51" s="504"/>
      <c r="X51" s="504"/>
      <c r="Y51" s="504"/>
      <c r="Z51" s="504"/>
      <c r="AA51" s="504"/>
      <c r="AB51" s="504"/>
      <c r="AC51" s="50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</row>
    <row r="52" spans="1:40" ht="15.75" customHeight="1">
      <c r="A52" s="493" t="s">
        <v>263</v>
      </c>
      <c r="B52" s="499" t="s">
        <v>0</v>
      </c>
      <c r="C52" s="585" t="s">
        <v>49</v>
      </c>
      <c r="D52" s="82"/>
      <c r="E52" s="504"/>
      <c r="F52" s="514">
        <v>4017.8858487953148</v>
      </c>
      <c r="G52" s="84"/>
      <c r="H52" s="504"/>
      <c r="I52" s="514">
        <v>4017.8858487953148</v>
      </c>
      <c r="J52" s="525"/>
      <c r="K52" s="504"/>
      <c r="L52" s="517">
        <v>2116.52</v>
      </c>
      <c r="M52" s="525"/>
      <c r="N52" s="545">
        <v>-1901.3658487953148</v>
      </c>
      <c r="O52" s="525"/>
      <c r="P52" s="504"/>
      <c r="Q52" s="517">
        <v>2048.21</v>
      </c>
      <c r="R52" s="525"/>
      <c r="S52" s="567">
        <v>68.309999999999945</v>
      </c>
      <c r="T52" s="504"/>
      <c r="U52" s="504"/>
      <c r="V52" s="504"/>
      <c r="W52" s="504"/>
      <c r="X52" s="504"/>
      <c r="Y52" s="504"/>
      <c r="Z52" s="504"/>
      <c r="AA52" s="504"/>
      <c r="AB52" s="504"/>
      <c r="AC52" s="50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</row>
    <row r="53" spans="1:40" ht="15.75" hidden="1" customHeight="1">
      <c r="A53" s="493" t="s">
        <v>236</v>
      </c>
      <c r="B53" s="499" t="s">
        <v>0</v>
      </c>
      <c r="C53" s="513" t="s">
        <v>21</v>
      </c>
      <c r="D53" s="89"/>
      <c r="E53" s="592"/>
      <c r="F53" s="514">
        <v>0</v>
      </c>
      <c r="G53" s="91"/>
      <c r="H53" s="592"/>
      <c r="I53" s="514">
        <v>0</v>
      </c>
      <c r="J53" s="509"/>
      <c r="K53" s="592"/>
      <c r="L53" s="517">
        <v>0</v>
      </c>
      <c r="M53" s="509"/>
      <c r="N53" s="573">
        <v>0</v>
      </c>
      <c r="O53" s="509"/>
      <c r="P53" s="592"/>
      <c r="Q53" s="517">
        <v>0</v>
      </c>
      <c r="R53" s="509"/>
      <c r="S53" s="574">
        <v>0</v>
      </c>
      <c r="T53" s="504"/>
      <c r="U53" s="504"/>
      <c r="V53" s="504"/>
      <c r="W53" s="504"/>
      <c r="X53" s="504"/>
      <c r="Y53" s="504"/>
      <c r="Z53" s="504"/>
      <c r="AA53" s="504"/>
      <c r="AB53" s="504"/>
      <c r="AC53" s="50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</row>
    <row r="54" spans="1:40" ht="15.75" customHeight="1">
      <c r="A54" s="493" t="s">
        <v>264</v>
      </c>
      <c r="B54" s="499" t="s">
        <v>0</v>
      </c>
      <c r="C54" s="578" t="s">
        <v>50</v>
      </c>
      <c r="D54" s="97" t="s">
        <v>40</v>
      </c>
      <c r="E54" s="579">
        <v>0.27627397281154659</v>
      </c>
      <c r="F54" s="580">
        <v>74795.133374844037</v>
      </c>
      <c r="G54" s="100" t="s">
        <v>40</v>
      </c>
      <c r="H54" s="579">
        <v>0.27627397281154659</v>
      </c>
      <c r="I54" s="580">
        <v>74795.133374844037</v>
      </c>
      <c r="J54" s="100" t="s">
        <v>40</v>
      </c>
      <c r="K54" s="579">
        <v>0.28475807298394296</v>
      </c>
      <c r="L54" s="580">
        <v>69453.259999999995</v>
      </c>
      <c r="M54" s="583"/>
      <c r="N54" s="580">
        <v>-5341.8733748440336</v>
      </c>
      <c r="O54" s="100" t="s">
        <v>40</v>
      </c>
      <c r="P54" s="579">
        <v>0.31992105244932101</v>
      </c>
      <c r="Q54" s="580">
        <v>78065.590000000011</v>
      </c>
      <c r="R54" s="583"/>
      <c r="S54" s="584">
        <v>-8612.3300000000017</v>
      </c>
      <c r="T54" s="565"/>
      <c r="U54" s="504"/>
      <c r="V54" s="499"/>
      <c r="W54" s="499"/>
      <c r="X54" s="499"/>
      <c r="Y54" s="499"/>
      <c r="Z54" s="499"/>
      <c r="AA54" s="499"/>
      <c r="AB54" s="499"/>
      <c r="AC54" s="499"/>
      <c r="AD54" s="499"/>
      <c r="AE54" s="499"/>
      <c r="AF54" s="499"/>
      <c r="AG54" s="499"/>
      <c r="AH54" s="499"/>
      <c r="AI54" s="499"/>
      <c r="AJ54" s="499"/>
      <c r="AK54" s="499"/>
      <c r="AL54" s="499"/>
      <c r="AM54" s="499"/>
      <c r="AN54" s="499"/>
    </row>
    <row r="55" spans="1:40" ht="15.75" customHeight="1">
      <c r="A55" s="493" t="s">
        <v>265</v>
      </c>
      <c r="B55" s="499" t="s">
        <v>0</v>
      </c>
      <c r="C55" s="513" t="s">
        <v>51</v>
      </c>
      <c r="D55" s="82"/>
      <c r="E55" s="504"/>
      <c r="F55" s="514">
        <v>0</v>
      </c>
      <c r="G55" s="84"/>
      <c r="H55" s="504"/>
      <c r="I55" s="514">
        <v>0</v>
      </c>
      <c r="J55" s="525"/>
      <c r="K55" s="504"/>
      <c r="L55" s="517">
        <v>0</v>
      </c>
      <c r="M55" s="525"/>
      <c r="N55" s="545">
        <v>0</v>
      </c>
      <c r="O55" s="525"/>
      <c r="P55" s="504"/>
      <c r="Q55" s="517">
        <v>0</v>
      </c>
      <c r="R55" s="525"/>
      <c r="S55" s="567">
        <v>0</v>
      </c>
      <c r="T55" s="565"/>
      <c r="U55" s="504"/>
      <c r="V55" s="499"/>
      <c r="W55" s="499"/>
      <c r="X55" s="499"/>
      <c r="Y55" s="499"/>
      <c r="Z55" s="499"/>
      <c r="AA55" s="499"/>
      <c r="AB55" s="499"/>
      <c r="AC55" s="499"/>
      <c r="AD55" s="499"/>
      <c r="AE55" s="499"/>
      <c r="AF55" s="499"/>
      <c r="AG55" s="499"/>
      <c r="AH55" s="499"/>
      <c r="AI55" s="499"/>
      <c r="AJ55" s="499"/>
      <c r="AK55" s="499"/>
      <c r="AL55" s="499"/>
      <c r="AM55" s="499"/>
      <c r="AN55" s="499"/>
    </row>
    <row r="56" spans="1:40" ht="15.75" customHeight="1">
      <c r="A56" s="493" t="s">
        <v>266</v>
      </c>
      <c r="B56" s="499" t="s">
        <v>0</v>
      </c>
      <c r="C56" s="513" t="s">
        <v>52</v>
      </c>
      <c r="D56" s="82"/>
      <c r="E56" s="504"/>
      <c r="F56" s="514">
        <v>0</v>
      </c>
      <c r="G56" s="84"/>
      <c r="H56" s="504"/>
      <c r="I56" s="514">
        <v>0</v>
      </c>
      <c r="J56" s="525"/>
      <c r="K56" s="504"/>
      <c r="L56" s="517">
        <v>0</v>
      </c>
      <c r="M56" s="525"/>
      <c r="N56" s="545">
        <v>0</v>
      </c>
      <c r="O56" s="525"/>
      <c r="P56" s="504"/>
      <c r="Q56" s="517">
        <v>0</v>
      </c>
      <c r="R56" s="525"/>
      <c r="S56" s="567">
        <v>0</v>
      </c>
      <c r="T56" s="565"/>
      <c r="U56" s="504"/>
      <c r="V56" s="499"/>
      <c r="W56" s="499"/>
      <c r="X56" s="499"/>
      <c r="Y56" s="499"/>
      <c r="Z56" s="499"/>
      <c r="AA56" s="499"/>
      <c r="AB56" s="499"/>
      <c r="AC56" s="499"/>
      <c r="AD56" s="499"/>
      <c r="AE56" s="499"/>
      <c r="AF56" s="499"/>
      <c r="AG56" s="499"/>
      <c r="AH56" s="499"/>
      <c r="AI56" s="499"/>
      <c r="AJ56" s="499"/>
      <c r="AK56" s="499"/>
      <c r="AL56" s="499"/>
      <c r="AM56" s="499"/>
      <c r="AN56" s="499"/>
    </row>
    <row r="57" spans="1:40" ht="15.75" customHeight="1">
      <c r="A57" s="493" t="s">
        <v>267</v>
      </c>
      <c r="B57" s="499" t="s">
        <v>0</v>
      </c>
      <c r="C57" s="568" t="s">
        <v>53</v>
      </c>
      <c r="D57" s="89"/>
      <c r="E57" s="592"/>
      <c r="F57" s="508">
        <v>7322.9400000000005</v>
      </c>
      <c r="G57" s="91"/>
      <c r="H57" s="592"/>
      <c r="I57" s="508">
        <v>7322.9400000000005</v>
      </c>
      <c r="J57" s="509"/>
      <c r="K57" s="592"/>
      <c r="L57" s="508">
        <v>7787.55</v>
      </c>
      <c r="M57" s="509"/>
      <c r="N57" s="573">
        <v>464.60999999999967</v>
      </c>
      <c r="O57" s="509"/>
      <c r="P57" s="592"/>
      <c r="Q57" s="508">
        <v>6376</v>
      </c>
      <c r="R57" s="509"/>
      <c r="S57" s="574">
        <v>1411.5500000000002</v>
      </c>
      <c r="T57" s="593"/>
      <c r="U57" s="504"/>
      <c r="V57" s="499"/>
      <c r="W57" s="499"/>
      <c r="X57" s="499"/>
      <c r="Y57" s="499"/>
      <c r="Z57" s="499"/>
      <c r="AA57" s="499"/>
      <c r="AB57" s="499"/>
      <c r="AC57" s="499"/>
      <c r="AD57" s="499"/>
      <c r="AE57" s="499"/>
      <c r="AF57" s="499"/>
      <c r="AG57" s="499"/>
      <c r="AH57" s="499"/>
      <c r="AI57" s="499"/>
      <c r="AJ57" s="499"/>
      <c r="AK57" s="499"/>
      <c r="AL57" s="499"/>
      <c r="AM57" s="499"/>
      <c r="AN57" s="499"/>
    </row>
    <row r="58" spans="1:40" ht="15.75" customHeight="1">
      <c r="A58" s="493" t="s">
        <v>268</v>
      </c>
      <c r="B58" s="499" t="s">
        <v>0</v>
      </c>
      <c r="C58" s="513" t="s">
        <v>54</v>
      </c>
      <c r="D58" s="82"/>
      <c r="E58" s="504"/>
      <c r="F58" s="514">
        <v>6834.1988433333336</v>
      </c>
      <c r="G58" s="84"/>
      <c r="H58" s="504"/>
      <c r="I58" s="514">
        <v>6834.1988433333336</v>
      </c>
      <c r="J58" s="525"/>
      <c r="K58" s="504"/>
      <c r="L58" s="517">
        <v>7155.57</v>
      </c>
      <c r="M58" s="525"/>
      <c r="N58" s="545">
        <v>321.37115666666614</v>
      </c>
      <c r="O58" s="525"/>
      <c r="P58" s="504"/>
      <c r="Q58" s="517">
        <v>6391.27</v>
      </c>
      <c r="R58" s="525"/>
      <c r="S58" s="567">
        <v>764.29999999999927</v>
      </c>
      <c r="T58" s="565"/>
      <c r="U58" s="504"/>
      <c r="V58" s="499"/>
      <c r="W58" s="499"/>
      <c r="X58" s="499"/>
      <c r="Y58" s="499"/>
      <c r="Z58" s="499"/>
      <c r="AA58" s="499"/>
      <c r="AB58" s="499"/>
      <c r="AC58" s="499"/>
      <c r="AD58" s="499"/>
      <c r="AE58" s="499"/>
      <c r="AF58" s="499"/>
      <c r="AG58" s="499"/>
      <c r="AH58" s="499"/>
      <c r="AI58" s="499"/>
      <c r="AJ58" s="499"/>
      <c r="AK58" s="499"/>
      <c r="AL58" s="499"/>
      <c r="AM58" s="499"/>
      <c r="AN58" s="499"/>
    </row>
    <row r="59" spans="1:40" ht="15.75" customHeight="1">
      <c r="A59" s="493" t="s">
        <v>269</v>
      </c>
      <c r="B59" s="499" t="s">
        <v>0</v>
      </c>
      <c r="C59" s="513" t="s">
        <v>55</v>
      </c>
      <c r="D59" s="82"/>
      <c r="E59" s="504"/>
      <c r="F59" s="514">
        <v>792.1418000000001</v>
      </c>
      <c r="G59" s="84"/>
      <c r="H59" s="504"/>
      <c r="I59" s="514">
        <v>792.1418000000001</v>
      </c>
      <c r="J59" s="525"/>
      <c r="K59" s="504"/>
      <c r="L59" s="517">
        <v>1547.89</v>
      </c>
      <c r="M59" s="525"/>
      <c r="N59" s="545">
        <v>755.7482</v>
      </c>
      <c r="O59" s="525"/>
      <c r="P59" s="504"/>
      <c r="Q59" s="517">
        <v>612.46</v>
      </c>
      <c r="R59" s="525"/>
      <c r="S59" s="567">
        <v>935.43000000000006</v>
      </c>
      <c r="T59" s="504"/>
      <c r="U59" s="504"/>
      <c r="V59" s="499"/>
      <c r="W59" s="499"/>
      <c r="X59" s="499"/>
      <c r="Y59" s="499"/>
      <c r="Z59" s="499"/>
      <c r="AA59" s="499"/>
      <c r="AB59" s="499"/>
      <c r="AC59" s="499"/>
      <c r="AD59" s="499"/>
      <c r="AE59" s="499"/>
      <c r="AF59" s="499"/>
      <c r="AG59" s="499"/>
      <c r="AH59" s="499"/>
      <c r="AI59" s="499"/>
      <c r="AJ59" s="499"/>
      <c r="AK59" s="499"/>
      <c r="AL59" s="499"/>
      <c r="AM59" s="499"/>
      <c r="AN59" s="499"/>
    </row>
    <row r="60" spans="1:40" ht="15.75" customHeight="1">
      <c r="A60" s="493" t="s">
        <v>270</v>
      </c>
      <c r="B60" s="499" t="s">
        <v>0</v>
      </c>
      <c r="C60" s="568" t="s">
        <v>56</v>
      </c>
      <c r="D60" s="89"/>
      <c r="E60" s="592"/>
      <c r="F60" s="508">
        <v>6518.7073777777778</v>
      </c>
      <c r="G60" s="91"/>
      <c r="H60" s="592"/>
      <c r="I60" s="508">
        <v>6518.7073777777778</v>
      </c>
      <c r="J60" s="509"/>
      <c r="K60" s="592"/>
      <c r="L60" s="508">
        <v>5848.73</v>
      </c>
      <c r="M60" s="509"/>
      <c r="N60" s="573">
        <v>-669.9773777777782</v>
      </c>
      <c r="O60" s="509"/>
      <c r="P60" s="592"/>
      <c r="Q60" s="508">
        <v>7206.23</v>
      </c>
      <c r="R60" s="509"/>
      <c r="S60" s="574">
        <v>-1357.5</v>
      </c>
      <c r="T60" s="504"/>
      <c r="U60" s="504"/>
      <c r="V60" s="499"/>
      <c r="W60" s="499"/>
      <c r="X60" s="499"/>
      <c r="Y60" s="499"/>
      <c r="Z60" s="499"/>
      <c r="AA60" s="499"/>
      <c r="AB60" s="499"/>
      <c r="AC60" s="499"/>
      <c r="AD60" s="499"/>
      <c r="AE60" s="499"/>
      <c r="AF60" s="499"/>
      <c r="AG60" s="499"/>
      <c r="AH60" s="499"/>
      <c r="AI60" s="499"/>
      <c r="AJ60" s="499"/>
      <c r="AK60" s="499"/>
      <c r="AL60" s="499"/>
      <c r="AM60" s="499"/>
      <c r="AN60" s="499"/>
    </row>
    <row r="61" spans="1:40" ht="15.75" customHeight="1">
      <c r="A61" s="493" t="s">
        <v>271</v>
      </c>
      <c r="B61" s="499" t="s">
        <v>0</v>
      </c>
      <c r="C61" s="513" t="s">
        <v>57</v>
      </c>
      <c r="D61" s="82"/>
      <c r="E61" s="504"/>
      <c r="F61" s="514">
        <v>107.68716037339154</v>
      </c>
      <c r="G61" s="84"/>
      <c r="H61" s="504"/>
      <c r="I61" s="514">
        <v>107.68716037339154</v>
      </c>
      <c r="J61" s="525"/>
      <c r="K61" s="504"/>
      <c r="L61" s="517">
        <v>15.24</v>
      </c>
      <c r="M61" s="525"/>
      <c r="N61" s="545">
        <v>-92.44716037339154</v>
      </c>
      <c r="O61" s="525"/>
      <c r="P61" s="504"/>
      <c r="Q61" s="517">
        <v>74.930000000000007</v>
      </c>
      <c r="R61" s="525"/>
      <c r="S61" s="567">
        <v>-59.690000000000005</v>
      </c>
      <c r="T61" s="504"/>
      <c r="U61" s="504"/>
      <c r="V61" s="504"/>
      <c r="W61" s="504"/>
      <c r="X61" s="504"/>
      <c r="Y61" s="504"/>
      <c r="Z61" s="504"/>
      <c r="AA61" s="504"/>
      <c r="AB61" s="504"/>
      <c r="AC61" s="50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</row>
    <row r="62" spans="1:40" ht="15.75" customHeight="1">
      <c r="A62" s="493" t="s">
        <v>272</v>
      </c>
      <c r="B62" s="499" t="s">
        <v>0</v>
      </c>
      <c r="C62" s="513" t="s">
        <v>58</v>
      </c>
      <c r="D62" s="82"/>
      <c r="E62" s="504"/>
      <c r="F62" s="514">
        <v>57.222126165837054</v>
      </c>
      <c r="G62" s="84"/>
      <c r="H62" s="504"/>
      <c r="I62" s="514">
        <v>57.222126165837054</v>
      </c>
      <c r="J62" s="525"/>
      <c r="K62" s="504"/>
      <c r="L62" s="517">
        <v>0</v>
      </c>
      <c r="M62" s="525"/>
      <c r="N62" s="545">
        <v>-57.222126165837054</v>
      </c>
      <c r="O62" s="525"/>
      <c r="P62" s="504"/>
      <c r="Q62" s="517">
        <v>0</v>
      </c>
      <c r="R62" s="525"/>
      <c r="S62" s="567">
        <v>0</v>
      </c>
      <c r="T62" s="504"/>
      <c r="U62" s="504"/>
      <c r="V62" s="504"/>
      <c r="W62" s="504"/>
      <c r="X62" s="504"/>
      <c r="Y62" s="504"/>
      <c r="Z62" s="504"/>
      <c r="AA62" s="504"/>
      <c r="AB62" s="504"/>
      <c r="AC62" s="50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</row>
    <row r="63" spans="1:40" ht="15.75" customHeight="1">
      <c r="A63" s="493" t="s">
        <v>273</v>
      </c>
      <c r="B63" s="499" t="s">
        <v>0</v>
      </c>
      <c r="C63" s="513" t="s">
        <v>59</v>
      </c>
      <c r="D63" s="82"/>
      <c r="E63" s="504"/>
      <c r="F63" s="514">
        <v>652.86432000000002</v>
      </c>
      <c r="G63" s="84"/>
      <c r="H63" s="504"/>
      <c r="I63" s="514">
        <v>652.86432000000002</v>
      </c>
      <c r="J63" s="525"/>
      <c r="K63" s="504"/>
      <c r="L63" s="516">
        <v>677.38</v>
      </c>
      <c r="M63" s="525"/>
      <c r="N63" s="545">
        <v>24.515679999999975</v>
      </c>
      <c r="O63" s="525"/>
      <c r="P63" s="504"/>
      <c r="Q63" s="516">
        <v>755.68</v>
      </c>
      <c r="R63" s="525"/>
      <c r="S63" s="567">
        <v>-78.299999999999955</v>
      </c>
      <c r="T63" s="504"/>
      <c r="U63" s="504"/>
      <c r="V63" s="504"/>
      <c r="W63" s="504"/>
      <c r="X63" s="504"/>
      <c r="Y63" s="504"/>
      <c r="Z63" s="504"/>
      <c r="AA63" s="504"/>
      <c r="AB63" s="504"/>
      <c r="AC63" s="50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</row>
    <row r="64" spans="1:40" ht="15.75" customHeight="1">
      <c r="A64" s="493" t="s">
        <v>274</v>
      </c>
      <c r="B64" s="499" t="s">
        <v>0</v>
      </c>
      <c r="C64" s="513" t="s">
        <v>60</v>
      </c>
      <c r="D64" s="82"/>
      <c r="E64" s="504"/>
      <c r="F64" s="514">
        <v>301.4645266666667</v>
      </c>
      <c r="G64" s="84"/>
      <c r="H64" s="504"/>
      <c r="I64" s="514">
        <v>301.4645266666667</v>
      </c>
      <c r="J64" s="525"/>
      <c r="K64" s="504"/>
      <c r="L64" s="517">
        <v>298.89999999999998</v>
      </c>
      <c r="M64" s="525"/>
      <c r="N64" s="545">
        <v>-2.5645266666667226</v>
      </c>
      <c r="O64" s="525"/>
      <c r="P64" s="504"/>
      <c r="Q64" s="517">
        <v>257.26</v>
      </c>
      <c r="R64" s="525"/>
      <c r="S64" s="567">
        <v>41.639999999999986</v>
      </c>
      <c r="T64" s="504"/>
      <c r="U64" s="504"/>
      <c r="V64" s="504"/>
      <c r="W64" s="504"/>
      <c r="X64" s="504"/>
      <c r="Y64" s="504"/>
      <c r="Z64" s="504"/>
      <c r="AA64" s="504"/>
      <c r="AB64" s="504"/>
      <c r="AC64" s="50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</row>
    <row r="65" spans="1:40" ht="15.75" customHeight="1">
      <c r="A65" s="493" t="s">
        <v>275</v>
      </c>
      <c r="B65" s="499" t="s">
        <v>0</v>
      </c>
      <c r="C65" s="513" t="s">
        <v>61</v>
      </c>
      <c r="D65" s="82"/>
      <c r="E65" s="504"/>
      <c r="F65" s="514">
        <v>160.91707333333329</v>
      </c>
      <c r="G65" s="84"/>
      <c r="H65" s="504"/>
      <c r="I65" s="514">
        <v>160.91707333333329</v>
      </c>
      <c r="J65" s="525"/>
      <c r="K65" s="504"/>
      <c r="L65" s="517">
        <v>101.47</v>
      </c>
      <c r="M65" s="525"/>
      <c r="N65" s="545">
        <v>-59.447073333333293</v>
      </c>
      <c r="O65" s="525"/>
      <c r="P65" s="504"/>
      <c r="Q65" s="517">
        <v>162.85</v>
      </c>
      <c r="R65" s="525"/>
      <c r="S65" s="567">
        <v>-61.379999999999995</v>
      </c>
      <c r="T65" s="504"/>
      <c r="U65" s="504"/>
      <c r="V65" s="504"/>
      <c r="W65" s="504"/>
      <c r="X65" s="504"/>
      <c r="Y65" s="504"/>
      <c r="Z65" s="504"/>
      <c r="AA65" s="504"/>
      <c r="AB65" s="504"/>
      <c r="AC65" s="50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</row>
    <row r="66" spans="1:40" ht="15.75" customHeight="1">
      <c r="A66" s="493" t="s">
        <v>276</v>
      </c>
      <c r="B66" s="499" t="s">
        <v>0</v>
      </c>
      <c r="C66" s="513" t="s">
        <v>62</v>
      </c>
      <c r="D66" s="82"/>
      <c r="E66" s="504"/>
      <c r="F66" s="514">
        <v>776.23359333333315</v>
      </c>
      <c r="G66" s="84"/>
      <c r="H66" s="504"/>
      <c r="I66" s="514">
        <v>776.23359333333315</v>
      </c>
      <c r="J66" s="525"/>
      <c r="K66" s="504"/>
      <c r="L66" s="517">
        <v>267.61</v>
      </c>
      <c r="M66" s="525"/>
      <c r="N66" s="545">
        <v>-508.62359333333313</v>
      </c>
      <c r="O66" s="525"/>
      <c r="P66" s="504"/>
      <c r="Q66" s="517">
        <v>1198.42</v>
      </c>
      <c r="R66" s="525"/>
      <c r="S66" s="567">
        <v>-930.81000000000006</v>
      </c>
      <c r="T66" s="504"/>
      <c r="U66" s="504"/>
      <c r="V66" s="504"/>
      <c r="W66" s="504"/>
      <c r="X66" s="504"/>
      <c r="Y66" s="504"/>
      <c r="Z66" s="504"/>
      <c r="AA66" s="504"/>
      <c r="AB66" s="504"/>
      <c r="AC66" s="50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</row>
    <row r="67" spans="1:40" ht="15.75" customHeight="1">
      <c r="A67" s="493" t="s">
        <v>277</v>
      </c>
      <c r="B67" s="499" t="s">
        <v>0</v>
      </c>
      <c r="C67" s="513" t="s">
        <v>63</v>
      </c>
      <c r="D67" s="82"/>
      <c r="E67" s="504"/>
      <c r="F67" s="514">
        <v>1153.2562666666668</v>
      </c>
      <c r="G67" s="84"/>
      <c r="H67" s="504"/>
      <c r="I67" s="514">
        <v>1153.2562666666668</v>
      </c>
      <c r="J67" s="525"/>
      <c r="K67" s="504"/>
      <c r="L67" s="517">
        <v>933.1</v>
      </c>
      <c r="M67" s="525"/>
      <c r="N67" s="545">
        <v>-220.15626666666674</v>
      </c>
      <c r="O67" s="525"/>
      <c r="P67" s="504"/>
      <c r="Q67" s="517">
        <v>843.33</v>
      </c>
      <c r="R67" s="525"/>
      <c r="S67" s="567">
        <v>89.769999999999982</v>
      </c>
      <c r="T67" s="504"/>
      <c r="U67" s="504"/>
      <c r="V67" s="504"/>
      <c r="W67" s="504"/>
      <c r="X67" s="504"/>
      <c r="Y67" s="504"/>
      <c r="Z67" s="504"/>
      <c r="AA67" s="504"/>
      <c r="AB67" s="504"/>
      <c r="AC67" s="50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</row>
    <row r="68" spans="1:40" ht="15.75" customHeight="1">
      <c r="A68" s="493" t="s">
        <v>278</v>
      </c>
      <c r="B68" s="499" t="s">
        <v>0</v>
      </c>
      <c r="C68" s="513" t="s">
        <v>64</v>
      </c>
      <c r="D68" s="82"/>
      <c r="E68" s="504"/>
      <c r="F68" s="514">
        <v>3066.8321500849493</v>
      </c>
      <c r="G68" s="84"/>
      <c r="H68" s="504"/>
      <c r="I68" s="514">
        <v>3066.8321500849493</v>
      </c>
      <c r="J68" s="525"/>
      <c r="K68" s="504"/>
      <c r="L68" s="516">
        <v>4255.9650000000001</v>
      </c>
      <c r="M68" s="525"/>
      <c r="N68" s="545">
        <v>1189.1328499150509</v>
      </c>
      <c r="O68" s="525"/>
      <c r="P68" s="504"/>
      <c r="Q68" s="517">
        <v>3102.8445000000002</v>
      </c>
      <c r="R68" s="525"/>
      <c r="S68" s="567">
        <v>1153.1205</v>
      </c>
      <c r="T68" s="504"/>
      <c r="U68" s="504"/>
      <c r="V68" s="504"/>
      <c r="W68" s="504"/>
      <c r="X68" s="504"/>
      <c r="Y68" s="504"/>
      <c r="Z68" s="504"/>
      <c r="AA68" s="504"/>
      <c r="AB68" s="504"/>
      <c r="AC68" s="50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</row>
    <row r="69" spans="1:40" ht="15.75" hidden="1" customHeight="1">
      <c r="A69" s="493" t="s">
        <v>236</v>
      </c>
      <c r="B69" s="499" t="s">
        <v>0</v>
      </c>
      <c r="C69" s="513" t="s">
        <v>21</v>
      </c>
      <c r="D69" s="82"/>
      <c r="E69" s="504"/>
      <c r="F69" s="514">
        <v>0</v>
      </c>
      <c r="G69" s="84"/>
      <c r="H69" s="504"/>
      <c r="I69" s="514">
        <v>0</v>
      </c>
      <c r="J69" s="525"/>
      <c r="K69" s="504"/>
      <c r="L69" s="517"/>
      <c r="M69" s="525"/>
      <c r="N69" s="545">
        <v>0</v>
      </c>
      <c r="O69" s="525"/>
      <c r="P69" s="504"/>
      <c r="Q69" s="517">
        <v>0</v>
      </c>
      <c r="R69" s="525"/>
      <c r="S69" s="567">
        <v>0</v>
      </c>
      <c r="T69" s="504"/>
      <c r="U69" s="504"/>
      <c r="V69" s="504"/>
      <c r="W69" s="504"/>
      <c r="X69" s="504"/>
      <c r="Y69" s="504"/>
      <c r="Z69" s="504"/>
      <c r="AA69" s="504"/>
      <c r="AB69" s="504"/>
      <c r="AC69" s="50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</row>
    <row r="70" spans="1:40" ht="15.75" hidden="1" customHeight="1">
      <c r="A70" s="493" t="s">
        <v>236</v>
      </c>
      <c r="B70" s="499" t="s">
        <v>0</v>
      </c>
      <c r="C70" s="513" t="s">
        <v>21</v>
      </c>
      <c r="D70" s="82"/>
      <c r="E70" s="504"/>
      <c r="F70" s="514">
        <v>0</v>
      </c>
      <c r="G70" s="84"/>
      <c r="H70" s="504"/>
      <c r="I70" s="514">
        <v>0</v>
      </c>
      <c r="J70" s="525"/>
      <c r="K70" s="504"/>
      <c r="L70" s="517">
        <v>0</v>
      </c>
      <c r="M70" s="525"/>
      <c r="N70" s="545">
        <v>0</v>
      </c>
      <c r="O70" s="525"/>
      <c r="P70" s="504"/>
      <c r="Q70" s="517">
        <v>0</v>
      </c>
      <c r="R70" s="525"/>
      <c r="S70" s="567">
        <v>0</v>
      </c>
      <c r="T70" s="504"/>
      <c r="U70" s="504"/>
      <c r="V70" s="504"/>
      <c r="W70" s="504"/>
      <c r="X70" s="504"/>
      <c r="Y70" s="504"/>
      <c r="Z70" s="504"/>
      <c r="AA70" s="504"/>
      <c r="AB70" s="504"/>
      <c r="AC70" s="50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</row>
    <row r="71" spans="1:40" ht="15.75" hidden="1" customHeight="1">
      <c r="A71" s="493" t="s">
        <v>236</v>
      </c>
      <c r="B71" s="499" t="s">
        <v>0</v>
      </c>
      <c r="C71" s="513" t="s">
        <v>21</v>
      </c>
      <c r="D71" s="82"/>
      <c r="E71" s="504"/>
      <c r="F71" s="514">
        <v>0</v>
      </c>
      <c r="G71" s="84"/>
      <c r="H71" s="504"/>
      <c r="I71" s="514">
        <v>0</v>
      </c>
      <c r="J71" s="525"/>
      <c r="K71" s="504"/>
      <c r="L71" s="517">
        <v>0</v>
      </c>
      <c r="M71" s="525"/>
      <c r="N71" s="545">
        <v>0</v>
      </c>
      <c r="O71" s="525"/>
      <c r="P71" s="504"/>
      <c r="Q71" s="517">
        <v>0</v>
      </c>
      <c r="R71" s="525"/>
      <c r="S71" s="567">
        <v>0</v>
      </c>
      <c r="T71" s="504"/>
      <c r="U71" s="504"/>
      <c r="V71" s="499"/>
      <c r="W71" s="499"/>
      <c r="X71" s="499"/>
      <c r="Y71" s="499"/>
      <c r="Z71" s="499"/>
      <c r="AA71" s="499"/>
      <c r="AB71" s="499"/>
      <c r="AC71" s="499"/>
      <c r="AD71" s="499"/>
      <c r="AE71" s="499"/>
      <c r="AF71" s="499"/>
      <c r="AG71" s="499"/>
      <c r="AH71" s="499"/>
      <c r="AI71" s="499"/>
      <c r="AJ71" s="499"/>
      <c r="AK71" s="499"/>
      <c r="AL71" s="499"/>
      <c r="AM71" s="499"/>
      <c r="AN71" s="499"/>
    </row>
    <row r="72" spans="1:40" ht="15.75" customHeight="1">
      <c r="A72" s="493" t="s">
        <v>279</v>
      </c>
      <c r="B72" s="499" t="s">
        <v>0</v>
      </c>
      <c r="C72" s="578" t="s">
        <v>65</v>
      </c>
      <c r="D72" s="97" t="s">
        <v>40</v>
      </c>
      <c r="E72" s="579">
        <v>0.10248091405020457</v>
      </c>
      <c r="F72" s="580">
        <v>27744.465237735294</v>
      </c>
      <c r="G72" s="100" t="s">
        <v>40</v>
      </c>
      <c r="H72" s="579">
        <v>0.10248091405020457</v>
      </c>
      <c r="I72" s="580">
        <v>27744.465237735294</v>
      </c>
      <c r="J72" s="100" t="s">
        <v>40</v>
      </c>
      <c r="K72" s="579">
        <v>0.1184464386186147</v>
      </c>
      <c r="L72" s="580">
        <v>28889.405000000002</v>
      </c>
      <c r="M72" s="583"/>
      <c r="N72" s="580">
        <v>1144.93976226471</v>
      </c>
      <c r="O72" s="100" t="s">
        <v>40</v>
      </c>
      <c r="P72" s="579">
        <v>0.11057211934815361</v>
      </c>
      <c r="Q72" s="580">
        <v>26981.2745</v>
      </c>
      <c r="R72" s="583"/>
      <c r="S72" s="584">
        <v>1908.1304999999998</v>
      </c>
      <c r="T72" s="504"/>
      <c r="U72" s="504"/>
      <c r="V72" s="499"/>
      <c r="W72" s="499"/>
      <c r="X72" s="499"/>
      <c r="Y72" s="499"/>
      <c r="Z72" s="499"/>
      <c r="AA72" s="499"/>
      <c r="AB72" s="499"/>
      <c r="AC72" s="499"/>
      <c r="AD72" s="499"/>
      <c r="AE72" s="499"/>
      <c r="AF72" s="499"/>
      <c r="AG72" s="499"/>
      <c r="AH72" s="499"/>
      <c r="AI72" s="499"/>
      <c r="AJ72" s="499"/>
      <c r="AK72" s="499"/>
      <c r="AL72" s="499"/>
      <c r="AM72" s="499"/>
      <c r="AN72" s="499"/>
    </row>
    <row r="73" spans="1:40" ht="15.75" customHeight="1">
      <c r="A73" s="493" t="s">
        <v>0</v>
      </c>
      <c r="B73" s="499" t="s">
        <v>0</v>
      </c>
      <c r="C73" s="568"/>
      <c r="D73" s="89"/>
      <c r="E73" s="592"/>
      <c r="F73" s="545"/>
      <c r="G73" s="91"/>
      <c r="H73" s="592"/>
      <c r="I73" s="545"/>
      <c r="J73" s="509"/>
      <c r="K73" s="592"/>
      <c r="L73" s="573"/>
      <c r="M73" s="509"/>
      <c r="N73" s="573"/>
      <c r="O73" s="509"/>
      <c r="P73" s="592"/>
      <c r="Q73" s="573"/>
      <c r="R73" s="509"/>
      <c r="S73" s="574"/>
      <c r="T73" s="504"/>
      <c r="U73" s="504"/>
      <c r="V73" s="499"/>
      <c r="W73" s="499"/>
      <c r="X73" s="499"/>
      <c r="Y73" s="499"/>
      <c r="Z73" s="499"/>
      <c r="AA73" s="499"/>
      <c r="AB73" s="499"/>
      <c r="AC73" s="499"/>
      <c r="AD73" s="499"/>
      <c r="AE73" s="499"/>
      <c r="AF73" s="499"/>
      <c r="AG73" s="499"/>
      <c r="AH73" s="499"/>
      <c r="AI73" s="499"/>
      <c r="AJ73" s="499"/>
      <c r="AK73" s="499"/>
      <c r="AL73" s="499"/>
      <c r="AM73" s="499"/>
      <c r="AN73" s="499"/>
    </row>
    <row r="74" spans="1:40" ht="15.75" customHeight="1">
      <c r="A74" s="493" t="s">
        <v>280</v>
      </c>
      <c r="B74" s="499" t="s">
        <v>0</v>
      </c>
      <c r="C74" s="578" t="s">
        <v>66</v>
      </c>
      <c r="D74" s="97" t="s">
        <v>40</v>
      </c>
      <c r="E74" s="579">
        <v>0.84001689315179306</v>
      </c>
      <c r="F74" s="580">
        <v>227416.19458763796</v>
      </c>
      <c r="G74" s="100" t="s">
        <v>40</v>
      </c>
      <c r="H74" s="579">
        <v>0.84001689315179306</v>
      </c>
      <c r="I74" s="580">
        <v>227416.19458763796</v>
      </c>
      <c r="J74" s="100" t="s">
        <v>40</v>
      </c>
      <c r="K74" s="579">
        <v>0.80690321619659078</v>
      </c>
      <c r="L74" s="580">
        <v>196805.86500000002</v>
      </c>
      <c r="M74" s="583"/>
      <c r="N74" s="594">
        <v>-30610.329587637942</v>
      </c>
      <c r="O74" s="100" t="s">
        <v>40</v>
      </c>
      <c r="P74" s="579">
        <v>0.86838430782807463</v>
      </c>
      <c r="Q74" s="580">
        <v>211898.94450000001</v>
      </c>
      <c r="R74" s="583"/>
      <c r="S74" s="595">
        <v>-15093.079499999993</v>
      </c>
      <c r="T74" s="504"/>
      <c r="U74" s="504"/>
      <c r="V74" s="499"/>
      <c r="W74" s="499"/>
      <c r="X74" s="499"/>
      <c r="Y74" s="499"/>
      <c r="Z74" s="499"/>
      <c r="AA74" s="499"/>
      <c r="AB74" s="499"/>
      <c r="AC74" s="499"/>
      <c r="AD74" s="499"/>
      <c r="AE74" s="499"/>
      <c r="AF74" s="499"/>
      <c r="AG74" s="499"/>
      <c r="AH74" s="499"/>
      <c r="AI74" s="499"/>
      <c r="AJ74" s="499"/>
      <c r="AK74" s="499"/>
      <c r="AL74" s="499"/>
      <c r="AM74" s="499"/>
      <c r="AN74" s="499"/>
    </row>
    <row r="75" spans="1:40" ht="15.75" customHeight="1">
      <c r="A75" s="493" t="s">
        <v>281</v>
      </c>
      <c r="B75" s="499" t="s">
        <v>0</v>
      </c>
      <c r="C75" s="513" t="s">
        <v>200</v>
      </c>
      <c r="D75" s="82"/>
      <c r="E75" s="504"/>
      <c r="F75" s="514">
        <v>0</v>
      </c>
      <c r="G75" s="84"/>
      <c r="H75" s="504"/>
      <c r="I75" s="514">
        <v>0</v>
      </c>
      <c r="J75" s="525"/>
      <c r="K75" s="504"/>
      <c r="L75" s="516">
        <v>0</v>
      </c>
      <c r="M75" s="525"/>
      <c r="N75" s="545">
        <v>0</v>
      </c>
      <c r="O75" s="525"/>
      <c r="P75" s="504"/>
      <c r="Q75" s="516">
        <v>0</v>
      </c>
      <c r="R75" s="525"/>
      <c r="S75" s="567"/>
      <c r="T75" s="504"/>
      <c r="U75" s="504"/>
      <c r="V75" s="499"/>
      <c r="W75" s="499"/>
      <c r="X75" s="499"/>
      <c r="Y75" s="499"/>
      <c r="Z75" s="499"/>
      <c r="AA75" s="499"/>
      <c r="AB75" s="499"/>
      <c r="AC75" s="499"/>
      <c r="AD75" s="499"/>
      <c r="AE75" s="499"/>
      <c r="AF75" s="499"/>
      <c r="AG75" s="499"/>
      <c r="AH75" s="499"/>
      <c r="AI75" s="499"/>
      <c r="AJ75" s="499"/>
      <c r="AK75" s="499"/>
      <c r="AL75" s="499"/>
      <c r="AM75" s="499"/>
      <c r="AN75" s="499"/>
    </row>
    <row r="76" spans="1:40" ht="15.75" customHeight="1">
      <c r="A76" s="493" t="s">
        <v>282</v>
      </c>
      <c r="B76" s="499" t="s">
        <v>0</v>
      </c>
      <c r="C76" s="513" t="s">
        <v>197</v>
      </c>
      <c r="D76" s="82"/>
      <c r="E76" s="504"/>
      <c r="F76" s="514">
        <v>0</v>
      </c>
      <c r="G76" s="84"/>
      <c r="H76" s="504"/>
      <c r="I76" s="514">
        <v>0</v>
      </c>
      <c r="J76" s="525"/>
      <c r="K76" s="504"/>
      <c r="L76" s="516">
        <v>0</v>
      </c>
      <c r="M76" s="525"/>
      <c r="N76" s="545">
        <v>0</v>
      </c>
      <c r="O76" s="525"/>
      <c r="P76" s="504"/>
      <c r="Q76" s="516">
        <v>0</v>
      </c>
      <c r="R76" s="525"/>
      <c r="S76" s="567">
        <v>0</v>
      </c>
      <c r="T76" s="504"/>
      <c r="U76" s="504"/>
      <c r="V76" s="499"/>
      <c r="W76" s="499"/>
      <c r="X76" s="499"/>
      <c r="Y76" s="499"/>
      <c r="Z76" s="499"/>
      <c r="AA76" s="499"/>
      <c r="AB76" s="499"/>
      <c r="AC76" s="499"/>
      <c r="AD76" s="499"/>
      <c r="AE76" s="499"/>
      <c r="AF76" s="499"/>
      <c r="AG76" s="499"/>
      <c r="AH76" s="499"/>
      <c r="AI76" s="499"/>
      <c r="AJ76" s="499"/>
      <c r="AK76" s="499"/>
      <c r="AL76" s="499"/>
      <c r="AM76" s="499"/>
      <c r="AN76" s="499"/>
    </row>
    <row r="77" spans="1:40" ht="15.75" customHeight="1">
      <c r="A77" s="493" t="s">
        <v>283</v>
      </c>
      <c r="B77" s="499" t="s">
        <v>0</v>
      </c>
      <c r="C77" s="513" t="s">
        <v>69</v>
      </c>
      <c r="D77" s="82"/>
      <c r="E77" s="504"/>
      <c r="F77" s="514">
        <v>0</v>
      </c>
      <c r="G77" s="84"/>
      <c r="H77" s="504"/>
      <c r="I77" s="514">
        <v>0</v>
      </c>
      <c r="J77" s="525"/>
      <c r="K77" s="504"/>
      <c r="L77" s="516">
        <v>0</v>
      </c>
      <c r="M77" s="525"/>
      <c r="N77" s="545">
        <v>0</v>
      </c>
      <c r="O77" s="525"/>
      <c r="P77" s="504"/>
      <c r="Q77" s="516">
        <v>0</v>
      </c>
      <c r="R77" s="525"/>
      <c r="S77" s="567">
        <v>0</v>
      </c>
      <c r="T77" s="504"/>
      <c r="U77" s="504"/>
      <c r="V77" s="499"/>
      <c r="W77" s="499"/>
      <c r="X77" s="499"/>
      <c r="Y77" s="499"/>
      <c r="Z77" s="499"/>
      <c r="AA77" s="499"/>
      <c r="AB77" s="499"/>
      <c r="AC77" s="499"/>
      <c r="AD77" s="499"/>
      <c r="AE77" s="499"/>
      <c r="AF77" s="499"/>
      <c r="AG77" s="499"/>
      <c r="AH77" s="499"/>
      <c r="AI77" s="499"/>
      <c r="AJ77" s="499"/>
      <c r="AK77" s="499"/>
      <c r="AL77" s="499"/>
      <c r="AM77" s="499"/>
      <c r="AN77" s="499"/>
    </row>
    <row r="78" spans="1:40" ht="15.75" customHeight="1">
      <c r="A78" s="493" t="s">
        <v>284</v>
      </c>
      <c r="B78" s="499" t="s">
        <v>0</v>
      </c>
      <c r="C78" s="513" t="s">
        <v>70</v>
      </c>
      <c r="D78" s="82"/>
      <c r="E78" s="504"/>
      <c r="F78" s="514">
        <v>100420.52877108431</v>
      </c>
      <c r="G78" s="84"/>
      <c r="H78" s="504"/>
      <c r="I78" s="514">
        <v>100420.52877108431</v>
      </c>
      <c r="J78" s="525"/>
      <c r="K78" s="504"/>
      <c r="L78" s="517">
        <v>53351</v>
      </c>
      <c r="M78" s="525"/>
      <c r="N78" s="545">
        <v>-47069.528771084311</v>
      </c>
      <c r="O78" s="525"/>
      <c r="P78" s="504"/>
      <c r="Q78" s="516">
        <v>102678</v>
      </c>
      <c r="R78" s="525"/>
      <c r="S78" s="567">
        <v>-49327</v>
      </c>
      <c r="T78" s="504"/>
      <c r="U78" s="504"/>
      <c r="V78" s="499"/>
      <c r="W78" s="499"/>
      <c r="X78" s="499"/>
      <c r="Y78" s="499"/>
      <c r="Z78" s="499"/>
      <c r="AA78" s="499"/>
      <c r="AB78" s="499"/>
      <c r="AC78" s="499"/>
      <c r="AD78" s="499"/>
      <c r="AE78" s="499"/>
      <c r="AF78" s="499"/>
      <c r="AG78" s="499"/>
      <c r="AH78" s="499"/>
      <c r="AI78" s="499"/>
      <c r="AJ78" s="499"/>
      <c r="AK78" s="499"/>
      <c r="AL78" s="499"/>
      <c r="AM78" s="499"/>
      <c r="AN78" s="499"/>
    </row>
    <row r="79" spans="1:40" ht="15.75" hidden="1" customHeight="1">
      <c r="A79" s="493" t="s">
        <v>236</v>
      </c>
      <c r="B79" s="499" t="s">
        <v>0</v>
      </c>
      <c r="C79" s="513" t="s">
        <v>21</v>
      </c>
      <c r="D79" s="82"/>
      <c r="E79" s="504"/>
      <c r="F79" s="514">
        <v>0</v>
      </c>
      <c r="G79" s="84"/>
      <c r="H79" s="504"/>
      <c r="I79" s="514">
        <v>0</v>
      </c>
      <c r="J79" s="525"/>
      <c r="K79" s="504"/>
      <c r="L79" s="517">
        <v>0</v>
      </c>
      <c r="M79" s="525"/>
      <c r="N79" s="545">
        <v>0</v>
      </c>
      <c r="O79" s="525"/>
      <c r="P79" s="504"/>
      <c r="Q79" s="516">
        <v>0</v>
      </c>
      <c r="R79" s="525"/>
      <c r="S79" s="567">
        <v>0</v>
      </c>
      <c r="T79" s="504"/>
      <c r="U79" s="504"/>
      <c r="V79" s="499"/>
      <c r="W79" s="499"/>
      <c r="X79" s="499"/>
      <c r="Y79" s="499"/>
      <c r="Z79" s="499"/>
      <c r="AA79" s="499"/>
      <c r="AB79" s="499"/>
      <c r="AC79" s="499"/>
      <c r="AD79" s="499"/>
      <c r="AE79" s="499"/>
      <c r="AF79" s="499"/>
      <c r="AG79" s="499"/>
      <c r="AH79" s="499"/>
      <c r="AI79" s="499"/>
      <c r="AJ79" s="499"/>
      <c r="AK79" s="499"/>
      <c r="AL79" s="499"/>
      <c r="AM79" s="499"/>
      <c r="AN79" s="499"/>
    </row>
    <row r="80" spans="1:40" ht="15.75" hidden="1" customHeight="1">
      <c r="A80" s="493" t="s">
        <v>236</v>
      </c>
      <c r="B80" s="499" t="s">
        <v>0</v>
      </c>
      <c r="C80" s="513" t="s">
        <v>21</v>
      </c>
      <c r="D80" s="82"/>
      <c r="E80" s="504"/>
      <c r="F80" s="514">
        <v>0</v>
      </c>
      <c r="G80" s="84"/>
      <c r="H80" s="504"/>
      <c r="I80" s="514">
        <v>0</v>
      </c>
      <c r="J80" s="525"/>
      <c r="K80" s="504"/>
      <c r="L80" s="517">
        <v>0</v>
      </c>
      <c r="M80" s="525"/>
      <c r="N80" s="545">
        <v>0</v>
      </c>
      <c r="O80" s="525"/>
      <c r="P80" s="504"/>
      <c r="Q80" s="516">
        <v>0</v>
      </c>
      <c r="R80" s="525"/>
      <c r="S80" s="567">
        <v>0</v>
      </c>
      <c r="T80" s="504"/>
      <c r="U80" s="504"/>
      <c r="V80" s="499"/>
      <c r="W80" s="499"/>
      <c r="X80" s="499"/>
      <c r="Y80" s="499"/>
      <c r="Z80" s="499"/>
      <c r="AA80" s="499"/>
      <c r="AB80" s="499"/>
      <c r="AC80" s="499"/>
      <c r="AD80" s="499"/>
      <c r="AE80" s="499"/>
      <c r="AF80" s="499"/>
      <c r="AG80" s="499"/>
      <c r="AH80" s="499"/>
      <c r="AI80" s="499"/>
      <c r="AJ80" s="499"/>
      <c r="AK80" s="499"/>
      <c r="AL80" s="499"/>
      <c r="AM80" s="499"/>
      <c r="AN80" s="499"/>
    </row>
    <row r="81" spans="1:40" ht="15.75" hidden="1" customHeight="1">
      <c r="A81" s="493" t="s">
        <v>236</v>
      </c>
      <c r="B81" s="499" t="s">
        <v>0</v>
      </c>
      <c r="C81" s="513" t="s">
        <v>21</v>
      </c>
      <c r="D81" s="82"/>
      <c r="E81" s="504"/>
      <c r="F81" s="514">
        <v>0</v>
      </c>
      <c r="G81" s="84"/>
      <c r="H81" s="504"/>
      <c r="I81" s="514">
        <v>0</v>
      </c>
      <c r="J81" s="525"/>
      <c r="K81" s="504"/>
      <c r="L81" s="517">
        <v>0</v>
      </c>
      <c r="M81" s="525"/>
      <c r="N81" s="545">
        <v>0</v>
      </c>
      <c r="O81" s="525"/>
      <c r="P81" s="504"/>
      <c r="Q81" s="516">
        <v>0</v>
      </c>
      <c r="R81" s="525"/>
      <c r="S81" s="567">
        <v>0</v>
      </c>
      <c r="T81" s="504"/>
      <c r="U81" s="504"/>
      <c r="V81" s="499"/>
      <c r="W81" s="499"/>
      <c r="X81" s="499"/>
      <c r="Y81" s="499"/>
      <c r="Z81" s="499"/>
      <c r="AA81" s="499"/>
      <c r="AB81" s="499"/>
      <c r="AC81" s="499"/>
      <c r="AD81" s="499"/>
      <c r="AE81" s="499"/>
      <c r="AF81" s="499"/>
      <c r="AG81" s="499"/>
      <c r="AH81" s="499"/>
      <c r="AI81" s="499"/>
      <c r="AJ81" s="499"/>
      <c r="AK81" s="499"/>
      <c r="AL81" s="499"/>
      <c r="AM81" s="499"/>
      <c r="AN81" s="499"/>
    </row>
    <row r="82" spans="1:40" ht="15.75" customHeight="1">
      <c r="A82" s="493" t="s">
        <v>285</v>
      </c>
      <c r="B82" s="499" t="s">
        <v>0</v>
      </c>
      <c r="C82" s="513" t="s">
        <v>71</v>
      </c>
      <c r="D82" s="82"/>
      <c r="E82" s="504"/>
      <c r="F82" s="514">
        <v>34498.174116643568</v>
      </c>
      <c r="G82" s="84"/>
      <c r="H82" s="504"/>
      <c r="I82" s="514">
        <v>34498.174116643568</v>
      </c>
      <c r="J82" s="525">
        <v>43.48370927318296</v>
      </c>
      <c r="K82" s="504">
        <v>0.9452980276778904</v>
      </c>
      <c r="L82" s="516">
        <v>17350</v>
      </c>
      <c r="M82" s="525"/>
      <c r="N82" s="545">
        <v>-17148.174116643568</v>
      </c>
      <c r="O82" s="525"/>
      <c r="P82" s="504"/>
      <c r="Q82" s="516">
        <v>25377</v>
      </c>
      <c r="R82" s="525"/>
      <c r="S82" s="567">
        <v>-8027</v>
      </c>
      <c r="T82" s="504"/>
      <c r="U82" s="504"/>
      <c r="V82" s="499"/>
      <c r="W82" s="499"/>
      <c r="X82" s="499"/>
      <c r="Y82" s="499"/>
      <c r="Z82" s="499"/>
      <c r="AA82" s="499"/>
      <c r="AB82" s="499"/>
      <c r="AC82" s="499"/>
      <c r="AD82" s="499"/>
      <c r="AE82" s="499"/>
      <c r="AF82" s="499"/>
      <c r="AG82" s="499"/>
      <c r="AH82" s="499"/>
      <c r="AI82" s="499"/>
      <c r="AJ82" s="499"/>
      <c r="AK82" s="499"/>
      <c r="AL82" s="499"/>
      <c r="AM82" s="499"/>
      <c r="AN82" s="499"/>
    </row>
    <row r="83" spans="1:40" ht="15.75" customHeight="1">
      <c r="A83" s="493" t="s">
        <v>286</v>
      </c>
      <c r="B83" s="499" t="s">
        <v>0</v>
      </c>
      <c r="C83" s="578" t="s">
        <v>72</v>
      </c>
      <c r="D83" s="97"/>
      <c r="E83" s="579"/>
      <c r="F83" s="580">
        <v>134918.70288772788</v>
      </c>
      <c r="G83" s="100"/>
      <c r="H83" s="579"/>
      <c r="I83" s="580">
        <v>134918.70288772788</v>
      </c>
      <c r="J83" s="100"/>
      <c r="K83" s="579"/>
      <c r="L83" s="580">
        <v>70701</v>
      </c>
      <c r="M83" s="583"/>
      <c r="N83" s="580">
        <v>-64217.702887727879</v>
      </c>
      <c r="O83" s="100"/>
      <c r="P83" s="579"/>
      <c r="Q83" s="580">
        <v>128055</v>
      </c>
      <c r="R83" s="583"/>
      <c r="S83" s="584">
        <v>-57354</v>
      </c>
      <c r="T83" s="504"/>
      <c r="U83" s="504"/>
      <c r="V83" s="499"/>
      <c r="W83" s="499"/>
      <c r="X83" s="499"/>
      <c r="Y83" s="499"/>
      <c r="Z83" s="499"/>
      <c r="AA83" s="499"/>
      <c r="AB83" s="499"/>
      <c r="AC83" s="499"/>
      <c r="AD83" s="499"/>
      <c r="AE83" s="499"/>
      <c r="AF83" s="499"/>
      <c r="AG83" s="499"/>
      <c r="AH83" s="499"/>
      <c r="AI83" s="499"/>
      <c r="AJ83" s="499"/>
      <c r="AK83" s="499"/>
      <c r="AL83" s="499"/>
      <c r="AM83" s="499"/>
      <c r="AN83" s="499"/>
    </row>
    <row r="84" spans="1:40" ht="15.75" customHeight="1">
      <c r="A84" s="493" t="s">
        <v>0</v>
      </c>
      <c r="B84" s="499" t="s">
        <v>0</v>
      </c>
      <c r="C84" s="596"/>
      <c r="D84" s="597"/>
      <c r="E84" s="598"/>
      <c r="F84" s="599"/>
      <c r="G84" s="600"/>
      <c r="H84" s="598"/>
      <c r="I84" s="599"/>
      <c r="J84" s="601"/>
      <c r="K84" s="602"/>
      <c r="L84" s="599"/>
      <c r="M84" s="601"/>
      <c r="N84" s="603"/>
      <c r="O84" s="601"/>
      <c r="P84" s="602"/>
      <c r="Q84" s="599"/>
      <c r="R84" s="601"/>
      <c r="S84" s="604"/>
      <c r="T84" s="504"/>
      <c r="U84" s="504"/>
      <c r="V84" s="499"/>
      <c r="W84" s="499"/>
      <c r="X84" s="499"/>
      <c r="Y84" s="499"/>
      <c r="Z84" s="499"/>
      <c r="AA84" s="499"/>
      <c r="AB84" s="499"/>
      <c r="AC84" s="499"/>
      <c r="AD84" s="499"/>
      <c r="AE84" s="499"/>
      <c r="AF84" s="499"/>
      <c r="AG84" s="499"/>
      <c r="AH84" s="499"/>
      <c r="AI84" s="499"/>
      <c r="AJ84" s="499"/>
      <c r="AK84" s="499"/>
      <c r="AL84" s="499"/>
      <c r="AM84" s="499"/>
      <c r="AN84" s="499"/>
    </row>
    <row r="85" spans="1:40" ht="15.75" customHeight="1" thickBot="1">
      <c r="A85" s="493" t="s">
        <v>287</v>
      </c>
      <c r="B85" s="499" t="s">
        <v>0</v>
      </c>
      <c r="C85" s="605" t="s">
        <v>73</v>
      </c>
      <c r="D85" s="606"/>
      <c r="E85" s="607"/>
      <c r="F85" s="608">
        <v>178230.62870057253</v>
      </c>
      <c r="G85" s="609"/>
      <c r="H85" s="607"/>
      <c r="I85" s="608">
        <v>178230.62870057253</v>
      </c>
      <c r="J85" s="609"/>
      <c r="K85" s="606"/>
      <c r="L85" s="608">
        <v>117797.82499999992</v>
      </c>
      <c r="M85" s="609"/>
      <c r="N85" s="608">
        <v>-60432.803700572607</v>
      </c>
      <c r="O85" s="609"/>
      <c r="P85" s="606"/>
      <c r="Q85" s="608">
        <v>160171.22550000006</v>
      </c>
      <c r="R85" s="609"/>
      <c r="S85" s="610">
        <v>-42373.400500000134</v>
      </c>
      <c r="T85" s="504"/>
      <c r="U85" s="504"/>
      <c r="V85" s="499"/>
      <c r="W85" s="499"/>
      <c r="X85" s="499"/>
      <c r="Y85" s="499"/>
      <c r="Z85" s="499"/>
      <c r="AA85" s="499"/>
      <c r="AB85" s="499"/>
      <c r="AC85" s="499"/>
      <c r="AD85" s="499"/>
      <c r="AE85" s="499"/>
      <c r="AF85" s="499"/>
      <c r="AG85" s="499"/>
      <c r="AH85" s="499"/>
      <c r="AI85" s="499"/>
      <c r="AJ85" s="499"/>
      <c r="AK85" s="499"/>
      <c r="AL85" s="499"/>
      <c r="AM85" s="499"/>
      <c r="AN85" s="499"/>
    </row>
    <row r="86" spans="1:40" ht="15.75" customHeight="1" thickTop="1">
      <c r="B86" s="611"/>
      <c r="C86" s="612"/>
      <c r="D86" s="612"/>
      <c r="E86" s="612"/>
      <c r="F86" s="612"/>
      <c r="G86" s="612"/>
      <c r="H86" s="612"/>
      <c r="I86" s="612"/>
      <c r="J86" s="612"/>
      <c r="K86" s="612"/>
      <c r="L86" s="613"/>
      <c r="M86" s="612"/>
      <c r="N86" s="612"/>
      <c r="O86" s="612"/>
      <c r="P86" s="612"/>
      <c r="Q86" s="612"/>
      <c r="R86" s="612"/>
      <c r="S86" s="612"/>
      <c r="T86" s="612"/>
      <c r="U86" s="612"/>
      <c r="V86" s="611"/>
      <c r="W86" s="611"/>
      <c r="X86" s="611"/>
      <c r="Y86" s="611"/>
      <c r="Z86" s="611"/>
      <c r="AA86" s="611"/>
      <c r="AB86" s="611"/>
      <c r="AC86" s="611"/>
      <c r="AD86" s="611"/>
      <c r="AE86" s="611"/>
      <c r="AF86" s="611"/>
      <c r="AG86" s="611"/>
      <c r="AH86" s="611"/>
      <c r="AI86" s="611"/>
      <c r="AJ86" s="611"/>
      <c r="AK86" s="611"/>
      <c r="AL86" s="611"/>
      <c r="AM86" s="611"/>
      <c r="AN86" s="611"/>
    </row>
    <row r="87" spans="1:40" ht="40.5" customHeight="1">
      <c r="B87" s="611"/>
      <c r="C87" s="612"/>
      <c r="D87" s="612"/>
      <c r="E87" s="612"/>
      <c r="F87" s="612"/>
      <c r="G87" s="612"/>
      <c r="H87" s="612"/>
      <c r="I87" s="613"/>
      <c r="J87" s="612"/>
      <c r="K87" s="612"/>
      <c r="L87" s="612"/>
      <c r="M87" s="612"/>
      <c r="N87" s="612"/>
      <c r="O87" s="612"/>
      <c r="P87" s="612"/>
      <c r="Q87" s="612"/>
      <c r="R87" s="612"/>
      <c r="S87" s="612"/>
      <c r="T87" s="612"/>
      <c r="U87" s="612"/>
      <c r="V87" s="611"/>
      <c r="W87" s="611"/>
      <c r="X87" s="611"/>
      <c r="Y87" s="611"/>
      <c r="Z87" s="611"/>
      <c r="AA87" s="611"/>
      <c r="AB87" s="611"/>
      <c r="AC87" s="611"/>
      <c r="AD87" s="611"/>
      <c r="AE87" s="611"/>
      <c r="AF87" s="611"/>
      <c r="AG87" s="611"/>
      <c r="AH87" s="611"/>
      <c r="AI87" s="611"/>
      <c r="AJ87" s="611"/>
      <c r="AK87" s="611"/>
      <c r="AL87" s="611"/>
      <c r="AM87" s="611"/>
      <c r="AN87" s="611"/>
    </row>
    <row r="88" spans="1:40" ht="15.75" hidden="1" customHeight="1">
      <c r="B88" s="497"/>
      <c r="C88" s="498"/>
      <c r="D88" s="498"/>
      <c r="E88" s="498"/>
      <c r="F88" s="498"/>
      <c r="G88" s="498"/>
      <c r="H88" s="498"/>
      <c r="I88" s="498"/>
      <c r="J88" s="498"/>
      <c r="K88" s="498"/>
      <c r="L88" s="498"/>
      <c r="M88" s="498"/>
      <c r="N88" s="498"/>
      <c r="O88" s="498"/>
      <c r="P88" s="498"/>
      <c r="Q88" s="498"/>
      <c r="R88" s="498"/>
      <c r="S88" s="498"/>
      <c r="T88" s="498"/>
      <c r="U88" s="498"/>
    </row>
    <row r="89" spans="1:40" ht="33" customHeight="1">
      <c r="B89" s="494"/>
      <c r="C89" s="496" t="s">
        <v>228</v>
      </c>
      <c r="D89" s="2"/>
      <c r="E89" s="2"/>
      <c r="F89" s="2"/>
      <c r="G89" s="2"/>
      <c r="H89" s="494"/>
      <c r="I89" s="494"/>
      <c r="J89" s="494"/>
      <c r="K89" s="3" t="s">
        <v>74</v>
      </c>
      <c r="L89" s="2"/>
      <c r="M89" s="2"/>
      <c r="N89" s="494"/>
      <c r="O89" s="494"/>
      <c r="P89" s="2"/>
      <c r="Q89" s="494"/>
      <c r="R89" s="2"/>
      <c r="S89" s="5" t="s">
        <v>496</v>
      </c>
      <c r="T89" s="496"/>
      <c r="U89" s="496"/>
      <c r="V89" s="494"/>
      <c r="W89" s="494"/>
      <c r="X89" s="494"/>
      <c r="Y89" s="494"/>
      <c r="Z89" s="494"/>
      <c r="AA89" s="494"/>
      <c r="AB89" s="494"/>
      <c r="AC89" s="494"/>
      <c r="AD89" s="494"/>
      <c r="AE89" s="494"/>
      <c r="AF89" s="494"/>
      <c r="AG89" s="494"/>
      <c r="AH89" s="494"/>
      <c r="AI89" s="494"/>
      <c r="AJ89" s="494"/>
      <c r="AK89" s="494"/>
      <c r="AL89" s="494"/>
      <c r="AM89" s="494"/>
      <c r="AN89" s="494"/>
    </row>
    <row r="90" spans="1:40" ht="15.75" customHeight="1" thickBot="1">
      <c r="B90" s="497"/>
      <c r="C90" s="8"/>
      <c r="D90" s="498"/>
      <c r="E90" s="498"/>
      <c r="F90" s="498"/>
      <c r="G90" s="498"/>
      <c r="H90" s="498"/>
      <c r="I90" s="498"/>
      <c r="J90" s="498"/>
      <c r="K90" s="498"/>
      <c r="L90" s="498"/>
      <c r="M90" s="498"/>
      <c r="N90" s="498"/>
      <c r="O90" s="498"/>
      <c r="P90" s="498"/>
      <c r="Q90" s="498"/>
      <c r="R90" s="498"/>
      <c r="S90" s="498"/>
      <c r="T90" s="498"/>
      <c r="U90" s="498"/>
    </row>
    <row r="91" spans="1:40" ht="15.75" customHeight="1" thickTop="1">
      <c r="B91" s="499"/>
      <c r="C91" s="500"/>
      <c r="D91" s="488" t="s">
        <v>5</v>
      </c>
      <c r="E91" s="501"/>
      <c r="F91" s="502"/>
      <c r="G91" s="489" t="s">
        <v>75</v>
      </c>
      <c r="H91" s="501"/>
      <c r="I91" s="502"/>
      <c r="J91" s="489" t="s">
        <v>7</v>
      </c>
      <c r="K91" s="501"/>
      <c r="L91" s="502"/>
      <c r="M91" s="489" t="s">
        <v>8</v>
      </c>
      <c r="N91" s="502"/>
      <c r="O91" s="488" t="s">
        <v>9</v>
      </c>
      <c r="P91" s="501"/>
      <c r="Q91" s="502"/>
      <c r="R91" s="489" t="s">
        <v>10</v>
      </c>
      <c r="S91" s="503"/>
      <c r="T91" s="504"/>
      <c r="U91" s="504"/>
      <c r="V91" s="499"/>
      <c r="W91" s="499"/>
      <c r="X91" s="499"/>
      <c r="Y91" s="499"/>
      <c r="Z91" s="499"/>
      <c r="AA91" s="499"/>
      <c r="AB91" s="499"/>
      <c r="AC91" s="499"/>
      <c r="AD91" s="499"/>
      <c r="AE91" s="499"/>
      <c r="AF91" s="499"/>
      <c r="AG91" s="499"/>
      <c r="AH91" s="499"/>
      <c r="AI91" s="499"/>
      <c r="AJ91" s="499"/>
      <c r="AK91" s="499"/>
      <c r="AL91" s="499"/>
      <c r="AM91" s="499"/>
      <c r="AN91" s="499"/>
    </row>
    <row r="92" spans="1:40" ht="15.75" customHeight="1">
      <c r="B92" s="499"/>
      <c r="C92" s="513"/>
      <c r="D92" s="136" t="s">
        <v>11</v>
      </c>
      <c r="E92" s="81" t="s">
        <v>12</v>
      </c>
      <c r="F92" s="137" t="s">
        <v>13</v>
      </c>
      <c r="G92" s="138" t="s">
        <v>11</v>
      </c>
      <c r="H92" s="81" t="s">
        <v>12</v>
      </c>
      <c r="I92" s="137" t="s">
        <v>13</v>
      </c>
      <c r="J92" s="138" t="s">
        <v>11</v>
      </c>
      <c r="K92" s="81" t="s">
        <v>14</v>
      </c>
      <c r="L92" s="137" t="s">
        <v>13</v>
      </c>
      <c r="M92" s="138" t="s">
        <v>15</v>
      </c>
      <c r="N92" s="137" t="s">
        <v>13</v>
      </c>
      <c r="O92" s="81" t="s">
        <v>11</v>
      </c>
      <c r="P92" s="81" t="s">
        <v>14</v>
      </c>
      <c r="Q92" s="137" t="s">
        <v>13</v>
      </c>
      <c r="R92" s="138" t="s">
        <v>11</v>
      </c>
      <c r="S92" s="139" t="s">
        <v>13</v>
      </c>
      <c r="T92" s="504"/>
      <c r="U92" s="504"/>
      <c r="V92" s="499"/>
      <c r="W92" s="499"/>
      <c r="X92" s="499"/>
      <c r="Y92" s="499"/>
      <c r="Z92" s="499"/>
      <c r="AA92" s="499"/>
      <c r="AB92" s="499"/>
      <c r="AC92" s="499"/>
      <c r="AD92" s="499"/>
      <c r="AE92" s="499"/>
      <c r="AF92" s="499"/>
      <c r="AG92" s="499"/>
      <c r="AH92" s="499"/>
      <c r="AI92" s="499"/>
      <c r="AJ92" s="499"/>
      <c r="AK92" s="499"/>
      <c r="AL92" s="499"/>
      <c r="AM92" s="499"/>
      <c r="AN92" s="499"/>
    </row>
    <row r="93" spans="1:40" ht="24" customHeight="1">
      <c r="A93" s="493" t="s">
        <v>288</v>
      </c>
      <c r="B93" s="499" t="s">
        <v>74</v>
      </c>
      <c r="C93" s="568" t="s">
        <v>16</v>
      </c>
      <c r="D93" s="510"/>
      <c r="E93" s="510"/>
      <c r="F93" s="508">
        <v>1415443.9638178302</v>
      </c>
      <c r="G93" s="530"/>
      <c r="H93" s="510"/>
      <c r="I93" s="508">
        <v>1415443.9638178302</v>
      </c>
      <c r="J93" s="509"/>
      <c r="K93" s="510"/>
      <c r="L93" s="508">
        <v>1527135.27</v>
      </c>
      <c r="M93" s="140"/>
      <c r="N93" s="141"/>
      <c r="O93" s="509"/>
      <c r="P93" s="510"/>
      <c r="Q93" s="508">
        <v>1425396.5399999998</v>
      </c>
      <c r="R93" s="140"/>
      <c r="S93" s="142"/>
      <c r="T93" s="504"/>
      <c r="U93" s="504"/>
      <c r="V93" s="499"/>
      <c r="W93" s="499"/>
      <c r="X93" s="499"/>
      <c r="Y93" s="499"/>
      <c r="Z93" s="499"/>
      <c r="AA93" s="499"/>
      <c r="AB93" s="499"/>
      <c r="AC93" s="499"/>
      <c r="AD93" s="499"/>
      <c r="AE93" s="499"/>
      <c r="AF93" s="499"/>
      <c r="AG93" s="499"/>
      <c r="AH93" s="499"/>
      <c r="AI93" s="499"/>
      <c r="AJ93" s="499"/>
      <c r="AK93" s="499"/>
      <c r="AL93" s="499"/>
      <c r="AM93" s="499"/>
      <c r="AN93" s="499"/>
    </row>
    <row r="94" spans="1:40" ht="21.75" customHeight="1">
      <c r="A94" s="493" t="s">
        <v>289</v>
      </c>
      <c r="B94" s="499" t="s">
        <v>74</v>
      </c>
      <c r="C94" s="513" t="s">
        <v>76</v>
      </c>
      <c r="D94" s="514">
        <v>43.203883495145632</v>
      </c>
      <c r="E94" s="514">
        <v>1300</v>
      </c>
      <c r="F94" s="514">
        <v>56165.048543689321</v>
      </c>
      <c r="G94" s="515">
        <v>43.203883495145632</v>
      </c>
      <c r="H94" s="514">
        <v>1300</v>
      </c>
      <c r="I94" s="514">
        <v>56165.048543689321</v>
      </c>
      <c r="J94" s="515">
        <v>30</v>
      </c>
      <c r="K94" s="514">
        <v>2126.6313333333323</v>
      </c>
      <c r="L94" s="517">
        <v>63798.939999999973</v>
      </c>
      <c r="M94" s="515">
        <v>-13.203883495145632</v>
      </c>
      <c r="N94" s="517">
        <v>7633.8914563106518</v>
      </c>
      <c r="O94" s="515">
        <v>38</v>
      </c>
      <c r="P94" s="514">
        <v>1319.4100000000019</v>
      </c>
      <c r="Q94" s="517">
        <v>50137.580000000075</v>
      </c>
      <c r="R94" s="515">
        <v>-8</v>
      </c>
      <c r="S94" s="518">
        <v>13661.359999999899</v>
      </c>
      <c r="T94" s="504"/>
      <c r="U94" s="504"/>
      <c r="V94" s="499"/>
      <c r="W94" s="499"/>
      <c r="X94" s="499"/>
      <c r="Y94" s="499"/>
      <c r="Z94" s="499"/>
      <c r="AA94" s="499"/>
      <c r="AB94" s="499"/>
      <c r="AC94" s="499"/>
      <c r="AD94" s="499"/>
      <c r="AE94" s="499"/>
      <c r="AF94" s="499"/>
      <c r="AG94" s="499"/>
      <c r="AH94" s="499"/>
      <c r="AI94" s="499"/>
      <c r="AJ94" s="499"/>
      <c r="AK94" s="499"/>
      <c r="AL94" s="499"/>
      <c r="AM94" s="499"/>
      <c r="AN94" s="499"/>
    </row>
    <row r="95" spans="1:40" ht="18.75" customHeight="1">
      <c r="A95" s="493" t="s">
        <v>290</v>
      </c>
      <c r="B95" s="499" t="s">
        <v>74</v>
      </c>
      <c r="C95" s="513" t="s">
        <v>77</v>
      </c>
      <c r="D95" s="514">
        <v>2.4271844660194173</v>
      </c>
      <c r="E95" s="510">
        <v>900.00000000000011</v>
      </c>
      <c r="F95" s="514">
        <v>2184.4660194174758</v>
      </c>
      <c r="G95" s="515">
        <v>2.4271844660194173</v>
      </c>
      <c r="H95" s="514">
        <v>900.00000000000011</v>
      </c>
      <c r="I95" s="514">
        <v>2184.4660194174758</v>
      </c>
      <c r="J95" s="515">
        <v>2</v>
      </c>
      <c r="K95" s="514">
        <v>959.56</v>
      </c>
      <c r="L95" s="516">
        <v>1919.12</v>
      </c>
      <c r="M95" s="515">
        <v>-0.42718446601941729</v>
      </c>
      <c r="N95" s="517">
        <v>-265.34601941747587</v>
      </c>
      <c r="O95" s="515">
        <v>1</v>
      </c>
      <c r="P95" s="514">
        <v>-527.79999999999995</v>
      </c>
      <c r="Q95" s="516">
        <v>-527.79999999999995</v>
      </c>
      <c r="R95" s="515">
        <v>1</v>
      </c>
      <c r="S95" s="518">
        <v>2446.92</v>
      </c>
      <c r="T95" s="504"/>
      <c r="U95" s="504"/>
      <c r="V95" s="614"/>
      <c r="W95" s="504"/>
      <c r="X95" s="504"/>
      <c r="Y95" s="504"/>
      <c r="Z95" s="504"/>
      <c r="AA95" s="504"/>
      <c r="AB95" s="504"/>
      <c r="AC95" s="50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</row>
    <row r="96" spans="1:40" ht="15.75" customHeight="1">
      <c r="A96" s="493" t="s">
        <v>291</v>
      </c>
      <c r="B96" s="499" t="s">
        <v>74</v>
      </c>
      <c r="C96" s="519" t="s">
        <v>78</v>
      </c>
      <c r="D96" s="520">
        <v>45.631067961165051</v>
      </c>
      <c r="E96" s="514">
        <v>1278.7234042553191</v>
      </c>
      <c r="F96" s="521">
        <v>58349.514563106801</v>
      </c>
      <c r="G96" s="522">
        <v>45.631067961165051</v>
      </c>
      <c r="H96" s="520">
        <v>1278.7234042553191</v>
      </c>
      <c r="I96" s="521">
        <v>58349.514563106801</v>
      </c>
      <c r="J96" s="522">
        <v>32</v>
      </c>
      <c r="K96" s="520">
        <v>2053.689374999999</v>
      </c>
      <c r="L96" s="521">
        <v>65718.059999999969</v>
      </c>
      <c r="M96" s="522">
        <v>-13.631067961165051</v>
      </c>
      <c r="N96" s="521">
        <v>7368.5454368931678</v>
      </c>
      <c r="O96" s="522">
        <v>39</v>
      </c>
      <c r="P96" s="520">
        <v>1272.0456410256429</v>
      </c>
      <c r="Q96" s="521">
        <v>49609.780000000072</v>
      </c>
      <c r="R96" s="522">
        <v>-7</v>
      </c>
      <c r="S96" s="523">
        <v>16108.279999999899</v>
      </c>
      <c r="T96" s="504"/>
      <c r="U96" s="504"/>
      <c r="V96" s="504"/>
      <c r="W96" s="504"/>
      <c r="X96" s="504"/>
      <c r="Y96" s="504"/>
      <c r="Z96" s="504"/>
      <c r="AA96" s="504"/>
      <c r="AB96" s="504"/>
      <c r="AC96" s="565"/>
      <c r="AD96" s="504"/>
      <c r="AE96" s="504"/>
      <c r="AF96" s="565"/>
      <c r="AG96" s="504"/>
      <c r="AH96" s="504"/>
      <c r="AI96" s="504"/>
      <c r="AJ96" s="504"/>
      <c r="AK96" s="504"/>
      <c r="AL96" s="504"/>
      <c r="AM96" s="504"/>
      <c r="AN96" s="504"/>
    </row>
    <row r="97" spans="1:40" ht="15.75" customHeight="1">
      <c r="A97" s="493" t="s">
        <v>74</v>
      </c>
      <c r="B97" s="499" t="s">
        <v>74</v>
      </c>
      <c r="C97" s="513"/>
      <c r="D97" s="504"/>
      <c r="E97" s="514">
        <v>0</v>
      </c>
      <c r="F97" s="524"/>
      <c r="G97" s="525"/>
      <c r="H97" s="504">
        <v>0</v>
      </c>
      <c r="I97" s="524"/>
      <c r="J97" s="525"/>
      <c r="K97" s="504"/>
      <c r="L97" s="524"/>
      <c r="M97" s="526">
        <v>-0.29872340425531918</v>
      </c>
      <c r="N97" s="527">
        <v>0.12628289184692118</v>
      </c>
      <c r="O97" s="525"/>
      <c r="P97" s="504"/>
      <c r="Q97" s="524"/>
      <c r="R97" s="526">
        <v>-0.17948717948717949</v>
      </c>
      <c r="S97" s="528">
        <v>0.32469968623122047</v>
      </c>
      <c r="T97" s="504"/>
      <c r="U97" s="504"/>
      <c r="V97" s="504"/>
      <c r="W97" s="504"/>
      <c r="X97" s="504"/>
      <c r="Y97" s="504"/>
      <c r="Z97" s="504"/>
      <c r="AA97" s="504"/>
      <c r="AB97" s="504"/>
      <c r="AC97" s="499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</row>
    <row r="98" spans="1:40" ht="15.75" customHeight="1">
      <c r="A98" s="493" t="s">
        <v>292</v>
      </c>
      <c r="B98" s="499" t="s">
        <v>74</v>
      </c>
      <c r="C98" s="513" t="s">
        <v>196</v>
      </c>
      <c r="D98" s="514"/>
      <c r="E98" s="514"/>
      <c r="F98" s="514"/>
      <c r="G98" s="525"/>
      <c r="H98" s="514"/>
      <c r="I98" s="514"/>
      <c r="J98" s="515"/>
      <c r="K98" s="514"/>
      <c r="L98" s="517"/>
      <c r="M98" s="515"/>
      <c r="N98" s="517"/>
      <c r="O98" s="515"/>
      <c r="P98" s="514"/>
      <c r="Q98" s="517"/>
      <c r="R98" s="515"/>
      <c r="S98" s="518"/>
      <c r="T98" s="504"/>
      <c r="U98" s="504"/>
      <c r="V98" s="504"/>
      <c r="W98" s="504"/>
      <c r="X98" s="504"/>
      <c r="Y98" s="504"/>
      <c r="Z98" s="504"/>
      <c r="AA98" s="504"/>
      <c r="AB98" s="504"/>
      <c r="AC98" s="499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</row>
    <row r="99" spans="1:40" ht="15.75" customHeight="1">
      <c r="A99" s="493" t="s">
        <v>293</v>
      </c>
      <c r="B99" s="499" t="s">
        <v>74</v>
      </c>
      <c r="C99" s="513" t="s">
        <v>79</v>
      </c>
      <c r="D99" s="514">
        <v>39.707832043196618</v>
      </c>
      <c r="E99" s="514">
        <v>212</v>
      </c>
      <c r="F99" s="514">
        <v>8418.0603931576825</v>
      </c>
      <c r="G99" s="525">
        <v>39.707832043196618</v>
      </c>
      <c r="H99" s="514">
        <v>212</v>
      </c>
      <c r="I99" s="514">
        <v>8418.0603931576825</v>
      </c>
      <c r="J99" s="515">
        <v>23</v>
      </c>
      <c r="K99" s="514">
        <v>369.51086956521738</v>
      </c>
      <c r="L99" s="517">
        <v>8498.75</v>
      </c>
      <c r="M99" s="515">
        <v>-16.707832043196618</v>
      </c>
      <c r="N99" s="517">
        <v>80.689606842317517</v>
      </c>
      <c r="O99" s="515">
        <v>41</v>
      </c>
      <c r="P99" s="514">
        <v>611.62902439024344</v>
      </c>
      <c r="Q99" s="517">
        <v>25076.789999999979</v>
      </c>
      <c r="R99" s="515">
        <v>-18</v>
      </c>
      <c r="S99" s="518">
        <v>-16578.039999999979</v>
      </c>
      <c r="T99" s="504"/>
      <c r="U99" s="504" t="s">
        <v>498</v>
      </c>
      <c r="V99" s="504"/>
      <c r="W99" s="504"/>
      <c r="X99" s="504"/>
      <c r="Y99" s="504"/>
      <c r="Z99" s="504"/>
      <c r="AA99" s="504"/>
      <c r="AB99" s="504"/>
      <c r="AC99" s="565"/>
      <c r="AD99" s="504"/>
      <c r="AE99" s="504"/>
      <c r="AF99" s="615"/>
      <c r="AG99" s="504"/>
      <c r="AH99" s="504"/>
      <c r="AI99" s="504"/>
      <c r="AJ99" s="504"/>
      <c r="AK99" s="504"/>
      <c r="AL99" s="504"/>
      <c r="AM99" s="504"/>
      <c r="AN99" s="504"/>
    </row>
    <row r="100" spans="1:40" ht="15.75" customHeight="1">
      <c r="A100" s="493" t="s">
        <v>74</v>
      </c>
      <c r="B100" s="499" t="s">
        <v>74</v>
      </c>
      <c r="C100" s="568"/>
      <c r="D100" s="510"/>
      <c r="E100" s="510"/>
      <c r="F100" s="532"/>
      <c r="G100" s="535"/>
      <c r="H100" s="531"/>
      <c r="I100" s="532"/>
      <c r="J100" s="535"/>
      <c r="K100" s="531"/>
      <c r="L100" s="532"/>
      <c r="M100" s="533"/>
      <c r="N100" s="616"/>
      <c r="O100" s="535"/>
      <c r="P100" s="531"/>
      <c r="Q100" s="532"/>
      <c r="R100" s="533"/>
      <c r="S100" s="617"/>
      <c r="T100" s="504"/>
      <c r="U100" s="504"/>
      <c r="V100" s="504"/>
      <c r="W100" s="504"/>
      <c r="X100" s="504"/>
      <c r="Y100" s="504"/>
      <c r="Z100" s="504"/>
      <c r="AA100" s="504"/>
      <c r="AB100" s="504"/>
      <c r="AC100" s="504"/>
      <c r="AD100" s="504"/>
      <c r="AE100" s="504"/>
      <c r="AF100" s="615"/>
      <c r="AG100" s="504"/>
      <c r="AH100" s="504"/>
      <c r="AI100" s="504"/>
      <c r="AJ100" s="504"/>
      <c r="AK100" s="504"/>
      <c r="AL100" s="504"/>
      <c r="AM100" s="504"/>
      <c r="AN100" s="504"/>
    </row>
    <row r="101" spans="1:40" ht="15.75" customHeight="1">
      <c r="A101" s="493" t="s">
        <v>294</v>
      </c>
      <c r="B101" s="499" t="s">
        <v>74</v>
      </c>
      <c r="C101" s="513" t="s">
        <v>26</v>
      </c>
      <c r="D101" s="514">
        <v>0</v>
      </c>
      <c r="E101" s="514">
        <v>0</v>
      </c>
      <c r="F101" s="517">
        <v>30069.09016322099</v>
      </c>
      <c r="G101" s="515">
        <v>0</v>
      </c>
      <c r="H101" s="514">
        <v>0</v>
      </c>
      <c r="I101" s="514">
        <v>30069.09016322099</v>
      </c>
      <c r="J101" s="515"/>
      <c r="K101" s="514">
        <v>1377.9081249999999</v>
      </c>
      <c r="L101" s="517">
        <v>44093.06</v>
      </c>
      <c r="M101" s="515"/>
      <c r="N101" s="517">
        <v>14023.969836779008</v>
      </c>
      <c r="O101" s="515"/>
      <c r="P101" s="514">
        <v>799.67384615384617</v>
      </c>
      <c r="Q101" s="517">
        <v>31187.279999999999</v>
      </c>
      <c r="R101" s="515">
        <v>-1377.9081249999999</v>
      </c>
      <c r="S101" s="518">
        <v>12905.779999999999</v>
      </c>
      <c r="T101" s="504"/>
      <c r="U101" s="504"/>
      <c r="V101" s="504"/>
      <c r="W101" s="504"/>
      <c r="X101" s="504"/>
      <c r="Y101" s="504"/>
      <c r="Z101" s="504"/>
      <c r="AA101" s="504"/>
      <c r="AB101" s="504"/>
      <c r="AC101" s="50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</row>
    <row r="102" spans="1:40" ht="15.75" customHeight="1">
      <c r="A102" s="493" t="s">
        <v>295</v>
      </c>
      <c r="B102" s="499" t="s">
        <v>74</v>
      </c>
      <c r="C102" s="513" t="s">
        <v>27</v>
      </c>
      <c r="D102" s="514">
        <v>0</v>
      </c>
      <c r="E102" s="514">
        <v>0</v>
      </c>
      <c r="F102" s="517">
        <v>53016.213550007917</v>
      </c>
      <c r="G102" s="515">
        <v>0</v>
      </c>
      <c r="H102" s="514">
        <v>0</v>
      </c>
      <c r="I102" s="514">
        <v>53016.213550007917</v>
      </c>
      <c r="J102" s="515"/>
      <c r="K102" s="514">
        <v>1512.9971875000001</v>
      </c>
      <c r="L102" s="517">
        <v>48415.91</v>
      </c>
      <c r="M102" s="515"/>
      <c r="N102" s="517">
        <v>-4600.3035500079131</v>
      </c>
      <c r="O102" s="515"/>
      <c r="P102" s="514">
        <v>1285.4225641025639</v>
      </c>
      <c r="Q102" s="517">
        <v>50131.479999999996</v>
      </c>
      <c r="R102" s="515">
        <v>-1512.9971875000001</v>
      </c>
      <c r="S102" s="518">
        <v>-1715.5699999999924</v>
      </c>
      <c r="T102" s="504"/>
      <c r="U102" s="504"/>
      <c r="V102" s="504"/>
      <c r="W102" s="504"/>
      <c r="X102" s="504"/>
      <c r="Y102" s="504"/>
      <c r="Z102" s="504"/>
      <c r="AA102" s="504"/>
      <c r="AB102" s="504"/>
      <c r="AC102" s="50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</row>
    <row r="103" spans="1:40" ht="15.75" customHeight="1">
      <c r="A103" s="493" t="s">
        <v>296</v>
      </c>
      <c r="B103" s="499" t="s">
        <v>74</v>
      </c>
      <c r="C103" s="513" t="s">
        <v>28</v>
      </c>
      <c r="D103" s="514">
        <v>0</v>
      </c>
      <c r="E103" s="510">
        <v>0</v>
      </c>
      <c r="F103" s="517">
        <v>1503.6900531232827</v>
      </c>
      <c r="G103" s="515">
        <v>0</v>
      </c>
      <c r="H103" s="531">
        <v>0</v>
      </c>
      <c r="I103" s="514">
        <v>1503.6900531232827</v>
      </c>
      <c r="J103" s="515"/>
      <c r="K103" s="531">
        <v>109.46</v>
      </c>
      <c r="L103" s="517">
        <v>3502.72</v>
      </c>
      <c r="M103" s="535"/>
      <c r="N103" s="517">
        <v>1999.0299468767171</v>
      </c>
      <c r="O103" s="515"/>
      <c r="P103" s="531">
        <v>41.958461538461542</v>
      </c>
      <c r="Q103" s="517">
        <v>1636.38</v>
      </c>
      <c r="R103" s="515">
        <v>-109.46</v>
      </c>
      <c r="S103" s="518">
        <v>1866.3399999999997</v>
      </c>
      <c r="T103" s="504"/>
      <c r="U103" s="504"/>
      <c r="V103" s="504"/>
      <c r="W103" s="504"/>
      <c r="X103" s="504"/>
      <c r="Y103" s="504"/>
      <c r="Z103" s="504"/>
      <c r="AA103" s="504"/>
      <c r="AB103" s="504"/>
      <c r="AC103" s="50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</row>
    <row r="104" spans="1:40" ht="15.75" customHeight="1">
      <c r="A104" s="493" t="s">
        <v>297</v>
      </c>
      <c r="B104" s="499" t="s">
        <v>74</v>
      </c>
      <c r="C104" s="519" t="s">
        <v>29</v>
      </c>
      <c r="D104" s="520">
        <v>45.631067961165051</v>
      </c>
      <c r="E104" s="514">
        <v>1853.758799560484</v>
      </c>
      <c r="F104" s="521">
        <v>84588.993766352185</v>
      </c>
      <c r="G104" s="522">
        <v>45.631067961165051</v>
      </c>
      <c r="H104" s="520">
        <v>1853.758799560484</v>
      </c>
      <c r="I104" s="521">
        <v>84588.993766352185</v>
      </c>
      <c r="J104" s="522">
        <v>32</v>
      </c>
      <c r="K104" s="520">
        <v>3000.3653125000001</v>
      </c>
      <c r="L104" s="521">
        <v>96011.69</v>
      </c>
      <c r="M104" s="515">
        <v>-13.631067961165051</v>
      </c>
      <c r="N104" s="521">
        <v>11422.696233647817</v>
      </c>
      <c r="O104" s="522">
        <v>39</v>
      </c>
      <c r="P104" s="520">
        <v>2127.0548717948718</v>
      </c>
      <c r="Q104" s="521">
        <v>82955.14</v>
      </c>
      <c r="R104" s="541"/>
      <c r="S104" s="523">
        <v>13056.550000000003</v>
      </c>
      <c r="T104" s="504"/>
      <c r="U104" s="504"/>
      <c r="V104" s="504"/>
      <c r="W104" s="504"/>
      <c r="X104" s="504"/>
      <c r="Y104" s="504"/>
      <c r="Z104" s="504"/>
      <c r="AA104" s="504"/>
      <c r="AB104" s="504"/>
      <c r="AC104" s="50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</row>
    <row r="105" spans="1:40" ht="15.75" customHeight="1">
      <c r="A105" s="493" t="s">
        <v>74</v>
      </c>
      <c r="B105" s="499" t="s">
        <v>74</v>
      </c>
      <c r="C105" s="513"/>
      <c r="D105" s="504"/>
      <c r="E105" s="504"/>
      <c r="F105" s="545"/>
      <c r="G105" s="525"/>
      <c r="H105" s="618"/>
      <c r="I105" s="545"/>
      <c r="J105" s="525"/>
      <c r="K105" s="504"/>
      <c r="L105" s="545"/>
      <c r="M105" s="526"/>
      <c r="N105" s="527">
        <v>0.13503761807592915</v>
      </c>
      <c r="O105" s="525"/>
      <c r="P105" s="504"/>
      <c r="Q105" s="545"/>
      <c r="R105" s="546"/>
      <c r="S105" s="528">
        <v>0.15739289934294612</v>
      </c>
      <c r="T105" s="504"/>
      <c r="U105" s="504"/>
      <c r="V105" s="504"/>
      <c r="W105" s="504"/>
      <c r="X105" s="504"/>
      <c r="Y105" s="504"/>
      <c r="Z105" s="504"/>
      <c r="AA105" s="504"/>
      <c r="AB105" s="504"/>
      <c r="AC105" s="50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</row>
    <row r="106" spans="1:40" ht="15.75" customHeight="1" thickBot="1">
      <c r="A106" s="493" t="s">
        <v>74</v>
      </c>
      <c r="B106" s="499" t="s">
        <v>74</v>
      </c>
      <c r="C106" s="513"/>
      <c r="D106" s="504"/>
      <c r="E106" s="504"/>
      <c r="F106" s="545"/>
      <c r="G106" s="525"/>
      <c r="H106" s="618"/>
      <c r="I106" s="545"/>
      <c r="J106" s="525"/>
      <c r="K106" s="504"/>
      <c r="L106" s="545"/>
      <c r="M106" s="526"/>
      <c r="N106" s="527"/>
      <c r="O106" s="525"/>
      <c r="P106" s="504"/>
      <c r="Q106" s="545"/>
      <c r="R106" s="546"/>
      <c r="S106" s="528"/>
      <c r="T106" s="504"/>
      <c r="U106" s="504"/>
      <c r="V106" s="504"/>
      <c r="W106" s="504"/>
      <c r="X106" s="504"/>
      <c r="Y106" s="504"/>
      <c r="Z106" s="504"/>
      <c r="AA106" s="504"/>
      <c r="AB106" s="504"/>
      <c r="AC106" s="50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</row>
    <row r="107" spans="1:40" ht="23.25" customHeight="1" thickTop="1">
      <c r="A107" s="493" t="s">
        <v>298</v>
      </c>
      <c r="B107" s="499" t="s">
        <v>74</v>
      </c>
      <c r="C107" s="548" t="s">
        <v>80</v>
      </c>
      <c r="D107" s="549">
        <v>85.338900004361676</v>
      </c>
      <c r="E107" s="553">
        <v>1773.5940903255237</v>
      </c>
      <c r="F107" s="551">
        <v>151356.56872261668</v>
      </c>
      <c r="G107" s="552">
        <v>85.338900004361676</v>
      </c>
      <c r="H107" s="553">
        <v>1773.5940903255237</v>
      </c>
      <c r="I107" s="551">
        <v>151356.56872261668</v>
      </c>
      <c r="J107" s="552">
        <v>55</v>
      </c>
      <c r="K107" s="553">
        <v>3095.0636363636359</v>
      </c>
      <c r="L107" s="551">
        <v>170228.49999999997</v>
      </c>
      <c r="M107" s="552">
        <v>-30.338900004361676</v>
      </c>
      <c r="N107" s="551">
        <v>18871.931277383293</v>
      </c>
      <c r="O107" s="552">
        <v>80</v>
      </c>
      <c r="P107" s="553">
        <v>1970.5213750000007</v>
      </c>
      <c r="Q107" s="551">
        <v>157641.71000000005</v>
      </c>
      <c r="R107" s="552">
        <v>-25</v>
      </c>
      <c r="S107" s="554">
        <v>12586.789999999921</v>
      </c>
      <c r="T107" s="504"/>
      <c r="U107" s="504"/>
      <c r="V107" s="504"/>
      <c r="W107" s="504"/>
      <c r="X107" s="504"/>
      <c r="Y107" s="504"/>
      <c r="Z107" s="504"/>
      <c r="AA107" s="504"/>
      <c r="AB107" s="504"/>
      <c r="AC107" s="50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</row>
    <row r="108" spans="1:40" ht="19.5" customHeight="1" thickBot="1">
      <c r="A108" s="493" t="s">
        <v>74</v>
      </c>
      <c r="B108" s="499" t="s">
        <v>74</v>
      </c>
      <c r="C108" s="555"/>
      <c r="D108" s="556"/>
      <c r="E108" s="556"/>
      <c r="F108" s="557"/>
      <c r="G108" s="558"/>
      <c r="H108" s="556"/>
      <c r="I108" s="557"/>
      <c r="J108" s="558"/>
      <c r="K108" s="556"/>
      <c r="L108" s="557"/>
      <c r="M108" s="559">
        <v>-0.35551079288356252</v>
      </c>
      <c r="N108" s="560">
        <v>0.1246852478003046</v>
      </c>
      <c r="O108" s="558"/>
      <c r="P108" s="556"/>
      <c r="Q108" s="557"/>
      <c r="R108" s="559">
        <v>-3.2</v>
      </c>
      <c r="S108" s="619">
        <v>7.9844287403377678E-2</v>
      </c>
      <c r="T108" s="504"/>
      <c r="U108" s="504"/>
      <c r="V108" s="504"/>
      <c r="W108" s="504"/>
      <c r="X108" s="504"/>
      <c r="Y108" s="504"/>
      <c r="Z108" s="504"/>
      <c r="AA108" s="504"/>
      <c r="AB108" s="504"/>
      <c r="AC108" s="50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</row>
    <row r="109" spans="1:40" ht="15.75" customHeight="1" thickTop="1">
      <c r="A109" s="493" t="s">
        <v>74</v>
      </c>
      <c r="B109" s="499" t="s">
        <v>74</v>
      </c>
      <c r="C109" s="538"/>
      <c r="D109" s="562"/>
      <c r="E109" s="562"/>
      <c r="F109" s="563"/>
      <c r="G109" s="564"/>
      <c r="H109" s="562"/>
      <c r="I109" s="563"/>
      <c r="J109" s="564"/>
      <c r="K109" s="562"/>
      <c r="L109" s="563"/>
      <c r="M109" s="526"/>
      <c r="N109" s="527"/>
      <c r="O109" s="564"/>
      <c r="P109" s="562"/>
      <c r="Q109" s="563"/>
      <c r="R109" s="526"/>
      <c r="S109" s="528"/>
      <c r="T109" s="504"/>
      <c r="U109" s="504"/>
      <c r="V109" s="504"/>
      <c r="W109" s="504"/>
      <c r="X109" s="504"/>
      <c r="Y109" s="504"/>
      <c r="Z109" s="504"/>
      <c r="AA109" s="504"/>
      <c r="AB109" s="504"/>
      <c r="AC109" s="50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</row>
    <row r="110" spans="1:40" ht="15.75" customHeight="1">
      <c r="A110" s="493" t="s">
        <v>299</v>
      </c>
      <c r="B110" s="499" t="s">
        <v>74</v>
      </c>
      <c r="C110" s="80" t="s">
        <v>31</v>
      </c>
      <c r="D110" s="504"/>
      <c r="E110" s="81"/>
      <c r="F110" s="545"/>
      <c r="G110" s="525"/>
      <c r="H110" s="81"/>
      <c r="I110" s="545"/>
      <c r="J110" s="525"/>
      <c r="K110" s="81"/>
      <c r="L110" s="524"/>
      <c r="M110" s="525"/>
      <c r="N110" s="524"/>
      <c r="O110" s="525"/>
      <c r="P110" s="81"/>
      <c r="Q110" s="524"/>
      <c r="R110" s="525"/>
      <c r="S110" s="547"/>
      <c r="T110" s="504"/>
      <c r="U110" s="504"/>
      <c r="V110" s="504"/>
      <c r="W110" s="504"/>
      <c r="X110" s="504"/>
      <c r="Y110" s="504"/>
      <c r="Z110" s="504"/>
      <c r="AA110" s="504"/>
      <c r="AB110" s="504"/>
      <c r="AC110" s="50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</row>
    <row r="111" spans="1:40" ht="15.75" customHeight="1">
      <c r="A111" s="493" t="s">
        <v>300</v>
      </c>
      <c r="B111" s="499" t="s">
        <v>74</v>
      </c>
      <c r="C111" s="513" t="s">
        <v>32</v>
      </c>
      <c r="D111" s="82"/>
      <c r="E111" s="565">
        <v>487.23936170212767</v>
      </c>
      <c r="F111" s="514">
        <v>22233.252427184467</v>
      </c>
      <c r="G111" s="566">
        <v>0.38103577371048253</v>
      </c>
      <c r="H111" s="565">
        <v>487.23936170212767</v>
      </c>
      <c r="I111" s="514">
        <v>22233.252427184467</v>
      </c>
      <c r="J111" s="566">
        <v>0.41317926913849878</v>
      </c>
      <c r="K111" s="565">
        <v>848.541875</v>
      </c>
      <c r="L111" s="517">
        <v>27153.34</v>
      </c>
      <c r="M111" s="525"/>
      <c r="N111" s="545">
        <v>4920.0875728155333</v>
      </c>
      <c r="O111" s="525"/>
      <c r="P111" s="565">
        <v>483.59025641025642</v>
      </c>
      <c r="Q111" s="517">
        <v>18860.02</v>
      </c>
      <c r="R111" s="525"/>
      <c r="S111" s="567">
        <v>8293.32</v>
      </c>
      <c r="T111" s="504"/>
      <c r="U111" s="504"/>
      <c r="V111" s="504"/>
      <c r="W111" s="504"/>
      <c r="X111" s="504"/>
      <c r="Y111" s="504"/>
      <c r="Z111" s="504"/>
      <c r="AA111" s="504"/>
      <c r="AB111" s="504"/>
      <c r="AC111" s="50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</row>
    <row r="112" spans="1:40" ht="15.75" customHeight="1">
      <c r="A112" s="493" t="s">
        <v>301</v>
      </c>
      <c r="B112" s="499" t="s">
        <v>74</v>
      </c>
      <c r="C112" s="568" t="s">
        <v>33</v>
      </c>
      <c r="D112" s="89"/>
      <c r="E112" s="569">
        <v>556.12763986814514</v>
      </c>
      <c r="F112" s="508">
        <v>25376.698129905653</v>
      </c>
      <c r="G112" s="570">
        <v>0.3</v>
      </c>
      <c r="H112" s="569">
        <v>556.12763986814514</v>
      </c>
      <c r="I112" s="508">
        <v>25376.698129905653</v>
      </c>
      <c r="J112" s="570">
        <v>0.28902084735723327</v>
      </c>
      <c r="K112" s="569">
        <v>867.16812500000003</v>
      </c>
      <c r="L112" s="517">
        <v>27749.38</v>
      </c>
      <c r="M112" s="509"/>
      <c r="N112" s="573">
        <v>2372.6818700943477</v>
      </c>
      <c r="O112" s="509"/>
      <c r="P112" s="569">
        <v>621.66871794871804</v>
      </c>
      <c r="Q112" s="517">
        <v>24245.08</v>
      </c>
      <c r="R112" s="509"/>
      <c r="S112" s="574">
        <v>3504.2999999999993</v>
      </c>
      <c r="T112" s="504"/>
      <c r="U112" s="504"/>
      <c r="V112" s="504"/>
      <c r="W112" s="504"/>
      <c r="X112" s="504"/>
      <c r="Y112" s="504"/>
      <c r="Z112" s="504"/>
      <c r="AA112" s="504"/>
      <c r="AB112" s="504"/>
      <c r="AC112" s="50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</row>
    <row r="113" spans="1:40" ht="15.75" customHeight="1">
      <c r="A113" s="493" t="s">
        <v>302</v>
      </c>
      <c r="B113" s="499" t="s">
        <v>74</v>
      </c>
      <c r="C113" s="513" t="s">
        <v>34</v>
      </c>
      <c r="D113" s="82"/>
      <c r="E113" s="565">
        <v>69.809353301886787</v>
      </c>
      <c r="F113" s="514">
        <v>3185.475344843378</v>
      </c>
      <c r="G113" s="84"/>
      <c r="H113" s="565">
        <v>69.809353301886787</v>
      </c>
      <c r="I113" s="514">
        <v>3185.475344843378</v>
      </c>
      <c r="J113" s="525"/>
      <c r="K113" s="565">
        <v>0.325625</v>
      </c>
      <c r="L113" s="589">
        <v>10.42</v>
      </c>
      <c r="M113" s="525"/>
      <c r="N113" s="545">
        <v>-3175.055344843378</v>
      </c>
      <c r="O113" s="525"/>
      <c r="P113" s="565">
        <v>63.044102564102559</v>
      </c>
      <c r="Q113" s="589">
        <v>2458.7199999999998</v>
      </c>
      <c r="R113" s="525"/>
      <c r="S113" s="567">
        <v>-2448.2999999999997</v>
      </c>
      <c r="T113" s="504"/>
      <c r="U113" s="504"/>
      <c r="V113" s="504"/>
      <c r="W113" s="504"/>
      <c r="X113" s="504"/>
      <c r="Y113" s="504"/>
      <c r="Z113" s="504"/>
      <c r="AA113" s="504"/>
      <c r="AB113" s="504"/>
      <c r="AC113" s="50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</row>
    <row r="114" spans="1:40" ht="15.75" customHeight="1">
      <c r="A114" s="493" t="s">
        <v>303</v>
      </c>
      <c r="B114" s="499" t="s">
        <v>74</v>
      </c>
      <c r="C114" s="513" t="s">
        <v>35</v>
      </c>
      <c r="D114" s="82"/>
      <c r="E114" s="565">
        <v>33.51101497641509</v>
      </c>
      <c r="F114" s="514">
        <v>1529.1434018364168</v>
      </c>
      <c r="G114" s="84"/>
      <c r="H114" s="565">
        <v>33.51101497641509</v>
      </c>
      <c r="I114" s="514">
        <v>1529.1434018364168</v>
      </c>
      <c r="J114" s="525"/>
      <c r="K114" s="565">
        <v>0</v>
      </c>
      <c r="L114" s="517">
        <v>0</v>
      </c>
      <c r="M114" s="525"/>
      <c r="N114" s="545">
        <v>-1529.1434018364168</v>
      </c>
      <c r="O114" s="525"/>
      <c r="P114" s="565">
        <v>3.1074358974358973</v>
      </c>
      <c r="Q114" s="517">
        <v>121.19</v>
      </c>
      <c r="R114" s="525"/>
      <c r="S114" s="567">
        <v>-121.19</v>
      </c>
      <c r="T114" s="504"/>
      <c r="U114" s="504"/>
      <c r="V114" s="504"/>
      <c r="W114" s="514"/>
      <c r="X114" s="504"/>
      <c r="Y114" s="504"/>
      <c r="Z114" s="504"/>
      <c r="AA114" s="504"/>
      <c r="AB114" s="504"/>
      <c r="AC114" s="50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</row>
    <row r="115" spans="1:40" ht="15.75" customHeight="1">
      <c r="A115" s="493" t="s">
        <v>304</v>
      </c>
      <c r="B115" s="499" t="s">
        <v>74</v>
      </c>
      <c r="C115" s="568" t="s">
        <v>36</v>
      </c>
      <c r="D115" s="89"/>
      <c r="E115" s="569">
        <v>88.549952830188673</v>
      </c>
      <c r="F115" s="508">
        <v>4040.6289155522991</v>
      </c>
      <c r="G115" s="91"/>
      <c r="H115" s="569">
        <v>88.549952830188673</v>
      </c>
      <c r="I115" s="508">
        <v>4040.6289155522991</v>
      </c>
      <c r="J115" s="509"/>
      <c r="K115" s="569">
        <v>217.29843750000001</v>
      </c>
      <c r="L115" s="532">
        <v>6953.55</v>
      </c>
      <c r="M115" s="509"/>
      <c r="N115" s="573">
        <v>2912.9210844477011</v>
      </c>
      <c r="O115" s="509"/>
      <c r="P115" s="569">
        <v>114.14435897435898</v>
      </c>
      <c r="Q115" s="532">
        <v>4451.63</v>
      </c>
      <c r="R115" s="509"/>
      <c r="S115" s="574">
        <v>2501.92</v>
      </c>
      <c r="T115" s="504"/>
      <c r="U115" s="504"/>
      <c r="V115" s="504"/>
      <c r="W115" s="504"/>
      <c r="X115" s="504"/>
      <c r="Y115" s="504"/>
      <c r="Z115" s="504"/>
      <c r="AA115" s="504"/>
      <c r="AB115" s="504"/>
      <c r="AC115" s="50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</row>
    <row r="116" spans="1:40" ht="19.5" customHeight="1">
      <c r="A116" s="493" t="s">
        <v>305</v>
      </c>
      <c r="B116" s="499" t="s">
        <v>74</v>
      </c>
      <c r="C116" s="513" t="s">
        <v>37</v>
      </c>
      <c r="D116" s="82"/>
      <c r="E116" s="565">
        <v>42.755319148936181</v>
      </c>
      <c r="F116" s="514">
        <v>1950.9708737864084</v>
      </c>
      <c r="G116" s="84"/>
      <c r="H116" s="565">
        <v>42.755319148936181</v>
      </c>
      <c r="I116" s="514">
        <v>1950.9708737864084</v>
      </c>
      <c r="J116" s="525"/>
      <c r="K116" s="565">
        <v>309.41531250000003</v>
      </c>
      <c r="L116" s="517">
        <v>9901.2900000000009</v>
      </c>
      <c r="M116" s="525"/>
      <c r="N116" s="545">
        <v>7950.3191262135924</v>
      </c>
      <c r="O116" s="525"/>
      <c r="P116" s="565">
        <v>17.77128205128205</v>
      </c>
      <c r="Q116" s="517">
        <v>693.07999999999993</v>
      </c>
      <c r="R116" s="525"/>
      <c r="S116" s="567">
        <v>9208.2100000000009</v>
      </c>
      <c r="T116" s="504"/>
      <c r="U116" s="504"/>
      <c r="V116" s="504"/>
      <c r="W116" s="499"/>
      <c r="X116" s="504"/>
      <c r="Y116" s="504"/>
      <c r="Z116" s="504"/>
      <c r="AA116" s="504"/>
      <c r="AB116" s="504"/>
      <c r="AC116" s="50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</row>
    <row r="117" spans="1:40" ht="15.75" customHeight="1">
      <c r="A117" s="493" t="s">
        <v>306</v>
      </c>
      <c r="B117" s="499" t="s">
        <v>74</v>
      </c>
      <c r="C117" s="513" t="s">
        <v>38</v>
      </c>
      <c r="D117" s="82"/>
      <c r="E117" s="565">
        <v>20.432037018310016</v>
      </c>
      <c r="F117" s="514">
        <v>932.33566976754446</v>
      </c>
      <c r="G117" s="84"/>
      <c r="H117" s="565">
        <v>20.432037018310016</v>
      </c>
      <c r="I117" s="514">
        <v>932.33566976754446</v>
      </c>
      <c r="J117" s="525"/>
      <c r="K117" s="565">
        <v>58.772187500000001</v>
      </c>
      <c r="L117" s="517">
        <v>1880.71</v>
      </c>
      <c r="M117" s="525"/>
      <c r="N117" s="545">
        <v>948.37433023245558</v>
      </c>
      <c r="O117" s="525"/>
      <c r="P117" s="565">
        <v>14.314102564102564</v>
      </c>
      <c r="Q117" s="517">
        <v>558.25</v>
      </c>
      <c r="R117" s="525"/>
      <c r="S117" s="567">
        <v>1322.46</v>
      </c>
      <c r="T117" s="504"/>
      <c r="U117" s="504"/>
      <c r="V117" s="504"/>
      <c r="W117" s="514"/>
      <c r="X117" s="504"/>
      <c r="Y117" s="504"/>
      <c r="Z117" s="504"/>
      <c r="AA117" s="504"/>
      <c r="AB117" s="504"/>
      <c r="AC117" s="50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</row>
    <row r="118" spans="1:40" ht="15.75" hidden="1" customHeight="1">
      <c r="A118" s="493" t="s">
        <v>307</v>
      </c>
      <c r="B118" s="499" t="s">
        <v>74</v>
      </c>
      <c r="C118" s="513" t="s">
        <v>21</v>
      </c>
      <c r="D118" s="82"/>
      <c r="E118" s="565">
        <v>0</v>
      </c>
      <c r="F118" s="514">
        <v>0</v>
      </c>
      <c r="G118" s="84"/>
      <c r="H118" s="565">
        <v>0</v>
      </c>
      <c r="I118" s="514">
        <v>0</v>
      </c>
      <c r="J118" s="525"/>
      <c r="K118" s="565">
        <v>0</v>
      </c>
      <c r="L118" s="517">
        <v>0</v>
      </c>
      <c r="M118" s="525"/>
      <c r="N118" s="545">
        <v>0</v>
      </c>
      <c r="O118" s="525"/>
      <c r="P118" s="565">
        <v>0</v>
      </c>
      <c r="Q118" s="517">
        <v>0</v>
      </c>
      <c r="R118" s="525"/>
      <c r="S118" s="567">
        <v>0</v>
      </c>
      <c r="T118" s="504"/>
      <c r="U118" s="504"/>
      <c r="V118" s="504"/>
      <c r="W118" s="504"/>
      <c r="X118" s="504"/>
      <c r="Y118" s="504"/>
      <c r="Z118" s="504"/>
      <c r="AA118" s="504"/>
      <c r="AB118" s="504"/>
      <c r="AC118" s="50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</row>
    <row r="119" spans="1:40" ht="15.75" hidden="1" customHeight="1">
      <c r="A119" s="493" t="s">
        <v>307</v>
      </c>
      <c r="B119" s="499" t="s">
        <v>74</v>
      </c>
      <c r="C119" s="513" t="s">
        <v>21</v>
      </c>
      <c r="D119" s="82"/>
      <c r="E119" s="565">
        <v>0</v>
      </c>
      <c r="F119" s="514">
        <v>0</v>
      </c>
      <c r="G119" s="84"/>
      <c r="H119" s="565">
        <v>0</v>
      </c>
      <c r="I119" s="514">
        <v>0</v>
      </c>
      <c r="J119" s="525"/>
      <c r="K119" s="565">
        <v>0</v>
      </c>
      <c r="L119" s="517">
        <v>0</v>
      </c>
      <c r="M119" s="525"/>
      <c r="N119" s="545">
        <v>0</v>
      </c>
      <c r="O119" s="525"/>
      <c r="P119" s="565">
        <v>0</v>
      </c>
      <c r="Q119" s="517">
        <v>0</v>
      </c>
      <c r="R119" s="525"/>
      <c r="S119" s="567">
        <v>0</v>
      </c>
      <c r="T119" s="504"/>
      <c r="U119" s="504"/>
      <c r="V119" s="504"/>
      <c r="W119" s="504"/>
      <c r="X119" s="504"/>
      <c r="Y119" s="504"/>
      <c r="Z119" s="504"/>
      <c r="AA119" s="504"/>
      <c r="AB119" s="504"/>
      <c r="AC119" s="50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</row>
    <row r="120" spans="1:40" ht="15.75" hidden="1" customHeight="1">
      <c r="A120" s="493" t="s">
        <v>307</v>
      </c>
      <c r="B120" s="499" t="s">
        <v>74</v>
      </c>
      <c r="C120" s="513" t="s">
        <v>21</v>
      </c>
      <c r="D120" s="82"/>
      <c r="E120" s="565">
        <v>0</v>
      </c>
      <c r="F120" s="514">
        <v>0</v>
      </c>
      <c r="G120" s="84"/>
      <c r="H120" s="565">
        <v>0</v>
      </c>
      <c r="I120" s="514">
        <v>0</v>
      </c>
      <c r="J120" s="525"/>
      <c r="K120" s="565">
        <v>0</v>
      </c>
      <c r="L120" s="517">
        <v>0</v>
      </c>
      <c r="M120" s="525"/>
      <c r="N120" s="545">
        <v>0</v>
      </c>
      <c r="O120" s="525"/>
      <c r="P120" s="565">
        <v>0</v>
      </c>
      <c r="Q120" s="517">
        <v>0</v>
      </c>
      <c r="R120" s="525"/>
      <c r="S120" s="567">
        <v>0</v>
      </c>
      <c r="T120" s="504"/>
      <c r="U120" s="504"/>
      <c r="V120" s="504"/>
      <c r="W120" s="504"/>
      <c r="X120" s="504"/>
      <c r="Y120" s="504"/>
      <c r="Z120" s="504"/>
      <c r="AA120" s="504"/>
      <c r="AB120" s="504"/>
      <c r="AC120" s="50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</row>
    <row r="121" spans="1:40" ht="15.75" customHeight="1">
      <c r="A121" s="493" t="s">
        <v>308</v>
      </c>
      <c r="B121" s="499" t="s">
        <v>74</v>
      </c>
      <c r="C121" s="578" t="s">
        <v>39</v>
      </c>
      <c r="D121" s="97" t="s">
        <v>40</v>
      </c>
      <c r="E121" s="579">
        <v>0.39144984101388969</v>
      </c>
      <c r="F121" s="580">
        <v>59248.504762876168</v>
      </c>
      <c r="G121" s="100" t="s">
        <v>40</v>
      </c>
      <c r="H121" s="579">
        <v>0.39144984101388969</v>
      </c>
      <c r="I121" s="580">
        <v>59248.504762876168</v>
      </c>
      <c r="J121" s="100" t="s">
        <v>40</v>
      </c>
      <c r="K121" s="579">
        <v>0.43264606102973374</v>
      </c>
      <c r="L121" s="580">
        <v>73648.690000000017</v>
      </c>
      <c r="M121" s="583"/>
      <c r="N121" s="580">
        <v>14400.185237123849</v>
      </c>
      <c r="O121" s="100" t="s">
        <v>40</v>
      </c>
      <c r="P121" s="579">
        <v>0.32597952661132634</v>
      </c>
      <c r="Q121" s="580">
        <v>51387.970000000008</v>
      </c>
      <c r="R121" s="583"/>
      <c r="S121" s="584">
        <v>22260.720000000008</v>
      </c>
      <c r="T121" s="504"/>
      <c r="U121" s="504"/>
      <c r="X121" s="504"/>
      <c r="Y121" s="504"/>
      <c r="Z121" s="504"/>
      <c r="AA121" s="504"/>
      <c r="AB121" s="504"/>
      <c r="AC121" s="50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</row>
    <row r="122" spans="1:40" ht="20.399999999999999">
      <c r="A122" s="493" t="s">
        <v>309</v>
      </c>
      <c r="B122" s="499" t="s">
        <v>74</v>
      </c>
      <c r="C122" s="585" t="s">
        <v>42</v>
      </c>
      <c r="D122" s="504"/>
      <c r="E122" s="504"/>
      <c r="F122" s="514">
        <v>8074.4819923371651</v>
      </c>
      <c r="G122" s="525"/>
      <c r="H122" s="504"/>
      <c r="I122" s="514">
        <v>8074.4819923371651</v>
      </c>
      <c r="J122" s="525"/>
      <c r="K122" s="504"/>
      <c r="L122" s="517">
        <v>11056.58</v>
      </c>
      <c r="M122" s="525"/>
      <c r="N122" s="545">
        <v>2982.0980076628348</v>
      </c>
      <c r="O122" s="525"/>
      <c r="P122" s="504"/>
      <c r="Q122" s="517">
        <v>7917.04</v>
      </c>
      <c r="R122" s="525"/>
      <c r="S122" s="567">
        <v>3139.54</v>
      </c>
      <c r="T122" s="504"/>
      <c r="U122" s="504"/>
      <c r="V122" s="504"/>
      <c r="W122" s="504"/>
      <c r="X122" s="504"/>
      <c r="Y122" s="504"/>
      <c r="Z122" s="504"/>
      <c r="AA122" s="504"/>
      <c r="AB122" s="504"/>
      <c r="AC122" s="50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</row>
    <row r="123" spans="1:40" ht="20.399999999999999">
      <c r="A123" s="493" t="s">
        <v>310</v>
      </c>
      <c r="B123" s="499" t="s">
        <v>74</v>
      </c>
      <c r="C123" s="586" t="s">
        <v>43</v>
      </c>
      <c r="D123" s="82"/>
      <c r="E123" s="504"/>
      <c r="F123" s="508">
        <v>2182.6728393409962</v>
      </c>
      <c r="G123" s="84"/>
      <c r="H123" s="504"/>
      <c r="I123" s="508">
        <v>2182.6728393409962</v>
      </c>
      <c r="J123" s="525"/>
      <c r="K123" s="504"/>
      <c r="L123" s="508">
        <v>1720.58</v>
      </c>
      <c r="M123" s="525"/>
      <c r="N123" s="545">
        <v>-462.09283934099631</v>
      </c>
      <c r="O123" s="525"/>
      <c r="P123" s="504"/>
      <c r="Q123" s="508">
        <v>2181.4699999999998</v>
      </c>
      <c r="R123" s="525"/>
      <c r="S123" s="567">
        <v>-460.88999999999987</v>
      </c>
      <c r="T123" s="504"/>
      <c r="U123" s="504"/>
      <c r="V123" s="504"/>
      <c r="W123" s="504"/>
      <c r="X123" s="504"/>
      <c r="Y123" s="504"/>
      <c r="Z123" s="504"/>
      <c r="AA123" s="504"/>
      <c r="AB123" s="504"/>
      <c r="AC123" s="50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</row>
    <row r="124" spans="1:40" ht="20.399999999999999">
      <c r="A124" s="493" t="s">
        <v>311</v>
      </c>
      <c r="B124" s="499" t="s">
        <v>74</v>
      </c>
      <c r="C124" s="585" t="s">
        <v>44</v>
      </c>
      <c r="D124" s="107"/>
      <c r="E124" s="587"/>
      <c r="F124" s="514">
        <v>8189.7951351417623</v>
      </c>
      <c r="G124" s="109"/>
      <c r="H124" s="587"/>
      <c r="I124" s="514">
        <v>8189.7951351417623</v>
      </c>
      <c r="J124" s="588"/>
      <c r="K124" s="587"/>
      <c r="L124" s="517">
        <v>7696.58</v>
      </c>
      <c r="M124" s="588"/>
      <c r="N124" s="590">
        <v>-493.2151351417624</v>
      </c>
      <c r="O124" s="588"/>
      <c r="P124" s="587"/>
      <c r="Q124" s="517">
        <v>7209.56</v>
      </c>
      <c r="R124" s="588"/>
      <c r="S124" s="591">
        <v>487.01999999999953</v>
      </c>
      <c r="T124" s="504"/>
      <c r="U124" s="504"/>
      <c r="V124" s="504"/>
      <c r="W124" s="504"/>
      <c r="X124" s="504"/>
      <c r="Y124" s="504"/>
      <c r="Z124" s="504"/>
      <c r="AA124" s="504"/>
      <c r="AB124" s="504"/>
      <c r="AC124" s="50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</row>
    <row r="125" spans="1:40" ht="15.75" customHeight="1">
      <c r="A125" s="493" t="s">
        <v>312</v>
      </c>
      <c r="B125" s="499" t="s">
        <v>74</v>
      </c>
      <c r="C125" s="585" t="s">
        <v>45</v>
      </c>
      <c r="D125" s="82"/>
      <c r="E125" s="504"/>
      <c r="F125" s="514">
        <v>0</v>
      </c>
      <c r="G125" s="84"/>
      <c r="H125" s="504"/>
      <c r="I125" s="514">
        <v>0</v>
      </c>
      <c r="J125" s="525"/>
      <c r="K125" s="504"/>
      <c r="L125" s="517">
        <v>0</v>
      </c>
      <c r="M125" s="525"/>
      <c r="N125" s="545">
        <v>0</v>
      </c>
      <c r="O125" s="525"/>
      <c r="P125" s="504"/>
      <c r="Q125" s="517">
        <v>0</v>
      </c>
      <c r="R125" s="525"/>
      <c r="S125" s="567">
        <v>0</v>
      </c>
      <c r="T125" s="504"/>
      <c r="U125" s="504"/>
      <c r="V125" s="504"/>
      <c r="W125" s="504"/>
      <c r="X125" s="504"/>
      <c r="Y125" s="504"/>
      <c r="Z125" s="504"/>
      <c r="AA125" s="504"/>
      <c r="AB125" s="504"/>
      <c r="AC125" s="50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</row>
    <row r="126" spans="1:40" ht="15.75" hidden="1" customHeight="1">
      <c r="A126" s="493" t="s">
        <v>307</v>
      </c>
      <c r="B126" s="499" t="s">
        <v>74</v>
      </c>
      <c r="C126" s="585" t="s">
        <v>21</v>
      </c>
      <c r="D126" s="82"/>
      <c r="E126" s="504"/>
      <c r="F126" s="514">
        <v>0</v>
      </c>
      <c r="G126" s="84"/>
      <c r="H126" s="504"/>
      <c r="I126" s="514">
        <v>0</v>
      </c>
      <c r="J126" s="525"/>
      <c r="K126" s="504"/>
      <c r="L126" s="517">
        <v>0</v>
      </c>
      <c r="M126" s="525"/>
      <c r="N126" s="545">
        <v>0</v>
      </c>
      <c r="O126" s="525"/>
      <c r="P126" s="504"/>
      <c r="Q126" s="517">
        <v>0</v>
      </c>
      <c r="R126" s="525"/>
      <c r="S126" s="567">
        <v>0</v>
      </c>
      <c r="T126" s="504"/>
      <c r="U126" s="504"/>
      <c r="V126" s="504"/>
      <c r="W126" s="504"/>
      <c r="X126" s="504"/>
      <c r="Y126" s="504"/>
      <c r="Z126" s="504"/>
      <c r="AA126" s="504"/>
      <c r="AB126" s="504"/>
      <c r="AC126" s="50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</row>
    <row r="127" spans="1:40" ht="15.75" hidden="1" customHeight="1">
      <c r="A127" s="493" t="s">
        <v>307</v>
      </c>
      <c r="B127" s="499" t="s">
        <v>74</v>
      </c>
      <c r="C127" s="585" t="s">
        <v>21</v>
      </c>
      <c r="D127" s="82"/>
      <c r="E127" s="504"/>
      <c r="F127" s="514">
        <v>0</v>
      </c>
      <c r="G127" s="84"/>
      <c r="H127" s="504"/>
      <c r="I127" s="514">
        <v>0</v>
      </c>
      <c r="J127" s="525"/>
      <c r="K127" s="504"/>
      <c r="L127" s="517">
        <v>0</v>
      </c>
      <c r="M127" s="525"/>
      <c r="N127" s="545">
        <v>0</v>
      </c>
      <c r="O127" s="525"/>
      <c r="P127" s="504"/>
      <c r="Q127" s="517">
        <v>0</v>
      </c>
      <c r="R127" s="525"/>
      <c r="S127" s="567">
        <v>0</v>
      </c>
      <c r="T127" s="504"/>
      <c r="U127" s="504"/>
      <c r="V127" s="504"/>
      <c r="W127" s="504"/>
      <c r="X127" s="504"/>
      <c r="Y127" s="504"/>
      <c r="Z127" s="504"/>
      <c r="AA127" s="504"/>
      <c r="AB127" s="504"/>
      <c r="AC127" s="50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</row>
    <row r="128" spans="1:40" ht="15.75" hidden="1" customHeight="1">
      <c r="A128" s="493" t="s">
        <v>307</v>
      </c>
      <c r="B128" s="499" t="s">
        <v>74</v>
      </c>
      <c r="C128" s="585" t="s">
        <v>21</v>
      </c>
      <c r="D128" s="82"/>
      <c r="E128" s="504"/>
      <c r="F128" s="514">
        <v>0</v>
      </c>
      <c r="G128" s="84"/>
      <c r="H128" s="504"/>
      <c r="I128" s="514">
        <v>0</v>
      </c>
      <c r="J128" s="525"/>
      <c r="K128" s="504"/>
      <c r="L128" s="517">
        <v>0</v>
      </c>
      <c r="M128" s="525"/>
      <c r="N128" s="545">
        <v>0</v>
      </c>
      <c r="O128" s="525"/>
      <c r="P128" s="504"/>
      <c r="Q128" s="517">
        <v>0</v>
      </c>
      <c r="R128" s="525"/>
      <c r="S128" s="567">
        <v>0</v>
      </c>
      <c r="T128" s="504"/>
      <c r="U128" s="504"/>
      <c r="V128" s="504"/>
      <c r="W128" s="504"/>
      <c r="X128" s="504"/>
      <c r="Y128" s="504"/>
      <c r="Z128" s="504"/>
      <c r="AA128" s="504"/>
      <c r="AB128" s="504"/>
      <c r="AC128" s="50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</row>
    <row r="129" spans="1:40" ht="15.75" customHeight="1">
      <c r="A129" s="493" t="s">
        <v>313</v>
      </c>
      <c r="B129" s="499" t="s">
        <v>74</v>
      </c>
      <c r="C129" s="586" t="s">
        <v>46</v>
      </c>
      <c r="D129" s="82"/>
      <c r="E129" s="504"/>
      <c r="F129" s="514">
        <v>7699.7091838195092</v>
      </c>
      <c r="G129" s="84"/>
      <c r="H129" s="504"/>
      <c r="I129" s="514">
        <v>7699.7091838195092</v>
      </c>
      <c r="J129" s="525"/>
      <c r="K129" s="504"/>
      <c r="L129" s="517">
        <v>5068.8100000000004</v>
      </c>
      <c r="M129" s="525"/>
      <c r="N129" s="545">
        <v>-2630.8991838195088</v>
      </c>
      <c r="O129" s="525"/>
      <c r="P129" s="504"/>
      <c r="Q129" s="517">
        <v>3223.57</v>
      </c>
      <c r="R129" s="525"/>
      <c r="S129" s="567">
        <v>1845.2400000000002</v>
      </c>
      <c r="T129" s="504"/>
      <c r="U129" s="504"/>
      <c r="V129" s="504"/>
      <c r="W129" s="504"/>
      <c r="X129" s="504"/>
      <c r="Y129" s="504"/>
      <c r="Z129" s="504"/>
      <c r="AA129" s="504"/>
      <c r="AB129" s="504"/>
      <c r="AC129" s="50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</row>
    <row r="130" spans="1:40" ht="15.75" customHeight="1">
      <c r="A130" s="493" t="s">
        <v>314</v>
      </c>
      <c r="B130" s="499" t="s">
        <v>74</v>
      </c>
      <c r="C130" s="585" t="s">
        <v>47</v>
      </c>
      <c r="D130" s="107"/>
      <c r="E130" s="587"/>
      <c r="F130" s="539">
        <v>6895.8788384148238</v>
      </c>
      <c r="G130" s="109"/>
      <c r="H130" s="587"/>
      <c r="I130" s="539">
        <v>6895.8788384148238</v>
      </c>
      <c r="J130" s="588"/>
      <c r="K130" s="587"/>
      <c r="L130" s="540">
        <v>3383.99</v>
      </c>
      <c r="M130" s="588"/>
      <c r="N130" s="590">
        <v>-3511.888838414824</v>
      </c>
      <c r="O130" s="588"/>
      <c r="P130" s="587"/>
      <c r="Q130" s="540">
        <v>6704.76</v>
      </c>
      <c r="R130" s="588"/>
      <c r="S130" s="591">
        <v>-3320.7700000000004</v>
      </c>
      <c r="T130" s="504"/>
      <c r="U130" s="504"/>
      <c r="V130" s="504"/>
      <c r="W130" s="504"/>
      <c r="X130" s="504"/>
      <c r="Y130" s="504"/>
      <c r="Z130" s="504"/>
      <c r="AA130" s="504"/>
      <c r="AB130" s="504"/>
      <c r="AC130" s="50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</row>
    <row r="131" spans="1:40" ht="15.75" customHeight="1">
      <c r="A131" s="493" t="s">
        <v>315</v>
      </c>
      <c r="B131" s="499" t="s">
        <v>74</v>
      </c>
      <c r="C131" s="585" t="s">
        <v>48</v>
      </c>
      <c r="D131" s="82"/>
      <c r="E131" s="504"/>
      <c r="F131" s="514">
        <v>5476.1390775647142</v>
      </c>
      <c r="G131" s="84"/>
      <c r="H131" s="504"/>
      <c r="I131" s="514">
        <v>5476.1390775647142</v>
      </c>
      <c r="J131" s="525"/>
      <c r="K131" s="504"/>
      <c r="L131" s="517">
        <v>2494</v>
      </c>
      <c r="M131" s="525"/>
      <c r="N131" s="545">
        <v>-2982.1390775647142</v>
      </c>
      <c r="O131" s="525"/>
      <c r="P131" s="504"/>
      <c r="Q131" s="517">
        <v>4805.08</v>
      </c>
      <c r="R131" s="525"/>
      <c r="S131" s="567">
        <v>-2311.08</v>
      </c>
      <c r="T131" s="504"/>
      <c r="U131" s="504"/>
      <c r="V131" s="504"/>
      <c r="W131" s="504"/>
      <c r="X131" s="504"/>
      <c r="Y131" s="504"/>
      <c r="Z131" s="504"/>
      <c r="AA131" s="504"/>
      <c r="AB131" s="504"/>
      <c r="AC131" s="50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</row>
    <row r="132" spans="1:40" ht="15.75" customHeight="1">
      <c r="A132" s="493" t="s">
        <v>316</v>
      </c>
      <c r="B132" s="499" t="s">
        <v>74</v>
      </c>
      <c r="C132" s="585" t="s">
        <v>49</v>
      </c>
      <c r="D132" s="82"/>
      <c r="E132" s="504"/>
      <c r="F132" s="514">
        <v>2231.0196241930316</v>
      </c>
      <c r="G132" s="84"/>
      <c r="H132" s="504"/>
      <c r="I132" s="514">
        <v>2231.0196241930316</v>
      </c>
      <c r="J132" s="525"/>
      <c r="K132" s="504"/>
      <c r="L132" s="517">
        <v>892.82</v>
      </c>
      <c r="M132" s="525"/>
      <c r="N132" s="545">
        <v>-1338.1996241930315</v>
      </c>
      <c r="O132" s="525"/>
      <c r="P132" s="504"/>
      <c r="Q132" s="517">
        <v>1117.46</v>
      </c>
      <c r="R132" s="525"/>
      <c r="S132" s="567">
        <v>-224.64</v>
      </c>
      <c r="T132" s="504"/>
      <c r="U132" s="504"/>
      <c r="V132" s="504"/>
      <c r="W132" s="504"/>
      <c r="X132" s="504"/>
      <c r="Y132" s="504"/>
      <c r="Z132" s="504"/>
      <c r="AA132" s="504"/>
      <c r="AB132" s="504"/>
      <c r="AC132" s="50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</row>
    <row r="133" spans="1:40" ht="15.75" hidden="1" customHeight="1">
      <c r="A133" s="493" t="s">
        <v>307</v>
      </c>
      <c r="B133" s="499" t="s">
        <v>74</v>
      </c>
      <c r="C133" s="513" t="s">
        <v>21</v>
      </c>
      <c r="D133" s="89"/>
      <c r="E133" s="592"/>
      <c r="F133" s="514">
        <v>0</v>
      </c>
      <c r="G133" s="91"/>
      <c r="H133" s="592"/>
      <c r="I133" s="514">
        <v>0</v>
      </c>
      <c r="J133" s="509"/>
      <c r="K133" s="592"/>
      <c r="L133" s="517">
        <v>0</v>
      </c>
      <c r="M133" s="509"/>
      <c r="N133" s="620">
        <v>0</v>
      </c>
      <c r="O133" s="509"/>
      <c r="P133" s="592"/>
      <c r="Q133" s="517">
        <v>0</v>
      </c>
      <c r="R133" s="509"/>
      <c r="S133" s="574">
        <v>0</v>
      </c>
      <c r="T133" s="504"/>
      <c r="U133" s="504"/>
      <c r="V133" s="504"/>
      <c r="W133" s="504"/>
      <c r="X133" s="504"/>
      <c r="Y133" s="504"/>
      <c r="Z133" s="504"/>
      <c r="AA133" s="504"/>
      <c r="AB133" s="504"/>
      <c r="AC133" s="50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</row>
    <row r="134" spans="1:40" ht="15.75" customHeight="1">
      <c r="A134" s="493" t="s">
        <v>317</v>
      </c>
      <c r="B134" s="499" t="s">
        <v>74</v>
      </c>
      <c r="C134" s="578" t="s">
        <v>50</v>
      </c>
      <c r="D134" s="97" t="s">
        <v>40</v>
      </c>
      <c r="E134" s="579">
        <v>0.26922978655450264</v>
      </c>
      <c r="F134" s="580">
        <v>40749.696690812001</v>
      </c>
      <c r="G134" s="100" t="s">
        <v>40</v>
      </c>
      <c r="H134" s="579">
        <v>0.26922978655450264</v>
      </c>
      <c r="I134" s="580">
        <v>40749.696690812001</v>
      </c>
      <c r="J134" s="100" t="s">
        <v>40</v>
      </c>
      <c r="K134" s="579">
        <v>0.18982344319546965</v>
      </c>
      <c r="L134" s="580">
        <v>32313.360000000001</v>
      </c>
      <c r="M134" s="621"/>
      <c r="N134" s="594">
        <v>-8436.3366908120006</v>
      </c>
      <c r="O134" s="100" t="s">
        <v>40</v>
      </c>
      <c r="P134" s="579">
        <v>0.21034369647474638</v>
      </c>
      <c r="Q134" s="580">
        <v>33158.94</v>
      </c>
      <c r="R134" s="621"/>
      <c r="S134" s="595">
        <v>-845.58000000000175</v>
      </c>
      <c r="T134" s="504"/>
      <c r="U134" s="504"/>
      <c r="V134" s="504"/>
      <c r="W134" s="504"/>
      <c r="X134" s="504"/>
      <c r="Y134" s="504"/>
      <c r="Z134" s="504"/>
      <c r="AA134" s="504"/>
      <c r="AB134" s="504"/>
      <c r="AC134" s="50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</row>
    <row r="135" spans="1:40" ht="15.75" customHeight="1">
      <c r="A135" s="493" t="s">
        <v>318</v>
      </c>
      <c r="B135" s="499" t="s">
        <v>74</v>
      </c>
      <c r="C135" s="513" t="s">
        <v>51</v>
      </c>
      <c r="D135" s="82"/>
      <c r="E135" s="504"/>
      <c r="F135" s="514">
        <v>0</v>
      </c>
      <c r="G135" s="84"/>
      <c r="H135" s="504"/>
      <c r="I135" s="514">
        <v>0</v>
      </c>
      <c r="J135" s="525"/>
      <c r="K135" s="504"/>
      <c r="L135" s="517">
        <v>0</v>
      </c>
      <c r="M135" s="525"/>
      <c r="N135" s="545">
        <v>0</v>
      </c>
      <c r="O135" s="525"/>
      <c r="P135" s="504"/>
      <c r="Q135" s="517">
        <v>0</v>
      </c>
      <c r="R135" s="525"/>
      <c r="S135" s="567">
        <v>0</v>
      </c>
      <c r="T135" s="504"/>
      <c r="U135" s="504"/>
      <c r="V135" s="504"/>
      <c r="W135" s="504"/>
      <c r="X135" s="504"/>
      <c r="Y135" s="504"/>
      <c r="Z135" s="504"/>
      <c r="AA135" s="504"/>
      <c r="AB135" s="504"/>
      <c r="AC135" s="50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</row>
    <row r="136" spans="1:40" ht="15.75" customHeight="1">
      <c r="A136" s="493" t="s">
        <v>319</v>
      </c>
      <c r="B136" s="499" t="s">
        <v>74</v>
      </c>
      <c r="C136" s="513" t="s">
        <v>52</v>
      </c>
      <c r="D136" s="82"/>
      <c r="E136" s="504"/>
      <c r="F136" s="514">
        <v>0</v>
      </c>
      <c r="G136" s="84"/>
      <c r="H136" s="504"/>
      <c r="I136" s="514">
        <v>0</v>
      </c>
      <c r="J136" s="525"/>
      <c r="K136" s="504"/>
      <c r="L136" s="517">
        <v>0</v>
      </c>
      <c r="M136" s="525"/>
      <c r="N136" s="545">
        <v>0</v>
      </c>
      <c r="O136" s="525"/>
      <c r="P136" s="504"/>
      <c r="Q136" s="517">
        <v>0</v>
      </c>
      <c r="R136" s="525"/>
      <c r="S136" s="567">
        <v>0</v>
      </c>
      <c r="T136" s="504"/>
      <c r="U136" s="504"/>
      <c r="V136" s="504"/>
      <c r="W136" s="504"/>
      <c r="X136" s="504"/>
      <c r="Y136" s="504"/>
      <c r="Z136" s="504"/>
      <c r="AA136" s="504"/>
      <c r="AB136" s="504"/>
      <c r="AC136" s="50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</row>
    <row r="137" spans="1:40" ht="15.75" customHeight="1">
      <c r="A137" s="493" t="s">
        <v>320</v>
      </c>
      <c r="B137" s="499" t="s">
        <v>74</v>
      </c>
      <c r="C137" s="568" t="s">
        <v>53</v>
      </c>
      <c r="D137" s="89"/>
      <c r="E137" s="592"/>
      <c r="F137" s="508">
        <v>125.03999999999999</v>
      </c>
      <c r="G137" s="91"/>
      <c r="H137" s="592"/>
      <c r="I137" s="508">
        <v>125.03999999999999</v>
      </c>
      <c r="J137" s="509"/>
      <c r="K137" s="592"/>
      <c r="L137" s="508">
        <v>412.36</v>
      </c>
      <c r="M137" s="509"/>
      <c r="N137" s="573">
        <v>287.32000000000005</v>
      </c>
      <c r="O137" s="509"/>
      <c r="P137" s="592"/>
      <c r="Q137" s="508">
        <v>-351.13</v>
      </c>
      <c r="R137" s="509"/>
      <c r="S137" s="574">
        <v>763.49</v>
      </c>
      <c r="T137" s="504"/>
      <c r="U137" s="504"/>
      <c r="V137" s="504"/>
      <c r="W137" s="504"/>
      <c r="X137" s="504"/>
      <c r="Y137" s="504"/>
      <c r="Z137" s="504"/>
      <c r="AA137" s="504"/>
      <c r="AB137" s="504"/>
      <c r="AC137" s="50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</row>
    <row r="138" spans="1:40" ht="15.75" customHeight="1">
      <c r="A138" s="493" t="s">
        <v>321</v>
      </c>
      <c r="B138" s="499" t="s">
        <v>74</v>
      </c>
      <c r="C138" s="513" t="s">
        <v>54</v>
      </c>
      <c r="D138" s="82"/>
      <c r="E138" s="504"/>
      <c r="F138" s="514">
        <v>2428.3689099999997</v>
      </c>
      <c r="G138" s="84"/>
      <c r="H138" s="504"/>
      <c r="I138" s="514">
        <v>2428.3689099999997</v>
      </c>
      <c r="J138" s="525"/>
      <c r="K138" s="504"/>
      <c r="L138" s="517">
        <v>2728.6</v>
      </c>
      <c r="M138" s="525"/>
      <c r="N138" s="545">
        <v>300.23109000000022</v>
      </c>
      <c r="O138" s="525"/>
      <c r="P138" s="504"/>
      <c r="Q138" s="517">
        <v>1770.17</v>
      </c>
      <c r="R138" s="525"/>
      <c r="S138" s="567">
        <v>958.42999999999984</v>
      </c>
      <c r="T138" s="504"/>
      <c r="U138" s="504"/>
      <c r="V138" s="504"/>
      <c r="W138" s="504"/>
      <c r="X138" s="504"/>
      <c r="Y138" s="504"/>
      <c r="Z138" s="504"/>
      <c r="AA138" s="504"/>
      <c r="AB138" s="504"/>
      <c r="AC138" s="50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</row>
    <row r="139" spans="1:40" ht="15.75" customHeight="1">
      <c r="A139" s="493" t="s">
        <v>322</v>
      </c>
      <c r="B139" s="499" t="s">
        <v>74</v>
      </c>
      <c r="C139" s="513" t="s">
        <v>55</v>
      </c>
      <c r="D139" s="82"/>
      <c r="E139" s="504"/>
      <c r="F139" s="514">
        <v>297.05317500000001</v>
      </c>
      <c r="G139" s="84"/>
      <c r="H139" s="504"/>
      <c r="I139" s="514">
        <v>297.05317500000001</v>
      </c>
      <c r="J139" s="525"/>
      <c r="K139" s="504"/>
      <c r="L139" s="517">
        <v>441.76</v>
      </c>
      <c r="M139" s="525"/>
      <c r="N139" s="545">
        <v>144.70682499999998</v>
      </c>
      <c r="O139" s="525"/>
      <c r="P139" s="504"/>
      <c r="Q139" s="517">
        <v>229.67</v>
      </c>
      <c r="R139" s="525"/>
      <c r="S139" s="567">
        <v>212.09</v>
      </c>
      <c r="T139" s="622"/>
      <c r="U139" s="504"/>
      <c r="V139" s="504"/>
      <c r="W139" s="504"/>
      <c r="X139" s="504"/>
      <c r="Y139" s="504"/>
      <c r="Z139" s="504"/>
      <c r="AA139" s="504"/>
      <c r="AB139" s="504"/>
      <c r="AC139" s="50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</row>
    <row r="140" spans="1:40" ht="15.75" customHeight="1">
      <c r="A140" s="493" t="s">
        <v>323</v>
      </c>
      <c r="B140" s="499" t="s">
        <v>74</v>
      </c>
      <c r="C140" s="568" t="s">
        <v>56</v>
      </c>
      <c r="D140" s="89"/>
      <c r="E140" s="592"/>
      <c r="F140" s="508">
        <v>1441.3902666666663</v>
      </c>
      <c r="G140" s="91"/>
      <c r="H140" s="592"/>
      <c r="I140" s="508">
        <v>1441.3902666666663</v>
      </c>
      <c r="J140" s="509"/>
      <c r="K140" s="592"/>
      <c r="L140" s="508">
        <v>616.32000000000005</v>
      </c>
      <c r="M140" s="509"/>
      <c r="N140" s="573">
        <v>-825.07026666666627</v>
      </c>
      <c r="O140" s="509"/>
      <c r="P140" s="592"/>
      <c r="Q140" s="508">
        <v>1235.5</v>
      </c>
      <c r="R140" s="509"/>
      <c r="S140" s="574">
        <v>-619.17999999999995</v>
      </c>
      <c r="T140" s="504"/>
      <c r="U140" s="504"/>
      <c r="V140" s="504"/>
      <c r="W140" s="504"/>
      <c r="X140" s="504"/>
      <c r="Y140" s="504"/>
      <c r="Z140" s="504"/>
      <c r="AA140" s="504"/>
      <c r="AB140" s="504"/>
      <c r="AC140" s="50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</row>
    <row r="141" spans="1:40" ht="15.75" customHeight="1">
      <c r="A141" s="493" t="s">
        <v>324</v>
      </c>
      <c r="B141" s="499" t="s">
        <v>74</v>
      </c>
      <c r="C141" s="513" t="s">
        <v>57</v>
      </c>
      <c r="D141" s="82"/>
      <c r="E141" s="504"/>
      <c r="F141" s="514">
        <v>107.68716037339154</v>
      </c>
      <c r="G141" s="84"/>
      <c r="H141" s="504"/>
      <c r="I141" s="514">
        <v>107.68716037339154</v>
      </c>
      <c r="J141" s="525"/>
      <c r="K141" s="504"/>
      <c r="L141" s="517">
        <v>15.24</v>
      </c>
      <c r="M141" s="525"/>
      <c r="N141" s="545">
        <v>-92.44716037339154</v>
      </c>
      <c r="O141" s="525"/>
      <c r="P141" s="504"/>
      <c r="Q141" s="517">
        <v>28.09</v>
      </c>
      <c r="R141" s="525"/>
      <c r="S141" s="567">
        <v>-12.85</v>
      </c>
      <c r="T141" s="504"/>
      <c r="U141" s="504"/>
      <c r="V141" s="504"/>
      <c r="W141" s="504"/>
      <c r="X141" s="504"/>
      <c r="Y141" s="504"/>
      <c r="Z141" s="504"/>
      <c r="AA141" s="504"/>
      <c r="AB141" s="504"/>
      <c r="AC141" s="50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</row>
    <row r="142" spans="1:40" ht="15.75" customHeight="1">
      <c r="A142" s="493" t="s">
        <v>325</v>
      </c>
      <c r="B142" s="499" t="s">
        <v>74</v>
      </c>
      <c r="C142" s="513" t="s">
        <v>58</v>
      </c>
      <c r="D142" s="82"/>
      <c r="E142" s="504"/>
      <c r="F142" s="514">
        <v>57.222126165837054</v>
      </c>
      <c r="G142" s="84"/>
      <c r="H142" s="504"/>
      <c r="I142" s="514">
        <v>57.222126165837054</v>
      </c>
      <c r="J142" s="525"/>
      <c r="K142" s="504"/>
      <c r="L142" s="517">
        <v>0</v>
      </c>
      <c r="M142" s="525"/>
      <c r="N142" s="545">
        <v>-57.222126165837054</v>
      </c>
      <c r="O142" s="525"/>
      <c r="P142" s="504"/>
      <c r="Q142" s="517">
        <v>0</v>
      </c>
      <c r="R142" s="525"/>
      <c r="S142" s="567">
        <v>0</v>
      </c>
      <c r="T142" s="504"/>
      <c r="U142" s="504"/>
      <c r="V142" s="504"/>
      <c r="W142" s="504"/>
      <c r="X142" s="504"/>
      <c r="Y142" s="504"/>
      <c r="Z142" s="504"/>
      <c r="AA142" s="504"/>
      <c r="AB142" s="504"/>
      <c r="AC142" s="50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</row>
    <row r="143" spans="1:40" ht="15.75" customHeight="1">
      <c r="A143" s="493" t="s">
        <v>326</v>
      </c>
      <c r="B143" s="499" t="s">
        <v>74</v>
      </c>
      <c r="C143" s="513" t="s">
        <v>59</v>
      </c>
      <c r="D143" s="82"/>
      <c r="E143" s="504"/>
      <c r="F143" s="514">
        <v>244.82411999999999</v>
      </c>
      <c r="G143" s="84"/>
      <c r="H143" s="504"/>
      <c r="I143" s="514">
        <v>244.82411999999999</v>
      </c>
      <c r="J143" s="525"/>
      <c r="K143" s="504"/>
      <c r="L143" s="516">
        <v>254.03</v>
      </c>
      <c r="M143" s="525"/>
      <c r="N143" s="545">
        <v>9.2058800000000076</v>
      </c>
      <c r="O143" s="525"/>
      <c r="P143" s="504"/>
      <c r="Q143" s="516">
        <v>239.58</v>
      </c>
      <c r="R143" s="525"/>
      <c r="S143" s="567">
        <v>14.449999999999989</v>
      </c>
      <c r="T143" s="504"/>
      <c r="U143" s="504"/>
      <c r="V143" s="504"/>
      <c r="W143" s="504"/>
      <c r="X143" s="504"/>
      <c r="Y143" s="504"/>
      <c r="Z143" s="504"/>
      <c r="AA143" s="504"/>
      <c r="AB143" s="504"/>
      <c r="AC143" s="50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</row>
    <row r="144" spans="1:40" ht="15.75" customHeight="1">
      <c r="A144" s="493" t="s">
        <v>327</v>
      </c>
      <c r="B144" s="499" t="s">
        <v>74</v>
      </c>
      <c r="C144" s="513" t="s">
        <v>60</v>
      </c>
      <c r="D144" s="82"/>
      <c r="E144" s="504"/>
      <c r="F144" s="514">
        <v>113.04919750000001</v>
      </c>
      <c r="G144" s="84"/>
      <c r="H144" s="504"/>
      <c r="I144" s="514">
        <v>113.04919750000001</v>
      </c>
      <c r="J144" s="525"/>
      <c r="K144" s="504"/>
      <c r="L144" s="517">
        <v>47.52</v>
      </c>
      <c r="M144" s="525"/>
      <c r="N144" s="545">
        <v>-65.529197500000009</v>
      </c>
      <c r="O144" s="525"/>
      <c r="P144" s="504"/>
      <c r="Q144" s="517">
        <v>48.54</v>
      </c>
      <c r="R144" s="525"/>
      <c r="S144" s="567">
        <v>-1.019999999999996</v>
      </c>
      <c r="T144" s="504"/>
      <c r="U144" s="504"/>
      <c r="V144" s="504"/>
      <c r="W144" s="504"/>
      <c r="X144" s="504"/>
      <c r="Y144" s="504"/>
      <c r="Z144" s="504"/>
      <c r="AA144" s="504"/>
      <c r="AB144" s="504"/>
      <c r="AC144" s="50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</row>
    <row r="145" spans="1:40" ht="15.75" customHeight="1">
      <c r="A145" s="493" t="s">
        <v>328</v>
      </c>
      <c r="B145" s="499" t="s">
        <v>74</v>
      </c>
      <c r="C145" s="513" t="s">
        <v>61</v>
      </c>
      <c r="D145" s="82"/>
      <c r="E145" s="504"/>
      <c r="F145" s="514">
        <v>60.343902499999984</v>
      </c>
      <c r="G145" s="84"/>
      <c r="H145" s="504"/>
      <c r="I145" s="514">
        <v>60.343902499999984</v>
      </c>
      <c r="J145" s="525"/>
      <c r="K145" s="504"/>
      <c r="L145" s="517">
        <v>60.88</v>
      </c>
      <c r="M145" s="525"/>
      <c r="N145" s="545">
        <v>0.5360975000000181</v>
      </c>
      <c r="O145" s="525"/>
      <c r="P145" s="504"/>
      <c r="Q145" s="517">
        <v>57.32</v>
      </c>
      <c r="R145" s="525"/>
      <c r="S145" s="567">
        <v>3.5600000000000023</v>
      </c>
      <c r="T145" s="504"/>
      <c r="U145" s="504"/>
      <c r="V145" s="504"/>
      <c r="W145" s="504"/>
      <c r="X145" s="504"/>
      <c r="Y145" s="504"/>
      <c r="Z145" s="504"/>
      <c r="AA145" s="504"/>
      <c r="AB145" s="504"/>
      <c r="AC145" s="50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</row>
    <row r="146" spans="1:40" ht="15.75" customHeight="1">
      <c r="A146" s="493" t="s">
        <v>329</v>
      </c>
      <c r="B146" s="499" t="s">
        <v>74</v>
      </c>
      <c r="C146" s="513" t="s">
        <v>62</v>
      </c>
      <c r="D146" s="82"/>
      <c r="E146" s="504"/>
      <c r="F146" s="514">
        <v>291.0875974999999</v>
      </c>
      <c r="G146" s="84"/>
      <c r="H146" s="504"/>
      <c r="I146" s="514">
        <v>291.0875974999999</v>
      </c>
      <c r="J146" s="525"/>
      <c r="K146" s="504"/>
      <c r="L146" s="517">
        <v>100.35</v>
      </c>
      <c r="M146" s="525"/>
      <c r="N146" s="545">
        <v>-190.73759749999991</v>
      </c>
      <c r="O146" s="525"/>
      <c r="P146" s="504"/>
      <c r="Q146" s="517">
        <v>449.41</v>
      </c>
      <c r="R146" s="525"/>
      <c r="S146" s="567">
        <v>-349.06000000000006</v>
      </c>
      <c r="T146" s="504"/>
      <c r="U146" s="504"/>
      <c r="V146" s="504"/>
      <c r="W146" s="504"/>
      <c r="X146" s="504"/>
      <c r="Y146" s="504"/>
      <c r="Z146" s="504"/>
      <c r="AA146" s="504"/>
      <c r="AB146" s="504"/>
      <c r="AC146" s="50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</row>
    <row r="147" spans="1:40" ht="15.75" customHeight="1">
      <c r="A147" s="493" t="s">
        <v>330</v>
      </c>
      <c r="B147" s="499" t="s">
        <v>74</v>
      </c>
      <c r="C147" s="513" t="s">
        <v>63</v>
      </c>
      <c r="D147" s="82"/>
      <c r="E147" s="504"/>
      <c r="F147" s="514">
        <v>432.47109999999998</v>
      </c>
      <c r="G147" s="84"/>
      <c r="H147" s="504"/>
      <c r="I147" s="514">
        <v>432.47109999999998</v>
      </c>
      <c r="J147" s="525"/>
      <c r="K147" s="504"/>
      <c r="L147" s="517">
        <v>38.28</v>
      </c>
      <c r="M147" s="525"/>
      <c r="N147" s="545">
        <v>-394.19110000000001</v>
      </c>
      <c r="O147" s="525"/>
      <c r="P147" s="504"/>
      <c r="Q147" s="517">
        <v>130.62</v>
      </c>
      <c r="R147" s="525"/>
      <c r="S147" s="567">
        <v>-92.34</v>
      </c>
      <c r="T147" s="504"/>
      <c r="U147" s="504"/>
      <c r="V147" s="504"/>
      <c r="W147" s="504"/>
      <c r="X147" s="504"/>
      <c r="Y147" s="504"/>
      <c r="Z147" s="504"/>
      <c r="AA147" s="504"/>
      <c r="AB147" s="504"/>
      <c r="AC147" s="50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</row>
    <row r="148" spans="1:40" ht="15.75" customHeight="1">
      <c r="A148" s="493" t="s">
        <v>331</v>
      </c>
      <c r="B148" s="499" t="s">
        <v>74</v>
      </c>
      <c r="C148" s="513" t="s">
        <v>64</v>
      </c>
      <c r="D148" s="82"/>
      <c r="E148" s="504"/>
      <c r="F148" s="514">
        <v>1150.0620562818558</v>
      </c>
      <c r="G148" s="84"/>
      <c r="H148" s="504"/>
      <c r="I148" s="514">
        <v>1150.0620562818558</v>
      </c>
      <c r="J148" s="525"/>
      <c r="K148" s="504"/>
      <c r="L148" s="517">
        <v>945.7700000000001</v>
      </c>
      <c r="M148" s="525"/>
      <c r="N148" s="545">
        <v>-204.29205628185571</v>
      </c>
      <c r="O148" s="525"/>
      <c r="P148" s="504"/>
      <c r="Q148" s="517">
        <v>689.52100000000007</v>
      </c>
      <c r="R148" s="525"/>
      <c r="S148" s="567">
        <v>256.24900000000002</v>
      </c>
      <c r="T148" s="565"/>
      <c r="U148" s="504"/>
      <c r="V148" s="504"/>
      <c r="W148" s="504"/>
      <c r="X148" s="504"/>
      <c r="Y148" s="504"/>
      <c r="Z148" s="504"/>
      <c r="AA148" s="504"/>
      <c r="AB148" s="504"/>
      <c r="AC148" s="50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</row>
    <row r="149" spans="1:40" ht="15.75" hidden="1" customHeight="1">
      <c r="A149" s="493" t="s">
        <v>307</v>
      </c>
      <c r="B149" s="499" t="s">
        <v>74</v>
      </c>
      <c r="C149" s="513" t="s">
        <v>21</v>
      </c>
      <c r="D149" s="82"/>
      <c r="E149" s="504"/>
      <c r="F149" s="514">
        <v>0</v>
      </c>
      <c r="G149" s="84"/>
      <c r="H149" s="504"/>
      <c r="I149" s="514">
        <v>0</v>
      </c>
      <c r="J149" s="525"/>
      <c r="K149" s="504"/>
      <c r="L149" s="517">
        <v>0</v>
      </c>
      <c r="M149" s="525"/>
      <c r="N149" s="545">
        <v>0</v>
      </c>
      <c r="O149" s="525"/>
      <c r="P149" s="504"/>
      <c r="Q149" s="517">
        <v>0</v>
      </c>
      <c r="R149" s="525"/>
      <c r="S149" s="567">
        <v>0</v>
      </c>
      <c r="T149" s="504"/>
      <c r="U149" s="504"/>
      <c r="V149" s="504"/>
      <c r="W149" s="504"/>
      <c r="X149" s="504"/>
      <c r="Y149" s="504"/>
      <c r="Z149" s="504"/>
      <c r="AA149" s="504"/>
      <c r="AB149" s="504"/>
      <c r="AC149" s="50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</row>
    <row r="150" spans="1:40" ht="15.75" hidden="1" customHeight="1">
      <c r="A150" s="493" t="s">
        <v>307</v>
      </c>
      <c r="B150" s="499" t="s">
        <v>74</v>
      </c>
      <c r="C150" s="513" t="s">
        <v>21</v>
      </c>
      <c r="D150" s="82"/>
      <c r="E150" s="504"/>
      <c r="F150" s="514">
        <v>0</v>
      </c>
      <c r="G150" s="84"/>
      <c r="H150" s="504"/>
      <c r="I150" s="514">
        <v>0</v>
      </c>
      <c r="J150" s="525"/>
      <c r="K150" s="504"/>
      <c r="L150" s="517">
        <v>0</v>
      </c>
      <c r="M150" s="525"/>
      <c r="N150" s="545">
        <v>0</v>
      </c>
      <c r="O150" s="525"/>
      <c r="P150" s="504"/>
      <c r="Q150" s="517">
        <v>0</v>
      </c>
      <c r="R150" s="525"/>
      <c r="S150" s="567">
        <v>0</v>
      </c>
      <c r="T150" s="504"/>
      <c r="U150" s="504"/>
      <c r="V150" s="504"/>
      <c r="W150" s="504"/>
      <c r="X150" s="504"/>
      <c r="Y150" s="504"/>
      <c r="Z150" s="504"/>
      <c r="AA150" s="504"/>
      <c r="AB150" s="504"/>
      <c r="AC150" s="50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</row>
    <row r="151" spans="1:40" ht="15.75" hidden="1" customHeight="1">
      <c r="A151" s="493" t="s">
        <v>307</v>
      </c>
      <c r="B151" s="499" t="s">
        <v>74</v>
      </c>
      <c r="C151" s="513" t="s">
        <v>21</v>
      </c>
      <c r="D151" s="82"/>
      <c r="E151" s="504"/>
      <c r="F151" s="514">
        <v>0</v>
      </c>
      <c r="G151" s="84"/>
      <c r="H151" s="504"/>
      <c r="I151" s="514">
        <v>0</v>
      </c>
      <c r="J151" s="525"/>
      <c r="K151" s="504"/>
      <c r="L151" s="517">
        <v>0</v>
      </c>
      <c r="M151" s="525"/>
      <c r="N151" s="545">
        <v>0</v>
      </c>
      <c r="O151" s="525"/>
      <c r="P151" s="504"/>
      <c r="Q151" s="517">
        <v>0</v>
      </c>
      <c r="R151" s="525"/>
      <c r="S151" s="567">
        <v>0</v>
      </c>
      <c r="T151" s="565"/>
      <c r="U151" s="504"/>
      <c r="V151" s="504"/>
      <c r="W151" s="504"/>
      <c r="X151" s="504"/>
      <c r="Y151" s="504"/>
      <c r="Z151" s="504"/>
      <c r="AA151" s="504"/>
      <c r="AB151" s="504"/>
      <c r="AC151" s="50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</row>
    <row r="152" spans="1:40" ht="15.75" customHeight="1">
      <c r="A152" s="493" t="s">
        <v>332</v>
      </c>
      <c r="B152" s="499" t="s">
        <v>74</v>
      </c>
      <c r="C152" s="578" t="s">
        <v>65</v>
      </c>
      <c r="D152" s="97" t="s">
        <v>40</v>
      </c>
      <c r="E152" s="579">
        <v>4.4587424708045269E-2</v>
      </c>
      <c r="F152" s="580">
        <v>6748.5996119877509</v>
      </c>
      <c r="G152" s="100" t="s">
        <v>40</v>
      </c>
      <c r="H152" s="579">
        <v>4.4587424708045269E-2</v>
      </c>
      <c r="I152" s="580">
        <v>6748.5996119877509</v>
      </c>
      <c r="J152" s="100" t="s">
        <v>40</v>
      </c>
      <c r="K152" s="579">
        <v>3.3255947153385021E-2</v>
      </c>
      <c r="L152" s="580">
        <v>5661.1100000000006</v>
      </c>
      <c r="M152" s="583"/>
      <c r="N152" s="580">
        <v>-1087.4896119877503</v>
      </c>
      <c r="O152" s="100" t="s">
        <v>40</v>
      </c>
      <c r="P152" s="579">
        <v>2.871886507701546E-2</v>
      </c>
      <c r="Q152" s="580">
        <v>4527.2910000000002</v>
      </c>
      <c r="R152" s="583"/>
      <c r="S152" s="584">
        <v>1133.8190000000004</v>
      </c>
      <c r="T152" s="593"/>
      <c r="U152" s="504"/>
      <c r="V152" s="504"/>
      <c r="W152" s="504"/>
      <c r="X152" s="504"/>
      <c r="Y152" s="504"/>
      <c r="Z152" s="504"/>
      <c r="AA152" s="504"/>
      <c r="AB152" s="504"/>
      <c r="AC152" s="50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</row>
    <row r="153" spans="1:40" ht="15.75" customHeight="1">
      <c r="A153" s="493" t="s">
        <v>74</v>
      </c>
      <c r="B153" s="499" t="s">
        <v>74</v>
      </c>
      <c r="C153" s="568"/>
      <c r="D153" s="89"/>
      <c r="E153" s="592"/>
      <c r="F153" s="545"/>
      <c r="G153" s="91"/>
      <c r="H153" s="592"/>
      <c r="I153" s="545"/>
      <c r="J153" s="509"/>
      <c r="K153" s="592"/>
      <c r="L153" s="573"/>
      <c r="M153" s="509"/>
      <c r="N153" s="573"/>
      <c r="O153" s="509"/>
      <c r="P153" s="592"/>
      <c r="Q153" s="573"/>
      <c r="R153" s="509"/>
      <c r="S153" s="574"/>
      <c r="T153" s="593"/>
      <c r="U153" s="504"/>
      <c r="V153" s="504"/>
      <c r="W153" s="504"/>
      <c r="X153" s="504"/>
      <c r="Y153" s="504"/>
      <c r="Z153" s="504"/>
      <c r="AA153" s="504"/>
      <c r="AB153" s="504"/>
      <c r="AC153" s="50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</row>
    <row r="154" spans="1:40" ht="15.75" customHeight="1">
      <c r="A154" s="493" t="s">
        <v>333</v>
      </c>
      <c r="B154" s="499" t="s">
        <v>74</v>
      </c>
      <c r="C154" s="578" t="s">
        <v>66</v>
      </c>
      <c r="D154" s="97" t="s">
        <v>40</v>
      </c>
      <c r="E154" s="579">
        <v>0.70526705227643771</v>
      </c>
      <c r="F154" s="580">
        <v>106746.80106567593</v>
      </c>
      <c r="G154" s="100" t="s">
        <v>40</v>
      </c>
      <c r="H154" s="579">
        <v>0.70526705227643771</v>
      </c>
      <c r="I154" s="580">
        <v>106746.80106567593</v>
      </c>
      <c r="J154" s="100" t="s">
        <v>40</v>
      </c>
      <c r="K154" s="579">
        <v>0.6557254513785884</v>
      </c>
      <c r="L154" s="580">
        <v>111623.16000000002</v>
      </c>
      <c r="M154" s="583"/>
      <c r="N154" s="594">
        <v>4876.3589343240892</v>
      </c>
      <c r="O154" s="100" t="s">
        <v>40</v>
      </c>
      <c r="P154" s="579">
        <v>0.5650420881630881</v>
      </c>
      <c r="Q154" s="580">
        <v>89074.201000000001</v>
      </c>
      <c r="R154" s="583"/>
      <c r="S154" s="595">
        <v>22548.959000000017</v>
      </c>
      <c r="T154" s="593"/>
      <c r="U154" s="504"/>
      <c r="V154" s="504"/>
      <c r="W154" s="504"/>
      <c r="X154" s="504"/>
      <c r="Y154" s="504"/>
      <c r="Z154" s="504"/>
      <c r="AA154" s="504"/>
      <c r="AB154" s="504"/>
      <c r="AC154" s="50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</row>
    <row r="155" spans="1:40" ht="15.75" customHeight="1">
      <c r="A155" s="493" t="s">
        <v>334</v>
      </c>
      <c r="B155" s="623" t="s">
        <v>74</v>
      </c>
      <c r="C155" s="513" t="s">
        <v>215</v>
      </c>
      <c r="D155" s="153"/>
      <c r="E155" s="624"/>
      <c r="F155" s="514">
        <v>0</v>
      </c>
      <c r="G155" s="155"/>
      <c r="H155" s="624"/>
      <c r="I155" s="514">
        <v>0</v>
      </c>
      <c r="J155" s="155"/>
      <c r="K155" s="624"/>
      <c r="L155" s="516">
        <v>0</v>
      </c>
      <c r="M155" s="525"/>
      <c r="N155" s="545">
        <v>0</v>
      </c>
      <c r="O155" s="155"/>
      <c r="P155" s="624"/>
      <c r="Q155" s="517">
        <v>0</v>
      </c>
      <c r="R155" s="525"/>
      <c r="S155" s="567">
        <v>0</v>
      </c>
      <c r="T155" s="593"/>
      <c r="U155" s="504"/>
      <c r="V155" s="504"/>
      <c r="W155" s="504"/>
      <c r="X155" s="504"/>
      <c r="Y155" s="504"/>
      <c r="Z155" s="504"/>
      <c r="AA155" s="504"/>
      <c r="AB155" s="504"/>
      <c r="AC155" s="50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</row>
    <row r="156" spans="1:40" ht="15.75" customHeight="1">
      <c r="A156" s="493" t="s">
        <v>335</v>
      </c>
      <c r="B156" s="499" t="s">
        <v>74</v>
      </c>
      <c r="C156" s="513" t="s">
        <v>82</v>
      </c>
      <c r="D156" s="153"/>
      <c r="E156" s="624"/>
      <c r="F156" s="514">
        <v>0</v>
      </c>
      <c r="G156" s="155"/>
      <c r="H156" s="624"/>
      <c r="I156" s="514">
        <v>0</v>
      </c>
      <c r="J156" s="155"/>
      <c r="K156" s="624"/>
      <c r="L156" s="517">
        <v>0</v>
      </c>
      <c r="M156" s="525"/>
      <c r="N156" s="545">
        <v>0</v>
      </c>
      <c r="O156" s="155"/>
      <c r="P156" s="624"/>
      <c r="Q156" s="517">
        <v>0</v>
      </c>
      <c r="R156" s="525"/>
      <c r="S156" s="567">
        <v>0</v>
      </c>
      <c r="T156" s="593"/>
      <c r="U156" s="504"/>
      <c r="V156" s="504"/>
      <c r="W156" s="504"/>
      <c r="X156" s="504"/>
      <c r="Y156" s="504"/>
      <c r="Z156" s="504"/>
      <c r="AA156" s="504"/>
      <c r="AB156" s="504"/>
      <c r="AC156" s="50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</row>
    <row r="157" spans="1:40" ht="15.75" customHeight="1">
      <c r="A157" s="493" t="s">
        <v>336</v>
      </c>
      <c r="B157" s="499" t="s">
        <v>74</v>
      </c>
      <c r="C157" s="513" t="s">
        <v>83</v>
      </c>
      <c r="D157" s="82"/>
      <c r="E157" s="504"/>
      <c r="F157" s="514">
        <v>0</v>
      </c>
      <c r="G157" s="84"/>
      <c r="H157" s="504"/>
      <c r="I157" s="514">
        <v>0</v>
      </c>
      <c r="J157" s="525"/>
      <c r="K157" s="504"/>
      <c r="L157" s="517">
        <v>0</v>
      </c>
      <c r="M157" s="525"/>
      <c r="N157" s="545">
        <v>0</v>
      </c>
      <c r="O157" s="525"/>
      <c r="P157" s="504"/>
      <c r="Q157" s="517">
        <v>0</v>
      </c>
      <c r="R157" s="525"/>
      <c r="S157" s="567">
        <v>0</v>
      </c>
      <c r="T157" s="593"/>
      <c r="U157" s="504"/>
      <c r="V157" s="504"/>
      <c r="W157" s="504"/>
      <c r="X157" s="504"/>
      <c r="Y157" s="504"/>
      <c r="Z157" s="504"/>
      <c r="AA157" s="504"/>
      <c r="AB157" s="504"/>
      <c r="AC157" s="50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</row>
    <row r="158" spans="1:40" ht="15.75" customHeight="1">
      <c r="A158" s="493" t="s">
        <v>337</v>
      </c>
      <c r="B158" s="499" t="s">
        <v>74</v>
      </c>
      <c r="C158" s="513" t="s">
        <v>71</v>
      </c>
      <c r="D158" s="82"/>
      <c r="E158" s="504"/>
      <c r="F158" s="514">
        <v>16386.11650485437</v>
      </c>
      <c r="G158" s="84"/>
      <c r="H158" s="504"/>
      <c r="I158" s="514">
        <v>16386.11650485437</v>
      </c>
      <c r="J158" s="525">
        <v>27.989974937343359</v>
      </c>
      <c r="K158" s="504">
        <v>0.87468671679197996</v>
      </c>
      <c r="L158" s="516">
        <v>11168</v>
      </c>
      <c r="M158" s="525"/>
      <c r="N158" s="545">
        <v>-5218.1165048543699</v>
      </c>
      <c r="O158" s="525"/>
      <c r="P158" s="504"/>
      <c r="Q158" s="517">
        <v>13611</v>
      </c>
      <c r="R158" s="525"/>
      <c r="S158" s="567">
        <v>-2443</v>
      </c>
      <c r="T158" s="593"/>
      <c r="U158" s="504"/>
      <c r="V158" s="504"/>
      <c r="W158" s="504"/>
      <c r="X158" s="504"/>
      <c r="Y158" s="504"/>
      <c r="Z158" s="504"/>
      <c r="AA158" s="504"/>
      <c r="AB158" s="504"/>
      <c r="AC158" s="50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</row>
    <row r="159" spans="1:40" ht="15.75" hidden="1" customHeight="1">
      <c r="A159" s="493" t="s">
        <v>307</v>
      </c>
      <c r="B159" s="499" t="s">
        <v>74</v>
      </c>
      <c r="C159" s="513" t="s">
        <v>21</v>
      </c>
      <c r="D159" s="82"/>
      <c r="E159" s="504"/>
      <c r="F159" s="514">
        <v>0</v>
      </c>
      <c r="G159" s="84"/>
      <c r="H159" s="504"/>
      <c r="I159" s="514">
        <v>0</v>
      </c>
      <c r="J159" s="525"/>
      <c r="K159" s="504"/>
      <c r="L159" s="516">
        <v>0</v>
      </c>
      <c r="M159" s="525"/>
      <c r="N159" s="545">
        <v>0</v>
      </c>
      <c r="O159" s="525"/>
      <c r="P159" s="504"/>
      <c r="Q159" s="517">
        <v>0</v>
      </c>
      <c r="R159" s="525"/>
      <c r="S159" s="567">
        <v>0</v>
      </c>
      <c r="T159" s="593"/>
      <c r="U159" s="504"/>
      <c r="V159" s="504"/>
      <c r="W159" s="504"/>
      <c r="X159" s="504"/>
      <c r="Y159" s="504"/>
      <c r="Z159" s="504"/>
      <c r="AA159" s="504"/>
      <c r="AB159" s="504"/>
      <c r="AC159" s="50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</row>
    <row r="160" spans="1:40" ht="15.75" hidden="1" customHeight="1">
      <c r="A160" s="493" t="s">
        <v>307</v>
      </c>
      <c r="B160" s="499" t="s">
        <v>74</v>
      </c>
      <c r="C160" s="513" t="s">
        <v>21</v>
      </c>
      <c r="D160" s="82"/>
      <c r="E160" s="504"/>
      <c r="F160" s="514">
        <v>0</v>
      </c>
      <c r="G160" s="84"/>
      <c r="H160" s="504"/>
      <c r="I160" s="514">
        <v>0</v>
      </c>
      <c r="J160" s="525"/>
      <c r="K160" s="504"/>
      <c r="L160" s="516">
        <v>0</v>
      </c>
      <c r="M160" s="525"/>
      <c r="N160" s="545">
        <v>0</v>
      </c>
      <c r="O160" s="525"/>
      <c r="P160" s="504"/>
      <c r="Q160" s="517">
        <v>0</v>
      </c>
      <c r="R160" s="525"/>
      <c r="S160" s="567">
        <v>0</v>
      </c>
      <c r="T160" s="593"/>
      <c r="U160" s="504"/>
      <c r="V160" s="504"/>
      <c r="W160" s="504"/>
      <c r="X160" s="504"/>
      <c r="Y160" s="504"/>
      <c r="Z160" s="504"/>
      <c r="AA160" s="504"/>
      <c r="AB160" s="504"/>
      <c r="AC160" s="50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</row>
    <row r="161" spans="1:40" ht="15.75" hidden="1" customHeight="1">
      <c r="A161" s="493" t="s">
        <v>307</v>
      </c>
      <c r="B161" s="499" t="s">
        <v>74</v>
      </c>
      <c r="C161" s="568" t="s">
        <v>21</v>
      </c>
      <c r="D161" s="89"/>
      <c r="E161" s="592"/>
      <c r="F161" s="514">
        <v>0</v>
      </c>
      <c r="G161" s="84"/>
      <c r="H161" s="504"/>
      <c r="I161" s="514">
        <v>0</v>
      </c>
      <c r="J161" s="525"/>
      <c r="K161" s="504"/>
      <c r="L161" s="516">
        <v>0</v>
      </c>
      <c r="M161" s="525"/>
      <c r="N161" s="545">
        <v>0</v>
      </c>
      <c r="O161" s="525"/>
      <c r="P161" s="504"/>
      <c r="Q161" s="517">
        <v>0</v>
      </c>
      <c r="R161" s="525"/>
      <c r="S161" s="567">
        <v>0</v>
      </c>
      <c r="T161" s="593"/>
      <c r="U161" s="504"/>
      <c r="V161" s="504"/>
      <c r="W161" s="504"/>
      <c r="X161" s="504"/>
      <c r="Y161" s="504"/>
      <c r="Z161" s="504"/>
      <c r="AA161" s="504"/>
      <c r="AB161" s="504"/>
      <c r="AC161" s="50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</row>
    <row r="162" spans="1:40" ht="15.75" customHeight="1">
      <c r="B162" s="499"/>
      <c r="C162" s="578" t="s">
        <v>72</v>
      </c>
      <c r="D162" s="97"/>
      <c r="E162" s="579"/>
      <c r="F162" s="580">
        <v>16386.11650485437</v>
      </c>
      <c r="G162" s="100"/>
      <c r="H162" s="579"/>
      <c r="I162" s="580">
        <v>16386.11650485437</v>
      </c>
      <c r="J162" s="100"/>
      <c r="K162" s="579"/>
      <c r="L162" s="580">
        <v>11168</v>
      </c>
      <c r="M162" s="583"/>
      <c r="N162" s="580">
        <v>0</v>
      </c>
      <c r="O162" s="100"/>
      <c r="P162" s="579"/>
      <c r="Q162" s="580">
        <v>13611</v>
      </c>
      <c r="R162" s="583"/>
      <c r="S162" s="584">
        <v>-2443</v>
      </c>
      <c r="T162" s="593"/>
      <c r="U162" s="504"/>
      <c r="V162" s="504"/>
      <c r="W162" s="504"/>
      <c r="X162" s="504"/>
      <c r="Y162" s="504"/>
      <c r="Z162" s="504"/>
      <c r="AA162" s="504"/>
      <c r="AB162" s="504"/>
      <c r="AC162" s="50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</row>
    <row r="163" spans="1:40" ht="15.75" customHeight="1">
      <c r="B163" s="499"/>
      <c r="C163" s="513"/>
      <c r="D163" s="82"/>
      <c r="E163" s="504"/>
      <c r="F163" s="545"/>
      <c r="G163" s="84"/>
      <c r="H163" s="504"/>
      <c r="I163" s="545"/>
      <c r="J163" s="525"/>
      <c r="K163" s="504"/>
      <c r="L163" s="545"/>
      <c r="M163" s="525"/>
      <c r="N163" s="545"/>
      <c r="O163" s="525"/>
      <c r="P163" s="504"/>
      <c r="Q163" s="545"/>
      <c r="R163" s="525"/>
      <c r="S163" s="567"/>
      <c r="T163" s="624"/>
      <c r="U163" s="504"/>
      <c r="V163" s="504"/>
      <c r="W163" s="504"/>
      <c r="X163" s="504"/>
      <c r="Y163" s="504"/>
      <c r="Z163" s="504"/>
      <c r="AA163" s="504"/>
      <c r="AB163" s="504"/>
      <c r="AC163" s="50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</row>
    <row r="164" spans="1:40" ht="15.75" customHeight="1" thickBot="1">
      <c r="B164" s="499"/>
      <c r="C164" s="605" t="s">
        <v>73</v>
      </c>
      <c r="D164" s="156"/>
      <c r="E164" s="606"/>
      <c r="F164" s="608">
        <v>60995.884161795118</v>
      </c>
      <c r="G164" s="157"/>
      <c r="H164" s="606"/>
      <c r="I164" s="608">
        <v>60995.884161795118</v>
      </c>
      <c r="J164" s="625"/>
      <c r="K164" s="607"/>
      <c r="L164" s="608">
        <v>69773.339999999953</v>
      </c>
      <c r="M164" s="625"/>
      <c r="N164" s="608">
        <v>8777.4558382048344</v>
      </c>
      <c r="O164" s="625"/>
      <c r="P164" s="607"/>
      <c r="Q164" s="608">
        <v>82178.509000000049</v>
      </c>
      <c r="R164" s="625"/>
      <c r="S164" s="610">
        <v>-12405.169000000096</v>
      </c>
      <c r="T164" s="565"/>
      <c r="U164" s="504"/>
      <c r="V164" s="504"/>
      <c r="W164" s="504"/>
      <c r="X164" s="504"/>
      <c r="Y164" s="504"/>
      <c r="Z164" s="504"/>
      <c r="AA164" s="504"/>
      <c r="AB164" s="504"/>
      <c r="AC164" s="50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</row>
    <row r="165" spans="1:40" ht="15.75" customHeight="1" thickTop="1">
      <c r="B165" s="499"/>
      <c r="C165" s="498"/>
      <c r="D165" s="498"/>
      <c r="E165" s="498"/>
      <c r="F165" s="498"/>
      <c r="G165" s="498"/>
      <c r="H165" s="498"/>
      <c r="I165" s="498"/>
      <c r="J165" s="498"/>
      <c r="K165" s="498"/>
      <c r="L165" s="626"/>
      <c r="M165" s="498"/>
      <c r="N165" s="498"/>
      <c r="O165" s="498"/>
      <c r="P165" s="498"/>
      <c r="Q165" s="498"/>
      <c r="R165" s="498"/>
      <c r="S165" s="498"/>
      <c r="T165" s="626"/>
      <c r="U165" s="498"/>
      <c r="V165" s="504"/>
      <c r="W165" s="504"/>
      <c r="X165" s="504"/>
      <c r="Y165" s="504"/>
      <c r="Z165" s="504"/>
      <c r="AA165" s="504"/>
      <c r="AB165" s="504"/>
      <c r="AC165" s="50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</row>
    <row r="166" spans="1:40" ht="15.75" customHeight="1">
      <c r="B166" s="499"/>
      <c r="C166" s="498"/>
      <c r="D166" s="498"/>
      <c r="E166" s="498"/>
      <c r="F166" s="498"/>
      <c r="G166" s="498"/>
      <c r="H166" s="498"/>
      <c r="I166" s="498"/>
      <c r="J166" s="498"/>
      <c r="K166" s="498"/>
      <c r="L166" s="498"/>
      <c r="M166" s="498"/>
      <c r="N166" s="498"/>
      <c r="O166" s="498"/>
      <c r="P166" s="498"/>
      <c r="Q166" s="498"/>
      <c r="R166" s="498"/>
      <c r="S166" s="498"/>
      <c r="T166" s="626"/>
      <c r="U166" s="498"/>
      <c r="V166" s="498"/>
      <c r="W166" s="498"/>
      <c r="X166" s="498"/>
      <c r="Y166" s="498"/>
      <c r="Z166" s="498"/>
      <c r="AA166" s="498"/>
      <c r="AB166" s="498"/>
      <c r="AC166" s="498"/>
      <c r="AD166" s="498"/>
      <c r="AE166" s="498"/>
      <c r="AF166" s="498"/>
      <c r="AG166" s="498"/>
      <c r="AH166" s="498"/>
      <c r="AI166" s="498"/>
      <c r="AJ166" s="498"/>
      <c r="AK166" s="498"/>
      <c r="AL166" s="498"/>
      <c r="AM166" s="498"/>
      <c r="AN166" s="498"/>
    </row>
    <row r="167" spans="1:40" ht="33.75" customHeight="1">
      <c r="B167" s="499"/>
      <c r="C167" s="496" t="s">
        <v>228</v>
      </c>
      <c r="D167" s="2"/>
      <c r="E167" s="2"/>
      <c r="F167" s="2"/>
      <c r="G167" s="2"/>
      <c r="H167" s="494"/>
      <c r="I167" s="494"/>
      <c r="J167" s="494"/>
      <c r="K167" s="3" t="s">
        <v>84</v>
      </c>
      <c r="L167" s="2"/>
      <c r="M167" s="2"/>
      <c r="N167" s="494"/>
      <c r="O167" s="494"/>
      <c r="P167" s="2"/>
      <c r="Q167" s="494"/>
      <c r="R167" s="2"/>
      <c r="S167" s="5" t="s">
        <v>496</v>
      </c>
      <c r="T167" s="2"/>
      <c r="U167" s="496"/>
      <c r="V167" s="498"/>
      <c r="W167" s="498"/>
      <c r="X167" s="498"/>
      <c r="Y167" s="498"/>
      <c r="Z167" s="498"/>
      <c r="AA167" s="498"/>
      <c r="AB167" s="498"/>
      <c r="AC167" s="498"/>
      <c r="AD167" s="498"/>
      <c r="AE167" s="498"/>
      <c r="AF167" s="498"/>
      <c r="AG167" s="498"/>
      <c r="AH167" s="498"/>
      <c r="AI167" s="498"/>
      <c r="AJ167" s="498"/>
      <c r="AK167" s="498"/>
      <c r="AL167" s="498"/>
      <c r="AM167" s="498"/>
      <c r="AN167" s="498"/>
    </row>
    <row r="168" spans="1:40" ht="15.75" customHeight="1" thickBot="1">
      <c r="B168" s="499"/>
      <c r="C168" s="8"/>
      <c r="D168" s="498"/>
      <c r="E168" s="498"/>
      <c r="F168" s="498"/>
      <c r="G168" s="498"/>
      <c r="H168" s="498"/>
      <c r="I168" s="498"/>
      <c r="J168" s="498"/>
      <c r="K168" s="498"/>
      <c r="L168" s="498"/>
      <c r="M168" s="498"/>
      <c r="N168" s="498"/>
      <c r="O168" s="498"/>
      <c r="P168" s="498"/>
      <c r="Q168" s="498"/>
      <c r="R168" s="498"/>
      <c r="S168" s="498"/>
      <c r="T168" s="498"/>
      <c r="U168" s="498"/>
      <c r="V168" s="496"/>
      <c r="W168" s="496"/>
      <c r="X168" s="496"/>
      <c r="Y168" s="496"/>
      <c r="Z168" s="496"/>
      <c r="AA168" s="496"/>
      <c r="AB168" s="496"/>
      <c r="AC168" s="496"/>
      <c r="AD168" s="496"/>
      <c r="AE168" s="496"/>
      <c r="AF168" s="496"/>
      <c r="AG168" s="496"/>
      <c r="AH168" s="496"/>
      <c r="AI168" s="496"/>
      <c r="AJ168" s="496"/>
      <c r="AK168" s="496"/>
      <c r="AL168" s="496"/>
      <c r="AM168" s="496"/>
      <c r="AN168" s="496"/>
    </row>
    <row r="169" spans="1:40" ht="15.75" customHeight="1" thickTop="1">
      <c r="B169" s="499"/>
      <c r="C169" s="500"/>
      <c r="D169" s="488" t="s">
        <v>5</v>
      </c>
      <c r="E169" s="501"/>
      <c r="F169" s="502"/>
      <c r="G169" s="489" t="s">
        <v>75</v>
      </c>
      <c r="H169" s="501"/>
      <c r="I169" s="502"/>
      <c r="J169" s="489" t="s">
        <v>7</v>
      </c>
      <c r="K169" s="501"/>
      <c r="L169" s="502"/>
      <c r="M169" s="489" t="s">
        <v>8</v>
      </c>
      <c r="N169" s="502"/>
      <c r="O169" s="488" t="s">
        <v>9</v>
      </c>
      <c r="P169" s="501"/>
      <c r="Q169" s="502"/>
      <c r="R169" s="489" t="s">
        <v>10</v>
      </c>
      <c r="S169" s="503"/>
      <c r="T169" s="153"/>
      <c r="U169" s="504"/>
      <c r="V169" s="498"/>
      <c r="W169" s="498"/>
      <c r="X169" s="498"/>
      <c r="Y169" s="498"/>
      <c r="Z169" s="498"/>
      <c r="AA169" s="498"/>
      <c r="AB169" s="498"/>
      <c r="AC169" s="498"/>
      <c r="AD169" s="498"/>
      <c r="AE169" s="498"/>
      <c r="AF169" s="498"/>
      <c r="AG169" s="498"/>
      <c r="AH169" s="498"/>
      <c r="AI169" s="498"/>
      <c r="AJ169" s="498"/>
      <c r="AK169" s="498"/>
      <c r="AL169" s="498"/>
      <c r="AM169" s="498"/>
      <c r="AN169" s="498"/>
    </row>
    <row r="170" spans="1:40" ht="15.75" customHeight="1">
      <c r="A170" s="493" t="s">
        <v>84</v>
      </c>
      <c r="B170" s="499" t="s">
        <v>84</v>
      </c>
      <c r="C170" s="513"/>
      <c r="D170" s="81" t="s">
        <v>41</v>
      </c>
      <c r="E170" s="81" t="s">
        <v>85</v>
      </c>
      <c r="F170" s="137" t="s">
        <v>13</v>
      </c>
      <c r="G170" s="138" t="s">
        <v>41</v>
      </c>
      <c r="H170" s="81" t="s">
        <v>85</v>
      </c>
      <c r="I170" s="137" t="s">
        <v>13</v>
      </c>
      <c r="J170" s="138" t="s">
        <v>41</v>
      </c>
      <c r="K170" s="81" t="s">
        <v>85</v>
      </c>
      <c r="L170" s="137" t="s">
        <v>13</v>
      </c>
      <c r="M170" s="138" t="s">
        <v>41</v>
      </c>
      <c r="N170" s="137" t="s">
        <v>13</v>
      </c>
      <c r="O170" s="81" t="s">
        <v>41</v>
      </c>
      <c r="P170" s="81" t="s">
        <v>85</v>
      </c>
      <c r="Q170" s="137" t="s">
        <v>13</v>
      </c>
      <c r="R170" s="138" t="s">
        <v>86</v>
      </c>
      <c r="S170" s="139" t="s">
        <v>13</v>
      </c>
      <c r="T170" s="81"/>
      <c r="U170" s="504"/>
      <c r="V170" s="504"/>
      <c r="W170" s="504"/>
      <c r="X170" s="504"/>
      <c r="Y170" s="504"/>
      <c r="Z170" s="504"/>
      <c r="AA170" s="504"/>
      <c r="AB170" s="504"/>
      <c r="AC170" s="50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</row>
    <row r="171" spans="1:40" ht="15.75" customHeight="1">
      <c r="A171" s="493" t="s">
        <v>338</v>
      </c>
      <c r="B171" s="499" t="s">
        <v>84</v>
      </c>
      <c r="C171" s="513" t="s">
        <v>87</v>
      </c>
      <c r="D171" s="504">
        <v>605.45197551340232</v>
      </c>
      <c r="E171" s="565">
        <v>150152.08992732377</v>
      </c>
      <c r="F171" s="565">
        <v>112764.21953542015</v>
      </c>
      <c r="G171" s="627">
        <v>605.45197551340232</v>
      </c>
      <c r="H171" s="565">
        <v>150152.08992732377</v>
      </c>
      <c r="I171" s="565">
        <v>112764.21953542015</v>
      </c>
      <c r="J171" s="546">
        <v>617</v>
      </c>
      <c r="K171" s="514">
        <v>170673.29</v>
      </c>
      <c r="L171" s="517">
        <v>133809.87</v>
      </c>
      <c r="M171" s="628">
        <v>0.13666942686318154</v>
      </c>
      <c r="N171" s="545">
        <v>21045.650464579841</v>
      </c>
      <c r="O171" s="546">
        <v>554</v>
      </c>
      <c r="P171" s="514">
        <v>120082.12</v>
      </c>
      <c r="Q171" s="517">
        <v>91878.689999999988</v>
      </c>
      <c r="R171" s="628">
        <v>1.1137184115523466</v>
      </c>
      <c r="S171" s="567">
        <v>41931.180000000008</v>
      </c>
      <c r="T171" s="565"/>
      <c r="U171" s="504"/>
      <c r="V171" s="514"/>
      <c r="W171" s="504"/>
      <c r="X171" s="504"/>
      <c r="Y171" s="504"/>
      <c r="Z171" s="504"/>
      <c r="AA171" s="504"/>
      <c r="AB171" s="504"/>
      <c r="AC171" s="50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</row>
    <row r="172" spans="1:40" ht="15.75" customHeight="1">
      <c r="A172" s="493" t="s">
        <v>339</v>
      </c>
      <c r="B172" s="499" t="s">
        <v>84</v>
      </c>
      <c r="C172" s="513" t="s">
        <v>88</v>
      </c>
      <c r="D172" s="504"/>
      <c r="E172" s="618"/>
      <c r="F172" s="629">
        <v>0.751</v>
      </c>
      <c r="G172" s="525"/>
      <c r="H172" s="618"/>
      <c r="I172" s="629">
        <v>0.751</v>
      </c>
      <c r="J172" s="546"/>
      <c r="K172" s="504"/>
      <c r="L172" s="629">
        <v>0.78401178063655996</v>
      </c>
      <c r="M172" s="628"/>
      <c r="N172" s="545"/>
      <c r="O172" s="546"/>
      <c r="P172" s="504"/>
      <c r="Q172" s="629">
        <v>0.76513214456906653</v>
      </c>
      <c r="R172" s="546"/>
      <c r="S172" s="567"/>
      <c r="T172" s="565"/>
      <c r="U172" s="504"/>
      <c r="V172" s="504"/>
      <c r="W172" s="504"/>
      <c r="X172" s="504"/>
      <c r="Y172" s="504"/>
      <c r="Z172" s="504"/>
      <c r="AA172" s="504"/>
      <c r="AB172" s="504"/>
      <c r="AC172" s="50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</row>
    <row r="173" spans="1:40" ht="15.75" customHeight="1">
      <c r="A173" s="493" t="s">
        <v>84</v>
      </c>
      <c r="B173" s="499" t="s">
        <v>84</v>
      </c>
      <c r="C173" s="568"/>
      <c r="D173" s="592"/>
      <c r="E173" s="630">
        <v>248</v>
      </c>
      <c r="F173" s="631"/>
      <c r="G173" s="509"/>
      <c r="H173" s="630">
        <v>248</v>
      </c>
      <c r="I173" s="631"/>
      <c r="J173" s="632"/>
      <c r="K173" s="633">
        <v>276.61797406807131</v>
      </c>
      <c r="L173" s="631"/>
      <c r="M173" s="634"/>
      <c r="N173" s="573"/>
      <c r="O173" s="632"/>
      <c r="P173" s="633">
        <v>216.75472924187724</v>
      </c>
      <c r="Q173" s="631"/>
      <c r="R173" s="632"/>
      <c r="S173" s="574"/>
      <c r="T173" s="565"/>
      <c r="U173" s="504"/>
      <c r="V173" s="504"/>
      <c r="W173" s="504"/>
      <c r="X173" s="504"/>
      <c r="Y173" s="504"/>
      <c r="Z173" s="504"/>
      <c r="AA173" s="504"/>
      <c r="AB173" s="504"/>
      <c r="AC173" s="50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</row>
    <row r="174" spans="1:40" ht="18" customHeight="1">
      <c r="A174" s="493" t="s">
        <v>340</v>
      </c>
      <c r="B174" s="499" t="s">
        <v>84</v>
      </c>
      <c r="C174" s="506" t="s">
        <v>89</v>
      </c>
      <c r="D174" s="635">
        <v>369.68120613100507</v>
      </c>
      <c r="E174" s="565">
        <v>73232.969944315497</v>
      </c>
      <c r="F174" s="565">
        <v>51589.046902472815</v>
      </c>
      <c r="G174" s="636">
        <v>369.68120613100507</v>
      </c>
      <c r="H174" s="565">
        <v>73232.969944315497</v>
      </c>
      <c r="I174" s="565">
        <v>51589.046902472815</v>
      </c>
      <c r="J174" s="636">
        <v>348</v>
      </c>
      <c r="K174" s="637">
        <v>39926.589999999997</v>
      </c>
      <c r="L174" s="517">
        <v>29560.799999999996</v>
      </c>
      <c r="M174" s="628">
        <v>-0.45480034429357202</v>
      </c>
      <c r="N174" s="590">
        <v>-22028.24690247282</v>
      </c>
      <c r="O174" s="636">
        <v>246</v>
      </c>
      <c r="P174" s="637">
        <v>59705.25</v>
      </c>
      <c r="Q174" s="517">
        <v>42420.630000000005</v>
      </c>
      <c r="R174" s="628">
        <v>1.4146341463414633</v>
      </c>
      <c r="S174" s="567">
        <v>-12859.830000000009</v>
      </c>
      <c r="T174" s="565"/>
      <c r="U174" s="504"/>
      <c r="V174" s="514"/>
      <c r="W174" s="504"/>
      <c r="X174" s="504"/>
      <c r="Y174" s="504"/>
      <c r="Z174" s="504"/>
      <c r="AA174" s="504"/>
      <c r="AB174" s="504"/>
      <c r="AC174" s="50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</row>
    <row r="175" spans="1:40" ht="15.75" customHeight="1">
      <c r="A175" s="493" t="s">
        <v>339</v>
      </c>
      <c r="B175" s="499" t="s">
        <v>84</v>
      </c>
      <c r="C175" s="513" t="s">
        <v>88</v>
      </c>
      <c r="D175" s="504"/>
      <c r="E175" s="504"/>
      <c r="F175" s="629">
        <v>0.70445110913431241</v>
      </c>
      <c r="G175" s="525"/>
      <c r="H175" s="504"/>
      <c r="I175" s="629">
        <v>0.70445110913431241</v>
      </c>
      <c r="J175" s="525"/>
      <c r="K175" s="504"/>
      <c r="L175" s="629">
        <v>0.74037878015628178</v>
      </c>
      <c r="M175" s="526"/>
      <c r="N175" s="527"/>
      <c r="O175" s="525"/>
      <c r="P175" s="504"/>
      <c r="Q175" s="629">
        <v>0.71050083535367503</v>
      </c>
      <c r="R175" s="526"/>
      <c r="S175" s="528"/>
      <c r="T175" s="504"/>
      <c r="U175" s="504"/>
      <c r="V175" s="504"/>
      <c r="W175" s="504"/>
      <c r="X175" s="504"/>
      <c r="Y175" s="504"/>
      <c r="Z175" s="504"/>
      <c r="AA175" s="504"/>
      <c r="AB175" s="504"/>
      <c r="AC175" s="50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</row>
    <row r="176" spans="1:40" ht="15.75" customHeight="1">
      <c r="A176" s="493" t="s">
        <v>84</v>
      </c>
      <c r="B176" s="499" t="s">
        <v>84</v>
      </c>
      <c r="C176" s="568"/>
      <c r="D176" s="592"/>
      <c r="E176" s="592">
        <v>198.09762771214207</v>
      </c>
      <c r="F176" s="631"/>
      <c r="G176" s="509"/>
      <c r="H176" s="592">
        <v>198.09762771214207</v>
      </c>
      <c r="I176" s="631"/>
      <c r="J176" s="509"/>
      <c r="K176" s="638">
        <v>114.7315804597701</v>
      </c>
      <c r="L176" s="631"/>
      <c r="M176" s="639"/>
      <c r="N176" s="640"/>
      <c r="O176" s="509"/>
      <c r="P176" s="638">
        <v>242.70426829268294</v>
      </c>
      <c r="Q176" s="631"/>
      <c r="R176" s="639"/>
      <c r="S176" s="641"/>
      <c r="T176" s="504"/>
      <c r="U176" s="504"/>
      <c r="V176" s="504"/>
      <c r="W176" s="504"/>
      <c r="X176" s="504"/>
      <c r="Y176" s="504"/>
      <c r="Z176" s="504"/>
      <c r="AA176" s="504"/>
      <c r="AB176" s="504"/>
      <c r="AC176" s="50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</row>
    <row r="177" spans="1:40" ht="15.75" customHeight="1">
      <c r="A177" s="493" t="s">
        <v>341</v>
      </c>
      <c r="B177" s="499" t="s">
        <v>84</v>
      </c>
      <c r="C177" s="513" t="s">
        <v>90</v>
      </c>
      <c r="D177" s="504">
        <v>289.89671921210072</v>
      </c>
      <c r="E177" s="565">
        <v>62439.914636648107</v>
      </c>
      <c r="F177" s="565">
        <v>46064.551706321436</v>
      </c>
      <c r="G177" s="525">
        <v>289.89671921210072</v>
      </c>
      <c r="H177" s="565">
        <v>62439.914636648107</v>
      </c>
      <c r="I177" s="565">
        <v>46064.551706321436</v>
      </c>
      <c r="J177" s="546">
        <v>180</v>
      </c>
      <c r="K177" s="637">
        <v>43001.05</v>
      </c>
      <c r="L177" s="517">
        <v>30035.910000000003</v>
      </c>
      <c r="M177" s="628">
        <v>-0.31132112767557779</v>
      </c>
      <c r="N177" s="545">
        <v>-16028.641706321432</v>
      </c>
      <c r="O177" s="546">
        <v>302</v>
      </c>
      <c r="P177" s="637">
        <v>52572.99</v>
      </c>
      <c r="Q177" s="517">
        <v>39366.6</v>
      </c>
      <c r="R177" s="628">
        <v>0.59602649006622521</v>
      </c>
      <c r="S177" s="567">
        <v>-9330.6899999999951</v>
      </c>
      <c r="T177" s="565"/>
      <c r="U177" s="504"/>
      <c r="V177" s="514"/>
      <c r="W177" s="504"/>
      <c r="X177" s="504"/>
      <c r="Y177" s="504"/>
      <c r="Z177" s="504"/>
      <c r="AA177" s="504"/>
      <c r="AB177" s="504"/>
      <c r="AC177" s="50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</row>
    <row r="178" spans="1:40" ht="15.75" customHeight="1">
      <c r="A178" s="493" t="s">
        <v>339</v>
      </c>
      <c r="B178" s="499" t="s">
        <v>84</v>
      </c>
      <c r="C178" s="513" t="s">
        <v>88</v>
      </c>
      <c r="D178" s="504"/>
      <c r="E178" s="618"/>
      <c r="F178" s="629">
        <v>0.73774206730392589</v>
      </c>
      <c r="G178" s="525"/>
      <c r="H178" s="618"/>
      <c r="I178" s="629">
        <v>0.73774206730392589</v>
      </c>
      <c r="J178" s="546"/>
      <c r="K178" s="618"/>
      <c r="L178" s="629">
        <v>0.69849247867203246</v>
      </c>
      <c r="M178" s="628"/>
      <c r="N178" s="545">
        <v>-3.9249588631893428E-2</v>
      </c>
      <c r="O178" s="546"/>
      <c r="P178" s="618"/>
      <c r="Q178" s="629">
        <v>0.74879895550928333</v>
      </c>
      <c r="R178" s="546">
        <v>0</v>
      </c>
      <c r="S178" s="567"/>
      <c r="T178" s="565"/>
      <c r="U178" s="504"/>
      <c r="V178" s="504"/>
      <c r="W178" s="504"/>
      <c r="X178" s="504"/>
      <c r="Y178" s="504"/>
      <c r="Z178" s="504"/>
      <c r="AA178" s="504"/>
      <c r="AB178" s="504"/>
      <c r="AC178" s="50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</row>
    <row r="179" spans="1:40" ht="15.75" customHeight="1">
      <c r="A179" s="493" t="s">
        <v>84</v>
      </c>
      <c r="B179" s="499" t="s">
        <v>84</v>
      </c>
      <c r="C179" s="513"/>
      <c r="D179" s="504"/>
      <c r="E179" s="642">
        <v>215.38675845091032</v>
      </c>
      <c r="F179" s="643"/>
      <c r="G179" s="525"/>
      <c r="H179" s="642">
        <v>215.38675845091032</v>
      </c>
      <c r="I179" s="631"/>
      <c r="J179" s="546"/>
      <c r="K179" s="644">
        <v>238.89472222222224</v>
      </c>
      <c r="L179" s="629"/>
      <c r="M179" s="628"/>
      <c r="N179" s="545"/>
      <c r="O179" s="546"/>
      <c r="P179" s="644">
        <v>174.08274834437086</v>
      </c>
      <c r="Q179" s="629"/>
      <c r="R179" s="645"/>
      <c r="S179" s="567"/>
      <c r="T179" s="565"/>
      <c r="U179" s="504"/>
      <c r="V179" s="504"/>
      <c r="W179" s="504"/>
      <c r="X179" s="504"/>
      <c r="Y179" s="504"/>
      <c r="Z179" s="504"/>
      <c r="AA179" s="504"/>
      <c r="AB179" s="504"/>
      <c r="AC179" s="50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</row>
    <row r="180" spans="1:40" ht="15.75" customHeight="1">
      <c r="A180" s="493" t="s">
        <v>342</v>
      </c>
      <c r="B180" s="499" t="s">
        <v>84</v>
      </c>
      <c r="C180" s="506" t="s">
        <v>91</v>
      </c>
      <c r="D180" s="587">
        <v>0</v>
      </c>
      <c r="E180" s="565">
        <v>286.11054215882911</v>
      </c>
      <c r="F180" s="565">
        <v>108.19286283275366</v>
      </c>
      <c r="G180" s="588">
        <v>0</v>
      </c>
      <c r="H180" s="565">
        <v>286.11054215882911</v>
      </c>
      <c r="I180" s="565">
        <v>108.19286283275366</v>
      </c>
      <c r="J180" s="636">
        <v>0</v>
      </c>
      <c r="K180" s="637">
        <v>2755.12</v>
      </c>
      <c r="L180" s="589">
        <v>2325.12</v>
      </c>
      <c r="M180" s="646">
        <v>8.6295647801420223</v>
      </c>
      <c r="N180" s="590">
        <v>2216.9271371672462</v>
      </c>
      <c r="O180" s="636">
        <v>0</v>
      </c>
      <c r="P180" s="637">
        <v>504.86</v>
      </c>
      <c r="Q180" s="589">
        <v>468.08000000000004</v>
      </c>
      <c r="R180" s="628">
        <v>0</v>
      </c>
      <c r="S180" s="591">
        <v>1857.04</v>
      </c>
      <c r="T180" s="565"/>
      <c r="U180" s="504"/>
      <c r="V180" s="514"/>
      <c r="W180" s="504"/>
      <c r="X180" s="504"/>
      <c r="Y180" s="504"/>
      <c r="Z180" s="504"/>
      <c r="AA180" s="504"/>
      <c r="AB180" s="504"/>
      <c r="AC180" s="50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</row>
    <row r="181" spans="1:40" ht="15.75" customHeight="1">
      <c r="A181" s="493" t="s">
        <v>339</v>
      </c>
      <c r="B181" s="499" t="s">
        <v>84</v>
      </c>
      <c r="C181" s="513" t="s">
        <v>88</v>
      </c>
      <c r="D181" s="562"/>
      <c r="E181" s="647"/>
      <c r="F181" s="629">
        <v>0.37815056382191031</v>
      </c>
      <c r="G181" s="564"/>
      <c r="H181" s="647"/>
      <c r="I181" s="629">
        <v>0.37815056382191031</v>
      </c>
      <c r="J181" s="648"/>
      <c r="K181" s="647">
        <v>0</v>
      </c>
      <c r="L181" s="629">
        <v>0.84392694329103635</v>
      </c>
      <c r="M181" s="546">
        <v>0</v>
      </c>
      <c r="N181" s="649"/>
      <c r="O181" s="648"/>
      <c r="P181" s="647">
        <v>0</v>
      </c>
      <c r="Q181" s="629">
        <v>0.92714812027096627</v>
      </c>
      <c r="R181" s="525"/>
      <c r="S181" s="650"/>
      <c r="T181" s="593"/>
      <c r="U181" s="504"/>
      <c r="V181" s="504"/>
      <c r="W181" s="504"/>
      <c r="X181" s="504"/>
      <c r="Y181" s="504"/>
      <c r="Z181" s="504"/>
      <c r="AA181" s="504"/>
      <c r="AB181" s="504"/>
      <c r="AC181" s="50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</row>
    <row r="182" spans="1:40" ht="15.75" customHeight="1">
      <c r="A182" s="493" t="s">
        <v>84</v>
      </c>
      <c r="B182" s="499" t="s">
        <v>84</v>
      </c>
      <c r="C182" s="568"/>
      <c r="D182" s="651"/>
      <c r="E182" s="652"/>
      <c r="F182" s="631"/>
      <c r="G182" s="653"/>
      <c r="H182" s="652"/>
      <c r="I182" s="631"/>
      <c r="J182" s="654"/>
      <c r="K182" s="510"/>
      <c r="L182" s="631"/>
      <c r="M182" s="632"/>
      <c r="N182" s="655"/>
      <c r="O182" s="654"/>
      <c r="P182" s="510"/>
      <c r="Q182" s="631"/>
      <c r="R182" s="509"/>
      <c r="S182" s="656"/>
      <c r="T182" s="593"/>
      <c r="U182" s="504"/>
      <c r="V182" s="504"/>
      <c r="W182" s="504"/>
      <c r="X182" s="504"/>
      <c r="Y182" s="504"/>
      <c r="Z182" s="504"/>
      <c r="AA182" s="504"/>
      <c r="AB182" s="504"/>
      <c r="AC182" s="50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</row>
    <row r="183" spans="1:40" ht="26.25" customHeight="1" thickBot="1">
      <c r="A183" s="493" t="s">
        <v>343</v>
      </c>
      <c r="B183" s="499" t="s">
        <v>84</v>
      </c>
      <c r="C183" s="513" t="s">
        <v>92</v>
      </c>
      <c r="D183" s="504"/>
      <c r="E183" s="504"/>
      <c r="F183" s="545">
        <v>-4411.4934015380704</v>
      </c>
      <c r="G183" s="525"/>
      <c r="H183" s="565"/>
      <c r="I183" s="565">
        <v>-4411.4934015380704</v>
      </c>
      <c r="J183" s="546"/>
      <c r="K183" s="565"/>
      <c r="L183" s="565">
        <v>-2987.28</v>
      </c>
      <c r="M183" s="648"/>
      <c r="N183" s="545">
        <v>1424.2134015380702</v>
      </c>
      <c r="O183" s="546"/>
      <c r="P183" s="565"/>
      <c r="Q183" s="517">
        <v>-4646.71</v>
      </c>
      <c r="R183" s="657"/>
      <c r="S183" s="567">
        <v>1659.4299999999998</v>
      </c>
      <c r="T183" s="504"/>
      <c r="U183" s="504"/>
      <c r="V183" s="504"/>
      <c r="W183" s="504"/>
      <c r="X183" s="504"/>
      <c r="Y183" s="504"/>
      <c r="Z183" s="504"/>
      <c r="AA183" s="504"/>
      <c r="AB183" s="504"/>
      <c r="AC183" s="50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</row>
    <row r="184" spans="1:40" ht="15.75" customHeight="1" thickTop="1">
      <c r="A184" s="493" t="s">
        <v>344</v>
      </c>
      <c r="B184" s="499" t="s">
        <v>84</v>
      </c>
      <c r="C184" s="658" t="s">
        <v>93</v>
      </c>
      <c r="D184" s="659">
        <v>1265.029900856508</v>
      </c>
      <c r="E184" s="659">
        <v>286111.08505044621</v>
      </c>
      <c r="F184" s="660">
        <v>206114.51760550909</v>
      </c>
      <c r="G184" s="661">
        <v>1265.029900856508</v>
      </c>
      <c r="H184" s="659">
        <v>286111.08505044621</v>
      </c>
      <c r="I184" s="660">
        <v>206114.51760550909</v>
      </c>
      <c r="J184" s="661">
        <v>1145</v>
      </c>
      <c r="K184" s="659">
        <v>256356.05</v>
      </c>
      <c r="L184" s="660">
        <v>192744.41999999998</v>
      </c>
      <c r="M184" s="662">
        <v>-0.10399819023160152</v>
      </c>
      <c r="N184" s="660">
        <v>-13370.097605509101</v>
      </c>
      <c r="O184" s="661">
        <v>1102</v>
      </c>
      <c r="P184" s="659">
        <v>232865.21999999997</v>
      </c>
      <c r="Q184" s="660">
        <v>169487.29</v>
      </c>
      <c r="R184" s="526">
        <v>1.0390199637023594</v>
      </c>
      <c r="S184" s="663">
        <v>23257.129999999976</v>
      </c>
      <c r="T184" s="593"/>
      <c r="U184" s="504"/>
      <c r="V184" s="504"/>
      <c r="W184" s="504"/>
      <c r="X184" s="504"/>
      <c r="Y184" s="504"/>
      <c r="Z184" s="504"/>
      <c r="AA184" s="504"/>
      <c r="AB184" s="504"/>
      <c r="AC184" s="50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</row>
    <row r="185" spans="1:40" ht="15.75" customHeight="1">
      <c r="A185" s="493" t="s">
        <v>345</v>
      </c>
      <c r="B185" s="499" t="s">
        <v>84</v>
      </c>
      <c r="C185" s="664" t="s">
        <v>94</v>
      </c>
      <c r="D185" s="665"/>
      <c r="E185" s="665">
        <v>226.16942481496309</v>
      </c>
      <c r="F185" s="666">
        <v>0.72040032132682874</v>
      </c>
      <c r="G185" s="667"/>
      <c r="H185" s="668">
        <v>226.16942481496309</v>
      </c>
      <c r="I185" s="527">
        <v>0.72040032132682874</v>
      </c>
      <c r="J185" s="667"/>
      <c r="K185" s="668">
        <v>223.89174672489082</v>
      </c>
      <c r="L185" s="527">
        <v>0.7518621854253098</v>
      </c>
      <c r="M185" s="667"/>
      <c r="N185" s="666">
        <v>-6.4867325993497815E-2</v>
      </c>
      <c r="O185" s="667"/>
      <c r="P185" s="668">
        <v>211.31145190562611</v>
      </c>
      <c r="Q185" s="527">
        <v>0.72783428113481274</v>
      </c>
      <c r="R185" s="667"/>
      <c r="S185" s="528">
        <v>0.13722049600297448</v>
      </c>
      <c r="T185" s="593"/>
      <c r="U185" s="504"/>
      <c r="V185" s="504"/>
      <c r="W185" s="504"/>
      <c r="X185" s="504"/>
      <c r="Y185" s="504"/>
      <c r="Z185" s="504"/>
      <c r="AA185" s="504"/>
      <c r="AB185" s="504"/>
      <c r="AC185" s="50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</row>
    <row r="186" spans="1:40" ht="15.75" customHeight="1">
      <c r="A186" s="493" t="s">
        <v>84</v>
      </c>
      <c r="B186" s="499" t="s">
        <v>84</v>
      </c>
      <c r="C186" s="519"/>
      <c r="D186" s="669"/>
      <c r="E186" s="670"/>
      <c r="F186" s="671"/>
      <c r="G186" s="672"/>
      <c r="H186" s="670"/>
      <c r="I186" s="671">
        <v>79996.567444937129</v>
      </c>
      <c r="J186" s="672"/>
      <c r="K186" s="670"/>
      <c r="L186" s="671">
        <v>63611.630000000005</v>
      </c>
      <c r="M186" s="672"/>
      <c r="N186" s="671"/>
      <c r="O186" s="672"/>
      <c r="P186" s="670"/>
      <c r="Q186" s="671"/>
      <c r="R186" s="672"/>
      <c r="S186" s="673"/>
      <c r="T186" s="593"/>
      <c r="U186" s="504"/>
      <c r="V186" s="504"/>
      <c r="W186" s="504"/>
      <c r="X186" s="504"/>
      <c r="Y186" s="504"/>
      <c r="Z186" s="504"/>
      <c r="AA186" s="504"/>
      <c r="AB186" s="504"/>
      <c r="AC186" s="50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</row>
    <row r="187" spans="1:40" ht="19.5" customHeight="1">
      <c r="A187" s="493" t="s">
        <v>346</v>
      </c>
      <c r="B187" s="499" t="s">
        <v>84</v>
      </c>
      <c r="C187" s="513" t="s">
        <v>95</v>
      </c>
      <c r="D187" s="565"/>
      <c r="E187" s="565">
        <v>35279.231557541265</v>
      </c>
      <c r="F187" s="565">
        <v>7730.5860993154811</v>
      </c>
      <c r="G187" s="546"/>
      <c r="H187" s="565">
        <v>35279.231557541265</v>
      </c>
      <c r="I187" s="565">
        <v>7730.5860993154811</v>
      </c>
      <c r="J187" s="546"/>
      <c r="K187" s="514">
        <v>29552.660000000003</v>
      </c>
      <c r="L187" s="517">
        <v>6749.3900000000031</v>
      </c>
      <c r="M187" s="674">
        <v>-0.16232132347330433</v>
      </c>
      <c r="N187" s="545">
        <v>-981.19609931547802</v>
      </c>
      <c r="O187" s="546"/>
      <c r="P187" s="514">
        <v>29762.71</v>
      </c>
      <c r="Q187" s="517">
        <v>5379.739999999998</v>
      </c>
      <c r="R187" s="628">
        <v>0</v>
      </c>
      <c r="S187" s="567">
        <v>1369.6500000000051</v>
      </c>
      <c r="T187" s="593"/>
      <c r="U187" s="504"/>
      <c r="V187" s="504"/>
      <c r="W187" s="504"/>
      <c r="X187" s="504"/>
      <c r="Y187" s="504"/>
      <c r="Z187" s="504"/>
      <c r="AA187" s="504"/>
      <c r="AB187" s="504"/>
      <c r="AC187" s="50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</row>
    <row r="188" spans="1:40" ht="21" customHeight="1">
      <c r="A188" s="493" t="s">
        <v>339</v>
      </c>
      <c r="B188" s="499" t="s">
        <v>84</v>
      </c>
      <c r="C188" s="513" t="s">
        <v>88</v>
      </c>
      <c r="D188" s="504"/>
      <c r="E188" s="618"/>
      <c r="F188" s="629">
        <v>0.21912569401367804</v>
      </c>
      <c r="G188" s="525"/>
      <c r="H188" s="618"/>
      <c r="I188" s="629">
        <v>0.21912569401367804</v>
      </c>
      <c r="J188" s="648"/>
      <c r="K188" s="647"/>
      <c r="L188" s="629">
        <v>0.22838519442919866</v>
      </c>
      <c r="M188" s="648"/>
      <c r="N188" s="649"/>
      <c r="O188" s="648"/>
      <c r="P188" s="647"/>
      <c r="Q188" s="629">
        <v>0.18075437350967025</v>
      </c>
      <c r="R188" s="648"/>
      <c r="S188" s="650"/>
      <c r="T188" s="593"/>
      <c r="U188" s="504"/>
      <c r="V188" s="504"/>
      <c r="W188" s="504"/>
      <c r="X188" s="504"/>
      <c r="Y188" s="504"/>
      <c r="Z188" s="504"/>
      <c r="AA188" s="504"/>
      <c r="AB188" s="504"/>
      <c r="AC188" s="50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</row>
    <row r="189" spans="1:40" ht="15.75" customHeight="1">
      <c r="A189" s="493" t="s">
        <v>84</v>
      </c>
      <c r="B189" s="499" t="s">
        <v>84</v>
      </c>
      <c r="C189" s="513"/>
      <c r="D189" s="504"/>
      <c r="E189" s="618"/>
      <c r="F189" s="629"/>
      <c r="G189" s="525"/>
      <c r="H189" s="618"/>
      <c r="I189" s="629"/>
      <c r="J189" s="648"/>
      <c r="K189" s="647"/>
      <c r="L189" s="629"/>
      <c r="M189" s="648"/>
      <c r="N189" s="649"/>
      <c r="O189" s="648"/>
      <c r="P189" s="647"/>
      <c r="Q189" s="629"/>
      <c r="R189" s="648"/>
      <c r="S189" s="650"/>
      <c r="T189" s="593"/>
      <c r="U189" s="504"/>
      <c r="V189" s="504"/>
      <c r="W189" s="504"/>
      <c r="X189" s="504"/>
      <c r="Y189" s="504"/>
      <c r="Z189" s="504"/>
      <c r="AA189" s="504"/>
      <c r="AB189" s="504"/>
      <c r="AC189" s="50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</row>
    <row r="190" spans="1:40" ht="15.75" customHeight="1">
      <c r="A190" s="493" t="s">
        <v>347</v>
      </c>
      <c r="B190" s="499" t="s">
        <v>84</v>
      </c>
      <c r="C190" s="513" t="s">
        <v>96</v>
      </c>
      <c r="D190" s="504"/>
      <c r="E190" s="565">
        <v>0</v>
      </c>
      <c r="F190" s="565">
        <v>0</v>
      </c>
      <c r="G190" s="525"/>
      <c r="H190" s="565">
        <v>0</v>
      </c>
      <c r="I190" s="565">
        <v>0</v>
      </c>
      <c r="J190" s="648"/>
      <c r="K190" s="514">
        <v>0</v>
      </c>
      <c r="L190" s="629"/>
      <c r="M190" s="648"/>
      <c r="N190" s="649"/>
      <c r="O190" s="648"/>
      <c r="P190" s="514">
        <v>0</v>
      </c>
      <c r="Q190" s="629"/>
      <c r="R190" s="648"/>
      <c r="S190" s="650"/>
      <c r="T190" s="593"/>
      <c r="U190" s="504"/>
      <c r="V190" s="504"/>
      <c r="W190" s="504"/>
      <c r="X190" s="504"/>
      <c r="Y190" s="504"/>
      <c r="Z190" s="504"/>
      <c r="AA190" s="504"/>
      <c r="AB190" s="504"/>
      <c r="AC190" s="50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</row>
    <row r="191" spans="1:40" ht="15.75" customHeight="1">
      <c r="A191" s="493" t="s">
        <v>339</v>
      </c>
      <c r="B191" s="499" t="s">
        <v>84</v>
      </c>
      <c r="C191" s="513" t="s">
        <v>88</v>
      </c>
      <c r="D191" s="504"/>
      <c r="E191" s="618"/>
      <c r="F191" s="629">
        <v>0</v>
      </c>
      <c r="G191" s="525"/>
      <c r="H191" s="618"/>
      <c r="I191" s="629">
        <v>0</v>
      </c>
      <c r="J191" s="648"/>
      <c r="K191" s="647"/>
      <c r="L191" s="629">
        <v>0</v>
      </c>
      <c r="M191" s="648"/>
      <c r="N191" s="649"/>
      <c r="O191" s="648"/>
      <c r="P191" s="647"/>
      <c r="Q191" s="629">
        <v>0</v>
      </c>
      <c r="R191" s="648"/>
      <c r="S191" s="650"/>
      <c r="T191" s="593"/>
      <c r="U191" s="504"/>
      <c r="V191" s="504"/>
      <c r="W191" s="504"/>
      <c r="X191" s="504"/>
      <c r="Y191" s="504"/>
      <c r="Z191" s="504"/>
      <c r="AA191" s="504"/>
      <c r="AB191" s="504"/>
      <c r="AC191" s="50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</row>
    <row r="192" spans="1:40" ht="15.75" customHeight="1" thickBot="1">
      <c r="A192" s="493" t="s">
        <v>84</v>
      </c>
      <c r="B192" s="499" t="s">
        <v>84</v>
      </c>
      <c r="C192" s="675"/>
      <c r="D192" s="676"/>
      <c r="E192" s="677"/>
      <c r="F192" s="678"/>
      <c r="G192" s="679"/>
      <c r="H192" s="677"/>
      <c r="I192" s="678"/>
      <c r="J192" s="679"/>
      <c r="K192" s="677"/>
      <c r="L192" s="678"/>
      <c r="M192" s="679"/>
      <c r="N192" s="678"/>
      <c r="O192" s="679"/>
      <c r="P192" s="677"/>
      <c r="Q192" s="678"/>
      <c r="R192" s="679"/>
      <c r="S192" s="680"/>
      <c r="T192" s="593"/>
      <c r="U192" s="504"/>
      <c r="V192" s="504"/>
      <c r="W192" s="504"/>
      <c r="X192" s="504"/>
      <c r="Y192" s="504"/>
      <c r="Z192" s="504"/>
      <c r="AA192" s="504"/>
      <c r="AB192" s="504"/>
      <c r="AC192" s="50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</row>
    <row r="193" spans="1:40" ht="24.75" customHeight="1" thickTop="1">
      <c r="A193" s="493" t="s">
        <v>348</v>
      </c>
      <c r="B193" s="499" t="s">
        <v>84</v>
      </c>
      <c r="C193" s="548" t="s">
        <v>97</v>
      </c>
      <c r="D193" s="549"/>
      <c r="E193" s="549">
        <v>321390.31660798751</v>
      </c>
      <c r="F193" s="551">
        <v>213845.10370482458</v>
      </c>
      <c r="G193" s="552"/>
      <c r="H193" s="549">
        <v>321390.31660798751</v>
      </c>
      <c r="I193" s="551">
        <v>213845.10370482458</v>
      </c>
      <c r="J193" s="552"/>
      <c r="K193" s="549">
        <v>285908.70999999996</v>
      </c>
      <c r="L193" s="551">
        <v>199493.81</v>
      </c>
      <c r="M193" s="681">
        <v>3.2378456388355681E-2</v>
      </c>
      <c r="N193" s="551">
        <v>-14351.29370482458</v>
      </c>
      <c r="O193" s="552"/>
      <c r="P193" s="549">
        <v>262627.93</v>
      </c>
      <c r="Q193" s="551">
        <v>174867.03</v>
      </c>
      <c r="R193" s="681">
        <v>3.1917906480990133E-2</v>
      </c>
      <c r="S193" s="554">
        <v>24626.78</v>
      </c>
      <c r="T193" s="593"/>
      <c r="U193" s="504"/>
      <c r="V193" s="504"/>
      <c r="W193" s="504"/>
      <c r="X193" s="504"/>
      <c r="Y193" s="504"/>
      <c r="Z193" s="504"/>
      <c r="AA193" s="504"/>
      <c r="AB193" s="504"/>
      <c r="AC193" s="50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</row>
    <row r="194" spans="1:40" ht="24" customHeight="1" thickBot="1">
      <c r="A194" s="493" t="s">
        <v>84</v>
      </c>
      <c r="B194" s="499" t="s">
        <v>84</v>
      </c>
      <c r="C194" s="555"/>
      <c r="D194" s="556"/>
      <c r="E194" s="556"/>
      <c r="F194" s="560">
        <v>0.66537506780473388</v>
      </c>
      <c r="G194" s="558"/>
      <c r="H194" s="556"/>
      <c r="I194" s="560">
        <v>0.66537506780473388</v>
      </c>
      <c r="J194" s="558"/>
      <c r="K194" s="556"/>
      <c r="L194" s="560">
        <v>0.69775352419308956</v>
      </c>
      <c r="M194" s="559"/>
      <c r="N194" s="560">
        <v>-6.7110695808280038E-2</v>
      </c>
      <c r="O194" s="558"/>
      <c r="P194" s="556"/>
      <c r="Q194" s="560">
        <v>0.66583561771209943</v>
      </c>
      <c r="R194" s="559"/>
      <c r="S194" s="561">
        <v>8.1006859199619274</v>
      </c>
      <c r="T194" s="562"/>
      <c r="U194" s="504"/>
      <c r="V194" s="504"/>
      <c r="W194" s="504"/>
      <c r="X194" s="504"/>
      <c r="Y194" s="504"/>
      <c r="Z194" s="504"/>
      <c r="AA194" s="504"/>
      <c r="AB194" s="504"/>
      <c r="AC194" s="50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</row>
    <row r="195" spans="1:40" ht="15.75" customHeight="1" thickTop="1">
      <c r="A195" s="493" t="s">
        <v>84</v>
      </c>
      <c r="B195" s="499" t="s">
        <v>84</v>
      </c>
      <c r="C195" s="538"/>
      <c r="D195" s="562"/>
      <c r="E195" s="562"/>
      <c r="F195" s="527"/>
      <c r="G195" s="564"/>
      <c r="H195" s="562"/>
      <c r="I195" s="527"/>
      <c r="J195" s="564"/>
      <c r="K195" s="562"/>
      <c r="L195" s="527"/>
      <c r="M195" s="526"/>
      <c r="N195" s="527"/>
      <c r="O195" s="564"/>
      <c r="P195" s="562"/>
      <c r="Q195" s="527"/>
      <c r="R195" s="526"/>
      <c r="S195" s="528"/>
      <c r="T195" s="562"/>
      <c r="U195" s="504"/>
      <c r="V195" s="504"/>
      <c r="W195" s="504"/>
      <c r="X195" s="504"/>
      <c r="Y195" s="504"/>
      <c r="Z195" s="504"/>
      <c r="AA195" s="504"/>
      <c r="AB195" s="504"/>
      <c r="AC195" s="50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</row>
    <row r="196" spans="1:40" ht="15.75" customHeight="1">
      <c r="A196" s="493" t="s">
        <v>349</v>
      </c>
      <c r="B196" s="499" t="s">
        <v>84</v>
      </c>
      <c r="C196" s="80" t="s">
        <v>31</v>
      </c>
      <c r="D196" s="504"/>
      <c r="E196" s="504"/>
      <c r="F196" s="545"/>
      <c r="G196" s="525"/>
      <c r="H196" s="504"/>
      <c r="I196" s="545"/>
      <c r="J196" s="525"/>
      <c r="K196" s="504"/>
      <c r="L196" s="524"/>
      <c r="M196" s="525"/>
      <c r="N196" s="524"/>
      <c r="O196" s="525"/>
      <c r="P196" s="504"/>
      <c r="Q196" s="524"/>
      <c r="R196" s="525"/>
      <c r="S196" s="547"/>
      <c r="T196" s="504"/>
      <c r="U196" s="504"/>
      <c r="V196" s="504"/>
      <c r="W196" s="504"/>
      <c r="X196" s="504"/>
      <c r="Y196" s="504"/>
      <c r="Z196" s="504"/>
      <c r="AA196" s="504"/>
      <c r="AB196" s="504"/>
      <c r="AC196" s="50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</row>
    <row r="197" spans="1:40" ht="15.75" customHeight="1">
      <c r="A197" s="493" t="s">
        <v>350</v>
      </c>
      <c r="B197" s="499" t="s">
        <v>84</v>
      </c>
      <c r="C197" s="585" t="s">
        <v>42</v>
      </c>
      <c r="D197" s="504"/>
      <c r="E197" s="504"/>
      <c r="F197" s="514">
        <v>11574.768390804598</v>
      </c>
      <c r="G197" s="525"/>
      <c r="H197" s="504"/>
      <c r="I197" s="514">
        <v>11574.768390804598</v>
      </c>
      <c r="J197" s="525"/>
      <c r="K197" s="504"/>
      <c r="L197" s="517">
        <v>8901.44</v>
      </c>
      <c r="M197" s="525"/>
      <c r="N197" s="545">
        <v>-2673.3283908045978</v>
      </c>
      <c r="O197" s="525"/>
      <c r="P197" s="504"/>
      <c r="Q197" s="517">
        <v>10025.44</v>
      </c>
      <c r="R197" s="525"/>
      <c r="S197" s="518">
        <v>-1124</v>
      </c>
      <c r="T197" s="504"/>
      <c r="U197" s="504"/>
      <c r="V197" s="504"/>
      <c r="W197" s="504"/>
      <c r="X197" s="504"/>
      <c r="Y197" s="504"/>
      <c r="Z197" s="504"/>
      <c r="AA197" s="504"/>
      <c r="AB197" s="504"/>
      <c r="AC197" s="50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</row>
    <row r="198" spans="1:40" ht="15.75" customHeight="1">
      <c r="A198" s="493" t="s">
        <v>351</v>
      </c>
      <c r="B198" s="499" t="s">
        <v>84</v>
      </c>
      <c r="C198" s="586" t="s">
        <v>43</v>
      </c>
      <c r="D198" s="82"/>
      <c r="E198" s="504"/>
      <c r="F198" s="508">
        <v>9816.5681076743313</v>
      </c>
      <c r="G198" s="84"/>
      <c r="H198" s="504"/>
      <c r="I198" s="508">
        <v>9816.5681076743313</v>
      </c>
      <c r="J198" s="525"/>
      <c r="K198" s="504"/>
      <c r="L198" s="517">
        <v>7896.83</v>
      </c>
      <c r="M198" s="525"/>
      <c r="N198" s="545">
        <v>-1919.7381076743313</v>
      </c>
      <c r="O198" s="525"/>
      <c r="P198" s="504"/>
      <c r="Q198" s="517">
        <v>8664.7900000000009</v>
      </c>
      <c r="R198" s="525"/>
      <c r="S198" s="567">
        <v>-767.96000000000095</v>
      </c>
      <c r="T198" s="504"/>
      <c r="U198" s="504"/>
      <c r="V198" s="504"/>
      <c r="W198" s="504"/>
      <c r="X198" s="504"/>
      <c r="Y198" s="504"/>
      <c r="Z198" s="504"/>
      <c r="AA198" s="504"/>
      <c r="AB198" s="504"/>
      <c r="AC198" s="50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</row>
    <row r="199" spans="1:40" ht="29.25" customHeight="1">
      <c r="A199" s="493" t="s">
        <v>352</v>
      </c>
      <c r="B199" s="499" t="s">
        <v>84</v>
      </c>
      <c r="C199" s="585" t="s">
        <v>44</v>
      </c>
      <c r="D199" s="107"/>
      <c r="E199" s="587"/>
      <c r="F199" s="514">
        <v>14779.948499279693</v>
      </c>
      <c r="G199" s="109"/>
      <c r="H199" s="587"/>
      <c r="I199" s="514">
        <v>14779.948499279693</v>
      </c>
      <c r="J199" s="588"/>
      <c r="K199" s="587"/>
      <c r="L199" s="589">
        <v>23017.51</v>
      </c>
      <c r="M199" s="588"/>
      <c r="N199" s="590">
        <v>8237.561500720305</v>
      </c>
      <c r="O199" s="588"/>
      <c r="P199" s="587"/>
      <c r="Q199" s="589">
        <v>8179.31</v>
      </c>
      <c r="R199" s="588"/>
      <c r="S199" s="591">
        <v>14838.199999999997</v>
      </c>
      <c r="T199" s="504"/>
      <c r="U199" s="504" t="s">
        <v>353</v>
      </c>
      <c r="V199" s="504"/>
      <c r="W199" s="504"/>
      <c r="X199" s="504"/>
      <c r="Y199" s="504">
        <v>4875</v>
      </c>
      <c r="Z199" s="504"/>
      <c r="AA199" s="504"/>
      <c r="AB199" s="504"/>
      <c r="AC199" s="50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</row>
    <row r="200" spans="1:40" ht="21.75" customHeight="1">
      <c r="A200" s="493" t="s">
        <v>354</v>
      </c>
      <c r="B200" s="499" t="s">
        <v>84</v>
      </c>
      <c r="C200" s="585" t="s">
        <v>45</v>
      </c>
      <c r="D200" s="82"/>
      <c r="E200" s="504"/>
      <c r="F200" s="514">
        <v>32573.40890000877</v>
      </c>
      <c r="G200" s="84"/>
      <c r="H200" s="504"/>
      <c r="I200" s="514">
        <v>32573.40890000877</v>
      </c>
      <c r="J200" s="525"/>
      <c r="K200" s="504"/>
      <c r="L200" s="517">
        <v>25133.54</v>
      </c>
      <c r="M200" s="525"/>
      <c r="N200" s="545">
        <v>-7439.8689000087688</v>
      </c>
      <c r="O200" s="525"/>
      <c r="P200" s="504"/>
      <c r="Q200" s="517">
        <v>24491.9</v>
      </c>
      <c r="R200" s="525"/>
      <c r="S200" s="567">
        <v>641.63999999999942</v>
      </c>
      <c r="T200" s="504"/>
      <c r="U200" s="504"/>
      <c r="V200" s="504"/>
      <c r="W200" s="504"/>
      <c r="X200" s="504"/>
      <c r="Y200" s="504"/>
      <c r="Z200" s="504"/>
      <c r="AA200" s="504"/>
      <c r="AB200" s="504"/>
      <c r="AC200" s="50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</row>
    <row r="201" spans="1:40" ht="15.75" hidden="1" customHeight="1">
      <c r="A201" s="493" t="s">
        <v>355</v>
      </c>
      <c r="B201" s="499" t="s">
        <v>84</v>
      </c>
      <c r="C201" s="513" t="s">
        <v>21</v>
      </c>
      <c r="D201" s="82"/>
      <c r="E201" s="504"/>
      <c r="F201" s="514">
        <v>0</v>
      </c>
      <c r="G201" s="84"/>
      <c r="H201" s="504"/>
      <c r="I201" s="514">
        <v>0</v>
      </c>
      <c r="J201" s="525"/>
      <c r="K201" s="504"/>
      <c r="L201" s="517">
        <v>0</v>
      </c>
      <c r="M201" s="525"/>
      <c r="N201" s="545">
        <v>0</v>
      </c>
      <c r="O201" s="525"/>
      <c r="P201" s="504"/>
      <c r="Q201" s="517">
        <v>0</v>
      </c>
      <c r="R201" s="525"/>
      <c r="S201" s="567">
        <v>0</v>
      </c>
      <c r="T201" s="504"/>
      <c r="U201" s="504"/>
      <c r="V201" s="504"/>
      <c r="W201" s="504"/>
      <c r="X201" s="504"/>
      <c r="Y201" s="504"/>
      <c r="Z201" s="504"/>
      <c r="AA201" s="504"/>
      <c r="AB201" s="504"/>
      <c r="AC201" s="50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</row>
    <row r="202" spans="1:40" ht="15.75" hidden="1" customHeight="1">
      <c r="A202" s="493" t="s">
        <v>355</v>
      </c>
      <c r="B202" s="499" t="s">
        <v>84</v>
      </c>
      <c r="C202" s="513" t="s">
        <v>21</v>
      </c>
      <c r="D202" s="82"/>
      <c r="E202" s="504"/>
      <c r="F202" s="514">
        <v>0</v>
      </c>
      <c r="G202" s="84"/>
      <c r="H202" s="504"/>
      <c r="I202" s="514">
        <v>0</v>
      </c>
      <c r="J202" s="525"/>
      <c r="K202" s="504"/>
      <c r="L202" s="517">
        <v>0</v>
      </c>
      <c r="M202" s="525"/>
      <c r="N202" s="545">
        <v>0</v>
      </c>
      <c r="O202" s="525"/>
      <c r="P202" s="504"/>
      <c r="Q202" s="517">
        <v>0</v>
      </c>
      <c r="R202" s="525"/>
      <c r="S202" s="567">
        <v>0</v>
      </c>
      <c r="T202" s="504"/>
      <c r="U202" s="504"/>
      <c r="V202" s="504"/>
      <c r="W202" s="504"/>
      <c r="X202" s="504"/>
      <c r="Y202" s="504"/>
      <c r="Z202" s="504"/>
      <c r="AA202" s="504"/>
      <c r="AB202" s="504"/>
      <c r="AC202" s="50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</row>
    <row r="203" spans="1:40" ht="15.75" hidden="1" customHeight="1">
      <c r="A203" s="493" t="s">
        <v>355</v>
      </c>
      <c r="B203" s="499" t="s">
        <v>84</v>
      </c>
      <c r="C203" s="513" t="s">
        <v>21</v>
      </c>
      <c r="D203" s="82"/>
      <c r="E203" s="504"/>
      <c r="F203" s="514">
        <v>0</v>
      </c>
      <c r="G203" s="84"/>
      <c r="H203" s="504"/>
      <c r="I203" s="514">
        <v>0</v>
      </c>
      <c r="J203" s="525"/>
      <c r="K203" s="504"/>
      <c r="L203" s="517">
        <v>0</v>
      </c>
      <c r="M203" s="525"/>
      <c r="N203" s="545">
        <v>0</v>
      </c>
      <c r="O203" s="525"/>
      <c r="P203" s="504"/>
      <c r="Q203" s="517">
        <v>0</v>
      </c>
      <c r="R203" s="525"/>
      <c r="S203" s="567">
        <v>0</v>
      </c>
      <c r="T203" s="504"/>
      <c r="U203" s="504"/>
      <c r="V203" s="504"/>
      <c r="W203" s="504"/>
      <c r="X203" s="504"/>
      <c r="Y203" s="504"/>
      <c r="Z203" s="504"/>
      <c r="AA203" s="504"/>
      <c r="AB203" s="504"/>
      <c r="AC203" s="50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</row>
    <row r="204" spans="1:40" ht="21.75" customHeight="1">
      <c r="A204" s="493" t="s">
        <v>356</v>
      </c>
      <c r="B204" s="499" t="s">
        <v>84</v>
      </c>
      <c r="C204" s="586" t="s">
        <v>46</v>
      </c>
      <c r="D204" s="82"/>
      <c r="E204" s="504"/>
      <c r="F204" s="514">
        <v>16356.649875427871</v>
      </c>
      <c r="G204" s="84"/>
      <c r="H204" s="504"/>
      <c r="I204" s="514">
        <v>16356.649875427871</v>
      </c>
      <c r="J204" s="525"/>
      <c r="K204" s="504"/>
      <c r="L204" s="517">
        <v>18602.09</v>
      </c>
      <c r="M204" s="525"/>
      <c r="N204" s="545">
        <v>2245.4401245721292</v>
      </c>
      <c r="O204" s="525"/>
      <c r="P204" s="504"/>
      <c r="Q204" s="517">
        <v>14099.96</v>
      </c>
      <c r="R204" s="525"/>
      <c r="S204" s="567">
        <v>4502.130000000001</v>
      </c>
      <c r="T204" s="504"/>
      <c r="U204" s="504"/>
      <c r="V204" s="504"/>
      <c r="W204" s="504"/>
      <c r="X204" s="504"/>
      <c r="Y204" s="504"/>
      <c r="Z204" s="504"/>
      <c r="AA204" s="504"/>
      <c r="AB204" s="504"/>
      <c r="AC204" s="50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</row>
    <row r="205" spans="1:40" ht="15.75" customHeight="1">
      <c r="A205" s="493" t="s">
        <v>357</v>
      </c>
      <c r="B205" s="499" t="s">
        <v>84</v>
      </c>
      <c r="C205" s="585" t="s">
        <v>47</v>
      </c>
      <c r="D205" s="107"/>
      <c r="E205" s="587"/>
      <c r="F205" s="540">
        <v>14649.056613768276</v>
      </c>
      <c r="G205" s="109"/>
      <c r="H205" s="587"/>
      <c r="I205" s="540">
        <v>14649.056613768276</v>
      </c>
      <c r="J205" s="588"/>
      <c r="K205" s="587"/>
      <c r="L205" s="589">
        <v>17197.330000000002</v>
      </c>
      <c r="M205" s="588"/>
      <c r="N205" s="590">
        <v>2548.2733862317255</v>
      </c>
      <c r="O205" s="588"/>
      <c r="P205" s="587"/>
      <c r="Q205" s="589">
        <v>15325.37</v>
      </c>
      <c r="R205" s="588"/>
      <c r="S205" s="591">
        <v>1871.9600000000009</v>
      </c>
      <c r="T205" s="504"/>
      <c r="U205" s="504"/>
      <c r="V205" s="504"/>
      <c r="W205" s="504"/>
      <c r="X205" s="504"/>
      <c r="Y205" s="504"/>
      <c r="Z205" s="504"/>
      <c r="AA205" s="504"/>
      <c r="AB205" s="504"/>
      <c r="AC205" s="50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</row>
    <row r="206" spans="1:40" ht="15.75" customHeight="1">
      <c r="A206" s="493" t="s">
        <v>358</v>
      </c>
      <c r="B206" s="499" t="s">
        <v>84</v>
      </c>
      <c r="C206" s="585" t="s">
        <v>48</v>
      </c>
      <c r="D206" s="82"/>
      <c r="E206" s="504"/>
      <c r="F206" s="514">
        <v>11633.074369757162</v>
      </c>
      <c r="G206" s="84"/>
      <c r="H206" s="504"/>
      <c r="I206" s="514">
        <v>11633.074369757162</v>
      </c>
      <c r="J206" s="525"/>
      <c r="K206" s="504"/>
      <c r="L206" s="517">
        <v>5304.29</v>
      </c>
      <c r="M206" s="525"/>
      <c r="N206" s="545">
        <v>-6328.7843697571616</v>
      </c>
      <c r="O206" s="525"/>
      <c r="P206" s="504"/>
      <c r="Q206" s="517">
        <v>10983.18</v>
      </c>
      <c r="R206" s="525"/>
      <c r="S206" s="567">
        <v>-5678.89</v>
      </c>
      <c r="T206" s="504"/>
      <c r="U206" s="504"/>
      <c r="V206" s="504"/>
      <c r="W206" s="504"/>
      <c r="X206" s="504"/>
      <c r="Y206" s="504"/>
      <c r="Z206" s="504"/>
      <c r="AA206" s="504"/>
      <c r="AB206" s="504"/>
      <c r="AC206" s="50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</row>
    <row r="207" spans="1:40" ht="15.75" customHeight="1">
      <c r="A207" s="493" t="s">
        <v>359</v>
      </c>
      <c r="B207" s="499" t="s">
        <v>84</v>
      </c>
      <c r="C207" s="585" t="s">
        <v>49</v>
      </c>
      <c r="D207" s="82"/>
      <c r="E207" s="504"/>
      <c r="F207" s="514">
        <v>4739.4006691603254</v>
      </c>
      <c r="G207" s="84"/>
      <c r="H207" s="504"/>
      <c r="I207" s="514">
        <v>4739.4006691603254</v>
      </c>
      <c r="J207" s="525"/>
      <c r="K207" s="504"/>
      <c r="L207" s="517">
        <v>3020.26</v>
      </c>
      <c r="M207" s="525"/>
      <c r="N207" s="545">
        <v>-1719.1406691603252</v>
      </c>
      <c r="O207" s="525"/>
      <c r="P207" s="504"/>
      <c r="Q207" s="517">
        <v>2554.23</v>
      </c>
      <c r="R207" s="525"/>
      <c r="S207" s="567">
        <v>466.0300000000002</v>
      </c>
      <c r="T207" s="504"/>
      <c r="U207" s="504"/>
      <c r="V207" s="504"/>
      <c r="W207" s="504"/>
      <c r="X207" s="504"/>
      <c r="Y207" s="504"/>
      <c r="Z207" s="504"/>
      <c r="AA207" s="504"/>
      <c r="AB207" s="504"/>
      <c r="AC207" s="50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</row>
    <row r="208" spans="1:40" ht="15.75" hidden="1" customHeight="1">
      <c r="A208" s="493" t="s">
        <v>355</v>
      </c>
      <c r="B208" s="499" t="s">
        <v>84</v>
      </c>
      <c r="C208" s="513" t="s">
        <v>21</v>
      </c>
      <c r="D208" s="89"/>
      <c r="E208" s="592"/>
      <c r="F208" s="514">
        <v>0</v>
      </c>
      <c r="G208" s="91"/>
      <c r="H208" s="592"/>
      <c r="I208" s="514">
        <v>0</v>
      </c>
      <c r="J208" s="509"/>
      <c r="K208" s="592"/>
      <c r="L208" s="517">
        <v>0</v>
      </c>
      <c r="M208" s="509"/>
      <c r="N208" s="573">
        <v>0</v>
      </c>
      <c r="O208" s="509"/>
      <c r="P208" s="592"/>
      <c r="Q208" s="517">
        <v>0</v>
      </c>
      <c r="R208" s="509"/>
      <c r="S208" s="574">
        <v>0</v>
      </c>
      <c r="T208" s="504"/>
      <c r="U208" s="504"/>
      <c r="V208" s="504"/>
      <c r="W208" s="504"/>
      <c r="X208" s="504"/>
      <c r="Y208" s="504"/>
      <c r="Z208" s="504"/>
      <c r="AA208" s="504"/>
      <c r="AB208" s="504"/>
      <c r="AC208" s="50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</row>
    <row r="209" spans="1:40" ht="15.75" customHeight="1">
      <c r="A209" s="493" t="s">
        <v>360</v>
      </c>
      <c r="B209" s="499" t="s">
        <v>84</v>
      </c>
      <c r="C209" s="578" t="s">
        <v>50</v>
      </c>
      <c r="D209" s="97" t="s">
        <v>98</v>
      </c>
      <c r="E209" s="579">
        <v>0.54302330712312297</v>
      </c>
      <c r="F209" s="580">
        <v>116122.87542588104</v>
      </c>
      <c r="G209" s="100" t="s">
        <v>98</v>
      </c>
      <c r="H209" s="579">
        <v>0.54302330712312297</v>
      </c>
      <c r="I209" s="580">
        <v>116122.87542588104</v>
      </c>
      <c r="J209" s="100" t="s">
        <v>98</v>
      </c>
      <c r="K209" s="579">
        <v>0.5467502475390088</v>
      </c>
      <c r="L209" s="580">
        <v>109073.29</v>
      </c>
      <c r="M209" s="621"/>
      <c r="N209" s="594">
        <v>-7049.5854258810432</v>
      </c>
      <c r="O209" s="100" t="s">
        <v>98</v>
      </c>
      <c r="P209" s="579">
        <v>0.53940516974526309</v>
      </c>
      <c r="Q209" s="580">
        <v>94324.180000000008</v>
      </c>
      <c r="R209" s="621"/>
      <c r="S209" s="595">
        <v>14749.109999999986</v>
      </c>
      <c r="T209" s="504"/>
      <c r="U209" s="504"/>
      <c r="V209" s="504"/>
      <c r="W209" s="504"/>
      <c r="X209" s="504"/>
      <c r="Y209" s="504"/>
      <c r="Z209" s="504"/>
      <c r="AA209" s="504"/>
      <c r="AB209" s="504"/>
      <c r="AC209" s="50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</row>
    <row r="210" spans="1:40" ht="15.75" customHeight="1">
      <c r="A210" s="493" t="s">
        <v>361</v>
      </c>
      <c r="B210" s="499" t="s">
        <v>84</v>
      </c>
      <c r="C210" s="513" t="s">
        <v>51</v>
      </c>
      <c r="D210" s="82"/>
      <c r="E210" s="504"/>
      <c r="F210" s="514">
        <v>6918.7625000000007</v>
      </c>
      <c r="G210" s="84"/>
      <c r="H210" s="504"/>
      <c r="I210" s="514">
        <v>6918.7625000000007</v>
      </c>
      <c r="J210" s="525"/>
      <c r="K210" s="504"/>
      <c r="L210" s="517">
        <v>17434.89</v>
      </c>
      <c r="M210" s="525"/>
      <c r="N210" s="545">
        <v>10516.127499999999</v>
      </c>
      <c r="O210" s="525"/>
      <c r="P210" s="504"/>
      <c r="Q210" s="517">
        <v>6869.4</v>
      </c>
      <c r="R210" s="525"/>
      <c r="S210" s="567">
        <v>10565.49</v>
      </c>
      <c r="T210" s="504"/>
      <c r="U210" s="504"/>
      <c r="V210" s="504"/>
      <c r="W210" s="504"/>
      <c r="X210" s="504"/>
      <c r="Y210" s="504"/>
      <c r="Z210" s="504"/>
      <c r="AA210" s="504"/>
      <c r="AB210" s="504"/>
      <c r="AC210" s="50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</row>
    <row r="211" spans="1:40" ht="15.75" customHeight="1">
      <c r="A211" s="493" t="s">
        <v>362</v>
      </c>
      <c r="B211" s="499" t="s">
        <v>84</v>
      </c>
      <c r="C211" s="513" t="s">
        <v>52</v>
      </c>
      <c r="D211" s="82"/>
      <c r="E211" s="504"/>
      <c r="F211" s="514">
        <v>3744.1418613919554</v>
      </c>
      <c r="G211" s="84"/>
      <c r="H211" s="504"/>
      <c r="I211" s="514">
        <v>3744.1418613919554</v>
      </c>
      <c r="J211" s="525"/>
      <c r="K211" s="504"/>
      <c r="L211" s="682">
        <v>3752.8500000000004</v>
      </c>
      <c r="M211" s="525"/>
      <c r="N211" s="545">
        <v>8.7081386080449192</v>
      </c>
      <c r="O211" s="525"/>
      <c r="P211" s="504"/>
      <c r="Q211" s="517">
        <v>4856.21</v>
      </c>
      <c r="R211" s="525"/>
      <c r="S211" s="567">
        <v>-1103.3599999999997</v>
      </c>
      <c r="T211" s="504"/>
      <c r="U211" s="504"/>
      <c r="V211" s="504"/>
      <c r="W211" s="504"/>
      <c r="X211" s="504"/>
      <c r="Y211" s="504"/>
      <c r="Z211" s="504"/>
      <c r="AA211" s="504"/>
      <c r="AB211" s="504"/>
      <c r="AC211" s="50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</row>
    <row r="212" spans="1:40" ht="15.75" customHeight="1">
      <c r="A212" s="493" t="s">
        <v>363</v>
      </c>
      <c r="B212" s="499" t="s">
        <v>84</v>
      </c>
      <c r="C212" s="568" t="s">
        <v>53</v>
      </c>
      <c r="D212" s="89"/>
      <c r="E212" s="592"/>
      <c r="F212" s="508">
        <v>15977.574444444444</v>
      </c>
      <c r="G212" s="91"/>
      <c r="H212" s="592"/>
      <c r="I212" s="508">
        <v>15977.574444444444</v>
      </c>
      <c r="J212" s="509"/>
      <c r="K212" s="592"/>
      <c r="L212" s="517">
        <v>11752.87</v>
      </c>
      <c r="M212" s="509"/>
      <c r="N212" s="573">
        <v>-4224.7044444444437</v>
      </c>
      <c r="O212" s="509"/>
      <c r="P212" s="592"/>
      <c r="Q212" s="517">
        <v>18069.37</v>
      </c>
      <c r="R212" s="509"/>
      <c r="S212" s="574">
        <v>-6316.4999999999982</v>
      </c>
      <c r="T212" s="504"/>
      <c r="U212" s="504"/>
      <c r="V212" s="504"/>
      <c r="W212" s="504"/>
      <c r="X212" s="504"/>
      <c r="Y212" s="504"/>
      <c r="Z212" s="504"/>
      <c r="AA212" s="504"/>
      <c r="AB212" s="504"/>
      <c r="AC212" s="50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</row>
    <row r="213" spans="1:40" ht="15.75" customHeight="1">
      <c r="A213" s="493" t="s">
        <v>364</v>
      </c>
      <c r="B213" s="499" t="s">
        <v>84</v>
      </c>
      <c r="C213" s="513" t="s">
        <v>54</v>
      </c>
      <c r="D213" s="82"/>
      <c r="E213" s="504"/>
      <c r="F213" s="514">
        <v>5968.7398199999989</v>
      </c>
      <c r="G213" s="84"/>
      <c r="H213" s="504"/>
      <c r="I213" s="514">
        <v>5968.7398199999989</v>
      </c>
      <c r="J213" s="525"/>
      <c r="K213" s="504"/>
      <c r="L213" s="589">
        <v>4063.95</v>
      </c>
      <c r="M213" s="525"/>
      <c r="N213" s="545">
        <v>-1904.7898199999991</v>
      </c>
      <c r="O213" s="525"/>
      <c r="P213" s="504"/>
      <c r="Q213" s="589">
        <v>3896.62</v>
      </c>
      <c r="R213" s="525"/>
      <c r="S213" s="567">
        <v>167.32999999999993</v>
      </c>
      <c r="T213" s="504"/>
      <c r="U213" s="504"/>
      <c r="V213" s="504"/>
      <c r="W213" s="504"/>
      <c r="X213" s="504"/>
      <c r="Y213" s="504"/>
      <c r="Z213" s="504"/>
      <c r="AA213" s="504"/>
      <c r="AB213" s="504"/>
      <c r="AC213" s="50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</row>
    <row r="214" spans="1:40" ht="15.75" customHeight="1">
      <c r="A214" s="493" t="s">
        <v>365</v>
      </c>
      <c r="B214" s="499" t="s">
        <v>84</v>
      </c>
      <c r="C214" s="513" t="s">
        <v>55</v>
      </c>
      <c r="D214" s="82"/>
      <c r="E214" s="504"/>
      <c r="F214" s="514">
        <v>594.10635000000002</v>
      </c>
      <c r="G214" s="84"/>
      <c r="H214" s="504"/>
      <c r="I214" s="514">
        <v>594.10635000000002</v>
      </c>
      <c r="J214" s="525"/>
      <c r="K214" s="504"/>
      <c r="L214" s="517">
        <v>1233.52</v>
      </c>
      <c r="M214" s="525"/>
      <c r="N214" s="545">
        <v>639.41364999999996</v>
      </c>
      <c r="O214" s="525"/>
      <c r="P214" s="504"/>
      <c r="Q214" s="517">
        <v>687.77</v>
      </c>
      <c r="R214" s="525"/>
      <c r="S214" s="567">
        <v>545.75</v>
      </c>
      <c r="T214" s="504"/>
      <c r="U214" s="504"/>
      <c r="V214" s="504"/>
      <c r="W214" s="504"/>
      <c r="X214" s="504"/>
      <c r="Y214" s="504"/>
      <c r="Z214" s="504"/>
      <c r="AA214" s="504"/>
      <c r="AB214" s="504"/>
      <c r="AC214" s="50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</row>
    <row r="215" spans="1:40" ht="15.75" customHeight="1">
      <c r="A215" s="493" t="s">
        <v>366</v>
      </c>
      <c r="B215" s="499" t="s">
        <v>84</v>
      </c>
      <c r="C215" s="568" t="s">
        <v>56</v>
      </c>
      <c r="D215" s="89"/>
      <c r="E215" s="592"/>
      <c r="F215" s="508">
        <v>8105.5805333333319</v>
      </c>
      <c r="G215" s="91"/>
      <c r="H215" s="592"/>
      <c r="I215" s="508">
        <v>8105.5805333333319</v>
      </c>
      <c r="J215" s="509"/>
      <c r="K215" s="592"/>
      <c r="L215" s="517">
        <v>1232.6500000000001</v>
      </c>
      <c r="M215" s="509"/>
      <c r="N215" s="573">
        <v>-6872.9305333333323</v>
      </c>
      <c r="O215" s="509"/>
      <c r="P215" s="592"/>
      <c r="Q215" s="517">
        <v>2669.35</v>
      </c>
      <c r="R215" s="509"/>
      <c r="S215" s="574">
        <v>-1436.6999999999998</v>
      </c>
      <c r="T215" s="504"/>
      <c r="U215" s="504"/>
      <c r="V215" s="504"/>
      <c r="W215" s="504"/>
      <c r="X215" s="504"/>
      <c r="Y215" s="504"/>
      <c r="Z215" s="504"/>
      <c r="AA215" s="504"/>
      <c r="AB215" s="504"/>
      <c r="AC215" s="50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</row>
    <row r="216" spans="1:40" ht="15.75" customHeight="1">
      <c r="A216" s="493" t="s">
        <v>367</v>
      </c>
      <c r="B216" s="499" t="s">
        <v>84</v>
      </c>
      <c r="C216" s="513" t="s">
        <v>99</v>
      </c>
      <c r="D216" s="82"/>
      <c r="E216" s="504"/>
      <c r="F216" s="514"/>
      <c r="G216" s="84"/>
      <c r="H216" s="504"/>
      <c r="I216" s="514"/>
      <c r="J216" s="525"/>
      <c r="K216" s="504"/>
      <c r="L216" s="589">
        <v>0</v>
      </c>
      <c r="M216" s="525"/>
      <c r="N216" s="545">
        <v>0</v>
      </c>
      <c r="O216" s="525"/>
      <c r="P216" s="504"/>
      <c r="Q216" s="589">
        <v>0</v>
      </c>
      <c r="R216" s="525"/>
      <c r="S216" s="567">
        <v>0</v>
      </c>
      <c r="T216" s="504"/>
      <c r="U216" s="504"/>
      <c r="V216" s="504"/>
      <c r="W216" s="504"/>
      <c r="X216" s="504"/>
      <c r="Y216" s="504"/>
      <c r="Z216" s="504"/>
      <c r="AA216" s="504"/>
      <c r="AB216" s="504"/>
      <c r="AC216" s="50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</row>
    <row r="217" spans="1:40" ht="15.75" customHeight="1">
      <c r="A217" s="493" t="s">
        <v>368</v>
      </c>
      <c r="B217" s="499" t="s">
        <v>84</v>
      </c>
      <c r="C217" s="513" t="s">
        <v>57</v>
      </c>
      <c r="D217" s="82"/>
      <c r="E217" s="504"/>
      <c r="F217" s="514">
        <v>1442.0715389132433</v>
      </c>
      <c r="G217" s="84"/>
      <c r="H217" s="504"/>
      <c r="I217" s="514">
        <v>1442.0715389132433</v>
      </c>
      <c r="J217" s="525"/>
      <c r="K217" s="504"/>
      <c r="L217" s="517">
        <v>4920.3599999999997</v>
      </c>
      <c r="M217" s="525"/>
      <c r="N217" s="545">
        <v>3478.2884610867563</v>
      </c>
      <c r="O217" s="525"/>
      <c r="P217" s="504"/>
      <c r="Q217" s="517">
        <v>1377.24</v>
      </c>
      <c r="R217" s="525"/>
      <c r="S217" s="567">
        <v>3543.12</v>
      </c>
      <c r="T217" s="504"/>
      <c r="U217" s="504"/>
      <c r="V217" s="504"/>
      <c r="W217" s="504"/>
      <c r="X217" s="504"/>
      <c r="Y217" s="504"/>
      <c r="Z217" s="504"/>
      <c r="AA217" s="504"/>
      <c r="AB217" s="504"/>
      <c r="AC217" s="50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</row>
    <row r="218" spans="1:40" ht="15.75" customHeight="1">
      <c r="A218" s="493" t="s">
        <v>369</v>
      </c>
      <c r="B218" s="499" t="s">
        <v>84</v>
      </c>
      <c r="C218" s="513" t="s">
        <v>58</v>
      </c>
      <c r="D218" s="82"/>
      <c r="E218" s="504"/>
      <c r="F218" s="514">
        <v>766.27890691642665</v>
      </c>
      <c r="G218" s="84"/>
      <c r="H218" s="504"/>
      <c r="I218" s="514">
        <v>766.27890691642665</v>
      </c>
      <c r="J218" s="525"/>
      <c r="K218" s="504"/>
      <c r="L218" s="517">
        <v>5498.29</v>
      </c>
      <c r="M218" s="525"/>
      <c r="N218" s="545">
        <v>4732.0110930835735</v>
      </c>
      <c r="O218" s="525"/>
      <c r="P218" s="504"/>
      <c r="Q218" s="517">
        <v>423.83</v>
      </c>
      <c r="R218" s="525"/>
      <c r="S218" s="567">
        <v>5074.46</v>
      </c>
      <c r="T218" s="504"/>
      <c r="U218" s="504"/>
      <c r="V218" s="504"/>
      <c r="W218" s="504"/>
      <c r="X218" s="504"/>
      <c r="Y218" s="504"/>
      <c r="Z218" s="504"/>
      <c r="AA218" s="504"/>
      <c r="AB218" s="504"/>
      <c r="AC218" s="50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</row>
    <row r="219" spans="1:40" ht="15.75" customHeight="1">
      <c r="A219" s="493" t="s">
        <v>370</v>
      </c>
      <c r="B219" s="499" t="s">
        <v>84</v>
      </c>
      <c r="C219" s="513" t="s">
        <v>59</v>
      </c>
      <c r="D219" s="82"/>
      <c r="E219" s="504"/>
      <c r="F219" s="514">
        <v>489.64823999999999</v>
      </c>
      <c r="G219" s="84"/>
      <c r="H219" s="504"/>
      <c r="I219" s="514">
        <v>489.64823999999999</v>
      </c>
      <c r="J219" s="525"/>
      <c r="K219" s="504"/>
      <c r="L219" s="516">
        <v>1750.75</v>
      </c>
      <c r="M219" s="525"/>
      <c r="N219" s="545">
        <v>1261.10176</v>
      </c>
      <c r="O219" s="525"/>
      <c r="P219" s="504"/>
      <c r="Q219" s="516">
        <v>479.16</v>
      </c>
      <c r="R219" s="525"/>
      <c r="S219" s="567">
        <v>1271.5899999999999</v>
      </c>
      <c r="T219" s="504"/>
      <c r="U219" s="504"/>
      <c r="V219" s="504"/>
      <c r="W219" s="504"/>
      <c r="X219" s="504"/>
      <c r="Y219" s="504"/>
      <c r="Z219" s="504"/>
      <c r="AA219" s="504"/>
      <c r="AB219" s="504"/>
      <c r="AC219" s="50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</row>
    <row r="220" spans="1:40" ht="15.75" customHeight="1">
      <c r="A220" s="493" t="s">
        <v>371</v>
      </c>
      <c r="B220" s="499" t="s">
        <v>84</v>
      </c>
      <c r="C220" s="513" t="s">
        <v>60</v>
      </c>
      <c r="D220" s="82"/>
      <c r="E220" s="504"/>
      <c r="F220" s="514">
        <v>226.09839500000001</v>
      </c>
      <c r="G220" s="84"/>
      <c r="H220" s="504"/>
      <c r="I220" s="514">
        <v>226.09839500000001</v>
      </c>
      <c r="J220" s="525"/>
      <c r="K220" s="504"/>
      <c r="L220" s="517">
        <v>130.22999999999999</v>
      </c>
      <c r="M220" s="525"/>
      <c r="N220" s="545">
        <v>-95.868395000000021</v>
      </c>
      <c r="O220" s="525"/>
      <c r="P220" s="504"/>
      <c r="Q220" s="517">
        <v>203.5</v>
      </c>
      <c r="R220" s="525"/>
      <c r="S220" s="567">
        <v>-73.27000000000001</v>
      </c>
      <c r="T220" s="504"/>
      <c r="U220" s="504"/>
      <c r="V220" s="504"/>
      <c r="W220" s="504"/>
      <c r="X220" s="504"/>
      <c r="Y220" s="504"/>
      <c r="Z220" s="504"/>
      <c r="AA220" s="504"/>
      <c r="AB220" s="504"/>
      <c r="AC220" s="50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</row>
    <row r="221" spans="1:40" ht="15.75" customHeight="1">
      <c r="A221" s="493" t="s">
        <v>372</v>
      </c>
      <c r="B221" s="499" t="s">
        <v>84</v>
      </c>
      <c r="C221" s="513" t="s">
        <v>61</v>
      </c>
      <c r="D221" s="82"/>
      <c r="E221" s="504"/>
      <c r="F221" s="514">
        <v>120.68780499999997</v>
      </c>
      <c r="G221" s="84"/>
      <c r="H221" s="504"/>
      <c r="I221" s="514">
        <v>120.68780499999997</v>
      </c>
      <c r="J221" s="525"/>
      <c r="K221" s="504"/>
      <c r="L221" s="517">
        <v>76.099999999999994</v>
      </c>
      <c r="M221" s="525"/>
      <c r="N221" s="545">
        <v>-44.587804999999975</v>
      </c>
      <c r="O221" s="525"/>
      <c r="P221" s="504"/>
      <c r="Q221" s="517">
        <v>114.64</v>
      </c>
      <c r="R221" s="525"/>
      <c r="S221" s="567">
        <v>-38.540000000000006</v>
      </c>
      <c r="T221" s="504"/>
      <c r="U221" s="504"/>
      <c r="V221" s="504"/>
      <c r="W221" s="504"/>
      <c r="X221" s="504"/>
      <c r="Y221" s="504"/>
      <c r="Z221" s="504"/>
      <c r="AA221" s="504"/>
      <c r="AB221" s="504"/>
      <c r="AC221" s="50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</row>
    <row r="222" spans="1:40" ht="15.75" customHeight="1">
      <c r="A222" s="493" t="s">
        <v>373</v>
      </c>
      <c r="B222" s="499" t="s">
        <v>84</v>
      </c>
      <c r="C222" s="513" t="s">
        <v>62</v>
      </c>
      <c r="D222" s="82"/>
      <c r="E222" s="504"/>
      <c r="F222" s="514">
        <v>582.1751949999998</v>
      </c>
      <c r="G222" s="84"/>
      <c r="H222" s="504"/>
      <c r="I222" s="514">
        <v>582.1751949999998</v>
      </c>
      <c r="J222" s="525"/>
      <c r="K222" s="504"/>
      <c r="L222" s="517">
        <v>200.71</v>
      </c>
      <c r="M222" s="525"/>
      <c r="N222" s="545">
        <v>-381.46519499999977</v>
      </c>
      <c r="O222" s="525"/>
      <c r="P222" s="504"/>
      <c r="Q222" s="517">
        <v>898.81</v>
      </c>
      <c r="R222" s="525"/>
      <c r="S222" s="567">
        <v>-698.09999999999991</v>
      </c>
      <c r="T222" s="504"/>
      <c r="U222" s="504"/>
      <c r="V222" s="504"/>
      <c r="W222" s="504"/>
      <c r="X222" s="504"/>
      <c r="Y222" s="504"/>
      <c r="Z222" s="504"/>
      <c r="AA222" s="504"/>
      <c r="AB222" s="504"/>
      <c r="AC222" s="50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</row>
    <row r="223" spans="1:40" ht="15.75" customHeight="1">
      <c r="A223" s="493" t="s">
        <v>374</v>
      </c>
      <c r="B223" s="499" t="s">
        <v>84</v>
      </c>
      <c r="C223" s="513" t="s">
        <v>63</v>
      </c>
      <c r="D223" s="82"/>
      <c r="E223" s="504"/>
      <c r="F223" s="514">
        <v>864.94219999999996</v>
      </c>
      <c r="G223" s="84"/>
      <c r="H223" s="504"/>
      <c r="I223" s="514">
        <v>864.94219999999996</v>
      </c>
      <c r="J223" s="525"/>
      <c r="K223" s="504"/>
      <c r="L223" s="517">
        <v>986.64</v>
      </c>
      <c r="M223" s="525"/>
      <c r="N223" s="545">
        <v>121.69780000000003</v>
      </c>
      <c r="O223" s="525"/>
      <c r="P223" s="504"/>
      <c r="Q223" s="517">
        <v>2298.75</v>
      </c>
      <c r="R223" s="525"/>
      <c r="S223" s="567">
        <v>-1312.1100000000001</v>
      </c>
      <c r="T223" s="504"/>
      <c r="U223" s="504"/>
      <c r="V223" s="504"/>
      <c r="W223" s="504"/>
      <c r="X223" s="504"/>
      <c r="Y223" s="504"/>
      <c r="Z223" s="504"/>
      <c r="AA223" s="504"/>
      <c r="AB223" s="504"/>
      <c r="AC223" s="50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</row>
    <row r="224" spans="1:40" ht="15.75" customHeight="1">
      <c r="A224" s="493" t="s">
        <v>375</v>
      </c>
      <c r="B224" s="499" t="s">
        <v>84</v>
      </c>
      <c r="C224" s="513" t="s">
        <v>64</v>
      </c>
      <c r="D224" s="82"/>
      <c r="E224" s="504"/>
      <c r="F224" s="514">
        <v>2300.1241125637116</v>
      </c>
      <c r="G224" s="84"/>
      <c r="H224" s="504"/>
      <c r="I224" s="514">
        <v>2300.1241125637116</v>
      </c>
      <c r="J224" s="525"/>
      <c r="K224" s="504"/>
      <c r="L224" s="517">
        <v>2127.9825000000001</v>
      </c>
      <c r="M224" s="525"/>
      <c r="N224" s="545">
        <v>-172.14161256371153</v>
      </c>
      <c r="O224" s="525"/>
      <c r="P224" s="504"/>
      <c r="Q224" s="517">
        <v>1551.4222500000001</v>
      </c>
      <c r="R224" s="525"/>
      <c r="S224" s="567">
        <v>576.56025</v>
      </c>
      <c r="T224" s="504"/>
      <c r="U224" s="504"/>
      <c r="V224" s="504"/>
      <c r="W224" s="504"/>
      <c r="X224" s="504"/>
      <c r="Y224" s="504"/>
      <c r="Z224" s="504"/>
      <c r="AA224" s="504"/>
      <c r="AB224" s="504"/>
      <c r="AC224" s="50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</row>
    <row r="225" spans="1:40" ht="15.75" hidden="1" customHeight="1">
      <c r="A225" s="493" t="s">
        <v>355</v>
      </c>
      <c r="B225" s="499" t="s">
        <v>84</v>
      </c>
      <c r="C225" s="513" t="s">
        <v>21</v>
      </c>
      <c r="D225" s="82"/>
      <c r="E225" s="504"/>
      <c r="F225" s="514">
        <v>0</v>
      </c>
      <c r="G225" s="84"/>
      <c r="H225" s="504"/>
      <c r="I225" s="514">
        <v>0</v>
      </c>
      <c r="J225" s="525"/>
      <c r="K225" s="504"/>
      <c r="L225" s="517">
        <v>0</v>
      </c>
      <c r="M225" s="525"/>
      <c r="N225" s="545">
        <v>0</v>
      </c>
      <c r="O225" s="525"/>
      <c r="P225" s="504"/>
      <c r="Q225" s="517">
        <v>0</v>
      </c>
      <c r="R225" s="525"/>
      <c r="S225" s="567">
        <v>0</v>
      </c>
      <c r="T225" s="504"/>
      <c r="U225" s="504"/>
      <c r="V225" s="504"/>
      <c r="W225" s="504"/>
      <c r="X225" s="504"/>
      <c r="Y225" s="504"/>
      <c r="Z225" s="504"/>
      <c r="AA225" s="504"/>
      <c r="AB225" s="504"/>
      <c r="AC225" s="50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</row>
    <row r="226" spans="1:40" ht="15.75" hidden="1" customHeight="1">
      <c r="A226" s="493" t="s">
        <v>355</v>
      </c>
      <c r="B226" s="499" t="s">
        <v>84</v>
      </c>
      <c r="C226" s="513" t="s">
        <v>21</v>
      </c>
      <c r="D226" s="82"/>
      <c r="E226" s="504"/>
      <c r="F226" s="514">
        <v>0</v>
      </c>
      <c r="G226" s="84"/>
      <c r="H226" s="504"/>
      <c r="I226" s="514">
        <v>0</v>
      </c>
      <c r="J226" s="525"/>
      <c r="K226" s="504"/>
      <c r="L226" s="517">
        <v>0</v>
      </c>
      <c r="M226" s="525"/>
      <c r="N226" s="545">
        <v>0</v>
      </c>
      <c r="O226" s="525"/>
      <c r="P226" s="504"/>
      <c r="Q226" s="517">
        <v>0</v>
      </c>
      <c r="R226" s="525"/>
      <c r="S226" s="567">
        <v>0</v>
      </c>
      <c r="T226" s="504"/>
      <c r="U226" s="504"/>
      <c r="V226" s="504"/>
      <c r="W226" s="504"/>
      <c r="X226" s="504"/>
      <c r="Y226" s="504"/>
      <c r="Z226" s="504"/>
      <c r="AA226" s="504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</row>
    <row r="227" spans="1:40" ht="15.75" hidden="1" customHeight="1">
      <c r="A227" s="493" t="s">
        <v>355</v>
      </c>
      <c r="B227" s="499" t="s">
        <v>84</v>
      </c>
      <c r="C227" s="513" t="s">
        <v>21</v>
      </c>
      <c r="D227" s="82"/>
      <c r="E227" s="504"/>
      <c r="F227" s="514">
        <v>0</v>
      </c>
      <c r="G227" s="84"/>
      <c r="H227" s="504"/>
      <c r="I227" s="514">
        <v>0</v>
      </c>
      <c r="J227" s="525"/>
      <c r="K227" s="504"/>
      <c r="L227" s="517">
        <v>0</v>
      </c>
      <c r="M227" s="525"/>
      <c r="N227" s="545">
        <v>0</v>
      </c>
      <c r="O227" s="525"/>
      <c r="P227" s="504"/>
      <c r="Q227" s="517">
        <v>0</v>
      </c>
      <c r="R227" s="525"/>
      <c r="S227" s="567">
        <v>0</v>
      </c>
      <c r="T227" s="504"/>
      <c r="U227" s="504"/>
      <c r="V227" s="504"/>
      <c r="W227" s="504"/>
      <c r="X227" s="504"/>
      <c r="Y227" s="504"/>
      <c r="Z227" s="504"/>
      <c r="AA227" s="504"/>
      <c r="AB227" s="504"/>
      <c r="AC227" s="50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</row>
    <row r="228" spans="1:40" ht="15.75" customHeight="1">
      <c r="B228" s="499"/>
      <c r="C228" s="578" t="s">
        <v>65</v>
      </c>
      <c r="D228" s="97" t="s">
        <v>98</v>
      </c>
      <c r="E228" s="579">
        <v>0.22493351996012009</v>
      </c>
      <c r="F228" s="580">
        <v>48100.931902563112</v>
      </c>
      <c r="G228" s="100" t="s">
        <v>98</v>
      </c>
      <c r="H228" s="579">
        <v>0.22493351996012009</v>
      </c>
      <c r="I228" s="580">
        <v>48100.931902563112</v>
      </c>
      <c r="J228" s="100" t="s">
        <v>98</v>
      </c>
      <c r="K228" s="579">
        <v>0.27650879242819615</v>
      </c>
      <c r="L228" s="580">
        <v>55161.792499999996</v>
      </c>
      <c r="M228" s="583"/>
      <c r="N228" s="580">
        <v>7060.8605974368838</v>
      </c>
      <c r="O228" s="100" t="s">
        <v>98</v>
      </c>
      <c r="P228" s="579">
        <v>0.25388475031571128</v>
      </c>
      <c r="Q228" s="580">
        <v>44396.072249999997</v>
      </c>
      <c r="R228" s="583"/>
      <c r="S228" s="584">
        <v>10765.720249999998</v>
      </c>
      <c r="T228" s="504"/>
      <c r="U228" s="504"/>
      <c r="V228" s="504"/>
      <c r="W228" s="504"/>
      <c r="X228" s="504"/>
      <c r="Y228" s="504"/>
      <c r="Z228" s="504"/>
      <c r="AA228" s="504"/>
      <c r="AB228" s="504"/>
      <c r="AC228" s="50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</row>
    <row r="229" spans="1:40" ht="15.75" customHeight="1">
      <c r="B229" s="499"/>
      <c r="C229" s="568"/>
      <c r="D229" s="89"/>
      <c r="E229" s="592"/>
      <c r="F229" s="545"/>
      <c r="G229" s="91"/>
      <c r="H229" s="592"/>
      <c r="I229" s="545"/>
      <c r="J229" s="509"/>
      <c r="K229" s="592"/>
      <c r="L229" s="573"/>
      <c r="M229" s="509"/>
      <c r="N229" s="573"/>
      <c r="O229" s="509"/>
      <c r="P229" s="592"/>
      <c r="Q229" s="573"/>
      <c r="R229" s="509"/>
      <c r="S229" s="574"/>
      <c r="T229" s="504"/>
      <c r="U229" s="504"/>
      <c r="V229" s="504"/>
      <c r="W229" s="504"/>
      <c r="X229" s="504"/>
      <c r="Y229" s="504"/>
      <c r="Z229" s="504"/>
      <c r="AA229" s="504"/>
      <c r="AB229" s="504"/>
      <c r="AC229" s="50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</row>
    <row r="230" spans="1:40" ht="15.75" customHeight="1">
      <c r="B230" s="499"/>
      <c r="C230" s="578" t="s">
        <v>66</v>
      </c>
      <c r="D230" s="97" t="s">
        <v>40</v>
      </c>
      <c r="E230" s="579">
        <v>0.76795682708324309</v>
      </c>
      <c r="F230" s="580">
        <v>164223.80732844415</v>
      </c>
      <c r="G230" s="100" t="s">
        <v>40</v>
      </c>
      <c r="H230" s="579">
        <v>0.76795682708324309</v>
      </c>
      <c r="I230" s="580">
        <v>164223.80732844415</v>
      </c>
      <c r="J230" s="100" t="s">
        <v>40</v>
      </c>
      <c r="K230" s="579">
        <v>0.82325903996720495</v>
      </c>
      <c r="L230" s="580">
        <v>164235.08249999999</v>
      </c>
      <c r="M230" s="583"/>
      <c r="N230" s="594">
        <v>11.275171555840643</v>
      </c>
      <c r="O230" s="100" t="s">
        <v>40</v>
      </c>
      <c r="P230" s="579">
        <v>0.79328992006097443</v>
      </c>
      <c r="Q230" s="580">
        <v>138720.25225000002</v>
      </c>
      <c r="R230" s="583"/>
      <c r="S230" s="595">
        <v>25514.83024999997</v>
      </c>
      <c r="T230" s="504"/>
      <c r="U230" s="504"/>
      <c r="V230" s="504"/>
      <c r="W230" s="504"/>
      <c r="X230" s="504"/>
      <c r="Y230" s="504"/>
      <c r="Z230" s="504"/>
      <c r="AA230" s="504"/>
      <c r="AB230" s="504"/>
      <c r="AC230" s="50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</row>
    <row r="231" spans="1:40" ht="15.75" customHeight="1">
      <c r="B231" s="499"/>
      <c r="C231" s="513"/>
      <c r="D231" s="82"/>
      <c r="E231" s="504"/>
      <c r="F231" s="545"/>
      <c r="G231" s="84"/>
      <c r="H231" s="504"/>
      <c r="I231" s="545"/>
      <c r="J231" s="525"/>
      <c r="K231" s="504"/>
      <c r="L231" s="545"/>
      <c r="M231" s="525"/>
      <c r="N231" s="545">
        <v>0</v>
      </c>
      <c r="O231" s="525"/>
      <c r="P231" s="504"/>
      <c r="Q231" s="545"/>
      <c r="R231" s="525"/>
      <c r="S231" s="567"/>
      <c r="T231" s="504"/>
      <c r="U231" s="504"/>
      <c r="V231" s="504"/>
      <c r="W231" s="504"/>
      <c r="X231" s="504"/>
      <c r="Y231" s="504"/>
      <c r="Z231" s="504"/>
      <c r="AA231" s="504"/>
      <c r="AB231" s="504"/>
      <c r="AC231" s="50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</row>
    <row r="232" spans="1:40" ht="15.75" customHeight="1" thickBot="1">
      <c r="B232" s="499"/>
      <c r="C232" s="605" t="s">
        <v>73</v>
      </c>
      <c r="D232" s="156"/>
      <c r="E232" s="606"/>
      <c r="F232" s="608">
        <v>49621.296376380429</v>
      </c>
      <c r="G232" s="157"/>
      <c r="H232" s="606"/>
      <c r="I232" s="608">
        <v>49621.296376380429</v>
      </c>
      <c r="J232" s="625"/>
      <c r="K232" s="607"/>
      <c r="L232" s="608">
        <v>35258.727500000008</v>
      </c>
      <c r="M232" s="625"/>
      <c r="N232" s="608">
        <v>-14362.568876380421</v>
      </c>
      <c r="O232" s="625"/>
      <c r="P232" s="607"/>
      <c r="Q232" s="608">
        <v>36146.777749999979</v>
      </c>
      <c r="R232" s="625"/>
      <c r="S232" s="610">
        <v>-888.05024999997113</v>
      </c>
      <c r="T232" s="504"/>
      <c r="U232" s="504"/>
      <c r="V232" s="504"/>
      <c r="W232" s="504"/>
      <c r="X232" s="504"/>
      <c r="Y232" s="504"/>
      <c r="Z232" s="504"/>
      <c r="AA232" s="504"/>
      <c r="AB232" s="504"/>
      <c r="AC232" s="50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</row>
    <row r="233" spans="1:40" ht="15.75" customHeight="1" thickTop="1">
      <c r="B233" s="499"/>
      <c r="C233" s="504"/>
      <c r="D233" s="504"/>
      <c r="E233" s="504"/>
      <c r="F233" s="504"/>
      <c r="G233" s="504"/>
      <c r="H233" s="504"/>
      <c r="I233" s="504"/>
      <c r="J233" s="504"/>
      <c r="K233" s="504"/>
      <c r="L233" s="565"/>
      <c r="M233" s="565"/>
      <c r="N233" s="504"/>
      <c r="O233" s="565"/>
      <c r="P233" s="504"/>
      <c r="Q233" s="565"/>
      <c r="R233" s="504"/>
      <c r="S233" s="504"/>
      <c r="T233" s="504"/>
      <c r="U233" s="504"/>
      <c r="V233" s="504"/>
      <c r="W233" s="504"/>
      <c r="X233" s="504"/>
      <c r="Y233" s="504"/>
      <c r="Z233" s="504"/>
      <c r="AA233" s="504"/>
      <c r="AB233" s="504"/>
      <c r="AC233" s="50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</row>
    <row r="234" spans="1:40" ht="15.75" customHeight="1">
      <c r="B234" s="499"/>
      <c r="C234" s="498"/>
      <c r="D234" s="498"/>
      <c r="E234" s="498"/>
      <c r="F234" s="498"/>
      <c r="G234" s="498"/>
      <c r="H234" s="498"/>
      <c r="I234" s="498"/>
      <c r="J234" s="498"/>
      <c r="K234" s="498"/>
      <c r="L234" s="626"/>
      <c r="M234" s="626"/>
      <c r="N234" s="498"/>
      <c r="O234" s="626"/>
      <c r="P234" s="498"/>
      <c r="Q234" s="626"/>
      <c r="R234" s="498"/>
      <c r="S234" s="498"/>
      <c r="T234" s="498"/>
      <c r="U234" s="498"/>
      <c r="V234" s="504"/>
      <c r="W234" s="504"/>
      <c r="X234" s="504"/>
      <c r="Y234" s="504"/>
      <c r="Z234" s="504"/>
      <c r="AA234" s="504"/>
      <c r="AB234" s="504"/>
      <c r="AC234" s="504"/>
      <c r="AD234" s="504"/>
      <c r="AE234" s="504"/>
      <c r="AF234" s="504"/>
      <c r="AG234" s="504"/>
      <c r="AH234" s="504"/>
      <c r="AI234" s="504"/>
      <c r="AJ234" s="504"/>
      <c r="AK234" s="504"/>
      <c r="AL234" s="504"/>
      <c r="AM234" s="504"/>
      <c r="AN234" s="504"/>
    </row>
    <row r="235" spans="1:40" ht="33" customHeight="1">
      <c r="B235" s="499"/>
      <c r="C235" s="496" t="s">
        <v>228</v>
      </c>
      <c r="D235" s="2"/>
      <c r="E235" s="2"/>
      <c r="F235" s="2"/>
      <c r="G235" s="2"/>
      <c r="H235" s="494"/>
      <c r="I235" s="494"/>
      <c r="J235" s="494"/>
      <c r="K235" s="3" t="s">
        <v>100</v>
      </c>
      <c r="L235" s="2"/>
      <c r="M235" s="2"/>
      <c r="N235" s="494"/>
      <c r="O235" s="494"/>
      <c r="P235" s="2"/>
      <c r="Q235" s="494"/>
      <c r="R235" s="2"/>
      <c r="S235" s="5" t="s">
        <v>496</v>
      </c>
      <c r="T235" s="2"/>
      <c r="U235" s="496"/>
      <c r="V235" s="498"/>
      <c r="W235" s="498"/>
      <c r="X235" s="498"/>
      <c r="Y235" s="498"/>
      <c r="Z235" s="498"/>
      <c r="AA235" s="498"/>
      <c r="AB235" s="498"/>
      <c r="AC235" s="498"/>
      <c r="AD235" s="498"/>
      <c r="AE235" s="498"/>
      <c r="AF235" s="498"/>
      <c r="AG235" s="498"/>
      <c r="AH235" s="498"/>
      <c r="AI235" s="498"/>
      <c r="AJ235" s="498"/>
      <c r="AK235" s="498"/>
      <c r="AL235" s="498"/>
      <c r="AM235" s="498"/>
      <c r="AN235" s="498"/>
    </row>
    <row r="236" spans="1:40" ht="24" customHeight="1" thickBot="1">
      <c r="B236" s="499"/>
      <c r="C236" s="8"/>
      <c r="D236" s="498"/>
      <c r="E236" s="498"/>
      <c r="F236" s="498"/>
      <c r="G236" s="498"/>
      <c r="H236" s="498"/>
      <c r="I236" s="498"/>
      <c r="J236" s="498"/>
      <c r="K236" s="498"/>
      <c r="L236" s="498"/>
      <c r="M236" s="498"/>
      <c r="N236" s="498"/>
      <c r="O236" s="498"/>
      <c r="P236" s="498"/>
      <c r="Q236" s="498"/>
      <c r="R236" s="498"/>
      <c r="S236" s="498"/>
      <c r="T236" s="498"/>
      <c r="U236" s="498"/>
      <c r="V236" s="496"/>
      <c r="W236" s="496"/>
      <c r="X236" s="496"/>
      <c r="Y236" s="496"/>
      <c r="Z236" s="496"/>
      <c r="AA236" s="496"/>
      <c r="AB236" s="496"/>
      <c r="AC236" s="496"/>
      <c r="AD236" s="496"/>
      <c r="AE236" s="496"/>
      <c r="AF236" s="496"/>
      <c r="AG236" s="496"/>
      <c r="AH236" s="496"/>
      <c r="AI236" s="496"/>
      <c r="AJ236" s="496"/>
      <c r="AK236" s="496"/>
      <c r="AL236" s="496"/>
      <c r="AM236" s="496"/>
      <c r="AN236" s="496"/>
    </row>
    <row r="237" spans="1:40" ht="15.75" customHeight="1" thickTop="1">
      <c r="B237" s="499"/>
      <c r="C237" s="500"/>
      <c r="D237" s="488" t="s">
        <v>5</v>
      </c>
      <c r="E237" s="501"/>
      <c r="F237" s="502"/>
      <c r="G237" s="489" t="s">
        <v>75</v>
      </c>
      <c r="H237" s="501"/>
      <c r="I237" s="502"/>
      <c r="J237" s="489" t="s">
        <v>7</v>
      </c>
      <c r="K237" s="501"/>
      <c r="L237" s="502"/>
      <c r="M237" s="489" t="s">
        <v>8</v>
      </c>
      <c r="N237" s="502"/>
      <c r="O237" s="488" t="s">
        <v>9</v>
      </c>
      <c r="P237" s="501"/>
      <c r="Q237" s="502"/>
      <c r="R237" s="489" t="s">
        <v>10</v>
      </c>
      <c r="S237" s="503"/>
      <c r="T237" s="153"/>
      <c r="U237" s="504"/>
      <c r="V237" s="498"/>
      <c r="W237" s="498"/>
      <c r="X237" s="498"/>
      <c r="Y237" s="498"/>
      <c r="Z237" s="498"/>
      <c r="AA237" s="498"/>
      <c r="AB237" s="498"/>
      <c r="AC237" s="498"/>
      <c r="AD237" s="498"/>
      <c r="AE237" s="498"/>
      <c r="AF237" s="498"/>
      <c r="AG237" s="498"/>
      <c r="AH237" s="498"/>
      <c r="AI237" s="498"/>
      <c r="AJ237" s="498"/>
      <c r="AK237" s="498"/>
      <c r="AL237" s="498"/>
      <c r="AM237" s="498"/>
      <c r="AN237" s="498"/>
    </row>
    <row r="238" spans="1:40" ht="15.75" customHeight="1">
      <c r="A238" s="493" t="s">
        <v>100</v>
      </c>
      <c r="B238" s="499" t="s">
        <v>100</v>
      </c>
      <c r="C238" s="513"/>
      <c r="D238" s="81" t="s">
        <v>41</v>
      </c>
      <c r="E238" s="81" t="s">
        <v>85</v>
      </c>
      <c r="F238" s="137" t="s">
        <v>13</v>
      </c>
      <c r="G238" s="138" t="s">
        <v>41</v>
      </c>
      <c r="H238" s="81" t="s">
        <v>85</v>
      </c>
      <c r="I238" s="137" t="s">
        <v>13</v>
      </c>
      <c r="J238" s="138" t="s">
        <v>41</v>
      </c>
      <c r="K238" s="81" t="s">
        <v>85</v>
      </c>
      <c r="L238" s="137" t="s">
        <v>13</v>
      </c>
      <c r="M238" s="138" t="s">
        <v>41</v>
      </c>
      <c r="N238" s="137" t="s">
        <v>13</v>
      </c>
      <c r="O238" s="81" t="s">
        <v>41</v>
      </c>
      <c r="P238" s="81" t="s">
        <v>85</v>
      </c>
      <c r="Q238" s="137" t="s">
        <v>13</v>
      </c>
      <c r="R238" s="138" t="s">
        <v>86</v>
      </c>
      <c r="S238" s="139" t="s">
        <v>13</v>
      </c>
      <c r="T238" s="81"/>
      <c r="U238" s="504"/>
      <c r="V238" s="504"/>
      <c r="W238" s="504"/>
      <c r="X238" s="504"/>
      <c r="Y238" s="504"/>
      <c r="Z238" s="504"/>
      <c r="AA238" s="504"/>
      <c r="AB238" s="504"/>
      <c r="AC238" s="504"/>
      <c r="AD238" s="504"/>
      <c r="AE238" s="504"/>
      <c r="AF238" s="504"/>
      <c r="AG238" s="504"/>
      <c r="AH238" s="504"/>
      <c r="AI238" s="504"/>
      <c r="AJ238" s="504"/>
      <c r="AK238" s="504"/>
      <c r="AL238" s="504"/>
      <c r="AM238" s="504"/>
      <c r="AN238" s="504"/>
    </row>
    <row r="239" spans="1:40" ht="15.75" customHeight="1">
      <c r="A239" s="493" t="s">
        <v>100</v>
      </c>
      <c r="B239" s="499" t="s">
        <v>100</v>
      </c>
      <c r="C239" s="513"/>
      <c r="D239" s="81"/>
      <c r="E239" s="81"/>
      <c r="F239" s="137"/>
      <c r="G239" s="138"/>
      <c r="H239" s="81"/>
      <c r="I239" s="137"/>
      <c r="J239" s="138"/>
      <c r="K239" s="514"/>
      <c r="L239" s="517"/>
      <c r="M239" s="138"/>
      <c r="N239" s="137"/>
      <c r="O239" s="81"/>
      <c r="P239" s="81"/>
      <c r="Q239" s="137"/>
      <c r="R239" s="138"/>
      <c r="S239" s="139"/>
      <c r="T239" s="81"/>
      <c r="U239" s="504"/>
      <c r="V239" s="504"/>
      <c r="W239" s="504"/>
      <c r="X239" s="504"/>
      <c r="Y239" s="504"/>
      <c r="Z239" s="504"/>
      <c r="AA239" s="504"/>
      <c r="AB239" s="504"/>
      <c r="AC239" s="504"/>
      <c r="AD239" s="504"/>
      <c r="AE239" s="504"/>
      <c r="AF239" s="504"/>
      <c r="AG239" s="504"/>
      <c r="AH239" s="504"/>
      <c r="AI239" s="504"/>
      <c r="AJ239" s="504"/>
      <c r="AK239" s="504"/>
      <c r="AL239" s="504"/>
      <c r="AM239" s="504"/>
      <c r="AN239" s="504"/>
    </row>
    <row r="240" spans="1:40" ht="15.75" customHeight="1">
      <c r="A240" s="493" t="s">
        <v>376</v>
      </c>
      <c r="B240" s="499" t="s">
        <v>100</v>
      </c>
      <c r="C240" s="513" t="s">
        <v>101</v>
      </c>
      <c r="D240" s="81">
        <v>0</v>
      </c>
      <c r="E240" s="565">
        <v>81121.73058423333</v>
      </c>
      <c r="F240" s="565">
        <v>17944.203644497389</v>
      </c>
      <c r="G240" s="627">
        <v>0</v>
      </c>
      <c r="H240" s="565">
        <v>81121.73058423333</v>
      </c>
      <c r="I240" s="565">
        <v>17944.203644497389</v>
      </c>
      <c r="J240" s="546">
        <v>76</v>
      </c>
      <c r="K240" s="514">
        <v>111522.40999999999</v>
      </c>
      <c r="L240" s="517">
        <v>20268.699999999997</v>
      </c>
      <c r="M240" s="628">
        <v>0.37475383225706577</v>
      </c>
      <c r="N240" s="545">
        <v>2324.4963555026079</v>
      </c>
      <c r="O240" s="546">
        <v>42</v>
      </c>
      <c r="P240" s="514">
        <v>49052.24</v>
      </c>
      <c r="Q240" s="517">
        <v>10604.860000000002</v>
      </c>
      <c r="R240" s="628">
        <v>1.8095238095238095</v>
      </c>
      <c r="S240" s="567">
        <v>9663.8399999999947</v>
      </c>
      <c r="T240" s="81"/>
      <c r="U240" s="504"/>
      <c r="V240" s="504"/>
      <c r="W240" s="504"/>
      <c r="X240" s="504"/>
      <c r="Y240" s="504"/>
      <c r="Z240" s="504"/>
      <c r="AA240" s="504"/>
      <c r="AB240" s="504"/>
      <c r="AC240" s="504"/>
      <c r="AD240" s="504"/>
      <c r="AE240" s="504"/>
      <c r="AF240" s="504"/>
      <c r="AG240" s="504"/>
      <c r="AH240" s="504"/>
      <c r="AI240" s="504"/>
      <c r="AJ240" s="504"/>
      <c r="AK240" s="504"/>
      <c r="AL240" s="504"/>
      <c r="AM240" s="504"/>
      <c r="AN240" s="504"/>
    </row>
    <row r="241" spans="1:40" ht="15.75" customHeight="1">
      <c r="A241" s="493" t="s">
        <v>377</v>
      </c>
      <c r="B241" s="499" t="s">
        <v>100</v>
      </c>
      <c r="C241" s="513" t="s">
        <v>88</v>
      </c>
      <c r="D241" s="81"/>
      <c r="E241" s="618"/>
      <c r="F241" s="629">
        <v>0.22120094720939043</v>
      </c>
      <c r="G241" s="525"/>
      <c r="H241" s="618"/>
      <c r="I241" s="629">
        <v>0.22120094720939043</v>
      </c>
      <c r="J241" s="546"/>
      <c r="K241" s="504"/>
      <c r="L241" s="629">
        <v>0.18174553437286728</v>
      </c>
      <c r="M241" s="628"/>
      <c r="N241" s="545">
        <v>6202.7287126128667</v>
      </c>
      <c r="O241" s="546"/>
      <c r="P241" s="504"/>
      <c r="Q241" s="629">
        <v>0.21619522370436095</v>
      </c>
      <c r="R241" s="546"/>
      <c r="S241" s="567">
        <v>5340.5431578947337</v>
      </c>
      <c r="T241" s="81"/>
      <c r="U241" s="504"/>
      <c r="V241" s="504"/>
      <c r="W241" s="504"/>
      <c r="X241" s="504"/>
      <c r="Y241" s="504"/>
      <c r="Z241" s="504"/>
      <c r="AA241" s="504"/>
      <c r="AB241" s="504"/>
      <c r="AC241" s="504"/>
      <c r="AD241" s="504"/>
      <c r="AE241" s="504"/>
      <c r="AF241" s="504"/>
      <c r="AG241" s="504"/>
      <c r="AH241" s="504"/>
      <c r="AI241" s="504"/>
      <c r="AJ241" s="504"/>
      <c r="AK241" s="504"/>
      <c r="AL241" s="504"/>
      <c r="AM241" s="504"/>
      <c r="AN241" s="504"/>
    </row>
    <row r="242" spans="1:40" ht="15.75" customHeight="1">
      <c r="A242" s="493" t="s">
        <v>100</v>
      </c>
      <c r="B242" s="499" t="s">
        <v>100</v>
      </c>
      <c r="C242" s="513"/>
      <c r="D242" s="81"/>
      <c r="E242" s="209"/>
      <c r="F242" s="210"/>
      <c r="G242" s="138"/>
      <c r="H242" s="209"/>
      <c r="I242" s="210"/>
      <c r="J242" s="138"/>
      <c r="K242" s="81"/>
      <c r="L242" s="137"/>
      <c r="M242" s="138"/>
      <c r="N242" s="137"/>
      <c r="O242" s="138"/>
      <c r="P242" s="81"/>
      <c r="Q242" s="137"/>
      <c r="R242" s="211"/>
      <c r="S242" s="139"/>
      <c r="T242" s="81"/>
      <c r="U242" s="504"/>
      <c r="V242" s="504"/>
      <c r="W242" s="504"/>
      <c r="X242" s="504"/>
      <c r="Y242" s="504"/>
      <c r="Z242" s="504"/>
      <c r="AA242" s="504"/>
      <c r="AB242" s="504"/>
      <c r="AC242" s="504"/>
      <c r="AD242" s="504"/>
      <c r="AE242" s="504"/>
      <c r="AF242" s="504"/>
      <c r="AG242" s="504"/>
      <c r="AH242" s="504"/>
      <c r="AI242" s="504"/>
      <c r="AJ242" s="504"/>
      <c r="AK242" s="504"/>
      <c r="AL242" s="504"/>
      <c r="AM242" s="504"/>
      <c r="AN242" s="504"/>
    </row>
    <row r="243" spans="1:40" ht="15.75" customHeight="1">
      <c r="A243" s="493" t="s">
        <v>378</v>
      </c>
      <c r="B243" s="499" t="s">
        <v>100</v>
      </c>
      <c r="C243" s="506" t="s">
        <v>102</v>
      </c>
      <c r="D243" s="587">
        <v>0</v>
      </c>
      <c r="E243" s="565">
        <v>0</v>
      </c>
      <c r="F243" s="565">
        <v>0</v>
      </c>
      <c r="G243" s="683">
        <v>0</v>
      </c>
      <c r="H243" s="565">
        <v>0</v>
      </c>
      <c r="I243" s="565">
        <v>0</v>
      </c>
      <c r="J243" s="636">
        <v>0</v>
      </c>
      <c r="K243" s="637">
        <v>0</v>
      </c>
      <c r="L243" s="589">
        <v>0</v>
      </c>
      <c r="M243" s="646" t="e">
        <v>#DIV/0!</v>
      </c>
      <c r="N243" s="590">
        <v>0</v>
      </c>
      <c r="O243" s="636">
        <v>0</v>
      </c>
      <c r="P243" s="637">
        <v>0</v>
      </c>
      <c r="Q243" s="589">
        <v>0</v>
      </c>
      <c r="R243" s="628">
        <v>0</v>
      </c>
      <c r="S243" s="591">
        <v>0</v>
      </c>
      <c r="T243" s="622"/>
      <c r="U243" s="504"/>
      <c r="V243" s="504"/>
      <c r="W243" s="504"/>
      <c r="X243" s="504"/>
      <c r="Y243" s="504"/>
      <c r="Z243" s="504"/>
      <c r="AA243" s="504"/>
      <c r="AB243" s="504"/>
      <c r="AC243" s="504"/>
      <c r="AD243" s="504"/>
      <c r="AE243" s="504"/>
      <c r="AF243" s="504"/>
      <c r="AG243" s="504"/>
      <c r="AH243" s="504"/>
      <c r="AI243" s="504"/>
      <c r="AJ243" s="504"/>
      <c r="AK243" s="504"/>
      <c r="AL243" s="504"/>
      <c r="AM243" s="504"/>
      <c r="AN243" s="504"/>
    </row>
    <row r="244" spans="1:40" ht="15.75" customHeight="1">
      <c r="A244" s="493" t="s">
        <v>377</v>
      </c>
      <c r="B244" s="499" t="s">
        <v>100</v>
      </c>
      <c r="C244" s="513" t="s">
        <v>88</v>
      </c>
      <c r="D244" s="504"/>
      <c r="E244" s="618"/>
      <c r="F244" s="629" t="e">
        <v>#DIV/0!</v>
      </c>
      <c r="G244" s="525"/>
      <c r="H244" s="618"/>
      <c r="I244" s="629" t="e">
        <v>#DIV/0!</v>
      </c>
      <c r="J244" s="546"/>
      <c r="K244" s="504"/>
      <c r="L244" s="629">
        <v>0</v>
      </c>
      <c r="M244" s="628"/>
      <c r="N244" s="545" t="e">
        <v>#DIV/0!</v>
      </c>
      <c r="O244" s="546"/>
      <c r="P244" s="504"/>
      <c r="Q244" s="629">
        <v>0</v>
      </c>
      <c r="R244" s="546"/>
      <c r="S244" s="567">
        <v>0</v>
      </c>
      <c r="T244" s="622"/>
      <c r="U244" s="504"/>
      <c r="V244" s="504"/>
      <c r="W244" s="504"/>
      <c r="X244" s="504"/>
      <c r="Y244" s="504"/>
      <c r="Z244" s="504"/>
      <c r="AA244" s="504"/>
      <c r="AB244" s="504"/>
      <c r="AC244" s="504"/>
      <c r="AD244" s="504"/>
      <c r="AE244" s="504"/>
      <c r="AF244" s="504"/>
      <c r="AG244" s="504"/>
      <c r="AH244" s="504"/>
      <c r="AI244" s="504"/>
      <c r="AJ244" s="504"/>
      <c r="AK244" s="504"/>
      <c r="AL244" s="504"/>
      <c r="AM244" s="504"/>
      <c r="AN244" s="504"/>
    </row>
    <row r="245" spans="1:40" ht="15.75" customHeight="1">
      <c r="A245" s="493" t="s">
        <v>100</v>
      </c>
      <c r="B245" s="499" t="s">
        <v>100</v>
      </c>
      <c r="C245" s="568"/>
      <c r="D245" s="592"/>
      <c r="E245" s="630"/>
      <c r="F245" s="631"/>
      <c r="G245" s="509"/>
      <c r="H245" s="642"/>
      <c r="I245" s="631"/>
      <c r="J245" s="632"/>
      <c r="K245" s="684"/>
      <c r="L245" s="631"/>
      <c r="M245" s="634"/>
      <c r="N245" s="573"/>
      <c r="O245" s="632"/>
      <c r="P245" s="684"/>
      <c r="Q245" s="631"/>
      <c r="R245" s="632"/>
      <c r="S245" s="574"/>
      <c r="T245" s="622"/>
      <c r="U245" s="504"/>
      <c r="V245" s="504"/>
      <c r="W245" s="504"/>
      <c r="X245" s="504"/>
      <c r="Y245" s="504"/>
      <c r="Z245" s="504"/>
      <c r="AA245" s="504"/>
      <c r="AB245" s="504"/>
      <c r="AC245" s="504"/>
      <c r="AD245" s="504"/>
      <c r="AE245" s="504"/>
      <c r="AF245" s="504"/>
      <c r="AG245" s="504"/>
      <c r="AH245" s="504"/>
      <c r="AI245" s="504"/>
      <c r="AJ245" s="504"/>
      <c r="AK245" s="504"/>
      <c r="AL245" s="504"/>
      <c r="AM245" s="504"/>
      <c r="AN245" s="504"/>
    </row>
    <row r="246" spans="1:40" ht="15.75" customHeight="1">
      <c r="A246" s="493" t="s">
        <v>379</v>
      </c>
      <c r="B246" s="499" t="s">
        <v>100</v>
      </c>
      <c r="C246" s="506" t="s">
        <v>103</v>
      </c>
      <c r="D246" s="635">
        <v>0</v>
      </c>
      <c r="E246" s="565">
        <v>0</v>
      </c>
      <c r="F246" s="565">
        <v>0</v>
      </c>
      <c r="G246" s="636">
        <v>0</v>
      </c>
      <c r="H246" s="565">
        <v>0</v>
      </c>
      <c r="I246" s="565">
        <v>0</v>
      </c>
      <c r="J246" s="636">
        <v>0</v>
      </c>
      <c r="K246" s="514">
        <v>0</v>
      </c>
      <c r="L246" s="517">
        <v>0</v>
      </c>
      <c r="M246" s="628" t="e">
        <v>#DIV/0!</v>
      </c>
      <c r="N246" s="590">
        <v>0</v>
      </c>
      <c r="O246" s="636">
        <v>0</v>
      </c>
      <c r="P246" s="514">
        <v>0</v>
      </c>
      <c r="Q246" s="517">
        <v>0</v>
      </c>
      <c r="R246" s="628">
        <v>0</v>
      </c>
      <c r="S246" s="567">
        <v>0</v>
      </c>
      <c r="T246" s="622"/>
      <c r="U246" s="504"/>
      <c r="V246" s="504"/>
      <c r="W246" s="504"/>
      <c r="X246" s="504"/>
      <c r="Y246" s="504"/>
      <c r="Z246" s="504"/>
      <c r="AA246" s="504"/>
      <c r="AB246" s="504"/>
      <c r="AC246" s="504"/>
      <c r="AD246" s="504"/>
      <c r="AE246" s="504"/>
      <c r="AF246" s="504"/>
      <c r="AG246" s="504"/>
      <c r="AH246" s="504"/>
      <c r="AI246" s="504"/>
      <c r="AJ246" s="504"/>
      <c r="AK246" s="504"/>
      <c r="AL246" s="504"/>
      <c r="AM246" s="504"/>
      <c r="AN246" s="504"/>
    </row>
    <row r="247" spans="1:40" ht="15.75" customHeight="1">
      <c r="A247" s="493" t="s">
        <v>377</v>
      </c>
      <c r="B247" s="499" t="s">
        <v>100</v>
      </c>
      <c r="C247" s="513" t="s">
        <v>88</v>
      </c>
      <c r="D247" s="504"/>
      <c r="E247" s="504"/>
      <c r="F247" s="629" t="e">
        <v>#DIV/0!</v>
      </c>
      <c r="G247" s="525"/>
      <c r="H247" s="504"/>
      <c r="I247" s="629" t="e">
        <v>#DIV/0!</v>
      </c>
      <c r="J247" s="525"/>
      <c r="K247" s="504"/>
      <c r="L247" s="629">
        <v>0</v>
      </c>
      <c r="M247" s="526"/>
      <c r="N247" s="527" t="e">
        <v>#DIV/0!</v>
      </c>
      <c r="O247" s="525"/>
      <c r="P247" s="504"/>
      <c r="Q247" s="629">
        <v>0</v>
      </c>
      <c r="R247" s="526"/>
      <c r="S247" s="528">
        <v>0</v>
      </c>
      <c r="T247" s="622"/>
      <c r="U247" s="504"/>
      <c r="V247" s="504"/>
      <c r="W247" s="504"/>
      <c r="X247" s="504"/>
      <c r="Y247" s="504"/>
      <c r="Z247" s="504"/>
      <c r="AA247" s="504"/>
      <c r="AB247" s="504"/>
      <c r="AC247" s="504"/>
      <c r="AD247" s="504"/>
      <c r="AE247" s="504"/>
      <c r="AF247" s="504"/>
      <c r="AG247" s="504"/>
      <c r="AH247" s="504"/>
      <c r="AI247" s="504"/>
      <c r="AJ247" s="504"/>
      <c r="AK247" s="504"/>
      <c r="AL247" s="504"/>
      <c r="AM247" s="504"/>
      <c r="AN247" s="504"/>
    </row>
    <row r="248" spans="1:40" ht="15.75" customHeight="1" thickBot="1">
      <c r="A248" s="493" t="s">
        <v>100</v>
      </c>
      <c r="B248" s="499" t="s">
        <v>100</v>
      </c>
      <c r="C248" s="513"/>
      <c r="D248" s="504"/>
      <c r="E248" s="504"/>
      <c r="F248" s="629"/>
      <c r="G248" s="525"/>
      <c r="H248" s="504"/>
      <c r="I248" s="629"/>
      <c r="J248" s="525"/>
      <c r="K248" s="504"/>
      <c r="L248" s="629"/>
      <c r="M248" s="526"/>
      <c r="N248" s="527"/>
      <c r="O248" s="525"/>
      <c r="P248" s="504"/>
      <c r="Q248" s="629"/>
      <c r="R248" s="526"/>
      <c r="S248" s="528"/>
      <c r="T248" s="622"/>
      <c r="U248" s="504"/>
      <c r="V248" s="504"/>
      <c r="W248" s="504"/>
      <c r="X248" s="504"/>
      <c r="Y248" s="504"/>
      <c r="Z248" s="504"/>
      <c r="AA248" s="504"/>
      <c r="AB248" s="504"/>
      <c r="AC248" s="504"/>
      <c r="AD248" s="504"/>
      <c r="AE248" s="504"/>
      <c r="AF248" s="504"/>
      <c r="AG248" s="504"/>
      <c r="AH248" s="504"/>
      <c r="AI248" s="504"/>
      <c r="AJ248" s="504"/>
      <c r="AK248" s="504"/>
      <c r="AL248" s="504"/>
      <c r="AM248" s="504"/>
      <c r="AN248" s="504"/>
    </row>
    <row r="249" spans="1:40" ht="15.75" customHeight="1" thickTop="1">
      <c r="A249" s="493" t="s">
        <v>380</v>
      </c>
      <c r="B249" s="499" t="s">
        <v>100</v>
      </c>
      <c r="C249" s="548" t="s">
        <v>97</v>
      </c>
      <c r="D249" s="549"/>
      <c r="E249" s="549">
        <v>81121.73058423333</v>
      </c>
      <c r="F249" s="551">
        <v>17944.203644497389</v>
      </c>
      <c r="G249" s="552"/>
      <c r="H249" s="549">
        <v>81121.73058423333</v>
      </c>
      <c r="I249" s="551">
        <v>17944.203644497389</v>
      </c>
      <c r="J249" s="552"/>
      <c r="K249" s="549">
        <v>111522.40999999999</v>
      </c>
      <c r="L249" s="551">
        <v>20268.699999999997</v>
      </c>
      <c r="M249" s="681">
        <v>-3.9455412836523152E-2</v>
      </c>
      <c r="N249" s="551">
        <v>2324.4963555026079</v>
      </c>
      <c r="O249" s="552"/>
      <c r="P249" s="549">
        <v>49052.24</v>
      </c>
      <c r="Q249" s="551">
        <v>10604.860000000002</v>
      </c>
      <c r="R249" s="681">
        <v>-3.4449689331493671E-2</v>
      </c>
      <c r="S249" s="554">
        <v>9663.8399999999947</v>
      </c>
      <c r="T249" s="622"/>
      <c r="U249" s="504"/>
      <c r="V249" s="504"/>
      <c r="W249" s="504"/>
      <c r="X249" s="504"/>
      <c r="Y249" s="504"/>
      <c r="Z249" s="504"/>
      <c r="AA249" s="504"/>
      <c r="AB249" s="504"/>
      <c r="AC249" s="504"/>
      <c r="AD249" s="504"/>
      <c r="AE249" s="504"/>
      <c r="AF249" s="504"/>
      <c r="AG249" s="504"/>
      <c r="AH249" s="504"/>
      <c r="AI249" s="504"/>
      <c r="AJ249" s="504"/>
      <c r="AK249" s="504"/>
      <c r="AL249" s="504"/>
      <c r="AM249" s="504"/>
      <c r="AN249" s="504"/>
    </row>
    <row r="250" spans="1:40" ht="23.25" customHeight="1" thickBot="1">
      <c r="A250" s="493" t="s">
        <v>100</v>
      </c>
      <c r="B250" s="499" t="s">
        <v>100</v>
      </c>
      <c r="C250" s="555"/>
      <c r="D250" s="556"/>
      <c r="E250" s="556"/>
      <c r="F250" s="560">
        <v>0.22120094720939043</v>
      </c>
      <c r="G250" s="558"/>
      <c r="H250" s="556"/>
      <c r="I250" s="560">
        <v>0.22120094720939043</v>
      </c>
      <c r="J250" s="558"/>
      <c r="K250" s="556"/>
      <c r="L250" s="560">
        <v>0.18174553437286728</v>
      </c>
      <c r="M250" s="559"/>
      <c r="N250" s="560">
        <v>0.12954023491677311</v>
      </c>
      <c r="O250" s="558"/>
      <c r="P250" s="556"/>
      <c r="Q250" s="560">
        <v>0.21619522370436095</v>
      </c>
      <c r="R250" s="559"/>
      <c r="S250" s="561">
        <v>0.9112652123648961</v>
      </c>
      <c r="T250" s="622"/>
      <c r="U250" s="504"/>
      <c r="V250" s="504"/>
      <c r="W250" s="504"/>
      <c r="X250" s="504"/>
      <c r="Y250" s="504"/>
      <c r="Z250" s="504"/>
      <c r="AA250" s="504"/>
      <c r="AB250" s="504"/>
      <c r="AC250" s="504"/>
      <c r="AD250" s="504"/>
      <c r="AE250" s="504"/>
      <c r="AF250" s="504"/>
      <c r="AG250" s="504"/>
      <c r="AH250" s="504"/>
      <c r="AI250" s="504"/>
      <c r="AJ250" s="504"/>
      <c r="AK250" s="504"/>
      <c r="AL250" s="504"/>
      <c r="AM250" s="504"/>
      <c r="AN250" s="504"/>
    </row>
    <row r="251" spans="1:40" ht="15.75" customHeight="1" thickTop="1">
      <c r="A251" s="493" t="s">
        <v>100</v>
      </c>
      <c r="B251" s="499" t="s">
        <v>100</v>
      </c>
      <c r="C251" s="513"/>
      <c r="D251" s="504"/>
      <c r="E251" s="504"/>
      <c r="F251" s="545"/>
      <c r="G251" s="525"/>
      <c r="H251" s="504"/>
      <c r="I251" s="545"/>
      <c r="J251" s="525"/>
      <c r="K251" s="504"/>
      <c r="L251" s="524"/>
      <c r="M251" s="525"/>
      <c r="N251" s="524"/>
      <c r="O251" s="525"/>
      <c r="P251" s="504"/>
      <c r="Q251" s="524"/>
      <c r="R251" s="525"/>
      <c r="S251" s="547"/>
      <c r="T251" s="504"/>
      <c r="U251" s="504"/>
      <c r="V251" s="504"/>
      <c r="W251" s="504"/>
      <c r="X251" s="504"/>
      <c r="Y251" s="504"/>
      <c r="Z251" s="504"/>
      <c r="AA251" s="504"/>
      <c r="AB251" s="504"/>
      <c r="AC251" s="504"/>
      <c r="AD251" s="504"/>
      <c r="AE251" s="504"/>
      <c r="AF251" s="504"/>
      <c r="AG251" s="504"/>
      <c r="AH251" s="504"/>
      <c r="AI251" s="504"/>
      <c r="AJ251" s="504"/>
      <c r="AK251" s="504"/>
      <c r="AL251" s="504"/>
      <c r="AM251" s="504"/>
      <c r="AN251" s="504"/>
    </row>
    <row r="252" spans="1:40" ht="15.75" customHeight="1">
      <c r="A252" s="493" t="s">
        <v>381</v>
      </c>
      <c r="B252" s="499" t="s">
        <v>100</v>
      </c>
      <c r="C252" s="80" t="s">
        <v>31</v>
      </c>
      <c r="D252" s="504"/>
      <c r="E252" s="504"/>
      <c r="F252" s="545"/>
      <c r="G252" s="525"/>
      <c r="H252" s="504"/>
      <c r="I252" s="545"/>
      <c r="J252" s="525"/>
      <c r="K252" s="504"/>
      <c r="L252" s="524"/>
      <c r="M252" s="525"/>
      <c r="N252" s="524"/>
      <c r="O252" s="525"/>
      <c r="P252" s="504"/>
      <c r="Q252" s="524"/>
      <c r="R252" s="525"/>
      <c r="S252" s="547"/>
      <c r="T252" s="504"/>
      <c r="U252" s="504"/>
      <c r="V252" s="504"/>
      <c r="W252" s="504"/>
      <c r="X252" s="504"/>
      <c r="Y252" s="504"/>
      <c r="Z252" s="504"/>
      <c r="AA252" s="504"/>
      <c r="AB252" s="504"/>
      <c r="AC252" s="504"/>
      <c r="AD252" s="504"/>
      <c r="AE252" s="504"/>
      <c r="AF252" s="504"/>
      <c r="AG252" s="504"/>
      <c r="AH252" s="504"/>
      <c r="AI252" s="504"/>
      <c r="AJ252" s="504"/>
      <c r="AK252" s="504"/>
      <c r="AL252" s="504"/>
      <c r="AM252" s="504"/>
      <c r="AN252" s="504"/>
    </row>
    <row r="253" spans="1:40" ht="15.75" customHeight="1">
      <c r="A253" s="493" t="s">
        <v>382</v>
      </c>
      <c r="B253" s="499" t="s">
        <v>100</v>
      </c>
      <c r="C253" s="585" t="s">
        <v>42</v>
      </c>
      <c r="D253" s="504"/>
      <c r="E253" s="504"/>
      <c r="F253" s="514">
        <v>325.80440613026821</v>
      </c>
      <c r="G253" s="525"/>
      <c r="H253" s="504"/>
      <c r="I253" s="514">
        <v>325.80440613026821</v>
      </c>
      <c r="J253" s="525"/>
      <c r="K253" s="504"/>
      <c r="L253" s="517">
        <v>901.88</v>
      </c>
      <c r="M253" s="525"/>
      <c r="N253" s="545">
        <v>576.07559386973185</v>
      </c>
      <c r="O253" s="525"/>
      <c r="P253" s="504"/>
      <c r="Q253" s="517">
        <v>809.12</v>
      </c>
      <c r="R253" s="525"/>
      <c r="S253" s="518">
        <v>92.759999999999991</v>
      </c>
      <c r="T253" s="504"/>
      <c r="U253" s="504"/>
      <c r="V253" s="504"/>
      <c r="W253" s="504"/>
      <c r="X253" s="504"/>
      <c r="Y253" s="504"/>
      <c r="Z253" s="504"/>
      <c r="AA253" s="504"/>
      <c r="AB253" s="504"/>
      <c r="AC253" s="504"/>
      <c r="AD253" s="504"/>
      <c r="AE253" s="504"/>
      <c r="AF253" s="504"/>
      <c r="AG253" s="504"/>
      <c r="AH253" s="504"/>
      <c r="AI253" s="504"/>
      <c r="AJ253" s="504"/>
      <c r="AK253" s="504"/>
      <c r="AL253" s="504"/>
      <c r="AM253" s="504"/>
      <c r="AN253" s="504"/>
    </row>
    <row r="254" spans="1:40" ht="15.75" customHeight="1">
      <c r="A254" s="493" t="s">
        <v>383</v>
      </c>
      <c r="B254" s="499" t="s">
        <v>100</v>
      </c>
      <c r="C254" s="586" t="s">
        <v>43</v>
      </c>
      <c r="D254" s="82"/>
      <c r="E254" s="504"/>
      <c r="F254" s="508">
        <v>545.66820983524906</v>
      </c>
      <c r="G254" s="84"/>
      <c r="H254" s="504"/>
      <c r="I254" s="508">
        <v>545.66820983524906</v>
      </c>
      <c r="J254" s="525"/>
      <c r="K254" s="504"/>
      <c r="L254" s="517">
        <v>430.15</v>
      </c>
      <c r="M254" s="525"/>
      <c r="N254" s="545">
        <v>-115.51820983524908</v>
      </c>
      <c r="O254" s="525"/>
      <c r="P254" s="504"/>
      <c r="Q254" s="517">
        <v>545.36</v>
      </c>
      <c r="R254" s="525"/>
      <c r="S254" s="567">
        <v>-115.21000000000004</v>
      </c>
      <c r="T254" s="504"/>
      <c r="U254" s="504"/>
      <c r="V254" s="504"/>
      <c r="W254" s="504"/>
      <c r="X254" s="504"/>
      <c r="Y254" s="504"/>
      <c r="Z254" s="504"/>
      <c r="AA254" s="504"/>
      <c r="AB254" s="504"/>
      <c r="AC254" s="504"/>
      <c r="AD254" s="504"/>
      <c r="AE254" s="504"/>
      <c r="AF254" s="504"/>
      <c r="AG254" s="504"/>
      <c r="AH254" s="504"/>
      <c r="AI254" s="504"/>
      <c r="AJ254" s="504"/>
      <c r="AK254" s="504"/>
      <c r="AL254" s="504"/>
      <c r="AM254" s="504"/>
      <c r="AN254" s="504"/>
    </row>
    <row r="255" spans="1:40" ht="15.75" customHeight="1">
      <c r="A255" s="493" t="s">
        <v>384</v>
      </c>
      <c r="B255" s="499" t="s">
        <v>100</v>
      </c>
      <c r="C255" s="585" t="s">
        <v>44</v>
      </c>
      <c r="D255" s="107"/>
      <c r="E255" s="587"/>
      <c r="F255" s="514">
        <v>469.91855390038313</v>
      </c>
      <c r="G255" s="109"/>
      <c r="H255" s="587"/>
      <c r="I255" s="514">
        <v>469.91855390038313</v>
      </c>
      <c r="J255" s="588"/>
      <c r="K255" s="587"/>
      <c r="L255" s="589">
        <v>1.23</v>
      </c>
      <c r="M255" s="588"/>
      <c r="N255" s="590">
        <v>-468.68855390038311</v>
      </c>
      <c r="O255" s="588"/>
      <c r="P255" s="587"/>
      <c r="Q255" s="589">
        <v>3707.1</v>
      </c>
      <c r="R255" s="588"/>
      <c r="S255" s="591">
        <v>-3705.87</v>
      </c>
      <c r="T255" s="504"/>
      <c r="U255" s="504"/>
      <c r="V255" s="504"/>
      <c r="W255" s="504"/>
      <c r="X255" s="504"/>
      <c r="Y255" s="504"/>
      <c r="Z255" s="504"/>
      <c r="AA255" s="504"/>
      <c r="AB255" s="504"/>
      <c r="AC255" s="504"/>
      <c r="AD255" s="504"/>
      <c r="AE255" s="504"/>
      <c r="AF255" s="504"/>
      <c r="AG255" s="504"/>
      <c r="AH255" s="504"/>
      <c r="AI255" s="504"/>
      <c r="AJ255" s="504"/>
      <c r="AK255" s="504"/>
      <c r="AL255" s="504"/>
      <c r="AM255" s="504"/>
      <c r="AN255" s="504"/>
    </row>
    <row r="256" spans="1:40" ht="15.75" customHeight="1">
      <c r="A256" s="493" t="s">
        <v>385</v>
      </c>
      <c r="B256" s="499" t="s">
        <v>100</v>
      </c>
      <c r="C256" s="585" t="s">
        <v>45</v>
      </c>
      <c r="D256" s="82"/>
      <c r="E256" s="504"/>
      <c r="F256" s="514">
        <v>4293.1034482758623</v>
      </c>
      <c r="G256" s="84"/>
      <c r="H256" s="504"/>
      <c r="I256" s="514">
        <v>4293.1034482758623</v>
      </c>
      <c r="J256" s="525"/>
      <c r="K256" s="504"/>
      <c r="L256" s="517">
        <v>4571.3500000000004</v>
      </c>
      <c r="M256" s="525"/>
      <c r="N256" s="545">
        <v>278.24655172413804</v>
      </c>
      <c r="O256" s="525"/>
      <c r="P256" s="504"/>
      <c r="Q256" s="517">
        <v>2023.11</v>
      </c>
      <c r="R256" s="525"/>
      <c r="S256" s="567">
        <v>2548.2400000000007</v>
      </c>
      <c r="T256" s="504"/>
      <c r="U256" s="685"/>
      <c r="V256" s="504"/>
      <c r="W256" s="504"/>
      <c r="X256" s="504"/>
      <c r="Y256" s="504"/>
      <c r="Z256" s="504"/>
      <c r="AA256" s="504"/>
      <c r="AB256" s="504"/>
      <c r="AC256" s="504"/>
      <c r="AD256" s="504"/>
      <c r="AE256" s="504"/>
      <c r="AF256" s="504"/>
      <c r="AG256" s="504"/>
      <c r="AH256" s="504"/>
      <c r="AI256" s="504"/>
      <c r="AJ256" s="504"/>
      <c r="AK256" s="504"/>
      <c r="AL256" s="504"/>
      <c r="AM256" s="504"/>
      <c r="AN256" s="504"/>
    </row>
    <row r="257" spans="1:40" ht="15.75" hidden="1" customHeight="1">
      <c r="A257" s="493" t="s">
        <v>386</v>
      </c>
      <c r="B257" s="499" t="s">
        <v>100</v>
      </c>
      <c r="C257" s="513" t="s">
        <v>21</v>
      </c>
      <c r="D257" s="82"/>
      <c r="E257" s="504"/>
      <c r="F257" s="514">
        <v>0</v>
      </c>
      <c r="G257" s="84"/>
      <c r="H257" s="504"/>
      <c r="I257" s="514">
        <v>0</v>
      </c>
      <c r="J257" s="525"/>
      <c r="K257" s="504"/>
      <c r="L257" s="517">
        <v>0</v>
      </c>
      <c r="M257" s="525"/>
      <c r="N257" s="545">
        <v>0</v>
      </c>
      <c r="O257" s="525"/>
      <c r="P257" s="504"/>
      <c r="Q257" s="517">
        <v>0</v>
      </c>
      <c r="R257" s="525"/>
      <c r="S257" s="567">
        <v>0</v>
      </c>
      <c r="T257" s="504"/>
      <c r="U257" s="504"/>
      <c r="V257" s="504"/>
      <c r="W257" s="504"/>
      <c r="X257" s="504"/>
      <c r="Y257" s="504"/>
      <c r="Z257" s="504"/>
      <c r="AA257" s="504"/>
      <c r="AB257" s="504"/>
      <c r="AC257" s="504"/>
      <c r="AD257" s="504"/>
      <c r="AE257" s="504"/>
      <c r="AF257" s="504"/>
      <c r="AG257" s="504"/>
      <c r="AH257" s="504"/>
      <c r="AI257" s="504"/>
      <c r="AJ257" s="504"/>
      <c r="AK257" s="504"/>
      <c r="AL257" s="504"/>
      <c r="AM257" s="504"/>
      <c r="AN257" s="504"/>
    </row>
    <row r="258" spans="1:40" ht="15.75" hidden="1" customHeight="1">
      <c r="A258" s="493" t="s">
        <v>386</v>
      </c>
      <c r="B258" s="499" t="s">
        <v>100</v>
      </c>
      <c r="C258" s="513" t="s">
        <v>21</v>
      </c>
      <c r="D258" s="82"/>
      <c r="E258" s="504"/>
      <c r="F258" s="514">
        <v>0</v>
      </c>
      <c r="G258" s="84"/>
      <c r="H258" s="504"/>
      <c r="I258" s="514">
        <v>0</v>
      </c>
      <c r="J258" s="525"/>
      <c r="K258" s="504"/>
      <c r="L258" s="517">
        <v>0</v>
      </c>
      <c r="M258" s="525"/>
      <c r="N258" s="545">
        <v>0</v>
      </c>
      <c r="O258" s="525"/>
      <c r="P258" s="504"/>
      <c r="Q258" s="517">
        <v>0</v>
      </c>
      <c r="R258" s="525"/>
      <c r="S258" s="567">
        <v>0</v>
      </c>
      <c r="T258" s="504"/>
      <c r="U258" s="504"/>
      <c r="V258" s="504"/>
      <c r="W258" s="504"/>
      <c r="X258" s="504"/>
      <c r="Y258" s="504"/>
      <c r="Z258" s="504"/>
      <c r="AA258" s="504"/>
      <c r="AB258" s="504"/>
      <c r="AC258" s="504"/>
      <c r="AD258" s="504"/>
      <c r="AE258" s="504"/>
      <c r="AF258" s="504"/>
      <c r="AG258" s="504"/>
      <c r="AH258" s="504"/>
      <c r="AI258" s="504"/>
      <c r="AJ258" s="504"/>
      <c r="AK258" s="504"/>
      <c r="AL258" s="504"/>
      <c r="AM258" s="504"/>
      <c r="AN258" s="504"/>
    </row>
    <row r="259" spans="1:40" ht="15.75" hidden="1" customHeight="1">
      <c r="A259" s="493" t="s">
        <v>386</v>
      </c>
      <c r="B259" s="499" t="s">
        <v>100</v>
      </c>
      <c r="C259" s="513" t="s">
        <v>21</v>
      </c>
      <c r="D259" s="82"/>
      <c r="E259" s="504"/>
      <c r="F259" s="514">
        <v>0</v>
      </c>
      <c r="G259" s="84"/>
      <c r="H259" s="504"/>
      <c r="I259" s="514">
        <v>0</v>
      </c>
      <c r="J259" s="525"/>
      <c r="K259" s="504"/>
      <c r="L259" s="517">
        <v>0</v>
      </c>
      <c r="M259" s="525"/>
      <c r="N259" s="545">
        <v>0</v>
      </c>
      <c r="O259" s="525"/>
      <c r="P259" s="504"/>
      <c r="Q259" s="517">
        <v>0</v>
      </c>
      <c r="R259" s="525"/>
      <c r="S259" s="567">
        <v>0</v>
      </c>
      <c r="T259" s="504"/>
      <c r="U259" s="504"/>
      <c r="V259" s="504"/>
      <c r="W259" s="504"/>
      <c r="X259" s="504"/>
      <c r="Y259" s="504"/>
      <c r="Z259" s="504"/>
      <c r="AA259" s="504"/>
      <c r="AB259" s="504"/>
      <c r="AC259" s="504"/>
      <c r="AD259" s="504"/>
      <c r="AE259" s="504"/>
      <c r="AF259" s="504"/>
      <c r="AG259" s="504"/>
      <c r="AH259" s="504"/>
      <c r="AI259" s="504"/>
      <c r="AJ259" s="504"/>
      <c r="AK259" s="504"/>
      <c r="AL259" s="504"/>
      <c r="AM259" s="504"/>
      <c r="AN259" s="504"/>
    </row>
    <row r="260" spans="1:40" ht="15.75" customHeight="1">
      <c r="A260" s="493" t="s">
        <v>387</v>
      </c>
      <c r="B260" s="499" t="s">
        <v>100</v>
      </c>
      <c r="C260" s="586" t="s">
        <v>46</v>
      </c>
      <c r="D260" s="82"/>
      <c r="E260" s="504"/>
      <c r="F260" s="508">
        <v>685.83684543664049</v>
      </c>
      <c r="G260" s="84"/>
      <c r="H260" s="504"/>
      <c r="I260" s="508">
        <v>685.83684543664049</v>
      </c>
      <c r="J260" s="525"/>
      <c r="K260" s="504"/>
      <c r="L260" s="517">
        <v>966.5</v>
      </c>
      <c r="M260" s="525"/>
      <c r="N260" s="545">
        <v>280.66315456335951</v>
      </c>
      <c r="O260" s="525"/>
      <c r="P260" s="504"/>
      <c r="Q260" s="517">
        <v>379.21</v>
      </c>
      <c r="R260" s="525"/>
      <c r="S260" s="567">
        <v>587.29</v>
      </c>
      <c r="T260" s="504"/>
      <c r="U260" s="504"/>
      <c r="V260" s="504"/>
      <c r="W260" s="504"/>
      <c r="X260" s="504"/>
      <c r="Y260" s="504"/>
      <c r="Z260" s="504"/>
      <c r="AA260" s="504"/>
      <c r="AB260" s="504"/>
      <c r="AC260" s="504"/>
      <c r="AD260" s="504"/>
      <c r="AE260" s="504"/>
      <c r="AF260" s="504"/>
      <c r="AG260" s="504"/>
      <c r="AH260" s="504"/>
      <c r="AI260" s="504"/>
      <c r="AJ260" s="504"/>
      <c r="AK260" s="504"/>
      <c r="AL260" s="504"/>
      <c r="AM260" s="504"/>
      <c r="AN260" s="504"/>
    </row>
    <row r="261" spans="1:40" ht="15.75" customHeight="1">
      <c r="A261" s="493" t="s">
        <v>388</v>
      </c>
      <c r="B261" s="499" t="s">
        <v>100</v>
      </c>
      <c r="C261" s="585" t="s">
        <v>47</v>
      </c>
      <c r="D261" s="107"/>
      <c r="E261" s="587"/>
      <c r="F261" s="514">
        <v>614.23719729445975</v>
      </c>
      <c r="G261" s="109"/>
      <c r="H261" s="587"/>
      <c r="I261" s="514">
        <v>614.23719729445975</v>
      </c>
      <c r="J261" s="588"/>
      <c r="K261" s="587"/>
      <c r="L261" s="589">
        <v>1787.74</v>
      </c>
      <c r="M261" s="588"/>
      <c r="N261" s="590">
        <v>1173.5028027055403</v>
      </c>
      <c r="O261" s="588"/>
      <c r="P261" s="587"/>
      <c r="Q261" s="589">
        <v>764.14</v>
      </c>
      <c r="R261" s="588"/>
      <c r="S261" s="591">
        <v>1023.6</v>
      </c>
      <c r="T261" s="504"/>
      <c r="U261" s="504"/>
      <c r="V261" s="504"/>
      <c r="W261" s="504"/>
      <c r="X261" s="504"/>
      <c r="Y261" s="504"/>
      <c r="Z261" s="504"/>
      <c r="AA261" s="504"/>
      <c r="AB261" s="504"/>
      <c r="AC261" s="504"/>
      <c r="AD261" s="504"/>
      <c r="AE261" s="504"/>
      <c r="AF261" s="504"/>
      <c r="AG261" s="504"/>
      <c r="AH261" s="504"/>
      <c r="AI261" s="504"/>
      <c r="AJ261" s="504"/>
      <c r="AK261" s="504"/>
      <c r="AL261" s="504"/>
      <c r="AM261" s="504"/>
      <c r="AN261" s="504"/>
    </row>
    <row r="262" spans="1:40" ht="15.75" customHeight="1">
      <c r="A262" s="493" t="s">
        <v>389</v>
      </c>
      <c r="B262" s="499" t="s">
        <v>100</v>
      </c>
      <c r="C262" s="585" t="s">
        <v>48</v>
      </c>
      <c r="D262" s="82"/>
      <c r="E262" s="504"/>
      <c r="F262" s="514">
        <v>487.77659785148285</v>
      </c>
      <c r="G262" s="84"/>
      <c r="H262" s="504"/>
      <c r="I262" s="514">
        <v>487.77659785148285</v>
      </c>
      <c r="J262" s="525"/>
      <c r="K262" s="504"/>
      <c r="L262" s="517">
        <v>1454.83</v>
      </c>
      <c r="M262" s="525"/>
      <c r="N262" s="545">
        <v>967.05340214851708</v>
      </c>
      <c r="O262" s="525"/>
      <c r="P262" s="504"/>
      <c r="Q262" s="517">
        <v>547.63</v>
      </c>
      <c r="R262" s="525"/>
      <c r="S262" s="567">
        <v>907.19999999999993</v>
      </c>
      <c r="T262" s="504"/>
      <c r="U262" s="504"/>
      <c r="V262" s="504"/>
      <c r="W262" s="504"/>
      <c r="X262" s="504"/>
      <c r="Y262" s="504"/>
      <c r="Z262" s="504"/>
      <c r="AA262" s="504"/>
      <c r="AB262" s="504"/>
      <c r="AC262" s="504"/>
      <c r="AD262" s="504"/>
      <c r="AE262" s="504"/>
      <c r="AF262" s="504"/>
      <c r="AG262" s="504"/>
      <c r="AH262" s="504"/>
      <c r="AI262" s="504"/>
      <c r="AJ262" s="504"/>
      <c r="AK262" s="504"/>
      <c r="AL262" s="504"/>
      <c r="AM262" s="504"/>
      <c r="AN262" s="504"/>
    </row>
    <row r="263" spans="1:40" ht="15.75" customHeight="1">
      <c r="A263" s="493" t="s">
        <v>390</v>
      </c>
      <c r="B263" s="499" t="s">
        <v>100</v>
      </c>
      <c r="C263" s="585" t="s">
        <v>49</v>
      </c>
      <c r="D263" s="82"/>
      <c r="E263" s="504"/>
      <c r="F263" s="514">
        <v>198.72379912467818</v>
      </c>
      <c r="G263" s="84"/>
      <c r="H263" s="504"/>
      <c r="I263" s="514">
        <v>198.72379912467818</v>
      </c>
      <c r="J263" s="525"/>
      <c r="K263" s="504"/>
      <c r="L263" s="517">
        <v>193.54</v>
      </c>
      <c r="M263" s="525"/>
      <c r="N263" s="545">
        <v>-5.1837991246781883</v>
      </c>
      <c r="O263" s="525"/>
      <c r="P263" s="504"/>
      <c r="Q263" s="517">
        <v>127.36</v>
      </c>
      <c r="R263" s="525"/>
      <c r="S263" s="567">
        <v>66.179999999999993</v>
      </c>
      <c r="T263" s="504"/>
      <c r="U263" s="504"/>
      <c r="V263" s="504"/>
      <c r="W263" s="504"/>
      <c r="X263" s="504"/>
      <c r="Y263" s="504"/>
      <c r="Z263" s="504"/>
      <c r="AA263" s="504"/>
      <c r="AB263" s="504"/>
      <c r="AC263" s="504"/>
      <c r="AD263" s="504"/>
      <c r="AE263" s="504"/>
      <c r="AF263" s="504"/>
      <c r="AG263" s="504"/>
      <c r="AH263" s="504"/>
      <c r="AI263" s="504"/>
      <c r="AJ263" s="504"/>
      <c r="AK263" s="504"/>
      <c r="AL263" s="504"/>
      <c r="AM263" s="504"/>
      <c r="AN263" s="504"/>
    </row>
    <row r="264" spans="1:40" ht="15.75" hidden="1" customHeight="1">
      <c r="A264" s="493" t="s">
        <v>386</v>
      </c>
      <c r="B264" s="499" t="s">
        <v>100</v>
      </c>
      <c r="C264" s="513" t="s">
        <v>21</v>
      </c>
      <c r="D264" s="89"/>
      <c r="E264" s="592"/>
      <c r="F264" s="514">
        <v>0</v>
      </c>
      <c r="G264" s="91"/>
      <c r="H264" s="592"/>
      <c r="I264" s="514">
        <v>0</v>
      </c>
      <c r="J264" s="509"/>
      <c r="K264" s="592"/>
      <c r="L264" s="517">
        <v>0</v>
      </c>
      <c r="M264" s="509"/>
      <c r="N264" s="573">
        <v>0</v>
      </c>
      <c r="O264" s="509"/>
      <c r="P264" s="592"/>
      <c r="Q264" s="517">
        <v>0</v>
      </c>
      <c r="R264" s="509"/>
      <c r="S264" s="574">
        <v>0</v>
      </c>
      <c r="T264" s="504"/>
      <c r="U264" s="504"/>
      <c r="V264" s="504"/>
      <c r="W264" s="504"/>
      <c r="X264" s="504"/>
      <c r="Y264" s="504"/>
      <c r="Z264" s="504"/>
      <c r="AA264" s="504"/>
      <c r="AB264" s="504"/>
      <c r="AC264" s="504"/>
      <c r="AD264" s="504"/>
      <c r="AE264" s="504"/>
      <c r="AF264" s="504"/>
      <c r="AG264" s="504"/>
      <c r="AH264" s="504"/>
      <c r="AI264" s="504"/>
      <c r="AJ264" s="504"/>
      <c r="AK264" s="504"/>
      <c r="AL264" s="504"/>
      <c r="AM264" s="504"/>
      <c r="AN264" s="504"/>
    </row>
    <row r="265" spans="1:40" ht="15.75" customHeight="1">
      <c r="A265" s="493" t="s">
        <v>391</v>
      </c>
      <c r="B265" s="499" t="s">
        <v>100</v>
      </c>
      <c r="C265" s="578" t="s">
        <v>50</v>
      </c>
      <c r="D265" s="97" t="s">
        <v>40</v>
      </c>
      <c r="E265" s="579" t="e">
        <v>#DIV/0!</v>
      </c>
      <c r="F265" s="580">
        <v>7621.0690578490239</v>
      </c>
      <c r="G265" s="100" t="s">
        <v>40</v>
      </c>
      <c r="H265" s="579" t="e">
        <v>#DIV/0!</v>
      </c>
      <c r="I265" s="580">
        <v>7621.0690578490239</v>
      </c>
      <c r="J265" s="100" t="s">
        <v>40</v>
      </c>
      <c r="K265" s="579">
        <v>0</v>
      </c>
      <c r="L265" s="580">
        <v>10307.220000000001</v>
      </c>
      <c r="M265" s="621"/>
      <c r="N265" s="594">
        <v>2686.1509421509772</v>
      </c>
      <c r="O265" s="100" t="s">
        <v>40</v>
      </c>
      <c r="P265" s="579">
        <v>0</v>
      </c>
      <c r="Q265" s="580">
        <v>8903.0299999999988</v>
      </c>
      <c r="R265" s="621"/>
      <c r="S265" s="595">
        <v>1404.1900000000023</v>
      </c>
      <c r="T265" s="504"/>
      <c r="U265" s="504"/>
      <c r="V265" s="504"/>
      <c r="W265" s="504"/>
      <c r="X265" s="504"/>
      <c r="Y265" s="504"/>
      <c r="Z265" s="504"/>
      <c r="AA265" s="504"/>
      <c r="AB265" s="504"/>
      <c r="AC265" s="504"/>
      <c r="AD265" s="504"/>
      <c r="AE265" s="504"/>
      <c r="AF265" s="504"/>
      <c r="AG265" s="504"/>
      <c r="AH265" s="504"/>
      <c r="AI265" s="504"/>
      <c r="AJ265" s="504"/>
      <c r="AK265" s="504"/>
      <c r="AL265" s="504"/>
      <c r="AM265" s="504"/>
      <c r="AN265" s="504"/>
    </row>
    <row r="266" spans="1:40" ht="15.75" customHeight="1">
      <c r="A266" s="493" t="s">
        <v>392</v>
      </c>
      <c r="B266" s="499" t="s">
        <v>100</v>
      </c>
      <c r="C266" s="686" t="s">
        <v>51</v>
      </c>
      <c r="D266" s="82"/>
      <c r="E266" s="504"/>
      <c r="F266" s="514">
        <v>0</v>
      </c>
      <c r="G266" s="84"/>
      <c r="H266" s="504"/>
      <c r="I266" s="514">
        <v>0</v>
      </c>
      <c r="J266" s="525"/>
      <c r="K266" s="504"/>
      <c r="L266" s="517">
        <v>0.06</v>
      </c>
      <c r="M266" s="525"/>
      <c r="N266" s="545">
        <v>0.06</v>
      </c>
      <c r="O266" s="525"/>
      <c r="P266" s="504"/>
      <c r="Q266" s="517">
        <v>7.0000000000000007E-2</v>
      </c>
      <c r="R266" s="525"/>
      <c r="S266" s="567">
        <v>-1.0000000000000009E-2</v>
      </c>
      <c r="T266" s="504"/>
      <c r="U266" s="504"/>
      <c r="V266" s="504"/>
      <c r="W266" s="504"/>
      <c r="X266" s="504"/>
      <c r="Y266" s="504"/>
      <c r="Z266" s="504"/>
      <c r="AA266" s="504"/>
      <c r="AB266" s="504"/>
      <c r="AC266" s="504"/>
      <c r="AD266" s="504"/>
      <c r="AE266" s="504"/>
      <c r="AF266" s="504"/>
      <c r="AG266" s="504"/>
      <c r="AH266" s="504"/>
      <c r="AI266" s="504"/>
      <c r="AJ266" s="504"/>
      <c r="AK266" s="504"/>
      <c r="AL266" s="504"/>
      <c r="AM266" s="504"/>
      <c r="AN266" s="504"/>
    </row>
    <row r="267" spans="1:40" ht="15.75" customHeight="1">
      <c r="A267" s="493" t="s">
        <v>393</v>
      </c>
      <c r="B267" s="499" t="s">
        <v>100</v>
      </c>
      <c r="C267" s="585" t="s">
        <v>52</v>
      </c>
      <c r="D267" s="82"/>
      <c r="E267" s="504"/>
      <c r="F267" s="514">
        <v>281.61187919819753</v>
      </c>
      <c r="G267" s="84"/>
      <c r="H267" s="504"/>
      <c r="I267" s="514">
        <v>281.61187919819753</v>
      </c>
      <c r="J267" s="525"/>
      <c r="K267" s="504"/>
      <c r="L267" s="517">
        <v>-37.9</v>
      </c>
      <c r="M267" s="525"/>
      <c r="N267" s="545">
        <v>-319.51187919819751</v>
      </c>
      <c r="O267" s="525"/>
      <c r="P267" s="504"/>
      <c r="Q267" s="517">
        <v>201.75</v>
      </c>
      <c r="R267" s="525"/>
      <c r="S267" s="567">
        <v>-239.65</v>
      </c>
      <c r="T267" s="504"/>
      <c r="U267" s="504"/>
      <c r="V267" s="504"/>
      <c r="W267" s="504"/>
      <c r="X267" s="504"/>
      <c r="Y267" s="504"/>
      <c r="Z267" s="504"/>
      <c r="AA267" s="504"/>
      <c r="AB267" s="504"/>
      <c r="AC267" s="504"/>
      <c r="AD267" s="504"/>
      <c r="AE267" s="504"/>
      <c r="AF267" s="504"/>
      <c r="AG267" s="504"/>
      <c r="AH267" s="504"/>
      <c r="AI267" s="504"/>
      <c r="AJ267" s="504"/>
      <c r="AK267" s="504"/>
      <c r="AL267" s="504"/>
      <c r="AM267" s="504"/>
      <c r="AN267" s="504"/>
    </row>
    <row r="268" spans="1:40" ht="15.75" customHeight="1">
      <c r="A268" s="493" t="s">
        <v>394</v>
      </c>
      <c r="B268" s="499" t="s">
        <v>100</v>
      </c>
      <c r="C268" s="586" t="s">
        <v>53</v>
      </c>
      <c r="D268" s="89"/>
      <c r="E268" s="592"/>
      <c r="F268" s="508">
        <v>379.94</v>
      </c>
      <c r="G268" s="91"/>
      <c r="H268" s="592"/>
      <c r="I268" s="508">
        <v>379.94</v>
      </c>
      <c r="J268" s="509"/>
      <c r="K268" s="592"/>
      <c r="L268" s="517">
        <v>297.20999999999998</v>
      </c>
      <c r="M268" s="509"/>
      <c r="N268" s="573">
        <v>-82.730000000000018</v>
      </c>
      <c r="O268" s="509"/>
      <c r="P268" s="592"/>
      <c r="Q268" s="517">
        <v>483.44</v>
      </c>
      <c r="R268" s="509"/>
      <c r="S268" s="574">
        <v>-186.23000000000002</v>
      </c>
      <c r="T268" s="504"/>
      <c r="U268" s="504"/>
      <c r="V268" s="504"/>
      <c r="W268" s="504"/>
      <c r="X268" s="504"/>
      <c r="Y268" s="504"/>
      <c r="Z268" s="504"/>
      <c r="AA268" s="504"/>
      <c r="AB268" s="504"/>
      <c r="AC268" s="504"/>
      <c r="AD268" s="504"/>
      <c r="AE268" s="504"/>
      <c r="AF268" s="504"/>
      <c r="AG268" s="504"/>
      <c r="AH268" s="504"/>
      <c r="AI268" s="504"/>
      <c r="AJ268" s="504"/>
      <c r="AK268" s="504"/>
      <c r="AL268" s="504"/>
      <c r="AM268" s="504"/>
      <c r="AN268" s="504"/>
    </row>
    <row r="269" spans="1:40" ht="15.75" customHeight="1">
      <c r="A269" s="493" t="s">
        <v>395</v>
      </c>
      <c r="B269" s="499" t="s">
        <v>100</v>
      </c>
      <c r="C269" s="585" t="s">
        <v>54</v>
      </c>
      <c r="D269" s="82"/>
      <c r="E269" s="504"/>
      <c r="F269" s="514">
        <v>1313.4198641666667</v>
      </c>
      <c r="G269" s="84"/>
      <c r="H269" s="504"/>
      <c r="I269" s="514">
        <v>1313.4198641666667</v>
      </c>
      <c r="J269" s="525"/>
      <c r="K269" s="504"/>
      <c r="L269" s="589">
        <v>1412.27</v>
      </c>
      <c r="M269" s="525"/>
      <c r="N269" s="545">
        <v>98.850135833333297</v>
      </c>
      <c r="O269" s="525"/>
      <c r="P269" s="504"/>
      <c r="Q269" s="589">
        <v>1319.76</v>
      </c>
      <c r="R269" s="525"/>
      <c r="S269" s="567">
        <v>92.509999999999991</v>
      </c>
      <c r="T269" s="504"/>
      <c r="U269" s="504"/>
      <c r="V269" s="504"/>
      <c r="W269" s="504"/>
      <c r="X269" s="504"/>
      <c r="Y269" s="504"/>
      <c r="Z269" s="504"/>
      <c r="AA269" s="504"/>
      <c r="AB269" s="504"/>
      <c r="AC269" s="504"/>
      <c r="AD269" s="504"/>
      <c r="AE269" s="504"/>
      <c r="AF269" s="504"/>
      <c r="AG269" s="504"/>
      <c r="AH269" s="504"/>
      <c r="AI269" s="504"/>
      <c r="AJ269" s="504"/>
      <c r="AK269" s="504"/>
      <c r="AL269" s="504"/>
      <c r="AM269" s="504"/>
      <c r="AN269" s="504"/>
    </row>
    <row r="270" spans="1:40" ht="15.75" customHeight="1">
      <c r="A270" s="493" t="s">
        <v>396</v>
      </c>
      <c r="B270" s="499" t="s">
        <v>100</v>
      </c>
      <c r="C270" s="585" t="s">
        <v>55</v>
      </c>
      <c r="D270" s="82"/>
      <c r="E270" s="504"/>
      <c r="F270" s="514">
        <v>173.28101875000004</v>
      </c>
      <c r="G270" s="84"/>
      <c r="H270" s="504"/>
      <c r="I270" s="514">
        <v>173.28101875000004</v>
      </c>
      <c r="J270" s="525"/>
      <c r="K270" s="504"/>
      <c r="L270" s="517">
        <v>257.69</v>
      </c>
      <c r="M270" s="525"/>
      <c r="N270" s="545">
        <v>84.408981249999954</v>
      </c>
      <c r="O270" s="525"/>
      <c r="P270" s="504"/>
      <c r="Q270" s="517">
        <v>133.97</v>
      </c>
      <c r="R270" s="525"/>
      <c r="S270" s="567">
        <v>123.72</v>
      </c>
      <c r="T270" s="504"/>
      <c r="U270" s="504"/>
      <c r="V270" s="504"/>
      <c r="W270" s="504"/>
      <c r="X270" s="504"/>
      <c r="Y270" s="504"/>
      <c r="Z270" s="504"/>
      <c r="AA270" s="504"/>
      <c r="AB270" s="504"/>
      <c r="AC270" s="504"/>
      <c r="AD270" s="504"/>
      <c r="AE270" s="504"/>
      <c r="AF270" s="504"/>
      <c r="AG270" s="504"/>
      <c r="AH270" s="504"/>
      <c r="AI270" s="504"/>
      <c r="AJ270" s="504"/>
      <c r="AK270" s="504"/>
      <c r="AL270" s="504"/>
      <c r="AM270" s="504"/>
      <c r="AN270" s="504"/>
    </row>
    <row r="271" spans="1:40" ht="15.75" customHeight="1">
      <c r="A271" s="493" t="s">
        <v>397</v>
      </c>
      <c r="B271" s="499" t="s">
        <v>100</v>
      </c>
      <c r="C271" s="585" t="s">
        <v>56</v>
      </c>
      <c r="D271" s="89"/>
      <c r="E271" s="592"/>
      <c r="F271" s="508">
        <v>840.81098888888891</v>
      </c>
      <c r="G271" s="91"/>
      <c r="H271" s="592"/>
      <c r="I271" s="508">
        <v>840.81098888888891</v>
      </c>
      <c r="J271" s="509"/>
      <c r="K271" s="592"/>
      <c r="L271" s="517">
        <v>359.53</v>
      </c>
      <c r="M271" s="509"/>
      <c r="N271" s="573">
        <v>-481.28098888888894</v>
      </c>
      <c r="O271" s="509"/>
      <c r="P271" s="592"/>
      <c r="Q271" s="517">
        <v>631.61</v>
      </c>
      <c r="R271" s="509"/>
      <c r="S271" s="574">
        <v>-272.08000000000004</v>
      </c>
      <c r="T271" s="504"/>
      <c r="U271" s="504"/>
      <c r="V271" s="504"/>
      <c r="W271" s="504"/>
      <c r="X271" s="504"/>
      <c r="Y271" s="504"/>
      <c r="Z271" s="504"/>
      <c r="AA271" s="504"/>
      <c r="AB271" s="504"/>
      <c r="AC271" s="504"/>
      <c r="AD271" s="504"/>
      <c r="AE271" s="504"/>
      <c r="AF271" s="504"/>
      <c r="AG271" s="504"/>
      <c r="AH271" s="504"/>
      <c r="AI271" s="504"/>
      <c r="AJ271" s="504"/>
      <c r="AK271" s="504"/>
      <c r="AL271" s="504"/>
      <c r="AM271" s="504"/>
      <c r="AN271" s="504"/>
    </row>
    <row r="272" spans="1:40" ht="15.75" customHeight="1">
      <c r="A272" s="493" t="s">
        <v>398</v>
      </c>
      <c r="B272" s="499" t="s">
        <v>100</v>
      </c>
      <c r="C272" s="687" t="s">
        <v>99</v>
      </c>
      <c r="D272" s="82"/>
      <c r="E272" s="504"/>
      <c r="F272" s="514"/>
      <c r="G272" s="84"/>
      <c r="H272" s="504"/>
      <c r="I272" s="514"/>
      <c r="J272" s="525"/>
      <c r="K272" s="504"/>
      <c r="L272" s="540">
        <v>0</v>
      </c>
      <c r="M272" s="525"/>
      <c r="N272" s="545">
        <v>0</v>
      </c>
      <c r="O272" s="525"/>
      <c r="P272" s="504"/>
      <c r="Q272" s="517">
        <v>0</v>
      </c>
      <c r="R272" s="525"/>
      <c r="S272" s="567">
        <v>0</v>
      </c>
      <c r="T272" s="504"/>
      <c r="U272" s="504"/>
      <c r="V272" s="504"/>
      <c r="W272" s="504"/>
      <c r="X272" s="504"/>
      <c r="Y272" s="504"/>
      <c r="Z272" s="504"/>
      <c r="AA272" s="504"/>
      <c r="AB272" s="504"/>
      <c r="AC272" s="504"/>
      <c r="AD272" s="504"/>
      <c r="AE272" s="504"/>
      <c r="AF272" s="504"/>
      <c r="AG272" s="504"/>
      <c r="AH272" s="504"/>
      <c r="AI272" s="504"/>
      <c r="AJ272" s="504"/>
      <c r="AK272" s="504"/>
      <c r="AL272" s="504"/>
      <c r="AM272" s="504"/>
      <c r="AN272" s="504"/>
    </row>
    <row r="273" spans="1:40" ht="15.75" customHeight="1">
      <c r="A273" s="493" t="s">
        <v>399</v>
      </c>
      <c r="B273" s="499" t="s">
        <v>100</v>
      </c>
      <c r="C273" s="585" t="s">
        <v>57</v>
      </c>
      <c r="D273" s="82"/>
      <c r="E273" s="504"/>
      <c r="F273" s="514">
        <v>107.68716037339154</v>
      </c>
      <c r="G273" s="84"/>
      <c r="H273" s="504"/>
      <c r="I273" s="514">
        <v>107.68716037339154</v>
      </c>
      <c r="J273" s="525"/>
      <c r="K273" s="504"/>
      <c r="L273" s="517">
        <v>0</v>
      </c>
      <c r="M273" s="525"/>
      <c r="N273" s="545">
        <v>-107.68716037339154</v>
      </c>
      <c r="O273" s="525"/>
      <c r="P273" s="504"/>
      <c r="Q273" s="517">
        <v>16.39</v>
      </c>
      <c r="R273" s="525"/>
      <c r="S273" s="567">
        <v>-16.39</v>
      </c>
      <c r="T273" s="504"/>
      <c r="U273" s="504"/>
      <c r="V273" s="504"/>
      <c r="W273" s="504"/>
      <c r="X273" s="504"/>
      <c r="Y273" s="504"/>
      <c r="Z273" s="504"/>
      <c r="AA273" s="504"/>
      <c r="AB273" s="504"/>
      <c r="AC273" s="504"/>
      <c r="AD273" s="504"/>
      <c r="AE273" s="504"/>
      <c r="AF273" s="504"/>
      <c r="AG273" s="504"/>
      <c r="AH273" s="504"/>
      <c r="AI273" s="504"/>
      <c r="AJ273" s="504"/>
      <c r="AK273" s="504"/>
      <c r="AL273" s="504"/>
      <c r="AM273" s="504"/>
      <c r="AN273" s="504"/>
    </row>
    <row r="274" spans="1:40" ht="15.75" customHeight="1">
      <c r="A274" s="493" t="s">
        <v>400</v>
      </c>
      <c r="B274" s="499" t="s">
        <v>100</v>
      </c>
      <c r="C274" s="585" t="s">
        <v>58</v>
      </c>
      <c r="D274" s="82"/>
      <c r="E274" s="504"/>
      <c r="F274" s="514">
        <v>57.222126165837054</v>
      </c>
      <c r="G274" s="84"/>
      <c r="H274" s="504"/>
      <c r="I274" s="514">
        <v>57.222126165837054</v>
      </c>
      <c r="J274" s="525"/>
      <c r="K274" s="504"/>
      <c r="L274" s="517">
        <v>0</v>
      </c>
      <c r="M274" s="525"/>
      <c r="N274" s="545">
        <v>-57.222126165837054</v>
      </c>
      <c r="O274" s="525"/>
      <c r="P274" s="504"/>
      <c r="Q274" s="517">
        <v>0</v>
      </c>
      <c r="R274" s="525"/>
      <c r="S274" s="567">
        <v>0</v>
      </c>
      <c r="T274" s="504"/>
      <c r="U274" s="504"/>
      <c r="V274" s="504"/>
      <c r="W274" s="504"/>
      <c r="X274" s="504"/>
      <c r="Y274" s="504"/>
      <c r="Z274" s="504"/>
      <c r="AA274" s="504"/>
      <c r="AB274" s="504"/>
      <c r="AC274" s="504"/>
      <c r="AD274" s="504"/>
      <c r="AE274" s="504"/>
      <c r="AF274" s="504"/>
      <c r="AG274" s="504"/>
      <c r="AH274" s="504"/>
      <c r="AI274" s="504"/>
      <c r="AJ274" s="504"/>
      <c r="AK274" s="504"/>
      <c r="AL274" s="504"/>
      <c r="AM274" s="504"/>
      <c r="AN274" s="504"/>
    </row>
    <row r="275" spans="1:40" ht="15.75" customHeight="1">
      <c r="A275" s="493" t="s">
        <v>401</v>
      </c>
      <c r="B275" s="499" t="s">
        <v>100</v>
      </c>
      <c r="C275" s="585" t="s">
        <v>59</v>
      </c>
      <c r="D275" s="82"/>
      <c r="E275" s="504"/>
      <c r="F275" s="514">
        <v>142.81407000000002</v>
      </c>
      <c r="G275" s="84"/>
      <c r="H275" s="504"/>
      <c r="I275" s="514">
        <v>142.81407000000002</v>
      </c>
      <c r="J275" s="525"/>
      <c r="K275" s="504"/>
      <c r="L275" s="516">
        <v>148.18</v>
      </c>
      <c r="M275" s="525"/>
      <c r="N275" s="545">
        <v>5.3659299999999917</v>
      </c>
      <c r="O275" s="525"/>
      <c r="P275" s="504"/>
      <c r="Q275" s="516">
        <v>139.76</v>
      </c>
      <c r="R275" s="525"/>
      <c r="S275" s="567">
        <v>8.4200000000000159</v>
      </c>
      <c r="T275" s="504"/>
      <c r="U275" s="504"/>
      <c r="V275" s="504"/>
      <c r="W275" s="504"/>
      <c r="X275" s="504"/>
      <c r="Y275" s="504"/>
      <c r="Z275" s="504"/>
      <c r="AA275" s="504"/>
      <c r="AB275" s="504"/>
      <c r="AC275" s="504"/>
      <c r="AD275" s="504"/>
      <c r="AE275" s="504"/>
      <c r="AF275" s="504"/>
      <c r="AG275" s="504"/>
      <c r="AH275" s="504"/>
      <c r="AI275" s="504"/>
      <c r="AJ275" s="504"/>
      <c r="AK275" s="504"/>
      <c r="AL275" s="504"/>
      <c r="AM275" s="504"/>
      <c r="AN275" s="504"/>
    </row>
    <row r="276" spans="1:40" ht="15.75" customHeight="1">
      <c r="A276" s="493" t="s">
        <v>402</v>
      </c>
      <c r="B276" s="499" t="s">
        <v>100</v>
      </c>
      <c r="C276" s="585" t="s">
        <v>60</v>
      </c>
      <c r="D276" s="82"/>
      <c r="E276" s="504"/>
      <c r="F276" s="514">
        <v>65.945365208333342</v>
      </c>
      <c r="G276" s="84"/>
      <c r="H276" s="504"/>
      <c r="I276" s="514">
        <v>65.945365208333342</v>
      </c>
      <c r="J276" s="525"/>
      <c r="K276" s="504"/>
      <c r="L276" s="517">
        <v>27.72</v>
      </c>
      <c r="M276" s="525"/>
      <c r="N276" s="545">
        <v>-38.225365208333344</v>
      </c>
      <c r="O276" s="525"/>
      <c r="P276" s="504"/>
      <c r="Q276" s="517">
        <v>62.78</v>
      </c>
      <c r="R276" s="525"/>
      <c r="S276" s="567">
        <v>-35.06</v>
      </c>
      <c r="T276" s="504"/>
      <c r="U276" s="504"/>
      <c r="V276" s="504"/>
      <c r="W276" s="504"/>
      <c r="X276" s="504"/>
      <c r="Y276" s="504"/>
      <c r="Z276" s="504"/>
      <c r="AA276" s="504"/>
      <c r="AB276" s="504"/>
      <c r="AC276" s="504"/>
      <c r="AD276" s="504"/>
      <c r="AE276" s="504"/>
      <c r="AF276" s="504"/>
      <c r="AG276" s="504"/>
      <c r="AH276" s="504"/>
      <c r="AI276" s="504"/>
      <c r="AJ276" s="504"/>
      <c r="AK276" s="504"/>
      <c r="AL276" s="504"/>
      <c r="AM276" s="504"/>
      <c r="AN276" s="504"/>
    </row>
    <row r="277" spans="1:40" ht="15.75" customHeight="1">
      <c r="A277" s="493" t="s">
        <v>403</v>
      </c>
      <c r="B277" s="499" t="s">
        <v>100</v>
      </c>
      <c r="C277" s="585" t="s">
        <v>61</v>
      </c>
      <c r="D277" s="82"/>
      <c r="E277" s="504"/>
      <c r="F277" s="514">
        <v>35.200609791666665</v>
      </c>
      <c r="G277" s="84"/>
      <c r="H277" s="504"/>
      <c r="I277" s="514">
        <v>35.200609791666665</v>
      </c>
      <c r="J277" s="525"/>
      <c r="K277" s="504"/>
      <c r="L277" s="517">
        <v>22.2</v>
      </c>
      <c r="M277" s="525"/>
      <c r="N277" s="545">
        <v>-13.000609791666665</v>
      </c>
      <c r="O277" s="525"/>
      <c r="P277" s="504"/>
      <c r="Q277" s="517">
        <v>33.44</v>
      </c>
      <c r="R277" s="525"/>
      <c r="S277" s="567">
        <v>-11.239999999999998</v>
      </c>
      <c r="T277" s="504"/>
      <c r="U277" s="504"/>
      <c r="V277" s="504"/>
      <c r="W277" s="504"/>
      <c r="X277" s="504"/>
      <c r="Y277" s="504"/>
      <c r="Z277" s="504"/>
      <c r="AA277" s="504"/>
      <c r="AB277" s="504"/>
      <c r="AC277" s="504"/>
      <c r="AD277" s="504"/>
      <c r="AE277" s="504"/>
      <c r="AF277" s="504"/>
      <c r="AG277" s="504"/>
      <c r="AH277" s="504"/>
      <c r="AI277" s="504"/>
      <c r="AJ277" s="504"/>
      <c r="AK277" s="504"/>
      <c r="AL277" s="504"/>
      <c r="AM277" s="504"/>
      <c r="AN277" s="504"/>
    </row>
    <row r="278" spans="1:40" ht="15.75" customHeight="1">
      <c r="A278" s="493" t="s">
        <v>404</v>
      </c>
      <c r="B278" s="499" t="s">
        <v>100</v>
      </c>
      <c r="C278" s="585" t="s">
        <v>62</v>
      </c>
      <c r="D278" s="82"/>
      <c r="E278" s="504"/>
      <c r="F278" s="514">
        <v>169.80109854166665</v>
      </c>
      <c r="G278" s="84"/>
      <c r="H278" s="504"/>
      <c r="I278" s="514">
        <v>169.80109854166665</v>
      </c>
      <c r="J278" s="525"/>
      <c r="K278" s="504"/>
      <c r="L278" s="517">
        <v>58.54</v>
      </c>
      <c r="M278" s="525"/>
      <c r="N278" s="545">
        <v>-111.26109854166666</v>
      </c>
      <c r="O278" s="525"/>
      <c r="P278" s="504"/>
      <c r="Q278" s="517">
        <v>262.16000000000003</v>
      </c>
      <c r="R278" s="525"/>
      <c r="S278" s="567">
        <v>-203.62000000000003</v>
      </c>
      <c r="T278" s="504"/>
      <c r="U278" s="504"/>
      <c r="V278" s="504"/>
      <c r="W278" s="504"/>
      <c r="X278" s="504"/>
      <c r="Y278" s="504"/>
      <c r="Z278" s="504"/>
      <c r="AA278" s="504"/>
      <c r="AB278" s="504"/>
      <c r="AC278" s="504"/>
      <c r="AD278" s="504"/>
      <c r="AE278" s="504"/>
      <c r="AF278" s="504"/>
      <c r="AG278" s="504"/>
      <c r="AH278" s="504"/>
      <c r="AI278" s="504"/>
      <c r="AJ278" s="504"/>
      <c r="AK278" s="504"/>
      <c r="AL278" s="504"/>
      <c r="AM278" s="504"/>
      <c r="AN278" s="504"/>
    </row>
    <row r="279" spans="1:40" ht="15.75" customHeight="1">
      <c r="A279" s="493" t="s">
        <v>405</v>
      </c>
      <c r="B279" s="499" t="s">
        <v>100</v>
      </c>
      <c r="C279" s="585" t="s">
        <v>63</v>
      </c>
      <c r="D279" s="82"/>
      <c r="E279" s="504"/>
      <c r="F279" s="514">
        <v>252.27480833333334</v>
      </c>
      <c r="G279" s="84"/>
      <c r="H279" s="504"/>
      <c r="I279" s="514">
        <v>252.27480833333334</v>
      </c>
      <c r="J279" s="525"/>
      <c r="K279" s="504"/>
      <c r="L279" s="517">
        <v>22.33</v>
      </c>
      <c r="M279" s="525"/>
      <c r="N279" s="545">
        <v>-229.94480833333336</v>
      </c>
      <c r="O279" s="525"/>
      <c r="P279" s="504"/>
      <c r="Q279" s="517">
        <v>76.2</v>
      </c>
      <c r="R279" s="525"/>
      <c r="S279" s="567">
        <v>-53.870000000000005</v>
      </c>
      <c r="T279" s="504"/>
      <c r="U279" s="504"/>
      <c r="V279" s="504"/>
      <c r="W279" s="504"/>
      <c r="X279" s="504"/>
      <c r="Y279" s="504"/>
      <c r="Z279" s="504"/>
      <c r="AA279" s="504"/>
      <c r="AB279" s="504"/>
      <c r="AC279" s="504"/>
      <c r="AD279" s="504"/>
      <c r="AE279" s="504"/>
      <c r="AF279" s="504"/>
      <c r="AG279" s="504"/>
      <c r="AH279" s="504"/>
      <c r="AI279" s="504"/>
      <c r="AJ279" s="504"/>
      <c r="AK279" s="504"/>
      <c r="AL279" s="504"/>
      <c r="AM279" s="504"/>
      <c r="AN279" s="504"/>
    </row>
    <row r="280" spans="1:40" ht="15.75" customHeight="1">
      <c r="A280" s="493" t="s">
        <v>406</v>
      </c>
      <c r="B280" s="499" t="s">
        <v>100</v>
      </c>
      <c r="C280" s="585" t="s">
        <v>64</v>
      </c>
      <c r="D280" s="82"/>
      <c r="E280" s="504"/>
      <c r="F280" s="514">
        <v>670.86953283108267</v>
      </c>
      <c r="G280" s="84"/>
      <c r="H280" s="504"/>
      <c r="I280" s="514">
        <v>670.86953283108267</v>
      </c>
      <c r="J280" s="525"/>
      <c r="K280" s="504"/>
      <c r="L280" s="517">
        <v>236.44250000000002</v>
      </c>
      <c r="M280" s="525"/>
      <c r="N280" s="545">
        <v>-434.42703283108267</v>
      </c>
      <c r="O280" s="525"/>
      <c r="P280" s="504"/>
      <c r="Q280" s="517">
        <v>172.38025000000002</v>
      </c>
      <c r="R280" s="525"/>
      <c r="S280" s="567">
        <v>64.062250000000006</v>
      </c>
      <c r="T280" s="504"/>
      <c r="U280" s="504"/>
      <c r="V280" s="504"/>
      <c r="W280" s="504"/>
      <c r="X280" s="504"/>
      <c r="Y280" s="504"/>
      <c r="Z280" s="504"/>
      <c r="AA280" s="504"/>
      <c r="AB280" s="504"/>
      <c r="AC280" s="504"/>
      <c r="AD280" s="504"/>
      <c r="AE280" s="504"/>
      <c r="AF280" s="504"/>
      <c r="AG280" s="504"/>
      <c r="AH280" s="504"/>
      <c r="AI280" s="504"/>
      <c r="AJ280" s="504"/>
      <c r="AK280" s="504"/>
      <c r="AL280" s="504"/>
      <c r="AM280" s="504"/>
      <c r="AN280" s="504"/>
    </row>
    <row r="281" spans="1:40" ht="15.75" hidden="1" customHeight="1">
      <c r="A281" s="493" t="s">
        <v>386</v>
      </c>
      <c r="B281" s="499" t="s">
        <v>100</v>
      </c>
      <c r="C281" s="585" t="s">
        <v>21</v>
      </c>
      <c r="D281" s="82"/>
      <c r="E281" s="504"/>
      <c r="F281" s="514">
        <v>0</v>
      </c>
      <c r="G281" s="84"/>
      <c r="H281" s="504"/>
      <c r="I281" s="514">
        <v>0</v>
      </c>
      <c r="J281" s="525"/>
      <c r="K281" s="504"/>
      <c r="L281" s="517">
        <v>0</v>
      </c>
      <c r="M281" s="525"/>
      <c r="N281" s="545">
        <v>0</v>
      </c>
      <c r="O281" s="525"/>
      <c r="P281" s="504"/>
      <c r="Q281" s="517">
        <v>0</v>
      </c>
      <c r="R281" s="525"/>
      <c r="S281" s="567">
        <v>0</v>
      </c>
      <c r="T281" s="504"/>
      <c r="U281" s="504"/>
      <c r="V281" s="504"/>
      <c r="W281" s="504"/>
      <c r="X281" s="504"/>
      <c r="Y281" s="504"/>
      <c r="Z281" s="504"/>
      <c r="AA281" s="504"/>
      <c r="AB281" s="504"/>
      <c r="AC281" s="504"/>
      <c r="AD281" s="504"/>
      <c r="AE281" s="504"/>
      <c r="AF281" s="504"/>
      <c r="AG281" s="504"/>
      <c r="AH281" s="504"/>
      <c r="AI281" s="504"/>
      <c r="AJ281" s="504"/>
      <c r="AK281" s="504"/>
      <c r="AL281" s="504"/>
      <c r="AM281" s="504"/>
      <c r="AN281" s="504"/>
    </row>
    <row r="282" spans="1:40" ht="15.75" hidden="1" customHeight="1">
      <c r="A282" s="493" t="s">
        <v>386</v>
      </c>
      <c r="B282" s="499" t="s">
        <v>100</v>
      </c>
      <c r="C282" s="585" t="s">
        <v>21</v>
      </c>
      <c r="D282" s="82"/>
      <c r="E282" s="504"/>
      <c r="F282" s="514">
        <v>0</v>
      </c>
      <c r="G282" s="84"/>
      <c r="H282" s="504"/>
      <c r="I282" s="514">
        <v>0</v>
      </c>
      <c r="J282" s="525"/>
      <c r="K282" s="504"/>
      <c r="L282" s="517">
        <v>0</v>
      </c>
      <c r="M282" s="525"/>
      <c r="N282" s="545">
        <v>0</v>
      </c>
      <c r="O282" s="525"/>
      <c r="P282" s="504"/>
      <c r="Q282" s="517">
        <v>0</v>
      </c>
      <c r="R282" s="525"/>
      <c r="S282" s="567">
        <v>0</v>
      </c>
      <c r="T282" s="504"/>
      <c r="U282" s="504"/>
      <c r="V282" s="504"/>
      <c r="W282" s="504"/>
      <c r="X282" s="504"/>
      <c r="Y282" s="504"/>
      <c r="Z282" s="504"/>
      <c r="AA282" s="504"/>
      <c r="AB282" s="504"/>
      <c r="AC282" s="504"/>
      <c r="AD282" s="504"/>
      <c r="AE282" s="504"/>
      <c r="AF282" s="504"/>
      <c r="AG282" s="504"/>
      <c r="AH282" s="504"/>
      <c r="AI282" s="504"/>
      <c r="AJ282" s="504"/>
      <c r="AK282" s="504"/>
      <c r="AL282" s="504"/>
      <c r="AM282" s="504"/>
      <c r="AN282" s="504"/>
    </row>
    <row r="283" spans="1:40" ht="15.75" hidden="1" customHeight="1">
      <c r="A283" s="493" t="s">
        <v>386</v>
      </c>
      <c r="B283" s="499" t="s">
        <v>100</v>
      </c>
      <c r="C283" s="585" t="s">
        <v>21</v>
      </c>
      <c r="D283" s="82"/>
      <c r="E283" s="504"/>
      <c r="F283" s="514">
        <v>0</v>
      </c>
      <c r="G283" s="84"/>
      <c r="H283" s="504"/>
      <c r="I283" s="514">
        <v>0</v>
      </c>
      <c r="J283" s="525"/>
      <c r="K283" s="504"/>
      <c r="L283" s="517">
        <v>0</v>
      </c>
      <c r="M283" s="525"/>
      <c r="N283" s="545">
        <v>0</v>
      </c>
      <c r="O283" s="525"/>
      <c r="P283" s="504"/>
      <c r="Q283" s="517">
        <v>0</v>
      </c>
      <c r="R283" s="525"/>
      <c r="S283" s="567">
        <v>0</v>
      </c>
      <c r="T283" s="504"/>
      <c r="U283" s="504"/>
      <c r="V283" s="504"/>
      <c r="W283" s="504"/>
      <c r="X283" s="504"/>
      <c r="Y283" s="504"/>
      <c r="Z283" s="504"/>
      <c r="AA283" s="504"/>
      <c r="AB283" s="504"/>
      <c r="AC283" s="504"/>
      <c r="AD283" s="504"/>
      <c r="AE283" s="504"/>
      <c r="AF283" s="504"/>
      <c r="AG283" s="504"/>
      <c r="AH283" s="504"/>
      <c r="AI283" s="504"/>
      <c r="AJ283" s="504"/>
      <c r="AK283" s="504"/>
      <c r="AL283" s="504"/>
      <c r="AM283" s="504"/>
      <c r="AN283" s="504"/>
    </row>
    <row r="284" spans="1:40" ht="15.75" customHeight="1">
      <c r="B284" s="499"/>
      <c r="C284" s="578" t="s">
        <v>65</v>
      </c>
      <c r="D284" s="97" t="s">
        <v>40</v>
      </c>
      <c r="E284" s="579" t="e">
        <v>#DIV/0!</v>
      </c>
      <c r="F284" s="580">
        <v>4490.8785222490642</v>
      </c>
      <c r="G284" s="100" t="s">
        <v>40</v>
      </c>
      <c r="H284" s="579" t="e">
        <v>#DIV/0!</v>
      </c>
      <c r="I284" s="580">
        <v>4490.8785222490642</v>
      </c>
      <c r="J284" s="100" t="s">
        <v>40</v>
      </c>
      <c r="K284" s="579" t="e">
        <v>#DIV/0!</v>
      </c>
      <c r="L284" s="580">
        <v>2804.2724999999991</v>
      </c>
      <c r="M284" s="583"/>
      <c r="N284" s="580">
        <v>-1686.6060222490646</v>
      </c>
      <c r="O284" s="100" t="s">
        <v>40</v>
      </c>
      <c r="P284" s="579" t="e">
        <v>#DIV/0!</v>
      </c>
      <c r="Q284" s="580">
        <v>3533.7102500000001</v>
      </c>
      <c r="R284" s="583"/>
      <c r="S284" s="584">
        <v>-729.43775000000096</v>
      </c>
      <c r="T284" s="562"/>
      <c r="U284" s="504"/>
      <c r="V284" s="504"/>
      <c r="W284" s="504"/>
      <c r="X284" s="504"/>
      <c r="Y284" s="504"/>
      <c r="Z284" s="504"/>
      <c r="AA284" s="504"/>
      <c r="AB284" s="504"/>
      <c r="AC284" s="504"/>
      <c r="AD284" s="504"/>
      <c r="AE284" s="504"/>
      <c r="AF284" s="504"/>
      <c r="AG284" s="504"/>
      <c r="AH284" s="504"/>
      <c r="AI284" s="504"/>
      <c r="AJ284" s="504"/>
      <c r="AK284" s="504"/>
      <c r="AL284" s="504"/>
      <c r="AM284" s="504"/>
      <c r="AN284" s="504"/>
    </row>
    <row r="285" spans="1:40" ht="15.75" customHeight="1">
      <c r="B285" s="499"/>
      <c r="C285" s="568"/>
      <c r="D285" s="89"/>
      <c r="E285" s="592"/>
      <c r="F285" s="545"/>
      <c r="G285" s="91"/>
      <c r="H285" s="592"/>
      <c r="I285" s="545"/>
      <c r="J285" s="509"/>
      <c r="K285" s="592"/>
      <c r="L285" s="573"/>
      <c r="M285" s="509"/>
      <c r="N285" s="573"/>
      <c r="O285" s="509"/>
      <c r="P285" s="592"/>
      <c r="Q285" s="573"/>
      <c r="R285" s="509"/>
      <c r="S285" s="574"/>
      <c r="T285" s="562"/>
      <c r="U285" s="504"/>
      <c r="V285" s="504"/>
      <c r="W285" s="504"/>
      <c r="X285" s="504"/>
      <c r="Y285" s="504"/>
      <c r="Z285" s="504"/>
      <c r="AA285" s="504"/>
      <c r="AB285" s="504"/>
      <c r="AC285" s="504"/>
      <c r="AD285" s="504"/>
      <c r="AE285" s="504"/>
      <c r="AF285" s="504"/>
      <c r="AG285" s="504"/>
      <c r="AH285" s="504"/>
      <c r="AI285" s="504"/>
      <c r="AJ285" s="504"/>
      <c r="AK285" s="504"/>
      <c r="AL285" s="504"/>
      <c r="AM285" s="504"/>
      <c r="AN285" s="504"/>
    </row>
    <row r="286" spans="1:40" ht="15.75" customHeight="1">
      <c r="B286" s="499"/>
      <c r="C286" s="578" t="s">
        <v>66</v>
      </c>
      <c r="D286" s="97" t="s">
        <v>40</v>
      </c>
      <c r="E286" s="579" t="e">
        <v>#DIV/0!</v>
      </c>
      <c r="F286" s="580">
        <v>12111.947580098087</v>
      </c>
      <c r="G286" s="100" t="s">
        <v>40</v>
      </c>
      <c r="H286" s="579" t="e">
        <v>#DIV/0!</v>
      </c>
      <c r="I286" s="580">
        <v>12111.947580098087</v>
      </c>
      <c r="J286" s="100" t="s">
        <v>40</v>
      </c>
      <c r="K286" s="579" t="e">
        <v>#DIV/0!</v>
      </c>
      <c r="L286" s="580">
        <v>13111.4925</v>
      </c>
      <c r="M286" s="583"/>
      <c r="N286" s="594">
        <v>999.54491990191309</v>
      </c>
      <c r="O286" s="100" t="s">
        <v>40</v>
      </c>
      <c r="P286" s="579" t="e">
        <v>#DIV/0!</v>
      </c>
      <c r="Q286" s="580">
        <v>12436.740249999999</v>
      </c>
      <c r="R286" s="583"/>
      <c r="S286" s="595">
        <v>674.75225000000137</v>
      </c>
      <c r="T286" s="562"/>
      <c r="U286" s="504"/>
      <c r="V286" s="504"/>
      <c r="W286" s="504"/>
      <c r="X286" s="504"/>
      <c r="Y286" s="504"/>
      <c r="Z286" s="504"/>
      <c r="AA286" s="504"/>
      <c r="AB286" s="504"/>
      <c r="AC286" s="504"/>
      <c r="AD286" s="504"/>
      <c r="AE286" s="504"/>
      <c r="AF286" s="504"/>
      <c r="AG286" s="504"/>
      <c r="AH286" s="504"/>
      <c r="AI286" s="504"/>
      <c r="AJ286" s="504"/>
      <c r="AK286" s="504"/>
      <c r="AL286" s="504"/>
      <c r="AM286" s="504"/>
      <c r="AN286" s="504"/>
    </row>
    <row r="287" spans="1:40" ht="15.75" customHeight="1">
      <c r="B287" s="499"/>
      <c r="C287" s="513"/>
      <c r="D287" s="82"/>
      <c r="E287" s="504"/>
      <c r="F287" s="545"/>
      <c r="G287" s="84"/>
      <c r="H287" s="504"/>
      <c r="I287" s="545"/>
      <c r="J287" s="525"/>
      <c r="K287" s="504"/>
      <c r="L287" s="545"/>
      <c r="M287" s="525"/>
      <c r="N287" s="545">
        <v>0</v>
      </c>
      <c r="O287" s="525"/>
      <c r="P287" s="504"/>
      <c r="Q287" s="545"/>
      <c r="R287" s="525"/>
      <c r="S287" s="567"/>
      <c r="T287" s="504"/>
      <c r="U287" s="504"/>
      <c r="V287" s="504"/>
      <c r="W287" s="504"/>
      <c r="X287" s="504"/>
      <c r="Y287" s="504"/>
      <c r="Z287" s="504"/>
      <c r="AA287" s="504"/>
      <c r="AB287" s="504"/>
      <c r="AC287" s="504"/>
      <c r="AD287" s="504"/>
      <c r="AE287" s="504"/>
      <c r="AF287" s="504"/>
      <c r="AG287" s="504"/>
      <c r="AH287" s="504"/>
      <c r="AI287" s="504"/>
      <c r="AJ287" s="504"/>
      <c r="AK287" s="504"/>
      <c r="AL287" s="504"/>
      <c r="AM287" s="504"/>
      <c r="AN287" s="504"/>
    </row>
    <row r="288" spans="1:40" ht="15.75" customHeight="1" thickBot="1">
      <c r="B288" s="499"/>
      <c r="C288" s="605" t="s">
        <v>73</v>
      </c>
      <c r="D288" s="156"/>
      <c r="E288" s="606"/>
      <c r="F288" s="608">
        <v>5832.256064399302</v>
      </c>
      <c r="G288" s="157"/>
      <c r="H288" s="606"/>
      <c r="I288" s="608">
        <v>5832.256064399302</v>
      </c>
      <c r="J288" s="625"/>
      <c r="K288" s="607"/>
      <c r="L288" s="608">
        <v>7157.2074999999968</v>
      </c>
      <c r="M288" s="625"/>
      <c r="N288" s="608">
        <v>1324.9514356006948</v>
      </c>
      <c r="O288" s="625"/>
      <c r="P288" s="607"/>
      <c r="Q288" s="608">
        <v>-1831.8802499999965</v>
      </c>
      <c r="R288" s="625"/>
      <c r="S288" s="610">
        <v>8989.0877499999933</v>
      </c>
      <c r="T288" s="562"/>
      <c r="U288" s="504"/>
      <c r="V288" s="504"/>
      <c r="W288" s="504"/>
      <c r="X288" s="504"/>
      <c r="Y288" s="504"/>
      <c r="Z288" s="504"/>
      <c r="AA288" s="504"/>
      <c r="AB288" s="504"/>
      <c r="AC288" s="504"/>
      <c r="AD288" s="504"/>
      <c r="AE288" s="504"/>
      <c r="AF288" s="504"/>
      <c r="AG288" s="504"/>
      <c r="AH288" s="504"/>
      <c r="AI288" s="504"/>
      <c r="AJ288" s="504"/>
      <c r="AK288" s="504"/>
      <c r="AL288" s="504"/>
      <c r="AM288" s="504"/>
      <c r="AN288" s="504"/>
    </row>
    <row r="289" spans="1:40" ht="15.75" customHeight="1" thickTop="1">
      <c r="B289" s="499"/>
      <c r="C289" s="504"/>
      <c r="D289" s="504"/>
      <c r="E289" s="504"/>
      <c r="F289" s="504"/>
      <c r="G289" s="504"/>
      <c r="H289" s="504"/>
      <c r="I289" s="504"/>
      <c r="J289" s="504"/>
      <c r="K289" s="504"/>
      <c r="L289" s="565"/>
      <c r="M289" s="504"/>
      <c r="N289" s="504"/>
      <c r="O289" s="504"/>
      <c r="P289" s="504"/>
      <c r="Q289" s="504"/>
      <c r="R289" s="504"/>
      <c r="S289" s="504"/>
      <c r="T289" s="504"/>
      <c r="U289" s="504"/>
      <c r="V289" s="504"/>
      <c r="W289" s="504"/>
      <c r="X289" s="504"/>
      <c r="Y289" s="504"/>
      <c r="Z289" s="504"/>
      <c r="AA289" s="504"/>
      <c r="AB289" s="504"/>
      <c r="AC289" s="504"/>
      <c r="AD289" s="504"/>
      <c r="AE289" s="504"/>
      <c r="AF289" s="504"/>
      <c r="AG289" s="504"/>
      <c r="AH289" s="504"/>
      <c r="AI289" s="504"/>
      <c r="AJ289" s="504"/>
      <c r="AK289" s="504"/>
      <c r="AL289" s="504"/>
      <c r="AM289" s="504"/>
      <c r="AN289" s="504"/>
    </row>
    <row r="290" spans="1:40" ht="36" customHeight="1">
      <c r="B290" s="499"/>
      <c r="C290" s="496" t="s">
        <v>228</v>
      </c>
      <c r="D290" s="2"/>
      <c r="E290" s="2"/>
      <c r="F290" s="2"/>
      <c r="G290" s="2"/>
      <c r="H290" s="494"/>
      <c r="I290" s="494"/>
      <c r="J290" s="494"/>
      <c r="K290" s="3" t="s">
        <v>104</v>
      </c>
      <c r="L290" s="2"/>
      <c r="M290" s="2"/>
      <c r="N290" s="494"/>
      <c r="O290" s="494"/>
      <c r="P290" s="2"/>
      <c r="Q290" s="494"/>
      <c r="R290" s="2"/>
      <c r="S290" s="5" t="s">
        <v>496</v>
      </c>
      <c r="T290" s="504"/>
      <c r="U290" s="504"/>
      <c r="V290" s="504"/>
      <c r="W290" s="504"/>
      <c r="X290" s="504"/>
      <c r="Y290" s="504"/>
      <c r="Z290" s="504"/>
      <c r="AA290" s="504"/>
      <c r="AB290" s="504"/>
      <c r="AC290" s="504"/>
      <c r="AD290" s="504"/>
      <c r="AE290" s="504"/>
      <c r="AF290" s="504"/>
      <c r="AG290" s="504"/>
      <c r="AH290" s="504"/>
      <c r="AI290" s="504"/>
      <c r="AJ290" s="504"/>
      <c r="AK290" s="504"/>
      <c r="AL290" s="504"/>
      <c r="AM290" s="504"/>
      <c r="AN290" s="504"/>
    </row>
    <row r="291" spans="1:40" ht="15.75" customHeight="1" thickBot="1">
      <c r="B291" s="499"/>
      <c r="C291" s="8"/>
      <c r="D291" s="498"/>
      <c r="E291" s="498"/>
      <c r="F291" s="498"/>
      <c r="G291" s="498"/>
      <c r="H291" s="498"/>
      <c r="I291" s="498"/>
      <c r="J291" s="498"/>
      <c r="K291" s="498"/>
      <c r="L291" s="498"/>
      <c r="M291" s="498"/>
      <c r="N291" s="498"/>
      <c r="O291" s="498"/>
      <c r="P291" s="498"/>
      <c r="Q291" s="498"/>
      <c r="R291" s="498"/>
      <c r="S291" s="498"/>
      <c r="T291" s="504"/>
      <c r="U291" s="504"/>
      <c r="V291" s="504"/>
      <c r="W291" s="504"/>
      <c r="X291" s="504"/>
      <c r="Y291" s="504"/>
      <c r="Z291" s="504"/>
      <c r="AA291" s="504"/>
      <c r="AB291" s="504"/>
      <c r="AC291" s="504"/>
      <c r="AD291" s="504"/>
      <c r="AE291" s="504"/>
      <c r="AF291" s="504"/>
      <c r="AG291" s="504"/>
      <c r="AH291" s="504"/>
      <c r="AI291" s="504"/>
      <c r="AJ291" s="504"/>
      <c r="AK291" s="504"/>
      <c r="AL291" s="504"/>
      <c r="AM291" s="504"/>
      <c r="AN291" s="504"/>
    </row>
    <row r="292" spans="1:40" ht="15.75" customHeight="1" thickTop="1">
      <c r="B292" s="499"/>
      <c r="C292" s="500"/>
      <c r="D292" s="488" t="s">
        <v>5</v>
      </c>
      <c r="E292" s="501"/>
      <c r="F292" s="502"/>
      <c r="G292" s="489" t="s">
        <v>75</v>
      </c>
      <c r="H292" s="501"/>
      <c r="I292" s="502"/>
      <c r="J292" s="489" t="s">
        <v>7</v>
      </c>
      <c r="K292" s="501"/>
      <c r="L292" s="502"/>
      <c r="M292" s="489" t="s">
        <v>8</v>
      </c>
      <c r="N292" s="502"/>
      <c r="O292" s="488" t="s">
        <v>9</v>
      </c>
      <c r="P292" s="501"/>
      <c r="Q292" s="502"/>
      <c r="R292" s="489" t="s">
        <v>10</v>
      </c>
      <c r="S292" s="503"/>
      <c r="T292" s="504"/>
      <c r="U292" s="504"/>
      <c r="V292" s="504"/>
      <c r="W292" s="504"/>
      <c r="X292" s="504"/>
      <c r="Y292" s="504"/>
      <c r="Z292" s="504"/>
      <c r="AA292" s="504"/>
      <c r="AB292" s="504"/>
      <c r="AC292" s="504"/>
      <c r="AD292" s="504"/>
      <c r="AE292" s="504"/>
      <c r="AF292" s="504"/>
      <c r="AG292" s="504"/>
      <c r="AH292" s="504"/>
      <c r="AI292" s="504"/>
      <c r="AJ292" s="504"/>
      <c r="AK292" s="504"/>
      <c r="AL292" s="504"/>
      <c r="AM292" s="504"/>
      <c r="AN292" s="504"/>
    </row>
    <row r="293" spans="1:40" ht="15.75" customHeight="1">
      <c r="A293" s="493" t="s">
        <v>104</v>
      </c>
      <c r="B293" s="499" t="s">
        <v>104</v>
      </c>
      <c r="C293" s="513"/>
      <c r="D293" s="81" t="s">
        <v>85</v>
      </c>
      <c r="E293" s="81" t="s">
        <v>105</v>
      </c>
      <c r="F293" s="137" t="s">
        <v>13</v>
      </c>
      <c r="G293" s="138" t="s">
        <v>85</v>
      </c>
      <c r="H293" s="81" t="s">
        <v>105</v>
      </c>
      <c r="I293" s="137" t="s">
        <v>13</v>
      </c>
      <c r="J293" s="138" t="s">
        <v>85</v>
      </c>
      <c r="K293" s="81" t="s">
        <v>105</v>
      </c>
      <c r="L293" s="137" t="s">
        <v>13</v>
      </c>
      <c r="M293" s="138" t="s">
        <v>41</v>
      </c>
      <c r="N293" s="137" t="s">
        <v>13</v>
      </c>
      <c r="O293" s="81" t="s">
        <v>85</v>
      </c>
      <c r="P293" s="81" t="s">
        <v>105</v>
      </c>
      <c r="Q293" s="137" t="s">
        <v>13</v>
      </c>
      <c r="R293" s="138" t="s">
        <v>86</v>
      </c>
      <c r="S293" s="139" t="s">
        <v>13</v>
      </c>
      <c r="T293" s="504"/>
      <c r="U293" s="504"/>
      <c r="V293" s="504"/>
      <c r="W293" s="504"/>
      <c r="X293" s="504"/>
      <c r="Y293" s="504"/>
      <c r="Z293" s="504"/>
      <c r="AA293" s="504"/>
      <c r="AB293" s="504"/>
      <c r="AC293" s="504"/>
      <c r="AD293" s="504"/>
      <c r="AE293" s="504"/>
      <c r="AF293" s="504"/>
      <c r="AG293" s="504"/>
      <c r="AH293" s="504"/>
      <c r="AI293" s="504"/>
      <c r="AJ293" s="504"/>
      <c r="AK293" s="504"/>
      <c r="AL293" s="504"/>
      <c r="AM293" s="504"/>
      <c r="AN293" s="504"/>
    </row>
    <row r="294" spans="1:40" ht="15.75" customHeight="1">
      <c r="A294" s="493" t="s">
        <v>407</v>
      </c>
      <c r="B294" s="499" t="s">
        <v>104</v>
      </c>
      <c r="C294" s="513" t="s">
        <v>106</v>
      </c>
      <c r="D294" s="565">
        <v>79638.512157463789</v>
      </c>
      <c r="E294" s="622">
        <v>0.35811007851031496</v>
      </c>
      <c r="F294" s="567">
        <v>28519.353841154028</v>
      </c>
      <c r="G294" s="565">
        <v>79638.512157463789</v>
      </c>
      <c r="H294" s="622">
        <v>0.35811007851031496</v>
      </c>
      <c r="I294" s="567">
        <v>28519.353841154028</v>
      </c>
      <c r="J294" s="514">
        <v>83928.41</v>
      </c>
      <c r="K294" s="622">
        <v>0.35822696986634206</v>
      </c>
      <c r="L294" s="517">
        <v>30065.420000000002</v>
      </c>
      <c r="M294" s="628">
        <v>5.3867126925401278E-2</v>
      </c>
      <c r="N294" s="545">
        <v>1546.0661588459734</v>
      </c>
      <c r="O294" s="514">
        <v>68074.17</v>
      </c>
      <c r="P294" s="622">
        <v>0.36506651494979658</v>
      </c>
      <c r="Q294" s="517">
        <v>24851.599999999995</v>
      </c>
      <c r="R294" s="628">
        <v>0.2328965597377097</v>
      </c>
      <c r="S294" s="567">
        <v>5213.820000000007</v>
      </c>
      <c r="T294" s="504"/>
      <c r="U294" s="504"/>
      <c r="V294" s="504"/>
      <c r="W294" s="504"/>
      <c r="X294" s="504"/>
      <c r="Y294" s="504"/>
      <c r="Z294" s="504"/>
      <c r="AA294" s="504"/>
      <c r="AB294" s="504"/>
      <c r="AC294" s="504"/>
      <c r="AD294" s="504"/>
      <c r="AE294" s="504"/>
      <c r="AF294" s="504"/>
      <c r="AG294" s="504"/>
      <c r="AH294" s="504"/>
      <c r="AI294" s="504"/>
      <c r="AJ294" s="504"/>
      <c r="AK294" s="504"/>
      <c r="AL294" s="504"/>
      <c r="AM294" s="504"/>
      <c r="AN294" s="504"/>
    </row>
    <row r="295" spans="1:40" ht="15.75" customHeight="1">
      <c r="A295" s="493" t="s">
        <v>408</v>
      </c>
      <c r="B295" s="499" t="s">
        <v>104</v>
      </c>
      <c r="C295" s="513" t="s">
        <v>107</v>
      </c>
      <c r="D295" s="565">
        <v>39425.477605529792</v>
      </c>
      <c r="E295" s="622">
        <v>0.2571723304036081</v>
      </c>
      <c r="F295" s="567">
        <v>10139.14195308936</v>
      </c>
      <c r="G295" s="565">
        <v>39425.477605529792</v>
      </c>
      <c r="H295" s="622">
        <v>0.2571723304036081</v>
      </c>
      <c r="I295" s="567">
        <v>10139.14195308936</v>
      </c>
      <c r="J295" s="514">
        <v>67001.09</v>
      </c>
      <c r="K295" s="622">
        <v>0.24541615666252586</v>
      </c>
      <c r="L295" s="517">
        <v>16443.149999999994</v>
      </c>
      <c r="M295" s="628">
        <v>0.69943635611411004</v>
      </c>
      <c r="N295" s="545">
        <v>6304.0080469106342</v>
      </c>
      <c r="O295" s="514">
        <v>27184.52</v>
      </c>
      <c r="P295" s="622">
        <v>0.24658371749804661</v>
      </c>
      <c r="Q295" s="517">
        <v>6703.2599999999984</v>
      </c>
      <c r="R295" s="628">
        <v>1.464678059424996</v>
      </c>
      <c r="S295" s="567">
        <v>9739.8899999999958</v>
      </c>
      <c r="T295" s="504"/>
      <c r="U295" s="504"/>
      <c r="V295" s="504"/>
      <c r="W295" s="504"/>
      <c r="X295" s="504"/>
      <c r="Y295" s="504"/>
      <c r="Z295" s="504"/>
      <c r="AA295" s="504"/>
      <c r="AB295" s="504"/>
      <c r="AC295" s="504"/>
      <c r="AD295" s="504"/>
      <c r="AE295" s="504"/>
      <c r="AF295" s="504"/>
      <c r="AG295" s="504"/>
      <c r="AH295" s="504"/>
      <c r="AI295" s="504"/>
      <c r="AJ295" s="504"/>
      <c r="AK295" s="504"/>
      <c r="AL295" s="504"/>
      <c r="AM295" s="504"/>
      <c r="AN295" s="504"/>
    </row>
    <row r="296" spans="1:40" ht="15.75" customHeight="1">
      <c r="A296" s="493" t="s">
        <v>409</v>
      </c>
      <c r="B296" s="499" t="s">
        <v>104</v>
      </c>
      <c r="C296" s="513" t="s">
        <v>108</v>
      </c>
      <c r="D296" s="565">
        <v>92243.89391869164</v>
      </c>
      <c r="E296" s="622">
        <v>0.24177651145507992</v>
      </c>
      <c r="F296" s="567">
        <v>22302.406874693726</v>
      </c>
      <c r="G296" s="565">
        <v>92243.89391869164</v>
      </c>
      <c r="H296" s="622">
        <v>0.24177651145507992</v>
      </c>
      <c r="I296" s="567">
        <v>22302.406874693726</v>
      </c>
      <c r="J296" s="514">
        <v>33824.31</v>
      </c>
      <c r="K296" s="622">
        <v>0.2547091130609907</v>
      </c>
      <c r="L296" s="517">
        <v>8615.3599999999969</v>
      </c>
      <c r="M296" s="628">
        <v>-0.63331654201616394</v>
      </c>
      <c r="N296" s="545">
        <v>-13687.046874693729</v>
      </c>
      <c r="O296" s="514">
        <v>79594.67</v>
      </c>
      <c r="P296" s="622">
        <v>0.23625149774476106</v>
      </c>
      <c r="Q296" s="517">
        <v>18804.36</v>
      </c>
      <c r="R296" s="628">
        <v>-0.57504302737859203</v>
      </c>
      <c r="S296" s="567">
        <v>-10189.000000000004</v>
      </c>
      <c r="T296" s="504"/>
      <c r="U296" s="504"/>
      <c r="V296" s="504"/>
      <c r="W296" s="504"/>
      <c r="X296" s="504"/>
      <c r="Y296" s="504"/>
      <c r="Z296" s="504"/>
      <c r="AA296" s="504"/>
      <c r="AB296" s="504"/>
      <c r="AC296" s="504"/>
      <c r="AD296" s="504"/>
      <c r="AE296" s="504"/>
      <c r="AF296" s="504"/>
      <c r="AG296" s="504"/>
      <c r="AH296" s="504"/>
      <c r="AI296" s="504"/>
      <c r="AJ296" s="504"/>
      <c r="AK296" s="504"/>
      <c r="AL296" s="504"/>
      <c r="AM296" s="504"/>
      <c r="AN296" s="504"/>
    </row>
    <row r="297" spans="1:40" ht="15.75" customHeight="1">
      <c r="A297" s="493" t="s">
        <v>410</v>
      </c>
      <c r="B297" s="499" t="s">
        <v>104</v>
      </c>
      <c r="C297" s="513" t="s">
        <v>109</v>
      </c>
      <c r="D297" s="565">
        <v>58194.152808607272</v>
      </c>
      <c r="E297" s="622">
        <v>0.32393223852119107</v>
      </c>
      <c r="F297" s="567">
        <v>18850.962188136411</v>
      </c>
      <c r="G297" s="565">
        <v>58194.152808607272</v>
      </c>
      <c r="H297" s="622">
        <v>0.32393223852119107</v>
      </c>
      <c r="I297" s="567">
        <v>18850.962188136411</v>
      </c>
      <c r="J297" s="514">
        <v>49568.800000000003</v>
      </c>
      <c r="K297" s="622">
        <v>0.31772082438953536</v>
      </c>
      <c r="L297" s="517">
        <v>15749.04</v>
      </c>
      <c r="M297" s="628">
        <v>-0.14821682922294432</v>
      </c>
      <c r="N297" s="545">
        <v>-3101.9221881364101</v>
      </c>
      <c r="O297" s="514">
        <v>52618.64</v>
      </c>
      <c r="P297" s="622">
        <v>0.29299750050552426</v>
      </c>
      <c r="Q297" s="517">
        <v>15417.129999999997</v>
      </c>
      <c r="R297" s="628">
        <v>-5.7961209183665645E-2</v>
      </c>
      <c r="S297" s="567">
        <v>331.91000000000349</v>
      </c>
      <c r="T297" s="504"/>
      <c r="U297" s="504"/>
      <c r="V297" s="504"/>
      <c r="W297" s="504"/>
      <c r="X297" s="504"/>
      <c r="Y297" s="504"/>
      <c r="Z297" s="504"/>
      <c r="AA297" s="504"/>
      <c r="AB297" s="504"/>
      <c r="AC297" s="504"/>
      <c r="AD297" s="504"/>
      <c r="AE297" s="504"/>
      <c r="AF297" s="504"/>
      <c r="AG297" s="504"/>
      <c r="AH297" s="504"/>
      <c r="AI297" s="504"/>
      <c r="AJ297" s="504"/>
      <c r="AK297" s="504"/>
      <c r="AL297" s="504"/>
      <c r="AM297" s="504"/>
      <c r="AN297" s="504"/>
    </row>
    <row r="298" spans="1:40" ht="15.75" customHeight="1">
      <c r="A298" s="493" t="s">
        <v>411</v>
      </c>
      <c r="B298" s="499" t="s">
        <v>104</v>
      </c>
      <c r="C298" s="513" t="s">
        <v>110</v>
      </c>
      <c r="D298" s="565">
        <v>17935.903365990547</v>
      </c>
      <c r="E298" s="622">
        <v>0.28113730707120016</v>
      </c>
      <c r="F298" s="567">
        <v>5042.4515722038568</v>
      </c>
      <c r="G298" s="565">
        <v>17935.903365990547</v>
      </c>
      <c r="H298" s="622">
        <v>0.28113730707120016</v>
      </c>
      <c r="I298" s="567">
        <v>5042.4515722038568</v>
      </c>
      <c r="J298" s="514">
        <v>18487.63</v>
      </c>
      <c r="K298" s="622">
        <v>0.25925010398845072</v>
      </c>
      <c r="L298" s="517">
        <v>4792.9200000000019</v>
      </c>
      <c r="M298" s="628">
        <v>3.0761017315448922E-2</v>
      </c>
      <c r="N298" s="545">
        <v>-249.53157220385492</v>
      </c>
      <c r="O298" s="514">
        <v>14457.31</v>
      </c>
      <c r="P298" s="622">
        <v>0.29024209897968567</v>
      </c>
      <c r="Q298" s="517">
        <v>4196.119999999999</v>
      </c>
      <c r="R298" s="628">
        <v>0.2787738521204845</v>
      </c>
      <c r="S298" s="567">
        <v>596.80000000000291</v>
      </c>
      <c r="T298" s="504"/>
      <c r="U298" s="504"/>
      <c r="V298" s="504"/>
      <c r="W298" s="504"/>
      <c r="X298" s="504"/>
      <c r="Y298" s="504"/>
      <c r="Z298" s="504"/>
      <c r="AA298" s="504"/>
      <c r="AB298" s="504"/>
      <c r="AC298" s="504"/>
      <c r="AD298" s="504"/>
      <c r="AE298" s="504"/>
      <c r="AF298" s="504"/>
      <c r="AG298" s="504"/>
      <c r="AH298" s="504"/>
      <c r="AI298" s="504"/>
      <c r="AJ298" s="504"/>
      <c r="AK298" s="504"/>
      <c r="AL298" s="504"/>
      <c r="AM298" s="504"/>
      <c r="AN298" s="504"/>
    </row>
    <row r="299" spans="1:40" ht="15.75" customHeight="1">
      <c r="A299" s="493" t="s">
        <v>412</v>
      </c>
      <c r="B299" s="499" t="s">
        <v>104</v>
      </c>
      <c r="C299" s="513" t="s">
        <v>111</v>
      </c>
      <c r="D299" s="565">
        <v>47625.131397946105</v>
      </c>
      <c r="E299" s="622">
        <v>0.18194830719212418</v>
      </c>
      <c r="F299" s="567">
        <v>8665.3120376587758</v>
      </c>
      <c r="G299" s="565">
        <v>47625.131397946105</v>
      </c>
      <c r="H299" s="622">
        <v>0.18194830719212418</v>
      </c>
      <c r="I299" s="567">
        <v>8665.3120376587758</v>
      </c>
      <c r="J299" s="514">
        <v>77684.11</v>
      </c>
      <c r="K299" s="622">
        <v>0.2043779609498004</v>
      </c>
      <c r="L299" s="517">
        <v>15876.919999999998</v>
      </c>
      <c r="M299" s="628">
        <v>0.63115791431391677</v>
      </c>
      <c r="N299" s="545">
        <v>7211.6079623412224</v>
      </c>
      <c r="O299" s="514">
        <v>33246.97</v>
      </c>
      <c r="P299" s="622">
        <v>0.1798897764217311</v>
      </c>
      <c r="Q299" s="517">
        <v>5980.7900000000009</v>
      </c>
      <c r="R299" s="628">
        <v>1.3365771377060827</v>
      </c>
      <c r="S299" s="567">
        <v>9896.1299999999974</v>
      </c>
      <c r="T299" s="504"/>
      <c r="U299" s="504"/>
      <c r="V299" s="504"/>
      <c r="W299" s="504"/>
      <c r="X299" s="504"/>
      <c r="Y299" s="504"/>
      <c r="Z299" s="504"/>
      <c r="AA299" s="504"/>
      <c r="AB299" s="504"/>
      <c r="AC299" s="504"/>
      <c r="AD299" s="504"/>
      <c r="AE299" s="504"/>
      <c r="AF299" s="504"/>
      <c r="AG299" s="504"/>
      <c r="AH299" s="504"/>
      <c r="AI299" s="504"/>
      <c r="AJ299" s="504"/>
      <c r="AK299" s="504"/>
      <c r="AL299" s="504"/>
      <c r="AM299" s="504"/>
      <c r="AN299" s="504"/>
    </row>
    <row r="300" spans="1:40" ht="15.75" hidden="1" customHeight="1">
      <c r="A300" s="493" t="s">
        <v>413</v>
      </c>
      <c r="B300" s="499" t="s">
        <v>104</v>
      </c>
      <c r="C300" s="513" t="s">
        <v>21</v>
      </c>
      <c r="D300" s="565">
        <v>0</v>
      </c>
      <c r="E300" s="622">
        <v>0</v>
      </c>
      <c r="F300" s="567">
        <v>0</v>
      </c>
      <c r="G300" s="565">
        <v>0</v>
      </c>
      <c r="H300" s="622">
        <v>0</v>
      </c>
      <c r="I300" s="567">
        <v>0</v>
      </c>
      <c r="J300" s="514">
        <v>0</v>
      </c>
      <c r="K300" s="622">
        <v>0</v>
      </c>
      <c r="L300" s="517">
        <v>0</v>
      </c>
      <c r="M300" s="628" t="e">
        <v>#DIV/0!</v>
      </c>
      <c r="N300" s="545">
        <v>0</v>
      </c>
      <c r="O300" s="514">
        <v>0</v>
      </c>
      <c r="P300" s="622">
        <v>0</v>
      </c>
      <c r="Q300" s="517">
        <v>0</v>
      </c>
      <c r="R300" s="628">
        <v>0</v>
      </c>
      <c r="S300" s="567">
        <v>0</v>
      </c>
      <c r="T300" s="504"/>
      <c r="U300" s="504"/>
      <c r="V300" s="504"/>
      <c r="W300" s="504"/>
      <c r="X300" s="504"/>
      <c r="Y300" s="504"/>
      <c r="Z300" s="504"/>
      <c r="AA300" s="504"/>
      <c r="AB300" s="504"/>
      <c r="AC300" s="504"/>
      <c r="AD300" s="504"/>
      <c r="AE300" s="504"/>
      <c r="AF300" s="504"/>
      <c r="AG300" s="504"/>
      <c r="AH300" s="504"/>
      <c r="AI300" s="504"/>
      <c r="AJ300" s="504"/>
      <c r="AK300" s="504"/>
      <c r="AL300" s="504"/>
      <c r="AM300" s="504"/>
      <c r="AN300" s="504"/>
    </row>
    <row r="301" spans="1:40" ht="15.75" customHeight="1">
      <c r="A301" s="493" t="s">
        <v>414</v>
      </c>
      <c r="B301" s="499" t="s">
        <v>104</v>
      </c>
      <c r="C301" s="513" t="s">
        <v>112</v>
      </c>
      <c r="D301" s="565">
        <v>0</v>
      </c>
      <c r="E301" s="622">
        <v>0</v>
      </c>
      <c r="F301" s="567">
        <v>5552.7700700431051</v>
      </c>
      <c r="G301" s="565">
        <v>0</v>
      </c>
      <c r="H301" s="622">
        <v>0</v>
      </c>
      <c r="I301" s="567">
        <v>5552.7700700431051</v>
      </c>
      <c r="J301" s="514">
        <v>0</v>
      </c>
      <c r="K301" s="622">
        <v>0</v>
      </c>
      <c r="L301" s="517">
        <v>8774.8799999999992</v>
      </c>
      <c r="M301" s="628"/>
      <c r="N301" s="545">
        <v>3222.1099299568941</v>
      </c>
      <c r="O301" s="514">
        <v>0</v>
      </c>
      <c r="P301" s="622">
        <v>0</v>
      </c>
      <c r="Q301" s="517">
        <v>10251.25</v>
      </c>
      <c r="R301" s="628">
        <v>0</v>
      </c>
      <c r="S301" s="567">
        <v>-1476.3700000000008</v>
      </c>
      <c r="T301" s="504"/>
      <c r="U301" s="504"/>
      <c r="V301" s="504"/>
      <c r="W301" s="504"/>
      <c r="X301" s="504"/>
      <c r="Y301" s="504"/>
      <c r="Z301" s="504"/>
      <c r="AA301" s="504"/>
      <c r="AB301" s="504"/>
      <c r="AC301" s="504"/>
      <c r="AD301" s="504"/>
      <c r="AE301" s="504"/>
      <c r="AF301" s="504"/>
      <c r="AG301" s="504"/>
      <c r="AH301" s="504"/>
      <c r="AI301" s="504"/>
      <c r="AJ301" s="504"/>
      <c r="AK301" s="504"/>
      <c r="AL301" s="504"/>
      <c r="AM301" s="504"/>
      <c r="AN301" s="504"/>
    </row>
    <row r="302" spans="1:40" ht="15.75" customHeight="1">
      <c r="A302" s="493" t="s">
        <v>415</v>
      </c>
      <c r="B302" s="499" t="s">
        <v>104</v>
      </c>
      <c r="C302" s="568" t="s">
        <v>113</v>
      </c>
      <c r="D302" s="565">
        <v>0</v>
      </c>
      <c r="E302" s="622">
        <v>0</v>
      </c>
      <c r="F302" s="567">
        <v>0</v>
      </c>
      <c r="G302" s="565">
        <v>0</v>
      </c>
      <c r="H302" s="622">
        <v>0</v>
      </c>
      <c r="I302" s="567">
        <v>0</v>
      </c>
      <c r="J302" s="514">
        <v>0</v>
      </c>
      <c r="K302" s="622">
        <v>0</v>
      </c>
      <c r="L302" s="517">
        <v>0</v>
      </c>
      <c r="M302" s="628"/>
      <c r="N302" s="545">
        <v>0</v>
      </c>
      <c r="O302" s="514">
        <v>0</v>
      </c>
      <c r="P302" s="622">
        <v>0</v>
      </c>
      <c r="Q302" s="517">
        <v>0</v>
      </c>
      <c r="R302" s="628">
        <v>0</v>
      </c>
      <c r="S302" s="567">
        <v>0</v>
      </c>
      <c r="T302" s="504"/>
      <c r="U302" s="504"/>
      <c r="V302" s="504"/>
      <c r="W302" s="504"/>
      <c r="X302" s="504"/>
      <c r="Y302" s="504"/>
      <c r="Z302" s="504"/>
      <c r="AA302" s="504"/>
      <c r="AB302" s="504"/>
      <c r="AC302" s="504"/>
      <c r="AD302" s="504"/>
      <c r="AE302" s="504"/>
      <c r="AF302" s="504"/>
      <c r="AG302" s="504"/>
      <c r="AH302" s="504"/>
      <c r="AI302" s="504"/>
      <c r="AJ302" s="504"/>
      <c r="AK302" s="504"/>
      <c r="AL302" s="504"/>
      <c r="AM302" s="504"/>
      <c r="AN302" s="504"/>
    </row>
    <row r="303" spans="1:40" ht="15.75" customHeight="1">
      <c r="A303" s="493" t="s">
        <v>416</v>
      </c>
      <c r="B303" s="499" t="s">
        <v>104</v>
      </c>
      <c r="C303" s="538" t="s">
        <v>114</v>
      </c>
      <c r="D303" s="669">
        <v>335063.07125422917</v>
      </c>
      <c r="E303" s="688">
        <v>0.29568283417842867</v>
      </c>
      <c r="F303" s="673">
        <v>99072.398536979264</v>
      </c>
      <c r="G303" s="669">
        <v>335063.07125422917</v>
      </c>
      <c r="H303" s="688">
        <v>0.29568283417842867</v>
      </c>
      <c r="I303" s="673">
        <v>99072.398536979264</v>
      </c>
      <c r="J303" s="669">
        <v>330494.34999999998</v>
      </c>
      <c r="K303" s="688">
        <v>0.30353829044278674</v>
      </c>
      <c r="L303" s="671">
        <v>100317.69</v>
      </c>
      <c r="M303" s="689">
        <v>-1.363540672246354E-2</v>
      </c>
      <c r="N303" s="671">
        <v>1245.2914630207379</v>
      </c>
      <c r="O303" s="669">
        <v>275176.28000000003</v>
      </c>
      <c r="P303" s="688">
        <v>0.31327013360308514</v>
      </c>
      <c r="Q303" s="671">
        <v>86204.50999999998</v>
      </c>
      <c r="R303" s="689">
        <v>0.20102775573534151</v>
      </c>
      <c r="S303" s="673">
        <v>14113.180000000022</v>
      </c>
      <c r="T303" s="504"/>
      <c r="U303" s="504"/>
      <c r="V303" s="504"/>
      <c r="W303" s="504"/>
      <c r="X303" s="504"/>
      <c r="Y303" s="504"/>
      <c r="Z303" s="504"/>
      <c r="AA303" s="504"/>
      <c r="AB303" s="504"/>
      <c r="AC303" s="504"/>
      <c r="AD303" s="504"/>
      <c r="AE303" s="504"/>
      <c r="AF303" s="504"/>
      <c r="AG303" s="504"/>
      <c r="AH303" s="504"/>
      <c r="AI303" s="504"/>
      <c r="AJ303" s="504"/>
      <c r="AK303" s="504"/>
      <c r="AL303" s="504"/>
      <c r="AM303" s="504"/>
      <c r="AN303" s="504"/>
    </row>
    <row r="304" spans="1:40" ht="15.75" customHeight="1">
      <c r="A304" s="493" t="s">
        <v>104</v>
      </c>
      <c r="B304" s="499" t="s">
        <v>104</v>
      </c>
      <c r="C304" s="513"/>
      <c r="D304" s="504"/>
      <c r="E304" s="504"/>
      <c r="F304" s="524"/>
      <c r="G304" s="525"/>
      <c r="H304" s="504"/>
      <c r="I304" s="524"/>
      <c r="J304" s="525"/>
      <c r="K304" s="504"/>
      <c r="L304" s="524"/>
      <c r="M304" s="525"/>
      <c r="N304" s="527">
        <v>1.2569509585012486E-2</v>
      </c>
      <c r="O304" s="525"/>
      <c r="P304" s="504"/>
      <c r="Q304" s="524"/>
      <c r="R304" s="525"/>
      <c r="S304" s="528">
        <v>0.16371742035306536</v>
      </c>
      <c r="T304" s="504"/>
      <c r="U304" s="504"/>
      <c r="V304" s="504"/>
      <c r="W304" s="504"/>
      <c r="X304" s="504"/>
      <c r="Y304" s="504"/>
      <c r="Z304" s="504"/>
      <c r="AA304" s="504"/>
      <c r="AB304" s="504"/>
      <c r="AC304" s="504"/>
      <c r="AD304" s="504"/>
      <c r="AE304" s="504"/>
      <c r="AF304" s="504"/>
      <c r="AG304" s="504"/>
      <c r="AH304" s="504"/>
      <c r="AI304" s="504"/>
      <c r="AJ304" s="504"/>
      <c r="AK304" s="504"/>
      <c r="AL304" s="504"/>
      <c r="AM304" s="504"/>
      <c r="AN304" s="504"/>
    </row>
    <row r="305" spans="1:40" ht="15.75" customHeight="1">
      <c r="A305" s="493" t="s">
        <v>104</v>
      </c>
      <c r="B305" s="499" t="s">
        <v>104</v>
      </c>
      <c r="C305" s="568"/>
      <c r="D305" s="592"/>
      <c r="E305" s="592"/>
      <c r="F305" s="690"/>
      <c r="G305" s="509"/>
      <c r="H305" s="691"/>
      <c r="I305" s="690"/>
      <c r="J305" s="509"/>
      <c r="K305" s="592"/>
      <c r="L305" s="690"/>
      <c r="M305" s="509"/>
      <c r="N305" s="640"/>
      <c r="O305" s="509"/>
      <c r="P305" s="592"/>
      <c r="Q305" s="690"/>
      <c r="R305" s="509"/>
      <c r="S305" s="641"/>
      <c r="T305" s="504"/>
      <c r="U305" s="504"/>
      <c r="V305" s="504"/>
      <c r="W305" s="504"/>
      <c r="X305" s="504"/>
      <c r="Y305" s="504"/>
      <c r="Z305" s="504"/>
      <c r="AA305" s="504"/>
      <c r="AB305" s="504"/>
      <c r="AC305" s="504"/>
      <c r="AD305" s="504"/>
      <c r="AE305" s="504"/>
      <c r="AF305" s="504"/>
      <c r="AG305" s="504"/>
      <c r="AH305" s="504"/>
      <c r="AI305" s="504"/>
      <c r="AJ305" s="504"/>
      <c r="AK305" s="504"/>
      <c r="AL305" s="504"/>
      <c r="AM305" s="504"/>
      <c r="AN305" s="504"/>
    </row>
    <row r="306" spans="1:40" ht="15.75" customHeight="1">
      <c r="A306" s="493" t="s">
        <v>417</v>
      </c>
      <c r="B306" s="499" t="s">
        <v>104</v>
      </c>
      <c r="C306" s="513" t="s">
        <v>115</v>
      </c>
      <c r="D306" s="565">
        <v>40235.745737282341</v>
      </c>
      <c r="E306" s="622">
        <v>0.1816444838198383</v>
      </c>
      <c r="F306" s="591">
        <v>7308.6012655549102</v>
      </c>
      <c r="G306" s="565">
        <v>40235.745737282341</v>
      </c>
      <c r="H306" s="622">
        <v>0.1816444838198383</v>
      </c>
      <c r="I306" s="591">
        <v>7308.6012655549102</v>
      </c>
      <c r="J306" s="514">
        <v>38052.43</v>
      </c>
      <c r="K306" s="622">
        <v>0.19238298316296751</v>
      </c>
      <c r="L306" s="517">
        <v>7320.6399999999994</v>
      </c>
      <c r="M306" s="628">
        <v>-5.4263086150762849E-2</v>
      </c>
      <c r="N306" s="545">
        <v>12.038734445089176</v>
      </c>
      <c r="O306" s="514">
        <v>41678.730000000003</v>
      </c>
      <c r="P306" s="622">
        <v>0.17140613449594086</v>
      </c>
      <c r="Q306" s="517">
        <v>7143.9900000000052</v>
      </c>
      <c r="R306" s="628">
        <v>-8.7006010019979083E-2</v>
      </c>
      <c r="S306" s="567">
        <v>176.64999999999418</v>
      </c>
      <c r="T306" s="504"/>
      <c r="U306" s="504"/>
      <c r="V306" s="504"/>
      <c r="W306" s="504"/>
      <c r="X306" s="504"/>
      <c r="Y306" s="504"/>
      <c r="Z306" s="504"/>
      <c r="AA306" s="504"/>
      <c r="AB306" s="504"/>
      <c r="AC306" s="504"/>
      <c r="AD306" s="504"/>
      <c r="AE306" s="504"/>
      <c r="AF306" s="504"/>
      <c r="AG306" s="504"/>
      <c r="AH306" s="504"/>
      <c r="AI306" s="504"/>
      <c r="AJ306" s="504"/>
      <c r="AK306" s="504"/>
      <c r="AL306" s="504"/>
      <c r="AM306" s="504"/>
      <c r="AN306" s="504"/>
    </row>
    <row r="307" spans="1:40" ht="15.75" customHeight="1">
      <c r="A307" s="493" t="s">
        <v>418</v>
      </c>
      <c r="B307" s="499" t="s">
        <v>104</v>
      </c>
      <c r="C307" s="568" t="s">
        <v>116</v>
      </c>
      <c r="D307" s="565">
        <v>20439.505143727129</v>
      </c>
      <c r="E307" s="622">
        <v>0.29130399895825637</v>
      </c>
      <c r="F307" s="574">
        <v>5954.1095850955635</v>
      </c>
      <c r="G307" s="565">
        <v>20439.505143727129</v>
      </c>
      <c r="H307" s="622">
        <v>0.29130399895825637</v>
      </c>
      <c r="I307" s="574">
        <v>5954.1095850955635</v>
      </c>
      <c r="J307" s="514">
        <v>27425.81</v>
      </c>
      <c r="K307" s="622">
        <v>0.30604237395358613</v>
      </c>
      <c r="L307" s="517">
        <v>8393.4600000000028</v>
      </c>
      <c r="M307" s="628">
        <v>0.34180401174814967</v>
      </c>
      <c r="N307" s="545">
        <v>2439.3504149044393</v>
      </c>
      <c r="O307" s="514">
        <v>17764.38</v>
      </c>
      <c r="P307" s="622">
        <v>0.29562416476116821</v>
      </c>
      <c r="Q307" s="517">
        <v>5251.5800000000017</v>
      </c>
      <c r="R307" s="628">
        <v>0.54386530799273602</v>
      </c>
      <c r="S307" s="567">
        <v>3141.880000000001</v>
      </c>
      <c r="T307" s="504"/>
      <c r="U307" s="504"/>
      <c r="V307" s="504"/>
      <c r="W307" s="504"/>
      <c r="X307" s="504"/>
      <c r="Y307" s="504"/>
      <c r="Z307" s="504"/>
      <c r="AA307" s="504"/>
      <c r="AB307" s="504"/>
      <c r="AC307" s="504"/>
      <c r="AD307" s="504"/>
      <c r="AE307" s="504"/>
      <c r="AF307" s="504"/>
      <c r="AG307" s="504"/>
      <c r="AH307" s="504"/>
      <c r="AI307" s="504"/>
      <c r="AJ307" s="504"/>
      <c r="AK307" s="504"/>
      <c r="AL307" s="504"/>
      <c r="AM307" s="504"/>
      <c r="AN307" s="504"/>
    </row>
    <row r="308" spans="1:40" ht="15.75" customHeight="1">
      <c r="A308" s="493" t="s">
        <v>419</v>
      </c>
      <c r="B308" s="499" t="s">
        <v>104</v>
      </c>
      <c r="C308" s="538" t="s">
        <v>117</v>
      </c>
      <c r="D308" s="669">
        <v>395738.32213523862</v>
      </c>
      <c r="E308" s="688">
        <v>0.28386209549157743</v>
      </c>
      <c r="F308" s="671">
        <v>112335.10938762974</v>
      </c>
      <c r="G308" s="672">
        <v>395738.32213523862</v>
      </c>
      <c r="H308" s="688">
        <v>0.28386209549157743</v>
      </c>
      <c r="I308" s="671">
        <v>112335.10938762974</v>
      </c>
      <c r="J308" s="672">
        <v>395972.58999999997</v>
      </c>
      <c r="K308" s="688">
        <v>0.29302985340475213</v>
      </c>
      <c r="L308" s="671">
        <v>116031.79000000001</v>
      </c>
      <c r="M308" s="689">
        <v>5.9197669686710831E-4</v>
      </c>
      <c r="N308" s="671">
        <v>3696.68061237027</v>
      </c>
      <c r="O308" s="672">
        <v>334619.39</v>
      </c>
      <c r="P308" s="688">
        <v>0.29466337859261527</v>
      </c>
      <c r="Q308" s="671">
        <v>98600.079999999987</v>
      </c>
      <c r="R308" s="689">
        <v>0.18335219605773578</v>
      </c>
      <c r="S308" s="673">
        <v>17431.710000000021</v>
      </c>
      <c r="T308" s="504"/>
      <c r="U308" s="504"/>
      <c r="V308" s="504"/>
      <c r="W308" s="504"/>
      <c r="X308" s="504"/>
      <c r="Y308" s="504"/>
      <c r="Z308" s="504"/>
      <c r="AA308" s="504"/>
      <c r="AB308" s="504"/>
      <c r="AC308" s="504"/>
      <c r="AD308" s="504"/>
      <c r="AE308" s="504"/>
      <c r="AF308" s="504"/>
      <c r="AG308" s="504"/>
      <c r="AH308" s="504"/>
      <c r="AI308" s="504"/>
      <c r="AJ308" s="504"/>
      <c r="AK308" s="504"/>
      <c r="AL308" s="504"/>
      <c r="AM308" s="504"/>
      <c r="AN308" s="504"/>
    </row>
    <row r="309" spans="1:40" ht="15.75" customHeight="1">
      <c r="A309" s="493" t="s">
        <v>104</v>
      </c>
      <c r="B309" s="499" t="s">
        <v>104</v>
      </c>
      <c r="C309" s="513"/>
      <c r="D309" s="504"/>
      <c r="E309" s="504"/>
      <c r="F309" s="524"/>
      <c r="G309" s="525"/>
      <c r="H309" s="504"/>
      <c r="I309" s="524"/>
      <c r="J309" s="525"/>
      <c r="K309" s="504"/>
      <c r="L309" s="524"/>
      <c r="M309" s="525"/>
      <c r="N309" s="527">
        <v>3.2907615726925583E-2</v>
      </c>
      <c r="O309" s="525"/>
      <c r="P309" s="504"/>
      <c r="Q309" s="524"/>
      <c r="R309" s="525"/>
      <c r="S309" s="528">
        <v>0.17679204722754813</v>
      </c>
      <c r="T309" s="504"/>
      <c r="U309" s="504"/>
      <c r="V309" s="504"/>
      <c r="W309" s="504"/>
      <c r="X309" s="504"/>
      <c r="Y309" s="504"/>
      <c r="Z309" s="504"/>
      <c r="AA309" s="504"/>
      <c r="AB309" s="504"/>
      <c r="AC309" s="504"/>
      <c r="AD309" s="504"/>
      <c r="AE309" s="504"/>
      <c r="AF309" s="504"/>
      <c r="AG309" s="504"/>
      <c r="AH309" s="504"/>
      <c r="AI309" s="504"/>
      <c r="AJ309" s="504"/>
      <c r="AK309" s="504"/>
      <c r="AL309" s="504"/>
      <c r="AM309" s="504"/>
      <c r="AN309" s="504"/>
    </row>
    <row r="310" spans="1:40" ht="15.75" customHeight="1">
      <c r="A310" s="493" t="s">
        <v>104</v>
      </c>
      <c r="B310" s="499" t="s">
        <v>104</v>
      </c>
      <c r="C310" s="513"/>
      <c r="D310" s="504"/>
      <c r="E310" s="504"/>
      <c r="F310" s="524"/>
      <c r="G310" s="525"/>
      <c r="H310" s="504"/>
      <c r="I310" s="524"/>
      <c r="J310" s="525"/>
      <c r="K310" s="504"/>
      <c r="L310" s="524"/>
      <c r="M310" s="525"/>
      <c r="N310" s="527"/>
      <c r="O310" s="525"/>
      <c r="P310" s="504"/>
      <c r="Q310" s="524"/>
      <c r="R310" s="525"/>
      <c r="S310" s="528"/>
      <c r="T310" s="504"/>
      <c r="U310" s="504"/>
      <c r="V310" s="504"/>
      <c r="W310" s="504"/>
      <c r="X310" s="504"/>
      <c r="Y310" s="504"/>
      <c r="Z310" s="504"/>
      <c r="AA310" s="504"/>
      <c r="AB310" s="504"/>
      <c r="AC310" s="504"/>
      <c r="AD310" s="504"/>
      <c r="AE310" s="504"/>
      <c r="AF310" s="504"/>
      <c r="AG310" s="504"/>
      <c r="AH310" s="504"/>
      <c r="AI310" s="504"/>
      <c r="AJ310" s="504"/>
      <c r="AK310" s="504"/>
      <c r="AL310" s="504"/>
      <c r="AM310" s="504"/>
      <c r="AN310" s="504"/>
    </row>
    <row r="311" spans="1:40" ht="15.75" customHeight="1">
      <c r="A311" s="493" t="s">
        <v>420</v>
      </c>
      <c r="B311" s="499" t="s">
        <v>104</v>
      </c>
      <c r="C311" s="568" t="s">
        <v>118</v>
      </c>
      <c r="D311" s="571">
        <v>0</v>
      </c>
      <c r="E311" s="692">
        <v>0</v>
      </c>
      <c r="F311" s="620">
        <v>0</v>
      </c>
      <c r="G311" s="645">
        <v>0</v>
      </c>
      <c r="H311" s="692">
        <v>0</v>
      </c>
      <c r="I311" s="620">
        <v>0</v>
      </c>
      <c r="J311" s="530">
        <v>0</v>
      </c>
      <c r="K311" s="693">
        <v>0</v>
      </c>
      <c r="L311" s="508">
        <v>0</v>
      </c>
      <c r="M311" s="693">
        <v>0</v>
      </c>
      <c r="N311" s="573">
        <v>0</v>
      </c>
      <c r="O311" s="530">
        <v>0</v>
      </c>
      <c r="P311" s="693">
        <v>0</v>
      </c>
      <c r="Q311" s="508">
        <v>0</v>
      </c>
      <c r="R311" s="693">
        <v>0</v>
      </c>
      <c r="S311" s="574">
        <v>0</v>
      </c>
      <c r="T311" s="504"/>
      <c r="U311" s="504"/>
      <c r="V311" s="504"/>
      <c r="W311" s="504"/>
      <c r="X311" s="504"/>
      <c r="Y311" s="504"/>
      <c r="Z311" s="504"/>
      <c r="AA311" s="504"/>
      <c r="AB311" s="504"/>
      <c r="AC311" s="504"/>
      <c r="AD311" s="504"/>
      <c r="AE311" s="504"/>
      <c r="AF311" s="504"/>
      <c r="AG311" s="504"/>
      <c r="AH311" s="504"/>
      <c r="AI311" s="504"/>
      <c r="AJ311" s="504"/>
      <c r="AK311" s="504"/>
      <c r="AL311" s="504"/>
      <c r="AM311" s="504"/>
      <c r="AN311" s="504"/>
    </row>
    <row r="312" spans="1:40" ht="15.75" customHeight="1" thickBot="1">
      <c r="A312" s="493" t="s">
        <v>104</v>
      </c>
      <c r="B312" s="499" t="s">
        <v>104</v>
      </c>
      <c r="C312" s="513"/>
      <c r="D312" s="565"/>
      <c r="E312" s="622"/>
      <c r="F312" s="545"/>
      <c r="G312" s="546"/>
      <c r="H312" s="622"/>
      <c r="I312" s="545"/>
      <c r="J312" s="546"/>
      <c r="K312" s="622"/>
      <c r="L312" s="545"/>
      <c r="M312" s="628"/>
      <c r="N312" s="545"/>
      <c r="O312" s="546"/>
      <c r="P312" s="622"/>
      <c r="Q312" s="545"/>
      <c r="R312" s="628"/>
      <c r="S312" s="567"/>
      <c r="T312" s="504"/>
      <c r="U312" s="504"/>
      <c r="V312" s="504"/>
      <c r="W312" s="504"/>
      <c r="X312" s="504"/>
      <c r="Y312" s="504"/>
      <c r="Z312" s="504"/>
      <c r="AA312" s="504"/>
      <c r="AB312" s="504"/>
      <c r="AC312" s="504"/>
      <c r="AD312" s="504"/>
      <c r="AE312" s="504"/>
      <c r="AF312" s="504"/>
      <c r="AG312" s="504"/>
      <c r="AH312" s="504"/>
      <c r="AI312" s="504"/>
      <c r="AJ312" s="504"/>
      <c r="AK312" s="504"/>
      <c r="AL312" s="504"/>
      <c r="AM312" s="504"/>
      <c r="AN312" s="504"/>
    </row>
    <row r="313" spans="1:40" ht="15.75" customHeight="1" thickTop="1">
      <c r="A313" s="493" t="s">
        <v>421</v>
      </c>
      <c r="B313" s="499" t="s">
        <v>104</v>
      </c>
      <c r="C313" s="548" t="s">
        <v>119</v>
      </c>
      <c r="D313" s="549">
        <v>395738.32213523862</v>
      </c>
      <c r="E313" s="694">
        <v>0.28386209549157743</v>
      </c>
      <c r="F313" s="551">
        <v>112335.10938762974</v>
      </c>
      <c r="G313" s="552">
        <v>395738.32213523862</v>
      </c>
      <c r="H313" s="694">
        <v>0.28386209549157743</v>
      </c>
      <c r="I313" s="551">
        <v>112335.10938762974</v>
      </c>
      <c r="J313" s="552">
        <v>395972.58999999997</v>
      </c>
      <c r="K313" s="694">
        <v>0.29302985340475213</v>
      </c>
      <c r="L313" s="551">
        <v>116031.79000000001</v>
      </c>
      <c r="M313" s="695">
        <v>5.9197669686710831E-4</v>
      </c>
      <c r="N313" s="696">
        <v>3696.68061237027</v>
      </c>
      <c r="O313" s="552">
        <v>334619.39</v>
      </c>
      <c r="P313" s="694">
        <v>0.29466337859261527</v>
      </c>
      <c r="Q313" s="551">
        <v>98600.079999999987</v>
      </c>
      <c r="R313" s="695">
        <v>0.18335219605773578</v>
      </c>
      <c r="S313" s="697">
        <v>17431.710000000021</v>
      </c>
      <c r="T313" s="504"/>
      <c r="U313" s="504"/>
      <c r="V313" s="504"/>
      <c r="W313" s="504"/>
      <c r="X313" s="504"/>
      <c r="Y313" s="504"/>
      <c r="Z313" s="504"/>
      <c r="AA313" s="504"/>
      <c r="AB313" s="504"/>
      <c r="AC313" s="504"/>
      <c r="AD313" s="504"/>
      <c r="AE313" s="504"/>
      <c r="AF313" s="504"/>
      <c r="AG313" s="504"/>
      <c r="AH313" s="504"/>
      <c r="AI313" s="504"/>
      <c r="AJ313" s="504"/>
      <c r="AK313" s="504"/>
      <c r="AL313" s="504"/>
      <c r="AM313" s="504"/>
      <c r="AN313" s="504"/>
    </row>
    <row r="314" spans="1:40" ht="15.75" customHeight="1" thickBot="1">
      <c r="A314" s="493" t="s">
        <v>104</v>
      </c>
      <c r="B314" s="499" t="s">
        <v>104</v>
      </c>
      <c r="C314" s="698"/>
      <c r="D314" s="699"/>
      <c r="E314" s="700"/>
      <c r="F314" s="701"/>
      <c r="G314" s="702"/>
      <c r="H314" s="700"/>
      <c r="I314" s="701"/>
      <c r="J314" s="702"/>
      <c r="K314" s="700"/>
      <c r="L314" s="701"/>
      <c r="M314" s="703"/>
      <c r="N314" s="560">
        <v>3.2907615726925583E-2</v>
      </c>
      <c r="O314" s="702"/>
      <c r="P314" s="700"/>
      <c r="Q314" s="701"/>
      <c r="R314" s="703"/>
      <c r="S314" s="561">
        <v>0.17679204722754813</v>
      </c>
      <c r="T314" s="504"/>
      <c r="U314" s="504"/>
      <c r="V314" s="504"/>
      <c r="W314" s="504"/>
      <c r="X314" s="504"/>
      <c r="Y314" s="504"/>
      <c r="Z314" s="504"/>
      <c r="AA314" s="504"/>
      <c r="AB314" s="504"/>
      <c r="AC314" s="504"/>
      <c r="AD314" s="504"/>
      <c r="AE314" s="504"/>
      <c r="AF314" s="504"/>
      <c r="AG314" s="504"/>
      <c r="AH314" s="504"/>
      <c r="AI314" s="504"/>
      <c r="AJ314" s="504"/>
      <c r="AK314" s="504"/>
      <c r="AL314" s="504"/>
      <c r="AM314" s="504"/>
      <c r="AN314" s="504"/>
    </row>
    <row r="315" spans="1:40" ht="15.75" customHeight="1" thickTop="1">
      <c r="A315" s="493" t="s">
        <v>104</v>
      </c>
      <c r="B315" s="499" t="s">
        <v>104</v>
      </c>
      <c r="C315" s="538"/>
      <c r="D315" s="593"/>
      <c r="E315" s="647"/>
      <c r="F315" s="649"/>
      <c r="G315" s="648"/>
      <c r="H315" s="647"/>
      <c r="I315" s="649"/>
      <c r="J315" s="648"/>
      <c r="K315" s="647"/>
      <c r="L315" s="649"/>
      <c r="M315" s="525"/>
      <c r="N315" s="527"/>
      <c r="O315" s="648"/>
      <c r="P315" s="647"/>
      <c r="Q315" s="649"/>
      <c r="R315" s="525"/>
      <c r="S315" s="528"/>
      <c r="T315" s="504"/>
      <c r="U315" s="504"/>
      <c r="V315" s="504"/>
      <c r="W315" s="504"/>
      <c r="X315" s="504"/>
      <c r="Y315" s="504"/>
      <c r="Z315" s="504"/>
      <c r="AA315" s="504"/>
      <c r="AB315" s="504"/>
      <c r="AC315" s="504"/>
      <c r="AD315" s="504"/>
      <c r="AE315" s="504"/>
      <c r="AF315" s="504"/>
      <c r="AG315" s="504"/>
      <c r="AH315" s="504"/>
      <c r="AI315" s="504"/>
      <c r="AJ315" s="504"/>
      <c r="AK315" s="504"/>
      <c r="AL315" s="504"/>
      <c r="AM315" s="504"/>
      <c r="AN315" s="504"/>
    </row>
    <row r="316" spans="1:40" ht="15.75" customHeight="1">
      <c r="A316" s="493" t="s">
        <v>422</v>
      </c>
      <c r="B316" s="499" t="s">
        <v>104</v>
      </c>
      <c r="C316" s="80" t="s">
        <v>31</v>
      </c>
      <c r="D316" s="504"/>
      <c r="E316" s="504"/>
      <c r="F316" s="545"/>
      <c r="G316" s="525"/>
      <c r="H316" s="504"/>
      <c r="I316" s="545"/>
      <c r="J316" s="525"/>
      <c r="K316" s="504"/>
      <c r="L316" s="524"/>
      <c r="M316" s="525"/>
      <c r="N316" s="524"/>
      <c r="O316" s="525"/>
      <c r="P316" s="504"/>
      <c r="Q316" s="524"/>
      <c r="R316" s="525"/>
      <c r="S316" s="547"/>
      <c r="T316" s="504"/>
      <c r="U316" s="504"/>
      <c r="V316" s="504"/>
      <c r="W316" s="504"/>
      <c r="X316" s="504"/>
      <c r="Y316" s="504"/>
      <c r="Z316" s="504"/>
      <c r="AA316" s="504"/>
      <c r="AB316" s="504"/>
      <c r="AC316" s="504"/>
      <c r="AD316" s="504"/>
      <c r="AE316" s="504"/>
      <c r="AF316" s="504"/>
      <c r="AG316" s="504"/>
      <c r="AH316" s="504"/>
      <c r="AI316" s="504"/>
      <c r="AJ316" s="504"/>
      <c r="AK316" s="504"/>
      <c r="AL316" s="504"/>
      <c r="AM316" s="504"/>
      <c r="AN316" s="504"/>
    </row>
    <row r="317" spans="1:40" ht="15.75" customHeight="1">
      <c r="A317" s="493" t="s">
        <v>423</v>
      </c>
      <c r="B317" s="499" t="s">
        <v>104</v>
      </c>
      <c r="C317" s="585" t="s">
        <v>42</v>
      </c>
      <c r="D317" s="504"/>
      <c r="E317" s="504"/>
      <c r="F317" s="514">
        <v>2606.4352490421456</v>
      </c>
      <c r="G317" s="525"/>
      <c r="H317" s="504"/>
      <c r="I317" s="514">
        <v>2606.4352490421456</v>
      </c>
      <c r="J317" s="525"/>
      <c r="K317" s="504"/>
      <c r="L317" s="517">
        <v>4104</v>
      </c>
      <c r="M317" s="525"/>
      <c r="N317" s="545">
        <v>1497.5647509578544</v>
      </c>
      <c r="O317" s="525"/>
      <c r="P317" s="504"/>
      <c r="Q317" s="517">
        <v>5861.34</v>
      </c>
      <c r="R317" s="525"/>
      <c r="S317" s="518">
        <v>-1757.3400000000001</v>
      </c>
      <c r="T317" s="504"/>
      <c r="U317" s="504"/>
      <c r="V317" s="504"/>
      <c r="W317" s="504"/>
      <c r="X317" s="504"/>
      <c r="Y317" s="504"/>
      <c r="Z317" s="504"/>
      <c r="AA317" s="504"/>
      <c r="AB317" s="504"/>
      <c r="AC317" s="504"/>
      <c r="AD317" s="504"/>
      <c r="AE317" s="504"/>
      <c r="AF317" s="504"/>
      <c r="AG317" s="504"/>
      <c r="AH317" s="504"/>
      <c r="AI317" s="504"/>
      <c r="AJ317" s="504"/>
      <c r="AK317" s="504"/>
      <c r="AL317" s="504"/>
      <c r="AM317" s="504"/>
      <c r="AN317" s="504"/>
    </row>
    <row r="318" spans="1:40" ht="15.75" customHeight="1">
      <c r="A318" s="493" t="s">
        <v>424</v>
      </c>
      <c r="B318" s="499" t="s">
        <v>104</v>
      </c>
      <c r="C318" s="586" t="s">
        <v>43</v>
      </c>
      <c r="D318" s="82"/>
      <c r="E318" s="504"/>
      <c r="F318" s="508">
        <v>4365.3456786819925</v>
      </c>
      <c r="G318" s="84"/>
      <c r="H318" s="504"/>
      <c r="I318" s="508">
        <v>4365.3456786819925</v>
      </c>
      <c r="J318" s="525"/>
      <c r="K318" s="504"/>
      <c r="L318" s="517">
        <v>3441.17</v>
      </c>
      <c r="M318" s="525"/>
      <c r="N318" s="545">
        <v>-924.17567868199239</v>
      </c>
      <c r="O318" s="525"/>
      <c r="P318" s="504"/>
      <c r="Q318" s="517">
        <v>4362.93</v>
      </c>
      <c r="R318" s="525"/>
      <c r="S318" s="567">
        <v>-921.76000000000022</v>
      </c>
      <c r="T318" s="504"/>
      <c r="U318" s="504"/>
      <c r="V318" s="504"/>
      <c r="W318" s="504"/>
      <c r="X318" s="504"/>
      <c r="Y318" s="504"/>
      <c r="Z318" s="504"/>
      <c r="AA318" s="504"/>
      <c r="AB318" s="504"/>
      <c r="AC318" s="504"/>
      <c r="AD318" s="504"/>
      <c r="AE318" s="504"/>
      <c r="AF318" s="504"/>
      <c r="AG318" s="504"/>
      <c r="AH318" s="504"/>
      <c r="AI318" s="504"/>
      <c r="AJ318" s="504"/>
      <c r="AK318" s="504"/>
      <c r="AL318" s="504"/>
      <c r="AM318" s="504"/>
      <c r="AN318" s="504"/>
    </row>
    <row r="319" spans="1:40" ht="15.75" customHeight="1">
      <c r="A319" s="493" t="s">
        <v>425</v>
      </c>
      <c r="B319" s="499" t="s">
        <v>104</v>
      </c>
      <c r="C319" s="585" t="s">
        <v>44</v>
      </c>
      <c r="D319" s="107"/>
      <c r="E319" s="587"/>
      <c r="F319" s="514">
        <v>24550.484569134096</v>
      </c>
      <c r="G319" s="109"/>
      <c r="H319" s="587"/>
      <c r="I319" s="514">
        <v>24550.484569134096</v>
      </c>
      <c r="J319" s="588"/>
      <c r="K319" s="587"/>
      <c r="L319" s="589">
        <v>24682.35</v>
      </c>
      <c r="M319" s="588"/>
      <c r="N319" s="590">
        <v>131.86543086590245</v>
      </c>
      <c r="O319" s="588"/>
      <c r="P319" s="587"/>
      <c r="Q319" s="589">
        <v>23595.43</v>
      </c>
      <c r="R319" s="588"/>
      <c r="S319" s="591">
        <v>1086.9199999999983</v>
      </c>
      <c r="T319" s="504"/>
      <c r="U319" s="704"/>
      <c r="V319" s="704"/>
      <c r="W319" s="504"/>
      <c r="X319" s="504"/>
      <c r="Y319" s="504"/>
      <c r="Z319" s="504"/>
      <c r="AA319" s="504"/>
      <c r="AB319" s="504"/>
      <c r="AC319" s="504"/>
      <c r="AD319" s="504"/>
      <c r="AE319" s="504"/>
      <c r="AF319" s="504"/>
      <c r="AG319" s="504"/>
      <c r="AH319" s="504"/>
      <c r="AI319" s="504"/>
      <c r="AJ319" s="504"/>
      <c r="AK319" s="504"/>
      <c r="AL319" s="504"/>
      <c r="AM319" s="504"/>
      <c r="AN319" s="504"/>
    </row>
    <row r="320" spans="1:40" ht="15.75" customHeight="1">
      <c r="A320" s="493" t="s">
        <v>426</v>
      </c>
      <c r="B320" s="499" t="s">
        <v>104</v>
      </c>
      <c r="C320" s="585" t="s">
        <v>45</v>
      </c>
      <c r="D320" s="82"/>
      <c r="E320" s="504"/>
      <c r="F320" s="514">
        <v>0</v>
      </c>
      <c r="G320" s="84"/>
      <c r="H320" s="504"/>
      <c r="I320" s="514">
        <v>0</v>
      </c>
      <c r="J320" s="525"/>
      <c r="K320" s="504"/>
      <c r="L320" s="517">
        <v>0</v>
      </c>
      <c r="M320" s="525"/>
      <c r="N320" s="545">
        <v>0</v>
      </c>
      <c r="O320" s="525"/>
      <c r="P320" s="504"/>
      <c r="Q320" s="517">
        <v>0</v>
      </c>
      <c r="R320" s="525"/>
      <c r="S320" s="567">
        <v>0</v>
      </c>
      <c r="T320" s="504"/>
      <c r="U320" s="504"/>
      <c r="V320" s="504"/>
      <c r="W320" s="504"/>
      <c r="X320" s="504"/>
      <c r="Y320" s="504"/>
      <c r="Z320" s="504"/>
      <c r="AA320" s="504"/>
      <c r="AB320" s="504"/>
      <c r="AC320" s="504"/>
      <c r="AD320" s="504"/>
      <c r="AE320" s="504"/>
      <c r="AF320" s="504"/>
      <c r="AG320" s="504"/>
      <c r="AH320" s="504"/>
      <c r="AI320" s="504"/>
      <c r="AJ320" s="504"/>
      <c r="AK320" s="504"/>
      <c r="AL320" s="504"/>
      <c r="AM320" s="504"/>
      <c r="AN320" s="504"/>
    </row>
    <row r="321" spans="1:40" ht="15.75" hidden="1" customHeight="1">
      <c r="A321" s="493" t="s">
        <v>413</v>
      </c>
      <c r="B321" s="499" t="s">
        <v>104</v>
      </c>
      <c r="C321" s="705" t="s">
        <v>21</v>
      </c>
      <c r="D321" s="82"/>
      <c r="E321" s="504"/>
      <c r="F321" s="514">
        <v>0</v>
      </c>
      <c r="G321" s="84"/>
      <c r="H321" s="504"/>
      <c r="I321" s="514">
        <v>0</v>
      </c>
      <c r="J321" s="525"/>
      <c r="K321" s="504"/>
      <c r="L321" s="517">
        <v>0</v>
      </c>
      <c r="M321" s="525"/>
      <c r="N321" s="545">
        <v>0</v>
      </c>
      <c r="O321" s="525"/>
      <c r="P321" s="504"/>
      <c r="Q321" s="517">
        <v>0</v>
      </c>
      <c r="R321" s="525"/>
      <c r="S321" s="567">
        <v>0</v>
      </c>
      <c r="T321" s="504"/>
      <c r="U321" s="504"/>
      <c r="V321" s="504"/>
      <c r="W321" s="504"/>
      <c r="X321" s="504"/>
      <c r="Y321" s="504"/>
      <c r="Z321" s="504"/>
      <c r="AA321" s="504"/>
      <c r="AB321" s="504"/>
      <c r="AC321" s="504"/>
      <c r="AD321" s="504"/>
      <c r="AE321" s="504"/>
      <c r="AF321" s="504"/>
      <c r="AG321" s="504"/>
      <c r="AH321" s="504"/>
      <c r="AI321" s="504"/>
      <c r="AJ321" s="504"/>
      <c r="AK321" s="504"/>
      <c r="AL321" s="504"/>
      <c r="AM321" s="504"/>
      <c r="AN321" s="504"/>
    </row>
    <row r="322" spans="1:40" ht="15.75" hidden="1" customHeight="1">
      <c r="A322" s="493" t="s">
        <v>413</v>
      </c>
      <c r="B322" s="499" t="s">
        <v>104</v>
      </c>
      <c r="C322" s="705" t="s">
        <v>21</v>
      </c>
      <c r="D322" s="82"/>
      <c r="E322" s="504"/>
      <c r="F322" s="514">
        <v>0</v>
      </c>
      <c r="G322" s="84"/>
      <c r="H322" s="504"/>
      <c r="I322" s="514">
        <v>0</v>
      </c>
      <c r="J322" s="525"/>
      <c r="K322" s="504"/>
      <c r="L322" s="517">
        <v>0</v>
      </c>
      <c r="M322" s="525"/>
      <c r="N322" s="545">
        <v>0</v>
      </c>
      <c r="O322" s="525"/>
      <c r="P322" s="504"/>
      <c r="Q322" s="517">
        <v>0</v>
      </c>
      <c r="R322" s="525"/>
      <c r="S322" s="567">
        <v>0</v>
      </c>
      <c r="T322" s="504"/>
      <c r="U322" s="504"/>
      <c r="V322" s="504"/>
      <c r="W322" s="504"/>
      <c r="X322" s="504"/>
      <c r="Y322" s="504"/>
      <c r="Z322" s="504"/>
      <c r="AA322" s="504"/>
      <c r="AB322" s="504"/>
      <c r="AC322" s="504"/>
      <c r="AD322" s="504"/>
      <c r="AE322" s="504"/>
      <c r="AF322" s="504"/>
      <c r="AG322" s="504"/>
      <c r="AH322" s="504"/>
      <c r="AI322" s="504"/>
      <c r="AJ322" s="504"/>
      <c r="AK322" s="504"/>
      <c r="AL322" s="504"/>
      <c r="AM322" s="504"/>
      <c r="AN322" s="504"/>
    </row>
    <row r="323" spans="1:40" ht="15.75" hidden="1" customHeight="1">
      <c r="A323" s="493" t="s">
        <v>413</v>
      </c>
      <c r="B323" s="499" t="s">
        <v>104</v>
      </c>
      <c r="C323" s="705" t="s">
        <v>21</v>
      </c>
      <c r="D323" s="82"/>
      <c r="E323" s="504"/>
      <c r="F323" s="514">
        <v>0</v>
      </c>
      <c r="G323" s="84"/>
      <c r="H323" s="504"/>
      <c r="I323" s="514">
        <v>0</v>
      </c>
      <c r="J323" s="525"/>
      <c r="K323" s="504"/>
      <c r="L323" s="517">
        <v>0</v>
      </c>
      <c r="M323" s="525"/>
      <c r="N323" s="545">
        <v>0</v>
      </c>
      <c r="O323" s="525"/>
      <c r="P323" s="504"/>
      <c r="Q323" s="517">
        <v>0</v>
      </c>
      <c r="R323" s="525"/>
      <c r="S323" s="567">
        <v>0</v>
      </c>
      <c r="T323" s="504"/>
      <c r="U323" s="504"/>
      <c r="V323" s="504"/>
      <c r="W323" s="504"/>
      <c r="X323" s="504"/>
      <c r="Y323" s="504"/>
      <c r="Z323" s="504"/>
      <c r="AA323" s="504"/>
      <c r="AB323" s="504"/>
      <c r="AC323" s="504"/>
      <c r="AD323" s="504"/>
      <c r="AE323" s="504"/>
      <c r="AF323" s="504"/>
      <c r="AG323" s="504"/>
      <c r="AH323" s="504"/>
      <c r="AI323" s="504"/>
      <c r="AJ323" s="504"/>
      <c r="AK323" s="504"/>
      <c r="AL323" s="504"/>
      <c r="AM323" s="504"/>
      <c r="AN323" s="504"/>
    </row>
    <row r="324" spans="1:40" ht="15.75" customHeight="1">
      <c r="A324" s="493" t="s">
        <v>427</v>
      </c>
      <c r="B324" s="499" t="s">
        <v>104</v>
      </c>
      <c r="C324" s="586" t="s">
        <v>46</v>
      </c>
      <c r="D324" s="82"/>
      <c r="E324" s="504"/>
      <c r="F324" s="508">
        <v>3943.0674077405433</v>
      </c>
      <c r="G324" s="84"/>
      <c r="H324" s="504"/>
      <c r="I324" s="508">
        <v>3943.0674077405433</v>
      </c>
      <c r="J324" s="525"/>
      <c r="K324" s="504"/>
      <c r="L324" s="517">
        <v>4092.44</v>
      </c>
      <c r="M324" s="525"/>
      <c r="N324" s="545">
        <v>149.37259225945672</v>
      </c>
      <c r="O324" s="525"/>
      <c r="P324" s="504"/>
      <c r="Q324" s="517">
        <v>3534.98</v>
      </c>
      <c r="R324" s="525"/>
      <c r="S324" s="567">
        <v>557.46</v>
      </c>
      <c r="T324" s="504"/>
      <c r="U324" s="504"/>
      <c r="V324" s="504"/>
      <c r="W324" s="504"/>
      <c r="X324" s="504"/>
      <c r="Y324" s="504"/>
      <c r="Z324" s="504"/>
      <c r="AA324" s="504"/>
      <c r="AB324" s="504"/>
      <c r="AC324" s="504"/>
      <c r="AD324" s="504"/>
      <c r="AE324" s="504"/>
      <c r="AF324" s="504"/>
      <c r="AG324" s="504"/>
      <c r="AH324" s="504"/>
      <c r="AI324" s="504"/>
      <c r="AJ324" s="504"/>
      <c r="AK324" s="504"/>
      <c r="AL324" s="504"/>
      <c r="AM324" s="504"/>
      <c r="AN324" s="504"/>
    </row>
    <row r="325" spans="1:40" ht="15.75" customHeight="1">
      <c r="A325" s="493" t="s">
        <v>428</v>
      </c>
      <c r="B325" s="499" t="s">
        <v>104</v>
      </c>
      <c r="C325" s="585" t="s">
        <v>47</v>
      </c>
      <c r="D325" s="107"/>
      <c r="E325" s="587"/>
      <c r="F325" s="514">
        <v>3531.4210506315403</v>
      </c>
      <c r="G325" s="109"/>
      <c r="H325" s="587"/>
      <c r="I325" s="514">
        <v>3531.4210506315403</v>
      </c>
      <c r="J325" s="588"/>
      <c r="K325" s="587"/>
      <c r="L325" s="589">
        <v>55.8</v>
      </c>
      <c r="M325" s="588"/>
      <c r="N325" s="590">
        <v>-3475.6210506315401</v>
      </c>
      <c r="O325" s="588"/>
      <c r="P325" s="587"/>
      <c r="Q325" s="589">
        <v>45.44</v>
      </c>
      <c r="R325" s="588"/>
      <c r="S325" s="591">
        <v>10.36</v>
      </c>
      <c r="T325" s="504"/>
      <c r="U325" s="504"/>
      <c r="V325" s="504"/>
      <c r="W325" s="504"/>
      <c r="X325" s="504"/>
      <c r="Y325" s="504"/>
      <c r="Z325" s="504"/>
      <c r="AA325" s="504"/>
      <c r="AB325" s="504"/>
      <c r="AC325" s="504"/>
      <c r="AD325" s="504"/>
      <c r="AE325" s="504"/>
      <c r="AF325" s="504"/>
      <c r="AG325" s="504"/>
      <c r="AH325" s="504"/>
      <c r="AI325" s="504"/>
      <c r="AJ325" s="504"/>
      <c r="AK325" s="504"/>
      <c r="AL325" s="504"/>
      <c r="AM325" s="504"/>
      <c r="AN325" s="504"/>
    </row>
    <row r="326" spans="1:40" ht="15.75" customHeight="1">
      <c r="A326" s="493" t="s">
        <v>429</v>
      </c>
      <c r="B326" s="499" t="s">
        <v>104</v>
      </c>
      <c r="C326" s="585" t="s">
        <v>48</v>
      </c>
      <c r="D326" s="82"/>
      <c r="E326" s="504"/>
      <c r="F326" s="514">
        <v>2804.3637755015175</v>
      </c>
      <c r="G326" s="84"/>
      <c r="H326" s="504"/>
      <c r="I326" s="514">
        <v>2804.3637755015175</v>
      </c>
      <c r="J326" s="525"/>
      <c r="K326" s="504"/>
      <c r="L326" s="517">
        <v>5195.84</v>
      </c>
      <c r="M326" s="525"/>
      <c r="N326" s="545">
        <v>2391.4762244984827</v>
      </c>
      <c r="O326" s="525"/>
      <c r="P326" s="504"/>
      <c r="Q326" s="517">
        <v>2652.84</v>
      </c>
      <c r="R326" s="525"/>
      <c r="S326" s="567">
        <v>2543</v>
      </c>
      <c r="T326" s="504"/>
      <c r="U326" s="504"/>
      <c r="V326" s="504"/>
      <c r="W326" s="504"/>
      <c r="X326" s="504"/>
      <c r="Y326" s="504"/>
      <c r="Z326" s="504"/>
      <c r="AA326" s="504"/>
      <c r="AB326" s="504"/>
      <c r="AC326" s="504"/>
      <c r="AD326" s="504"/>
      <c r="AE326" s="504"/>
      <c r="AF326" s="504"/>
      <c r="AG326" s="504"/>
      <c r="AH326" s="504"/>
      <c r="AI326" s="504"/>
      <c r="AJ326" s="504"/>
      <c r="AK326" s="504"/>
      <c r="AL326" s="504"/>
      <c r="AM326" s="504"/>
      <c r="AN326" s="504"/>
    </row>
    <row r="327" spans="1:40" ht="15.75" customHeight="1">
      <c r="A327" s="493" t="s">
        <v>430</v>
      </c>
      <c r="B327" s="499" t="s">
        <v>104</v>
      </c>
      <c r="C327" s="585" t="s">
        <v>49</v>
      </c>
      <c r="D327" s="82"/>
      <c r="E327" s="504"/>
      <c r="F327" s="514">
        <v>1142.5185752043219</v>
      </c>
      <c r="G327" s="84"/>
      <c r="H327" s="504"/>
      <c r="I327" s="514">
        <v>1142.5185752043219</v>
      </c>
      <c r="J327" s="525"/>
      <c r="K327" s="504"/>
      <c r="L327" s="517">
        <v>6841.63</v>
      </c>
      <c r="M327" s="525"/>
      <c r="N327" s="545">
        <v>5699.1114247956784</v>
      </c>
      <c r="O327" s="525"/>
      <c r="P327" s="504"/>
      <c r="Q327" s="517">
        <v>4273.130000000001</v>
      </c>
      <c r="R327" s="525"/>
      <c r="S327" s="567">
        <v>2568.4999999999991</v>
      </c>
      <c r="T327" s="504"/>
      <c r="U327" s="504"/>
      <c r="V327" s="504"/>
      <c r="W327" s="504"/>
      <c r="X327" s="504"/>
      <c r="Y327" s="504"/>
      <c r="Z327" s="504"/>
      <c r="AA327" s="504"/>
      <c r="AB327" s="504"/>
      <c r="AC327" s="504"/>
      <c r="AD327" s="504"/>
      <c r="AE327" s="504"/>
      <c r="AF327" s="504"/>
      <c r="AG327" s="504"/>
      <c r="AH327" s="504"/>
      <c r="AI327" s="504"/>
      <c r="AJ327" s="504"/>
      <c r="AK327" s="504"/>
      <c r="AL327" s="504"/>
      <c r="AM327" s="504"/>
      <c r="AN327" s="504"/>
    </row>
    <row r="328" spans="1:40" ht="15.75" hidden="1" customHeight="1">
      <c r="A328" s="493" t="s">
        <v>413</v>
      </c>
      <c r="B328" s="499" t="s">
        <v>104</v>
      </c>
      <c r="C328" s="513" t="s">
        <v>21</v>
      </c>
      <c r="D328" s="89"/>
      <c r="E328" s="592"/>
      <c r="F328" s="514">
        <v>0</v>
      </c>
      <c r="G328" s="91"/>
      <c r="H328" s="592"/>
      <c r="I328" s="514">
        <v>0</v>
      </c>
      <c r="J328" s="509"/>
      <c r="K328" s="592"/>
      <c r="L328" s="517">
        <v>0</v>
      </c>
      <c r="M328" s="509"/>
      <c r="N328" s="573">
        <v>0</v>
      </c>
      <c r="O328" s="509"/>
      <c r="P328" s="592"/>
      <c r="Q328" s="517">
        <v>0</v>
      </c>
      <c r="R328" s="509"/>
      <c r="S328" s="574">
        <v>0</v>
      </c>
      <c r="T328" s="504"/>
      <c r="U328" s="504"/>
      <c r="V328" s="504"/>
      <c r="W328" s="504"/>
      <c r="X328" s="504"/>
      <c r="Y328" s="504"/>
      <c r="Z328" s="504"/>
      <c r="AA328" s="504"/>
      <c r="AB328" s="504"/>
      <c r="AC328" s="504"/>
      <c r="AD328" s="504"/>
      <c r="AE328" s="504"/>
      <c r="AF328" s="504"/>
      <c r="AG328" s="504"/>
      <c r="AH328" s="504"/>
      <c r="AI328" s="504"/>
      <c r="AJ328" s="504"/>
      <c r="AK328" s="504"/>
      <c r="AL328" s="504"/>
      <c r="AM328" s="504"/>
      <c r="AN328" s="504"/>
    </row>
    <row r="329" spans="1:40" ht="15.75" customHeight="1">
      <c r="A329" s="493" t="s">
        <v>431</v>
      </c>
      <c r="B329" s="499" t="s">
        <v>104</v>
      </c>
      <c r="C329" s="578" t="s">
        <v>50</v>
      </c>
      <c r="D329" s="97" t="s">
        <v>40</v>
      </c>
      <c r="E329" s="579">
        <v>0.38228151946469802</v>
      </c>
      <c r="F329" s="580">
        <v>42943.636305936161</v>
      </c>
      <c r="G329" s="100" t="s">
        <v>40</v>
      </c>
      <c r="H329" s="579">
        <v>0.38228151946469802</v>
      </c>
      <c r="I329" s="580">
        <v>42943.636305936161</v>
      </c>
      <c r="J329" s="100" t="s">
        <v>40</v>
      </c>
      <c r="K329" s="579">
        <v>0.41724108539564891</v>
      </c>
      <c r="L329" s="580">
        <v>48413.23</v>
      </c>
      <c r="M329" s="621"/>
      <c r="N329" s="594">
        <v>5469.5936940638421</v>
      </c>
      <c r="O329" s="100" t="s">
        <v>40</v>
      </c>
      <c r="P329" s="579">
        <v>0.44955430056446216</v>
      </c>
      <c r="Q329" s="580">
        <v>44326.090000000011</v>
      </c>
      <c r="R329" s="621"/>
      <c r="S329" s="595">
        <v>4087.1399999999921</v>
      </c>
      <c r="T329" s="504"/>
      <c r="U329" s="504"/>
      <c r="V329" s="504"/>
      <c r="W329" s="504"/>
      <c r="X329" s="504"/>
      <c r="Y329" s="504"/>
      <c r="Z329" s="504"/>
      <c r="AA329" s="504"/>
      <c r="AB329" s="504"/>
      <c r="AC329" s="504"/>
      <c r="AD329" s="504"/>
      <c r="AE329" s="504"/>
      <c r="AF329" s="504"/>
      <c r="AG329" s="504"/>
      <c r="AH329" s="504"/>
      <c r="AI329" s="504"/>
      <c r="AJ329" s="504"/>
      <c r="AK329" s="504"/>
      <c r="AL329" s="504"/>
      <c r="AM329" s="504"/>
      <c r="AN329" s="504"/>
    </row>
    <row r="330" spans="1:40" ht="15.75" customHeight="1">
      <c r="A330" s="493" t="s">
        <v>432</v>
      </c>
      <c r="B330" s="499" t="s">
        <v>104</v>
      </c>
      <c r="C330" s="686" t="s">
        <v>51</v>
      </c>
      <c r="D330" s="82"/>
      <c r="E330" s="504"/>
      <c r="F330" s="514">
        <v>3725.4874999999997</v>
      </c>
      <c r="G330" s="84"/>
      <c r="H330" s="504"/>
      <c r="I330" s="514">
        <v>3725.4874999999997</v>
      </c>
      <c r="J330" s="525"/>
      <c r="K330" s="504"/>
      <c r="L330" s="517">
        <v>9046.56</v>
      </c>
      <c r="M330" s="525"/>
      <c r="N330" s="545">
        <v>5321.0725000000002</v>
      </c>
      <c r="O330" s="525"/>
      <c r="P330" s="504"/>
      <c r="Q330" s="517">
        <v>3940.17</v>
      </c>
      <c r="R330" s="525"/>
      <c r="S330" s="567">
        <v>5106.3899999999994</v>
      </c>
      <c r="T330" s="504"/>
      <c r="U330" s="504"/>
      <c r="V330" s="504"/>
      <c r="W330" s="504"/>
      <c r="X330" s="504"/>
      <c r="Y330" s="504"/>
      <c r="Z330" s="504"/>
      <c r="AA330" s="504"/>
      <c r="AB330" s="504"/>
      <c r="AC330" s="504"/>
      <c r="AD330" s="504"/>
      <c r="AE330" s="504"/>
      <c r="AF330" s="504"/>
      <c r="AG330" s="504"/>
      <c r="AH330" s="504"/>
      <c r="AI330" s="504"/>
      <c r="AJ330" s="504"/>
      <c r="AK330" s="504"/>
      <c r="AL330" s="504"/>
      <c r="AM330" s="504"/>
      <c r="AN330" s="504"/>
    </row>
    <row r="331" spans="1:40" ht="15.75" customHeight="1">
      <c r="A331" s="493" t="s">
        <v>433</v>
      </c>
      <c r="B331" s="499" t="s">
        <v>104</v>
      </c>
      <c r="C331" s="585" t="s">
        <v>52</v>
      </c>
      <c r="D331" s="82"/>
      <c r="E331" s="504"/>
      <c r="F331" s="514">
        <v>667.7179017090657</v>
      </c>
      <c r="G331" s="84"/>
      <c r="H331" s="504"/>
      <c r="I331" s="514">
        <v>667.7179017090657</v>
      </c>
      <c r="J331" s="525"/>
      <c r="K331" s="504"/>
      <c r="L331" s="517">
        <v>1959.56</v>
      </c>
      <c r="M331" s="525"/>
      <c r="N331" s="545">
        <v>1291.8420982909342</v>
      </c>
      <c r="O331" s="525"/>
      <c r="P331" s="504"/>
      <c r="Q331" s="517">
        <v>0</v>
      </c>
      <c r="R331" s="525"/>
      <c r="S331" s="567">
        <v>1959.56</v>
      </c>
      <c r="T331" s="504"/>
      <c r="U331" s="504"/>
      <c r="V331" s="504"/>
      <c r="W331" s="504"/>
      <c r="X331" s="504"/>
      <c r="Y331" s="504"/>
      <c r="Z331" s="504"/>
      <c r="AA331" s="504"/>
      <c r="AB331" s="504"/>
      <c r="AC331" s="504"/>
      <c r="AD331" s="504"/>
      <c r="AE331" s="504"/>
      <c r="AF331" s="504"/>
      <c r="AG331" s="504"/>
      <c r="AH331" s="504"/>
      <c r="AI331" s="504"/>
      <c r="AJ331" s="504"/>
      <c r="AK331" s="504"/>
      <c r="AL331" s="504"/>
      <c r="AM331" s="504"/>
      <c r="AN331" s="504"/>
    </row>
    <row r="332" spans="1:40" ht="15.75" customHeight="1">
      <c r="A332" s="493" t="s">
        <v>434</v>
      </c>
      <c r="B332" s="499" t="s">
        <v>104</v>
      </c>
      <c r="C332" s="586" t="s">
        <v>53</v>
      </c>
      <c r="D332" s="89"/>
      <c r="E332" s="592"/>
      <c r="F332" s="508">
        <v>433.5</v>
      </c>
      <c r="G332" s="91"/>
      <c r="H332" s="592"/>
      <c r="I332" s="508">
        <v>433.5</v>
      </c>
      <c r="J332" s="509"/>
      <c r="K332" s="592"/>
      <c r="L332" s="517">
        <v>625.21</v>
      </c>
      <c r="M332" s="509"/>
      <c r="N332" s="573">
        <v>191.71000000000004</v>
      </c>
      <c r="O332" s="509"/>
      <c r="P332" s="592"/>
      <c r="Q332" s="517">
        <v>297.88</v>
      </c>
      <c r="R332" s="509"/>
      <c r="S332" s="574">
        <v>327.33000000000004</v>
      </c>
      <c r="T332" s="504"/>
      <c r="U332" s="504"/>
      <c r="V332" s="504"/>
      <c r="W332" s="504"/>
      <c r="X332" s="504"/>
      <c r="Y332" s="504"/>
      <c r="Z332" s="504"/>
      <c r="AA332" s="504"/>
      <c r="AB332" s="504"/>
      <c r="AC332" s="504"/>
      <c r="AD332" s="504"/>
      <c r="AE332" s="504"/>
      <c r="AF332" s="504"/>
      <c r="AG332" s="504"/>
      <c r="AH332" s="504"/>
      <c r="AI332" s="504"/>
      <c r="AJ332" s="504"/>
      <c r="AK332" s="504"/>
      <c r="AL332" s="504"/>
      <c r="AM332" s="504"/>
      <c r="AN332" s="504"/>
    </row>
    <row r="333" spans="1:40" ht="15.75" customHeight="1">
      <c r="A333" s="493" t="s">
        <v>435</v>
      </c>
      <c r="B333" s="499" t="s">
        <v>104</v>
      </c>
      <c r="C333" s="585" t="s">
        <v>54</v>
      </c>
      <c r="D333" s="82"/>
      <c r="E333" s="504"/>
      <c r="F333" s="514">
        <v>3489.4852291666666</v>
      </c>
      <c r="G333" s="84"/>
      <c r="H333" s="504"/>
      <c r="I333" s="514">
        <v>3489.4852291666666</v>
      </c>
      <c r="J333" s="525"/>
      <c r="K333" s="504"/>
      <c r="L333" s="589">
        <v>3938.16</v>
      </c>
      <c r="M333" s="525"/>
      <c r="N333" s="545">
        <v>448.67477083333324</v>
      </c>
      <c r="O333" s="525"/>
      <c r="P333" s="504"/>
      <c r="Q333" s="589">
        <v>3646.53</v>
      </c>
      <c r="R333" s="525"/>
      <c r="S333" s="567">
        <v>291.62999999999965</v>
      </c>
      <c r="T333" s="504"/>
      <c r="U333" s="504"/>
      <c r="V333" s="504"/>
      <c r="W333" s="504"/>
      <c r="X333" s="504"/>
      <c r="Y333" s="504"/>
      <c r="Z333" s="504"/>
      <c r="AA333" s="504"/>
      <c r="AB333" s="504"/>
      <c r="AC333" s="504"/>
      <c r="AD333" s="504"/>
      <c r="AE333" s="504"/>
      <c r="AF333" s="504"/>
      <c r="AG333" s="504"/>
      <c r="AH333" s="504"/>
      <c r="AI333" s="504"/>
      <c r="AJ333" s="504"/>
      <c r="AK333" s="504"/>
      <c r="AL333" s="504"/>
      <c r="AM333" s="504"/>
      <c r="AN333" s="504"/>
    </row>
    <row r="334" spans="1:40" ht="15.75" customHeight="1">
      <c r="A334" s="493" t="s">
        <v>436</v>
      </c>
      <c r="B334" s="499" t="s">
        <v>104</v>
      </c>
      <c r="C334" s="585" t="s">
        <v>55</v>
      </c>
      <c r="D334" s="82"/>
      <c r="E334" s="504"/>
      <c r="F334" s="514">
        <v>618.86078125000006</v>
      </c>
      <c r="G334" s="84"/>
      <c r="H334" s="504"/>
      <c r="I334" s="514">
        <v>618.86078125000006</v>
      </c>
      <c r="J334" s="525"/>
      <c r="K334" s="504"/>
      <c r="L334" s="517">
        <v>1057.69</v>
      </c>
      <c r="M334" s="525"/>
      <c r="N334" s="545">
        <v>438.82921875</v>
      </c>
      <c r="O334" s="525"/>
      <c r="P334" s="504"/>
      <c r="Q334" s="517">
        <v>478.48</v>
      </c>
      <c r="R334" s="525"/>
      <c r="S334" s="567">
        <v>579.21</v>
      </c>
      <c r="T334" s="504"/>
      <c r="U334" s="504"/>
      <c r="V334" s="504"/>
      <c r="W334" s="504"/>
      <c r="X334" s="504"/>
      <c r="Y334" s="504"/>
      <c r="Z334" s="504"/>
      <c r="AA334" s="504"/>
      <c r="AB334" s="504"/>
      <c r="AC334" s="504"/>
      <c r="AD334" s="504"/>
      <c r="AE334" s="504"/>
      <c r="AF334" s="504"/>
      <c r="AG334" s="504"/>
      <c r="AH334" s="504"/>
      <c r="AI334" s="504"/>
      <c r="AJ334" s="504"/>
      <c r="AK334" s="504"/>
      <c r="AL334" s="504"/>
      <c r="AM334" s="504"/>
      <c r="AN334" s="504"/>
    </row>
    <row r="335" spans="1:40" ht="15.75" customHeight="1">
      <c r="A335" s="493" t="s">
        <v>437</v>
      </c>
      <c r="B335" s="499" t="s">
        <v>104</v>
      </c>
      <c r="C335" s="706" t="s">
        <v>56</v>
      </c>
      <c r="D335" s="89"/>
      <c r="E335" s="592"/>
      <c r="F335" s="508">
        <v>9703.3845888888882</v>
      </c>
      <c r="G335" s="91"/>
      <c r="H335" s="592"/>
      <c r="I335" s="508">
        <v>9703.3845888888882</v>
      </c>
      <c r="J335" s="509"/>
      <c r="K335" s="592"/>
      <c r="L335" s="532">
        <v>9774.32</v>
      </c>
      <c r="M335" s="509"/>
      <c r="N335" s="573">
        <v>70.935411111111534</v>
      </c>
      <c r="O335" s="509"/>
      <c r="P335" s="592"/>
      <c r="Q335" s="532">
        <v>5740.51</v>
      </c>
      <c r="R335" s="509"/>
      <c r="S335" s="574">
        <v>4033.8099999999995</v>
      </c>
      <c r="T335" s="504"/>
      <c r="U335" s="504"/>
      <c r="V335" s="504"/>
      <c r="W335" s="504"/>
      <c r="X335" s="504"/>
      <c r="Y335" s="504"/>
      <c r="Z335" s="504"/>
      <c r="AA335" s="504"/>
      <c r="AB335" s="504"/>
      <c r="AC335" s="504"/>
      <c r="AD335" s="504"/>
      <c r="AE335" s="504"/>
      <c r="AF335" s="504"/>
      <c r="AG335" s="504"/>
      <c r="AH335" s="504"/>
      <c r="AI335" s="504"/>
      <c r="AJ335" s="504"/>
      <c r="AK335" s="504"/>
      <c r="AL335" s="504"/>
      <c r="AM335" s="504"/>
      <c r="AN335" s="504"/>
    </row>
    <row r="336" spans="1:40" ht="15.75" customHeight="1">
      <c r="A336" s="493" t="s">
        <v>438</v>
      </c>
      <c r="B336" s="499" t="s">
        <v>104</v>
      </c>
      <c r="C336" s="585" t="s">
        <v>99</v>
      </c>
      <c r="D336" s="82"/>
      <c r="E336" s="504"/>
      <c r="F336" s="514"/>
      <c r="G336" s="84"/>
      <c r="H336" s="504"/>
      <c r="I336" s="514"/>
      <c r="J336" s="525"/>
      <c r="K336" s="504"/>
      <c r="L336" s="517">
        <v>0</v>
      </c>
      <c r="M336" s="525"/>
      <c r="N336" s="545">
        <v>0</v>
      </c>
      <c r="O336" s="525"/>
      <c r="P336" s="504"/>
      <c r="Q336" s="517">
        <v>0</v>
      </c>
      <c r="R336" s="525"/>
      <c r="S336" s="567">
        <v>0</v>
      </c>
      <c r="T336" s="504"/>
      <c r="U336" s="504"/>
      <c r="V336" s="504"/>
      <c r="W336" s="504"/>
      <c r="X336" s="504"/>
      <c r="Y336" s="504"/>
      <c r="Z336" s="504"/>
      <c r="AA336" s="504"/>
      <c r="AB336" s="504"/>
      <c r="AC336" s="504"/>
      <c r="AD336" s="504"/>
      <c r="AE336" s="504"/>
      <c r="AF336" s="504"/>
      <c r="AG336" s="504"/>
      <c r="AH336" s="504"/>
      <c r="AI336" s="504"/>
      <c r="AJ336" s="504"/>
      <c r="AK336" s="504"/>
      <c r="AL336" s="504"/>
      <c r="AM336" s="504"/>
      <c r="AN336" s="504"/>
    </row>
    <row r="337" spans="1:40" ht="15.75" customHeight="1">
      <c r="A337" s="493" t="s">
        <v>439</v>
      </c>
      <c r="B337" s="499" t="s">
        <v>104</v>
      </c>
      <c r="C337" s="585" t="s">
        <v>57</v>
      </c>
      <c r="D337" s="82"/>
      <c r="E337" s="504"/>
      <c r="F337" s="514">
        <v>107.68716037339154</v>
      </c>
      <c r="G337" s="84"/>
      <c r="H337" s="504"/>
      <c r="I337" s="514">
        <v>107.68716037339154</v>
      </c>
      <c r="J337" s="525"/>
      <c r="K337" s="504"/>
      <c r="L337" s="517">
        <v>0</v>
      </c>
      <c r="M337" s="525"/>
      <c r="N337" s="545">
        <v>-107.68716037339154</v>
      </c>
      <c r="O337" s="525"/>
      <c r="P337" s="504"/>
      <c r="Q337" s="517">
        <v>58.53</v>
      </c>
      <c r="R337" s="525"/>
      <c r="S337" s="567">
        <v>-58.53</v>
      </c>
      <c r="T337" s="504"/>
      <c r="U337" s="504"/>
      <c r="V337" s="504"/>
      <c r="W337" s="504"/>
      <c r="X337" s="504"/>
      <c r="Y337" s="504"/>
      <c r="Z337" s="504"/>
      <c r="AA337" s="504"/>
      <c r="AB337" s="504"/>
      <c r="AC337" s="504"/>
      <c r="AD337" s="504"/>
      <c r="AE337" s="504"/>
      <c r="AF337" s="504"/>
      <c r="AG337" s="504"/>
      <c r="AH337" s="504"/>
      <c r="AI337" s="504"/>
      <c r="AJ337" s="504"/>
      <c r="AK337" s="504"/>
      <c r="AL337" s="504"/>
      <c r="AM337" s="504"/>
      <c r="AN337" s="504"/>
    </row>
    <row r="338" spans="1:40" ht="15.75" customHeight="1">
      <c r="A338" s="493" t="s">
        <v>440</v>
      </c>
      <c r="B338" s="499" t="s">
        <v>104</v>
      </c>
      <c r="C338" s="585" t="s">
        <v>58</v>
      </c>
      <c r="D338" s="82"/>
      <c r="E338" s="504"/>
      <c r="F338" s="514">
        <v>57.222126165837054</v>
      </c>
      <c r="G338" s="84"/>
      <c r="H338" s="504"/>
      <c r="I338" s="514">
        <v>57.222126165837054</v>
      </c>
      <c r="J338" s="525"/>
      <c r="K338" s="504"/>
      <c r="L338" s="517">
        <v>0</v>
      </c>
      <c r="M338" s="525"/>
      <c r="N338" s="545">
        <v>-57.222126165837054</v>
      </c>
      <c r="O338" s="525"/>
      <c r="P338" s="504"/>
      <c r="Q338" s="517">
        <v>0</v>
      </c>
      <c r="R338" s="525"/>
      <c r="S338" s="567">
        <v>0</v>
      </c>
      <c r="T338" s="504"/>
      <c r="U338" s="504"/>
      <c r="V338" s="504"/>
      <c r="W338" s="504"/>
      <c r="X338" s="504"/>
      <c r="Y338" s="504"/>
      <c r="Z338" s="504"/>
      <c r="AA338" s="504"/>
      <c r="AB338" s="504"/>
      <c r="AC338" s="504"/>
      <c r="AD338" s="504"/>
      <c r="AE338" s="504"/>
      <c r="AF338" s="504"/>
      <c r="AG338" s="504"/>
      <c r="AH338" s="504"/>
      <c r="AI338" s="504"/>
      <c r="AJ338" s="504"/>
      <c r="AK338" s="504"/>
      <c r="AL338" s="504"/>
      <c r="AM338" s="504"/>
      <c r="AN338" s="504"/>
    </row>
    <row r="339" spans="1:40" ht="15.75" customHeight="1">
      <c r="A339" s="493" t="s">
        <v>441</v>
      </c>
      <c r="B339" s="499" t="s">
        <v>104</v>
      </c>
      <c r="C339" s="585" t="s">
        <v>59</v>
      </c>
      <c r="D339" s="82"/>
      <c r="E339" s="504"/>
      <c r="F339" s="514">
        <v>510.05025000000001</v>
      </c>
      <c r="G339" s="84"/>
      <c r="H339" s="504"/>
      <c r="I339" s="514">
        <v>510.05025000000001</v>
      </c>
      <c r="J339" s="525"/>
      <c r="K339" s="504"/>
      <c r="L339" s="516">
        <v>529.19000000000005</v>
      </c>
      <c r="M339" s="525"/>
      <c r="N339" s="545">
        <v>19.139750000000049</v>
      </c>
      <c r="O339" s="525"/>
      <c r="P339" s="504"/>
      <c r="Q339" s="516">
        <v>1034.04</v>
      </c>
      <c r="R339" s="525"/>
      <c r="S339" s="567">
        <v>-504.84999999999991</v>
      </c>
      <c r="T339" s="504"/>
      <c r="U339" s="504"/>
      <c r="V339" s="504"/>
      <c r="W339" s="504"/>
      <c r="X339" s="504"/>
      <c r="Y339" s="504"/>
      <c r="Z339" s="504"/>
      <c r="AA339" s="504"/>
      <c r="AB339" s="504"/>
      <c r="AC339" s="504"/>
      <c r="AD339" s="504"/>
      <c r="AE339" s="504"/>
      <c r="AF339" s="504"/>
      <c r="AG339" s="504"/>
      <c r="AH339" s="504"/>
      <c r="AI339" s="504"/>
      <c r="AJ339" s="504"/>
      <c r="AK339" s="504"/>
      <c r="AL339" s="504"/>
      <c r="AM339" s="504"/>
      <c r="AN339" s="504"/>
    </row>
    <row r="340" spans="1:40" ht="15.75" customHeight="1">
      <c r="A340" s="493" t="s">
        <v>442</v>
      </c>
      <c r="B340" s="499" t="s">
        <v>104</v>
      </c>
      <c r="C340" s="585" t="s">
        <v>60</v>
      </c>
      <c r="D340" s="82"/>
      <c r="E340" s="504"/>
      <c r="F340" s="514">
        <v>235.51916145833334</v>
      </c>
      <c r="G340" s="84"/>
      <c r="H340" s="504"/>
      <c r="I340" s="514">
        <v>235.51916145833334</v>
      </c>
      <c r="J340" s="525"/>
      <c r="K340" s="504"/>
      <c r="L340" s="517">
        <v>98.98</v>
      </c>
      <c r="M340" s="525"/>
      <c r="N340" s="545">
        <v>-136.53916145833335</v>
      </c>
      <c r="O340" s="525"/>
      <c r="P340" s="504"/>
      <c r="Q340" s="517">
        <v>101.15</v>
      </c>
      <c r="R340" s="525"/>
      <c r="S340" s="567">
        <v>-2.1700000000000017</v>
      </c>
      <c r="T340" s="504"/>
      <c r="U340" s="504"/>
      <c r="V340" s="504"/>
      <c r="W340" s="504"/>
      <c r="X340" s="504"/>
      <c r="Y340" s="504"/>
      <c r="Z340" s="504"/>
      <c r="AA340" s="504"/>
      <c r="AB340" s="504"/>
      <c r="AC340" s="504"/>
      <c r="AD340" s="504"/>
      <c r="AE340" s="504"/>
      <c r="AF340" s="504"/>
      <c r="AG340" s="504"/>
      <c r="AH340" s="504"/>
      <c r="AI340" s="504"/>
      <c r="AJ340" s="504"/>
      <c r="AK340" s="504"/>
      <c r="AL340" s="504"/>
      <c r="AM340" s="504"/>
      <c r="AN340" s="504"/>
    </row>
    <row r="341" spans="1:40" ht="15.75" customHeight="1">
      <c r="A341" s="493" t="s">
        <v>443</v>
      </c>
      <c r="B341" s="499" t="s">
        <v>104</v>
      </c>
      <c r="C341" s="585" t="s">
        <v>61</v>
      </c>
      <c r="D341" s="82"/>
      <c r="E341" s="504"/>
      <c r="F341" s="514">
        <v>125.71646354166664</v>
      </c>
      <c r="G341" s="84"/>
      <c r="H341" s="504"/>
      <c r="I341" s="514">
        <v>125.71646354166664</v>
      </c>
      <c r="J341" s="525"/>
      <c r="K341" s="504"/>
      <c r="L341" s="517">
        <v>-203.08</v>
      </c>
      <c r="M341" s="525"/>
      <c r="N341" s="545">
        <v>-328.79646354166664</v>
      </c>
      <c r="O341" s="525"/>
      <c r="P341" s="504"/>
      <c r="Q341" s="517">
        <v>-47.98</v>
      </c>
      <c r="R341" s="525"/>
      <c r="S341" s="567">
        <v>-155.10000000000002</v>
      </c>
      <c r="T341" s="504"/>
      <c r="U341" s="504"/>
      <c r="V341" s="504"/>
      <c r="W341" s="504"/>
      <c r="X341" s="504"/>
      <c r="Y341" s="504"/>
      <c r="Z341" s="504"/>
      <c r="AA341" s="504"/>
      <c r="AB341" s="504"/>
      <c r="AC341" s="504"/>
      <c r="AD341" s="504"/>
      <c r="AE341" s="504"/>
      <c r="AF341" s="504"/>
      <c r="AG341" s="504"/>
      <c r="AH341" s="504"/>
      <c r="AI341" s="504"/>
      <c r="AJ341" s="504"/>
      <c r="AK341" s="504"/>
      <c r="AL341" s="504"/>
      <c r="AM341" s="504"/>
      <c r="AN341" s="504"/>
    </row>
    <row r="342" spans="1:40" ht="15.75" customHeight="1">
      <c r="A342" s="493" t="s">
        <v>444</v>
      </c>
      <c r="B342" s="499" t="s">
        <v>104</v>
      </c>
      <c r="C342" s="585" t="s">
        <v>62</v>
      </c>
      <c r="D342" s="82"/>
      <c r="E342" s="504"/>
      <c r="F342" s="514">
        <v>606.4324947916665</v>
      </c>
      <c r="G342" s="84"/>
      <c r="H342" s="504"/>
      <c r="I342" s="514">
        <v>606.4324947916665</v>
      </c>
      <c r="J342" s="525"/>
      <c r="K342" s="504"/>
      <c r="L342" s="517">
        <v>209.06</v>
      </c>
      <c r="M342" s="525"/>
      <c r="N342" s="545">
        <v>-397.3724947916665</v>
      </c>
      <c r="O342" s="525"/>
      <c r="P342" s="504"/>
      <c r="Q342" s="517">
        <v>936.25</v>
      </c>
      <c r="R342" s="525"/>
      <c r="S342" s="567">
        <v>-727.19</v>
      </c>
      <c r="T342" s="504"/>
      <c r="U342" s="504"/>
      <c r="V342" s="504"/>
      <c r="W342" s="504"/>
      <c r="X342" s="504"/>
      <c r="Y342" s="504"/>
      <c r="Z342" s="504"/>
      <c r="AA342" s="504"/>
      <c r="AB342" s="504"/>
      <c r="AC342" s="504"/>
      <c r="AD342" s="504"/>
      <c r="AE342" s="504"/>
      <c r="AF342" s="504"/>
      <c r="AG342" s="504"/>
      <c r="AH342" s="504"/>
      <c r="AI342" s="504"/>
      <c r="AJ342" s="504"/>
      <c r="AK342" s="504"/>
      <c r="AL342" s="504"/>
      <c r="AM342" s="504"/>
      <c r="AN342" s="504"/>
    </row>
    <row r="343" spans="1:40" ht="15.75" customHeight="1">
      <c r="A343" s="493" t="s">
        <v>445</v>
      </c>
      <c r="B343" s="499" t="s">
        <v>104</v>
      </c>
      <c r="C343" s="585" t="s">
        <v>63</v>
      </c>
      <c r="D343" s="82"/>
      <c r="E343" s="504"/>
      <c r="F343" s="514">
        <v>900.98145833333331</v>
      </c>
      <c r="G343" s="84"/>
      <c r="H343" s="504"/>
      <c r="I343" s="514">
        <v>900.98145833333331</v>
      </c>
      <c r="J343" s="525"/>
      <c r="K343" s="504"/>
      <c r="L343" s="517">
        <v>79.75</v>
      </c>
      <c r="M343" s="525"/>
      <c r="N343" s="545">
        <v>-821.23145833333331</v>
      </c>
      <c r="O343" s="525"/>
      <c r="P343" s="504"/>
      <c r="Q343" s="517">
        <v>272.14</v>
      </c>
      <c r="R343" s="525"/>
      <c r="S343" s="567">
        <v>-192.39</v>
      </c>
      <c r="T343" s="504"/>
      <c r="U343" s="504"/>
      <c r="V343" s="504"/>
      <c r="W343" s="504"/>
      <c r="X343" s="504"/>
      <c r="Y343" s="504"/>
      <c r="Z343" s="504"/>
      <c r="AA343" s="504"/>
      <c r="AB343" s="504"/>
      <c r="AC343" s="504"/>
      <c r="AD343" s="504"/>
      <c r="AE343" s="504"/>
      <c r="AF343" s="504"/>
      <c r="AG343" s="504"/>
      <c r="AH343" s="504"/>
      <c r="AI343" s="504"/>
      <c r="AJ343" s="504"/>
      <c r="AK343" s="504"/>
      <c r="AL343" s="504"/>
      <c r="AM343" s="504"/>
      <c r="AN343" s="504"/>
    </row>
    <row r="344" spans="1:40" ht="15.75" customHeight="1">
      <c r="A344" s="493" t="s">
        <v>446</v>
      </c>
      <c r="B344" s="499" t="s">
        <v>104</v>
      </c>
      <c r="C344" s="585" t="s">
        <v>64</v>
      </c>
      <c r="D344" s="82"/>
      <c r="E344" s="504"/>
      <c r="F344" s="514">
        <v>2395.9626172538665</v>
      </c>
      <c r="G344" s="84"/>
      <c r="H344" s="504"/>
      <c r="I344" s="514">
        <v>2395.9626172538665</v>
      </c>
      <c r="J344" s="525"/>
      <c r="K344" s="504"/>
      <c r="L344" s="516">
        <v>1891.5400000000002</v>
      </c>
      <c r="M344" s="525"/>
      <c r="N344" s="545">
        <v>-504.42261725386629</v>
      </c>
      <c r="O344" s="525"/>
      <c r="P344" s="504"/>
      <c r="Q344" s="517">
        <v>1379.0420000000001</v>
      </c>
      <c r="R344" s="525"/>
      <c r="S344" s="567">
        <v>512.49800000000005</v>
      </c>
      <c r="T344" s="504"/>
      <c r="U344" s="504"/>
      <c r="V344" s="504"/>
      <c r="W344" s="504"/>
      <c r="X344" s="504"/>
      <c r="Y344" s="504"/>
      <c r="Z344" s="504"/>
      <c r="AA344" s="504"/>
      <c r="AB344" s="504"/>
      <c r="AC344" s="504"/>
      <c r="AD344" s="504"/>
      <c r="AE344" s="504"/>
      <c r="AF344" s="504"/>
      <c r="AG344" s="504"/>
      <c r="AH344" s="504"/>
      <c r="AI344" s="504"/>
      <c r="AJ344" s="504"/>
      <c r="AK344" s="504"/>
      <c r="AL344" s="504"/>
      <c r="AM344" s="504"/>
      <c r="AN344" s="504"/>
    </row>
    <row r="345" spans="1:40" ht="15.75" hidden="1" customHeight="1">
      <c r="A345" s="493" t="s">
        <v>413</v>
      </c>
      <c r="B345" s="499" t="s">
        <v>104</v>
      </c>
      <c r="C345" s="585" t="s">
        <v>21</v>
      </c>
      <c r="D345" s="82"/>
      <c r="E345" s="504"/>
      <c r="F345" s="514">
        <v>0</v>
      </c>
      <c r="G345" s="84"/>
      <c r="H345" s="504"/>
      <c r="I345" s="514">
        <v>0</v>
      </c>
      <c r="J345" s="525"/>
      <c r="K345" s="504"/>
      <c r="L345" s="517">
        <v>0</v>
      </c>
      <c r="M345" s="525"/>
      <c r="N345" s="545">
        <v>0</v>
      </c>
      <c r="O345" s="525"/>
      <c r="P345" s="504"/>
      <c r="Q345" s="517">
        <v>0</v>
      </c>
      <c r="R345" s="525"/>
      <c r="S345" s="567">
        <v>0</v>
      </c>
      <c r="T345" s="504"/>
      <c r="U345" s="504"/>
      <c r="V345" s="504"/>
      <c r="W345" s="504"/>
      <c r="X345" s="504"/>
      <c r="Y345" s="504"/>
      <c r="Z345" s="504"/>
      <c r="AA345" s="504"/>
      <c r="AB345" s="504"/>
      <c r="AC345" s="504"/>
      <c r="AD345" s="504"/>
      <c r="AE345" s="504"/>
      <c r="AF345" s="504"/>
      <c r="AG345" s="504"/>
      <c r="AH345" s="504"/>
      <c r="AI345" s="504"/>
      <c r="AJ345" s="504"/>
      <c r="AK345" s="504"/>
      <c r="AL345" s="504"/>
      <c r="AM345" s="504"/>
      <c r="AN345" s="504"/>
    </row>
    <row r="346" spans="1:40" ht="15.75" hidden="1" customHeight="1">
      <c r="A346" s="493" t="s">
        <v>413</v>
      </c>
      <c r="B346" s="499" t="s">
        <v>104</v>
      </c>
      <c r="C346" s="585" t="s">
        <v>21</v>
      </c>
      <c r="D346" s="82"/>
      <c r="E346" s="504"/>
      <c r="F346" s="514">
        <v>0</v>
      </c>
      <c r="G346" s="84"/>
      <c r="H346" s="504"/>
      <c r="I346" s="514">
        <v>0</v>
      </c>
      <c r="J346" s="525"/>
      <c r="K346" s="504"/>
      <c r="L346" s="517">
        <v>0</v>
      </c>
      <c r="M346" s="525"/>
      <c r="N346" s="545">
        <v>0</v>
      </c>
      <c r="O346" s="525"/>
      <c r="P346" s="504"/>
      <c r="Q346" s="517">
        <v>0</v>
      </c>
      <c r="R346" s="525"/>
      <c r="S346" s="567">
        <v>0</v>
      </c>
      <c r="T346" s="504"/>
      <c r="U346" s="504"/>
      <c r="V346" s="504"/>
      <c r="W346" s="504"/>
      <c r="X346" s="504"/>
      <c r="Y346" s="504"/>
      <c r="Z346" s="504"/>
      <c r="AA346" s="504"/>
      <c r="AB346" s="504"/>
      <c r="AC346" s="504"/>
      <c r="AD346" s="504"/>
      <c r="AE346" s="504"/>
      <c r="AF346" s="504"/>
      <c r="AG346" s="504"/>
      <c r="AH346" s="504"/>
      <c r="AI346" s="504"/>
      <c r="AJ346" s="504"/>
      <c r="AK346" s="504"/>
      <c r="AL346" s="504"/>
      <c r="AM346" s="504"/>
      <c r="AN346" s="504"/>
    </row>
    <row r="347" spans="1:40" ht="15.75" hidden="1" customHeight="1">
      <c r="A347" s="493" t="s">
        <v>413</v>
      </c>
      <c r="B347" s="499" t="s">
        <v>104</v>
      </c>
      <c r="C347" s="585" t="s">
        <v>21</v>
      </c>
      <c r="D347" s="82"/>
      <c r="E347" s="504"/>
      <c r="F347" s="514">
        <v>0</v>
      </c>
      <c r="G347" s="84"/>
      <c r="H347" s="504"/>
      <c r="I347" s="514">
        <v>0</v>
      </c>
      <c r="J347" s="525"/>
      <c r="K347" s="504"/>
      <c r="L347" s="517">
        <v>0</v>
      </c>
      <c r="M347" s="525"/>
      <c r="N347" s="545">
        <v>0</v>
      </c>
      <c r="O347" s="525"/>
      <c r="P347" s="504"/>
      <c r="Q347" s="517">
        <v>0</v>
      </c>
      <c r="R347" s="525"/>
      <c r="S347" s="567">
        <v>0</v>
      </c>
      <c r="T347" s="504"/>
      <c r="U347" s="504"/>
      <c r="V347" s="504"/>
      <c r="W347" s="504"/>
      <c r="X347" s="504"/>
      <c r="Y347" s="504"/>
      <c r="Z347" s="504"/>
      <c r="AA347" s="504"/>
      <c r="AB347" s="504"/>
      <c r="AC347" s="504"/>
      <c r="AD347" s="504"/>
      <c r="AE347" s="504"/>
      <c r="AF347" s="504"/>
      <c r="AG347" s="504"/>
      <c r="AH347" s="504"/>
      <c r="AI347" s="504"/>
      <c r="AJ347" s="504"/>
      <c r="AK347" s="504"/>
      <c r="AL347" s="504"/>
      <c r="AM347" s="504"/>
      <c r="AN347" s="504"/>
    </row>
    <row r="348" spans="1:40" ht="15.75" customHeight="1">
      <c r="B348" s="497"/>
      <c r="C348" s="578" t="s">
        <v>65</v>
      </c>
      <c r="D348" s="97" t="s">
        <v>40</v>
      </c>
      <c r="E348" s="579">
        <v>0.20988992543349147</v>
      </c>
      <c r="F348" s="580">
        <v>23578.007732932714</v>
      </c>
      <c r="G348" s="100" t="s">
        <v>40</v>
      </c>
      <c r="H348" s="579">
        <v>0.20988992543349147</v>
      </c>
      <c r="I348" s="580">
        <v>23578.007732932714</v>
      </c>
      <c r="J348" s="100" t="s">
        <v>40</v>
      </c>
      <c r="K348" s="579">
        <v>0.24999131703475394</v>
      </c>
      <c r="L348" s="580">
        <v>29006.939999999995</v>
      </c>
      <c r="M348" s="583"/>
      <c r="N348" s="580">
        <v>5428.9322670672846</v>
      </c>
      <c r="O348" s="100" t="s">
        <v>40</v>
      </c>
      <c r="P348" s="579">
        <v>0.18089987350923045</v>
      </c>
      <c r="Q348" s="580">
        <v>17836.742000000002</v>
      </c>
      <c r="R348" s="583"/>
      <c r="S348" s="584">
        <v>11170.197999999997</v>
      </c>
      <c r="T348" s="504"/>
      <c r="U348" s="504"/>
      <c r="V348" s="504"/>
      <c r="W348" s="504"/>
      <c r="X348" s="504"/>
      <c r="Y348" s="504"/>
      <c r="Z348" s="504"/>
      <c r="AA348" s="504"/>
      <c r="AB348" s="504"/>
      <c r="AC348" s="504"/>
      <c r="AD348" s="504"/>
      <c r="AE348" s="504"/>
      <c r="AF348" s="504"/>
      <c r="AG348" s="504"/>
      <c r="AH348" s="504"/>
      <c r="AI348" s="504"/>
      <c r="AJ348" s="504"/>
      <c r="AK348" s="504"/>
      <c r="AL348" s="504"/>
      <c r="AM348" s="504"/>
      <c r="AN348" s="504"/>
    </row>
    <row r="349" spans="1:40" ht="15.75" customHeight="1">
      <c r="B349" s="497"/>
      <c r="C349" s="568"/>
      <c r="D349" s="89"/>
      <c r="E349" s="592"/>
      <c r="F349" s="545"/>
      <c r="G349" s="91"/>
      <c r="H349" s="592"/>
      <c r="I349" s="545"/>
      <c r="J349" s="509"/>
      <c r="K349" s="592"/>
      <c r="L349" s="573"/>
      <c r="M349" s="509"/>
      <c r="N349" s="573"/>
      <c r="O349" s="509"/>
      <c r="P349" s="592"/>
      <c r="Q349" s="573"/>
      <c r="R349" s="509"/>
      <c r="S349" s="574"/>
      <c r="T349" s="504"/>
      <c r="U349" s="504"/>
      <c r="V349" s="504"/>
      <c r="W349" s="504"/>
      <c r="X349" s="504"/>
      <c r="Y349" s="504"/>
      <c r="Z349" s="504"/>
      <c r="AA349" s="504"/>
      <c r="AB349" s="504"/>
      <c r="AC349" s="504"/>
      <c r="AD349" s="504"/>
      <c r="AE349" s="504"/>
      <c r="AF349" s="504"/>
      <c r="AG349" s="504"/>
      <c r="AH349" s="504"/>
      <c r="AI349" s="504"/>
      <c r="AJ349" s="504"/>
      <c r="AK349" s="504"/>
      <c r="AL349" s="504"/>
      <c r="AM349" s="504"/>
      <c r="AN349" s="504"/>
    </row>
    <row r="350" spans="1:40" ht="15.75" customHeight="1">
      <c r="B350" s="497"/>
      <c r="C350" s="578" t="s">
        <v>66</v>
      </c>
      <c r="D350" s="97" t="s">
        <v>40</v>
      </c>
      <c r="E350" s="579">
        <v>0.59217144489818951</v>
      </c>
      <c r="F350" s="580">
        <v>66521.644038868879</v>
      </c>
      <c r="G350" s="100" t="s">
        <v>40</v>
      </c>
      <c r="H350" s="579">
        <v>0.59217144489818951</v>
      </c>
      <c r="I350" s="580">
        <v>66521.644038868879</v>
      </c>
      <c r="J350" s="100" t="s">
        <v>40</v>
      </c>
      <c r="K350" s="579">
        <v>0.66723240243040283</v>
      </c>
      <c r="L350" s="580">
        <v>77420.17</v>
      </c>
      <c r="M350" s="583"/>
      <c r="N350" s="594">
        <v>10898.525961131119</v>
      </c>
      <c r="O350" s="100" t="s">
        <v>40</v>
      </c>
      <c r="P350" s="579">
        <v>0.63045417407369264</v>
      </c>
      <c r="Q350" s="580">
        <v>62162.832000000009</v>
      </c>
      <c r="R350" s="583"/>
      <c r="S350" s="595">
        <v>15257.337999999989</v>
      </c>
      <c r="T350" s="504"/>
      <c r="U350" s="504"/>
      <c r="V350" s="504"/>
      <c r="W350" s="504"/>
      <c r="X350" s="504"/>
      <c r="Y350" s="504"/>
      <c r="Z350" s="504"/>
      <c r="AA350" s="504"/>
      <c r="AB350" s="504"/>
      <c r="AC350" s="504"/>
      <c r="AD350" s="504"/>
      <c r="AE350" s="504"/>
      <c r="AF350" s="504"/>
      <c r="AG350" s="504"/>
      <c r="AH350" s="504"/>
      <c r="AI350" s="504"/>
      <c r="AJ350" s="504"/>
      <c r="AK350" s="504"/>
      <c r="AL350" s="504"/>
      <c r="AM350" s="504"/>
      <c r="AN350" s="504"/>
    </row>
    <row r="351" spans="1:40" ht="15.75" customHeight="1">
      <c r="B351" s="497"/>
      <c r="C351" s="513"/>
      <c r="D351" s="82"/>
      <c r="E351" s="504"/>
      <c r="F351" s="545"/>
      <c r="G351" s="84"/>
      <c r="H351" s="504"/>
      <c r="I351" s="545"/>
      <c r="J351" s="525"/>
      <c r="K351" s="504"/>
      <c r="L351" s="545"/>
      <c r="M351" s="525"/>
      <c r="N351" s="545">
        <v>0</v>
      </c>
      <c r="O351" s="525"/>
      <c r="P351" s="504"/>
      <c r="Q351" s="545"/>
      <c r="R351" s="525"/>
      <c r="S351" s="567"/>
      <c r="T351" s="504"/>
      <c r="U351" s="504"/>
      <c r="V351" s="504"/>
      <c r="W351" s="504"/>
      <c r="X351" s="504"/>
      <c r="Y351" s="504"/>
      <c r="Z351" s="504"/>
      <c r="AA351" s="504"/>
      <c r="AB351" s="504"/>
      <c r="AC351" s="504"/>
      <c r="AD351" s="504"/>
      <c r="AE351" s="504"/>
      <c r="AF351" s="504"/>
      <c r="AG351" s="504"/>
      <c r="AH351" s="504"/>
      <c r="AI351" s="504"/>
      <c r="AJ351" s="504"/>
      <c r="AK351" s="504"/>
      <c r="AL351" s="504"/>
      <c r="AM351" s="504"/>
      <c r="AN351" s="504"/>
    </row>
    <row r="352" spans="1:40" ht="15.75" customHeight="1" thickBot="1">
      <c r="B352" s="497"/>
      <c r="C352" s="605" t="s">
        <v>73</v>
      </c>
      <c r="D352" s="156"/>
      <c r="E352" s="606"/>
      <c r="F352" s="608">
        <v>45813.465348760859</v>
      </c>
      <c r="G352" s="157"/>
      <c r="H352" s="606"/>
      <c r="I352" s="608">
        <v>45813.465348760859</v>
      </c>
      <c r="J352" s="625"/>
      <c r="K352" s="607"/>
      <c r="L352" s="608">
        <v>38611.62000000001</v>
      </c>
      <c r="M352" s="625"/>
      <c r="N352" s="608">
        <v>-7201.8453487608494</v>
      </c>
      <c r="O352" s="625"/>
      <c r="P352" s="607"/>
      <c r="Q352" s="608">
        <v>36437.247999999978</v>
      </c>
      <c r="R352" s="625"/>
      <c r="S352" s="610">
        <v>2174.3720000000321</v>
      </c>
      <c r="T352" s="504"/>
      <c r="U352" s="504"/>
      <c r="V352" s="504"/>
      <c r="W352" s="504"/>
      <c r="X352" s="504"/>
      <c r="Y352" s="504"/>
      <c r="Z352" s="504"/>
      <c r="AA352" s="504"/>
      <c r="AB352" s="504"/>
      <c r="AC352" s="504"/>
      <c r="AD352" s="504"/>
      <c r="AE352" s="504"/>
      <c r="AF352" s="504"/>
      <c r="AG352" s="504"/>
      <c r="AH352" s="504"/>
      <c r="AI352" s="504"/>
      <c r="AJ352" s="504"/>
      <c r="AK352" s="504"/>
      <c r="AL352" s="504"/>
      <c r="AM352" s="504"/>
      <c r="AN352" s="504"/>
    </row>
    <row r="353" spans="1:40" ht="15.75" customHeight="1" thickTop="1">
      <c r="B353" s="497"/>
      <c r="C353" s="562"/>
      <c r="D353" s="82"/>
      <c r="E353" s="504"/>
      <c r="F353" s="593"/>
      <c r="G353" s="82"/>
      <c r="H353" s="504"/>
      <c r="I353" s="593"/>
      <c r="J353" s="562"/>
      <c r="K353" s="562"/>
      <c r="L353" s="593"/>
      <c r="M353" s="562"/>
      <c r="N353" s="593"/>
      <c r="O353" s="562"/>
      <c r="P353" s="562"/>
      <c r="Q353" s="593"/>
      <c r="R353" s="562"/>
      <c r="S353" s="593"/>
      <c r="T353" s="504"/>
      <c r="U353" s="504"/>
      <c r="V353" s="504"/>
      <c r="W353" s="504"/>
      <c r="X353" s="504"/>
      <c r="Y353" s="504"/>
      <c r="Z353" s="504"/>
      <c r="AA353" s="504"/>
      <c r="AB353" s="504"/>
      <c r="AC353" s="504"/>
      <c r="AD353" s="504"/>
      <c r="AE353" s="504"/>
      <c r="AF353" s="504"/>
      <c r="AG353" s="504"/>
      <c r="AH353" s="504"/>
      <c r="AI353" s="504"/>
      <c r="AJ353" s="504"/>
      <c r="AK353" s="504"/>
      <c r="AL353" s="504"/>
      <c r="AM353" s="504"/>
      <c r="AN353" s="504"/>
    </row>
    <row r="354" spans="1:40" ht="15.75" customHeight="1">
      <c r="B354" s="497"/>
      <c r="C354" s="562"/>
      <c r="D354" s="82"/>
      <c r="E354" s="504"/>
      <c r="F354" s="593"/>
      <c r="G354" s="82"/>
      <c r="H354" s="504"/>
      <c r="I354" s="593"/>
      <c r="J354" s="562"/>
      <c r="K354" s="562"/>
      <c r="L354" s="593"/>
      <c r="M354" s="562"/>
      <c r="N354" s="593"/>
      <c r="O354" s="562"/>
      <c r="P354" s="562"/>
      <c r="Q354" s="593"/>
      <c r="R354" s="562"/>
      <c r="S354" s="593"/>
      <c r="T354" s="504"/>
      <c r="U354" s="504"/>
      <c r="V354" s="504"/>
      <c r="W354" s="504"/>
      <c r="X354" s="504"/>
      <c r="Y354" s="504"/>
      <c r="Z354" s="504"/>
      <c r="AA354" s="504"/>
      <c r="AB354" s="504"/>
      <c r="AC354" s="504"/>
      <c r="AD354" s="504"/>
      <c r="AE354" s="504"/>
      <c r="AF354" s="504"/>
      <c r="AG354" s="504"/>
      <c r="AH354" s="504"/>
      <c r="AI354" s="504"/>
      <c r="AJ354" s="504"/>
      <c r="AK354" s="504"/>
      <c r="AL354" s="504"/>
      <c r="AM354" s="504"/>
      <c r="AN354" s="504"/>
    </row>
    <row r="355" spans="1:40" ht="34.5" customHeight="1">
      <c r="B355" s="497"/>
      <c r="C355" s="496" t="s">
        <v>228</v>
      </c>
      <c r="D355" s="2"/>
      <c r="E355" s="2"/>
      <c r="F355" s="2"/>
      <c r="G355" s="2"/>
      <c r="H355" s="494"/>
      <c r="I355" s="494"/>
      <c r="J355" s="494"/>
      <c r="K355" s="3" t="s">
        <v>120</v>
      </c>
      <c r="L355" s="2"/>
      <c r="M355" s="2"/>
      <c r="N355" s="494"/>
      <c r="O355" s="494"/>
      <c r="P355" s="2"/>
      <c r="Q355" s="494"/>
      <c r="R355" s="2"/>
      <c r="S355" s="5" t="s">
        <v>496</v>
      </c>
      <c r="T355" s="498"/>
      <c r="U355" s="498"/>
      <c r="V355" s="504"/>
      <c r="W355" s="498"/>
      <c r="X355" s="498"/>
      <c r="Y355" s="498"/>
      <c r="Z355" s="498"/>
      <c r="AA355" s="498"/>
      <c r="AB355" s="498"/>
      <c r="AC355" s="498"/>
      <c r="AD355" s="498"/>
      <c r="AE355" s="498"/>
      <c r="AF355" s="498"/>
      <c r="AG355" s="498"/>
      <c r="AH355" s="498"/>
      <c r="AI355" s="498"/>
      <c r="AJ355" s="498"/>
      <c r="AK355" s="498"/>
      <c r="AL355" s="498"/>
      <c r="AM355" s="498"/>
      <c r="AN355" s="498"/>
    </row>
    <row r="356" spans="1:40" ht="15.75" customHeight="1" thickBot="1">
      <c r="B356" s="497"/>
      <c r="C356" s="8"/>
      <c r="D356" s="498"/>
      <c r="E356" s="498"/>
      <c r="F356" s="498"/>
      <c r="G356" s="498"/>
      <c r="H356" s="498"/>
      <c r="I356" s="498"/>
      <c r="J356" s="498"/>
      <c r="K356" s="498"/>
      <c r="L356" s="498"/>
      <c r="M356" s="498"/>
      <c r="N356" s="498"/>
      <c r="O356" s="498"/>
      <c r="P356" s="498"/>
      <c r="Q356" s="498"/>
      <c r="R356" s="498"/>
      <c r="S356" s="498"/>
      <c r="T356" s="498"/>
      <c r="U356" s="498"/>
      <c r="V356" s="504"/>
      <c r="W356" s="498"/>
      <c r="X356" s="498"/>
      <c r="Y356" s="498"/>
      <c r="Z356" s="498"/>
      <c r="AA356" s="498"/>
      <c r="AB356" s="498"/>
      <c r="AC356" s="498"/>
      <c r="AD356" s="498"/>
      <c r="AE356" s="498"/>
      <c r="AF356" s="498"/>
      <c r="AG356" s="498"/>
      <c r="AH356" s="498"/>
      <c r="AI356" s="498"/>
      <c r="AJ356" s="498"/>
      <c r="AK356" s="498"/>
      <c r="AL356" s="498"/>
      <c r="AM356" s="498"/>
      <c r="AN356" s="498"/>
    </row>
    <row r="357" spans="1:40" ht="15.75" customHeight="1" thickTop="1">
      <c r="B357" s="497"/>
      <c r="C357" s="500"/>
      <c r="D357" s="488" t="s">
        <v>5</v>
      </c>
      <c r="E357" s="501"/>
      <c r="F357" s="502"/>
      <c r="G357" s="489" t="s">
        <v>75</v>
      </c>
      <c r="H357" s="501"/>
      <c r="I357" s="502"/>
      <c r="J357" s="489" t="s">
        <v>7</v>
      </c>
      <c r="K357" s="501"/>
      <c r="L357" s="502"/>
      <c r="M357" s="489" t="s">
        <v>8</v>
      </c>
      <c r="N357" s="502"/>
      <c r="O357" s="488" t="s">
        <v>9</v>
      </c>
      <c r="P357" s="501"/>
      <c r="Q357" s="502"/>
      <c r="R357" s="489" t="s">
        <v>10</v>
      </c>
      <c r="S357" s="503"/>
      <c r="T357" s="498"/>
      <c r="U357" s="498"/>
      <c r="V357" s="504"/>
      <c r="W357" s="498"/>
      <c r="X357" s="498"/>
      <c r="Y357" s="498"/>
      <c r="Z357" s="498"/>
      <c r="AA357" s="498"/>
      <c r="AB357" s="498"/>
      <c r="AC357" s="498"/>
      <c r="AD357" s="498"/>
      <c r="AE357" s="498"/>
      <c r="AF357" s="498"/>
      <c r="AG357" s="498"/>
      <c r="AH357" s="498"/>
      <c r="AI357" s="498"/>
      <c r="AJ357" s="498"/>
      <c r="AK357" s="498"/>
      <c r="AL357" s="498"/>
      <c r="AM357" s="498"/>
      <c r="AN357" s="498"/>
    </row>
    <row r="358" spans="1:40" ht="15.75" customHeight="1" thickBot="1">
      <c r="A358" s="493" t="s">
        <v>120</v>
      </c>
      <c r="B358" s="499" t="s">
        <v>120</v>
      </c>
      <c r="C358" s="513"/>
      <c r="D358" s="235" t="s">
        <v>85</v>
      </c>
      <c r="E358" s="235" t="s">
        <v>105</v>
      </c>
      <c r="F358" s="236" t="s">
        <v>13</v>
      </c>
      <c r="G358" s="237" t="s">
        <v>85</v>
      </c>
      <c r="H358" s="235" t="s">
        <v>105</v>
      </c>
      <c r="I358" s="236" t="s">
        <v>13</v>
      </c>
      <c r="J358" s="138" t="s">
        <v>85</v>
      </c>
      <c r="K358" s="81" t="s">
        <v>105</v>
      </c>
      <c r="L358" s="137" t="s">
        <v>13</v>
      </c>
      <c r="M358" s="138" t="s">
        <v>41</v>
      </c>
      <c r="N358" s="137" t="s">
        <v>13</v>
      </c>
      <c r="O358" s="138" t="s">
        <v>85</v>
      </c>
      <c r="P358" s="81" t="s">
        <v>105</v>
      </c>
      <c r="Q358" s="137" t="s">
        <v>13</v>
      </c>
      <c r="R358" s="138" t="s">
        <v>86</v>
      </c>
      <c r="S358" s="139" t="s">
        <v>13</v>
      </c>
      <c r="T358" s="498"/>
      <c r="U358" s="498"/>
      <c r="V358" s="504"/>
      <c r="W358" s="498"/>
      <c r="X358" s="498"/>
      <c r="Y358" s="498"/>
      <c r="Z358" s="498"/>
      <c r="AA358" s="498"/>
      <c r="AB358" s="498"/>
      <c r="AC358" s="498"/>
      <c r="AD358" s="498"/>
      <c r="AE358" s="498"/>
      <c r="AF358" s="498"/>
      <c r="AG358" s="498"/>
      <c r="AH358" s="498"/>
      <c r="AI358" s="498"/>
      <c r="AJ358" s="498"/>
      <c r="AK358" s="498"/>
      <c r="AL358" s="498"/>
      <c r="AM358" s="498"/>
      <c r="AN358" s="498"/>
    </row>
    <row r="359" spans="1:40" ht="15.75" customHeight="1" thickTop="1">
      <c r="A359" s="493" t="s">
        <v>447</v>
      </c>
      <c r="B359" s="499" t="s">
        <v>120</v>
      </c>
      <c r="C359" s="548" t="s">
        <v>120</v>
      </c>
      <c r="D359" s="707">
        <v>0</v>
      </c>
      <c r="E359" s="708">
        <v>0</v>
      </c>
      <c r="F359" s="709">
        <v>0</v>
      </c>
      <c r="G359" s="707">
        <v>0</v>
      </c>
      <c r="H359" s="708">
        <v>0</v>
      </c>
      <c r="I359" s="707">
        <v>0</v>
      </c>
      <c r="J359" s="710">
        <v>0</v>
      </c>
      <c r="K359" s="694">
        <v>0</v>
      </c>
      <c r="L359" s="711">
        <v>0</v>
      </c>
      <c r="M359" s="695">
        <v>0</v>
      </c>
      <c r="N359" s="696">
        <v>0</v>
      </c>
      <c r="O359" s="710">
        <v>0</v>
      </c>
      <c r="P359" s="694">
        <v>0</v>
      </c>
      <c r="Q359" s="711">
        <v>0</v>
      </c>
      <c r="R359" s="695">
        <v>0</v>
      </c>
      <c r="S359" s="697">
        <v>0</v>
      </c>
      <c r="T359" s="498"/>
      <c r="U359" s="498"/>
      <c r="V359" s="712"/>
      <c r="W359" s="498"/>
      <c r="X359" s="498"/>
      <c r="Y359" s="498"/>
      <c r="Z359" s="498"/>
      <c r="AA359" s="498"/>
      <c r="AB359" s="498"/>
      <c r="AC359" s="498"/>
      <c r="AD359" s="498"/>
      <c r="AE359" s="498"/>
      <c r="AF359" s="498"/>
      <c r="AG359" s="498"/>
      <c r="AH359" s="498"/>
      <c r="AI359" s="498"/>
      <c r="AJ359" s="498"/>
      <c r="AK359" s="498"/>
      <c r="AL359" s="498"/>
      <c r="AM359" s="498"/>
      <c r="AN359" s="498"/>
    </row>
    <row r="360" spans="1:40" ht="15.75" customHeight="1" thickBot="1">
      <c r="A360" s="493" t="s">
        <v>120</v>
      </c>
      <c r="B360" s="499" t="s">
        <v>120</v>
      </c>
      <c r="C360" s="698"/>
      <c r="D360" s="699"/>
      <c r="E360" s="700"/>
      <c r="F360" s="701"/>
      <c r="G360" s="702"/>
      <c r="H360" s="700"/>
      <c r="I360" s="701"/>
      <c r="J360" s="702"/>
      <c r="K360" s="700"/>
      <c r="L360" s="701"/>
      <c r="M360" s="703"/>
      <c r="N360" s="560"/>
      <c r="O360" s="702"/>
      <c r="P360" s="700"/>
      <c r="Q360" s="701"/>
      <c r="R360" s="703"/>
      <c r="S360" s="561"/>
      <c r="T360" s="498"/>
      <c r="U360" s="498"/>
      <c r="V360" s="504"/>
      <c r="W360" s="498"/>
      <c r="X360" s="498"/>
      <c r="Y360" s="498"/>
      <c r="Z360" s="498"/>
      <c r="AA360" s="498"/>
      <c r="AB360" s="498"/>
      <c r="AC360" s="498"/>
      <c r="AD360" s="498"/>
      <c r="AE360" s="498"/>
      <c r="AF360" s="498"/>
      <c r="AG360" s="498"/>
      <c r="AH360" s="498"/>
      <c r="AI360" s="498"/>
      <c r="AJ360" s="498"/>
      <c r="AK360" s="498"/>
      <c r="AL360" s="498"/>
      <c r="AM360" s="498"/>
      <c r="AN360" s="498"/>
    </row>
    <row r="361" spans="1:40" ht="15.75" customHeight="1" thickTop="1">
      <c r="A361" s="493" t="s">
        <v>448</v>
      </c>
      <c r="B361" s="499" t="s">
        <v>120</v>
      </c>
      <c r="C361" s="538" t="s">
        <v>121</v>
      </c>
      <c r="D361" s="713">
        <v>0</v>
      </c>
      <c r="E361" s="647">
        <v>0</v>
      </c>
      <c r="F361" s="649">
        <v>0</v>
      </c>
      <c r="G361" s="648">
        <v>0</v>
      </c>
      <c r="H361" s="647">
        <v>0</v>
      </c>
      <c r="I361" s="649">
        <v>0</v>
      </c>
      <c r="J361" s="648">
        <v>0</v>
      </c>
      <c r="K361" s="647">
        <v>0</v>
      </c>
      <c r="L361" s="649">
        <v>0</v>
      </c>
      <c r="M361" s="714">
        <v>0</v>
      </c>
      <c r="N361" s="715">
        <v>0</v>
      </c>
      <c r="O361" s="648">
        <v>0</v>
      </c>
      <c r="P361" s="647">
        <v>0</v>
      </c>
      <c r="Q361" s="649">
        <v>0</v>
      </c>
      <c r="R361" s="525">
        <v>0</v>
      </c>
      <c r="S361" s="528">
        <v>0</v>
      </c>
      <c r="T361" s="498"/>
      <c r="U361" s="498"/>
      <c r="V361" s="504"/>
      <c r="W361" s="498"/>
      <c r="X361" s="498"/>
      <c r="Y361" s="498"/>
      <c r="Z361" s="498"/>
      <c r="AA361" s="498"/>
      <c r="AB361" s="498"/>
      <c r="AC361" s="498"/>
      <c r="AD361" s="498"/>
      <c r="AE361" s="498"/>
      <c r="AF361" s="498"/>
      <c r="AG361" s="498"/>
      <c r="AH361" s="498"/>
      <c r="AI361" s="498"/>
      <c r="AJ361" s="498"/>
      <c r="AK361" s="498"/>
      <c r="AL361" s="498"/>
      <c r="AM361" s="498"/>
      <c r="AN361" s="498"/>
    </row>
    <row r="362" spans="1:40" ht="15.75" customHeight="1">
      <c r="A362" s="493" t="s">
        <v>120</v>
      </c>
      <c r="B362" s="499" t="s">
        <v>120</v>
      </c>
      <c r="C362" s="80"/>
      <c r="D362" s="504"/>
      <c r="E362" s="504"/>
      <c r="F362" s="545"/>
      <c r="G362" s="525"/>
      <c r="H362" s="716"/>
      <c r="I362" s="545"/>
      <c r="J362" s="525"/>
      <c r="K362" s="504"/>
      <c r="L362" s="524"/>
      <c r="M362" s="525"/>
      <c r="N362" s="717">
        <v>0</v>
      </c>
      <c r="O362" s="525"/>
      <c r="P362" s="504"/>
      <c r="Q362" s="524"/>
      <c r="R362" s="525"/>
      <c r="S362" s="547">
        <v>0</v>
      </c>
      <c r="T362" s="498"/>
      <c r="U362" s="498"/>
      <c r="V362" s="504"/>
      <c r="W362" s="498"/>
      <c r="X362" s="498"/>
      <c r="Y362" s="498"/>
      <c r="Z362" s="498"/>
      <c r="AA362" s="498"/>
      <c r="AB362" s="498"/>
      <c r="AC362" s="498"/>
      <c r="AD362" s="498"/>
      <c r="AE362" s="498"/>
      <c r="AF362" s="498"/>
      <c r="AG362" s="498"/>
      <c r="AH362" s="498"/>
      <c r="AI362" s="498"/>
      <c r="AJ362" s="498"/>
      <c r="AK362" s="498"/>
      <c r="AL362" s="498"/>
      <c r="AM362" s="498"/>
      <c r="AN362" s="498"/>
    </row>
    <row r="363" spans="1:40" ht="15.75" customHeight="1">
      <c r="A363" s="493" t="s">
        <v>449</v>
      </c>
      <c r="B363" s="499" t="s">
        <v>120</v>
      </c>
      <c r="C363" s="80" t="s">
        <v>31</v>
      </c>
      <c r="D363" s="504"/>
      <c r="E363" s="504"/>
      <c r="F363" s="545"/>
      <c r="G363" s="525"/>
      <c r="H363" s="504"/>
      <c r="I363" s="545"/>
      <c r="J363" s="525"/>
      <c r="K363" s="504"/>
      <c r="L363" s="524"/>
      <c r="M363" s="525"/>
      <c r="N363" s="524"/>
      <c r="O363" s="525"/>
      <c r="P363" s="504"/>
      <c r="Q363" s="524"/>
      <c r="R363" s="525"/>
      <c r="S363" s="547"/>
      <c r="T363" s="498"/>
      <c r="U363" s="498"/>
      <c r="V363" s="504"/>
      <c r="W363" s="498"/>
      <c r="X363" s="498"/>
      <c r="Y363" s="498"/>
      <c r="Z363" s="498"/>
      <c r="AA363" s="498"/>
      <c r="AB363" s="498"/>
      <c r="AC363" s="498"/>
      <c r="AD363" s="498"/>
      <c r="AE363" s="498"/>
      <c r="AF363" s="498"/>
      <c r="AG363" s="498"/>
      <c r="AH363" s="498"/>
      <c r="AI363" s="498"/>
      <c r="AJ363" s="498"/>
      <c r="AK363" s="498"/>
      <c r="AL363" s="498"/>
      <c r="AM363" s="498"/>
      <c r="AN363" s="498"/>
    </row>
    <row r="364" spans="1:40" ht="15.75" customHeight="1">
      <c r="A364" s="493" t="s">
        <v>450</v>
      </c>
      <c r="B364" s="499" t="s">
        <v>120</v>
      </c>
      <c r="C364" s="585" t="s">
        <v>42</v>
      </c>
      <c r="D364" s="504"/>
      <c r="E364" s="504"/>
      <c r="F364" s="514">
        <v>0</v>
      </c>
      <c r="G364" s="525"/>
      <c r="H364" s="504"/>
      <c r="I364" s="514">
        <v>0</v>
      </c>
      <c r="J364" s="525"/>
      <c r="K364" s="504"/>
      <c r="L364" s="517">
        <v>0</v>
      </c>
      <c r="M364" s="525"/>
      <c r="N364" s="524"/>
      <c r="O364" s="525"/>
      <c r="P364" s="504"/>
      <c r="Q364" s="517">
        <v>0</v>
      </c>
      <c r="R364" s="525"/>
      <c r="S364" s="518">
        <v>0</v>
      </c>
      <c r="T364" s="498"/>
      <c r="U364" s="498"/>
      <c r="V364" s="504"/>
      <c r="W364" s="498"/>
      <c r="X364" s="498"/>
      <c r="Y364" s="498"/>
      <c r="Z364" s="498"/>
      <c r="AA364" s="498"/>
      <c r="AB364" s="498"/>
      <c r="AC364" s="498"/>
      <c r="AD364" s="498"/>
      <c r="AE364" s="498"/>
      <c r="AF364" s="498"/>
      <c r="AG364" s="498"/>
      <c r="AH364" s="498"/>
      <c r="AI364" s="498"/>
      <c r="AJ364" s="498"/>
      <c r="AK364" s="498"/>
      <c r="AL364" s="498"/>
      <c r="AM364" s="498"/>
      <c r="AN364" s="498"/>
    </row>
    <row r="365" spans="1:40" ht="15.75" customHeight="1">
      <c r="A365" s="493" t="s">
        <v>451</v>
      </c>
      <c r="B365" s="499" t="s">
        <v>120</v>
      </c>
      <c r="C365" s="586" t="s">
        <v>43</v>
      </c>
      <c r="D365" s="82"/>
      <c r="E365" s="504"/>
      <c r="F365" s="508">
        <v>0</v>
      </c>
      <c r="G365" s="84"/>
      <c r="H365" s="504"/>
      <c r="I365" s="508">
        <v>0</v>
      </c>
      <c r="J365" s="525"/>
      <c r="K365" s="504"/>
      <c r="L365" s="508">
        <v>0</v>
      </c>
      <c r="M365" s="525"/>
      <c r="N365" s="545">
        <v>0</v>
      </c>
      <c r="O365" s="525"/>
      <c r="P365" s="504"/>
      <c r="Q365" s="508">
        <v>0</v>
      </c>
      <c r="R365" s="525"/>
      <c r="S365" s="567">
        <v>0</v>
      </c>
      <c r="T365" s="498"/>
      <c r="U365" s="498"/>
      <c r="V365" s="504"/>
      <c r="W365" s="498"/>
      <c r="X365" s="498"/>
      <c r="Y365" s="498"/>
      <c r="Z365" s="498"/>
      <c r="AA365" s="498"/>
      <c r="AB365" s="498"/>
      <c r="AC365" s="498"/>
      <c r="AD365" s="498"/>
      <c r="AE365" s="498"/>
      <c r="AF365" s="498"/>
      <c r="AG365" s="498"/>
      <c r="AH365" s="498"/>
      <c r="AI365" s="498"/>
      <c r="AJ365" s="498"/>
      <c r="AK365" s="498"/>
      <c r="AL365" s="498"/>
      <c r="AM365" s="498"/>
      <c r="AN365" s="498"/>
    </row>
    <row r="366" spans="1:40" ht="15.75" customHeight="1">
      <c r="A366" s="493" t="s">
        <v>452</v>
      </c>
      <c r="B366" s="499" t="s">
        <v>120</v>
      </c>
      <c r="C366" s="585" t="s">
        <v>44</v>
      </c>
      <c r="D366" s="107"/>
      <c r="E366" s="587"/>
      <c r="F366" s="514">
        <v>0</v>
      </c>
      <c r="G366" s="109"/>
      <c r="H366" s="587"/>
      <c r="I366" s="514">
        <v>0</v>
      </c>
      <c r="J366" s="588"/>
      <c r="K366" s="587"/>
      <c r="L366" s="517">
        <v>0</v>
      </c>
      <c r="M366" s="588"/>
      <c r="N366" s="590">
        <v>0</v>
      </c>
      <c r="O366" s="588"/>
      <c r="P366" s="587"/>
      <c r="Q366" s="517">
        <v>0</v>
      </c>
      <c r="R366" s="588"/>
      <c r="S366" s="591">
        <v>0</v>
      </c>
      <c r="T366" s="498"/>
      <c r="U366" s="498"/>
      <c r="V366" s="504"/>
      <c r="W366" s="498"/>
      <c r="X366" s="498"/>
      <c r="Y366" s="498"/>
      <c r="Z366" s="498"/>
      <c r="AA366" s="498"/>
      <c r="AB366" s="498"/>
      <c r="AC366" s="498"/>
      <c r="AD366" s="498"/>
      <c r="AE366" s="498"/>
      <c r="AF366" s="498"/>
      <c r="AG366" s="498"/>
      <c r="AH366" s="498"/>
      <c r="AI366" s="498"/>
      <c r="AJ366" s="498"/>
      <c r="AK366" s="498"/>
      <c r="AL366" s="498"/>
      <c r="AM366" s="498"/>
      <c r="AN366" s="498"/>
    </row>
    <row r="367" spans="1:40" ht="15.75" customHeight="1">
      <c r="A367" s="493" t="s">
        <v>453</v>
      </c>
      <c r="B367" s="499" t="s">
        <v>120</v>
      </c>
      <c r="C367" s="585" t="s">
        <v>45</v>
      </c>
      <c r="D367" s="82"/>
      <c r="E367" s="504"/>
      <c r="F367" s="514">
        <v>0</v>
      </c>
      <c r="G367" s="84"/>
      <c r="H367" s="504"/>
      <c r="I367" s="514">
        <v>0</v>
      </c>
      <c r="J367" s="525"/>
      <c r="K367" s="504"/>
      <c r="L367" s="517">
        <v>0</v>
      </c>
      <c r="M367" s="525"/>
      <c r="N367" s="545">
        <v>0</v>
      </c>
      <c r="O367" s="525"/>
      <c r="P367" s="504"/>
      <c r="Q367" s="517">
        <v>0</v>
      </c>
      <c r="R367" s="525"/>
      <c r="S367" s="567">
        <v>0</v>
      </c>
      <c r="T367" s="498"/>
      <c r="U367" s="498"/>
      <c r="V367" s="504"/>
      <c r="W367" s="498"/>
      <c r="X367" s="498"/>
      <c r="Y367" s="498"/>
      <c r="Z367" s="498"/>
      <c r="AA367" s="498"/>
      <c r="AB367" s="498"/>
      <c r="AC367" s="498"/>
      <c r="AD367" s="498"/>
      <c r="AE367" s="498"/>
      <c r="AF367" s="498"/>
      <c r="AG367" s="498"/>
      <c r="AH367" s="498"/>
      <c r="AI367" s="498"/>
      <c r="AJ367" s="498"/>
      <c r="AK367" s="498"/>
      <c r="AL367" s="498"/>
      <c r="AM367" s="498"/>
      <c r="AN367" s="498"/>
    </row>
    <row r="368" spans="1:40" ht="15.75" hidden="1" customHeight="1">
      <c r="A368" s="493" t="s">
        <v>454</v>
      </c>
      <c r="B368" s="499" t="s">
        <v>120</v>
      </c>
      <c r="C368" s="513" t="s">
        <v>21</v>
      </c>
      <c r="D368" s="82"/>
      <c r="E368" s="504"/>
      <c r="F368" s="514">
        <v>0</v>
      </c>
      <c r="G368" s="84"/>
      <c r="H368" s="504"/>
      <c r="I368" s="514">
        <v>0</v>
      </c>
      <c r="J368" s="525"/>
      <c r="K368" s="504"/>
      <c r="L368" s="517">
        <v>0</v>
      </c>
      <c r="M368" s="525"/>
      <c r="N368" s="545">
        <v>0</v>
      </c>
      <c r="O368" s="525"/>
      <c r="P368" s="504"/>
      <c r="Q368" s="517">
        <v>0</v>
      </c>
      <c r="R368" s="525"/>
      <c r="S368" s="567">
        <v>0</v>
      </c>
      <c r="T368" s="498"/>
      <c r="U368" s="498"/>
      <c r="V368" s="504"/>
      <c r="W368" s="498"/>
      <c r="X368" s="498"/>
      <c r="Y368" s="498"/>
      <c r="Z368" s="498"/>
      <c r="AA368" s="498"/>
      <c r="AB368" s="498"/>
      <c r="AC368" s="498"/>
      <c r="AD368" s="498"/>
      <c r="AE368" s="498"/>
      <c r="AF368" s="498"/>
      <c r="AG368" s="498"/>
      <c r="AH368" s="498"/>
      <c r="AI368" s="498"/>
      <c r="AJ368" s="498"/>
      <c r="AK368" s="498"/>
      <c r="AL368" s="498"/>
      <c r="AM368" s="498"/>
      <c r="AN368" s="498"/>
    </row>
    <row r="369" spans="1:40" ht="15.75" hidden="1" customHeight="1">
      <c r="A369" s="493" t="s">
        <v>454</v>
      </c>
      <c r="B369" s="499" t="s">
        <v>120</v>
      </c>
      <c r="C369" s="513" t="s">
        <v>21</v>
      </c>
      <c r="D369" s="82"/>
      <c r="E369" s="504"/>
      <c r="F369" s="514">
        <v>0</v>
      </c>
      <c r="G369" s="84"/>
      <c r="H369" s="504"/>
      <c r="I369" s="514">
        <v>0</v>
      </c>
      <c r="J369" s="525"/>
      <c r="K369" s="504"/>
      <c r="L369" s="517">
        <v>0</v>
      </c>
      <c r="M369" s="525"/>
      <c r="N369" s="545">
        <v>0</v>
      </c>
      <c r="O369" s="525"/>
      <c r="P369" s="504"/>
      <c r="Q369" s="517">
        <v>0</v>
      </c>
      <c r="R369" s="525"/>
      <c r="S369" s="567">
        <v>0</v>
      </c>
      <c r="T369" s="498"/>
      <c r="U369" s="498"/>
      <c r="V369" s="504"/>
      <c r="W369" s="498"/>
      <c r="X369" s="498"/>
      <c r="Y369" s="498"/>
      <c r="Z369" s="498"/>
      <c r="AA369" s="498"/>
      <c r="AB369" s="498"/>
      <c r="AC369" s="498"/>
      <c r="AD369" s="498"/>
      <c r="AE369" s="498"/>
      <c r="AF369" s="498"/>
      <c r="AG369" s="498"/>
      <c r="AH369" s="498"/>
      <c r="AI369" s="498"/>
      <c r="AJ369" s="498"/>
      <c r="AK369" s="498"/>
      <c r="AL369" s="498"/>
      <c r="AM369" s="498"/>
      <c r="AN369" s="498"/>
    </row>
    <row r="370" spans="1:40" ht="15.75" hidden="1" customHeight="1">
      <c r="A370" s="493" t="s">
        <v>454</v>
      </c>
      <c r="B370" s="499" t="s">
        <v>120</v>
      </c>
      <c r="C370" s="513" t="s">
        <v>21</v>
      </c>
      <c r="D370" s="82"/>
      <c r="E370" s="504"/>
      <c r="F370" s="514">
        <v>0</v>
      </c>
      <c r="G370" s="84"/>
      <c r="H370" s="504"/>
      <c r="I370" s="514">
        <v>0</v>
      </c>
      <c r="J370" s="525"/>
      <c r="K370" s="504"/>
      <c r="L370" s="517">
        <v>0</v>
      </c>
      <c r="M370" s="525"/>
      <c r="N370" s="545">
        <v>0</v>
      </c>
      <c r="O370" s="525"/>
      <c r="P370" s="504"/>
      <c r="Q370" s="517">
        <v>0</v>
      </c>
      <c r="R370" s="525"/>
      <c r="S370" s="567">
        <v>0</v>
      </c>
      <c r="T370" s="498"/>
      <c r="U370" s="498"/>
      <c r="V370" s="504"/>
      <c r="W370" s="498"/>
      <c r="X370" s="498"/>
      <c r="Y370" s="498"/>
      <c r="Z370" s="498"/>
      <c r="AA370" s="498"/>
      <c r="AB370" s="498"/>
      <c r="AC370" s="498"/>
      <c r="AD370" s="498"/>
      <c r="AE370" s="498"/>
      <c r="AF370" s="498"/>
      <c r="AG370" s="498"/>
      <c r="AH370" s="498"/>
      <c r="AI370" s="498"/>
      <c r="AJ370" s="498"/>
      <c r="AK370" s="498"/>
      <c r="AL370" s="498"/>
      <c r="AM370" s="498"/>
      <c r="AN370" s="498"/>
    </row>
    <row r="371" spans="1:40" ht="15.75" customHeight="1">
      <c r="A371" s="493" t="s">
        <v>455</v>
      </c>
      <c r="B371" s="499" t="s">
        <v>120</v>
      </c>
      <c r="C371" s="586" t="s">
        <v>46</v>
      </c>
      <c r="D371" s="82"/>
      <c r="E371" s="504"/>
      <c r="F371" s="508">
        <v>0</v>
      </c>
      <c r="G371" s="84"/>
      <c r="H371" s="504"/>
      <c r="I371" s="508">
        <v>0</v>
      </c>
      <c r="J371" s="525"/>
      <c r="K371" s="504"/>
      <c r="L371" s="508">
        <v>0</v>
      </c>
      <c r="M371" s="525"/>
      <c r="N371" s="545">
        <v>0</v>
      </c>
      <c r="O371" s="525"/>
      <c r="P371" s="504"/>
      <c r="Q371" s="508">
        <v>0</v>
      </c>
      <c r="R371" s="525"/>
      <c r="S371" s="567">
        <v>0</v>
      </c>
      <c r="T371" s="498"/>
      <c r="U371" s="498"/>
      <c r="V371" s="504"/>
      <c r="W371" s="498"/>
      <c r="X371" s="498"/>
      <c r="Y371" s="498"/>
      <c r="Z371" s="498"/>
      <c r="AA371" s="498"/>
      <c r="AB371" s="498"/>
      <c r="AC371" s="498"/>
      <c r="AD371" s="498"/>
      <c r="AE371" s="498"/>
      <c r="AF371" s="498"/>
      <c r="AG371" s="498"/>
      <c r="AH371" s="498"/>
      <c r="AI371" s="498"/>
      <c r="AJ371" s="498"/>
      <c r="AK371" s="498"/>
      <c r="AL371" s="498"/>
      <c r="AM371" s="498"/>
      <c r="AN371" s="498"/>
    </row>
    <row r="372" spans="1:40" ht="15.75" customHeight="1">
      <c r="A372" s="493" t="s">
        <v>456</v>
      </c>
      <c r="B372" s="499" t="s">
        <v>120</v>
      </c>
      <c r="C372" s="585" t="s">
        <v>47</v>
      </c>
      <c r="D372" s="107"/>
      <c r="E372" s="587"/>
      <c r="F372" s="514">
        <v>0</v>
      </c>
      <c r="G372" s="109"/>
      <c r="H372" s="587"/>
      <c r="I372" s="514">
        <v>0</v>
      </c>
      <c r="J372" s="588"/>
      <c r="K372" s="587"/>
      <c r="L372" s="517">
        <v>0</v>
      </c>
      <c r="M372" s="588"/>
      <c r="N372" s="590">
        <v>0</v>
      </c>
      <c r="O372" s="588"/>
      <c r="P372" s="587"/>
      <c r="Q372" s="517">
        <v>0</v>
      </c>
      <c r="R372" s="588"/>
      <c r="S372" s="591">
        <v>0</v>
      </c>
      <c r="T372" s="498"/>
      <c r="U372" s="498"/>
      <c r="V372" s="504"/>
      <c r="W372" s="498"/>
      <c r="X372" s="498"/>
      <c r="Y372" s="498"/>
      <c r="Z372" s="498"/>
      <c r="AA372" s="498"/>
      <c r="AB372" s="498"/>
      <c r="AC372" s="498"/>
      <c r="AD372" s="498"/>
      <c r="AE372" s="498"/>
      <c r="AF372" s="498"/>
      <c r="AG372" s="498"/>
      <c r="AH372" s="498"/>
      <c r="AI372" s="498"/>
      <c r="AJ372" s="498"/>
      <c r="AK372" s="498"/>
      <c r="AL372" s="498"/>
      <c r="AM372" s="498"/>
      <c r="AN372" s="498"/>
    </row>
    <row r="373" spans="1:40" ht="15.75" customHeight="1">
      <c r="A373" s="493" t="s">
        <v>457</v>
      </c>
      <c r="B373" s="499" t="s">
        <v>120</v>
      </c>
      <c r="C373" s="585" t="s">
        <v>48</v>
      </c>
      <c r="D373" s="82"/>
      <c r="E373" s="504"/>
      <c r="F373" s="514">
        <v>0</v>
      </c>
      <c r="G373" s="84"/>
      <c r="H373" s="504"/>
      <c r="I373" s="514">
        <v>0</v>
      </c>
      <c r="J373" s="525"/>
      <c r="K373" s="504"/>
      <c r="L373" s="517">
        <v>0</v>
      </c>
      <c r="M373" s="525"/>
      <c r="N373" s="545">
        <v>0</v>
      </c>
      <c r="O373" s="525"/>
      <c r="P373" s="504"/>
      <c r="Q373" s="517">
        <v>0</v>
      </c>
      <c r="R373" s="525"/>
      <c r="S373" s="567">
        <v>0</v>
      </c>
      <c r="T373" s="498"/>
      <c r="U373" s="498"/>
      <c r="V373" s="504"/>
      <c r="W373" s="498"/>
      <c r="X373" s="498"/>
      <c r="Y373" s="498"/>
      <c r="Z373" s="498"/>
      <c r="AA373" s="498"/>
      <c r="AB373" s="498"/>
      <c r="AC373" s="498"/>
      <c r="AD373" s="498"/>
      <c r="AE373" s="498"/>
      <c r="AF373" s="498"/>
      <c r="AG373" s="498"/>
      <c r="AH373" s="498"/>
      <c r="AI373" s="498"/>
      <c r="AJ373" s="498"/>
      <c r="AK373" s="498"/>
      <c r="AL373" s="498"/>
      <c r="AM373" s="498"/>
      <c r="AN373" s="498"/>
    </row>
    <row r="374" spans="1:40" ht="15.75" customHeight="1">
      <c r="A374" s="493" t="s">
        <v>458</v>
      </c>
      <c r="B374" s="499" t="s">
        <v>120</v>
      </c>
      <c r="C374" s="585" t="s">
        <v>49</v>
      </c>
      <c r="D374" s="82"/>
      <c r="E374" s="504"/>
      <c r="F374" s="514">
        <v>0</v>
      </c>
      <c r="G374" s="84"/>
      <c r="H374" s="504"/>
      <c r="I374" s="514">
        <v>0</v>
      </c>
      <c r="J374" s="525"/>
      <c r="K374" s="504"/>
      <c r="L374" s="517">
        <v>0</v>
      </c>
      <c r="M374" s="525"/>
      <c r="N374" s="545">
        <v>0</v>
      </c>
      <c r="O374" s="525"/>
      <c r="P374" s="504"/>
      <c r="Q374" s="517">
        <v>0</v>
      </c>
      <c r="R374" s="525"/>
      <c r="S374" s="567">
        <v>0</v>
      </c>
      <c r="T374" s="498"/>
      <c r="U374" s="498"/>
      <c r="V374" s="504"/>
      <c r="W374" s="498"/>
      <c r="X374" s="498"/>
      <c r="Y374" s="498"/>
      <c r="Z374" s="498"/>
      <c r="AA374" s="498"/>
      <c r="AB374" s="498"/>
      <c r="AC374" s="498"/>
      <c r="AD374" s="498"/>
      <c r="AE374" s="498"/>
      <c r="AF374" s="498"/>
      <c r="AG374" s="498"/>
      <c r="AH374" s="498"/>
      <c r="AI374" s="498"/>
      <c r="AJ374" s="498"/>
      <c r="AK374" s="498"/>
      <c r="AL374" s="498"/>
      <c r="AM374" s="498"/>
      <c r="AN374" s="498"/>
    </row>
    <row r="375" spans="1:40" ht="15.75" hidden="1" customHeight="1">
      <c r="A375" s="493" t="s">
        <v>454</v>
      </c>
      <c r="B375" s="499" t="s">
        <v>120</v>
      </c>
      <c r="C375" s="513" t="s">
        <v>21</v>
      </c>
      <c r="D375" s="89"/>
      <c r="E375" s="592"/>
      <c r="F375" s="514">
        <v>0</v>
      </c>
      <c r="G375" s="91"/>
      <c r="H375" s="592"/>
      <c r="I375" s="514">
        <v>0</v>
      </c>
      <c r="J375" s="509"/>
      <c r="K375" s="592"/>
      <c r="L375" s="517">
        <v>0</v>
      </c>
      <c r="M375" s="509"/>
      <c r="N375" s="573">
        <v>0</v>
      </c>
      <c r="O375" s="509"/>
      <c r="P375" s="592"/>
      <c r="Q375" s="517">
        <v>0</v>
      </c>
      <c r="R375" s="509"/>
      <c r="S375" s="574">
        <v>0</v>
      </c>
      <c r="T375" s="498"/>
      <c r="U375" s="498"/>
      <c r="V375" s="504"/>
      <c r="W375" s="498"/>
      <c r="X375" s="498"/>
      <c r="Y375" s="498"/>
      <c r="Z375" s="498"/>
      <c r="AA375" s="498"/>
      <c r="AB375" s="498"/>
      <c r="AC375" s="498"/>
      <c r="AD375" s="498"/>
      <c r="AE375" s="498"/>
      <c r="AF375" s="498"/>
      <c r="AG375" s="498"/>
      <c r="AH375" s="498"/>
      <c r="AI375" s="498"/>
      <c r="AJ375" s="498"/>
      <c r="AK375" s="498"/>
      <c r="AL375" s="498"/>
      <c r="AM375" s="498"/>
      <c r="AN375" s="498"/>
    </row>
    <row r="376" spans="1:40" ht="15.75" customHeight="1">
      <c r="A376" s="493" t="s">
        <v>459</v>
      </c>
      <c r="B376" s="499" t="s">
        <v>120</v>
      </c>
      <c r="C376" s="578" t="s">
        <v>50</v>
      </c>
      <c r="D376" s="97" t="s">
        <v>40</v>
      </c>
      <c r="E376" s="579">
        <v>0</v>
      </c>
      <c r="F376" s="580">
        <v>0</v>
      </c>
      <c r="G376" s="100" t="s">
        <v>40</v>
      </c>
      <c r="H376" s="579">
        <v>0</v>
      </c>
      <c r="I376" s="580">
        <v>0</v>
      </c>
      <c r="J376" s="100" t="s">
        <v>40</v>
      </c>
      <c r="K376" s="579">
        <v>0</v>
      </c>
      <c r="L376" s="580">
        <v>0</v>
      </c>
      <c r="M376" s="621"/>
      <c r="N376" s="594">
        <v>0</v>
      </c>
      <c r="O376" s="100" t="s">
        <v>40</v>
      </c>
      <c r="P376" s="579">
        <v>0</v>
      </c>
      <c r="Q376" s="580">
        <v>0</v>
      </c>
      <c r="R376" s="621"/>
      <c r="S376" s="595">
        <v>0</v>
      </c>
      <c r="T376" s="498"/>
      <c r="U376" s="498"/>
      <c r="V376" s="504"/>
      <c r="W376" s="498"/>
      <c r="X376" s="498"/>
      <c r="Y376" s="498"/>
      <c r="Z376" s="498"/>
      <c r="AA376" s="498"/>
      <c r="AB376" s="498"/>
      <c r="AC376" s="498"/>
      <c r="AD376" s="498"/>
      <c r="AE376" s="498"/>
      <c r="AF376" s="498"/>
      <c r="AG376" s="498"/>
      <c r="AH376" s="498"/>
      <c r="AI376" s="498"/>
      <c r="AJ376" s="498"/>
      <c r="AK376" s="498"/>
      <c r="AL376" s="498"/>
      <c r="AM376" s="498"/>
      <c r="AN376" s="498"/>
    </row>
    <row r="377" spans="1:40" ht="15.75" customHeight="1">
      <c r="A377" s="493" t="s">
        <v>460</v>
      </c>
      <c r="B377" s="499" t="s">
        <v>120</v>
      </c>
      <c r="C377" s="686" t="s">
        <v>51</v>
      </c>
      <c r="D377" s="82"/>
      <c r="E377" s="504"/>
      <c r="F377" s="514">
        <v>0</v>
      </c>
      <c r="G377" s="84"/>
      <c r="H377" s="504"/>
      <c r="I377" s="514">
        <v>0</v>
      </c>
      <c r="J377" s="525"/>
      <c r="K377" s="504"/>
      <c r="L377" s="517">
        <v>0</v>
      </c>
      <c r="M377" s="525"/>
      <c r="N377" s="545">
        <v>0</v>
      </c>
      <c r="O377" s="525"/>
      <c r="P377" s="504"/>
      <c r="Q377" s="517">
        <v>0</v>
      </c>
      <c r="R377" s="525"/>
      <c r="S377" s="567">
        <v>0</v>
      </c>
      <c r="T377" s="498"/>
      <c r="U377" s="498"/>
      <c r="V377" s="504"/>
      <c r="W377" s="498"/>
      <c r="X377" s="498"/>
      <c r="Y377" s="498"/>
      <c r="Z377" s="498"/>
      <c r="AA377" s="498"/>
      <c r="AB377" s="498"/>
      <c r="AC377" s="498"/>
      <c r="AD377" s="498"/>
      <c r="AE377" s="498"/>
      <c r="AF377" s="498"/>
      <c r="AG377" s="498"/>
      <c r="AH377" s="498"/>
      <c r="AI377" s="498"/>
      <c r="AJ377" s="498"/>
      <c r="AK377" s="498"/>
      <c r="AL377" s="498"/>
      <c r="AM377" s="498"/>
      <c r="AN377" s="498"/>
    </row>
    <row r="378" spans="1:40" ht="15.75" customHeight="1">
      <c r="A378" s="493" t="s">
        <v>461</v>
      </c>
      <c r="B378" s="499" t="s">
        <v>120</v>
      </c>
      <c r="C378" s="585" t="s">
        <v>52</v>
      </c>
      <c r="D378" s="82"/>
      <c r="E378" s="504"/>
      <c r="F378" s="514">
        <v>0</v>
      </c>
      <c r="G378" s="84"/>
      <c r="H378" s="504"/>
      <c r="I378" s="514">
        <v>0</v>
      </c>
      <c r="J378" s="525"/>
      <c r="K378" s="504"/>
      <c r="L378" s="517">
        <v>0</v>
      </c>
      <c r="M378" s="525"/>
      <c r="N378" s="545">
        <v>0</v>
      </c>
      <c r="O378" s="525"/>
      <c r="P378" s="504"/>
      <c r="Q378" s="517">
        <v>0</v>
      </c>
      <c r="R378" s="525"/>
      <c r="S378" s="567">
        <v>0</v>
      </c>
      <c r="T378" s="498"/>
      <c r="U378" s="498"/>
      <c r="V378" s="504"/>
      <c r="W378" s="498"/>
      <c r="X378" s="498"/>
      <c r="Y378" s="498"/>
      <c r="Z378" s="498"/>
      <c r="AA378" s="498"/>
      <c r="AB378" s="498"/>
      <c r="AC378" s="498"/>
      <c r="AD378" s="498"/>
      <c r="AE378" s="498"/>
      <c r="AF378" s="498"/>
      <c r="AG378" s="498"/>
      <c r="AH378" s="498"/>
      <c r="AI378" s="498"/>
      <c r="AJ378" s="498"/>
      <c r="AK378" s="498"/>
      <c r="AL378" s="498"/>
      <c r="AM378" s="498"/>
      <c r="AN378" s="498"/>
    </row>
    <row r="379" spans="1:40" ht="15.75" customHeight="1">
      <c r="A379" s="493" t="s">
        <v>462</v>
      </c>
      <c r="B379" s="499" t="s">
        <v>120</v>
      </c>
      <c r="C379" s="586" t="s">
        <v>53</v>
      </c>
      <c r="D379" s="89"/>
      <c r="E379" s="592"/>
      <c r="F379" s="508">
        <v>0</v>
      </c>
      <c r="G379" s="91"/>
      <c r="H379" s="592"/>
      <c r="I379" s="508">
        <v>0</v>
      </c>
      <c r="J379" s="509"/>
      <c r="K379" s="592"/>
      <c r="L379" s="508">
        <v>0</v>
      </c>
      <c r="M379" s="509"/>
      <c r="N379" s="573">
        <v>0</v>
      </c>
      <c r="O379" s="509"/>
      <c r="P379" s="592"/>
      <c r="Q379" s="508">
        <v>0</v>
      </c>
      <c r="R379" s="509"/>
      <c r="S379" s="574">
        <v>0</v>
      </c>
      <c r="T379" s="498"/>
      <c r="U379" s="498"/>
      <c r="V379" s="504"/>
      <c r="W379" s="498"/>
      <c r="X379" s="498"/>
      <c r="Y379" s="498"/>
      <c r="Z379" s="498"/>
      <c r="AA379" s="498"/>
      <c r="AB379" s="498"/>
      <c r="AC379" s="498"/>
      <c r="AD379" s="498"/>
      <c r="AE379" s="498"/>
      <c r="AF379" s="498"/>
      <c r="AG379" s="498"/>
      <c r="AH379" s="498"/>
      <c r="AI379" s="498"/>
      <c r="AJ379" s="498"/>
      <c r="AK379" s="498"/>
      <c r="AL379" s="498"/>
      <c r="AM379" s="498"/>
      <c r="AN379" s="498"/>
    </row>
    <row r="380" spans="1:40" ht="15.75" customHeight="1">
      <c r="A380" s="493" t="s">
        <v>463</v>
      </c>
      <c r="B380" s="499" t="s">
        <v>120</v>
      </c>
      <c r="C380" s="585" t="s">
        <v>54</v>
      </c>
      <c r="D380" s="82"/>
      <c r="E380" s="504"/>
      <c r="F380" s="514">
        <v>0</v>
      </c>
      <c r="G380" s="84"/>
      <c r="H380" s="504"/>
      <c r="I380" s="514">
        <v>0</v>
      </c>
      <c r="J380" s="525"/>
      <c r="K380" s="504"/>
      <c r="L380" s="517">
        <v>0</v>
      </c>
      <c r="M380" s="525"/>
      <c r="N380" s="545">
        <v>0</v>
      </c>
      <c r="O380" s="525"/>
      <c r="P380" s="504"/>
      <c r="Q380" s="517">
        <v>0</v>
      </c>
      <c r="R380" s="525"/>
      <c r="S380" s="567">
        <v>0</v>
      </c>
      <c r="T380" s="498"/>
      <c r="U380" s="498"/>
      <c r="V380" s="504"/>
      <c r="W380" s="498"/>
      <c r="X380" s="498"/>
      <c r="Y380" s="498"/>
      <c r="Z380" s="498"/>
      <c r="AA380" s="498"/>
      <c r="AB380" s="498"/>
      <c r="AC380" s="498"/>
      <c r="AD380" s="498"/>
      <c r="AE380" s="498"/>
      <c r="AF380" s="498"/>
      <c r="AG380" s="498"/>
      <c r="AH380" s="498"/>
      <c r="AI380" s="498"/>
      <c r="AJ380" s="498"/>
      <c r="AK380" s="498"/>
      <c r="AL380" s="498"/>
      <c r="AM380" s="498"/>
      <c r="AN380" s="498"/>
    </row>
    <row r="381" spans="1:40" ht="15.75" customHeight="1">
      <c r="A381" s="493" t="s">
        <v>464</v>
      </c>
      <c r="B381" s="499" t="s">
        <v>120</v>
      </c>
      <c r="C381" s="585" t="s">
        <v>55</v>
      </c>
      <c r="D381" s="82"/>
      <c r="E381" s="504"/>
      <c r="F381" s="514">
        <v>0</v>
      </c>
      <c r="G381" s="84"/>
      <c r="H381" s="504"/>
      <c r="I381" s="514">
        <v>0</v>
      </c>
      <c r="J381" s="525"/>
      <c r="K381" s="504"/>
      <c r="L381" s="517">
        <v>0</v>
      </c>
      <c r="M381" s="525"/>
      <c r="N381" s="545">
        <v>0</v>
      </c>
      <c r="O381" s="525"/>
      <c r="P381" s="504"/>
      <c r="Q381" s="517">
        <v>0</v>
      </c>
      <c r="R381" s="525"/>
      <c r="S381" s="567">
        <v>0</v>
      </c>
      <c r="T381" s="498"/>
      <c r="U381" s="498"/>
      <c r="V381" s="504"/>
      <c r="W381" s="498"/>
      <c r="X381" s="498"/>
      <c r="Y381" s="498"/>
      <c r="Z381" s="498"/>
      <c r="AA381" s="498"/>
      <c r="AB381" s="498"/>
      <c r="AC381" s="498"/>
      <c r="AD381" s="498"/>
      <c r="AE381" s="498"/>
      <c r="AF381" s="498"/>
      <c r="AG381" s="498"/>
      <c r="AH381" s="498"/>
      <c r="AI381" s="498"/>
      <c r="AJ381" s="498"/>
      <c r="AK381" s="498"/>
      <c r="AL381" s="498"/>
      <c r="AM381" s="498"/>
      <c r="AN381" s="498"/>
    </row>
    <row r="382" spans="1:40" ht="15.75" customHeight="1">
      <c r="A382" s="493" t="s">
        <v>465</v>
      </c>
      <c r="B382" s="499" t="s">
        <v>120</v>
      </c>
      <c r="C382" s="585" t="s">
        <v>56</v>
      </c>
      <c r="D382" s="89"/>
      <c r="E382" s="592"/>
      <c r="F382" s="508">
        <v>0</v>
      </c>
      <c r="G382" s="91"/>
      <c r="H382" s="592"/>
      <c r="I382" s="508">
        <v>0</v>
      </c>
      <c r="J382" s="509"/>
      <c r="K382" s="592"/>
      <c r="L382" s="508">
        <v>0</v>
      </c>
      <c r="M382" s="509"/>
      <c r="N382" s="573">
        <v>0</v>
      </c>
      <c r="O382" s="509"/>
      <c r="P382" s="592"/>
      <c r="Q382" s="508">
        <v>0</v>
      </c>
      <c r="R382" s="509"/>
      <c r="S382" s="574">
        <v>0</v>
      </c>
      <c r="T382" s="498"/>
      <c r="U382" s="498"/>
      <c r="V382" s="504"/>
      <c r="W382" s="498"/>
      <c r="X382" s="498"/>
      <c r="Y382" s="498"/>
      <c r="Z382" s="498"/>
      <c r="AA382" s="498"/>
      <c r="AB382" s="498"/>
      <c r="AC382" s="498"/>
      <c r="AD382" s="498"/>
      <c r="AE382" s="498"/>
      <c r="AF382" s="498"/>
      <c r="AG382" s="498"/>
      <c r="AH382" s="498"/>
      <c r="AI382" s="498"/>
      <c r="AJ382" s="498"/>
      <c r="AK382" s="498"/>
      <c r="AL382" s="498"/>
      <c r="AM382" s="498"/>
      <c r="AN382" s="498"/>
    </row>
    <row r="383" spans="1:40" ht="20.25" customHeight="1">
      <c r="A383" s="493" t="s">
        <v>466</v>
      </c>
      <c r="B383" s="499" t="s">
        <v>120</v>
      </c>
      <c r="C383" s="686" t="s">
        <v>57</v>
      </c>
      <c r="D383" s="82"/>
      <c r="E383" s="504"/>
      <c r="F383" s="514">
        <v>0</v>
      </c>
      <c r="G383" s="84"/>
      <c r="H383" s="504"/>
      <c r="I383" s="514">
        <v>0</v>
      </c>
      <c r="J383" s="525"/>
      <c r="K383" s="504"/>
      <c r="L383" s="517">
        <v>0</v>
      </c>
      <c r="M383" s="525"/>
      <c r="N383" s="545">
        <v>0</v>
      </c>
      <c r="O383" s="525"/>
      <c r="P383" s="504"/>
      <c r="Q383" s="517">
        <v>0</v>
      </c>
      <c r="R383" s="525"/>
      <c r="S383" s="567">
        <v>0</v>
      </c>
      <c r="T383" s="498"/>
      <c r="U383" s="498"/>
      <c r="V383" s="504"/>
      <c r="W383" s="498"/>
      <c r="X383" s="498"/>
      <c r="Y383" s="498"/>
      <c r="Z383" s="498"/>
      <c r="AA383" s="498"/>
      <c r="AB383" s="498"/>
      <c r="AC383" s="498"/>
      <c r="AD383" s="498"/>
      <c r="AE383" s="498"/>
      <c r="AF383" s="498"/>
      <c r="AG383" s="498"/>
      <c r="AH383" s="498"/>
      <c r="AI383" s="498"/>
      <c r="AJ383" s="498"/>
      <c r="AK383" s="498"/>
      <c r="AL383" s="498"/>
      <c r="AM383" s="498"/>
      <c r="AN383" s="498"/>
    </row>
    <row r="384" spans="1:40" ht="20.25" customHeight="1">
      <c r="A384" s="493" t="s">
        <v>467</v>
      </c>
      <c r="B384" s="499" t="s">
        <v>120</v>
      </c>
      <c r="C384" s="585" t="s">
        <v>58</v>
      </c>
      <c r="D384" s="82"/>
      <c r="E384" s="504"/>
      <c r="F384" s="514">
        <v>0</v>
      </c>
      <c r="G384" s="84"/>
      <c r="H384" s="504"/>
      <c r="I384" s="514">
        <v>0</v>
      </c>
      <c r="J384" s="525"/>
      <c r="K384" s="504"/>
      <c r="L384" s="517">
        <v>0</v>
      </c>
      <c r="M384" s="525"/>
      <c r="N384" s="545">
        <v>0</v>
      </c>
      <c r="O384" s="525"/>
      <c r="P384" s="504"/>
      <c r="Q384" s="517">
        <v>0</v>
      </c>
      <c r="R384" s="525"/>
      <c r="S384" s="567">
        <v>0</v>
      </c>
      <c r="T384" s="498"/>
      <c r="U384" s="498"/>
      <c r="V384" s="504"/>
      <c r="W384" s="498"/>
      <c r="X384" s="498"/>
      <c r="Y384" s="498"/>
      <c r="Z384" s="498"/>
      <c r="AA384" s="498"/>
      <c r="AB384" s="498"/>
      <c r="AC384" s="498"/>
      <c r="AD384" s="498"/>
      <c r="AE384" s="498"/>
      <c r="AF384" s="498"/>
      <c r="AG384" s="498"/>
      <c r="AH384" s="498"/>
      <c r="AI384" s="498"/>
      <c r="AJ384" s="498"/>
      <c r="AK384" s="498"/>
      <c r="AL384" s="498"/>
      <c r="AM384" s="498"/>
      <c r="AN384" s="498"/>
    </row>
    <row r="385" spans="1:40" ht="20.25" customHeight="1">
      <c r="A385" s="493" t="s">
        <v>468</v>
      </c>
      <c r="B385" s="499" t="s">
        <v>120</v>
      </c>
      <c r="C385" s="585" t="s">
        <v>59</v>
      </c>
      <c r="D385" s="82"/>
      <c r="E385" s="504"/>
      <c r="F385" s="514">
        <v>0</v>
      </c>
      <c r="G385" s="84"/>
      <c r="H385" s="504"/>
      <c r="I385" s="514">
        <v>0</v>
      </c>
      <c r="J385" s="525"/>
      <c r="K385" s="504"/>
      <c r="L385" s="517">
        <v>0</v>
      </c>
      <c r="M385" s="525"/>
      <c r="N385" s="545">
        <v>0</v>
      </c>
      <c r="O385" s="525"/>
      <c r="P385" s="504"/>
      <c r="Q385" s="517">
        <v>0</v>
      </c>
      <c r="R385" s="525"/>
      <c r="S385" s="567">
        <v>0</v>
      </c>
      <c r="T385" s="498"/>
      <c r="U385" s="498"/>
      <c r="V385" s="504"/>
      <c r="W385" s="498"/>
      <c r="X385" s="498"/>
      <c r="Y385" s="498"/>
      <c r="Z385" s="498"/>
      <c r="AA385" s="498"/>
      <c r="AB385" s="498"/>
      <c r="AC385" s="498"/>
      <c r="AD385" s="498"/>
      <c r="AE385" s="498"/>
      <c r="AF385" s="498"/>
      <c r="AG385" s="498"/>
      <c r="AH385" s="498"/>
      <c r="AI385" s="498"/>
      <c r="AJ385" s="498"/>
      <c r="AK385" s="498"/>
      <c r="AL385" s="498"/>
      <c r="AM385" s="498"/>
      <c r="AN385" s="498"/>
    </row>
    <row r="386" spans="1:40" ht="20.25" customHeight="1">
      <c r="A386" s="493" t="s">
        <v>469</v>
      </c>
      <c r="B386" s="499" t="s">
        <v>120</v>
      </c>
      <c r="C386" s="585" t="s">
        <v>60</v>
      </c>
      <c r="D386" s="82"/>
      <c r="E386" s="504"/>
      <c r="F386" s="514">
        <v>0</v>
      </c>
      <c r="G386" s="84"/>
      <c r="H386" s="504"/>
      <c r="I386" s="514">
        <v>0</v>
      </c>
      <c r="J386" s="525"/>
      <c r="K386" s="504"/>
      <c r="L386" s="517">
        <v>0</v>
      </c>
      <c r="M386" s="525"/>
      <c r="N386" s="545">
        <v>0</v>
      </c>
      <c r="O386" s="525"/>
      <c r="P386" s="504"/>
      <c r="Q386" s="517">
        <v>0</v>
      </c>
      <c r="R386" s="525"/>
      <c r="S386" s="567">
        <v>0</v>
      </c>
      <c r="T386" s="498"/>
      <c r="U386" s="498"/>
      <c r="V386" s="504"/>
      <c r="W386" s="498"/>
      <c r="X386" s="498"/>
      <c r="Y386" s="498"/>
      <c r="Z386" s="498"/>
      <c r="AA386" s="498"/>
      <c r="AB386" s="498"/>
      <c r="AC386" s="498"/>
      <c r="AD386" s="498"/>
      <c r="AE386" s="498"/>
      <c r="AF386" s="498"/>
      <c r="AG386" s="498"/>
      <c r="AH386" s="498"/>
      <c r="AI386" s="498"/>
      <c r="AJ386" s="498"/>
      <c r="AK386" s="498"/>
      <c r="AL386" s="498"/>
      <c r="AM386" s="498"/>
      <c r="AN386" s="498"/>
    </row>
    <row r="387" spans="1:40" ht="20.25" customHeight="1">
      <c r="A387" s="493" t="s">
        <v>470</v>
      </c>
      <c r="B387" s="499" t="s">
        <v>120</v>
      </c>
      <c r="C387" s="585" t="s">
        <v>61</v>
      </c>
      <c r="D387" s="82"/>
      <c r="E387" s="504"/>
      <c r="F387" s="514">
        <v>0</v>
      </c>
      <c r="G387" s="84"/>
      <c r="H387" s="504"/>
      <c r="I387" s="514">
        <v>0</v>
      </c>
      <c r="J387" s="525"/>
      <c r="K387" s="504"/>
      <c r="L387" s="517">
        <v>0</v>
      </c>
      <c r="M387" s="525"/>
      <c r="N387" s="545">
        <v>0</v>
      </c>
      <c r="O387" s="525"/>
      <c r="P387" s="504"/>
      <c r="Q387" s="517">
        <v>0</v>
      </c>
      <c r="R387" s="525"/>
      <c r="S387" s="567">
        <v>0</v>
      </c>
      <c r="T387" s="498"/>
      <c r="U387" s="498"/>
      <c r="V387" s="504"/>
      <c r="W387" s="498"/>
      <c r="X387" s="498"/>
      <c r="Y387" s="498"/>
      <c r="Z387" s="498"/>
      <c r="AA387" s="498"/>
      <c r="AB387" s="498"/>
      <c r="AC387" s="498"/>
      <c r="AD387" s="498"/>
      <c r="AE387" s="498"/>
      <c r="AF387" s="498"/>
      <c r="AG387" s="498"/>
      <c r="AH387" s="498"/>
      <c r="AI387" s="498"/>
      <c r="AJ387" s="498"/>
      <c r="AK387" s="498"/>
      <c r="AL387" s="498"/>
      <c r="AM387" s="498"/>
      <c r="AN387" s="498"/>
    </row>
    <row r="388" spans="1:40" ht="20.25" customHeight="1">
      <c r="A388" s="493" t="s">
        <v>471</v>
      </c>
      <c r="B388" s="499" t="s">
        <v>120</v>
      </c>
      <c r="C388" s="585" t="s">
        <v>62</v>
      </c>
      <c r="D388" s="82"/>
      <c r="E388" s="504"/>
      <c r="F388" s="514">
        <v>0</v>
      </c>
      <c r="G388" s="84"/>
      <c r="H388" s="504"/>
      <c r="I388" s="514">
        <v>0</v>
      </c>
      <c r="J388" s="525"/>
      <c r="K388" s="504"/>
      <c r="L388" s="517">
        <v>0</v>
      </c>
      <c r="M388" s="525"/>
      <c r="N388" s="545">
        <v>0</v>
      </c>
      <c r="O388" s="525"/>
      <c r="P388" s="504"/>
      <c r="Q388" s="517">
        <v>0</v>
      </c>
      <c r="R388" s="525"/>
      <c r="S388" s="567">
        <v>0</v>
      </c>
      <c r="T388" s="498"/>
      <c r="U388" s="498"/>
      <c r="V388" s="504"/>
      <c r="W388" s="498"/>
      <c r="X388" s="498"/>
      <c r="Y388" s="498"/>
      <c r="Z388" s="498"/>
      <c r="AA388" s="498"/>
      <c r="AB388" s="498"/>
      <c r="AC388" s="498"/>
      <c r="AD388" s="498"/>
      <c r="AE388" s="498"/>
      <c r="AF388" s="498"/>
      <c r="AG388" s="498"/>
      <c r="AH388" s="498"/>
      <c r="AI388" s="498"/>
      <c r="AJ388" s="498"/>
      <c r="AK388" s="498"/>
      <c r="AL388" s="498"/>
      <c r="AM388" s="498"/>
      <c r="AN388" s="498"/>
    </row>
    <row r="389" spans="1:40" ht="20.25" customHeight="1">
      <c r="A389" s="493" t="s">
        <v>472</v>
      </c>
      <c r="B389" s="499" t="s">
        <v>120</v>
      </c>
      <c r="C389" s="585" t="s">
        <v>63</v>
      </c>
      <c r="D389" s="82"/>
      <c r="E389" s="504"/>
      <c r="F389" s="514">
        <v>0</v>
      </c>
      <c r="G389" s="84"/>
      <c r="H389" s="504"/>
      <c r="I389" s="514">
        <v>0</v>
      </c>
      <c r="J389" s="525"/>
      <c r="K389" s="504"/>
      <c r="L389" s="517">
        <v>0</v>
      </c>
      <c r="M389" s="525"/>
      <c r="N389" s="545">
        <v>0</v>
      </c>
      <c r="O389" s="525"/>
      <c r="P389" s="504"/>
      <c r="Q389" s="517">
        <v>0</v>
      </c>
      <c r="R389" s="525"/>
      <c r="S389" s="567">
        <v>0</v>
      </c>
      <c r="T389" s="498"/>
      <c r="U389" s="498"/>
      <c r="V389" s="504"/>
      <c r="W389" s="498"/>
      <c r="X389" s="498"/>
      <c r="Y389" s="498"/>
      <c r="Z389" s="498"/>
      <c r="AA389" s="498"/>
      <c r="AB389" s="498"/>
      <c r="AC389" s="498"/>
      <c r="AD389" s="498"/>
      <c r="AE389" s="498"/>
      <c r="AF389" s="498"/>
      <c r="AG389" s="498"/>
      <c r="AH389" s="498"/>
      <c r="AI389" s="498"/>
      <c r="AJ389" s="498"/>
      <c r="AK389" s="498"/>
      <c r="AL389" s="498"/>
      <c r="AM389" s="498"/>
      <c r="AN389" s="498"/>
    </row>
    <row r="390" spans="1:40" ht="20.25" customHeight="1">
      <c r="A390" s="493" t="s">
        <v>473</v>
      </c>
      <c r="B390" s="499" t="s">
        <v>120</v>
      </c>
      <c r="C390" s="585" t="s">
        <v>64</v>
      </c>
      <c r="D390" s="82"/>
      <c r="E390" s="504"/>
      <c r="F390" s="514">
        <v>0</v>
      </c>
      <c r="G390" s="84"/>
      <c r="H390" s="504"/>
      <c r="I390" s="514">
        <v>0</v>
      </c>
      <c r="J390" s="525"/>
      <c r="K390" s="504"/>
      <c r="L390" s="517">
        <v>0</v>
      </c>
      <c r="M390" s="525"/>
      <c r="N390" s="545">
        <v>0</v>
      </c>
      <c r="O390" s="525"/>
      <c r="P390" s="504"/>
      <c r="Q390" s="517">
        <v>0</v>
      </c>
      <c r="R390" s="525"/>
      <c r="S390" s="567">
        <v>0</v>
      </c>
      <c r="T390" s="498"/>
      <c r="U390" s="498"/>
      <c r="V390" s="504"/>
      <c r="W390" s="498"/>
      <c r="X390" s="498"/>
      <c r="Y390" s="498"/>
      <c r="Z390" s="498"/>
      <c r="AA390" s="498"/>
      <c r="AB390" s="498"/>
      <c r="AC390" s="498"/>
      <c r="AD390" s="498"/>
      <c r="AE390" s="498"/>
      <c r="AF390" s="498"/>
      <c r="AG390" s="498"/>
      <c r="AH390" s="498"/>
      <c r="AI390" s="498"/>
      <c r="AJ390" s="498"/>
      <c r="AK390" s="498"/>
      <c r="AL390" s="498"/>
      <c r="AM390" s="498"/>
      <c r="AN390" s="498"/>
    </row>
    <row r="391" spans="1:40" ht="15.75" hidden="1" customHeight="1">
      <c r="A391" s="493" t="s">
        <v>454</v>
      </c>
      <c r="B391" s="499" t="s">
        <v>120</v>
      </c>
      <c r="C391" s="585" t="s">
        <v>21</v>
      </c>
      <c r="D391" s="82"/>
      <c r="E391" s="504"/>
      <c r="F391" s="514">
        <v>0</v>
      </c>
      <c r="G391" s="84"/>
      <c r="H391" s="504"/>
      <c r="I391" s="514">
        <v>0</v>
      </c>
      <c r="J391" s="525"/>
      <c r="K391" s="504"/>
      <c r="L391" s="517">
        <v>0</v>
      </c>
      <c r="M391" s="525"/>
      <c r="N391" s="545">
        <v>0</v>
      </c>
      <c r="O391" s="525"/>
      <c r="P391" s="504"/>
      <c r="Q391" s="517">
        <v>0</v>
      </c>
      <c r="R391" s="525"/>
      <c r="S391" s="567">
        <v>0</v>
      </c>
      <c r="T391" s="498"/>
      <c r="U391" s="498"/>
      <c r="V391" s="504"/>
      <c r="W391" s="498"/>
      <c r="X391" s="498"/>
      <c r="Y391" s="498"/>
      <c r="Z391" s="498"/>
      <c r="AA391" s="498"/>
      <c r="AB391" s="498"/>
      <c r="AC391" s="498"/>
      <c r="AD391" s="498"/>
      <c r="AE391" s="498"/>
      <c r="AF391" s="498"/>
      <c r="AG391" s="498"/>
      <c r="AH391" s="498"/>
      <c r="AI391" s="498"/>
      <c r="AJ391" s="498"/>
      <c r="AK391" s="498"/>
      <c r="AL391" s="498"/>
      <c r="AM391" s="498"/>
      <c r="AN391" s="498"/>
    </row>
    <row r="392" spans="1:40" ht="15.75" hidden="1" customHeight="1">
      <c r="A392" s="493" t="s">
        <v>454</v>
      </c>
      <c r="B392" s="499" t="s">
        <v>120</v>
      </c>
      <c r="C392" s="585" t="s">
        <v>21</v>
      </c>
      <c r="D392" s="82"/>
      <c r="E392" s="504"/>
      <c r="F392" s="514">
        <v>0</v>
      </c>
      <c r="G392" s="84"/>
      <c r="H392" s="504"/>
      <c r="I392" s="514">
        <v>0</v>
      </c>
      <c r="J392" s="525"/>
      <c r="K392" s="504"/>
      <c r="L392" s="517">
        <v>0</v>
      </c>
      <c r="M392" s="525"/>
      <c r="N392" s="545">
        <v>0</v>
      </c>
      <c r="O392" s="525"/>
      <c r="P392" s="504"/>
      <c r="Q392" s="517">
        <v>0</v>
      </c>
      <c r="R392" s="525"/>
      <c r="S392" s="567">
        <v>0</v>
      </c>
      <c r="T392" s="498"/>
      <c r="U392" s="498"/>
      <c r="V392" s="504"/>
      <c r="W392" s="498"/>
      <c r="X392" s="498"/>
      <c r="Y392" s="498"/>
      <c r="Z392" s="498"/>
      <c r="AA392" s="498"/>
      <c r="AB392" s="498"/>
      <c r="AC392" s="498"/>
      <c r="AD392" s="498"/>
      <c r="AE392" s="498"/>
      <c r="AF392" s="498"/>
      <c r="AG392" s="498"/>
      <c r="AH392" s="498"/>
      <c r="AI392" s="498"/>
      <c r="AJ392" s="498"/>
      <c r="AK392" s="498"/>
      <c r="AL392" s="498"/>
      <c r="AM392" s="498"/>
      <c r="AN392" s="498"/>
    </row>
    <row r="393" spans="1:40" ht="15.75" hidden="1" customHeight="1">
      <c r="A393" s="493" t="s">
        <v>454</v>
      </c>
      <c r="B393" s="499" t="s">
        <v>120</v>
      </c>
      <c r="C393" s="585" t="s">
        <v>21</v>
      </c>
      <c r="D393" s="89"/>
      <c r="E393" s="592"/>
      <c r="F393" s="514">
        <v>0</v>
      </c>
      <c r="G393" s="91"/>
      <c r="H393" s="592"/>
      <c r="I393" s="514">
        <v>0</v>
      </c>
      <c r="J393" s="509"/>
      <c r="K393" s="592"/>
      <c r="L393" s="517">
        <v>0</v>
      </c>
      <c r="M393" s="509"/>
      <c r="N393" s="573">
        <v>0</v>
      </c>
      <c r="O393" s="509"/>
      <c r="P393" s="592"/>
      <c r="Q393" s="517">
        <v>0</v>
      </c>
      <c r="R393" s="509"/>
      <c r="S393" s="574">
        <v>0</v>
      </c>
      <c r="T393" s="498"/>
      <c r="U393" s="498"/>
      <c r="V393" s="504"/>
      <c r="W393" s="498"/>
      <c r="X393" s="498"/>
      <c r="Y393" s="498"/>
      <c r="Z393" s="498"/>
      <c r="AA393" s="498"/>
      <c r="AB393" s="498"/>
      <c r="AC393" s="498"/>
      <c r="AD393" s="498"/>
      <c r="AE393" s="498"/>
      <c r="AF393" s="498"/>
      <c r="AG393" s="498"/>
      <c r="AH393" s="498"/>
      <c r="AI393" s="498"/>
      <c r="AJ393" s="498"/>
      <c r="AK393" s="498"/>
      <c r="AL393" s="498"/>
      <c r="AM393" s="498"/>
      <c r="AN393" s="498"/>
    </row>
    <row r="394" spans="1:40" ht="15.75" customHeight="1">
      <c r="B394" s="497"/>
      <c r="C394" s="578" t="s">
        <v>65</v>
      </c>
      <c r="D394" s="97" t="s">
        <v>40</v>
      </c>
      <c r="E394" s="579">
        <v>0</v>
      </c>
      <c r="F394" s="580">
        <v>0</v>
      </c>
      <c r="G394" s="100" t="s">
        <v>40</v>
      </c>
      <c r="H394" s="579">
        <v>0</v>
      </c>
      <c r="I394" s="580">
        <v>0</v>
      </c>
      <c r="J394" s="100" t="s">
        <v>40</v>
      </c>
      <c r="K394" s="579">
        <v>0</v>
      </c>
      <c r="L394" s="580">
        <v>0</v>
      </c>
      <c r="M394" s="621"/>
      <c r="N394" s="580">
        <v>0</v>
      </c>
      <c r="O394" s="100" t="s">
        <v>40</v>
      </c>
      <c r="P394" s="579">
        <v>0</v>
      </c>
      <c r="Q394" s="580">
        <v>0</v>
      </c>
      <c r="R394" s="621"/>
      <c r="S394" s="595">
        <v>0</v>
      </c>
      <c r="T394" s="498"/>
      <c r="U394" s="498"/>
      <c r="V394" s="504"/>
      <c r="W394" s="498"/>
      <c r="X394" s="498"/>
      <c r="Y394" s="498"/>
      <c r="Z394" s="498"/>
      <c r="AA394" s="498"/>
      <c r="AB394" s="498"/>
      <c r="AC394" s="498"/>
      <c r="AD394" s="498"/>
      <c r="AE394" s="498"/>
      <c r="AF394" s="498"/>
      <c r="AG394" s="498"/>
      <c r="AH394" s="498"/>
      <c r="AI394" s="498"/>
      <c r="AJ394" s="498"/>
      <c r="AK394" s="498"/>
      <c r="AL394" s="498"/>
      <c r="AM394" s="498"/>
      <c r="AN394" s="498"/>
    </row>
    <row r="395" spans="1:40" ht="15.75" customHeight="1">
      <c r="B395" s="497"/>
      <c r="C395" s="513"/>
      <c r="D395" s="504"/>
      <c r="E395" s="504"/>
      <c r="F395" s="524"/>
      <c r="G395" s="525"/>
      <c r="H395" s="504"/>
      <c r="I395" s="524"/>
      <c r="J395" s="525"/>
      <c r="K395" s="504"/>
      <c r="L395" s="524"/>
      <c r="M395" s="564"/>
      <c r="N395" s="563"/>
      <c r="O395" s="525"/>
      <c r="P395" s="504"/>
      <c r="Q395" s="524"/>
      <c r="R395" s="525"/>
      <c r="S395" s="718"/>
      <c r="T395" s="719"/>
      <c r="U395" s="719"/>
      <c r="V395" s="504"/>
      <c r="W395" s="498"/>
      <c r="X395" s="498"/>
      <c r="Y395" s="498"/>
      <c r="Z395" s="498"/>
      <c r="AA395" s="498"/>
      <c r="AB395" s="498"/>
      <c r="AC395" s="498"/>
      <c r="AD395" s="498"/>
      <c r="AE395" s="498"/>
      <c r="AF395" s="498"/>
      <c r="AG395" s="498"/>
      <c r="AH395" s="498"/>
      <c r="AI395" s="498"/>
      <c r="AJ395" s="498"/>
      <c r="AK395" s="498"/>
      <c r="AL395" s="498"/>
      <c r="AM395" s="498"/>
      <c r="AN395" s="498"/>
    </row>
    <row r="396" spans="1:40" ht="15.75" customHeight="1">
      <c r="B396" s="497"/>
      <c r="C396" s="578" t="s">
        <v>66</v>
      </c>
      <c r="D396" s="97" t="s">
        <v>40</v>
      </c>
      <c r="E396" s="579">
        <v>0</v>
      </c>
      <c r="F396" s="580">
        <v>0</v>
      </c>
      <c r="G396" s="100" t="s">
        <v>40</v>
      </c>
      <c r="H396" s="579">
        <v>0</v>
      </c>
      <c r="I396" s="580">
        <v>0</v>
      </c>
      <c r="J396" s="100" t="s">
        <v>40</v>
      </c>
      <c r="K396" s="579">
        <v>0</v>
      </c>
      <c r="L396" s="580">
        <v>0</v>
      </c>
      <c r="M396" s="720"/>
      <c r="N396" s="580">
        <v>0</v>
      </c>
      <c r="O396" s="100" t="s">
        <v>40</v>
      </c>
      <c r="P396" s="579">
        <v>0</v>
      </c>
      <c r="Q396" s="580">
        <v>0</v>
      </c>
      <c r="R396" s="583"/>
      <c r="S396" s="584">
        <v>0</v>
      </c>
      <c r="T396" s="719"/>
      <c r="U396" s="719"/>
      <c r="V396" s="504"/>
      <c r="W396" s="498"/>
      <c r="X396" s="498"/>
      <c r="Y396" s="498"/>
      <c r="Z396" s="498"/>
      <c r="AA396" s="498"/>
      <c r="AB396" s="498"/>
      <c r="AC396" s="498"/>
      <c r="AD396" s="498"/>
      <c r="AE396" s="498"/>
      <c r="AF396" s="498"/>
      <c r="AG396" s="498"/>
      <c r="AH396" s="498"/>
      <c r="AI396" s="498"/>
      <c r="AJ396" s="498"/>
      <c r="AK396" s="498"/>
      <c r="AL396" s="498"/>
      <c r="AM396" s="498"/>
      <c r="AN396" s="498"/>
    </row>
    <row r="397" spans="1:40" ht="15.75" customHeight="1" thickBot="1">
      <c r="B397" s="497"/>
      <c r="C397" s="513"/>
      <c r="D397" s="504"/>
      <c r="E397" s="504"/>
      <c r="F397" s="545"/>
      <c r="G397" s="525"/>
      <c r="H397" s="504"/>
      <c r="I397" s="545"/>
      <c r="J397" s="525"/>
      <c r="K397" s="504"/>
      <c r="L397" s="545"/>
      <c r="M397" s="564"/>
      <c r="N397" s="563"/>
      <c r="O397" s="525"/>
      <c r="P397" s="504"/>
      <c r="Q397" s="545"/>
      <c r="R397" s="525"/>
      <c r="S397" s="718"/>
      <c r="T397" s="498"/>
      <c r="U397" s="498"/>
      <c r="V397" s="504"/>
      <c r="W397" s="498"/>
      <c r="X397" s="498"/>
      <c r="Y397" s="498"/>
      <c r="Z397" s="498"/>
      <c r="AA397" s="498"/>
      <c r="AB397" s="498"/>
      <c r="AC397" s="498"/>
      <c r="AD397" s="498"/>
      <c r="AE397" s="498"/>
      <c r="AF397" s="498"/>
      <c r="AG397" s="498"/>
      <c r="AH397" s="498"/>
      <c r="AI397" s="498"/>
      <c r="AJ397" s="498"/>
      <c r="AK397" s="498"/>
      <c r="AL397" s="498"/>
      <c r="AM397" s="498"/>
      <c r="AN397" s="498"/>
    </row>
    <row r="398" spans="1:40" ht="15.75" customHeight="1" thickTop="1" thickBot="1">
      <c r="B398" s="497"/>
      <c r="C398" s="721" t="s">
        <v>73</v>
      </c>
      <c r="D398" s="722"/>
      <c r="E398" s="722"/>
      <c r="F398" s="723">
        <v>0</v>
      </c>
      <c r="G398" s="724"/>
      <c r="H398" s="722"/>
      <c r="I398" s="723">
        <v>0</v>
      </c>
      <c r="J398" s="725"/>
      <c r="K398" s="726"/>
      <c r="L398" s="723">
        <v>0</v>
      </c>
      <c r="M398" s="724"/>
      <c r="N398" s="723">
        <v>0</v>
      </c>
      <c r="O398" s="725"/>
      <c r="P398" s="726"/>
      <c r="Q398" s="723">
        <v>0</v>
      </c>
      <c r="R398" s="725"/>
      <c r="S398" s="727">
        <v>0</v>
      </c>
      <c r="T398" s="498"/>
      <c r="U398" s="498"/>
      <c r="V398" s="504"/>
      <c r="W398" s="498"/>
      <c r="X398" s="498"/>
      <c r="Y398" s="498"/>
      <c r="Z398" s="498"/>
      <c r="AA398" s="498"/>
      <c r="AB398" s="498"/>
      <c r="AC398" s="498"/>
      <c r="AD398" s="498"/>
      <c r="AE398" s="498"/>
      <c r="AF398" s="498"/>
      <c r="AG398" s="498"/>
      <c r="AH398" s="498"/>
      <c r="AI398" s="498"/>
      <c r="AJ398" s="498"/>
      <c r="AK398" s="498"/>
      <c r="AL398" s="498"/>
      <c r="AM398" s="498"/>
      <c r="AN398" s="498"/>
    </row>
    <row r="399" spans="1:40" ht="15.75" customHeight="1" thickTop="1">
      <c r="B399" s="497"/>
      <c r="C399" s="562"/>
      <c r="D399" s="82"/>
      <c r="E399" s="504"/>
      <c r="F399" s="593"/>
      <c r="G399" s="82"/>
      <c r="H399" s="504"/>
      <c r="I399" s="593"/>
      <c r="J399" s="562"/>
      <c r="K399" s="562"/>
      <c r="L399" s="593"/>
      <c r="M399" s="562"/>
      <c r="N399" s="593"/>
      <c r="O399" s="562"/>
      <c r="P399" s="562"/>
      <c r="Q399" s="593"/>
      <c r="R399" s="562"/>
      <c r="S399" s="593"/>
      <c r="T399" s="504"/>
      <c r="U399" s="504"/>
      <c r="V399" s="504"/>
      <c r="W399" s="504"/>
      <c r="X399" s="504"/>
      <c r="Y399" s="504"/>
      <c r="Z399" s="504"/>
      <c r="AA399" s="504"/>
      <c r="AB399" s="504"/>
      <c r="AC399" s="504"/>
      <c r="AD399" s="504"/>
      <c r="AE399" s="504"/>
      <c r="AF399" s="504"/>
      <c r="AG399" s="504"/>
      <c r="AH399" s="504"/>
      <c r="AI399" s="504"/>
      <c r="AJ399" s="504"/>
      <c r="AK399" s="504"/>
      <c r="AL399" s="504"/>
      <c r="AM399" s="504"/>
      <c r="AN399" s="504"/>
    </row>
    <row r="400" spans="1:40" ht="15.75" customHeight="1">
      <c r="B400" s="497"/>
      <c r="C400" s="504"/>
      <c r="D400" s="504"/>
      <c r="E400" s="504"/>
      <c r="F400" s="504"/>
      <c r="G400" s="504"/>
      <c r="H400" s="504"/>
      <c r="I400" s="504"/>
      <c r="J400" s="565"/>
      <c r="K400" s="504"/>
      <c r="L400" s="498"/>
      <c r="M400" s="504"/>
      <c r="N400" s="504"/>
      <c r="O400" s="504"/>
      <c r="P400" s="504"/>
      <c r="Q400" s="504"/>
      <c r="R400" s="498"/>
      <c r="S400" s="728"/>
      <c r="T400" s="498"/>
      <c r="U400" s="498"/>
      <c r="V400" s="504"/>
      <c r="W400" s="498"/>
      <c r="X400" s="498"/>
      <c r="Y400" s="498"/>
      <c r="Z400" s="498"/>
      <c r="AA400" s="498"/>
      <c r="AB400" s="498"/>
      <c r="AC400" s="498"/>
      <c r="AD400" s="498"/>
      <c r="AE400" s="498"/>
      <c r="AF400" s="498"/>
      <c r="AG400" s="498"/>
      <c r="AH400" s="498"/>
      <c r="AI400" s="498"/>
      <c r="AJ400" s="498"/>
      <c r="AK400" s="498"/>
      <c r="AL400" s="498"/>
      <c r="AM400" s="498"/>
      <c r="AN400" s="498"/>
    </row>
    <row r="401" spans="1:61" ht="44.25" customHeight="1">
      <c r="B401" s="497"/>
      <c r="C401" s="498" t="s">
        <v>474</v>
      </c>
      <c r="D401" s="498"/>
      <c r="E401" s="498" t="s">
        <v>475</v>
      </c>
      <c r="F401" s="498"/>
      <c r="G401" s="498"/>
      <c r="H401" s="498"/>
      <c r="I401" s="498"/>
      <c r="J401" s="498"/>
      <c r="K401" s="498"/>
      <c r="L401" s="498"/>
      <c r="M401" s="729"/>
      <c r="N401" s="730"/>
      <c r="O401" s="729"/>
      <c r="P401" s="498"/>
      <c r="Q401" s="729"/>
      <c r="R401" s="498"/>
      <c r="S401" s="731"/>
      <c r="T401" s="498"/>
      <c r="U401" s="498"/>
      <c r="V401" s="496" t="s">
        <v>228</v>
      </c>
      <c r="W401" s="496"/>
      <c r="X401" s="496"/>
      <c r="Y401" s="496"/>
      <c r="Z401" s="494"/>
      <c r="AA401" s="494"/>
      <c r="AB401" s="496"/>
      <c r="AC401" s="496"/>
      <c r="AD401" s="494"/>
      <c r="AE401" s="3" t="s">
        <v>122</v>
      </c>
      <c r="AF401" s="496"/>
      <c r="AG401" s="496"/>
      <c r="AH401" s="494"/>
      <c r="AI401" s="494"/>
      <c r="AJ401" s="259"/>
      <c r="AK401" s="2"/>
      <c r="AL401" s="494"/>
      <c r="AM401" s="496"/>
      <c r="AN401" s="496"/>
      <c r="AO401" s="5" t="s">
        <v>496</v>
      </c>
      <c r="AP401" s="719"/>
      <c r="AQ401" s="719"/>
      <c r="AR401" s="719"/>
      <c r="AS401" s="719"/>
      <c r="AT401" s="719"/>
      <c r="AU401" s="719"/>
      <c r="AV401" s="719"/>
      <c r="AW401" s="719"/>
      <c r="AX401" s="719"/>
      <c r="AY401" s="719"/>
      <c r="AZ401" s="719"/>
      <c r="BA401" s="719"/>
      <c r="BB401" s="719"/>
      <c r="BC401" s="719"/>
      <c r="BD401" s="719"/>
      <c r="BE401" s="719"/>
      <c r="BF401" s="719"/>
      <c r="BG401" s="719"/>
      <c r="BH401" s="719"/>
      <c r="BI401" s="719"/>
    </row>
    <row r="402" spans="1:61" ht="15.75" customHeight="1" thickBot="1">
      <c r="B402" s="497"/>
      <c r="C402" s="498" t="s">
        <v>474</v>
      </c>
      <c r="D402" s="498"/>
      <c r="E402" s="498"/>
      <c r="F402" s="498"/>
      <c r="G402" s="498"/>
      <c r="H402" s="498"/>
      <c r="I402" s="498"/>
      <c r="J402" s="498"/>
      <c r="K402" s="498"/>
      <c r="L402" s="498"/>
      <c r="M402" s="729"/>
      <c r="N402" s="730"/>
      <c r="O402" s="729"/>
      <c r="P402" s="732"/>
      <c r="Q402" s="729"/>
      <c r="R402" s="498"/>
      <c r="S402" s="731"/>
      <c r="T402" s="498"/>
      <c r="U402" s="498"/>
      <c r="V402" s="260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498"/>
      <c r="AM402" s="498"/>
      <c r="AN402" s="498"/>
      <c r="AO402" s="498"/>
      <c r="AP402" s="719"/>
      <c r="AQ402" s="719"/>
      <c r="AR402" s="719"/>
      <c r="AS402" s="719"/>
      <c r="AT402" s="719"/>
      <c r="AU402" s="719"/>
      <c r="AV402" s="719"/>
      <c r="AW402" s="719"/>
      <c r="AX402" s="719"/>
      <c r="AY402" s="719"/>
      <c r="AZ402" s="719"/>
      <c r="BA402" s="719"/>
      <c r="BB402" s="719"/>
      <c r="BC402" s="719"/>
      <c r="BD402" s="719"/>
      <c r="BE402" s="719"/>
      <c r="BF402" s="719"/>
      <c r="BG402" s="719"/>
      <c r="BH402" s="719"/>
      <c r="BI402" s="719"/>
    </row>
    <row r="403" spans="1:61" ht="15.75" customHeight="1" thickTop="1" thickBot="1">
      <c r="A403" s="493" t="s">
        <v>476</v>
      </c>
      <c r="B403" s="497"/>
      <c r="C403" s="498" t="s">
        <v>474</v>
      </c>
      <c r="D403" s="498"/>
      <c r="E403" s="498"/>
      <c r="F403" s="498"/>
      <c r="G403" s="498"/>
      <c r="H403" s="498"/>
      <c r="I403" s="498"/>
      <c r="J403" s="498"/>
      <c r="K403" s="498"/>
      <c r="L403" s="498"/>
      <c r="M403" s="729"/>
      <c r="N403" s="730"/>
      <c r="O403" s="729"/>
      <c r="P403" s="732"/>
      <c r="Q403" s="729"/>
      <c r="R403" s="498"/>
      <c r="S403" s="731"/>
      <c r="T403" s="498"/>
      <c r="U403" s="498"/>
      <c r="V403" s="261"/>
      <c r="W403" s="490"/>
      <c r="X403" s="490" t="s">
        <v>123</v>
      </c>
      <c r="Y403" s="733"/>
      <c r="Z403" s="734"/>
      <c r="AA403" s="487" t="s">
        <v>75</v>
      </c>
      <c r="AB403" s="733"/>
      <c r="AC403" s="734"/>
      <c r="AD403" s="487" t="s">
        <v>7</v>
      </c>
      <c r="AE403" s="733"/>
      <c r="AF403" s="734"/>
      <c r="AG403" s="487" t="s">
        <v>124</v>
      </c>
      <c r="AH403" s="733"/>
      <c r="AI403" s="734"/>
      <c r="AJ403" s="487" t="s">
        <v>125</v>
      </c>
      <c r="AK403" s="733"/>
      <c r="AL403" s="733"/>
      <c r="AM403" s="487" t="s">
        <v>126</v>
      </c>
      <c r="AN403" s="733"/>
      <c r="AO403" s="735"/>
      <c r="AP403" s="719"/>
      <c r="AQ403" s="719"/>
      <c r="AR403" s="719"/>
      <c r="AS403" s="719"/>
      <c r="AT403" s="719"/>
      <c r="AU403" s="719"/>
      <c r="AV403" s="719"/>
      <c r="AW403" s="719"/>
      <c r="AX403" s="719"/>
      <c r="AY403" s="719"/>
      <c r="AZ403" s="719"/>
      <c r="BA403" s="719"/>
      <c r="BB403" s="719"/>
      <c r="BC403" s="719"/>
      <c r="BD403" s="719"/>
      <c r="BE403" s="719"/>
      <c r="BF403" s="719"/>
      <c r="BG403" s="719"/>
      <c r="BH403" s="719"/>
      <c r="BI403" s="719"/>
    </row>
    <row r="404" spans="1:61" ht="15.75" customHeight="1">
      <c r="A404" s="493" t="s">
        <v>476</v>
      </c>
      <c r="B404" s="497"/>
      <c r="C404" s="498" t="s">
        <v>474</v>
      </c>
      <c r="D404" s="498"/>
      <c r="E404" s="498"/>
      <c r="F404" s="498"/>
      <c r="G404" s="498"/>
      <c r="H404" s="498"/>
      <c r="I404" s="498"/>
      <c r="J404" s="498"/>
      <c r="M404" s="736"/>
      <c r="N404" s="737"/>
      <c r="O404" s="729"/>
      <c r="P404" s="732"/>
      <c r="Q404" s="738"/>
      <c r="R404" s="498"/>
      <c r="S404" s="731"/>
      <c r="T404" s="498"/>
      <c r="U404" s="498"/>
      <c r="V404" s="568"/>
      <c r="W404" s="263" t="s">
        <v>127</v>
      </c>
      <c r="X404" s="263" t="s">
        <v>128</v>
      </c>
      <c r="Y404" s="263" t="s">
        <v>129</v>
      </c>
      <c r="Z404" s="264" t="s">
        <v>130</v>
      </c>
      <c r="AA404" s="263" t="s">
        <v>128</v>
      </c>
      <c r="AB404" s="263" t="s">
        <v>129</v>
      </c>
      <c r="AC404" s="264" t="s">
        <v>130</v>
      </c>
      <c r="AD404" s="265" t="s">
        <v>128</v>
      </c>
      <c r="AE404" s="263" t="s">
        <v>129</v>
      </c>
      <c r="AF404" s="263" t="s">
        <v>130</v>
      </c>
      <c r="AG404" s="265" t="s">
        <v>131</v>
      </c>
      <c r="AH404" s="263" t="s">
        <v>132</v>
      </c>
      <c r="AI404" s="263" t="s">
        <v>133</v>
      </c>
      <c r="AJ404" s="265" t="s">
        <v>128</v>
      </c>
      <c r="AK404" s="263" t="s">
        <v>129</v>
      </c>
      <c r="AL404" s="263" t="s">
        <v>130</v>
      </c>
      <c r="AM404" s="266" t="s">
        <v>131</v>
      </c>
      <c r="AN404" s="263" t="s">
        <v>132</v>
      </c>
      <c r="AO404" s="142" t="s">
        <v>133</v>
      </c>
      <c r="AP404" s="719"/>
      <c r="AQ404" s="719"/>
      <c r="AR404" s="719"/>
      <c r="AS404" s="719"/>
      <c r="AT404" s="719"/>
      <c r="AU404" s="719"/>
      <c r="AV404" s="719"/>
      <c r="AW404" s="719"/>
      <c r="AX404" s="719"/>
      <c r="AY404" s="719"/>
      <c r="AZ404" s="719"/>
      <c r="BA404" s="719"/>
      <c r="BB404" s="719"/>
      <c r="BC404" s="719"/>
      <c r="BD404" s="719"/>
      <c r="BE404" s="719"/>
      <c r="BF404" s="719"/>
      <c r="BG404" s="719"/>
      <c r="BH404" s="719"/>
      <c r="BI404" s="719"/>
    </row>
    <row r="405" spans="1:61" ht="15.75" customHeight="1">
      <c r="A405" s="493" t="s">
        <v>16</v>
      </c>
      <c r="B405" s="497"/>
      <c r="C405" s="498" t="s">
        <v>474</v>
      </c>
      <c r="D405" s="498"/>
      <c r="E405" s="498"/>
      <c r="F405" s="498"/>
      <c r="G405" s="498"/>
      <c r="H405" s="498"/>
      <c r="I405" s="729"/>
      <c r="J405" s="739"/>
      <c r="L405" s="498"/>
      <c r="M405" s="729"/>
      <c r="N405" s="730"/>
      <c r="O405" s="730"/>
      <c r="P405" s="732"/>
      <c r="Q405" s="740"/>
      <c r="R405" s="719"/>
      <c r="S405" s="731"/>
      <c r="T405" s="719"/>
      <c r="U405" s="719"/>
      <c r="V405" s="586" t="s">
        <v>16</v>
      </c>
      <c r="W405" s="741"/>
      <c r="X405" s="741"/>
      <c r="Y405" s="741"/>
      <c r="Z405" s="742">
        <v>6023595.7978889085</v>
      </c>
      <c r="AA405" s="741"/>
      <c r="AB405" s="741"/>
      <c r="AC405" s="742">
        <v>6023595.7978889085</v>
      </c>
      <c r="AD405" s="743"/>
      <c r="AE405" s="744"/>
      <c r="AF405" s="744">
        <v>4721471.7200000007</v>
      </c>
      <c r="AG405" s="743"/>
      <c r="AH405" s="744"/>
      <c r="AI405" s="745"/>
      <c r="AJ405" s="743"/>
      <c r="AK405" s="744"/>
      <c r="AL405" s="744">
        <v>5900774.6799999988</v>
      </c>
      <c r="AM405" s="746"/>
      <c r="AN405" s="744"/>
      <c r="AO405" s="747"/>
      <c r="AP405" s="719"/>
      <c r="AQ405" s="719"/>
      <c r="AR405" s="719"/>
      <c r="AS405" s="719"/>
      <c r="AT405" s="719"/>
      <c r="AU405" s="719"/>
      <c r="AV405" s="719"/>
      <c r="AW405" s="719"/>
      <c r="AX405" s="719"/>
      <c r="AY405" s="719"/>
      <c r="AZ405" s="719"/>
      <c r="BA405" s="719"/>
      <c r="BB405" s="719"/>
      <c r="BC405" s="719"/>
      <c r="BD405" s="719"/>
      <c r="BE405" s="719"/>
      <c r="BF405" s="719"/>
      <c r="BG405" s="719"/>
      <c r="BH405" s="719"/>
      <c r="BI405" s="719"/>
    </row>
    <row r="406" spans="1:61" ht="15.75" customHeight="1">
      <c r="A406" s="493" t="s">
        <v>134</v>
      </c>
      <c r="B406" s="497"/>
      <c r="C406" s="498" t="s">
        <v>474</v>
      </c>
      <c r="D406" s="498"/>
      <c r="E406" s="498"/>
      <c r="F406" s="498"/>
      <c r="G406" s="498"/>
      <c r="H406" s="498"/>
      <c r="I406" s="729"/>
      <c r="J406" s="739"/>
      <c r="L406" s="498"/>
      <c r="M406" s="729"/>
      <c r="N406" s="730"/>
      <c r="O406" s="729"/>
      <c r="P406" s="732"/>
      <c r="Q406" s="729"/>
      <c r="R406" s="719"/>
      <c r="S406" s="731"/>
      <c r="T406" s="719"/>
      <c r="U406" s="719"/>
      <c r="V406" s="748" t="s">
        <v>134</v>
      </c>
      <c r="W406" s="749"/>
      <c r="X406" s="749"/>
      <c r="Y406" s="749"/>
      <c r="Z406" s="750">
        <v>766209.10586005112</v>
      </c>
      <c r="AA406" s="749"/>
      <c r="AB406" s="749"/>
      <c r="AC406" s="750">
        <v>766209.10586005112</v>
      </c>
      <c r="AD406" s="751"/>
      <c r="AE406" s="752"/>
      <c r="AF406" s="752">
        <v>749925.49</v>
      </c>
      <c r="AG406" s="751"/>
      <c r="AH406" s="752">
        <v>-16283.615860051126</v>
      </c>
      <c r="AI406" s="753">
        <v>-2.1252182642456544E-2</v>
      </c>
      <c r="AJ406" s="751"/>
      <c r="AK406" s="752"/>
      <c r="AL406" s="752">
        <v>685728.85000000009</v>
      </c>
      <c r="AM406" s="754"/>
      <c r="AN406" s="752">
        <v>64196.639999999898</v>
      </c>
      <c r="AO406" s="755">
        <v>9.3618111590317202E-2</v>
      </c>
      <c r="AP406" s="719"/>
      <c r="AQ406" s="719"/>
      <c r="AR406" s="719"/>
      <c r="AS406" s="719"/>
      <c r="AT406" s="719"/>
      <c r="AU406" s="719"/>
      <c r="AV406" s="719"/>
      <c r="AW406" s="719"/>
      <c r="AX406" s="719"/>
      <c r="AY406" s="719"/>
      <c r="AZ406" s="719"/>
      <c r="BA406" s="719"/>
      <c r="BB406" s="719"/>
      <c r="BC406" s="719"/>
      <c r="BD406" s="719"/>
      <c r="BE406" s="719"/>
      <c r="BF406" s="719"/>
      <c r="BG406" s="719"/>
      <c r="BH406" s="719"/>
      <c r="BI406" s="719"/>
    </row>
    <row r="407" spans="1:61" ht="15.75" customHeight="1">
      <c r="A407" s="493" t="s">
        <v>135</v>
      </c>
      <c r="B407" s="497"/>
      <c r="C407" s="498" t="s">
        <v>474</v>
      </c>
      <c r="D407" s="498"/>
      <c r="E407" s="498"/>
      <c r="F407" s="498"/>
      <c r="G407" s="498"/>
      <c r="H407" s="498"/>
      <c r="I407" s="626"/>
      <c r="J407" s="739"/>
      <c r="L407" s="498"/>
      <c r="M407" s="729"/>
      <c r="N407" s="730"/>
      <c r="O407" s="729"/>
      <c r="P407" s="732"/>
      <c r="Q407" s="729"/>
      <c r="R407" s="719"/>
      <c r="S407" s="731"/>
      <c r="T407" s="719"/>
      <c r="U407" s="719"/>
      <c r="V407" s="756" t="s">
        <v>135</v>
      </c>
      <c r="W407" s="757"/>
      <c r="X407" s="757"/>
      <c r="Y407" s="757"/>
      <c r="Z407" s="758"/>
      <c r="AA407" s="757"/>
      <c r="AB407" s="757"/>
      <c r="AC407" s="758"/>
      <c r="AD407" s="759"/>
      <c r="AE407" s="757"/>
      <c r="AF407" s="760"/>
      <c r="AG407" s="759"/>
      <c r="AH407" s="760"/>
      <c r="AI407" s="761"/>
      <c r="AJ407" s="759"/>
      <c r="AK407" s="757"/>
      <c r="AL407" s="760"/>
      <c r="AM407" s="762"/>
      <c r="AN407" s="760"/>
      <c r="AO407" s="763"/>
      <c r="AP407" s="719"/>
      <c r="AQ407" s="719"/>
      <c r="AR407" s="719"/>
      <c r="AS407" s="719"/>
      <c r="AT407" s="719"/>
      <c r="AU407" s="719"/>
      <c r="AV407" s="719"/>
      <c r="AW407" s="719"/>
      <c r="AX407" s="719"/>
      <c r="AY407" s="719"/>
      <c r="AZ407" s="719"/>
      <c r="BA407" s="719"/>
      <c r="BB407" s="719"/>
      <c r="BC407" s="719"/>
      <c r="BD407" s="719"/>
      <c r="BE407" s="719"/>
      <c r="BF407" s="719"/>
      <c r="BG407" s="719"/>
      <c r="BH407" s="719"/>
      <c r="BI407" s="719"/>
    </row>
    <row r="408" spans="1:61" ht="15.75" customHeight="1">
      <c r="A408" s="493" t="s">
        <v>32</v>
      </c>
      <c r="B408" s="497"/>
      <c r="C408" s="498" t="s">
        <v>474</v>
      </c>
      <c r="D408" s="498"/>
      <c r="E408" s="498"/>
      <c r="F408" s="498"/>
      <c r="G408" s="498"/>
      <c r="H408" s="498"/>
      <c r="I408" s="729"/>
      <c r="J408" s="739"/>
      <c r="L408" s="498"/>
      <c r="M408" s="729"/>
      <c r="N408" s="730"/>
      <c r="O408" s="729"/>
      <c r="P408" s="732"/>
      <c r="Q408" s="729"/>
      <c r="R408" s="719"/>
      <c r="S408" s="731"/>
      <c r="T408" s="719"/>
      <c r="U408" s="719"/>
      <c r="V408" s="585" t="s">
        <v>32</v>
      </c>
      <c r="W408" s="290" t="s">
        <v>136</v>
      </c>
      <c r="X408" s="757"/>
      <c r="Y408" s="764">
        <v>592.20314527558082</v>
      </c>
      <c r="Z408" s="758">
        <v>78257.70950617356</v>
      </c>
      <c r="AA408" s="757"/>
      <c r="AB408" s="764">
        <v>592.20314527558082</v>
      </c>
      <c r="AC408" s="758">
        <v>78257.70950617356</v>
      </c>
      <c r="AD408" s="765"/>
      <c r="AE408" s="764">
        <v>1032.0177333333334</v>
      </c>
      <c r="AF408" s="758">
        <v>77401.33</v>
      </c>
      <c r="AG408" s="759">
        <v>439.81458805775253</v>
      </c>
      <c r="AH408" s="760">
        <v>-856.37950617355818</v>
      </c>
      <c r="AI408" s="761">
        <v>-1.0943068888388568E-2</v>
      </c>
      <c r="AJ408" s="765"/>
      <c r="AK408" s="760">
        <v>590.54139344262296</v>
      </c>
      <c r="AL408" s="758">
        <v>72046.05</v>
      </c>
      <c r="AM408" s="762">
        <v>439.81458805775253</v>
      </c>
      <c r="AN408" s="760">
        <v>5355.2799999999988</v>
      </c>
      <c r="AO408" s="766">
        <v>7.4331347797693265E-2</v>
      </c>
      <c r="AP408" s="719"/>
      <c r="AQ408" s="719"/>
      <c r="AR408" s="497"/>
      <c r="AS408" s="719"/>
      <c r="AT408" s="719"/>
      <c r="AU408" s="719"/>
      <c r="AV408" s="719"/>
      <c r="AW408" s="719"/>
      <c r="AX408" s="719"/>
      <c r="AY408" s="719"/>
      <c r="AZ408" s="719"/>
      <c r="BA408" s="719"/>
      <c r="BB408" s="719"/>
      <c r="BC408" s="719"/>
      <c r="BD408" s="719"/>
      <c r="BE408" s="719"/>
      <c r="BF408" s="719"/>
      <c r="BG408" s="719"/>
      <c r="BH408" s="719"/>
      <c r="BI408" s="719"/>
    </row>
    <row r="409" spans="1:61" ht="15.75" customHeight="1">
      <c r="A409" s="493" t="s">
        <v>33</v>
      </c>
      <c r="B409" s="497"/>
      <c r="C409" s="498" t="s">
        <v>474</v>
      </c>
      <c r="D409" s="498"/>
      <c r="E409" s="498"/>
      <c r="F409" s="498"/>
      <c r="G409" s="498"/>
      <c r="H409" s="498"/>
      <c r="I409" s="729"/>
      <c r="J409" s="739"/>
      <c r="M409" s="736"/>
      <c r="N409" s="730"/>
      <c r="O409" s="736"/>
      <c r="Q409" s="738"/>
      <c r="R409" s="719"/>
      <c r="S409" s="731"/>
      <c r="T409" s="719"/>
      <c r="U409" s="719"/>
      <c r="V409" s="586" t="s">
        <v>33</v>
      </c>
      <c r="W409" s="294" t="s">
        <v>137</v>
      </c>
      <c r="X409" s="741"/>
      <c r="Y409" s="767">
        <v>374.60457924226642</v>
      </c>
      <c r="Z409" s="742">
        <v>49502.770419062275</v>
      </c>
      <c r="AA409" s="741"/>
      <c r="AB409" s="767">
        <v>374.60457924226642</v>
      </c>
      <c r="AC409" s="742">
        <v>49502.770419062275</v>
      </c>
      <c r="AD409" s="768"/>
      <c r="AE409" s="767">
        <v>648.46440000000007</v>
      </c>
      <c r="AF409" s="742">
        <v>48634.83</v>
      </c>
      <c r="AG409" s="743">
        <v>273.85982075773364</v>
      </c>
      <c r="AH409" s="744">
        <v>-867.94041906227358</v>
      </c>
      <c r="AI409" s="769">
        <v>-1.7533168582582026E-2</v>
      </c>
      <c r="AJ409" s="768"/>
      <c r="AK409" s="744">
        <v>370.44098360655738</v>
      </c>
      <c r="AL409" s="742">
        <v>45193.8</v>
      </c>
      <c r="AM409" s="746">
        <v>273.85982075773364</v>
      </c>
      <c r="AN409" s="744">
        <v>3441.0299999999988</v>
      </c>
      <c r="AO409" s="770">
        <v>7.6139426204479346E-2</v>
      </c>
      <c r="AP409" s="719"/>
      <c r="AQ409" s="719"/>
      <c r="AR409" s="504"/>
      <c r="AS409" s="719"/>
      <c r="AT409" s="719"/>
      <c r="AU409" s="719"/>
      <c r="AV409" s="719"/>
      <c r="AW409" s="719"/>
      <c r="AX409" s="719"/>
      <c r="AY409" s="719"/>
      <c r="AZ409" s="719"/>
      <c r="BA409" s="719"/>
      <c r="BB409" s="719"/>
      <c r="BC409" s="719"/>
      <c r="BD409" s="719"/>
      <c r="BE409" s="719"/>
      <c r="BF409" s="719"/>
      <c r="BG409" s="719"/>
      <c r="BH409" s="719"/>
      <c r="BI409" s="719"/>
    </row>
    <row r="410" spans="1:61" ht="15.75" customHeight="1">
      <c r="A410" s="493" t="s">
        <v>34</v>
      </c>
      <c r="B410" s="497"/>
      <c r="C410" s="498" t="s">
        <v>474</v>
      </c>
      <c r="D410" s="498"/>
      <c r="E410" s="498"/>
      <c r="F410" s="498"/>
      <c r="G410" s="498"/>
      <c r="H410" s="498"/>
      <c r="I410" s="729"/>
      <c r="J410" s="498"/>
      <c r="L410" s="498"/>
      <c r="M410" s="736"/>
      <c r="N410" s="730"/>
      <c r="O410" s="730"/>
      <c r="P410" s="732"/>
      <c r="Q410" s="740"/>
      <c r="R410" s="719"/>
      <c r="S410" s="731"/>
      <c r="T410" s="719"/>
      <c r="U410" s="719"/>
      <c r="V410" s="585" t="s">
        <v>34</v>
      </c>
      <c r="W410" s="290" t="s">
        <v>138</v>
      </c>
      <c r="X410" s="757"/>
      <c r="Y410" s="764">
        <v>144.27932898180427</v>
      </c>
      <c r="Z410" s="758">
        <v>19066.041619805063</v>
      </c>
      <c r="AA410" s="757"/>
      <c r="AB410" s="764">
        <v>144.27932898180427</v>
      </c>
      <c r="AC410" s="758">
        <v>19066.041619805063</v>
      </c>
      <c r="AD410" s="765"/>
      <c r="AE410" s="764">
        <v>64.374799999999993</v>
      </c>
      <c r="AF410" s="758">
        <v>4828.1099999999997</v>
      </c>
      <c r="AG410" s="759">
        <v>-79.904528981804276</v>
      </c>
      <c r="AH410" s="760">
        <v>-14237.931619805062</v>
      </c>
      <c r="AI410" s="761">
        <v>-0.74676914609350542</v>
      </c>
      <c r="AJ410" s="765"/>
      <c r="AK410" s="760">
        <v>73.45926229508197</v>
      </c>
      <c r="AL410" s="758">
        <v>8962.0300000000007</v>
      </c>
      <c r="AM410" s="762">
        <v>-79.904528981804276</v>
      </c>
      <c r="AN410" s="760">
        <v>-4133.920000000001</v>
      </c>
      <c r="AO410" s="766">
        <v>-0.46127049340383824</v>
      </c>
      <c r="AP410" s="719"/>
      <c r="AQ410" s="719"/>
      <c r="AR410" s="504"/>
      <c r="AS410" s="719"/>
      <c r="AT410" s="719"/>
      <c r="AU410" s="719"/>
      <c r="AV410" s="719"/>
      <c r="AW410" s="719"/>
      <c r="AX410" s="719"/>
      <c r="AY410" s="719"/>
      <c r="AZ410" s="719"/>
      <c r="BA410" s="719"/>
      <c r="BB410" s="719"/>
      <c r="BC410" s="719"/>
      <c r="BD410" s="719"/>
      <c r="BE410" s="719"/>
      <c r="BF410" s="719"/>
      <c r="BG410" s="719"/>
      <c r="BH410" s="719"/>
      <c r="BI410" s="719"/>
    </row>
    <row r="411" spans="1:61" ht="15.75" customHeight="1">
      <c r="A411" s="493" t="s">
        <v>35</v>
      </c>
      <c r="B411" s="497"/>
      <c r="C411" s="498" t="s">
        <v>474</v>
      </c>
      <c r="D411" s="498"/>
      <c r="E411" s="498"/>
      <c r="F411" s="498"/>
      <c r="G411" s="498"/>
      <c r="H411" s="498"/>
      <c r="I411" s="498"/>
      <c r="J411" s="498"/>
      <c r="L411" s="498"/>
      <c r="M411" s="729"/>
      <c r="N411" s="730"/>
      <c r="O411" s="729"/>
      <c r="P411" s="732"/>
      <c r="Q411" s="729"/>
      <c r="R411" s="719"/>
      <c r="S411" s="731"/>
      <c r="T411" s="719"/>
      <c r="U411" s="719"/>
      <c r="V411" s="585" t="s">
        <v>35</v>
      </c>
      <c r="W411" s="290" t="s">
        <v>139</v>
      </c>
      <c r="X411" s="757"/>
      <c r="Y411" s="764">
        <v>16.837320191273808</v>
      </c>
      <c r="Z411" s="758">
        <v>2224.9968155403326</v>
      </c>
      <c r="AA411" s="757"/>
      <c r="AB411" s="764">
        <v>16.837320191273808</v>
      </c>
      <c r="AC411" s="758">
        <v>2224.9968155403326</v>
      </c>
      <c r="AD411" s="765"/>
      <c r="AE411" s="764">
        <v>0</v>
      </c>
      <c r="AF411" s="758">
        <v>0</v>
      </c>
      <c r="AG411" s="759">
        <v>-16.837320191273808</v>
      </c>
      <c r="AH411" s="760">
        <v>-2224.9968155403326</v>
      </c>
      <c r="AI411" s="761">
        <v>-1</v>
      </c>
      <c r="AJ411" s="765"/>
      <c r="AK411" s="760">
        <v>5.8828688524590165</v>
      </c>
      <c r="AL411" s="758">
        <v>717.71</v>
      </c>
      <c r="AM411" s="762">
        <v>-16.837320191273808</v>
      </c>
      <c r="AN411" s="760">
        <v>-717.71</v>
      </c>
      <c r="AO411" s="771">
        <v>-1</v>
      </c>
      <c r="AP411" s="719"/>
      <c r="AQ411" s="719"/>
      <c r="AR411" s="504"/>
      <c r="AS411" s="719"/>
      <c r="AT411" s="719"/>
      <c r="AU411" s="719"/>
      <c r="AV411" s="719"/>
      <c r="AW411" s="719"/>
      <c r="AX411" s="719"/>
      <c r="AY411" s="719"/>
      <c r="AZ411" s="719"/>
      <c r="BA411" s="719"/>
      <c r="BB411" s="719"/>
      <c r="BC411" s="719"/>
      <c r="BD411" s="719"/>
      <c r="BE411" s="719"/>
      <c r="BF411" s="719"/>
      <c r="BG411" s="719"/>
      <c r="BH411" s="719"/>
      <c r="BI411" s="719"/>
    </row>
    <row r="412" spans="1:61" ht="15.75" customHeight="1">
      <c r="A412" s="493" t="s">
        <v>36</v>
      </c>
      <c r="B412" s="497"/>
      <c r="C412" s="498" t="s">
        <v>474</v>
      </c>
      <c r="D412" s="498"/>
      <c r="E412" s="498"/>
      <c r="F412" s="498"/>
      <c r="G412" s="498"/>
      <c r="H412" s="498"/>
      <c r="I412" s="498"/>
      <c r="J412" s="498"/>
      <c r="L412" s="498"/>
      <c r="M412" s="729"/>
      <c r="N412" s="730"/>
      <c r="O412" s="729"/>
      <c r="P412" s="732"/>
      <c r="Q412" s="729"/>
      <c r="R412" s="719"/>
      <c r="S412" s="731"/>
      <c r="T412" s="719"/>
      <c r="U412" s="719"/>
      <c r="V412" s="586" t="s">
        <v>36</v>
      </c>
      <c r="W412" s="294"/>
      <c r="X412" s="741"/>
      <c r="Y412" s="767">
        <v>43.273076253995619</v>
      </c>
      <c r="Z412" s="742">
        <v>5718.3955504792302</v>
      </c>
      <c r="AA412" s="741"/>
      <c r="AB412" s="767">
        <v>43.273076253995619</v>
      </c>
      <c r="AC412" s="742">
        <v>5718.3955504792302</v>
      </c>
      <c r="AD412" s="768"/>
      <c r="AE412" s="767">
        <v>154.51906666666667</v>
      </c>
      <c r="AF412" s="742">
        <v>11588.93</v>
      </c>
      <c r="AG412" s="743">
        <v>111.24599041267106</v>
      </c>
      <c r="AH412" s="744">
        <v>5870.5344495207701</v>
      </c>
      <c r="AI412" s="769">
        <v>1.0266051723247425</v>
      </c>
      <c r="AJ412" s="768"/>
      <c r="AK412" s="744">
        <v>46.078934426229509</v>
      </c>
      <c r="AL412" s="742">
        <v>5621.63</v>
      </c>
      <c r="AM412" s="746">
        <v>111.24599041267106</v>
      </c>
      <c r="AN412" s="744">
        <v>5967.3</v>
      </c>
      <c r="AO412" s="770">
        <v>1.0614892833573182</v>
      </c>
      <c r="AP412" s="719"/>
      <c r="AQ412" s="719"/>
      <c r="AR412" s="504"/>
      <c r="AS412" s="719"/>
      <c r="AT412" s="719"/>
      <c r="AU412" s="719"/>
      <c r="AV412" s="719"/>
      <c r="AW412" s="719"/>
      <c r="AX412" s="719"/>
      <c r="AY412" s="719"/>
      <c r="AZ412" s="719"/>
      <c r="BA412" s="719"/>
      <c r="BB412" s="719"/>
      <c r="BC412" s="719"/>
      <c r="BD412" s="719"/>
      <c r="BE412" s="719"/>
      <c r="BF412" s="719"/>
      <c r="BG412" s="719"/>
      <c r="BH412" s="719"/>
      <c r="BI412" s="719"/>
    </row>
    <row r="413" spans="1:61" ht="15.75" customHeight="1">
      <c r="A413" s="493" t="s">
        <v>37</v>
      </c>
      <c r="B413" s="497"/>
      <c r="C413" s="498" t="s">
        <v>474</v>
      </c>
      <c r="D413" s="498"/>
      <c r="E413" s="498"/>
      <c r="F413" s="498"/>
      <c r="G413" s="498"/>
      <c r="H413" s="498"/>
      <c r="I413" s="498"/>
      <c r="J413" s="498"/>
      <c r="L413" s="498"/>
      <c r="M413" s="729"/>
      <c r="N413" s="730"/>
      <c r="O413" s="729"/>
      <c r="P413" s="732"/>
      <c r="Q413" s="729"/>
      <c r="R413" s="719"/>
      <c r="S413" s="731"/>
      <c r="T413" s="719"/>
      <c r="U413" s="719"/>
      <c r="V413" s="585" t="s">
        <v>37</v>
      </c>
      <c r="W413" s="290" t="s">
        <v>140</v>
      </c>
      <c r="X413" s="761"/>
      <c r="Y413" s="764">
        <v>155.04760072031854</v>
      </c>
      <c r="Z413" s="758">
        <v>20489.033524388815</v>
      </c>
      <c r="AA413" s="761"/>
      <c r="AB413" s="764">
        <v>155.04760072031854</v>
      </c>
      <c r="AC413" s="758">
        <v>20489.033524388815</v>
      </c>
      <c r="AD413" s="765"/>
      <c r="AE413" s="764">
        <v>366.74693333333335</v>
      </c>
      <c r="AF413" s="758">
        <v>27506.02</v>
      </c>
      <c r="AG413" s="759">
        <v>211.6993326130148</v>
      </c>
      <c r="AH413" s="760">
        <v>7016.9864756111856</v>
      </c>
      <c r="AI413" s="761">
        <v>0.34247523033522398</v>
      </c>
      <c r="AJ413" s="765"/>
      <c r="AK413" s="760">
        <v>91.212622950819679</v>
      </c>
      <c r="AL413" s="758">
        <v>11127.94</v>
      </c>
      <c r="AM413" s="762">
        <v>211.6993326130148</v>
      </c>
      <c r="AN413" s="760">
        <v>16378.08</v>
      </c>
      <c r="AO413" s="766">
        <v>1.4717980147268945</v>
      </c>
      <c r="AP413" s="719"/>
      <c r="AQ413" s="719"/>
      <c r="AR413" s="504"/>
      <c r="AS413" s="719"/>
      <c r="AT413" s="719"/>
      <c r="AU413" s="719"/>
      <c r="AV413" s="719"/>
      <c r="AW413" s="719"/>
      <c r="AX413" s="719"/>
      <c r="AY413" s="719"/>
      <c r="AZ413" s="719"/>
      <c r="BA413" s="719"/>
      <c r="BB413" s="719"/>
      <c r="BC413" s="719"/>
      <c r="BD413" s="719"/>
      <c r="BE413" s="719"/>
      <c r="BF413" s="719"/>
      <c r="BG413" s="719"/>
      <c r="BH413" s="719"/>
      <c r="BI413" s="719"/>
    </row>
    <row r="414" spans="1:61" ht="15.75" customHeight="1">
      <c r="A414" s="493" t="s">
        <v>38</v>
      </c>
      <c r="B414" s="497"/>
      <c r="C414" s="498" t="s">
        <v>474</v>
      </c>
      <c r="D414" s="498"/>
      <c r="E414" s="498"/>
      <c r="F414" s="498"/>
      <c r="G414" s="498"/>
      <c r="H414" s="498"/>
      <c r="I414" s="498"/>
      <c r="J414" s="498"/>
      <c r="L414" s="498"/>
      <c r="M414" s="729"/>
      <c r="N414" s="729"/>
      <c r="O414" s="729"/>
      <c r="Q414" s="729"/>
      <c r="R414" s="719"/>
      <c r="S414" s="731"/>
      <c r="T414" s="719"/>
      <c r="U414" s="719"/>
      <c r="V414" s="585" t="s">
        <v>38</v>
      </c>
      <c r="W414" s="290" t="s">
        <v>141</v>
      </c>
      <c r="X414" s="757"/>
      <c r="Y414" s="764">
        <v>67.093247494206267</v>
      </c>
      <c r="Z414" s="758">
        <v>8866.153302485518</v>
      </c>
      <c r="AA414" s="757"/>
      <c r="AB414" s="764">
        <v>67.093247494206267</v>
      </c>
      <c r="AC414" s="758">
        <v>8866.153302485518</v>
      </c>
      <c r="AD414" s="765"/>
      <c r="AE414" s="764">
        <v>25.031046511627906</v>
      </c>
      <c r="AF414" s="758">
        <v>2152.67</v>
      </c>
      <c r="AG414" s="759">
        <v>-42.062200982578361</v>
      </c>
      <c r="AH414" s="760">
        <v>-6713.4833024855179</v>
      </c>
      <c r="AI414" s="761">
        <v>-0.75720361169521788</v>
      </c>
      <c r="AJ414" s="765"/>
      <c r="AK414" s="760">
        <v>119.43352459016393</v>
      </c>
      <c r="AL414" s="758">
        <v>14570.89</v>
      </c>
      <c r="AM414" s="762">
        <v>-42.062200982578361</v>
      </c>
      <c r="AN414" s="760">
        <v>-12418.22</v>
      </c>
      <c r="AO414" s="766">
        <v>-0.85226228459620512</v>
      </c>
      <c r="AP414" s="719"/>
      <c r="AQ414" s="719"/>
      <c r="AR414" s="504"/>
      <c r="AS414" s="719"/>
      <c r="AT414" s="719"/>
      <c r="AU414" s="719"/>
      <c r="AV414" s="719"/>
      <c r="AW414" s="719"/>
      <c r="AX414" s="719"/>
      <c r="AY414" s="719"/>
      <c r="AZ414" s="719"/>
      <c r="BA414" s="719"/>
      <c r="BB414" s="719"/>
      <c r="BC414" s="719"/>
      <c r="BD414" s="719"/>
      <c r="BE414" s="719"/>
      <c r="BF414" s="719"/>
      <c r="BG414" s="719"/>
      <c r="BH414" s="719"/>
      <c r="BI414" s="719"/>
    </row>
    <row r="415" spans="1:61" ht="15.75" hidden="1" customHeight="1">
      <c r="A415" s="493" t="s">
        <v>21</v>
      </c>
      <c r="B415" s="497"/>
      <c r="C415" s="498" t="s">
        <v>474</v>
      </c>
      <c r="D415" s="498"/>
      <c r="E415" s="498"/>
      <c r="F415" s="498"/>
      <c r="G415" s="498"/>
      <c r="H415" s="498"/>
      <c r="I415" s="498"/>
      <c r="J415" s="498"/>
      <c r="L415" s="498"/>
      <c r="M415" s="498"/>
      <c r="N415" s="498"/>
      <c r="O415" s="730"/>
      <c r="P415" s="732"/>
      <c r="Q415" s="729"/>
      <c r="R415" s="719"/>
      <c r="S415" s="731"/>
      <c r="T415" s="719"/>
      <c r="U415" s="719"/>
      <c r="V415" s="585" t="s">
        <v>21</v>
      </c>
      <c r="W415" s="290"/>
      <c r="X415" s="761"/>
      <c r="Y415" s="764">
        <v>0</v>
      </c>
      <c r="Z415" s="758">
        <v>0</v>
      </c>
      <c r="AA415" s="757"/>
      <c r="AB415" s="764">
        <v>0</v>
      </c>
      <c r="AC415" s="758">
        <v>0</v>
      </c>
      <c r="AD415" s="765"/>
      <c r="AE415" s="764">
        <v>0</v>
      </c>
      <c r="AF415" s="758">
        <v>0</v>
      </c>
      <c r="AG415" s="759">
        <v>0</v>
      </c>
      <c r="AH415" s="760">
        <v>0</v>
      </c>
      <c r="AI415" s="761">
        <v>0</v>
      </c>
      <c r="AJ415" s="765"/>
      <c r="AK415" s="760">
        <v>0</v>
      </c>
      <c r="AL415" s="758">
        <v>0</v>
      </c>
      <c r="AM415" s="762">
        <v>0</v>
      </c>
      <c r="AN415" s="760">
        <v>0</v>
      </c>
      <c r="AO415" s="766">
        <v>0</v>
      </c>
      <c r="AP415" s="719"/>
      <c r="AQ415" s="719"/>
      <c r="AR415" s="504"/>
      <c r="AS415" s="719"/>
      <c r="AT415" s="719"/>
      <c r="AU415" s="719"/>
      <c r="AV415" s="719"/>
      <c r="AW415" s="719"/>
      <c r="AX415" s="719"/>
      <c r="AY415" s="719"/>
      <c r="AZ415" s="719"/>
      <c r="BA415" s="719"/>
      <c r="BB415" s="719"/>
      <c r="BC415" s="719"/>
      <c r="BD415" s="719"/>
      <c r="BE415" s="719"/>
      <c r="BF415" s="719"/>
      <c r="BG415" s="719"/>
      <c r="BH415" s="719"/>
      <c r="BI415" s="719"/>
    </row>
    <row r="416" spans="1:61" ht="15.75" hidden="1" customHeight="1">
      <c r="A416" s="493" t="s">
        <v>21</v>
      </c>
      <c r="B416" s="497"/>
      <c r="C416" s="498" t="s">
        <v>474</v>
      </c>
      <c r="D416" s="498"/>
      <c r="E416" s="498"/>
      <c r="F416" s="498"/>
      <c r="G416" s="498"/>
      <c r="H416" s="498"/>
      <c r="I416" s="498"/>
      <c r="J416" s="498"/>
      <c r="L416" s="498"/>
      <c r="M416" s="498"/>
      <c r="N416" s="498"/>
      <c r="O416" s="730"/>
      <c r="P416" s="732"/>
      <c r="Q416" s="729"/>
      <c r="R416" s="719"/>
      <c r="S416" s="731"/>
      <c r="T416" s="719"/>
      <c r="U416" s="719"/>
      <c r="V416" s="585" t="s">
        <v>21</v>
      </c>
      <c r="W416" s="290"/>
      <c r="X416" s="761"/>
      <c r="Y416" s="764">
        <v>0</v>
      </c>
      <c r="Z416" s="758">
        <v>0</v>
      </c>
      <c r="AA416" s="757"/>
      <c r="AB416" s="764">
        <v>0</v>
      </c>
      <c r="AC416" s="758">
        <v>0</v>
      </c>
      <c r="AD416" s="765"/>
      <c r="AE416" s="764">
        <v>0</v>
      </c>
      <c r="AF416" s="758">
        <v>0</v>
      </c>
      <c r="AG416" s="759">
        <v>0</v>
      </c>
      <c r="AH416" s="760">
        <v>0</v>
      </c>
      <c r="AI416" s="761">
        <v>0</v>
      </c>
      <c r="AJ416" s="765"/>
      <c r="AK416" s="760">
        <v>0</v>
      </c>
      <c r="AL416" s="758">
        <v>0</v>
      </c>
      <c r="AM416" s="762">
        <v>0</v>
      </c>
      <c r="AN416" s="760">
        <v>0</v>
      </c>
      <c r="AO416" s="766">
        <v>0</v>
      </c>
      <c r="AP416" s="719"/>
      <c r="AQ416" s="719"/>
      <c r="AR416" s="504"/>
      <c r="AS416" s="719"/>
      <c r="AT416" s="719"/>
      <c r="AU416" s="719"/>
      <c r="AV416" s="719"/>
      <c r="AW416" s="719"/>
      <c r="AX416" s="719"/>
      <c r="AY416" s="719"/>
      <c r="AZ416" s="719"/>
      <c r="BA416" s="719"/>
      <c r="BB416" s="719"/>
      <c r="BC416" s="719"/>
      <c r="BD416" s="719"/>
      <c r="BE416" s="719"/>
      <c r="BF416" s="719"/>
      <c r="BG416" s="719"/>
      <c r="BH416" s="719"/>
      <c r="BI416" s="719"/>
    </row>
    <row r="417" spans="1:61" ht="15.75" hidden="1" customHeight="1">
      <c r="A417" s="493" t="s">
        <v>21</v>
      </c>
      <c r="B417" s="497"/>
      <c r="C417" s="498" t="s">
        <v>474</v>
      </c>
      <c r="D417" s="498"/>
      <c r="E417" s="498"/>
      <c r="F417" s="498"/>
      <c r="G417" s="498"/>
      <c r="H417" s="498"/>
      <c r="I417" s="498"/>
      <c r="J417" s="498"/>
      <c r="L417" s="498"/>
      <c r="M417" s="498"/>
      <c r="N417" s="498"/>
      <c r="O417" s="730"/>
      <c r="P417" s="732"/>
      <c r="Q417" s="498"/>
      <c r="R417" s="719"/>
      <c r="S417" s="731"/>
      <c r="T417" s="719"/>
      <c r="U417" s="719"/>
      <c r="V417" s="585" t="s">
        <v>21</v>
      </c>
      <c r="W417" s="290" t="s">
        <v>141</v>
      </c>
      <c r="X417" s="757"/>
      <c r="Y417" s="764">
        <v>0</v>
      </c>
      <c r="Z417" s="758">
        <v>0</v>
      </c>
      <c r="AA417" s="757"/>
      <c r="AB417" s="764">
        <v>0</v>
      </c>
      <c r="AC417" s="758">
        <v>0</v>
      </c>
      <c r="AD417" s="765"/>
      <c r="AE417" s="764">
        <v>0</v>
      </c>
      <c r="AF417" s="758">
        <v>0</v>
      </c>
      <c r="AG417" s="759">
        <v>0</v>
      </c>
      <c r="AH417" s="760">
        <v>0</v>
      </c>
      <c r="AI417" s="761">
        <v>0</v>
      </c>
      <c r="AJ417" s="765"/>
      <c r="AK417" s="760">
        <v>0</v>
      </c>
      <c r="AL417" s="758">
        <v>0</v>
      </c>
      <c r="AM417" s="762">
        <v>0</v>
      </c>
      <c r="AN417" s="760">
        <v>0</v>
      </c>
      <c r="AO417" s="766">
        <v>0</v>
      </c>
      <c r="AP417" s="719"/>
      <c r="AQ417" s="719"/>
      <c r="AR417" s="504"/>
      <c r="AS417" s="719"/>
      <c r="AT417" s="719"/>
      <c r="AU417" s="719"/>
      <c r="AV417" s="719"/>
      <c r="AW417" s="719"/>
      <c r="AX417" s="719"/>
      <c r="AY417" s="719"/>
      <c r="AZ417" s="719"/>
      <c r="BA417" s="719"/>
      <c r="BB417" s="719"/>
      <c r="BC417" s="719"/>
      <c r="BD417" s="719"/>
      <c r="BE417" s="719"/>
      <c r="BF417" s="719"/>
      <c r="BG417" s="719"/>
      <c r="BH417" s="719"/>
      <c r="BI417" s="719"/>
    </row>
    <row r="418" spans="1:61" ht="15.75" customHeight="1">
      <c r="A418" s="493" t="s">
        <v>39</v>
      </c>
      <c r="B418" s="497"/>
      <c r="C418" s="498" t="s">
        <v>474</v>
      </c>
      <c r="D418" s="498"/>
      <c r="E418" s="498"/>
      <c r="F418" s="498"/>
      <c r="G418" s="498"/>
      <c r="H418" s="498"/>
      <c r="I418" s="498"/>
      <c r="J418" s="498"/>
      <c r="L418" s="498"/>
      <c r="M418" s="729"/>
      <c r="N418" s="730"/>
      <c r="O418" s="730"/>
      <c r="P418" s="732"/>
      <c r="Q418" s="740"/>
      <c r="R418" s="719"/>
      <c r="S418" s="731"/>
      <c r="T418" s="719"/>
      <c r="U418" s="719"/>
      <c r="V418" s="772" t="s">
        <v>39</v>
      </c>
      <c r="W418" s="773"/>
      <c r="X418" s="774">
        <v>0.24030659428310874</v>
      </c>
      <c r="Y418" s="773"/>
      <c r="Z418" s="775">
        <v>184125.10073793482</v>
      </c>
      <c r="AA418" s="774">
        <v>0.24030659428310874</v>
      </c>
      <c r="AB418" s="773"/>
      <c r="AC418" s="775">
        <v>184125.10073793482</v>
      </c>
      <c r="AD418" s="776">
        <v>0.22950532058858275</v>
      </c>
      <c r="AE418" s="773"/>
      <c r="AF418" s="775">
        <v>172111.89</v>
      </c>
      <c r="AG418" s="777"/>
      <c r="AH418" s="778">
        <v>-12013.210737934802</v>
      </c>
      <c r="AI418" s="774">
        <v>-6.5244829139472951E-2</v>
      </c>
      <c r="AJ418" s="776">
        <v>0.23076183829803859</v>
      </c>
      <c r="AK418" s="773"/>
      <c r="AL418" s="775">
        <v>158240.04999999999</v>
      </c>
      <c r="AM418" s="779"/>
      <c r="AN418" s="778">
        <v>13871.840000000026</v>
      </c>
      <c r="AO418" s="755">
        <v>8.7663268559381946E-2</v>
      </c>
      <c r="AP418" s="719"/>
      <c r="AQ418" s="719"/>
      <c r="AR418" s="504"/>
      <c r="AS418" s="719"/>
      <c r="AT418" s="719"/>
      <c r="AU418" s="719"/>
      <c r="AV418" s="719"/>
      <c r="AW418" s="719"/>
      <c r="AX418" s="719"/>
      <c r="AY418" s="719"/>
      <c r="AZ418" s="719"/>
      <c r="BA418" s="719"/>
      <c r="BB418" s="719"/>
      <c r="BC418" s="719"/>
      <c r="BD418" s="719"/>
      <c r="BE418" s="719"/>
      <c r="BF418" s="719"/>
      <c r="BG418" s="719"/>
      <c r="BH418" s="719"/>
      <c r="BI418" s="719"/>
    </row>
    <row r="419" spans="1:61" ht="15.75" customHeight="1">
      <c r="A419" s="493" t="s">
        <v>142</v>
      </c>
      <c r="B419" s="497"/>
      <c r="C419" s="498" t="s">
        <v>474</v>
      </c>
      <c r="D419" s="498"/>
      <c r="E419" s="498"/>
      <c r="F419" s="498"/>
      <c r="G419" s="498"/>
      <c r="H419" s="498"/>
      <c r="I419" s="498"/>
      <c r="J419" s="498"/>
      <c r="L419" s="498"/>
      <c r="M419" s="740"/>
      <c r="N419" s="730"/>
      <c r="O419" s="740"/>
      <c r="P419" s="732"/>
      <c r="Q419" s="729"/>
      <c r="R419" s="719"/>
      <c r="S419" s="731"/>
      <c r="T419" s="719"/>
      <c r="U419" s="719"/>
      <c r="V419" s="585" t="s">
        <v>142</v>
      </c>
      <c r="W419" s="290" t="s">
        <v>143</v>
      </c>
      <c r="X419" s="757"/>
      <c r="Y419" s="757"/>
      <c r="Z419" s="758">
        <v>15497.547546666668</v>
      </c>
      <c r="AA419" s="757"/>
      <c r="AB419" s="757"/>
      <c r="AC419" s="758">
        <v>15497.547546666668</v>
      </c>
      <c r="AD419" s="765"/>
      <c r="AE419" s="764"/>
      <c r="AF419" s="758">
        <v>17045.78</v>
      </c>
      <c r="AG419" s="759"/>
      <c r="AH419" s="760">
        <v>1548.2324533333303</v>
      </c>
      <c r="AI419" s="761">
        <v>9.9901771468759656E-2</v>
      </c>
      <c r="AJ419" s="765"/>
      <c r="AK419" s="757"/>
      <c r="AL419" s="758">
        <v>2336.25</v>
      </c>
      <c r="AM419" s="762"/>
      <c r="AN419" s="760">
        <v>14709.529999999999</v>
      </c>
      <c r="AO419" s="766">
        <v>6.296214018191546</v>
      </c>
      <c r="AP419" s="719"/>
      <c r="AQ419" s="719"/>
      <c r="AR419" s="719"/>
      <c r="AS419" s="719"/>
      <c r="AT419" s="719"/>
      <c r="AU419" s="719"/>
      <c r="AV419" s="719"/>
      <c r="AW419" s="719"/>
      <c r="AX419" s="719"/>
      <c r="AY419" s="719"/>
      <c r="AZ419" s="719"/>
      <c r="BA419" s="719"/>
      <c r="BB419" s="719"/>
      <c r="BC419" s="719"/>
      <c r="BD419" s="719"/>
      <c r="BE419" s="719"/>
      <c r="BF419" s="719"/>
      <c r="BG419" s="719"/>
      <c r="BH419" s="719"/>
      <c r="BI419" s="719"/>
    </row>
    <row r="420" spans="1:61" ht="15.75" customHeight="1">
      <c r="A420" s="493" t="s">
        <v>42</v>
      </c>
      <c r="B420" s="497"/>
      <c r="C420" s="498" t="s">
        <v>474</v>
      </c>
      <c r="D420" s="498"/>
      <c r="E420" s="498"/>
      <c r="F420" s="498"/>
      <c r="G420" s="498"/>
      <c r="H420" s="498"/>
      <c r="I420" s="498"/>
      <c r="J420" s="498"/>
      <c r="K420" s="498"/>
      <c r="L420" s="498"/>
      <c r="M420" s="740"/>
      <c r="N420" s="730"/>
      <c r="O420" s="740"/>
      <c r="P420" s="732"/>
      <c r="Q420" s="729"/>
      <c r="R420" s="719"/>
      <c r="S420" s="731"/>
      <c r="T420" s="719"/>
      <c r="U420" s="719"/>
      <c r="V420" s="585" t="s">
        <v>42</v>
      </c>
      <c r="W420" s="290" t="s">
        <v>144</v>
      </c>
      <c r="X420" s="757"/>
      <c r="Y420" s="757"/>
      <c r="Z420" s="758">
        <v>38467.750957854405</v>
      </c>
      <c r="AA420" s="757"/>
      <c r="AB420" s="757"/>
      <c r="AC420" s="758">
        <v>38467.750957854405</v>
      </c>
      <c r="AD420" s="765"/>
      <c r="AE420" s="764"/>
      <c r="AF420" s="758">
        <v>39074.49</v>
      </c>
      <c r="AG420" s="759"/>
      <c r="AH420" s="760">
        <v>606.73904214559298</v>
      </c>
      <c r="AI420" s="761">
        <v>1.5772667417191646E-2</v>
      </c>
      <c r="AJ420" s="765"/>
      <c r="AK420" s="757"/>
      <c r="AL420" s="758">
        <v>45947.850000000006</v>
      </c>
      <c r="AM420" s="762"/>
      <c r="AN420" s="760">
        <v>-6873.3600000000079</v>
      </c>
      <c r="AO420" s="766">
        <v>-0.14959045961889417</v>
      </c>
      <c r="AP420" s="719"/>
      <c r="AQ420" s="719"/>
      <c r="AR420" s="719"/>
      <c r="AS420" s="719"/>
      <c r="AT420" s="719"/>
      <c r="AU420" s="719"/>
      <c r="AV420" s="719"/>
      <c r="AW420" s="719"/>
      <c r="AX420" s="719"/>
      <c r="AY420" s="719"/>
      <c r="AZ420" s="719"/>
      <c r="BA420" s="719"/>
      <c r="BB420" s="719"/>
      <c r="BC420" s="719"/>
      <c r="BD420" s="719"/>
      <c r="BE420" s="719"/>
      <c r="BF420" s="719"/>
      <c r="BG420" s="719"/>
      <c r="BH420" s="719"/>
      <c r="BI420" s="719"/>
    </row>
    <row r="421" spans="1:61" ht="15.75" customHeight="1">
      <c r="A421" s="493" t="s">
        <v>43</v>
      </c>
      <c r="B421" s="497"/>
      <c r="C421" s="719" t="s">
        <v>474</v>
      </c>
      <c r="D421" s="719"/>
      <c r="E421" s="719"/>
      <c r="F421" s="719"/>
      <c r="G421" s="719"/>
      <c r="H421" s="719"/>
      <c r="I421" s="719"/>
      <c r="J421" s="719"/>
      <c r="K421" s="719"/>
      <c r="L421" s="498"/>
      <c r="M421" s="740"/>
      <c r="N421" s="730"/>
      <c r="O421" s="740"/>
      <c r="P421" s="780"/>
      <c r="Q421" s="729"/>
      <c r="R421" s="719"/>
      <c r="S421" s="731"/>
      <c r="T421" s="719"/>
      <c r="U421" s="719"/>
      <c r="V421" s="586" t="s">
        <v>43</v>
      </c>
      <c r="W421" s="294" t="s">
        <v>145</v>
      </c>
      <c r="X421" s="741"/>
      <c r="Y421" s="741"/>
      <c r="Z421" s="742">
        <v>26732.282612567054</v>
      </c>
      <c r="AA421" s="741"/>
      <c r="AB421" s="741"/>
      <c r="AC421" s="742">
        <v>26732.282612567054</v>
      </c>
      <c r="AD421" s="768"/>
      <c r="AE421" s="767"/>
      <c r="AF421" s="742">
        <v>21231.339999999997</v>
      </c>
      <c r="AG421" s="743"/>
      <c r="AH421" s="744">
        <v>-5500.9426125670579</v>
      </c>
      <c r="AI421" s="769">
        <v>-0.20577900856027243</v>
      </c>
      <c r="AJ421" s="768"/>
      <c r="AK421" s="741"/>
      <c r="AL421" s="742">
        <v>25571.14</v>
      </c>
      <c r="AM421" s="746"/>
      <c r="AN421" s="744">
        <v>-4339.8000000000029</v>
      </c>
      <c r="AO421" s="747">
        <v>-0.1697147643789054</v>
      </c>
      <c r="AP421" s="719"/>
      <c r="AQ421" s="719"/>
      <c r="AR421" s="719"/>
      <c r="AS421" s="719"/>
      <c r="AT421" s="719"/>
      <c r="AU421" s="719"/>
      <c r="AV421" s="719"/>
      <c r="AW421" s="719"/>
      <c r="AX421" s="719"/>
      <c r="AY421" s="719"/>
      <c r="AZ421" s="719"/>
      <c r="BA421" s="719"/>
      <c r="BB421" s="719"/>
      <c r="BC421" s="719"/>
      <c r="BD421" s="719"/>
      <c r="BE421" s="719"/>
      <c r="BF421" s="719"/>
      <c r="BG421" s="719"/>
      <c r="BH421" s="719"/>
      <c r="BI421" s="719"/>
    </row>
    <row r="422" spans="1:61" ht="15.75" customHeight="1">
      <c r="A422" s="493" t="s">
        <v>44</v>
      </c>
      <c r="B422" s="497"/>
      <c r="C422" s="719" t="s">
        <v>474</v>
      </c>
      <c r="D422" s="719"/>
      <c r="E422" s="719"/>
      <c r="F422" s="719"/>
      <c r="G422" s="719"/>
      <c r="H422" s="719"/>
      <c r="I422" s="719"/>
      <c r="J422" s="719"/>
      <c r="K422" s="719"/>
      <c r="L422" s="719"/>
      <c r="M422" s="781"/>
      <c r="N422" s="781"/>
      <c r="O422" s="781"/>
      <c r="Q422" s="738"/>
      <c r="R422" s="719"/>
      <c r="S422" s="731"/>
      <c r="T422" s="719"/>
      <c r="U422" s="719"/>
      <c r="V422" s="585" t="s">
        <v>44</v>
      </c>
      <c r="W422" s="290" t="s">
        <v>146</v>
      </c>
      <c r="X422" s="757"/>
      <c r="Y422" s="757"/>
      <c r="Z422" s="758">
        <v>56911.548926896547</v>
      </c>
      <c r="AA422" s="757"/>
      <c r="AB422" s="757"/>
      <c r="AC422" s="758">
        <v>56911.548926896547</v>
      </c>
      <c r="AD422" s="765"/>
      <c r="AE422" s="764"/>
      <c r="AF422" s="758">
        <v>59546.25</v>
      </c>
      <c r="AG422" s="759"/>
      <c r="AH422" s="760">
        <v>2634.7010731034534</v>
      </c>
      <c r="AI422" s="761">
        <v>4.6294664664420802E-2</v>
      </c>
      <c r="AJ422" s="765"/>
      <c r="AK422" s="757"/>
      <c r="AL422" s="758">
        <v>51344.81</v>
      </c>
      <c r="AM422" s="762"/>
      <c r="AN422" s="760">
        <v>8201.4400000000023</v>
      </c>
      <c r="AO422" s="766">
        <v>0.15973260004273077</v>
      </c>
      <c r="AP422" s="719"/>
      <c r="AQ422" s="719"/>
      <c r="AR422" s="719"/>
      <c r="AS422" s="719"/>
      <c r="AT422" s="719"/>
      <c r="AU422" s="719"/>
      <c r="AV422" s="719"/>
      <c r="AW422" s="719"/>
      <c r="AX422" s="719"/>
      <c r="AY422" s="719"/>
      <c r="AZ422" s="719"/>
      <c r="BA422" s="719"/>
      <c r="BB422" s="719"/>
      <c r="BC422" s="719"/>
      <c r="BD422" s="719"/>
      <c r="BE422" s="719"/>
      <c r="BF422" s="719"/>
      <c r="BG422" s="719"/>
      <c r="BH422" s="719"/>
      <c r="BI422" s="719"/>
    </row>
    <row r="423" spans="1:61" ht="15.75" customHeight="1">
      <c r="A423" s="493" t="s">
        <v>45</v>
      </c>
      <c r="B423" s="497"/>
      <c r="C423" s="719" t="s">
        <v>474</v>
      </c>
      <c r="D423" s="719"/>
      <c r="E423" s="719"/>
      <c r="F423" s="719"/>
      <c r="G423" s="719"/>
      <c r="H423" s="719"/>
      <c r="I423" s="719"/>
      <c r="J423" s="719"/>
      <c r="K423" s="719"/>
      <c r="L423" s="719"/>
      <c r="M423" s="781"/>
      <c r="N423" s="730"/>
      <c r="O423" s="782"/>
      <c r="P423" s="732"/>
      <c r="Q423" s="740"/>
      <c r="R423" s="719"/>
      <c r="S423" s="731"/>
      <c r="T423" s="719"/>
      <c r="U423" s="719"/>
      <c r="V423" s="585" t="s">
        <v>45</v>
      </c>
      <c r="W423" s="290" t="s">
        <v>147</v>
      </c>
      <c r="X423" s="757"/>
      <c r="Y423" s="757"/>
      <c r="Z423" s="758">
        <v>36866.512348284632</v>
      </c>
      <c r="AA423" s="757"/>
      <c r="AB423" s="757"/>
      <c r="AC423" s="758">
        <v>36866.512348284632</v>
      </c>
      <c r="AD423" s="765"/>
      <c r="AE423" s="764"/>
      <c r="AF423" s="758">
        <v>29704.89</v>
      </c>
      <c r="AG423" s="759"/>
      <c r="AH423" s="760">
        <v>-7161.6223482846326</v>
      </c>
      <c r="AI423" s="761">
        <v>-0.19425820052158682</v>
      </c>
      <c r="AJ423" s="765"/>
      <c r="AK423" s="757"/>
      <c r="AL423" s="758">
        <v>26515.010000000002</v>
      </c>
      <c r="AM423" s="762"/>
      <c r="AN423" s="760">
        <v>3189.8799999999974</v>
      </c>
      <c r="AO423" s="766">
        <v>0.12030468779759076</v>
      </c>
      <c r="AP423" s="719"/>
      <c r="AQ423" s="719"/>
      <c r="AR423" s="719"/>
      <c r="AS423" s="719"/>
      <c r="AT423" s="719"/>
      <c r="AU423" s="719"/>
      <c r="AV423" s="719"/>
      <c r="AW423" s="719"/>
      <c r="AX423" s="719"/>
      <c r="AY423" s="719"/>
      <c r="AZ423" s="719"/>
      <c r="BA423" s="719"/>
      <c r="BB423" s="719"/>
      <c r="BC423" s="719"/>
      <c r="BD423" s="719"/>
      <c r="BE423" s="719"/>
      <c r="BF423" s="719"/>
      <c r="BG423" s="719"/>
      <c r="BH423" s="719"/>
      <c r="BI423" s="719"/>
    </row>
    <row r="424" spans="1:61" ht="15.75" hidden="1" customHeight="1">
      <c r="A424" s="493" t="s">
        <v>21</v>
      </c>
      <c r="B424" s="497"/>
      <c r="C424" s="719" t="s">
        <v>474</v>
      </c>
      <c r="D424" s="719"/>
      <c r="E424" s="719"/>
      <c r="F424" s="719"/>
      <c r="G424" s="719"/>
      <c r="H424" s="719"/>
      <c r="I424" s="719"/>
      <c r="J424" s="719"/>
      <c r="K424" s="719"/>
      <c r="L424" s="719"/>
      <c r="M424" s="781"/>
      <c r="N424" s="626"/>
      <c r="O424" s="782"/>
      <c r="P424" s="780"/>
      <c r="Q424" s="719"/>
      <c r="R424" s="719"/>
      <c r="S424" s="731"/>
      <c r="T424" s="719"/>
      <c r="U424" s="719"/>
      <c r="V424" s="585" t="s">
        <v>21</v>
      </c>
      <c r="W424" s="290"/>
      <c r="X424" s="757"/>
      <c r="Y424" s="757"/>
      <c r="Z424" s="758">
        <v>0</v>
      </c>
      <c r="AA424" s="757"/>
      <c r="AB424" s="757"/>
      <c r="AC424" s="758">
        <v>0</v>
      </c>
      <c r="AD424" s="765"/>
      <c r="AE424" s="764"/>
      <c r="AF424" s="758">
        <v>0</v>
      </c>
      <c r="AG424" s="759"/>
      <c r="AH424" s="760">
        <v>0</v>
      </c>
      <c r="AI424" s="761">
        <v>0</v>
      </c>
      <c r="AJ424" s="765"/>
      <c r="AK424" s="757"/>
      <c r="AL424" s="758">
        <v>0</v>
      </c>
      <c r="AM424" s="762"/>
      <c r="AN424" s="760">
        <v>0</v>
      </c>
      <c r="AO424" s="766">
        <v>0</v>
      </c>
      <c r="AP424" s="719"/>
      <c r="AQ424" s="719"/>
      <c r="AR424" s="719"/>
      <c r="AS424" s="719"/>
      <c r="AT424" s="719"/>
      <c r="AU424" s="719"/>
      <c r="AV424" s="719"/>
      <c r="AW424" s="719"/>
      <c r="AX424" s="719"/>
      <c r="AY424" s="719"/>
      <c r="AZ424" s="719"/>
      <c r="BA424" s="719"/>
      <c r="BB424" s="719"/>
      <c r="BC424" s="719"/>
      <c r="BD424" s="719"/>
      <c r="BE424" s="719"/>
      <c r="BF424" s="719"/>
      <c r="BG424" s="719"/>
      <c r="BH424" s="719"/>
      <c r="BI424" s="719"/>
    </row>
    <row r="425" spans="1:61" ht="15.75" hidden="1" customHeight="1">
      <c r="A425" s="493" t="s">
        <v>21</v>
      </c>
      <c r="B425" s="497"/>
      <c r="C425" s="719" t="s">
        <v>474</v>
      </c>
      <c r="D425" s="719"/>
      <c r="E425" s="719"/>
      <c r="F425" s="719"/>
      <c r="G425" s="719"/>
      <c r="H425" s="719"/>
      <c r="I425" s="719"/>
      <c r="J425" s="719"/>
      <c r="K425" s="719"/>
      <c r="L425" s="719"/>
      <c r="M425" s="781"/>
      <c r="N425" s="626"/>
      <c r="O425" s="782"/>
      <c r="P425" s="780"/>
      <c r="Q425" s="719"/>
      <c r="R425" s="719"/>
      <c r="S425" s="731"/>
      <c r="T425" s="719"/>
      <c r="U425" s="719"/>
      <c r="V425" s="585" t="s">
        <v>21</v>
      </c>
      <c r="W425" s="290"/>
      <c r="X425" s="757"/>
      <c r="Y425" s="757"/>
      <c r="Z425" s="758">
        <v>0</v>
      </c>
      <c r="AA425" s="757"/>
      <c r="AB425" s="757"/>
      <c r="AC425" s="758">
        <v>0</v>
      </c>
      <c r="AD425" s="765"/>
      <c r="AE425" s="764"/>
      <c r="AF425" s="758">
        <v>0</v>
      </c>
      <c r="AG425" s="759"/>
      <c r="AH425" s="760">
        <v>0</v>
      </c>
      <c r="AI425" s="761">
        <v>0</v>
      </c>
      <c r="AJ425" s="765"/>
      <c r="AK425" s="757"/>
      <c r="AL425" s="758">
        <v>0</v>
      </c>
      <c r="AM425" s="762"/>
      <c r="AN425" s="760">
        <v>0</v>
      </c>
      <c r="AO425" s="766">
        <v>0</v>
      </c>
      <c r="AP425" s="719"/>
      <c r="AQ425" s="719"/>
      <c r="AR425" s="719"/>
      <c r="AS425" s="719"/>
      <c r="AT425" s="719"/>
      <c r="AU425" s="719"/>
      <c r="AV425" s="719"/>
      <c r="AW425" s="719"/>
      <c r="AX425" s="719"/>
      <c r="AY425" s="719"/>
      <c r="AZ425" s="719"/>
      <c r="BA425" s="719"/>
      <c r="BB425" s="719"/>
      <c r="BC425" s="719"/>
      <c r="BD425" s="719"/>
      <c r="BE425" s="719"/>
      <c r="BF425" s="719"/>
      <c r="BG425" s="719"/>
      <c r="BH425" s="719"/>
      <c r="BI425" s="719"/>
    </row>
    <row r="426" spans="1:61" ht="15.75" hidden="1" customHeight="1">
      <c r="A426" s="493" t="s">
        <v>21</v>
      </c>
      <c r="B426" s="497"/>
      <c r="C426" s="719" t="s">
        <v>474</v>
      </c>
      <c r="D426" s="719"/>
      <c r="E426" s="719"/>
      <c r="F426" s="719"/>
      <c r="G426" s="719"/>
      <c r="H426" s="719"/>
      <c r="I426" s="719"/>
      <c r="J426" s="719"/>
      <c r="K426" s="719"/>
      <c r="L426" s="719"/>
      <c r="M426" s="781"/>
      <c r="N426" s="626"/>
      <c r="O426" s="782"/>
      <c r="P426" s="780"/>
      <c r="Q426" s="719"/>
      <c r="R426" s="719"/>
      <c r="S426" s="731"/>
      <c r="T426" s="719"/>
      <c r="U426" s="719"/>
      <c r="V426" s="585" t="s">
        <v>21</v>
      </c>
      <c r="W426" s="290"/>
      <c r="X426" s="757"/>
      <c r="Y426" s="757"/>
      <c r="Z426" s="758">
        <v>0</v>
      </c>
      <c r="AA426" s="757"/>
      <c r="AB426" s="757"/>
      <c r="AC426" s="758">
        <v>0</v>
      </c>
      <c r="AD426" s="765"/>
      <c r="AE426" s="764"/>
      <c r="AF426" s="758">
        <v>0</v>
      </c>
      <c r="AG426" s="759"/>
      <c r="AH426" s="760">
        <v>0</v>
      </c>
      <c r="AI426" s="761">
        <v>0</v>
      </c>
      <c r="AJ426" s="765"/>
      <c r="AK426" s="757"/>
      <c r="AL426" s="758">
        <v>0</v>
      </c>
      <c r="AM426" s="762"/>
      <c r="AN426" s="760">
        <v>0</v>
      </c>
      <c r="AO426" s="766">
        <v>0</v>
      </c>
      <c r="AP426" s="719"/>
      <c r="AQ426" s="719"/>
      <c r="AR426" s="719"/>
      <c r="AS426" s="719"/>
      <c r="AT426" s="719"/>
      <c r="AU426" s="719"/>
      <c r="AV426" s="719"/>
      <c r="AW426" s="719"/>
      <c r="AX426" s="719"/>
      <c r="AY426" s="719"/>
      <c r="AZ426" s="719"/>
      <c r="BA426" s="719"/>
      <c r="BB426" s="719"/>
      <c r="BC426" s="719"/>
      <c r="BD426" s="719"/>
      <c r="BE426" s="719"/>
      <c r="BF426" s="719"/>
      <c r="BG426" s="719"/>
      <c r="BH426" s="719"/>
      <c r="BI426" s="719"/>
    </row>
    <row r="427" spans="1:61" ht="15.75" customHeight="1">
      <c r="A427" s="493" t="s">
        <v>46</v>
      </c>
      <c r="B427" s="497"/>
      <c r="C427" s="719" t="s">
        <v>474</v>
      </c>
      <c r="D427" s="719"/>
      <c r="E427" s="719"/>
      <c r="F427" s="719"/>
      <c r="G427" s="719"/>
      <c r="H427" s="719"/>
      <c r="I427" s="719"/>
      <c r="J427" s="719"/>
      <c r="K427" s="719"/>
      <c r="L427" s="498"/>
      <c r="M427" s="781"/>
      <c r="N427" s="626"/>
      <c r="O427" s="782"/>
      <c r="P427" s="780"/>
      <c r="Q427" s="719"/>
      <c r="R427" s="719"/>
      <c r="S427" s="731"/>
      <c r="T427" s="719"/>
      <c r="U427" s="719"/>
      <c r="V427" s="586" t="s">
        <v>46</v>
      </c>
      <c r="W427" s="294" t="s">
        <v>148</v>
      </c>
      <c r="X427" s="741"/>
      <c r="Y427" s="741"/>
      <c r="Z427" s="742">
        <v>42551.816629138484</v>
      </c>
      <c r="AA427" s="741"/>
      <c r="AB427" s="741"/>
      <c r="AC427" s="742">
        <v>42551.816629138484</v>
      </c>
      <c r="AD427" s="768"/>
      <c r="AE427" s="767"/>
      <c r="AF427" s="742">
        <v>45078.25</v>
      </c>
      <c r="AG427" s="743"/>
      <c r="AH427" s="744">
        <v>2526.4333708615159</v>
      </c>
      <c r="AI427" s="769">
        <v>5.9373102513594532E-2</v>
      </c>
      <c r="AJ427" s="768"/>
      <c r="AK427" s="741"/>
      <c r="AL427" s="742">
        <v>36353.65</v>
      </c>
      <c r="AM427" s="746"/>
      <c r="AN427" s="744">
        <v>8724.5999999999985</v>
      </c>
      <c r="AO427" s="770">
        <v>0.2399924079150236</v>
      </c>
      <c r="AP427" s="719"/>
      <c r="AQ427" s="719"/>
      <c r="AR427" s="719"/>
      <c r="AS427" s="719"/>
      <c r="AT427" s="719"/>
      <c r="AU427" s="719"/>
      <c r="AV427" s="719"/>
      <c r="AW427" s="719"/>
      <c r="AX427" s="719"/>
      <c r="AY427" s="719"/>
      <c r="AZ427" s="719"/>
      <c r="BA427" s="719"/>
      <c r="BB427" s="719"/>
      <c r="BC427" s="719"/>
      <c r="BD427" s="719"/>
      <c r="BE427" s="719"/>
      <c r="BF427" s="719"/>
      <c r="BG427" s="719"/>
      <c r="BH427" s="719"/>
      <c r="BI427" s="719"/>
    </row>
    <row r="428" spans="1:61" ht="15.75" customHeight="1">
      <c r="A428" s="493" t="s">
        <v>47</v>
      </c>
      <c r="B428" s="497"/>
      <c r="C428" s="719" t="s">
        <v>474</v>
      </c>
      <c r="D428" s="719"/>
      <c r="E428" s="719"/>
      <c r="F428" s="719"/>
      <c r="G428" s="719"/>
      <c r="H428" s="719"/>
      <c r="I428" s="719"/>
      <c r="J428" s="719"/>
      <c r="K428" s="719"/>
      <c r="L428" s="498"/>
      <c r="M428" s="781"/>
      <c r="N428" s="730"/>
      <c r="O428" s="781"/>
      <c r="P428" s="780"/>
      <c r="Q428" s="729"/>
      <c r="R428" s="719"/>
      <c r="S428" s="731"/>
      <c r="T428" s="719"/>
      <c r="U428" s="719"/>
      <c r="V428" s="585" t="s">
        <v>47</v>
      </c>
      <c r="W428" s="290" t="s">
        <v>149</v>
      </c>
      <c r="X428" s="757"/>
      <c r="Y428" s="757"/>
      <c r="Z428" s="758">
        <v>38109.513596385528</v>
      </c>
      <c r="AA428" s="757"/>
      <c r="AB428" s="757"/>
      <c r="AC428" s="758">
        <v>38109.513596385528</v>
      </c>
      <c r="AD428" s="765"/>
      <c r="AE428" s="764"/>
      <c r="AF428" s="758">
        <v>40760.730000000003</v>
      </c>
      <c r="AG428" s="759"/>
      <c r="AH428" s="760">
        <v>2651.216403614475</v>
      </c>
      <c r="AI428" s="761">
        <v>6.9568361110384988E-2</v>
      </c>
      <c r="AJ428" s="765"/>
      <c r="AK428" s="757"/>
      <c r="AL428" s="758">
        <v>35128.960000000006</v>
      </c>
      <c r="AM428" s="762"/>
      <c r="AN428" s="760">
        <v>5631.7699999999968</v>
      </c>
      <c r="AO428" s="766">
        <v>0.1603170147934922</v>
      </c>
      <c r="AP428" s="719"/>
      <c r="AQ428" s="719"/>
      <c r="AR428" s="719"/>
      <c r="AS428" s="719"/>
      <c r="AT428" s="719"/>
      <c r="AU428" s="719"/>
      <c r="AV428" s="719"/>
      <c r="AW428" s="719"/>
      <c r="AX428" s="719"/>
      <c r="AY428" s="719"/>
      <c r="AZ428" s="719"/>
      <c r="BA428" s="719"/>
      <c r="BB428" s="719"/>
      <c r="BC428" s="719"/>
      <c r="BD428" s="719"/>
      <c r="BE428" s="719"/>
      <c r="BF428" s="719"/>
      <c r="BG428" s="719"/>
      <c r="BH428" s="719"/>
      <c r="BI428" s="719"/>
    </row>
    <row r="429" spans="1:61" ht="15.75" customHeight="1">
      <c r="A429" s="493" t="s">
        <v>48</v>
      </c>
      <c r="B429" s="497"/>
      <c r="C429" s="719" t="s">
        <v>474</v>
      </c>
      <c r="D429" s="719"/>
      <c r="E429" s="719"/>
      <c r="F429" s="719"/>
      <c r="G429" s="719"/>
      <c r="H429" s="719"/>
      <c r="I429" s="719"/>
      <c r="J429" s="719"/>
      <c r="K429" s="719"/>
      <c r="L429" s="498"/>
      <c r="M429" s="781"/>
      <c r="N429" s="730"/>
      <c r="O429" s="781"/>
      <c r="P429" s="780"/>
      <c r="Q429" s="729"/>
      <c r="R429" s="719"/>
      <c r="S429" s="731"/>
      <c r="T429" s="719"/>
      <c r="U429" s="719"/>
      <c r="V429" s="585" t="s">
        <v>48</v>
      </c>
      <c r="W429" s="290" t="s">
        <v>150</v>
      </c>
      <c r="X429" s="757"/>
      <c r="Y429" s="757"/>
      <c r="Z429" s="758">
        <v>30263.437267717924</v>
      </c>
      <c r="AA429" s="757"/>
      <c r="AB429" s="757"/>
      <c r="AC429" s="758">
        <v>30263.437267717924</v>
      </c>
      <c r="AD429" s="765"/>
      <c r="AE429" s="764"/>
      <c r="AF429" s="758">
        <v>21099.64</v>
      </c>
      <c r="AG429" s="759"/>
      <c r="AH429" s="760">
        <v>-9163.7972677179241</v>
      </c>
      <c r="AI429" s="761">
        <v>-0.30280094050958867</v>
      </c>
      <c r="AJ429" s="765"/>
      <c r="AK429" s="757"/>
      <c r="AL429" s="758">
        <v>27796.020000000004</v>
      </c>
      <c r="AM429" s="762"/>
      <c r="AN429" s="760">
        <v>-6696.3800000000047</v>
      </c>
      <c r="AO429" s="766">
        <v>-0.24091146862032778</v>
      </c>
      <c r="AP429" s="719"/>
      <c r="AQ429" s="719"/>
      <c r="AR429" s="719"/>
      <c r="AS429" s="719"/>
      <c r="AT429" s="719"/>
      <c r="AU429" s="719"/>
      <c r="AV429" s="719"/>
      <c r="AW429" s="719"/>
      <c r="AX429" s="719"/>
      <c r="AY429" s="719"/>
      <c r="AZ429" s="719"/>
      <c r="BA429" s="719"/>
      <c r="BB429" s="719"/>
      <c r="BC429" s="719"/>
      <c r="BD429" s="719"/>
      <c r="BE429" s="719"/>
      <c r="BF429" s="719"/>
      <c r="BG429" s="719"/>
      <c r="BH429" s="719"/>
      <c r="BI429" s="719"/>
    </row>
    <row r="430" spans="1:61" ht="15.75" customHeight="1">
      <c r="A430" s="493" t="s">
        <v>49</v>
      </c>
      <c r="B430" s="497"/>
      <c r="C430" s="719" t="s">
        <v>474</v>
      </c>
      <c r="D430" s="719"/>
      <c r="E430" s="719"/>
      <c r="F430" s="719"/>
      <c r="G430" s="719"/>
      <c r="H430" s="719"/>
      <c r="I430" s="719"/>
      <c r="J430" s="719"/>
      <c r="K430" s="719"/>
      <c r="L430" s="498"/>
      <c r="M430" s="781"/>
      <c r="N430" s="730"/>
      <c r="O430" s="781"/>
      <c r="P430" s="780"/>
      <c r="Q430" s="729"/>
      <c r="R430" s="719"/>
      <c r="S430" s="731"/>
      <c r="T430" s="719"/>
      <c r="U430" s="719"/>
      <c r="V430" s="585" t="s">
        <v>49</v>
      </c>
      <c r="W430" s="290"/>
      <c r="X430" s="757"/>
      <c r="Y430" s="757"/>
      <c r="Z430" s="758">
        <v>12329.548516477671</v>
      </c>
      <c r="AA430" s="757"/>
      <c r="AB430" s="757"/>
      <c r="AC430" s="758">
        <v>12329.548516477671</v>
      </c>
      <c r="AD430" s="765"/>
      <c r="AE430" s="764"/>
      <c r="AF430" s="758">
        <v>13064.77</v>
      </c>
      <c r="AG430" s="759"/>
      <c r="AH430" s="760">
        <v>735.22148352232944</v>
      </c>
      <c r="AI430" s="783">
        <v>5.9630852057538999E-2</v>
      </c>
      <c r="AJ430" s="765"/>
      <c r="AK430" s="757"/>
      <c r="AL430" s="758">
        <v>10120.39</v>
      </c>
      <c r="AM430" s="762"/>
      <c r="AN430" s="760">
        <v>2944.380000000001</v>
      </c>
      <c r="AO430" s="766">
        <v>0.29093542837776026</v>
      </c>
      <c r="AP430" s="719"/>
      <c r="AQ430" s="719"/>
      <c r="AR430" s="719"/>
      <c r="AS430" s="719"/>
      <c r="AT430" s="719"/>
      <c r="AU430" s="719"/>
      <c r="AV430" s="719"/>
      <c r="AW430" s="719"/>
      <c r="AX430" s="719"/>
      <c r="AY430" s="719"/>
      <c r="AZ430" s="719"/>
      <c r="BA430" s="719"/>
      <c r="BB430" s="719"/>
      <c r="BC430" s="719"/>
      <c r="BD430" s="719"/>
      <c r="BE430" s="719"/>
      <c r="BF430" s="719"/>
      <c r="BG430" s="719"/>
      <c r="BH430" s="719"/>
      <c r="BI430" s="719"/>
    </row>
    <row r="431" spans="1:61" ht="15.75" hidden="1" customHeight="1">
      <c r="A431" s="493" t="s">
        <v>21</v>
      </c>
      <c r="B431" s="497"/>
      <c r="C431" s="498" t="s">
        <v>474</v>
      </c>
      <c r="D431" s="498"/>
      <c r="E431" s="498"/>
      <c r="F431" s="498"/>
      <c r="G431" s="498"/>
      <c r="H431" s="498"/>
      <c r="I431" s="498"/>
      <c r="J431" s="498"/>
      <c r="K431" s="498"/>
      <c r="L431" s="498"/>
      <c r="M431" s="498"/>
      <c r="N431" s="498"/>
      <c r="O431" s="498"/>
      <c r="P431" s="732"/>
      <c r="Q431" s="738"/>
      <c r="R431" s="719"/>
      <c r="T431" s="719"/>
      <c r="U431" s="719"/>
      <c r="V431" s="513" t="s">
        <v>21</v>
      </c>
      <c r="W431" s="290"/>
      <c r="X431" s="757"/>
      <c r="Y431" s="764"/>
      <c r="Z431" s="758">
        <v>0</v>
      </c>
      <c r="AA431" s="757"/>
      <c r="AB431" s="764"/>
      <c r="AC431" s="758">
        <v>0</v>
      </c>
      <c r="AD431" s="765"/>
      <c r="AE431" s="764"/>
      <c r="AF431" s="758">
        <v>0</v>
      </c>
      <c r="AG431" s="759"/>
      <c r="AH431" s="760">
        <v>0</v>
      </c>
      <c r="AI431" s="761">
        <v>0</v>
      </c>
      <c r="AJ431" s="765"/>
      <c r="AK431" s="760"/>
      <c r="AL431" s="758">
        <v>0</v>
      </c>
      <c r="AM431" s="762"/>
      <c r="AN431" s="760"/>
      <c r="AO431" s="770"/>
      <c r="AP431" s="719"/>
      <c r="AQ431" s="719"/>
      <c r="AR431" s="719"/>
      <c r="AS431" s="719"/>
      <c r="AT431" s="719"/>
      <c r="AU431" s="719"/>
      <c r="AV431" s="719"/>
      <c r="AW431" s="719"/>
      <c r="AX431" s="719"/>
      <c r="AY431" s="719"/>
      <c r="AZ431" s="719"/>
      <c r="BA431" s="719"/>
      <c r="BB431" s="719"/>
      <c r="BC431" s="719"/>
      <c r="BD431" s="719"/>
      <c r="BE431" s="719"/>
      <c r="BF431" s="719"/>
      <c r="BG431" s="719"/>
      <c r="BH431" s="719"/>
      <c r="BI431" s="719"/>
    </row>
    <row r="432" spans="1:61" ht="15.75" customHeight="1">
      <c r="A432" s="493" t="s">
        <v>50</v>
      </c>
      <c r="B432" s="497"/>
      <c r="C432" s="719" t="s">
        <v>474</v>
      </c>
      <c r="D432" s="719"/>
      <c r="E432" s="719"/>
      <c r="F432" s="719"/>
      <c r="G432" s="719"/>
      <c r="H432" s="719"/>
      <c r="I432" s="719"/>
      <c r="J432" s="719"/>
      <c r="K432" s="719"/>
      <c r="O432" s="784"/>
      <c r="Q432" s="736"/>
      <c r="R432" s="719"/>
      <c r="T432" s="719"/>
      <c r="U432" s="719"/>
      <c r="V432" s="772" t="s">
        <v>50</v>
      </c>
      <c r="W432" s="773"/>
      <c r="X432" s="774">
        <v>0.38857533292794039</v>
      </c>
      <c r="Y432" s="773"/>
      <c r="Z432" s="775">
        <v>297729.9584019889</v>
      </c>
      <c r="AA432" s="774">
        <v>0.38857533292794039</v>
      </c>
      <c r="AB432" s="773"/>
      <c r="AC432" s="775">
        <v>297729.9584019889</v>
      </c>
      <c r="AD432" s="776">
        <v>0.38217948825822684</v>
      </c>
      <c r="AE432" s="785"/>
      <c r="AF432" s="775">
        <v>286606.14</v>
      </c>
      <c r="AG432" s="786"/>
      <c r="AH432" s="778">
        <v>-11123.818401988887</v>
      </c>
      <c r="AI432" s="774">
        <v>-3.7362106459470683E-2</v>
      </c>
      <c r="AJ432" s="776">
        <v>0.38078327898848063</v>
      </c>
      <c r="AK432" s="773"/>
      <c r="AL432" s="775">
        <v>261114.08000000002</v>
      </c>
      <c r="AM432" s="787"/>
      <c r="AN432" s="778">
        <v>25492.059999999998</v>
      </c>
      <c r="AO432" s="755">
        <v>9.7628055905679217E-2</v>
      </c>
      <c r="AP432" s="719"/>
      <c r="AQ432" s="719"/>
      <c r="AR432" s="719"/>
      <c r="AS432" s="719"/>
      <c r="AT432" s="719"/>
      <c r="AU432" s="719"/>
      <c r="AV432" s="719"/>
      <c r="AW432" s="719"/>
      <c r="AX432" s="719"/>
      <c r="AY432" s="719"/>
      <c r="AZ432" s="719"/>
      <c r="BA432" s="719"/>
      <c r="BB432" s="719"/>
      <c r="BC432" s="719"/>
      <c r="BD432" s="719"/>
      <c r="BE432" s="719"/>
      <c r="BF432" s="719"/>
      <c r="BG432" s="719"/>
      <c r="BH432" s="719"/>
      <c r="BI432" s="719"/>
    </row>
    <row r="433" spans="1:62" ht="15.75" customHeight="1">
      <c r="A433" s="493" t="s">
        <v>51</v>
      </c>
      <c r="B433" s="497"/>
      <c r="C433" s="719" t="s">
        <v>474</v>
      </c>
      <c r="D433" s="719"/>
      <c r="E433" s="719"/>
      <c r="F433" s="719"/>
      <c r="G433" s="719"/>
      <c r="H433" s="719"/>
      <c r="I433" s="719"/>
      <c r="J433" s="719"/>
      <c r="K433" s="719"/>
      <c r="L433" s="719"/>
      <c r="M433" s="784"/>
      <c r="N433" s="730"/>
      <c r="O433" s="483"/>
      <c r="P433" s="732"/>
      <c r="Q433" s="740"/>
      <c r="R433" s="719"/>
      <c r="T433" s="719"/>
      <c r="U433" s="719"/>
      <c r="V433" s="686" t="s">
        <v>51</v>
      </c>
      <c r="W433" s="315" t="s">
        <v>140</v>
      </c>
      <c r="X433" s="788"/>
      <c r="Y433" s="788"/>
      <c r="Z433" s="789">
        <v>10644.25</v>
      </c>
      <c r="AA433" s="788"/>
      <c r="AB433" s="788"/>
      <c r="AC433" s="789">
        <v>10644.25</v>
      </c>
      <c r="AD433" s="790"/>
      <c r="AE433" s="791"/>
      <c r="AF433" s="789">
        <v>26481.510000000002</v>
      </c>
      <c r="AG433" s="790"/>
      <c r="AH433" s="792">
        <v>15837.260000000002</v>
      </c>
      <c r="AI433" s="793">
        <v>1.4878699767480097</v>
      </c>
      <c r="AJ433" s="790"/>
      <c r="AK433" s="788"/>
      <c r="AL433" s="789">
        <v>10809.64</v>
      </c>
      <c r="AM433" s="794"/>
      <c r="AN433" s="792">
        <v>15671.870000000003</v>
      </c>
      <c r="AO433" s="763">
        <v>1.449804988880296</v>
      </c>
      <c r="AP433" s="719"/>
      <c r="AQ433" s="719"/>
      <c r="AR433" s="719"/>
      <c r="AS433" s="719"/>
      <c r="AT433" s="719"/>
      <c r="AU433" s="719"/>
      <c r="AV433" s="719"/>
      <c r="AW433" s="719"/>
      <c r="AX433" s="719"/>
      <c r="AY433" s="719"/>
      <c r="AZ433" s="719"/>
      <c r="BA433" s="719"/>
      <c r="BB433" s="719"/>
      <c r="BC433" s="719"/>
      <c r="BD433" s="719"/>
      <c r="BE433" s="719"/>
      <c r="BF433" s="719"/>
      <c r="BG433" s="719"/>
      <c r="BH433" s="719"/>
      <c r="BI433" s="719"/>
    </row>
    <row r="434" spans="1:62" ht="15.75" customHeight="1">
      <c r="A434" s="493" t="s">
        <v>52</v>
      </c>
      <c r="B434" s="497"/>
      <c r="C434" s="719" t="s">
        <v>474</v>
      </c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O434" s="782"/>
      <c r="P434" s="484"/>
      <c r="Q434" s="719"/>
      <c r="R434" s="719"/>
      <c r="T434" s="719"/>
      <c r="U434" s="719"/>
      <c r="V434" s="585" t="s">
        <v>52</v>
      </c>
      <c r="W434" s="290" t="s">
        <v>151</v>
      </c>
      <c r="X434" s="757"/>
      <c r="Y434" s="757"/>
      <c r="Z434" s="758">
        <v>4693.4716422992187</v>
      </c>
      <c r="AA434" s="757"/>
      <c r="AB434" s="757"/>
      <c r="AC434" s="758">
        <v>4693.4716422992187</v>
      </c>
      <c r="AD434" s="765"/>
      <c r="AE434" s="764"/>
      <c r="AF434" s="758">
        <v>5674.51</v>
      </c>
      <c r="AG434" s="759"/>
      <c r="AH434" s="760">
        <v>981.03835770078149</v>
      </c>
      <c r="AI434" s="761">
        <v>0.2090218994527033</v>
      </c>
      <c r="AJ434" s="765"/>
      <c r="AK434" s="757"/>
      <c r="AL434" s="758">
        <v>5057.96</v>
      </c>
      <c r="AM434" s="762"/>
      <c r="AN434" s="760">
        <v>616.55000000000018</v>
      </c>
      <c r="AO434" s="766">
        <v>0.12189697032005002</v>
      </c>
      <c r="AP434" s="719"/>
      <c r="AQ434" s="719"/>
      <c r="AR434" s="719"/>
      <c r="AS434" s="719"/>
      <c r="AT434" s="719"/>
      <c r="AU434" s="719"/>
      <c r="AV434" s="719"/>
      <c r="AW434" s="719"/>
      <c r="AX434" s="719"/>
      <c r="AY434" s="719"/>
      <c r="AZ434" s="719"/>
      <c r="BA434" s="719"/>
      <c r="BB434" s="719"/>
      <c r="BC434" s="719"/>
      <c r="BD434" s="719"/>
      <c r="BE434" s="719"/>
      <c r="BF434" s="719"/>
      <c r="BG434" s="719"/>
      <c r="BH434" s="719"/>
      <c r="BI434" s="719"/>
    </row>
    <row r="435" spans="1:62" ht="15.75" customHeight="1">
      <c r="A435" s="493" t="s">
        <v>53</v>
      </c>
      <c r="B435" s="497"/>
      <c r="C435" s="719" t="s">
        <v>474</v>
      </c>
      <c r="D435" s="719"/>
      <c r="E435" s="719"/>
      <c r="F435" s="719"/>
      <c r="G435" s="719"/>
      <c r="H435" s="719"/>
      <c r="I435" s="719"/>
      <c r="J435" s="719"/>
      <c r="K435" s="719"/>
      <c r="L435" s="498"/>
      <c r="M435" s="781"/>
      <c r="N435" s="730"/>
      <c r="O435" s="781"/>
      <c r="P435" s="484"/>
      <c r="Q435" s="781"/>
      <c r="R435" s="719"/>
      <c r="T435" s="719"/>
      <c r="U435" s="719">
        <v>0</v>
      </c>
      <c r="V435" s="586" t="s">
        <v>53</v>
      </c>
      <c r="W435" s="294" t="s">
        <v>152</v>
      </c>
      <c r="X435" s="741"/>
      <c r="Y435" s="741"/>
      <c r="Z435" s="742">
        <v>24238.994444444445</v>
      </c>
      <c r="AA435" s="741"/>
      <c r="AB435" s="741"/>
      <c r="AC435" s="742">
        <v>24238.994444444445</v>
      </c>
      <c r="AD435" s="768"/>
      <c r="AE435" s="767"/>
      <c r="AF435" s="742">
        <v>20875.199999999997</v>
      </c>
      <c r="AG435" s="743"/>
      <c r="AH435" s="744">
        <v>-3363.7944444444474</v>
      </c>
      <c r="AI435" s="769">
        <v>-0.13877615476806324</v>
      </c>
      <c r="AJ435" s="768"/>
      <c r="AK435" s="741"/>
      <c r="AL435" s="742">
        <v>24875.559999999998</v>
      </c>
      <c r="AM435" s="746"/>
      <c r="AN435" s="744">
        <v>-4000.3600000000006</v>
      </c>
      <c r="AO435" s="747">
        <v>-0.16081487210740184</v>
      </c>
      <c r="AP435" s="719"/>
      <c r="AQ435" s="719"/>
      <c r="AR435" s="719"/>
      <c r="AS435" s="719"/>
      <c r="AT435" s="719"/>
      <c r="AU435" s="719"/>
      <c r="AV435" s="719"/>
      <c r="AW435" s="719"/>
      <c r="AX435" s="719"/>
      <c r="AY435" s="719"/>
      <c r="AZ435" s="719"/>
      <c r="BA435" s="719"/>
      <c r="BB435" s="719"/>
      <c r="BC435" s="719"/>
      <c r="BD435" s="719"/>
      <c r="BE435" s="719"/>
      <c r="BF435" s="719"/>
      <c r="BG435" s="719"/>
      <c r="BH435" s="719"/>
      <c r="BI435" s="719"/>
      <c r="BJ435" s="719"/>
    </row>
    <row r="436" spans="1:62" ht="15.75" customHeight="1">
      <c r="A436" s="493" t="s">
        <v>54</v>
      </c>
      <c r="B436" s="497"/>
      <c r="C436" s="719" t="s">
        <v>474</v>
      </c>
      <c r="D436" s="719"/>
      <c r="E436" s="719"/>
      <c r="F436" s="719"/>
      <c r="G436" s="719"/>
      <c r="H436" s="719"/>
      <c r="I436" s="719"/>
      <c r="J436" s="719"/>
      <c r="K436" s="719"/>
      <c r="L436" s="498"/>
      <c r="M436" s="781"/>
      <c r="N436" s="730"/>
      <c r="O436" s="781"/>
      <c r="P436" s="484"/>
      <c r="Q436" s="781"/>
      <c r="R436" s="719"/>
      <c r="T436" s="719"/>
      <c r="U436" s="719">
        <v>0</v>
      </c>
      <c r="V436" s="585" t="s">
        <v>54</v>
      </c>
      <c r="W436" s="290" t="s">
        <v>153</v>
      </c>
      <c r="X436" s="757"/>
      <c r="Y436" s="757"/>
      <c r="Z436" s="758">
        <v>20034.212666666666</v>
      </c>
      <c r="AA436" s="757"/>
      <c r="AB436" s="757"/>
      <c r="AC436" s="758">
        <v>20034.212666666666</v>
      </c>
      <c r="AD436" s="765"/>
      <c r="AE436" s="764"/>
      <c r="AF436" s="758">
        <v>19298.55</v>
      </c>
      <c r="AG436" s="759"/>
      <c r="AH436" s="760">
        <v>-735.66266666666706</v>
      </c>
      <c r="AI436" s="761">
        <v>-3.6720318332782685E-2</v>
      </c>
      <c r="AJ436" s="765"/>
      <c r="AK436" s="757"/>
      <c r="AL436" s="758">
        <v>17024.350000000002</v>
      </c>
      <c r="AM436" s="762"/>
      <c r="AN436" s="760">
        <v>2274.1999999999971</v>
      </c>
      <c r="AO436" s="766">
        <v>0.13358512953504814</v>
      </c>
      <c r="AP436" s="719"/>
      <c r="AQ436" s="719"/>
      <c r="AR436" s="719"/>
      <c r="AS436" s="719"/>
      <c r="AT436" s="719"/>
      <c r="AU436" s="719"/>
      <c r="AV436" s="719"/>
      <c r="AW436" s="719"/>
      <c r="AX436" s="719"/>
      <c r="AY436" s="719"/>
      <c r="AZ436" s="719"/>
      <c r="BA436" s="719"/>
      <c r="BB436" s="719"/>
      <c r="BC436" s="719"/>
      <c r="BD436" s="719"/>
      <c r="BE436" s="719"/>
      <c r="BF436" s="719"/>
      <c r="BG436" s="719"/>
      <c r="BH436" s="719"/>
      <c r="BI436" s="719"/>
      <c r="BJ436" s="719"/>
    </row>
    <row r="437" spans="1:62" ht="15.75" customHeight="1">
      <c r="A437" s="493" t="s">
        <v>55</v>
      </c>
      <c r="B437" s="497"/>
      <c r="C437" s="719" t="s">
        <v>474</v>
      </c>
      <c r="D437" s="719"/>
      <c r="E437" s="719"/>
      <c r="F437" s="719"/>
      <c r="G437" s="719"/>
      <c r="H437" s="719"/>
      <c r="I437" s="719"/>
      <c r="J437" s="719"/>
      <c r="K437" s="719"/>
      <c r="L437" s="498"/>
      <c r="M437" s="781"/>
      <c r="N437" s="730"/>
      <c r="O437" s="781"/>
      <c r="P437" s="484"/>
      <c r="Q437" s="781"/>
      <c r="R437" s="719"/>
      <c r="T437" s="719"/>
      <c r="U437" s="719">
        <v>0</v>
      </c>
      <c r="V437" s="585" t="s">
        <v>55</v>
      </c>
      <c r="W437" s="290" t="s">
        <v>154</v>
      </c>
      <c r="X437" s="757"/>
      <c r="Y437" s="757"/>
      <c r="Z437" s="758">
        <v>2475.4431250000002</v>
      </c>
      <c r="AA437" s="757"/>
      <c r="AB437" s="757"/>
      <c r="AC437" s="758">
        <v>2475.4431250000002</v>
      </c>
      <c r="AD437" s="765"/>
      <c r="AE437" s="764"/>
      <c r="AF437" s="758">
        <v>4538.55</v>
      </c>
      <c r="AG437" s="759"/>
      <c r="AH437" s="760">
        <v>2063.1068749999999</v>
      </c>
      <c r="AI437" s="761">
        <v>0.83342931783173158</v>
      </c>
      <c r="AJ437" s="765"/>
      <c r="AK437" s="757"/>
      <c r="AL437" s="758">
        <v>2142.3500000000004</v>
      </c>
      <c r="AM437" s="762"/>
      <c r="AN437" s="760">
        <v>2396.1999999999998</v>
      </c>
      <c r="AO437" s="766">
        <v>1.1184913762923889</v>
      </c>
      <c r="AP437" s="719"/>
      <c r="AQ437" s="719"/>
      <c r="AR437" s="719"/>
      <c r="AS437" s="719"/>
      <c r="AT437" s="719"/>
      <c r="AU437" s="719"/>
      <c r="AV437" s="719"/>
      <c r="AW437" s="719"/>
      <c r="AX437" s="719"/>
      <c r="AY437" s="719"/>
      <c r="AZ437" s="719"/>
      <c r="BA437" s="719"/>
      <c r="BB437" s="719"/>
      <c r="BC437" s="719"/>
      <c r="BD437" s="719"/>
      <c r="BE437" s="719"/>
      <c r="BF437" s="719"/>
      <c r="BG437" s="719"/>
      <c r="BH437" s="719"/>
      <c r="BI437" s="719"/>
      <c r="BJ437" s="719"/>
    </row>
    <row r="438" spans="1:62" ht="15.75" customHeight="1">
      <c r="A438" s="493" t="s">
        <v>56</v>
      </c>
      <c r="B438" s="497"/>
      <c r="C438" s="719" t="s">
        <v>474</v>
      </c>
      <c r="D438" s="719"/>
      <c r="E438" s="719"/>
      <c r="F438" s="719"/>
      <c r="G438" s="719"/>
      <c r="H438" s="719"/>
      <c r="I438" s="719"/>
      <c r="J438" s="719"/>
      <c r="K438" s="719"/>
      <c r="L438" s="498"/>
      <c r="M438" s="498"/>
      <c r="N438" s="498"/>
      <c r="O438" s="740"/>
      <c r="P438" s="484"/>
      <c r="Q438" s="740"/>
      <c r="R438" s="719"/>
      <c r="T438" s="719"/>
      <c r="U438" s="719"/>
      <c r="V438" s="585" t="s">
        <v>56</v>
      </c>
      <c r="W438" s="290" t="s">
        <v>155</v>
      </c>
      <c r="X438" s="757"/>
      <c r="Y438" s="757"/>
      <c r="Z438" s="758">
        <v>26609.873755555556</v>
      </c>
      <c r="AA438" s="757"/>
      <c r="AB438" s="757"/>
      <c r="AC438" s="758">
        <v>26609.873755555556</v>
      </c>
      <c r="AD438" s="765"/>
      <c r="AE438" s="764"/>
      <c r="AF438" s="758">
        <v>17831.55</v>
      </c>
      <c r="AG438" s="759"/>
      <c r="AH438" s="760">
        <v>-8778.323755555557</v>
      </c>
      <c r="AI438" s="761">
        <v>-0.3298897182374958</v>
      </c>
      <c r="AJ438" s="765"/>
      <c r="AK438" s="757"/>
      <c r="AL438" s="758">
        <v>17483.2</v>
      </c>
      <c r="AM438" s="762"/>
      <c r="AN438" s="760">
        <v>348.34999999999854</v>
      </c>
      <c r="AO438" s="766">
        <v>1.9924842134162998E-2</v>
      </c>
      <c r="AP438" s="719"/>
      <c r="AQ438" s="719"/>
      <c r="AR438" s="719"/>
      <c r="AS438" s="719"/>
      <c r="AT438" s="719"/>
      <c r="AU438" s="719"/>
      <c r="AV438" s="719"/>
      <c r="AW438" s="719"/>
      <c r="AX438" s="719"/>
      <c r="AY438" s="719"/>
      <c r="AZ438" s="719"/>
      <c r="BA438" s="719"/>
      <c r="BB438" s="719"/>
      <c r="BC438" s="719"/>
      <c r="BD438" s="719"/>
      <c r="BE438" s="719"/>
      <c r="BF438" s="719"/>
      <c r="BG438" s="719"/>
      <c r="BH438" s="719"/>
      <c r="BI438" s="719"/>
      <c r="BJ438" s="719"/>
    </row>
    <row r="439" spans="1:62" ht="15.75" customHeight="1">
      <c r="B439" s="497"/>
      <c r="C439" s="719" t="s">
        <v>474</v>
      </c>
      <c r="D439" s="719"/>
      <c r="E439" s="719"/>
      <c r="F439" s="719"/>
      <c r="G439" s="719"/>
      <c r="H439" s="719"/>
      <c r="I439" s="719"/>
      <c r="J439" s="719"/>
      <c r="K439" s="719"/>
      <c r="M439" s="784"/>
      <c r="N439" s="730"/>
      <c r="O439" s="782"/>
      <c r="P439" s="484"/>
      <c r="Q439" s="719"/>
      <c r="R439" s="719"/>
      <c r="T439" s="719"/>
      <c r="U439" s="719"/>
      <c r="V439" s="687" t="s">
        <v>99</v>
      </c>
      <c r="W439" s="323"/>
      <c r="X439" s="795"/>
      <c r="Y439" s="795"/>
      <c r="Z439" s="796">
        <v>0</v>
      </c>
      <c r="AA439" s="795"/>
      <c r="AB439" s="795"/>
      <c r="AC439" s="796">
        <v>0</v>
      </c>
      <c r="AD439" s="797"/>
      <c r="AE439" s="798"/>
      <c r="AF439" s="796">
        <v>0</v>
      </c>
      <c r="AG439" s="799"/>
      <c r="AH439" s="800">
        <v>0</v>
      </c>
      <c r="AI439" s="801">
        <v>0</v>
      </c>
      <c r="AJ439" s="797"/>
      <c r="AK439" s="795"/>
      <c r="AL439" s="796">
        <v>0</v>
      </c>
      <c r="AM439" s="802"/>
      <c r="AN439" s="800">
        <v>0</v>
      </c>
      <c r="AO439" s="803">
        <v>0</v>
      </c>
      <c r="AP439" s="719"/>
      <c r="AQ439" s="719"/>
      <c r="AR439" s="719"/>
      <c r="AS439" s="719"/>
      <c r="AT439" s="719"/>
      <c r="AU439" s="719"/>
      <c r="AV439" s="719"/>
      <c r="AW439" s="719"/>
      <c r="AX439" s="719"/>
      <c r="AY439" s="719"/>
      <c r="AZ439" s="719"/>
      <c r="BA439" s="719"/>
      <c r="BB439" s="719"/>
      <c r="BC439" s="719"/>
      <c r="BD439" s="719"/>
      <c r="BE439" s="719"/>
      <c r="BF439" s="719"/>
      <c r="BG439" s="719"/>
      <c r="BH439" s="719"/>
      <c r="BI439" s="719"/>
      <c r="BJ439" s="719"/>
    </row>
    <row r="440" spans="1:62" ht="15.75" customHeight="1">
      <c r="A440" s="493" t="s">
        <v>57</v>
      </c>
      <c r="B440" s="497"/>
      <c r="C440" s="719" t="s">
        <v>474</v>
      </c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19"/>
      <c r="P440" s="804"/>
      <c r="Q440" s="805"/>
      <c r="R440" s="719"/>
      <c r="S440" s="719"/>
      <c r="T440" s="719"/>
      <c r="U440" s="719"/>
      <c r="V440" s="585" t="s">
        <v>57</v>
      </c>
      <c r="W440" s="290" t="s">
        <v>156</v>
      </c>
      <c r="X440" s="757"/>
      <c r="Y440" s="764"/>
      <c r="Z440" s="758">
        <v>1872.8201804068096</v>
      </c>
      <c r="AA440" s="757"/>
      <c r="AB440" s="764"/>
      <c r="AC440" s="758">
        <v>1872.8201804068096</v>
      </c>
      <c r="AD440" s="765"/>
      <c r="AE440" s="764"/>
      <c r="AF440" s="758">
        <v>4950.8399999999992</v>
      </c>
      <c r="AG440" s="759"/>
      <c r="AH440" s="760">
        <v>3078.0198195931898</v>
      </c>
      <c r="AI440" s="761">
        <v>1.6435212797229628</v>
      </c>
      <c r="AJ440" s="765"/>
      <c r="AK440" s="757"/>
      <c r="AL440" s="758">
        <v>1555.18</v>
      </c>
      <c r="AM440" s="762"/>
      <c r="AN440" s="760">
        <v>3395.6599999999989</v>
      </c>
      <c r="AO440" s="766">
        <v>2.183451433274604</v>
      </c>
      <c r="AP440" s="719"/>
      <c r="AQ440" s="719"/>
      <c r="AR440" s="719"/>
      <c r="AS440" s="719"/>
      <c r="AT440" s="719"/>
      <c r="AU440" s="719"/>
      <c r="AV440" s="719"/>
      <c r="AW440" s="719"/>
      <c r="AX440" s="719"/>
      <c r="AY440" s="719"/>
      <c r="AZ440" s="719"/>
      <c r="BA440" s="719"/>
      <c r="BB440" s="719"/>
      <c r="BC440" s="719"/>
      <c r="BD440" s="719"/>
      <c r="BE440" s="719"/>
      <c r="BF440" s="719"/>
      <c r="BG440" s="719"/>
      <c r="BH440" s="719"/>
      <c r="BI440" s="719"/>
      <c r="BJ440" s="719"/>
    </row>
    <row r="441" spans="1:62" ht="15.75" customHeight="1">
      <c r="A441" s="493" t="s">
        <v>58</v>
      </c>
      <c r="B441" s="497"/>
      <c r="C441" s="719" t="s">
        <v>474</v>
      </c>
      <c r="D441" s="719"/>
      <c r="E441" s="719"/>
      <c r="F441" s="719"/>
      <c r="G441" s="719"/>
      <c r="H441" s="719"/>
      <c r="I441" s="719"/>
      <c r="J441" s="719"/>
      <c r="K441" s="719"/>
      <c r="L441" s="719"/>
      <c r="M441" s="719"/>
      <c r="N441" s="719"/>
      <c r="O441" s="719"/>
      <c r="Q441" s="805"/>
      <c r="S441" s="719"/>
      <c r="T441" s="719"/>
      <c r="U441" s="719"/>
      <c r="V441" s="585" t="s">
        <v>58</v>
      </c>
      <c r="W441" s="290" t="s">
        <v>157</v>
      </c>
      <c r="X441" s="757"/>
      <c r="Y441" s="757"/>
      <c r="Z441" s="758">
        <v>995.16741157977481</v>
      </c>
      <c r="AA441" s="757"/>
      <c r="AB441" s="757"/>
      <c r="AC441" s="758">
        <v>995.16741157977481</v>
      </c>
      <c r="AD441" s="765"/>
      <c r="AE441" s="764"/>
      <c r="AF441" s="758">
        <v>5498.29</v>
      </c>
      <c r="AG441" s="759"/>
      <c r="AH441" s="760">
        <v>4503.1225884202249</v>
      </c>
      <c r="AI441" s="783">
        <v>4.5249900027089511</v>
      </c>
      <c r="AJ441" s="765"/>
      <c r="AK441" s="757"/>
      <c r="AL441" s="758">
        <v>423.83</v>
      </c>
      <c r="AM441" s="762"/>
      <c r="AN441" s="760">
        <v>5074.46</v>
      </c>
      <c r="AO441" s="766">
        <v>11.972866479484699</v>
      </c>
      <c r="AP441" s="719"/>
      <c r="AQ441" s="719"/>
      <c r="AR441" s="719"/>
      <c r="AS441" s="719"/>
      <c r="AT441" s="719"/>
      <c r="AU441" s="719"/>
      <c r="AV441" s="719"/>
      <c r="AW441" s="719"/>
      <c r="AX441" s="719"/>
      <c r="AY441" s="719"/>
      <c r="AZ441" s="719"/>
      <c r="BA441" s="719"/>
      <c r="BB441" s="719"/>
      <c r="BC441" s="719"/>
      <c r="BD441" s="719"/>
      <c r="BE441" s="719"/>
      <c r="BF441" s="719"/>
      <c r="BG441" s="719"/>
      <c r="BH441" s="719"/>
      <c r="BI441" s="719"/>
      <c r="BJ441" s="719"/>
    </row>
    <row r="442" spans="1:62" ht="15.75" customHeight="1">
      <c r="A442" s="493" t="s">
        <v>59</v>
      </c>
      <c r="B442" s="497"/>
      <c r="C442" s="719" t="s">
        <v>474</v>
      </c>
      <c r="D442" s="719"/>
      <c r="E442" s="719"/>
      <c r="F442" s="719"/>
      <c r="G442" s="719"/>
      <c r="H442" s="719"/>
      <c r="I442" s="719"/>
      <c r="J442" s="719"/>
      <c r="K442" s="719"/>
      <c r="L442" s="719"/>
      <c r="M442" s="719"/>
      <c r="N442" s="719"/>
      <c r="O442" s="719"/>
      <c r="P442" s="804"/>
      <c r="Q442" s="805"/>
      <c r="R442" s="719"/>
      <c r="S442" s="719"/>
      <c r="T442" s="719"/>
      <c r="U442" s="719"/>
      <c r="V442" s="585" t="s">
        <v>59</v>
      </c>
      <c r="W442" s="290" t="s">
        <v>158</v>
      </c>
      <c r="X442" s="757"/>
      <c r="Y442" s="757"/>
      <c r="Z442" s="758">
        <v>2040.2009999999998</v>
      </c>
      <c r="AA442" s="757"/>
      <c r="AB442" s="757"/>
      <c r="AC442" s="758">
        <v>2040.2009999999998</v>
      </c>
      <c r="AD442" s="765"/>
      <c r="AE442" s="764"/>
      <c r="AF442" s="758">
        <v>3359.5299999999997</v>
      </c>
      <c r="AG442" s="759"/>
      <c r="AH442" s="760">
        <v>1319.329</v>
      </c>
      <c r="AI442" s="761">
        <v>0.64666618632183792</v>
      </c>
      <c r="AJ442" s="765"/>
      <c r="AK442" s="757"/>
      <c r="AL442" s="758">
        <v>2648.2200000000003</v>
      </c>
      <c r="AM442" s="762"/>
      <c r="AN442" s="760">
        <v>711.30999999999949</v>
      </c>
      <c r="AO442" s="766">
        <v>0.26859928555784618</v>
      </c>
      <c r="AP442" s="719"/>
      <c r="AQ442" s="719"/>
      <c r="AR442" s="719"/>
      <c r="AS442" s="719"/>
      <c r="AT442" s="719"/>
      <c r="AU442" s="719"/>
      <c r="AV442" s="719"/>
      <c r="AW442" s="719"/>
      <c r="AX442" s="719"/>
      <c r="AY442" s="719"/>
      <c r="AZ442" s="719"/>
      <c r="BA442" s="719"/>
      <c r="BB442" s="719"/>
      <c r="BC442" s="719"/>
      <c r="BD442" s="719"/>
      <c r="BE442" s="719"/>
      <c r="BF442" s="719"/>
      <c r="BG442" s="719"/>
      <c r="BH442" s="719"/>
      <c r="BI442" s="719"/>
      <c r="BJ442" s="719"/>
    </row>
    <row r="443" spans="1:62" ht="15.75" customHeight="1">
      <c r="A443" s="493" t="s">
        <v>60</v>
      </c>
      <c r="B443" s="497"/>
      <c r="C443" s="719" t="s">
        <v>474</v>
      </c>
      <c r="D443" s="719"/>
      <c r="E443" s="719"/>
      <c r="F443" s="719"/>
      <c r="G443" s="719"/>
      <c r="H443" s="719"/>
      <c r="I443" s="719"/>
      <c r="J443" s="719"/>
      <c r="K443" s="719"/>
      <c r="L443" s="719"/>
      <c r="M443" s="719"/>
      <c r="N443" s="719"/>
      <c r="O443" s="719"/>
      <c r="P443" s="719"/>
      <c r="Q443" s="805"/>
      <c r="S443" s="719"/>
      <c r="T443" s="719"/>
      <c r="U443" s="719"/>
      <c r="V443" s="585" t="s">
        <v>60</v>
      </c>
      <c r="W443" s="290" t="s">
        <v>159</v>
      </c>
      <c r="X443" s="757"/>
      <c r="Y443" s="757"/>
      <c r="Z443" s="758">
        <v>942.07664583333337</v>
      </c>
      <c r="AA443" s="757"/>
      <c r="AB443" s="757"/>
      <c r="AC443" s="758">
        <v>942.07664583333337</v>
      </c>
      <c r="AD443" s="765"/>
      <c r="AE443" s="764"/>
      <c r="AF443" s="758">
        <v>603.35</v>
      </c>
      <c r="AG443" s="759"/>
      <c r="AH443" s="760">
        <v>-338.72664583333335</v>
      </c>
      <c r="AI443" s="783">
        <v>-0.35955317152959004</v>
      </c>
      <c r="AJ443" s="765"/>
      <c r="AK443" s="757"/>
      <c r="AL443" s="758">
        <v>673.23</v>
      </c>
      <c r="AM443" s="762"/>
      <c r="AN443" s="760">
        <v>-69.88</v>
      </c>
      <c r="AO443" s="766">
        <v>-0.10379810763037892</v>
      </c>
      <c r="AP443" s="719"/>
      <c r="AQ443" s="719"/>
      <c r="AR443" s="719"/>
      <c r="AS443" s="719"/>
      <c r="AT443" s="719"/>
      <c r="AU443" s="719"/>
      <c r="AV443" s="719"/>
      <c r="AW443" s="719"/>
      <c r="AX443" s="719"/>
      <c r="AY443" s="719"/>
      <c r="AZ443" s="719"/>
      <c r="BA443" s="719"/>
      <c r="BB443" s="719"/>
      <c r="BC443" s="719"/>
      <c r="BD443" s="719"/>
      <c r="BE443" s="719"/>
      <c r="BF443" s="719"/>
      <c r="BG443" s="719"/>
      <c r="BH443" s="719"/>
      <c r="BI443" s="719"/>
      <c r="BJ443" s="719"/>
    </row>
    <row r="444" spans="1:62" ht="15.75" customHeight="1">
      <c r="A444" s="493" t="s">
        <v>61</v>
      </c>
      <c r="B444" s="497"/>
      <c r="C444" s="719" t="s">
        <v>474</v>
      </c>
      <c r="D444" s="719"/>
      <c r="E444" s="719"/>
      <c r="F444" s="719"/>
      <c r="G444" s="719"/>
      <c r="H444" s="719"/>
      <c r="I444" s="719"/>
      <c r="J444" s="719"/>
      <c r="K444" s="719"/>
      <c r="L444" s="719"/>
      <c r="M444" s="719"/>
      <c r="N444" s="719"/>
      <c r="O444" s="719"/>
      <c r="P444" s="719"/>
      <c r="Q444" s="805"/>
      <c r="S444" s="719"/>
      <c r="T444" s="719"/>
      <c r="U444" s="719"/>
      <c r="V444" s="585" t="s">
        <v>61</v>
      </c>
      <c r="W444" s="290" t="s">
        <v>160</v>
      </c>
      <c r="X444" s="757"/>
      <c r="Y444" s="757"/>
      <c r="Z444" s="758">
        <v>502.86585416666657</v>
      </c>
      <c r="AA444" s="757"/>
      <c r="AB444" s="757"/>
      <c r="AC444" s="758">
        <v>502.86585416666657</v>
      </c>
      <c r="AD444" s="765"/>
      <c r="AE444" s="764"/>
      <c r="AF444" s="758">
        <v>57.569999999999965</v>
      </c>
      <c r="AG444" s="759"/>
      <c r="AH444" s="760">
        <v>-445.29585416666657</v>
      </c>
      <c r="AI444" s="761">
        <v>-0.88551618782030217</v>
      </c>
      <c r="AJ444" s="765"/>
      <c r="AK444" s="757"/>
      <c r="AL444" s="758">
        <v>320.27</v>
      </c>
      <c r="AM444" s="762"/>
      <c r="AN444" s="760">
        <v>-262.70000000000005</v>
      </c>
      <c r="AO444" s="766">
        <v>-0.82024541792862293</v>
      </c>
      <c r="AP444" s="719"/>
      <c r="AQ444" s="719"/>
      <c r="AR444" s="719"/>
      <c r="AS444" s="719"/>
      <c r="AT444" s="719"/>
      <c r="AU444" s="719"/>
      <c r="AV444" s="719"/>
      <c r="AW444" s="719"/>
      <c r="AX444" s="719"/>
      <c r="AY444" s="719"/>
      <c r="AZ444" s="719"/>
      <c r="BA444" s="719"/>
      <c r="BB444" s="719"/>
      <c r="BC444" s="719"/>
      <c r="BD444" s="719"/>
      <c r="BE444" s="719"/>
      <c r="BF444" s="719"/>
      <c r="BG444" s="719"/>
      <c r="BH444" s="719"/>
      <c r="BI444" s="719"/>
      <c r="BJ444" s="719"/>
    </row>
    <row r="445" spans="1:62" ht="15.75" customHeight="1">
      <c r="A445" s="493" t="s">
        <v>62</v>
      </c>
      <c r="B445" s="497"/>
      <c r="C445" s="719" t="s">
        <v>474</v>
      </c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19"/>
      <c r="P445" s="719"/>
      <c r="Q445" s="805"/>
      <c r="R445" s="719"/>
      <c r="S445" s="719"/>
      <c r="T445" s="719"/>
      <c r="U445" s="719"/>
      <c r="V445" s="585" t="s">
        <v>62</v>
      </c>
      <c r="W445" s="290" t="s">
        <v>161</v>
      </c>
      <c r="X445" s="757"/>
      <c r="Y445" s="764"/>
      <c r="Z445" s="758">
        <v>2425.729979166666</v>
      </c>
      <c r="AA445" s="757"/>
      <c r="AB445" s="764"/>
      <c r="AC445" s="758">
        <v>2425.729979166666</v>
      </c>
      <c r="AD445" s="765"/>
      <c r="AE445" s="764"/>
      <c r="AF445" s="758">
        <v>836.27</v>
      </c>
      <c r="AG445" s="759"/>
      <c r="AH445" s="760">
        <v>-1589.459979166666</v>
      </c>
      <c r="AI445" s="783">
        <v>-0.65525016915225998</v>
      </c>
      <c r="AJ445" s="765"/>
      <c r="AK445" s="757"/>
      <c r="AL445" s="758">
        <v>3745.05</v>
      </c>
      <c r="AM445" s="762"/>
      <c r="AN445" s="760">
        <v>-2908.78</v>
      </c>
      <c r="AO445" s="766">
        <v>-0.77669991054859078</v>
      </c>
      <c r="AP445" s="719"/>
      <c r="AQ445" s="719"/>
      <c r="AR445" s="719"/>
      <c r="AS445" s="719"/>
      <c r="AT445" s="719"/>
      <c r="AU445" s="719"/>
      <c r="AV445" s="719"/>
      <c r="AW445" s="719"/>
      <c r="AX445" s="719"/>
      <c r="AY445" s="719"/>
      <c r="AZ445" s="719"/>
      <c r="BA445" s="719"/>
      <c r="BB445" s="719"/>
      <c r="BC445" s="719"/>
      <c r="BD445" s="719"/>
      <c r="BE445" s="719"/>
      <c r="BF445" s="719"/>
      <c r="BG445" s="719"/>
      <c r="BH445" s="719"/>
      <c r="BI445" s="719"/>
      <c r="BJ445" s="719"/>
    </row>
    <row r="446" spans="1:62" ht="15.75" customHeight="1">
      <c r="A446" s="493" t="s">
        <v>63</v>
      </c>
      <c r="B446" s="497"/>
      <c r="C446" s="719" t="s">
        <v>474</v>
      </c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19"/>
      <c r="P446" s="719"/>
      <c r="Q446" s="805"/>
      <c r="R446" s="719"/>
      <c r="S446" s="719"/>
      <c r="T446" s="719"/>
      <c r="U446" s="719"/>
      <c r="V446" s="585" t="s">
        <v>63</v>
      </c>
      <c r="W446" s="290" t="s">
        <v>162</v>
      </c>
      <c r="X446" s="757"/>
      <c r="Y446" s="764"/>
      <c r="Z446" s="758">
        <v>3603.9258333333332</v>
      </c>
      <c r="AA446" s="757"/>
      <c r="AB446" s="764"/>
      <c r="AC446" s="758">
        <v>3603.9258333333332</v>
      </c>
      <c r="AD446" s="765"/>
      <c r="AE446" s="764"/>
      <c r="AF446" s="758">
        <v>2060.1</v>
      </c>
      <c r="AG446" s="759"/>
      <c r="AH446" s="760">
        <v>-1543.8258333333333</v>
      </c>
      <c r="AI446" s="761">
        <v>-0.42837336413924537</v>
      </c>
      <c r="AJ446" s="765"/>
      <c r="AK446" s="757"/>
      <c r="AL446" s="758">
        <v>3621.0399999999995</v>
      </c>
      <c r="AM446" s="762"/>
      <c r="AN446" s="760">
        <v>-1560.9399999999996</v>
      </c>
      <c r="AO446" s="766">
        <v>-0.43107505026180321</v>
      </c>
      <c r="AP446" s="719"/>
      <c r="AQ446" s="719"/>
      <c r="AR446" s="719"/>
      <c r="AS446" s="719"/>
      <c r="AT446" s="719"/>
      <c r="AU446" s="719"/>
      <c r="AV446" s="719"/>
      <c r="AW446" s="719"/>
      <c r="AX446" s="719"/>
      <c r="AY446" s="719"/>
      <c r="AZ446" s="719"/>
      <c r="BA446" s="719"/>
      <c r="BB446" s="719"/>
      <c r="BC446" s="719"/>
      <c r="BD446" s="719"/>
      <c r="BE446" s="719"/>
      <c r="BF446" s="719"/>
      <c r="BG446" s="719"/>
      <c r="BH446" s="719"/>
      <c r="BI446" s="719"/>
      <c r="BJ446" s="719"/>
    </row>
    <row r="447" spans="1:62" ht="15.75" customHeight="1">
      <c r="A447" s="493" t="s">
        <v>64</v>
      </c>
      <c r="B447" s="497"/>
      <c r="C447" s="719" t="s">
        <v>474</v>
      </c>
      <c r="D447" s="719"/>
      <c r="E447" s="719"/>
      <c r="F447" s="719"/>
      <c r="G447" s="719"/>
      <c r="H447" s="719"/>
      <c r="I447" s="719"/>
      <c r="J447" s="719"/>
      <c r="K447" s="719"/>
      <c r="L447" s="719"/>
      <c r="M447" s="719"/>
      <c r="N447" s="719"/>
      <c r="O447" s="719"/>
      <c r="P447" s="719"/>
      <c r="Q447" s="805"/>
      <c r="R447" s="719"/>
      <c r="S447" s="719"/>
      <c r="T447" s="719"/>
      <c r="U447" s="719"/>
      <c r="V447" s="585" t="s">
        <v>64</v>
      </c>
      <c r="W447" s="290" t="s">
        <v>163</v>
      </c>
      <c r="X447" s="757"/>
      <c r="Y447" s="764"/>
      <c r="Z447" s="758">
        <v>9583.8504690154659</v>
      </c>
      <c r="AA447" s="757"/>
      <c r="AB447" s="764"/>
      <c r="AC447" s="758">
        <v>9583.8504690154659</v>
      </c>
      <c r="AD447" s="765"/>
      <c r="AE447" s="764"/>
      <c r="AF447" s="742">
        <v>9457.7000000000007</v>
      </c>
      <c r="AG447" s="759"/>
      <c r="AH447" s="760">
        <v>-126.15046901546521</v>
      </c>
      <c r="AI447" s="761">
        <v>-1.3162816909895344E-2</v>
      </c>
      <c r="AJ447" s="765"/>
      <c r="AK447" s="757"/>
      <c r="AL447" s="758">
        <v>6895.21</v>
      </c>
      <c r="AM447" s="762"/>
      <c r="AN447" s="760">
        <v>2562.4900000000007</v>
      </c>
      <c r="AO447" s="766">
        <v>0.3716333512684894</v>
      </c>
      <c r="AP447" s="719"/>
      <c r="AQ447" s="719"/>
      <c r="AR447" s="719"/>
      <c r="AS447" s="719"/>
      <c r="AT447" s="719"/>
      <c r="AU447" s="719"/>
      <c r="AV447" s="719"/>
      <c r="AW447" s="719"/>
      <c r="AX447" s="719"/>
      <c r="AY447" s="719"/>
      <c r="AZ447" s="719"/>
      <c r="BA447" s="719"/>
      <c r="BB447" s="719"/>
      <c r="BC447" s="719"/>
      <c r="BD447" s="719"/>
      <c r="BE447" s="719"/>
      <c r="BF447" s="719"/>
      <c r="BG447" s="719"/>
      <c r="BH447" s="719"/>
      <c r="BI447" s="719"/>
      <c r="BJ447" s="719"/>
    </row>
    <row r="448" spans="1:62" ht="15.75" hidden="1" customHeight="1">
      <c r="A448" s="493" t="s">
        <v>21</v>
      </c>
      <c r="B448" s="497"/>
      <c r="C448" s="719" t="s">
        <v>474</v>
      </c>
      <c r="D448" s="719"/>
      <c r="E448" s="719"/>
      <c r="F448" s="719"/>
      <c r="G448" s="719"/>
      <c r="H448" s="719"/>
      <c r="I448" s="719"/>
      <c r="J448" s="719"/>
      <c r="K448" s="719"/>
      <c r="L448" s="719"/>
      <c r="M448" s="719"/>
      <c r="N448" s="719"/>
      <c r="O448" s="719"/>
      <c r="P448" s="719"/>
      <c r="Q448" s="805"/>
      <c r="R448" s="719"/>
      <c r="S448" s="719"/>
      <c r="T448" s="719"/>
      <c r="U448" s="719"/>
      <c r="V448" s="585" t="s">
        <v>21</v>
      </c>
      <c r="W448" s="290"/>
      <c r="X448" s="757"/>
      <c r="Y448" s="764"/>
      <c r="Z448" s="758">
        <v>0</v>
      </c>
      <c r="AA448" s="757"/>
      <c r="AB448" s="764"/>
      <c r="AC448" s="758">
        <v>0</v>
      </c>
      <c r="AD448" s="765"/>
      <c r="AE448" s="764"/>
      <c r="AF448" s="758">
        <v>0</v>
      </c>
      <c r="AG448" s="759"/>
      <c r="AH448" s="760">
        <v>0</v>
      </c>
      <c r="AI448" s="761">
        <v>0</v>
      </c>
      <c r="AJ448" s="765"/>
      <c r="AK448" s="757"/>
      <c r="AL448" s="758">
        <v>0</v>
      </c>
      <c r="AM448" s="762"/>
      <c r="AN448" s="760">
        <v>0</v>
      </c>
      <c r="AO448" s="766">
        <v>0</v>
      </c>
      <c r="AP448" s="719"/>
      <c r="AQ448" s="719"/>
      <c r="AR448" s="719"/>
      <c r="AS448" s="719"/>
      <c r="AT448" s="719"/>
      <c r="AU448" s="719"/>
      <c r="AV448" s="719"/>
      <c r="AW448" s="719"/>
      <c r="AX448" s="719"/>
      <c r="AY448" s="719"/>
      <c r="AZ448" s="719"/>
      <c r="BA448" s="719"/>
      <c r="BB448" s="719"/>
      <c r="BC448" s="719"/>
      <c r="BD448" s="719"/>
      <c r="BE448" s="719"/>
      <c r="BF448" s="719"/>
      <c r="BG448" s="719"/>
      <c r="BH448" s="719"/>
      <c r="BI448" s="719"/>
      <c r="BJ448" s="719"/>
    </row>
    <row r="449" spans="1:62" ht="15.75" hidden="1" customHeight="1">
      <c r="A449" s="493" t="s">
        <v>21</v>
      </c>
      <c r="B449" s="497"/>
      <c r="C449" s="719" t="s">
        <v>474</v>
      </c>
      <c r="D449" s="719"/>
      <c r="E449" s="719"/>
      <c r="F449" s="719"/>
      <c r="G449" s="719"/>
      <c r="H449" s="719"/>
      <c r="I449" s="719"/>
      <c r="J449" s="719"/>
      <c r="K449" s="719"/>
      <c r="L449" s="719"/>
      <c r="M449" s="719"/>
      <c r="N449" s="719"/>
      <c r="O449" s="719"/>
      <c r="P449" s="719"/>
      <c r="Q449" s="805"/>
      <c r="R449" s="719"/>
      <c r="S449" s="719"/>
      <c r="T449" s="719"/>
      <c r="U449" s="719"/>
      <c r="V449" s="585" t="s">
        <v>21</v>
      </c>
      <c r="W449" s="290"/>
      <c r="X449" s="757"/>
      <c r="Y449" s="764"/>
      <c r="Z449" s="758">
        <v>0</v>
      </c>
      <c r="AA449" s="757"/>
      <c r="AB449" s="764"/>
      <c r="AC449" s="758">
        <v>0</v>
      </c>
      <c r="AD449" s="765"/>
      <c r="AE449" s="764"/>
      <c r="AF449" s="758">
        <v>0</v>
      </c>
      <c r="AG449" s="759"/>
      <c r="AH449" s="760">
        <v>0</v>
      </c>
      <c r="AI449" s="761">
        <v>0</v>
      </c>
      <c r="AJ449" s="765"/>
      <c r="AK449" s="757"/>
      <c r="AL449" s="758">
        <v>0</v>
      </c>
      <c r="AM449" s="762"/>
      <c r="AN449" s="760">
        <v>0</v>
      </c>
      <c r="AO449" s="766">
        <v>0</v>
      </c>
      <c r="AP449" s="719"/>
      <c r="AQ449" s="719"/>
      <c r="AR449" s="719"/>
      <c r="AS449" s="719"/>
      <c r="AT449" s="719"/>
      <c r="AU449" s="719"/>
      <c r="AV449" s="719"/>
      <c r="AW449" s="719"/>
      <c r="AX449" s="719"/>
      <c r="AY449" s="719"/>
      <c r="AZ449" s="719"/>
      <c r="BA449" s="719"/>
      <c r="BB449" s="719"/>
      <c r="BC449" s="719"/>
      <c r="BD449" s="719"/>
      <c r="BE449" s="719"/>
      <c r="BF449" s="719"/>
      <c r="BG449" s="719"/>
      <c r="BH449" s="719"/>
      <c r="BI449" s="719"/>
      <c r="BJ449" s="719"/>
    </row>
    <row r="450" spans="1:62" ht="15.75" hidden="1" customHeight="1">
      <c r="A450" s="493" t="s">
        <v>21</v>
      </c>
      <c r="B450" s="497"/>
      <c r="C450" s="719" t="s">
        <v>474</v>
      </c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19"/>
      <c r="P450" s="804"/>
      <c r="Q450" s="805"/>
      <c r="R450" s="719"/>
      <c r="S450" s="719"/>
      <c r="T450" s="719"/>
      <c r="U450" s="719"/>
      <c r="V450" s="585" t="s">
        <v>21</v>
      </c>
      <c r="W450" s="290"/>
      <c r="X450" s="757"/>
      <c r="Y450" s="764"/>
      <c r="Z450" s="758">
        <v>0</v>
      </c>
      <c r="AA450" s="757"/>
      <c r="AB450" s="764"/>
      <c r="AC450" s="758">
        <v>0</v>
      </c>
      <c r="AD450" s="765"/>
      <c r="AE450" s="764"/>
      <c r="AF450" s="758">
        <v>0</v>
      </c>
      <c r="AG450" s="759"/>
      <c r="AH450" s="760">
        <v>0</v>
      </c>
      <c r="AI450" s="761">
        <v>0</v>
      </c>
      <c r="AJ450" s="765"/>
      <c r="AK450" s="757"/>
      <c r="AL450" s="758">
        <v>0</v>
      </c>
      <c r="AM450" s="762"/>
      <c r="AN450" s="760">
        <v>0</v>
      </c>
      <c r="AO450" s="766">
        <v>0</v>
      </c>
      <c r="AP450" s="719"/>
      <c r="AQ450" s="719"/>
      <c r="AR450" s="719"/>
      <c r="AS450" s="719"/>
      <c r="AT450" s="719"/>
      <c r="AU450" s="719"/>
      <c r="AV450" s="719"/>
      <c r="AW450" s="719"/>
      <c r="AX450" s="719"/>
      <c r="AY450" s="719"/>
      <c r="AZ450" s="719"/>
      <c r="BA450" s="719"/>
      <c r="BB450" s="719"/>
      <c r="BC450" s="719"/>
      <c r="BD450" s="719"/>
      <c r="BE450" s="719"/>
      <c r="BF450" s="719"/>
      <c r="BG450" s="719"/>
      <c r="BH450" s="719"/>
      <c r="BI450" s="719"/>
      <c r="BJ450" s="719"/>
    </row>
    <row r="451" spans="1:62" ht="15.75" customHeight="1">
      <c r="A451" s="493" t="s">
        <v>65</v>
      </c>
      <c r="B451" s="497"/>
      <c r="C451" s="719" t="s">
        <v>474</v>
      </c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19"/>
      <c r="P451" s="719"/>
      <c r="Q451" s="805"/>
      <c r="R451" s="719"/>
      <c r="S451" s="719"/>
      <c r="T451" s="719"/>
      <c r="U451" s="719"/>
      <c r="V451" s="772" t="s">
        <v>65</v>
      </c>
      <c r="W451" s="806"/>
      <c r="X451" s="774">
        <v>0.14442908882328087</v>
      </c>
      <c r="Y451" s="773"/>
      <c r="Z451" s="775">
        <v>110662.88300746793</v>
      </c>
      <c r="AA451" s="774">
        <v>0.14442908882328087</v>
      </c>
      <c r="AB451" s="773"/>
      <c r="AC451" s="775">
        <v>110662.88300746793</v>
      </c>
      <c r="AD451" s="776">
        <v>0.16204745887488106</v>
      </c>
      <c r="AE451" s="773"/>
      <c r="AF451" s="775">
        <v>121523.52000000002</v>
      </c>
      <c r="AG451" s="786"/>
      <c r="AH451" s="335">
        <v>10860.636992532061</v>
      </c>
      <c r="AI451" s="774">
        <v>9.8141641509548835E-2</v>
      </c>
      <c r="AJ451" s="776">
        <v>0.14185649327718963</v>
      </c>
      <c r="AK451" s="774"/>
      <c r="AL451" s="775">
        <v>97275.09</v>
      </c>
      <c r="AM451" s="787"/>
      <c r="AN451" s="778">
        <v>24248.43</v>
      </c>
      <c r="AO451" s="807">
        <v>0.24927687036835433</v>
      </c>
      <c r="AP451" s="719"/>
      <c r="AQ451" s="719"/>
      <c r="AR451" s="719"/>
      <c r="AS451" s="719"/>
      <c r="AT451" s="719"/>
      <c r="AU451" s="719"/>
      <c r="AV451" s="719"/>
      <c r="AW451" s="719"/>
      <c r="AX451" s="719"/>
      <c r="AY451" s="719"/>
      <c r="AZ451" s="719"/>
      <c r="BA451" s="719"/>
      <c r="BB451" s="719"/>
      <c r="BC451" s="719"/>
      <c r="BD451" s="719"/>
      <c r="BE451" s="719"/>
      <c r="BF451" s="719"/>
      <c r="BG451" s="719"/>
      <c r="BH451" s="719"/>
      <c r="BI451" s="719"/>
      <c r="BJ451" s="719"/>
    </row>
    <row r="452" spans="1:62" ht="15.75" customHeight="1">
      <c r="A452" s="493" t="s">
        <v>164</v>
      </c>
      <c r="B452" s="497"/>
      <c r="C452" s="719" t="s">
        <v>474</v>
      </c>
      <c r="D452" s="719"/>
      <c r="E452" s="719"/>
      <c r="F452" s="719"/>
      <c r="G452" s="719"/>
      <c r="H452" s="719"/>
      <c r="I452" s="719"/>
      <c r="J452" s="719"/>
      <c r="K452" s="719"/>
      <c r="L452" s="719"/>
      <c r="M452" s="719"/>
      <c r="N452" s="719"/>
      <c r="O452" s="719"/>
      <c r="P452" s="719"/>
      <c r="Q452" s="719"/>
      <c r="R452" s="719"/>
      <c r="S452" s="719"/>
      <c r="T452" s="719"/>
      <c r="U452" s="719"/>
      <c r="V452" s="585" t="s">
        <v>164</v>
      </c>
      <c r="W452" s="290" t="s">
        <v>165</v>
      </c>
      <c r="X452" s="757"/>
      <c r="Y452" s="764"/>
      <c r="Z452" s="758">
        <v>26000</v>
      </c>
      <c r="AA452" s="757"/>
      <c r="AB452" s="764"/>
      <c r="AC452" s="758">
        <v>26000</v>
      </c>
      <c r="AD452" s="765"/>
      <c r="AE452" s="764"/>
      <c r="AF452" s="758">
        <v>26000</v>
      </c>
      <c r="AG452" s="759"/>
      <c r="AH452" s="760">
        <v>0</v>
      </c>
      <c r="AI452" s="761">
        <v>0</v>
      </c>
      <c r="AJ452" s="765"/>
      <c r="AK452" s="757"/>
      <c r="AL452" s="758">
        <v>26000</v>
      </c>
      <c r="AM452" s="762"/>
      <c r="AN452" s="760">
        <v>0</v>
      </c>
      <c r="AO452" s="766">
        <v>0</v>
      </c>
      <c r="AP452" s="719"/>
      <c r="AQ452" s="719"/>
      <c r="AR452" s="719"/>
      <c r="AS452" s="719"/>
      <c r="AT452" s="719"/>
      <c r="AU452" s="719"/>
      <c r="AV452" s="719"/>
      <c r="AW452" s="719"/>
      <c r="AX452" s="719"/>
      <c r="AY452" s="719"/>
      <c r="AZ452" s="719"/>
      <c r="BA452" s="719"/>
      <c r="BB452" s="719"/>
      <c r="BC452" s="719"/>
      <c r="BD452" s="719"/>
      <c r="BE452" s="719"/>
      <c r="BF452" s="719"/>
      <c r="BG452" s="719"/>
      <c r="BH452" s="719"/>
      <c r="BI452" s="719"/>
      <c r="BJ452" s="719"/>
    </row>
    <row r="453" spans="1:62" ht="15.75" customHeight="1">
      <c r="A453" s="493" t="s">
        <v>166</v>
      </c>
      <c r="B453" s="497"/>
      <c r="C453" s="719" t="s">
        <v>474</v>
      </c>
      <c r="D453" s="719"/>
      <c r="E453" s="719"/>
      <c r="F453" s="719"/>
      <c r="G453" s="719"/>
      <c r="H453" s="719"/>
      <c r="I453" s="719"/>
      <c r="J453" s="719"/>
      <c r="K453" s="719"/>
      <c r="L453" s="719"/>
      <c r="M453" s="719"/>
      <c r="N453" s="719"/>
      <c r="O453" s="719"/>
      <c r="P453" s="719"/>
      <c r="Q453" s="719"/>
      <c r="R453" s="719"/>
      <c r="S453" s="719"/>
      <c r="T453" s="719"/>
      <c r="U453" s="719"/>
      <c r="V453" s="585" t="s">
        <v>166</v>
      </c>
      <c r="W453" s="290" t="s">
        <v>167</v>
      </c>
      <c r="X453" s="757"/>
      <c r="Y453" s="764"/>
      <c r="Z453" s="758">
        <v>4930.2499999999991</v>
      </c>
      <c r="AA453" s="757"/>
      <c r="AB453" s="764"/>
      <c r="AC453" s="758">
        <v>4930.2499999999991</v>
      </c>
      <c r="AD453" s="765"/>
      <c r="AE453" s="764"/>
      <c r="AF453" s="758">
        <v>4930</v>
      </c>
      <c r="AG453" s="759"/>
      <c r="AH453" s="760">
        <v>-0.24999999999909051</v>
      </c>
      <c r="AI453" s="761">
        <v>-5.0707367780354051E-5</v>
      </c>
      <c r="AJ453" s="765"/>
      <c r="AK453" s="757"/>
      <c r="AL453" s="758">
        <v>4810</v>
      </c>
      <c r="AM453" s="762"/>
      <c r="AN453" s="760">
        <v>120</v>
      </c>
      <c r="AO453" s="766">
        <v>2.4948024948024949E-2</v>
      </c>
      <c r="AP453" s="719"/>
      <c r="AQ453" s="719"/>
      <c r="AR453" s="719"/>
      <c r="AS453" s="719"/>
      <c r="AT453" s="719"/>
      <c r="AU453" s="719"/>
      <c r="AV453" s="719"/>
      <c r="AW453" s="719"/>
      <c r="AX453" s="719"/>
      <c r="AY453" s="719"/>
      <c r="AZ453" s="719"/>
      <c r="BA453" s="719"/>
      <c r="BB453" s="719"/>
      <c r="BC453" s="719"/>
      <c r="BD453" s="719"/>
      <c r="BE453" s="719"/>
      <c r="BF453" s="719"/>
      <c r="BG453" s="719"/>
      <c r="BH453" s="719"/>
      <c r="BI453" s="719"/>
      <c r="BJ453" s="719"/>
    </row>
    <row r="454" spans="1:62" ht="15.75" customHeight="1">
      <c r="A454" s="493" t="s">
        <v>168</v>
      </c>
      <c r="B454" s="497"/>
      <c r="C454" s="719" t="s">
        <v>474</v>
      </c>
      <c r="D454" s="719"/>
      <c r="E454" s="719"/>
      <c r="F454" s="719"/>
      <c r="G454" s="719"/>
      <c r="H454" s="719"/>
      <c r="I454" s="719"/>
      <c r="J454" s="719"/>
      <c r="K454" s="719"/>
      <c r="L454" s="719"/>
      <c r="M454" s="719"/>
      <c r="N454" s="719"/>
      <c r="O454" s="719"/>
      <c r="P454" s="719"/>
      <c r="Q454" s="719"/>
      <c r="R454" s="719"/>
      <c r="S454" s="719"/>
      <c r="T454" s="719"/>
      <c r="U454" s="719"/>
      <c r="V454" s="586" t="s">
        <v>168</v>
      </c>
      <c r="W454" s="294" t="s">
        <v>169</v>
      </c>
      <c r="X454" s="741"/>
      <c r="Y454" s="767"/>
      <c r="Z454" s="742">
        <v>3279.9999999999995</v>
      </c>
      <c r="AA454" s="741"/>
      <c r="AB454" s="767"/>
      <c r="AC454" s="742">
        <v>3279.9999999999995</v>
      </c>
      <c r="AD454" s="768"/>
      <c r="AE454" s="767"/>
      <c r="AF454" s="742">
        <v>3279.9999999999995</v>
      </c>
      <c r="AG454" s="743"/>
      <c r="AH454" s="744">
        <v>0</v>
      </c>
      <c r="AI454" s="769">
        <v>0</v>
      </c>
      <c r="AJ454" s="768"/>
      <c r="AK454" s="741"/>
      <c r="AL454" s="742">
        <v>3200</v>
      </c>
      <c r="AM454" s="746"/>
      <c r="AN454" s="744">
        <v>79.999999999999545</v>
      </c>
      <c r="AO454" s="747">
        <v>2.4999999999999859E-2</v>
      </c>
      <c r="AP454" s="719"/>
      <c r="AQ454" s="719"/>
      <c r="AR454" s="719"/>
      <c r="AS454" s="719"/>
      <c r="AT454" s="719"/>
      <c r="AU454" s="719"/>
      <c r="AV454" s="719"/>
      <c r="AW454" s="719"/>
      <c r="AX454" s="719"/>
      <c r="AY454" s="719"/>
      <c r="AZ454" s="719"/>
      <c r="BA454" s="719"/>
      <c r="BB454" s="719"/>
      <c r="BC454" s="719"/>
      <c r="BD454" s="719"/>
      <c r="BE454" s="719"/>
      <c r="BF454" s="719"/>
      <c r="BG454" s="719"/>
      <c r="BH454" s="719"/>
      <c r="BI454" s="719"/>
      <c r="BJ454" s="719"/>
    </row>
    <row r="455" spans="1:62" ht="15.75" customHeight="1">
      <c r="A455" s="493" t="s">
        <v>170</v>
      </c>
      <c r="B455" s="497"/>
      <c r="C455" s="719" t="s">
        <v>474</v>
      </c>
      <c r="D455" s="719"/>
      <c r="E455" s="719"/>
      <c r="F455" s="719"/>
      <c r="G455" s="719"/>
      <c r="H455" s="719"/>
      <c r="I455" s="719"/>
      <c r="J455" s="719"/>
      <c r="K455" s="719"/>
      <c r="L455" s="719"/>
      <c r="M455" s="719"/>
      <c r="N455" s="719"/>
      <c r="O455" s="719"/>
      <c r="P455" s="719"/>
      <c r="Q455" s="719"/>
      <c r="R455" s="719"/>
      <c r="S455" s="719"/>
      <c r="T455" s="719"/>
      <c r="U455" s="719"/>
      <c r="V455" s="585" t="s">
        <v>170</v>
      </c>
      <c r="W455" s="290"/>
      <c r="X455" s="757"/>
      <c r="Y455" s="764"/>
      <c r="Z455" s="758">
        <v>0</v>
      </c>
      <c r="AA455" s="757"/>
      <c r="AB455" s="764"/>
      <c r="AC455" s="758">
        <v>0</v>
      </c>
      <c r="AD455" s="765"/>
      <c r="AE455" s="764"/>
      <c r="AF455" s="758">
        <v>0</v>
      </c>
      <c r="AG455" s="759"/>
      <c r="AH455" s="760">
        <v>0</v>
      </c>
      <c r="AI455" s="761">
        <v>0</v>
      </c>
      <c r="AJ455" s="765"/>
      <c r="AK455" s="757"/>
      <c r="AL455" s="758">
        <v>0</v>
      </c>
      <c r="AM455" s="762"/>
      <c r="AN455" s="760">
        <v>0</v>
      </c>
      <c r="AO455" s="766">
        <v>0</v>
      </c>
      <c r="AP455" s="719"/>
      <c r="AQ455" s="719"/>
      <c r="AR455" s="719"/>
      <c r="AS455" s="719"/>
      <c r="AT455" s="719"/>
      <c r="AU455" s="719"/>
      <c r="AV455" s="719"/>
      <c r="AW455" s="719"/>
      <c r="AX455" s="719"/>
      <c r="AY455" s="719"/>
      <c r="AZ455" s="719"/>
      <c r="BA455" s="719"/>
      <c r="BB455" s="719"/>
      <c r="BC455" s="719"/>
      <c r="BD455" s="719"/>
      <c r="BE455" s="719"/>
      <c r="BF455" s="719"/>
      <c r="BG455" s="719"/>
      <c r="BH455" s="719"/>
      <c r="BI455" s="719"/>
      <c r="BJ455" s="719"/>
    </row>
    <row r="456" spans="1:62" ht="15.75" customHeight="1">
      <c r="A456" s="493" t="s">
        <v>171</v>
      </c>
      <c r="B456" s="497"/>
      <c r="C456" s="719" t="s">
        <v>474</v>
      </c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19"/>
      <c r="P456" s="719"/>
      <c r="Q456" s="719"/>
      <c r="R456" s="719"/>
      <c r="S456" s="719"/>
      <c r="T456" s="719"/>
      <c r="U456" s="719"/>
      <c r="V456" s="586" t="s">
        <v>171</v>
      </c>
      <c r="W456" s="294" t="s">
        <v>172</v>
      </c>
      <c r="X456" s="741"/>
      <c r="Y456" s="767"/>
      <c r="Z456" s="742">
        <v>4270.5833333333321</v>
      </c>
      <c r="AA456" s="741"/>
      <c r="AB456" s="767"/>
      <c r="AC456" s="742">
        <v>4270.5833333333321</v>
      </c>
      <c r="AD456" s="768"/>
      <c r="AE456" s="767"/>
      <c r="AF456" s="742">
        <v>4271</v>
      </c>
      <c r="AG456" s="743"/>
      <c r="AH456" s="744">
        <v>0.41666666666787933</v>
      </c>
      <c r="AI456" s="769">
        <v>9.7566686830732595E-5</v>
      </c>
      <c r="AJ456" s="768"/>
      <c r="AK456" s="741"/>
      <c r="AL456" s="742">
        <v>3708.11</v>
      </c>
      <c r="AM456" s="746"/>
      <c r="AN456" s="744">
        <v>562.88999999999987</v>
      </c>
      <c r="AO456" s="747">
        <v>0.15179970389227931</v>
      </c>
      <c r="AP456" s="719"/>
      <c r="AQ456" s="719"/>
      <c r="AR456" s="719"/>
      <c r="AS456" s="719"/>
      <c r="AT456" s="719"/>
      <c r="AU456" s="719"/>
      <c r="AV456" s="719"/>
      <c r="AW456" s="719"/>
      <c r="AX456" s="719"/>
      <c r="AY456" s="719"/>
      <c r="AZ456" s="719"/>
      <c r="BA456" s="719"/>
      <c r="BB456" s="719"/>
      <c r="BC456" s="719"/>
      <c r="BD456" s="719"/>
      <c r="BE456" s="719"/>
      <c r="BF456" s="719"/>
      <c r="BG456" s="719"/>
      <c r="BH456" s="719"/>
      <c r="BI456" s="719"/>
      <c r="BJ456" s="719"/>
    </row>
    <row r="457" spans="1:62" ht="15.75" customHeight="1">
      <c r="A457" s="493" t="s">
        <v>173</v>
      </c>
      <c r="B457" s="497"/>
      <c r="C457" s="719" t="s">
        <v>474</v>
      </c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19"/>
      <c r="P457" s="719"/>
      <c r="Q457" s="719"/>
      <c r="R457" s="719"/>
      <c r="S457" s="719"/>
      <c r="T457" s="719"/>
      <c r="U457" s="719"/>
      <c r="V457" s="585" t="s">
        <v>173</v>
      </c>
      <c r="W457" s="290" t="s">
        <v>174</v>
      </c>
      <c r="X457" s="808"/>
      <c r="Y457" s="809"/>
      <c r="Z457" s="758">
        <v>2838.4863750000004</v>
      </c>
      <c r="AA457" s="808"/>
      <c r="AB457" s="809"/>
      <c r="AC457" s="758">
        <v>2838.4863750000004</v>
      </c>
      <c r="AD457" s="765"/>
      <c r="AE457" s="764"/>
      <c r="AF457" s="810">
        <v>3735.32</v>
      </c>
      <c r="AG457" s="759"/>
      <c r="AH457" s="760">
        <v>896.83362499999976</v>
      </c>
      <c r="AI457" s="761">
        <v>0.31595488105874725</v>
      </c>
      <c r="AJ457" s="765"/>
      <c r="AK457" s="757"/>
      <c r="AL457" s="758">
        <v>3411.05</v>
      </c>
      <c r="AM457" s="762"/>
      <c r="AN457" s="760">
        <v>324.27</v>
      </c>
      <c r="AO457" s="766">
        <v>9.5064569560692438E-2</v>
      </c>
      <c r="AP457" s="719"/>
      <c r="AQ457" s="719"/>
      <c r="AR457" s="719"/>
      <c r="AS457" s="719"/>
      <c r="AT457" s="719"/>
      <c r="AU457" s="719"/>
      <c r="AV457" s="719"/>
      <c r="AW457" s="719"/>
      <c r="AX457" s="719"/>
      <c r="AY457" s="719"/>
      <c r="AZ457" s="719"/>
      <c r="BA457" s="719"/>
      <c r="BB457" s="719"/>
      <c r="BC457" s="719"/>
      <c r="BD457" s="719"/>
      <c r="BE457" s="719"/>
      <c r="BF457" s="719"/>
      <c r="BG457" s="719"/>
      <c r="BH457" s="719"/>
      <c r="BI457" s="719"/>
      <c r="BJ457" s="719"/>
    </row>
    <row r="458" spans="1:62" ht="15.75" customHeight="1">
      <c r="A458" s="493" t="s">
        <v>175</v>
      </c>
      <c r="B458" s="497"/>
      <c r="C458" s="719" t="s">
        <v>474</v>
      </c>
      <c r="D458" s="719"/>
      <c r="E458" s="719"/>
      <c r="F458" s="719"/>
      <c r="G458" s="719"/>
      <c r="H458" s="719"/>
      <c r="I458" s="719"/>
      <c r="J458" s="719"/>
      <c r="K458" s="719"/>
      <c r="L458" s="719"/>
      <c r="M458" s="719"/>
      <c r="N458" s="719"/>
      <c r="O458" s="719"/>
      <c r="P458" s="719"/>
      <c r="Q458" s="719"/>
      <c r="R458" s="719"/>
      <c r="S458" s="719"/>
      <c r="T458" s="719"/>
      <c r="U458" s="719"/>
      <c r="V458" s="585" t="s">
        <v>175</v>
      </c>
      <c r="W458" s="290" t="s">
        <v>176</v>
      </c>
      <c r="X458" s="757"/>
      <c r="Y458" s="764"/>
      <c r="Z458" s="758">
        <v>6122.833333333333</v>
      </c>
      <c r="AA458" s="757"/>
      <c r="AB458" s="764"/>
      <c r="AC458" s="758">
        <v>6122.833333333333</v>
      </c>
      <c r="AD458" s="765"/>
      <c r="AE458" s="764"/>
      <c r="AF458" s="758">
        <v>6123.33</v>
      </c>
      <c r="AG458" s="759"/>
      <c r="AH458" s="760">
        <v>0.49666666666689707</v>
      </c>
      <c r="AI458" s="761">
        <v>8.1117129869106967E-5</v>
      </c>
      <c r="AJ458" s="765"/>
      <c r="AK458" s="757"/>
      <c r="AL458" s="758">
        <v>7136.19</v>
      </c>
      <c r="AM458" s="762"/>
      <c r="AN458" s="760">
        <v>-1012.8599999999997</v>
      </c>
      <c r="AO458" s="766">
        <v>-0.14193288015033229</v>
      </c>
      <c r="AP458" s="719"/>
      <c r="AQ458" s="719"/>
      <c r="AR458" s="719"/>
      <c r="AS458" s="719"/>
      <c r="AT458" s="719"/>
      <c r="AU458" s="719"/>
      <c r="AV458" s="719"/>
      <c r="AW458" s="719"/>
      <c r="AX458" s="719"/>
      <c r="AY458" s="719"/>
      <c r="AZ458" s="719"/>
      <c r="BA458" s="719"/>
      <c r="BB458" s="719"/>
      <c r="BC458" s="719"/>
      <c r="BD458" s="719"/>
      <c r="BE458" s="719"/>
      <c r="BF458" s="719"/>
      <c r="BG458" s="719"/>
      <c r="BH458" s="719"/>
      <c r="BI458" s="719"/>
      <c r="BJ458" s="719"/>
    </row>
    <row r="459" spans="1:62" ht="15.75" customHeight="1">
      <c r="A459" s="493" t="s">
        <v>177</v>
      </c>
      <c r="B459" s="497"/>
      <c r="C459" s="719" t="s">
        <v>474</v>
      </c>
      <c r="D459" s="719"/>
      <c r="E459" s="719"/>
      <c r="F459" s="719"/>
      <c r="G459" s="719"/>
      <c r="H459" s="719"/>
      <c r="I459" s="719"/>
      <c r="J459" s="719"/>
      <c r="K459" s="719"/>
      <c r="L459" s="719"/>
      <c r="M459" s="719"/>
      <c r="N459" s="719"/>
      <c r="O459" s="719"/>
      <c r="P459" s="719"/>
      <c r="Q459" s="719"/>
      <c r="R459" s="719"/>
      <c r="S459" s="719"/>
      <c r="T459" s="719"/>
      <c r="U459" s="719"/>
      <c r="V459" s="586" t="s">
        <v>177</v>
      </c>
      <c r="W459" s="294" t="s">
        <v>178</v>
      </c>
      <c r="X459" s="741"/>
      <c r="Y459" s="767"/>
      <c r="Z459" s="742">
        <v>1188.8599166666665</v>
      </c>
      <c r="AA459" s="741"/>
      <c r="AB459" s="767"/>
      <c r="AC459" s="742">
        <v>1188.8599166666665</v>
      </c>
      <c r="AD459" s="768"/>
      <c r="AE459" s="767"/>
      <c r="AF459" s="742">
        <v>1216.69</v>
      </c>
      <c r="AG459" s="743"/>
      <c r="AH459" s="744">
        <v>27.830083333333505</v>
      </c>
      <c r="AI459" s="769">
        <v>2.3409051767313074E-2</v>
      </c>
      <c r="AJ459" s="768"/>
      <c r="AK459" s="741"/>
      <c r="AL459" s="742">
        <v>856.63</v>
      </c>
      <c r="AM459" s="746"/>
      <c r="AN459" s="744">
        <v>360.06000000000006</v>
      </c>
      <c r="AO459" s="747">
        <v>0.42032149235959521</v>
      </c>
      <c r="AP459" s="719"/>
      <c r="AQ459" s="719"/>
      <c r="AR459" s="719"/>
      <c r="AS459" s="719"/>
      <c r="AT459" s="719"/>
      <c r="AU459" s="719"/>
      <c r="AV459" s="719"/>
      <c r="AW459" s="719"/>
      <c r="AX459" s="719"/>
      <c r="AY459" s="719"/>
      <c r="AZ459" s="719"/>
      <c r="BA459" s="719"/>
      <c r="BB459" s="719"/>
      <c r="BC459" s="719"/>
      <c r="BD459" s="719"/>
      <c r="BE459" s="719"/>
      <c r="BF459" s="719"/>
      <c r="BG459" s="719"/>
      <c r="BH459" s="719"/>
      <c r="BI459" s="719"/>
      <c r="BJ459" s="719"/>
    </row>
    <row r="460" spans="1:62" ht="15.75" customHeight="1">
      <c r="A460" s="493" t="s">
        <v>179</v>
      </c>
      <c r="B460" s="497"/>
      <c r="C460" s="719" t="s">
        <v>474</v>
      </c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19"/>
      <c r="P460" s="719"/>
      <c r="Q460" s="719"/>
      <c r="R460" s="719"/>
      <c r="S460" s="719"/>
      <c r="T460" s="719"/>
      <c r="U460" s="811"/>
      <c r="V460" s="585" t="s">
        <v>179</v>
      </c>
      <c r="W460" s="290" t="s">
        <v>180</v>
      </c>
      <c r="X460" s="757"/>
      <c r="Y460" s="764"/>
      <c r="Z460" s="758">
        <v>230.625</v>
      </c>
      <c r="AA460" s="757"/>
      <c r="AB460" s="764"/>
      <c r="AC460" s="758">
        <v>230.625</v>
      </c>
      <c r="AD460" s="765"/>
      <c r="AE460" s="764"/>
      <c r="AF460" s="758">
        <v>0</v>
      </c>
      <c r="AG460" s="759"/>
      <c r="AH460" s="760">
        <v>-230.625</v>
      </c>
      <c r="AI460" s="812">
        <v>-1</v>
      </c>
      <c r="AJ460" s="757"/>
      <c r="AK460" s="757"/>
      <c r="AL460" s="758">
        <v>0</v>
      </c>
      <c r="AM460" s="762"/>
      <c r="AN460" s="760">
        <v>0</v>
      </c>
      <c r="AO460" s="766">
        <v>0</v>
      </c>
      <c r="AP460" s="719"/>
      <c r="AQ460" s="719"/>
      <c r="AR460" s="719"/>
      <c r="AS460" s="719"/>
      <c r="AT460" s="719"/>
      <c r="AU460" s="719"/>
      <c r="AV460" s="719"/>
      <c r="AW460" s="719"/>
      <c r="AX460" s="719"/>
      <c r="AY460" s="719"/>
      <c r="AZ460" s="719"/>
      <c r="BA460" s="719"/>
      <c r="BB460" s="719"/>
      <c r="BC460" s="719"/>
      <c r="BD460" s="719"/>
      <c r="BE460" s="719"/>
      <c r="BF460" s="719"/>
      <c r="BG460" s="719"/>
      <c r="BH460" s="719"/>
      <c r="BI460" s="719"/>
      <c r="BJ460" s="719"/>
    </row>
    <row r="461" spans="1:62" ht="15.75" customHeight="1">
      <c r="A461" s="493" t="s">
        <v>181</v>
      </c>
      <c r="B461" s="497"/>
      <c r="C461" s="719" t="s">
        <v>474</v>
      </c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19"/>
      <c r="P461" s="719"/>
      <c r="Q461" s="719"/>
      <c r="R461" s="719"/>
      <c r="S461" s="719"/>
      <c r="T461" s="719"/>
      <c r="U461" s="811"/>
      <c r="V461" s="585" t="s">
        <v>181</v>
      </c>
      <c r="W461" s="290" t="s">
        <v>182</v>
      </c>
      <c r="X461" s="757"/>
      <c r="Y461" s="764"/>
      <c r="Z461" s="758">
        <v>0</v>
      </c>
      <c r="AA461" s="757"/>
      <c r="AB461" s="764"/>
      <c r="AC461" s="758">
        <v>0</v>
      </c>
      <c r="AD461" s="765"/>
      <c r="AE461" s="764"/>
      <c r="AF461" s="758">
        <v>0</v>
      </c>
      <c r="AG461" s="759"/>
      <c r="AH461" s="760">
        <v>0</v>
      </c>
      <c r="AI461" s="783">
        <v>0</v>
      </c>
      <c r="AJ461" s="757"/>
      <c r="AK461" s="757"/>
      <c r="AL461" s="758">
        <v>0</v>
      </c>
      <c r="AM461" s="762"/>
      <c r="AN461" s="760">
        <v>0</v>
      </c>
      <c r="AO461" s="766">
        <v>0</v>
      </c>
      <c r="AP461" s="719"/>
      <c r="AQ461" s="719"/>
      <c r="AR461" s="719"/>
      <c r="AS461" s="719"/>
      <c r="AT461" s="719"/>
      <c r="AU461" s="719"/>
      <c r="AV461" s="719"/>
      <c r="AW461" s="719"/>
      <c r="AX461" s="719"/>
      <c r="AY461" s="719"/>
      <c r="AZ461" s="719"/>
      <c r="BA461" s="719"/>
      <c r="BB461" s="719"/>
      <c r="BC461" s="719"/>
      <c r="BD461" s="719"/>
      <c r="BE461" s="719"/>
      <c r="BF461" s="719"/>
      <c r="BG461" s="719"/>
      <c r="BH461" s="719"/>
      <c r="BI461" s="719"/>
      <c r="BJ461" s="719"/>
    </row>
    <row r="462" spans="1:62" ht="15.75" hidden="1" customHeight="1">
      <c r="A462" s="493" t="s">
        <v>21</v>
      </c>
      <c r="B462" s="497"/>
      <c r="C462" s="719" t="s">
        <v>474</v>
      </c>
      <c r="D462" s="719"/>
      <c r="E462" s="719"/>
      <c r="F462" s="719"/>
      <c r="G462" s="719"/>
      <c r="H462" s="719"/>
      <c r="I462" s="719"/>
      <c r="J462" s="719"/>
      <c r="K462" s="719"/>
      <c r="L462" s="719"/>
      <c r="M462" s="719"/>
      <c r="N462" s="719"/>
      <c r="O462" s="719"/>
      <c r="P462" s="719"/>
      <c r="Q462" s="719"/>
      <c r="R462" s="719"/>
      <c r="S462" s="719"/>
      <c r="T462" s="719"/>
      <c r="U462" s="811"/>
      <c r="V462" s="585" t="s">
        <v>21</v>
      </c>
      <c r="W462" s="290"/>
      <c r="X462" s="757"/>
      <c r="Y462" s="764"/>
      <c r="Z462" s="758">
        <v>0</v>
      </c>
      <c r="AA462" s="757"/>
      <c r="AB462" s="764"/>
      <c r="AC462" s="758">
        <v>0</v>
      </c>
      <c r="AD462" s="765"/>
      <c r="AE462" s="764"/>
      <c r="AF462" s="758">
        <v>0</v>
      </c>
      <c r="AG462" s="759"/>
      <c r="AH462" s="760">
        <v>0</v>
      </c>
      <c r="AI462" s="783">
        <v>0</v>
      </c>
      <c r="AJ462" s="757"/>
      <c r="AK462" s="757"/>
      <c r="AL462" s="758">
        <v>0</v>
      </c>
      <c r="AM462" s="762"/>
      <c r="AN462" s="760">
        <v>0</v>
      </c>
      <c r="AO462" s="766">
        <v>1</v>
      </c>
      <c r="AP462" s="719"/>
      <c r="AQ462" s="719"/>
      <c r="AR462" s="719"/>
      <c r="AS462" s="719"/>
      <c r="AT462" s="719"/>
      <c r="AU462" s="719"/>
      <c r="AV462" s="719"/>
      <c r="AW462" s="719"/>
      <c r="AX462" s="719"/>
      <c r="AY462" s="719"/>
      <c r="AZ462" s="719"/>
      <c r="BA462" s="719"/>
      <c r="BB462" s="719"/>
      <c r="BC462" s="719"/>
      <c r="BD462" s="719"/>
      <c r="BE462" s="719"/>
      <c r="BF462" s="719"/>
      <c r="BG462" s="719"/>
      <c r="BH462" s="719"/>
      <c r="BI462" s="719"/>
      <c r="BJ462" s="719"/>
    </row>
    <row r="463" spans="1:62" ht="15.75" hidden="1" customHeight="1">
      <c r="A463" s="493" t="s">
        <v>21</v>
      </c>
      <c r="B463" s="497"/>
      <c r="C463" s="719" t="s">
        <v>474</v>
      </c>
      <c r="D463" s="719"/>
      <c r="E463" s="719"/>
      <c r="F463" s="719"/>
      <c r="G463" s="719"/>
      <c r="H463" s="719"/>
      <c r="I463" s="719"/>
      <c r="J463" s="719"/>
      <c r="K463" s="719"/>
      <c r="L463" s="719"/>
      <c r="M463" s="719"/>
      <c r="N463" s="719"/>
      <c r="O463" s="719"/>
      <c r="P463" s="719"/>
      <c r="Q463" s="719"/>
      <c r="R463" s="719"/>
      <c r="S463" s="719"/>
      <c r="T463" s="719"/>
      <c r="U463" s="811"/>
      <c r="V463" s="585" t="s">
        <v>21</v>
      </c>
      <c r="W463" s="290"/>
      <c r="X463" s="757"/>
      <c r="Y463" s="764"/>
      <c r="Z463" s="758">
        <v>0</v>
      </c>
      <c r="AA463" s="757"/>
      <c r="AB463" s="764"/>
      <c r="AC463" s="758">
        <v>0</v>
      </c>
      <c r="AD463" s="765"/>
      <c r="AE463" s="764"/>
      <c r="AF463" s="758">
        <v>0</v>
      </c>
      <c r="AG463" s="759"/>
      <c r="AH463" s="760">
        <v>0</v>
      </c>
      <c r="AI463" s="783">
        <v>0</v>
      </c>
      <c r="AJ463" s="757"/>
      <c r="AK463" s="757"/>
      <c r="AL463" s="758">
        <v>0</v>
      </c>
      <c r="AM463" s="762"/>
      <c r="AN463" s="760">
        <v>0</v>
      </c>
      <c r="AO463" s="766">
        <v>2</v>
      </c>
      <c r="AP463" s="719"/>
      <c r="AQ463" s="719"/>
      <c r="AR463" s="719"/>
      <c r="AS463" s="719"/>
      <c r="AT463" s="719"/>
      <c r="AU463" s="719"/>
      <c r="AV463" s="719"/>
      <c r="AW463" s="719"/>
      <c r="AX463" s="719"/>
      <c r="AY463" s="719"/>
      <c r="AZ463" s="719"/>
      <c r="BA463" s="719"/>
      <c r="BB463" s="719"/>
      <c r="BC463" s="719"/>
      <c r="BD463" s="719"/>
      <c r="BE463" s="719"/>
      <c r="BF463" s="719"/>
      <c r="BG463" s="719"/>
      <c r="BH463" s="719"/>
      <c r="BI463" s="719"/>
      <c r="BJ463" s="719"/>
    </row>
    <row r="464" spans="1:62" ht="15.75" hidden="1" customHeight="1">
      <c r="A464" s="493" t="s">
        <v>21</v>
      </c>
      <c r="B464" s="497"/>
      <c r="C464" s="719" t="s">
        <v>474</v>
      </c>
      <c r="D464" s="719"/>
      <c r="E464" s="719"/>
      <c r="F464" s="719"/>
      <c r="G464" s="719"/>
      <c r="H464" s="719"/>
      <c r="I464" s="719"/>
      <c r="J464" s="719"/>
      <c r="K464" s="719"/>
      <c r="L464" s="719"/>
      <c r="M464" s="719"/>
      <c r="N464" s="719"/>
      <c r="O464" s="719"/>
      <c r="P464" s="719"/>
      <c r="Q464" s="719"/>
      <c r="R464" s="719"/>
      <c r="S464" s="719"/>
      <c r="T464" s="719"/>
      <c r="U464" s="719"/>
      <c r="V464" s="585" t="s">
        <v>21</v>
      </c>
      <c r="W464" s="290"/>
      <c r="X464" s="757"/>
      <c r="Y464" s="764"/>
      <c r="Z464" s="758">
        <v>0</v>
      </c>
      <c r="AA464" s="757"/>
      <c r="AB464" s="764"/>
      <c r="AC464" s="758">
        <v>0</v>
      </c>
      <c r="AD464" s="765"/>
      <c r="AE464" s="764"/>
      <c r="AF464" s="758">
        <v>0</v>
      </c>
      <c r="AG464" s="759"/>
      <c r="AH464" s="760">
        <v>0</v>
      </c>
      <c r="AI464" s="783">
        <v>0</v>
      </c>
      <c r="AJ464" s="757"/>
      <c r="AK464" s="757"/>
      <c r="AL464" s="758">
        <v>0</v>
      </c>
      <c r="AM464" s="762"/>
      <c r="AN464" s="760">
        <v>0</v>
      </c>
      <c r="AO464" s="766">
        <v>3</v>
      </c>
      <c r="AP464" s="719"/>
      <c r="AQ464" s="719"/>
      <c r="AR464" s="719"/>
      <c r="AS464" s="719"/>
      <c r="AT464" s="719"/>
      <c r="AU464" s="719"/>
      <c r="AV464" s="719"/>
      <c r="AW464" s="719"/>
      <c r="AX464" s="719"/>
      <c r="AY464" s="719"/>
      <c r="AZ464" s="719"/>
      <c r="BA464" s="719"/>
      <c r="BB464" s="719"/>
      <c r="BC464" s="719"/>
      <c r="BD464" s="719"/>
      <c r="BE464" s="719"/>
      <c r="BF464" s="719"/>
      <c r="BG464" s="719"/>
      <c r="BH464" s="719"/>
      <c r="BI464" s="719"/>
      <c r="BJ464" s="719"/>
    </row>
    <row r="465" spans="1:62" ht="15.75" customHeight="1">
      <c r="A465" s="493" t="s">
        <v>183</v>
      </c>
      <c r="B465" s="497"/>
      <c r="C465" s="719" t="s">
        <v>474</v>
      </c>
      <c r="D465" s="719"/>
      <c r="E465" s="719"/>
      <c r="F465" s="719"/>
      <c r="G465" s="719"/>
      <c r="H465" s="719"/>
      <c r="I465" s="719"/>
      <c r="J465" s="719"/>
      <c r="K465" s="719"/>
      <c r="L465" s="719"/>
      <c r="M465" s="719"/>
      <c r="N465" s="719"/>
      <c r="O465" s="719"/>
      <c r="P465" s="719"/>
      <c r="Q465" s="719"/>
      <c r="R465" s="719"/>
      <c r="S465" s="719"/>
      <c r="T465" s="719"/>
      <c r="U465" s="719"/>
      <c r="V465" s="772" t="s">
        <v>183</v>
      </c>
      <c r="W465" s="773"/>
      <c r="X465" s="774">
        <v>6.3770630738572767E-2</v>
      </c>
      <c r="Y465" s="773"/>
      <c r="Z465" s="775">
        <v>48861.637958333333</v>
      </c>
      <c r="AA465" s="774">
        <v>6.3770630738572767E-2</v>
      </c>
      <c r="AB465" s="773"/>
      <c r="AC465" s="775">
        <v>48861.637958333333</v>
      </c>
      <c r="AD465" s="776">
        <v>6.6081684995131992E-2</v>
      </c>
      <c r="AE465" s="773"/>
      <c r="AF465" s="775">
        <v>49556.340000000004</v>
      </c>
      <c r="AG465" s="786"/>
      <c r="AH465" s="813">
        <v>694.70204166666895</v>
      </c>
      <c r="AI465" s="774">
        <v>1.4217739533395805E-2</v>
      </c>
      <c r="AJ465" s="776">
        <v>7.1634699342167096E-2</v>
      </c>
      <c r="AK465" s="774"/>
      <c r="AL465" s="775">
        <v>49121.98</v>
      </c>
      <c r="AM465" s="787"/>
      <c r="AN465" s="778">
        <v>434.35999999999979</v>
      </c>
      <c r="AO465" s="807">
        <v>8.8424774408523386E-3</v>
      </c>
      <c r="AP465" s="719"/>
      <c r="AQ465" s="719"/>
      <c r="AR465" s="719"/>
      <c r="AS465" s="719"/>
      <c r="AT465" s="719"/>
      <c r="AU465" s="719"/>
      <c r="AV465" s="719"/>
      <c r="AW465" s="719"/>
      <c r="AX465" s="719"/>
      <c r="AY465" s="719"/>
      <c r="AZ465" s="719"/>
      <c r="BA465" s="719"/>
      <c r="BB465" s="719"/>
      <c r="BC465" s="719"/>
      <c r="BD465" s="719"/>
      <c r="BE465" s="719"/>
      <c r="BF465" s="719"/>
      <c r="BG465" s="719"/>
      <c r="BH465" s="719"/>
      <c r="BI465" s="719"/>
      <c r="BJ465" s="719"/>
    </row>
    <row r="466" spans="1:62" ht="15.75" customHeight="1">
      <c r="A466" s="493" t="s">
        <v>476</v>
      </c>
      <c r="B466" s="497"/>
      <c r="C466" s="719" t="s">
        <v>474</v>
      </c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19"/>
      <c r="P466" s="719"/>
      <c r="Q466" s="719"/>
      <c r="R466" s="719"/>
      <c r="S466" s="719"/>
      <c r="T466" s="719"/>
      <c r="U466" s="719"/>
      <c r="V466" s="585"/>
      <c r="W466" s="757"/>
      <c r="X466" s="757"/>
      <c r="Y466" s="757"/>
      <c r="Z466" s="814"/>
      <c r="AA466" s="757"/>
      <c r="AB466" s="757"/>
      <c r="AC466" s="814"/>
      <c r="AD466" s="765"/>
      <c r="AE466" s="757"/>
      <c r="AF466" s="814"/>
      <c r="AG466" s="765"/>
      <c r="AH466" s="760">
        <v>0</v>
      </c>
      <c r="AI466" s="761"/>
      <c r="AJ466" s="765"/>
      <c r="AK466" s="757"/>
      <c r="AL466" s="814"/>
      <c r="AM466" s="815"/>
      <c r="AN466" s="760">
        <v>0</v>
      </c>
      <c r="AO466" s="816">
        <v>0</v>
      </c>
      <c r="AP466" s="719"/>
      <c r="AQ466" s="719"/>
      <c r="AR466" s="719"/>
      <c r="AS466" s="719"/>
      <c r="AT466" s="719"/>
      <c r="AU466" s="719"/>
      <c r="AV466" s="719"/>
      <c r="AW466" s="719"/>
      <c r="AX466" s="719"/>
      <c r="AY466" s="719"/>
      <c r="AZ466" s="719"/>
      <c r="BA466" s="719"/>
      <c r="BB466" s="719"/>
      <c r="BC466" s="719"/>
      <c r="BD466" s="719"/>
      <c r="BE466" s="719"/>
      <c r="BF466" s="719"/>
      <c r="BG466" s="719"/>
      <c r="BH466" s="719"/>
      <c r="BI466" s="719"/>
      <c r="BJ466" s="719"/>
    </row>
    <row r="467" spans="1:62" ht="15.75" customHeight="1">
      <c r="A467" s="493" t="s">
        <v>66</v>
      </c>
      <c r="B467" s="497"/>
      <c r="C467" s="719" t="s">
        <v>474</v>
      </c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19"/>
      <c r="P467" s="719"/>
      <c r="Q467" s="719"/>
      <c r="R467" s="719"/>
      <c r="S467" s="719"/>
      <c r="T467" s="719"/>
      <c r="U467" s="719"/>
      <c r="V467" s="772" t="s">
        <v>66</v>
      </c>
      <c r="W467" s="773"/>
      <c r="X467" s="774">
        <v>0.83708164677290275</v>
      </c>
      <c r="Y467" s="773"/>
      <c r="Z467" s="775">
        <v>641379.58010572498</v>
      </c>
      <c r="AA467" s="774">
        <v>0.83708164677290275</v>
      </c>
      <c r="AB467" s="773"/>
      <c r="AC467" s="775">
        <v>641379.58010572498</v>
      </c>
      <c r="AD467" s="776">
        <v>0.83981395271682258</v>
      </c>
      <c r="AE467" s="773"/>
      <c r="AF467" s="775">
        <v>629797.89</v>
      </c>
      <c r="AG467" s="786"/>
      <c r="AH467" s="778">
        <v>-11581.690105724963</v>
      </c>
      <c r="AI467" s="774">
        <v>-1.8057466225874914E-2</v>
      </c>
      <c r="AJ467" s="776">
        <v>0.82503630990587584</v>
      </c>
      <c r="AK467" s="774"/>
      <c r="AL467" s="775">
        <v>565751.19999999995</v>
      </c>
      <c r="AM467" s="787"/>
      <c r="AN467" s="778">
        <v>64046.690000000061</v>
      </c>
      <c r="AO467" s="755">
        <v>0.11320645895227455</v>
      </c>
      <c r="AP467" s="719"/>
      <c r="AQ467" s="719"/>
      <c r="AR467" s="719"/>
      <c r="AS467" s="719"/>
      <c r="AT467" s="719"/>
      <c r="AU467" s="719"/>
      <c r="AV467" s="719"/>
      <c r="AW467" s="719"/>
      <c r="AX467" s="719"/>
      <c r="AY467" s="719"/>
      <c r="AZ467" s="719"/>
      <c r="BA467" s="719"/>
      <c r="BB467" s="719"/>
      <c r="BC467" s="719"/>
      <c r="BD467" s="719"/>
      <c r="BE467" s="719"/>
      <c r="BF467" s="719"/>
      <c r="BG467" s="719"/>
      <c r="BH467" s="719"/>
      <c r="BI467" s="719"/>
      <c r="BJ467" s="719"/>
    </row>
    <row r="468" spans="1:62" ht="15.75" customHeight="1">
      <c r="A468" s="493" t="s">
        <v>184</v>
      </c>
      <c r="B468" s="497"/>
      <c r="C468" s="719" t="s">
        <v>474</v>
      </c>
      <c r="D468" s="719"/>
      <c r="E468" s="719"/>
      <c r="F468" s="719"/>
      <c r="G468" s="719"/>
      <c r="H468" s="719"/>
      <c r="I468" s="719"/>
      <c r="J468" s="719"/>
      <c r="K468" s="719"/>
      <c r="L468" s="719"/>
      <c r="M468" s="719"/>
      <c r="N468" s="719"/>
      <c r="O468" s="719"/>
      <c r="P468" s="719"/>
      <c r="Q468" s="719"/>
      <c r="R468" s="719"/>
      <c r="S468" s="719"/>
      <c r="T468" s="719"/>
      <c r="U468" s="719"/>
      <c r="V468" s="585" t="s">
        <v>184</v>
      </c>
      <c r="W468" s="809"/>
      <c r="X468" s="809"/>
      <c r="Y468" s="757"/>
      <c r="Z468" s="789">
        <v>14968.87</v>
      </c>
      <c r="AA468" s="817"/>
      <c r="AB468" s="818"/>
      <c r="AC468" s="789">
        <v>14968.87</v>
      </c>
      <c r="AD468" s="819"/>
      <c r="AE468" s="818"/>
      <c r="AF468" s="758">
        <v>16441.59</v>
      </c>
      <c r="AG468" s="820"/>
      <c r="AH468" s="760">
        <v>1472.7199999999993</v>
      </c>
      <c r="AI468" s="812">
        <v>9.8385516074359608E-2</v>
      </c>
      <c r="AJ468" s="819"/>
      <c r="AK468" s="817"/>
      <c r="AL468" s="821">
        <v>6192.67</v>
      </c>
      <c r="AM468" s="822"/>
      <c r="AN468" s="760">
        <v>10248.92</v>
      </c>
      <c r="AO468" s="766">
        <v>1.6550082597651741</v>
      </c>
      <c r="AP468" s="719"/>
      <c r="AQ468" s="719"/>
      <c r="AR468" s="719"/>
      <c r="AS468" s="719"/>
      <c r="AT468" s="719"/>
      <c r="AU468" s="719"/>
      <c r="AV468" s="719"/>
      <c r="AW468" s="719"/>
      <c r="AX468" s="719"/>
      <c r="AY468" s="719"/>
      <c r="AZ468" s="719"/>
      <c r="BA468" s="719"/>
      <c r="BB468" s="719"/>
      <c r="BC468" s="719"/>
      <c r="BD468" s="719"/>
      <c r="BE468" s="719"/>
      <c r="BF468" s="719"/>
      <c r="BG468" s="719"/>
      <c r="BH468" s="719"/>
      <c r="BI468" s="719"/>
      <c r="BJ468" s="719"/>
    </row>
    <row r="469" spans="1:62" ht="30" customHeight="1">
      <c r="A469" s="493" t="s">
        <v>70</v>
      </c>
      <c r="B469" s="497"/>
      <c r="C469" s="719" t="s">
        <v>474</v>
      </c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585" t="s">
        <v>70</v>
      </c>
      <c r="W469" s="757"/>
      <c r="X469" s="757"/>
      <c r="Y469" s="757"/>
      <c r="Z469" s="758">
        <v>100420.52877108431</v>
      </c>
      <c r="AA469" s="808"/>
      <c r="AB469" s="809"/>
      <c r="AC469" s="758">
        <v>100420.52877108431</v>
      </c>
      <c r="AD469" s="823"/>
      <c r="AE469" s="809"/>
      <c r="AF469" s="758">
        <v>53351</v>
      </c>
      <c r="AG469" s="824"/>
      <c r="AH469" s="760">
        <v>-47069.528771084311</v>
      </c>
      <c r="AI469" s="783">
        <v>-0.46872416772851921</v>
      </c>
      <c r="AJ469" s="823"/>
      <c r="AK469" s="808"/>
      <c r="AL469" s="825">
        <v>102678</v>
      </c>
      <c r="AM469" s="826"/>
      <c r="AN469" s="760">
        <v>-49327</v>
      </c>
      <c r="AO469" s="766">
        <v>-0.48040476051344982</v>
      </c>
      <c r="AP469" s="719"/>
      <c r="AQ469" s="719"/>
      <c r="AR469" s="719"/>
      <c r="AS469" s="719"/>
      <c r="AT469" s="719"/>
      <c r="AU469" s="719"/>
      <c r="AV469" s="719"/>
      <c r="AW469" s="719"/>
      <c r="AX469" s="719"/>
      <c r="AY469" s="719"/>
      <c r="AZ469" s="719"/>
      <c r="BA469" s="719"/>
      <c r="BB469" s="719"/>
      <c r="BC469" s="719"/>
      <c r="BD469" s="719"/>
      <c r="BE469" s="719"/>
      <c r="BF469" s="719"/>
      <c r="BG469" s="719"/>
      <c r="BH469" s="719"/>
      <c r="BI469" s="719"/>
      <c r="BJ469" s="719"/>
    </row>
    <row r="470" spans="1:62" ht="15.75" customHeight="1">
      <c r="A470" s="493" t="s">
        <v>200</v>
      </c>
      <c r="B470" s="497"/>
      <c r="C470" s="719" t="s">
        <v>474</v>
      </c>
      <c r="D470" s="719"/>
      <c r="E470" s="719"/>
      <c r="F470" s="719"/>
      <c r="G470" s="719"/>
      <c r="H470" s="719"/>
      <c r="I470" s="719"/>
      <c r="J470" s="719"/>
      <c r="K470" s="719"/>
      <c r="L470" s="719"/>
      <c r="M470" s="719"/>
      <c r="N470" s="719"/>
      <c r="O470" s="719"/>
      <c r="P470" s="719"/>
      <c r="Q470" s="719"/>
      <c r="R470" s="719"/>
      <c r="S470" s="719"/>
      <c r="T470" s="719"/>
      <c r="U470" s="719"/>
      <c r="V470" s="585" t="s">
        <v>200</v>
      </c>
      <c r="W470" s="757"/>
      <c r="X470" s="757"/>
      <c r="Y470" s="757"/>
      <c r="Z470" s="758">
        <v>0</v>
      </c>
      <c r="AA470" s="808"/>
      <c r="AB470" s="809"/>
      <c r="AC470" s="758">
        <v>0</v>
      </c>
      <c r="AD470" s="823"/>
      <c r="AE470" s="809"/>
      <c r="AF470" s="758">
        <v>0</v>
      </c>
      <c r="AG470" s="824"/>
      <c r="AH470" s="760">
        <v>0</v>
      </c>
      <c r="AI470" s="783">
        <v>0</v>
      </c>
      <c r="AJ470" s="823"/>
      <c r="AK470" s="808"/>
      <c r="AL470" s="825">
        <v>0</v>
      </c>
      <c r="AM470" s="826"/>
      <c r="AN470" s="760">
        <v>0</v>
      </c>
      <c r="AO470" s="766">
        <v>0</v>
      </c>
      <c r="AP470" s="719"/>
      <c r="AQ470" s="719"/>
      <c r="AR470" s="719"/>
      <c r="AS470" s="719"/>
      <c r="AT470" s="719"/>
      <c r="AU470" s="719"/>
      <c r="AV470" s="719"/>
      <c r="AW470" s="719"/>
      <c r="AX470" s="719"/>
      <c r="AY470" s="719"/>
      <c r="AZ470" s="719"/>
      <c r="BA470" s="719"/>
      <c r="BB470" s="719"/>
      <c r="BC470" s="719"/>
      <c r="BD470" s="719"/>
      <c r="BE470" s="719"/>
      <c r="BF470" s="719"/>
      <c r="BG470" s="719"/>
      <c r="BH470" s="719"/>
      <c r="BI470" s="719"/>
      <c r="BJ470" s="719"/>
    </row>
    <row r="471" spans="1:62" ht="15.75" customHeight="1">
      <c r="A471" s="493" t="s">
        <v>197</v>
      </c>
      <c r="B471" s="497"/>
      <c r="C471" s="719" t="s">
        <v>474</v>
      </c>
      <c r="D471" s="719"/>
      <c r="E471" s="719"/>
      <c r="F471" s="719"/>
      <c r="G471" s="719"/>
      <c r="H471" s="719"/>
      <c r="I471" s="719"/>
      <c r="J471" s="719"/>
      <c r="K471" s="719"/>
      <c r="L471" s="719"/>
      <c r="M471" s="719"/>
      <c r="N471" s="719"/>
      <c r="O471" s="719"/>
      <c r="P471" s="719"/>
      <c r="Q471" s="719"/>
      <c r="R471" s="719"/>
      <c r="S471" s="719"/>
      <c r="T471" s="719"/>
      <c r="U471" s="719"/>
      <c r="V471" s="585" t="s">
        <v>197</v>
      </c>
      <c r="W471" s="757"/>
      <c r="X471" s="757"/>
      <c r="Y471" s="757"/>
      <c r="Z471" s="758">
        <v>0</v>
      </c>
      <c r="AA471" s="808"/>
      <c r="AB471" s="809"/>
      <c r="AC471" s="758">
        <v>0</v>
      </c>
      <c r="AD471" s="823"/>
      <c r="AE471" s="809"/>
      <c r="AF471" s="758">
        <v>0</v>
      </c>
      <c r="AG471" s="824"/>
      <c r="AH471" s="760">
        <v>0</v>
      </c>
      <c r="AI471" s="783">
        <v>0</v>
      </c>
      <c r="AJ471" s="823"/>
      <c r="AK471" s="808"/>
      <c r="AL471" s="825">
        <v>0</v>
      </c>
      <c r="AM471" s="826"/>
      <c r="AN471" s="760">
        <v>0</v>
      </c>
      <c r="AO471" s="766">
        <v>0</v>
      </c>
      <c r="AP471" s="719"/>
      <c r="AQ471" s="719"/>
      <c r="AR471" s="719"/>
      <c r="AS471" s="719"/>
      <c r="AT471" s="719"/>
      <c r="AU471" s="719"/>
      <c r="AV471" s="719"/>
      <c r="AW471" s="719"/>
      <c r="AX471" s="719"/>
      <c r="AY471" s="719"/>
      <c r="AZ471" s="719"/>
      <c r="BA471" s="719"/>
      <c r="BB471" s="719"/>
      <c r="BC471" s="719"/>
      <c r="BD471" s="719"/>
      <c r="BE471" s="719"/>
      <c r="BF471" s="719"/>
      <c r="BG471" s="719"/>
      <c r="BH471" s="719"/>
      <c r="BI471" s="719"/>
      <c r="BJ471" s="719"/>
    </row>
    <row r="472" spans="1:62" ht="15.75" customHeight="1">
      <c r="A472" s="493" t="s">
        <v>69</v>
      </c>
      <c r="B472" s="497"/>
      <c r="C472" s="719" t="s">
        <v>474</v>
      </c>
      <c r="D472" s="719"/>
      <c r="E472" s="719"/>
      <c r="F472" s="719"/>
      <c r="G472" s="719"/>
      <c r="H472" s="719"/>
      <c r="I472" s="719"/>
      <c r="J472" s="719"/>
      <c r="K472" s="719"/>
      <c r="L472" s="719"/>
      <c r="M472" s="719"/>
      <c r="N472" s="719"/>
      <c r="O472" s="719"/>
      <c r="P472" s="719"/>
      <c r="Q472" s="719"/>
      <c r="R472" s="719"/>
      <c r="S472" s="719"/>
      <c r="T472" s="719"/>
      <c r="U472" s="719"/>
      <c r="V472" s="585" t="s">
        <v>69</v>
      </c>
      <c r="W472" s="757"/>
      <c r="X472" s="757"/>
      <c r="Y472" s="757"/>
      <c r="Z472" s="758">
        <v>0</v>
      </c>
      <c r="AA472" s="808"/>
      <c r="AB472" s="809"/>
      <c r="AC472" s="758">
        <v>0</v>
      </c>
      <c r="AD472" s="823"/>
      <c r="AE472" s="809"/>
      <c r="AF472" s="758">
        <v>0</v>
      </c>
      <c r="AG472" s="824"/>
      <c r="AH472" s="760">
        <v>0</v>
      </c>
      <c r="AI472" s="783">
        <v>0</v>
      </c>
      <c r="AJ472" s="823"/>
      <c r="AK472" s="808"/>
      <c r="AL472" s="825">
        <v>0</v>
      </c>
      <c r="AM472" s="826"/>
      <c r="AN472" s="760">
        <v>0</v>
      </c>
      <c r="AO472" s="766">
        <v>0</v>
      </c>
      <c r="AP472" s="719"/>
      <c r="AQ472" s="719"/>
      <c r="AR472" s="719"/>
      <c r="AS472" s="719"/>
      <c r="AT472" s="719"/>
      <c r="AU472" s="719"/>
      <c r="AV472" s="719"/>
      <c r="AW472" s="719"/>
      <c r="AX472" s="719"/>
      <c r="AY472" s="719"/>
      <c r="AZ472" s="719"/>
      <c r="BA472" s="719"/>
      <c r="BB472" s="719"/>
      <c r="BC472" s="719"/>
      <c r="BD472" s="719"/>
      <c r="BE472" s="719"/>
      <c r="BF472" s="719"/>
      <c r="BG472" s="719"/>
      <c r="BH472" s="719"/>
      <c r="BI472" s="719"/>
      <c r="BJ472" s="719"/>
    </row>
    <row r="473" spans="1:62" ht="15.75" customHeight="1">
      <c r="A473" s="493" t="s">
        <v>215</v>
      </c>
      <c r="B473" s="497"/>
      <c r="C473" s="719" t="s">
        <v>474</v>
      </c>
      <c r="D473" s="719"/>
      <c r="E473" s="719"/>
      <c r="F473" s="719"/>
      <c r="G473" s="719"/>
      <c r="H473" s="719"/>
      <c r="I473" s="719"/>
      <c r="J473" s="719"/>
      <c r="K473" s="719"/>
      <c r="L473" s="719"/>
      <c r="M473" s="719"/>
      <c r="N473" s="719"/>
      <c r="O473" s="719"/>
      <c r="P473" s="719"/>
      <c r="Q473" s="719"/>
      <c r="R473" s="719"/>
      <c r="S473" s="719"/>
      <c r="T473" s="719"/>
      <c r="U473" s="719"/>
      <c r="V473" s="585" t="s">
        <v>215</v>
      </c>
      <c r="W473" s="757"/>
      <c r="X473" s="757"/>
      <c r="Y473" s="757"/>
      <c r="Z473" s="758">
        <v>0</v>
      </c>
      <c r="AA473" s="808"/>
      <c r="AB473" s="809"/>
      <c r="AC473" s="758">
        <v>0</v>
      </c>
      <c r="AD473" s="823"/>
      <c r="AE473" s="809"/>
      <c r="AF473" s="758">
        <v>0</v>
      </c>
      <c r="AG473" s="824"/>
      <c r="AH473" s="760">
        <v>0</v>
      </c>
      <c r="AI473" s="783">
        <v>0</v>
      </c>
      <c r="AJ473" s="823"/>
      <c r="AK473" s="808"/>
      <c r="AL473" s="825">
        <v>0</v>
      </c>
      <c r="AM473" s="826"/>
      <c r="AN473" s="760">
        <v>0</v>
      </c>
      <c r="AO473" s="766">
        <v>0</v>
      </c>
      <c r="AP473" s="719"/>
      <c r="AQ473" s="719"/>
      <c r="AR473" s="719"/>
      <c r="AS473" s="719"/>
      <c r="AT473" s="719"/>
      <c r="AU473" s="719"/>
      <c r="AV473" s="719"/>
      <c r="AW473" s="719"/>
      <c r="AX473" s="719"/>
      <c r="AY473" s="719"/>
      <c r="AZ473" s="719"/>
      <c r="BA473" s="719"/>
      <c r="BB473" s="719"/>
      <c r="BC473" s="719"/>
      <c r="BD473" s="719"/>
      <c r="BE473" s="719"/>
      <c r="BF473" s="719"/>
      <c r="BG473" s="719"/>
      <c r="BH473" s="719"/>
      <c r="BI473" s="719"/>
      <c r="BJ473" s="719"/>
    </row>
    <row r="474" spans="1:62" ht="15.75" customHeight="1">
      <c r="A474" s="493" t="s">
        <v>82</v>
      </c>
      <c r="B474" s="497"/>
      <c r="C474" s="719" t="s">
        <v>474</v>
      </c>
      <c r="D474" s="719"/>
      <c r="E474" s="719"/>
      <c r="F474" s="719"/>
      <c r="G474" s="719"/>
      <c r="H474" s="719"/>
      <c r="I474" s="719"/>
      <c r="J474" s="719"/>
      <c r="K474" s="719"/>
      <c r="L474" s="719"/>
      <c r="M474" s="719"/>
      <c r="N474" s="719"/>
      <c r="O474" s="719"/>
      <c r="P474" s="719"/>
      <c r="Q474" s="719"/>
      <c r="R474" s="719"/>
      <c r="S474" s="719"/>
      <c r="T474" s="719"/>
      <c r="U474" s="719"/>
      <c r="V474" s="585" t="s">
        <v>82</v>
      </c>
      <c r="W474" s="757"/>
      <c r="X474" s="757"/>
      <c r="Y474" s="757"/>
      <c r="Z474" s="758">
        <v>0</v>
      </c>
      <c r="AA474" s="808"/>
      <c r="AB474" s="809"/>
      <c r="AC474" s="758">
        <v>0</v>
      </c>
      <c r="AD474" s="823"/>
      <c r="AE474" s="809"/>
      <c r="AF474" s="758">
        <v>0</v>
      </c>
      <c r="AG474" s="824"/>
      <c r="AH474" s="760">
        <v>0</v>
      </c>
      <c r="AI474" s="783">
        <v>0</v>
      </c>
      <c r="AJ474" s="823"/>
      <c r="AK474" s="808"/>
      <c r="AL474" s="825">
        <v>0</v>
      </c>
      <c r="AM474" s="826"/>
      <c r="AN474" s="760">
        <v>0</v>
      </c>
      <c r="AO474" s="766">
        <v>0</v>
      </c>
      <c r="AP474" s="719"/>
      <c r="AQ474" s="719"/>
      <c r="AR474" s="719"/>
      <c r="AS474" s="719"/>
      <c r="AT474" s="719"/>
      <c r="AU474" s="719"/>
      <c r="AV474" s="719"/>
      <c r="AW474" s="719"/>
      <c r="AX474" s="719"/>
      <c r="AY474" s="719"/>
      <c r="AZ474" s="719"/>
      <c r="BA474" s="719"/>
      <c r="BB474" s="719"/>
      <c r="BC474" s="719"/>
      <c r="BD474" s="719"/>
      <c r="BE474" s="719"/>
      <c r="BF474" s="719"/>
      <c r="BG474" s="719"/>
      <c r="BH474" s="719"/>
      <c r="BI474" s="719"/>
      <c r="BJ474" s="719"/>
    </row>
    <row r="475" spans="1:62" ht="15.75" customHeight="1">
      <c r="A475" s="493" t="s">
        <v>83</v>
      </c>
      <c r="B475" s="497"/>
      <c r="C475" s="719" t="s">
        <v>474</v>
      </c>
      <c r="D475" s="719"/>
      <c r="E475" s="719"/>
      <c r="F475" s="719"/>
      <c r="G475" s="719"/>
      <c r="H475" s="719"/>
      <c r="I475" s="719"/>
      <c r="J475" s="719"/>
      <c r="K475" s="719"/>
      <c r="L475" s="719"/>
      <c r="M475" s="719"/>
      <c r="N475" s="719"/>
      <c r="O475" s="719"/>
      <c r="P475" s="719"/>
      <c r="Q475" s="719"/>
      <c r="R475" s="719"/>
      <c r="S475" s="719"/>
      <c r="T475" s="719"/>
      <c r="U475" s="719"/>
      <c r="V475" s="585" t="s">
        <v>83</v>
      </c>
      <c r="W475" s="757"/>
      <c r="X475" s="757"/>
      <c r="Y475" s="757"/>
      <c r="Z475" s="758">
        <v>0</v>
      </c>
      <c r="AA475" s="808"/>
      <c r="AB475" s="809"/>
      <c r="AC475" s="758">
        <v>0</v>
      </c>
      <c r="AD475" s="823"/>
      <c r="AE475" s="809"/>
      <c r="AF475" s="758">
        <v>0</v>
      </c>
      <c r="AG475" s="824"/>
      <c r="AH475" s="760">
        <v>0</v>
      </c>
      <c r="AI475" s="783">
        <v>0</v>
      </c>
      <c r="AJ475" s="823"/>
      <c r="AK475" s="808"/>
      <c r="AL475" s="825">
        <v>0</v>
      </c>
      <c r="AM475" s="826"/>
      <c r="AN475" s="760">
        <v>0</v>
      </c>
      <c r="AO475" s="766">
        <v>0</v>
      </c>
      <c r="AP475" s="719"/>
      <c r="AQ475" s="719"/>
      <c r="AR475" s="719"/>
      <c r="AS475" s="719"/>
      <c r="AT475" s="719"/>
      <c r="AU475" s="719"/>
      <c r="AV475" s="719"/>
      <c r="AW475" s="719"/>
      <c r="AX475" s="719"/>
      <c r="AY475" s="719"/>
      <c r="AZ475" s="719"/>
      <c r="BA475" s="719"/>
      <c r="BB475" s="719"/>
      <c r="BC475" s="719"/>
      <c r="BD475" s="719"/>
      <c r="BE475" s="719"/>
      <c r="BF475" s="719"/>
      <c r="BG475" s="719"/>
      <c r="BH475" s="719"/>
      <c r="BI475" s="719"/>
      <c r="BJ475" s="719"/>
    </row>
    <row r="476" spans="1:62" ht="15.75" hidden="1" customHeight="1">
      <c r="A476" s="493" t="s">
        <v>21</v>
      </c>
      <c r="B476" s="497"/>
      <c r="C476" s="719" t="s">
        <v>474</v>
      </c>
      <c r="D476" s="719"/>
      <c r="E476" s="719"/>
      <c r="F476" s="719"/>
      <c r="G476" s="719"/>
      <c r="H476" s="719"/>
      <c r="I476" s="719"/>
      <c r="J476" s="719"/>
      <c r="K476" s="719"/>
      <c r="L476" s="719"/>
      <c r="M476" s="719"/>
      <c r="N476" s="719"/>
      <c r="O476" s="719"/>
      <c r="P476" s="719"/>
      <c r="Q476" s="719"/>
      <c r="R476" s="719"/>
      <c r="S476" s="719"/>
      <c r="T476" s="719"/>
      <c r="U476" s="719"/>
      <c r="V476" s="585" t="s">
        <v>21</v>
      </c>
      <c r="W476" s="757"/>
      <c r="X476" s="757"/>
      <c r="Y476" s="757"/>
      <c r="Z476" s="758">
        <v>0</v>
      </c>
      <c r="AA476" s="808"/>
      <c r="AB476" s="809"/>
      <c r="AC476" s="758">
        <v>0</v>
      </c>
      <c r="AD476" s="823"/>
      <c r="AE476" s="809"/>
      <c r="AF476" s="758">
        <v>0</v>
      </c>
      <c r="AG476" s="824"/>
      <c r="AH476" s="760">
        <v>0</v>
      </c>
      <c r="AI476" s="783">
        <v>0</v>
      </c>
      <c r="AJ476" s="823"/>
      <c r="AK476" s="808"/>
      <c r="AL476" s="825">
        <v>0</v>
      </c>
      <c r="AM476" s="826"/>
      <c r="AN476" s="760">
        <v>0</v>
      </c>
      <c r="AO476" s="766">
        <v>0</v>
      </c>
      <c r="AP476" s="719"/>
      <c r="AQ476" s="719"/>
      <c r="AR476" s="719"/>
      <c r="AS476" s="719"/>
      <c r="AT476" s="719"/>
      <c r="AU476" s="719"/>
      <c r="AV476" s="719"/>
      <c r="AW476" s="719"/>
      <c r="AX476" s="719"/>
      <c r="AY476" s="719"/>
      <c r="AZ476" s="719"/>
      <c r="BA476" s="719"/>
      <c r="BB476" s="719"/>
      <c r="BC476" s="719"/>
      <c r="BD476" s="719"/>
      <c r="BE476" s="719"/>
      <c r="BF476" s="719"/>
      <c r="BG476" s="719"/>
      <c r="BH476" s="719"/>
      <c r="BI476" s="719"/>
      <c r="BJ476" s="719"/>
    </row>
    <row r="477" spans="1:62" ht="15.75" hidden="1" customHeight="1">
      <c r="A477" s="493" t="s">
        <v>21</v>
      </c>
      <c r="B477" s="497"/>
      <c r="C477" s="719" t="s">
        <v>474</v>
      </c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19"/>
      <c r="P477" s="719"/>
      <c r="Q477" s="719"/>
      <c r="R477" s="719"/>
      <c r="S477" s="719"/>
      <c r="T477" s="719"/>
      <c r="U477" s="719"/>
      <c r="V477" s="585" t="s">
        <v>21</v>
      </c>
      <c r="W477" s="757"/>
      <c r="X477" s="757"/>
      <c r="Y477" s="757"/>
      <c r="Z477" s="758">
        <v>0</v>
      </c>
      <c r="AA477" s="808"/>
      <c r="AB477" s="809"/>
      <c r="AC477" s="758">
        <v>0</v>
      </c>
      <c r="AD477" s="823"/>
      <c r="AE477" s="809"/>
      <c r="AF477" s="758">
        <v>0</v>
      </c>
      <c r="AG477" s="824"/>
      <c r="AH477" s="760">
        <v>0</v>
      </c>
      <c r="AI477" s="783">
        <v>0</v>
      </c>
      <c r="AJ477" s="823"/>
      <c r="AK477" s="808"/>
      <c r="AL477" s="825">
        <v>0</v>
      </c>
      <c r="AM477" s="826"/>
      <c r="AN477" s="760">
        <v>0</v>
      </c>
      <c r="AO477" s="766">
        <v>0</v>
      </c>
      <c r="AP477" s="719"/>
      <c r="AQ477" s="719"/>
      <c r="AR477" s="719"/>
      <c r="AS477" s="719"/>
      <c r="AT477" s="719"/>
      <c r="AU477" s="719"/>
      <c r="AV477" s="719"/>
      <c r="AW477" s="719"/>
      <c r="AX477" s="719"/>
      <c r="AY477" s="719"/>
      <c r="AZ477" s="719"/>
      <c r="BA477" s="719"/>
      <c r="BB477" s="719"/>
      <c r="BC477" s="719"/>
      <c r="BD477" s="719"/>
      <c r="BE477" s="719"/>
      <c r="BF477" s="719"/>
      <c r="BG477" s="719"/>
      <c r="BH477" s="719"/>
      <c r="BI477" s="719"/>
      <c r="BJ477" s="719"/>
    </row>
    <row r="478" spans="1:62" ht="15.75" hidden="1" customHeight="1">
      <c r="A478" s="493" t="s">
        <v>21</v>
      </c>
      <c r="B478" s="497"/>
      <c r="C478" s="719" t="s">
        <v>474</v>
      </c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19"/>
      <c r="P478" s="719"/>
      <c r="Q478" s="719"/>
      <c r="R478" s="719"/>
      <c r="S478" s="719"/>
      <c r="T478" s="719"/>
      <c r="U478" s="719"/>
      <c r="V478" s="585" t="s">
        <v>21</v>
      </c>
      <c r="W478" s="757"/>
      <c r="X478" s="757"/>
      <c r="Y478" s="757"/>
      <c r="Z478" s="758">
        <v>0</v>
      </c>
      <c r="AA478" s="808"/>
      <c r="AB478" s="809"/>
      <c r="AC478" s="758">
        <v>0</v>
      </c>
      <c r="AD478" s="823"/>
      <c r="AE478" s="809"/>
      <c r="AF478" s="758">
        <v>0</v>
      </c>
      <c r="AG478" s="824"/>
      <c r="AH478" s="760">
        <v>0</v>
      </c>
      <c r="AI478" s="783">
        <v>0</v>
      </c>
      <c r="AJ478" s="823"/>
      <c r="AK478" s="808"/>
      <c r="AL478" s="825">
        <v>0</v>
      </c>
      <c r="AM478" s="826"/>
      <c r="AN478" s="760">
        <v>0</v>
      </c>
      <c r="AO478" s="766">
        <v>0</v>
      </c>
      <c r="AP478" s="719"/>
      <c r="AQ478" s="719"/>
      <c r="AR478" s="719"/>
      <c r="AS478" s="719"/>
      <c r="AT478" s="719"/>
      <c r="AU478" s="719"/>
      <c r="AV478" s="719"/>
      <c r="AW478" s="719"/>
      <c r="AX478" s="719"/>
      <c r="AY478" s="719"/>
      <c r="AZ478" s="719"/>
      <c r="BA478" s="719"/>
      <c r="BB478" s="719"/>
      <c r="BC478" s="719"/>
      <c r="BD478" s="719"/>
      <c r="BE478" s="719"/>
      <c r="BF478" s="719"/>
      <c r="BG478" s="719"/>
      <c r="BH478" s="719"/>
      <c r="BI478" s="719"/>
      <c r="BJ478" s="719"/>
    </row>
    <row r="479" spans="1:62" ht="15.75" customHeight="1">
      <c r="A479" s="493" t="s">
        <v>71</v>
      </c>
      <c r="B479" s="497"/>
      <c r="C479" s="719" t="s">
        <v>474</v>
      </c>
      <c r="D479" s="719"/>
      <c r="E479" s="719"/>
      <c r="F479" s="719"/>
      <c r="G479" s="719"/>
      <c r="H479" s="719"/>
      <c r="I479" s="719"/>
      <c r="J479" s="719"/>
      <c r="K479" s="719"/>
      <c r="L479" s="719"/>
      <c r="M479" s="719"/>
      <c r="N479" s="719"/>
      <c r="O479" s="719"/>
      <c r="P479" s="719"/>
      <c r="Q479" s="719"/>
      <c r="R479" s="719"/>
      <c r="S479" s="719"/>
      <c r="T479" s="719"/>
      <c r="U479" s="719"/>
      <c r="V479" s="586" t="s">
        <v>71</v>
      </c>
      <c r="W479" s="757"/>
      <c r="X479" s="757"/>
      <c r="Y479" s="757"/>
      <c r="Z479" s="758">
        <v>50884.290621497938</v>
      </c>
      <c r="AA479" s="808"/>
      <c r="AB479" s="809"/>
      <c r="AC479" s="758">
        <v>50884.290621497938</v>
      </c>
      <c r="AD479" s="823">
        <v>71.473684210526315</v>
      </c>
      <c r="AE479" s="809">
        <v>0.91632928475033737</v>
      </c>
      <c r="AF479" s="758">
        <v>28518</v>
      </c>
      <c r="AG479" s="824"/>
      <c r="AH479" s="760">
        <v>-22366.290621497938</v>
      </c>
      <c r="AI479" s="783">
        <v>-0.43955197858351347</v>
      </c>
      <c r="AJ479" s="823"/>
      <c r="AK479" s="808"/>
      <c r="AL479" s="825">
        <v>38988</v>
      </c>
      <c r="AM479" s="826"/>
      <c r="AN479" s="760">
        <v>-10470</v>
      </c>
      <c r="AO479" s="766">
        <v>-0.26854416743613418</v>
      </c>
      <c r="AP479" s="719"/>
      <c r="AQ479" s="719"/>
      <c r="AR479" s="719"/>
      <c r="AS479" s="719"/>
      <c r="AT479" s="719"/>
      <c r="AU479" s="719"/>
      <c r="AV479" s="719"/>
      <c r="AW479" s="719"/>
      <c r="AX479" s="719"/>
      <c r="AY479" s="719"/>
      <c r="AZ479" s="719"/>
      <c r="BA479" s="719"/>
      <c r="BB479" s="719"/>
      <c r="BC479" s="719"/>
      <c r="BD479" s="719"/>
      <c r="BE479" s="719"/>
      <c r="BF479" s="719"/>
      <c r="BG479" s="719"/>
      <c r="BH479" s="719"/>
      <c r="BI479" s="719"/>
      <c r="BJ479" s="719"/>
    </row>
    <row r="480" spans="1:62" ht="15.75" customHeight="1">
      <c r="A480" s="493" t="s">
        <v>185</v>
      </c>
      <c r="B480" s="497"/>
      <c r="C480" s="719" t="s">
        <v>474</v>
      </c>
      <c r="D480" s="719"/>
      <c r="E480" s="719"/>
      <c r="F480" s="719"/>
      <c r="G480" s="719"/>
      <c r="H480" s="719"/>
      <c r="I480" s="719"/>
      <c r="J480" s="719"/>
      <c r="K480" s="719"/>
      <c r="L480" s="719"/>
      <c r="M480" s="719"/>
      <c r="N480" s="719"/>
      <c r="O480" s="719"/>
      <c r="P480" s="719"/>
      <c r="Q480" s="719"/>
      <c r="R480" s="719"/>
      <c r="S480" s="719"/>
      <c r="T480" s="719"/>
      <c r="U480" s="719"/>
      <c r="V480" s="772" t="s">
        <v>185</v>
      </c>
      <c r="W480" s="773"/>
      <c r="X480" s="774">
        <v>0.21700823981456613</v>
      </c>
      <c r="Y480" s="806"/>
      <c r="Z480" s="775">
        <v>166273.68939258225</v>
      </c>
      <c r="AA480" s="774">
        <v>0.21700823981456613</v>
      </c>
      <c r="AB480" s="806"/>
      <c r="AC480" s="775">
        <v>166273.68939258225</v>
      </c>
      <c r="AD480" s="774">
        <v>0.13109381039975052</v>
      </c>
      <c r="AE480" s="806"/>
      <c r="AF480" s="775">
        <v>98310.59</v>
      </c>
      <c r="AG480" s="786"/>
      <c r="AH480" s="778">
        <v>-67963.099392582255</v>
      </c>
      <c r="AI480" s="774">
        <v>-0.40874235509454093</v>
      </c>
      <c r="AJ480" s="827"/>
      <c r="AK480" s="828"/>
      <c r="AL480" s="775">
        <v>147858.66999999998</v>
      </c>
      <c r="AM480" s="829"/>
      <c r="AN480" s="778">
        <v>-49548.079999999987</v>
      </c>
      <c r="AO480" s="807">
        <v>-0.33510432631376974</v>
      </c>
      <c r="AP480" s="719"/>
      <c r="AQ480" s="719"/>
      <c r="AR480" s="719"/>
      <c r="AS480" s="719"/>
      <c r="AT480" s="719"/>
      <c r="AU480" s="719"/>
      <c r="AV480" s="719"/>
      <c r="AW480" s="719"/>
      <c r="AX480" s="719"/>
      <c r="AY480" s="719"/>
      <c r="AZ480" s="719"/>
      <c r="BA480" s="719"/>
      <c r="BB480" s="719"/>
      <c r="BC480" s="719"/>
      <c r="BD480" s="719"/>
      <c r="BE480" s="719"/>
      <c r="BF480" s="719"/>
      <c r="BG480" s="719"/>
      <c r="BH480" s="719"/>
      <c r="BI480" s="719"/>
      <c r="BJ480" s="719"/>
    </row>
    <row r="481" spans="1:62" ht="15.75" customHeight="1" thickBot="1">
      <c r="A481" s="493" t="s">
        <v>476</v>
      </c>
      <c r="B481" s="497"/>
      <c r="C481" s="719" t="s">
        <v>474</v>
      </c>
      <c r="D481" s="719"/>
      <c r="E481" s="719"/>
      <c r="F481" s="719"/>
      <c r="G481" s="719"/>
      <c r="H481" s="719"/>
      <c r="I481" s="719"/>
      <c r="J481" s="719"/>
      <c r="K481" s="719"/>
      <c r="L481" s="719"/>
      <c r="M481" s="719"/>
      <c r="N481" s="719"/>
      <c r="O481" s="719"/>
      <c r="P481" s="719"/>
      <c r="Q481" s="719"/>
      <c r="R481" s="719"/>
      <c r="S481" s="719"/>
      <c r="T481" s="719"/>
      <c r="U481" s="719"/>
      <c r="V481" s="830"/>
      <c r="W481" s="831"/>
      <c r="X481" s="831"/>
      <c r="Y481" s="832"/>
      <c r="Z481" s="833"/>
      <c r="AA481" s="831"/>
      <c r="AB481" s="834"/>
      <c r="AC481" s="833"/>
      <c r="AD481" s="831"/>
      <c r="AE481" s="834"/>
      <c r="AF481" s="835"/>
      <c r="AG481" s="836"/>
      <c r="AH481" s="837"/>
      <c r="AI481" s="838"/>
      <c r="AJ481" s="839"/>
      <c r="AK481" s="840"/>
      <c r="AL481" s="835"/>
      <c r="AM481" s="841"/>
      <c r="AN481" s="837">
        <v>0</v>
      </c>
      <c r="AO481" s="842">
        <v>0</v>
      </c>
      <c r="AP481" s="719"/>
      <c r="AQ481" s="719"/>
      <c r="AR481" s="719"/>
      <c r="AS481" s="719"/>
      <c r="AT481" s="719"/>
      <c r="AU481" s="719"/>
      <c r="AV481" s="719"/>
      <c r="AW481" s="719"/>
      <c r="AX481" s="719"/>
      <c r="AY481" s="719"/>
      <c r="AZ481" s="719"/>
      <c r="BA481" s="719"/>
      <c r="BB481" s="719"/>
      <c r="BC481" s="719"/>
      <c r="BD481" s="719"/>
      <c r="BE481" s="719"/>
      <c r="BF481" s="719"/>
      <c r="BG481" s="719"/>
      <c r="BH481" s="719"/>
      <c r="BI481" s="719"/>
      <c r="BJ481" s="719"/>
    </row>
    <row r="482" spans="1:62" ht="15.75" customHeight="1" thickTop="1" thickBot="1">
      <c r="A482" s="493" t="s">
        <v>186</v>
      </c>
      <c r="B482" s="497"/>
      <c r="C482" s="719" t="s">
        <v>474</v>
      </c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19"/>
      <c r="P482" s="719"/>
      <c r="Q482" s="719"/>
      <c r="R482" s="719"/>
      <c r="S482" s="719"/>
      <c r="T482" s="719"/>
      <c r="U482" s="719"/>
      <c r="V482" s="843" t="s">
        <v>186</v>
      </c>
      <c r="W482" s="844"/>
      <c r="X482" s="374" t="s">
        <v>187</v>
      </c>
      <c r="Y482" s="845">
        <v>4.832714958213688E-2</v>
      </c>
      <c r="Z482" s="846">
        <v>291103.21514690842</v>
      </c>
      <c r="AA482" s="374" t="s">
        <v>187</v>
      </c>
      <c r="AB482" s="845">
        <v>4.832714958213688E-2</v>
      </c>
      <c r="AC482" s="846">
        <v>291103.21514690842</v>
      </c>
      <c r="AD482" s="374" t="s">
        <v>187</v>
      </c>
      <c r="AE482" s="845">
        <v>4.6264851926297243E-2</v>
      </c>
      <c r="AF482" s="847">
        <v>218438.18999999997</v>
      </c>
      <c r="AG482" s="848"/>
      <c r="AH482" s="848">
        <v>-72665.025146908447</v>
      </c>
      <c r="AI482" s="849">
        <v>-0.24961945236584643</v>
      </c>
      <c r="AJ482" s="380" t="s">
        <v>187</v>
      </c>
      <c r="AK482" s="845">
        <v>4.5390026653246179E-2</v>
      </c>
      <c r="AL482" s="847">
        <v>267836.32000000012</v>
      </c>
      <c r="AM482" s="850"/>
      <c r="AN482" s="847">
        <v>-49398.13000000015</v>
      </c>
      <c r="AO482" s="851">
        <v>-0.18443402298836889</v>
      </c>
      <c r="AP482" s="719"/>
      <c r="AQ482" s="719"/>
      <c r="AR482" s="719"/>
      <c r="AS482" s="719"/>
      <c r="AT482" s="719"/>
      <c r="AU482" s="719"/>
      <c r="AV482" s="719"/>
      <c r="AW482" s="719"/>
      <c r="AX482" s="719"/>
      <c r="AY482" s="719"/>
      <c r="AZ482" s="719"/>
      <c r="BA482" s="719"/>
      <c r="BB482" s="719"/>
      <c r="BC482" s="719"/>
      <c r="BD482" s="719"/>
      <c r="BE482" s="719"/>
      <c r="BF482" s="719"/>
      <c r="BG482" s="719"/>
      <c r="BH482" s="719"/>
      <c r="BI482" s="719"/>
      <c r="BJ482" s="719"/>
    </row>
    <row r="483" spans="1:62" ht="15.75" customHeight="1" thickTop="1">
      <c r="A483" s="493" t="s">
        <v>476</v>
      </c>
      <c r="B483" s="497"/>
      <c r="C483" s="719" t="s">
        <v>474</v>
      </c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19"/>
      <c r="P483" s="719"/>
      <c r="Q483" s="719"/>
      <c r="R483" s="719"/>
      <c r="S483" s="719"/>
      <c r="T483" s="719"/>
      <c r="U483" s="719"/>
      <c r="V483" s="496"/>
      <c r="W483" s="496"/>
      <c r="X483" s="496"/>
      <c r="Y483" s="496"/>
      <c r="Z483" s="565"/>
      <c r="AA483" s="504"/>
      <c r="AB483" s="504"/>
      <c r="AC483" s="565"/>
      <c r="AD483" s="504"/>
      <c r="AE483" s="504"/>
      <c r="AF483" s="852"/>
      <c r="AG483" s="504"/>
      <c r="AH483" s="504"/>
      <c r="AI483" s="504"/>
      <c r="AJ483" s="504"/>
      <c r="AK483" s="504"/>
      <c r="AL483" s="565"/>
      <c r="AM483" s="504"/>
      <c r="AN483" s="504"/>
      <c r="AO483" s="504"/>
      <c r="AP483" s="719"/>
      <c r="AQ483" s="719"/>
      <c r="AR483" s="719"/>
      <c r="AS483" s="719"/>
      <c r="AT483" s="719"/>
      <c r="AU483" s="719"/>
      <c r="AV483" s="719"/>
      <c r="AW483" s="719"/>
      <c r="AX483" s="719"/>
      <c r="AY483" s="719"/>
      <c r="AZ483" s="719"/>
      <c r="BA483" s="719"/>
      <c r="BB483" s="719"/>
      <c r="BC483" s="719"/>
      <c r="BD483" s="719"/>
      <c r="BE483" s="719"/>
      <c r="BF483" s="719"/>
      <c r="BG483" s="719"/>
      <c r="BH483" s="719"/>
      <c r="BI483" s="719"/>
      <c r="BJ483" s="719"/>
    </row>
    <row r="484" spans="1:62" ht="35.25" customHeight="1">
      <c r="A484" s="493" t="s">
        <v>228</v>
      </c>
      <c r="B484" s="497"/>
      <c r="C484" s="719" t="s">
        <v>474</v>
      </c>
      <c r="D484" s="719"/>
      <c r="E484" s="719"/>
      <c r="F484" s="719"/>
      <c r="G484" s="719"/>
      <c r="H484" s="719"/>
      <c r="I484" s="719"/>
      <c r="J484" s="719"/>
      <c r="K484" s="719"/>
      <c r="L484" s="719"/>
      <c r="M484" s="719"/>
      <c r="N484" s="719"/>
      <c r="O484" s="719"/>
      <c r="P484" s="719"/>
      <c r="Q484" s="719"/>
      <c r="R484" s="719"/>
      <c r="S484" s="719"/>
      <c r="T484" s="719"/>
      <c r="U484" s="719"/>
      <c r="V484" s="496" t="s">
        <v>228</v>
      </c>
      <c r="W484" s="496"/>
      <c r="X484" s="496"/>
      <c r="Y484" s="496"/>
      <c r="Z484" s="494"/>
      <c r="AA484" s="494"/>
      <c r="AB484" s="496"/>
      <c r="AC484" s="496"/>
      <c r="AD484" s="494"/>
      <c r="AE484" s="3" t="s">
        <v>188</v>
      </c>
      <c r="AF484" s="496"/>
      <c r="AG484" s="496"/>
      <c r="AH484" s="494"/>
      <c r="AI484" s="494"/>
      <c r="AJ484" s="259"/>
      <c r="AK484" s="2"/>
      <c r="AL484" s="494"/>
      <c r="AM484" s="496"/>
      <c r="AN484" s="496"/>
      <c r="AO484" s="5" t="s">
        <v>496</v>
      </c>
      <c r="AP484" s="719"/>
      <c r="AQ484" s="719"/>
      <c r="AR484" s="719"/>
      <c r="AS484" s="719"/>
      <c r="AT484" s="719"/>
      <c r="AU484" s="719"/>
      <c r="AV484" s="719"/>
      <c r="AW484" s="719"/>
      <c r="AX484" s="719"/>
      <c r="AY484" s="719"/>
      <c r="AZ484" s="719"/>
      <c r="BA484" s="719"/>
      <c r="BB484" s="719"/>
      <c r="BC484" s="719"/>
      <c r="BD484" s="719"/>
      <c r="BE484" s="719"/>
      <c r="BF484" s="719"/>
      <c r="BG484" s="719"/>
      <c r="BH484" s="719"/>
      <c r="BI484" s="719"/>
      <c r="BJ484" s="719"/>
    </row>
    <row r="485" spans="1:62" ht="15.75" customHeight="1">
      <c r="A485" s="493" t="s">
        <v>476</v>
      </c>
      <c r="B485" s="497"/>
      <c r="C485" s="719" t="s">
        <v>474</v>
      </c>
      <c r="D485" s="719"/>
      <c r="E485" s="719"/>
      <c r="F485" s="719"/>
      <c r="G485" s="719"/>
      <c r="H485" s="719"/>
      <c r="I485" s="719"/>
      <c r="J485" s="719"/>
      <c r="K485" s="719"/>
      <c r="L485" s="719"/>
      <c r="M485" s="719"/>
      <c r="N485" s="719"/>
      <c r="O485" s="719"/>
      <c r="P485" s="719"/>
      <c r="Q485" s="719"/>
      <c r="R485" s="719"/>
      <c r="S485" s="719"/>
      <c r="T485" s="719"/>
      <c r="U485" s="719"/>
      <c r="V485" s="496"/>
      <c r="W485" s="496"/>
      <c r="X485" s="496"/>
      <c r="Y485" s="496"/>
      <c r="Z485" s="565"/>
      <c r="AA485" s="504"/>
      <c r="AB485" s="504"/>
      <c r="AC485" s="565"/>
      <c r="AD485" s="504"/>
      <c r="AE485" s="504"/>
      <c r="AF485" s="852"/>
      <c r="AG485" s="504"/>
      <c r="AH485" s="504"/>
      <c r="AI485" s="504"/>
      <c r="AJ485" s="504"/>
      <c r="AK485" s="504"/>
      <c r="AL485" s="565"/>
      <c r="AM485" s="504"/>
      <c r="AN485" s="504"/>
      <c r="AO485" s="504"/>
      <c r="AP485" s="719"/>
      <c r="AQ485" s="719"/>
      <c r="AR485" s="719"/>
      <c r="AS485" s="719"/>
      <c r="AT485" s="719"/>
      <c r="AU485" s="719"/>
      <c r="AV485" s="719"/>
      <c r="AW485" s="719"/>
      <c r="AX485" s="719"/>
      <c r="AY485" s="719"/>
      <c r="AZ485" s="719"/>
      <c r="BA485" s="719"/>
      <c r="BB485" s="719"/>
      <c r="BC485" s="719"/>
      <c r="BD485" s="719"/>
      <c r="BE485" s="719"/>
      <c r="BF485" s="719"/>
      <c r="BG485" s="719"/>
      <c r="BH485" s="719"/>
      <c r="BI485" s="719"/>
      <c r="BJ485" s="719"/>
    </row>
    <row r="486" spans="1:62" ht="15.75" customHeight="1">
      <c r="A486" s="493" t="s">
        <v>476</v>
      </c>
      <c r="B486" s="497"/>
      <c r="C486" s="719" t="s">
        <v>474</v>
      </c>
      <c r="D486" s="719"/>
      <c r="E486" s="719"/>
      <c r="F486" s="719"/>
      <c r="G486" s="719"/>
      <c r="H486" s="719"/>
      <c r="I486" s="719"/>
      <c r="J486" s="719"/>
      <c r="K486" s="719"/>
      <c r="L486" s="719"/>
      <c r="M486" s="719"/>
      <c r="N486" s="719"/>
      <c r="O486" s="719"/>
      <c r="P486" s="719"/>
      <c r="Q486" s="719"/>
      <c r="R486" s="719"/>
      <c r="S486" s="719"/>
      <c r="T486" s="719"/>
      <c r="U486" s="719"/>
      <c r="V486" s="496"/>
      <c r="W486" s="496"/>
      <c r="X486" s="496"/>
      <c r="Y486" s="496"/>
      <c r="Z486" s="565"/>
      <c r="AA486" s="504"/>
      <c r="AB486" s="504"/>
      <c r="AC486" s="565"/>
      <c r="AD486" s="504"/>
      <c r="AE486" s="504"/>
      <c r="AF486" s="852"/>
      <c r="AG486" s="504"/>
      <c r="AH486" s="504"/>
      <c r="AI486" s="504"/>
      <c r="AJ486" s="504"/>
      <c r="AK486" s="504"/>
      <c r="AL486" s="565"/>
      <c r="AM486" s="504"/>
      <c r="AN486" s="504"/>
      <c r="AO486" s="504"/>
      <c r="AP486" s="719"/>
      <c r="AQ486" s="719"/>
      <c r="AR486" s="719"/>
      <c r="AS486" s="719"/>
      <c r="AT486" s="719"/>
      <c r="AU486" s="719"/>
      <c r="AV486" s="719"/>
      <c r="AW486" s="719"/>
      <c r="AX486" s="719"/>
      <c r="AY486" s="719"/>
      <c r="AZ486" s="719"/>
      <c r="BA486" s="719"/>
      <c r="BB486" s="719"/>
      <c r="BC486" s="719"/>
      <c r="BD486" s="719"/>
      <c r="BE486" s="719"/>
      <c r="BF486" s="719"/>
      <c r="BG486" s="719"/>
      <c r="BH486" s="719"/>
      <c r="BI486" s="719"/>
      <c r="BJ486" s="719"/>
    </row>
    <row r="487" spans="1:62" ht="15.75" customHeight="1" thickBot="1">
      <c r="A487" s="493" t="s">
        <v>476</v>
      </c>
      <c r="B487" s="497"/>
      <c r="C487" s="719" t="s">
        <v>474</v>
      </c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19"/>
      <c r="P487" s="719"/>
      <c r="Q487" s="719"/>
      <c r="R487" s="719"/>
      <c r="S487" s="719"/>
      <c r="T487" s="719"/>
      <c r="U487" s="719"/>
      <c r="V487" s="496"/>
      <c r="W487" s="496"/>
      <c r="X487" s="496"/>
      <c r="Y487" s="496"/>
      <c r="Z487" s="565"/>
      <c r="AA487" s="504"/>
      <c r="AB487" s="504"/>
      <c r="AC487" s="565"/>
      <c r="AD487" s="504"/>
      <c r="AE487" s="504"/>
      <c r="AF487" s="852"/>
      <c r="AG487" s="504"/>
      <c r="AH487" s="504"/>
      <c r="AI487" s="504"/>
      <c r="AJ487" s="504"/>
      <c r="AK487" s="504"/>
      <c r="AL487" s="565"/>
      <c r="AM487" s="504"/>
      <c r="AN487" s="504"/>
      <c r="AO487" s="504"/>
      <c r="AP487" s="719"/>
      <c r="AQ487" s="719"/>
      <c r="AR487" s="719"/>
      <c r="AS487" s="719"/>
      <c r="AT487" s="719"/>
      <c r="AU487" s="719"/>
      <c r="AV487" s="719"/>
      <c r="AW487" s="719"/>
      <c r="AX487" s="719"/>
      <c r="AY487" s="719"/>
      <c r="AZ487" s="719"/>
      <c r="BA487" s="719"/>
      <c r="BB487" s="719"/>
      <c r="BC487" s="719"/>
      <c r="BD487" s="719"/>
      <c r="BE487" s="719"/>
      <c r="BF487" s="719"/>
      <c r="BG487" s="719"/>
      <c r="BH487" s="719"/>
      <c r="BI487" s="719"/>
      <c r="BJ487" s="719"/>
    </row>
    <row r="488" spans="1:62" ht="15.75" customHeight="1" thickTop="1" thickBot="1">
      <c r="A488" s="493" t="s">
        <v>186</v>
      </c>
      <c r="B488" s="497"/>
      <c r="C488" s="719" t="s">
        <v>474</v>
      </c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19"/>
      <c r="P488" s="719"/>
      <c r="Q488" s="719"/>
      <c r="R488" s="719"/>
      <c r="S488" s="719"/>
      <c r="T488" s="719"/>
      <c r="U488" s="719"/>
      <c r="V488" s="853" t="s">
        <v>186</v>
      </c>
      <c r="W488" s="854"/>
      <c r="X488" s="386" t="s">
        <v>187</v>
      </c>
      <c r="Y488" s="855">
        <v>4.832714958213688E-2</v>
      </c>
      <c r="Z488" s="856">
        <v>291103.21514690842</v>
      </c>
      <c r="AA488" s="386" t="s">
        <v>187</v>
      </c>
      <c r="AB488" s="855">
        <v>4.832714958213688E-2</v>
      </c>
      <c r="AC488" s="856">
        <v>291103.21514690842</v>
      </c>
      <c r="AD488" s="386" t="s">
        <v>187</v>
      </c>
      <c r="AE488" s="855">
        <v>4.6264851926297243E-2</v>
      </c>
      <c r="AF488" s="856">
        <v>218438.18999999997</v>
      </c>
      <c r="AG488" s="857"/>
      <c r="AH488" s="848">
        <v>-72665.025146908447</v>
      </c>
      <c r="AI488" s="849">
        <v>-0.24961945236584643</v>
      </c>
      <c r="AJ488" s="386" t="s">
        <v>187</v>
      </c>
      <c r="AK488" s="855">
        <v>4.5390026653246179E-2</v>
      </c>
      <c r="AL488" s="858">
        <v>267836.32000000012</v>
      </c>
      <c r="AM488" s="859"/>
      <c r="AN488" s="860">
        <v>-49398.13000000015</v>
      </c>
      <c r="AO488" s="861">
        <v>-0.18443402298836889</v>
      </c>
      <c r="AP488" s="719"/>
      <c r="AQ488" s="719"/>
      <c r="AR488" s="719"/>
      <c r="AS488" s="719"/>
      <c r="AT488" s="719"/>
      <c r="AU488" s="719"/>
      <c r="AV488" s="719"/>
      <c r="AW488" s="719"/>
      <c r="AX488" s="719"/>
      <c r="AY488" s="719"/>
      <c r="AZ488" s="719"/>
      <c r="BA488" s="719"/>
      <c r="BB488" s="719"/>
      <c r="BC488" s="719"/>
      <c r="BD488" s="719"/>
      <c r="BE488" s="719"/>
      <c r="BF488" s="719"/>
      <c r="BG488" s="719"/>
      <c r="BH488" s="719"/>
      <c r="BI488" s="719"/>
      <c r="BJ488" s="719"/>
    </row>
    <row r="489" spans="1:62" ht="15.75" customHeight="1" thickTop="1">
      <c r="A489" s="493" t="s">
        <v>476</v>
      </c>
      <c r="B489" s="497"/>
      <c r="C489" s="719" t="s">
        <v>474</v>
      </c>
      <c r="D489" s="719"/>
      <c r="E489" s="719"/>
      <c r="F489" s="805"/>
      <c r="G489" s="719"/>
      <c r="H489" s="719"/>
      <c r="I489" s="805"/>
      <c r="J489" s="719"/>
      <c r="K489" s="719"/>
      <c r="L489" s="719"/>
      <c r="M489" s="805"/>
      <c r="N489" s="719"/>
      <c r="O489" s="719"/>
      <c r="P489" s="719"/>
      <c r="Q489" s="805"/>
      <c r="R489" s="805"/>
      <c r="S489" s="805"/>
      <c r="T489" s="811"/>
      <c r="U489" s="811"/>
      <c r="V489" s="862"/>
      <c r="W489" s="719"/>
      <c r="X489" s="719"/>
      <c r="Y489" s="719"/>
      <c r="Z489" s="863"/>
      <c r="AA489" s="719"/>
      <c r="AB489" s="719"/>
      <c r="AC489" s="864"/>
      <c r="AD489" s="719"/>
      <c r="AE489" s="719"/>
      <c r="AF489" s="864"/>
      <c r="AG489" s="719"/>
      <c r="AH489" s="719"/>
      <c r="AI489" s="864"/>
      <c r="AJ489" s="719"/>
      <c r="AK489" s="719"/>
      <c r="AL489" s="865"/>
      <c r="AM489" s="866"/>
      <c r="AN489" s="719"/>
      <c r="AO489" s="867"/>
      <c r="AP489" s="719"/>
      <c r="AQ489" s="719"/>
      <c r="AR489" s="719"/>
      <c r="AS489" s="719"/>
      <c r="AT489" s="719"/>
      <c r="AU489" s="719"/>
      <c r="AV489" s="719"/>
      <c r="AW489" s="719"/>
      <c r="AX489" s="719"/>
      <c r="AY489" s="719"/>
      <c r="AZ489" s="719"/>
      <c r="BA489" s="719"/>
      <c r="BB489" s="719"/>
      <c r="BC489" s="719"/>
      <c r="BD489" s="719"/>
      <c r="BE489" s="719"/>
      <c r="BF489" s="719"/>
      <c r="BG489" s="719"/>
      <c r="BH489" s="719"/>
      <c r="BI489" s="719"/>
      <c r="BJ489" s="719"/>
    </row>
    <row r="490" spans="1:62" ht="15.75" customHeight="1">
      <c r="A490" s="493" t="s">
        <v>189</v>
      </c>
      <c r="B490" s="497"/>
      <c r="C490" s="719" t="s">
        <v>474</v>
      </c>
      <c r="D490" s="719"/>
      <c r="E490" s="719"/>
      <c r="F490" s="719"/>
      <c r="G490" s="719"/>
      <c r="H490" s="719"/>
      <c r="I490" s="719"/>
      <c r="J490" s="719"/>
      <c r="K490" s="719"/>
      <c r="L490" s="719"/>
      <c r="M490" s="719"/>
      <c r="N490" s="719"/>
      <c r="O490" s="719"/>
      <c r="P490" s="719"/>
      <c r="Q490" s="719"/>
      <c r="R490" s="719"/>
      <c r="S490" s="719"/>
      <c r="T490" s="719"/>
      <c r="U490" s="719"/>
      <c r="V490" s="585" t="s">
        <v>189</v>
      </c>
      <c r="W490" s="290"/>
      <c r="X490" s="757"/>
      <c r="Y490" s="764"/>
      <c r="Z490" s="758">
        <v>7468.25</v>
      </c>
      <c r="AA490" s="757"/>
      <c r="AB490" s="764"/>
      <c r="AC490" s="758">
        <v>7468.25</v>
      </c>
      <c r="AD490" s="757"/>
      <c r="AE490" s="764"/>
      <c r="AF490" s="758">
        <v>4314.5</v>
      </c>
      <c r="AG490" s="757"/>
      <c r="AH490" s="760">
        <v>-3153.75</v>
      </c>
      <c r="AI490" s="783">
        <v>-0.42228768453118198</v>
      </c>
      <c r="AJ490" s="757"/>
      <c r="AK490" s="757"/>
      <c r="AL490" s="758">
        <v>-14301</v>
      </c>
      <c r="AM490" s="762"/>
      <c r="AN490" s="760">
        <v>18615.5</v>
      </c>
      <c r="AO490" s="766">
        <v>-1.3016921893573876</v>
      </c>
      <c r="AP490" s="719"/>
      <c r="AQ490" s="719"/>
      <c r="AR490" s="719"/>
      <c r="AS490" s="719"/>
      <c r="AT490" s="719"/>
      <c r="AU490" s="719"/>
      <c r="AV490" s="719"/>
      <c r="AW490" s="719"/>
      <c r="AX490" s="719"/>
      <c r="AY490" s="719"/>
      <c r="AZ490" s="719"/>
      <c r="BA490" s="719"/>
      <c r="BB490" s="719"/>
      <c r="BC490" s="719"/>
      <c r="BD490" s="719"/>
      <c r="BE490" s="719"/>
      <c r="BF490" s="719"/>
      <c r="BG490" s="719"/>
      <c r="BH490" s="719"/>
      <c r="BI490" s="719"/>
      <c r="BJ490" s="719"/>
    </row>
    <row r="491" spans="1:62" ht="15.75" customHeight="1">
      <c r="A491" s="493" t="s">
        <v>190</v>
      </c>
      <c r="B491" s="497"/>
      <c r="C491" s="719" t="s">
        <v>474</v>
      </c>
      <c r="D491" s="719"/>
      <c r="E491" s="719"/>
      <c r="F491" s="805"/>
      <c r="G491" s="719"/>
      <c r="H491" s="719"/>
      <c r="I491" s="805"/>
      <c r="J491" s="719"/>
      <c r="K491" s="719"/>
      <c r="L491" s="719"/>
      <c r="M491" s="805"/>
      <c r="N491" s="719"/>
      <c r="O491" s="719"/>
      <c r="P491" s="719"/>
      <c r="Q491" s="805"/>
      <c r="R491" s="805"/>
      <c r="S491" s="805"/>
      <c r="T491" s="719"/>
      <c r="U491" s="719"/>
      <c r="V491" s="585" t="s">
        <v>190</v>
      </c>
      <c r="W491" s="498"/>
      <c r="X491" s="498"/>
      <c r="Y491" s="498"/>
      <c r="Z491" s="758">
        <v>0</v>
      </c>
      <c r="AA491" s="498"/>
      <c r="AB491" s="498"/>
      <c r="AC491" s="758">
        <v>0</v>
      </c>
      <c r="AD491" s="498"/>
      <c r="AE491" s="504"/>
      <c r="AF491" s="758">
        <v>0</v>
      </c>
      <c r="AG491" s="498"/>
      <c r="AH491" s="760">
        <v>0</v>
      </c>
      <c r="AI491" s="783">
        <v>0</v>
      </c>
      <c r="AJ491" s="498"/>
      <c r="AK491" s="498"/>
      <c r="AL491" s="758">
        <v>268.04000000000002</v>
      </c>
      <c r="AM491" s="868"/>
      <c r="AN491" s="760">
        <v>-268.04000000000002</v>
      </c>
      <c r="AO491" s="766">
        <v>-1</v>
      </c>
      <c r="AP491" s="719"/>
      <c r="AQ491" s="719"/>
      <c r="AR491" s="719"/>
      <c r="AS491" s="719"/>
      <c r="AT491" s="719"/>
      <c r="AU491" s="719"/>
      <c r="AV491" s="719"/>
      <c r="AW491" s="719"/>
      <c r="AX491" s="719"/>
      <c r="AY491" s="719"/>
      <c r="AZ491" s="719"/>
      <c r="BA491" s="719"/>
      <c r="BB491" s="719"/>
      <c r="BC491" s="719"/>
      <c r="BD491" s="719"/>
      <c r="BE491" s="719"/>
      <c r="BF491" s="719"/>
      <c r="BG491" s="719"/>
      <c r="BH491" s="719"/>
      <c r="BI491" s="719"/>
      <c r="BJ491" s="719"/>
    </row>
    <row r="492" spans="1:62" ht="15.75" customHeight="1">
      <c r="A492" s="493" t="s">
        <v>191</v>
      </c>
      <c r="B492" s="497"/>
      <c r="C492" s="719" t="s">
        <v>474</v>
      </c>
      <c r="D492" s="719"/>
      <c r="E492" s="719"/>
      <c r="F492" s="805"/>
      <c r="G492" s="719"/>
      <c r="H492" s="719"/>
      <c r="I492" s="805"/>
      <c r="J492" s="719"/>
      <c r="K492" s="719"/>
      <c r="L492" s="719"/>
      <c r="M492" s="805"/>
      <c r="N492" s="719"/>
      <c r="O492" s="719"/>
      <c r="P492" s="719"/>
      <c r="Q492" s="805"/>
      <c r="R492" s="805"/>
      <c r="S492" s="805"/>
      <c r="T492" s="719"/>
      <c r="U492" s="719"/>
      <c r="V492" s="585" t="s">
        <v>191</v>
      </c>
      <c r="W492" s="504"/>
      <c r="X492" s="504"/>
      <c r="Y492" s="504"/>
      <c r="Z492" s="758">
        <v>435.12</v>
      </c>
      <c r="AA492" s="498"/>
      <c r="AB492" s="498"/>
      <c r="AC492" s="758">
        <v>435.12</v>
      </c>
      <c r="AD492" s="498"/>
      <c r="AE492" s="504"/>
      <c r="AF492" s="758">
        <v>426.79</v>
      </c>
      <c r="AG492" s="498"/>
      <c r="AH492" s="760">
        <v>-8.3299999999999841</v>
      </c>
      <c r="AI492" s="783">
        <v>-1.9144144144144108E-2</v>
      </c>
      <c r="AJ492" s="498"/>
      <c r="AK492" s="498"/>
      <c r="AL492" s="758">
        <v>570.58999999999992</v>
      </c>
      <c r="AM492" s="868"/>
      <c r="AN492" s="760">
        <v>-143.7999999999999</v>
      </c>
      <c r="AO492" s="766">
        <v>-0.25201983911389952</v>
      </c>
      <c r="AP492" s="719"/>
      <c r="AQ492" s="719"/>
      <c r="AR492" s="719"/>
      <c r="AS492" s="719"/>
      <c r="AT492" s="719"/>
      <c r="AU492" s="719"/>
      <c r="AV492" s="719"/>
      <c r="AW492" s="719"/>
      <c r="AX492" s="719"/>
      <c r="AY492" s="719"/>
      <c r="AZ492" s="719"/>
      <c r="BA492" s="719"/>
      <c r="BB492" s="719"/>
      <c r="BC492" s="719"/>
      <c r="BD492" s="719"/>
      <c r="BE492" s="719"/>
      <c r="BF492" s="719"/>
      <c r="BG492" s="719"/>
      <c r="BH492" s="719"/>
      <c r="BI492" s="719"/>
      <c r="BJ492" s="719"/>
    </row>
    <row r="493" spans="1:62" ht="15.75" customHeight="1" thickBot="1">
      <c r="A493" s="493" t="s">
        <v>192</v>
      </c>
      <c r="B493" s="497"/>
      <c r="C493" s="719" t="s">
        <v>474</v>
      </c>
      <c r="D493" s="719"/>
      <c r="E493" s="719"/>
      <c r="F493" s="805"/>
      <c r="G493" s="719"/>
      <c r="H493" s="719"/>
      <c r="I493" s="805"/>
      <c r="J493" s="719"/>
      <c r="K493" s="719"/>
      <c r="L493" s="719"/>
      <c r="M493" s="805"/>
      <c r="N493" s="719"/>
      <c r="O493" s="719"/>
      <c r="P493" s="719"/>
      <c r="Q493" s="805"/>
      <c r="R493" s="805"/>
      <c r="S493" s="805"/>
      <c r="T493" s="719"/>
      <c r="U493" s="719"/>
      <c r="V493" s="585" t="s">
        <v>192</v>
      </c>
      <c r="W493" s="504"/>
      <c r="X493" s="504"/>
      <c r="Y493" s="504"/>
      <c r="Z493" s="758">
        <v>0</v>
      </c>
      <c r="AA493" s="498"/>
      <c r="AB493" s="498"/>
      <c r="AC493" s="758">
        <v>0</v>
      </c>
      <c r="AD493" s="498"/>
      <c r="AE493" s="504"/>
      <c r="AF493" s="758">
        <v>0</v>
      </c>
      <c r="AG493" s="498"/>
      <c r="AH493" s="760">
        <v>0</v>
      </c>
      <c r="AI493" s="783">
        <v>0</v>
      </c>
      <c r="AJ493" s="498"/>
      <c r="AK493" s="498"/>
      <c r="AL493" s="758">
        <v>0</v>
      </c>
      <c r="AM493" s="868"/>
      <c r="AN493" s="760">
        <v>0</v>
      </c>
      <c r="AO493" s="766">
        <v>0</v>
      </c>
      <c r="AP493" s="719"/>
      <c r="AQ493" s="719"/>
      <c r="AR493" s="719"/>
      <c r="AS493" s="719"/>
      <c r="AT493" s="719"/>
      <c r="AU493" s="719"/>
      <c r="AV493" s="719"/>
      <c r="AW493" s="719"/>
      <c r="AX493" s="719"/>
      <c r="AY493" s="719"/>
      <c r="AZ493" s="719"/>
      <c r="BA493" s="719"/>
      <c r="BB493" s="719"/>
      <c r="BC493" s="719"/>
      <c r="BD493" s="719"/>
      <c r="BE493" s="719"/>
      <c r="BF493" s="719"/>
      <c r="BG493" s="719"/>
      <c r="BH493" s="719"/>
      <c r="BI493" s="719"/>
      <c r="BJ493" s="719"/>
    </row>
    <row r="494" spans="1:62" ht="15.75" hidden="1" customHeight="1">
      <c r="A494" s="493" t="s">
        <v>21</v>
      </c>
      <c r="B494" s="497"/>
      <c r="C494" s="719" t="s">
        <v>474</v>
      </c>
      <c r="D494" s="719"/>
      <c r="E494" s="719"/>
      <c r="F494" s="805"/>
      <c r="G494" s="719"/>
      <c r="H494" s="719"/>
      <c r="I494" s="805"/>
      <c r="J494" s="719"/>
      <c r="K494" s="719"/>
      <c r="L494" s="719"/>
      <c r="M494" s="805"/>
      <c r="N494" s="719"/>
      <c r="O494" s="719"/>
      <c r="P494" s="719"/>
      <c r="Q494" s="805"/>
      <c r="R494" s="805"/>
      <c r="S494" s="805"/>
      <c r="T494" s="719"/>
      <c r="U494" s="719"/>
      <c r="V494" s="585" t="s">
        <v>21</v>
      </c>
      <c r="W494" s="504"/>
      <c r="X494" s="504"/>
      <c r="Y494" s="504"/>
      <c r="Z494" s="758">
        <v>0</v>
      </c>
      <c r="AA494" s="498"/>
      <c r="AB494" s="498"/>
      <c r="AC494" s="758">
        <v>0</v>
      </c>
      <c r="AD494" s="498"/>
      <c r="AE494" s="504"/>
      <c r="AF494" s="758">
        <v>0</v>
      </c>
      <c r="AG494" s="498"/>
      <c r="AH494" s="760">
        <v>0</v>
      </c>
      <c r="AI494" s="783">
        <v>0</v>
      </c>
      <c r="AJ494" s="498"/>
      <c r="AK494" s="498"/>
      <c r="AL494" s="758">
        <v>0</v>
      </c>
      <c r="AM494" s="868"/>
      <c r="AN494" s="760">
        <v>0</v>
      </c>
      <c r="AO494" s="766">
        <v>0</v>
      </c>
      <c r="AP494" s="719"/>
      <c r="AQ494" s="719"/>
      <c r="AR494" s="719"/>
      <c r="AS494" s="719"/>
      <c r="AT494" s="719"/>
      <c r="AU494" s="719"/>
      <c r="AV494" s="719"/>
      <c r="AW494" s="719"/>
      <c r="AX494" s="719"/>
      <c r="AY494" s="719"/>
      <c r="AZ494" s="719"/>
      <c r="BA494" s="719"/>
      <c r="BB494" s="719"/>
      <c r="BC494" s="719"/>
      <c r="BD494" s="719"/>
      <c r="BE494" s="719"/>
      <c r="BF494" s="719"/>
      <c r="BG494" s="719"/>
      <c r="BH494" s="719"/>
      <c r="BI494" s="719"/>
      <c r="BJ494" s="719"/>
    </row>
    <row r="495" spans="1:62" ht="15.75" hidden="1" customHeight="1">
      <c r="A495" s="493" t="s">
        <v>21</v>
      </c>
      <c r="B495" s="497"/>
      <c r="C495" s="719" t="s">
        <v>474</v>
      </c>
      <c r="D495" s="719"/>
      <c r="E495" s="719"/>
      <c r="F495" s="805"/>
      <c r="G495" s="719"/>
      <c r="H495" s="719"/>
      <c r="I495" s="805"/>
      <c r="J495" s="719"/>
      <c r="K495" s="719"/>
      <c r="L495" s="719"/>
      <c r="M495" s="805"/>
      <c r="N495" s="719"/>
      <c r="O495" s="719"/>
      <c r="P495" s="719"/>
      <c r="Q495" s="805"/>
      <c r="R495" s="805"/>
      <c r="S495" s="805"/>
      <c r="T495" s="719"/>
      <c r="U495" s="719"/>
      <c r="V495" s="585" t="s">
        <v>21</v>
      </c>
      <c r="W495" s="504"/>
      <c r="X495" s="504"/>
      <c r="Y495" s="504"/>
      <c r="Z495" s="758">
        <v>0</v>
      </c>
      <c r="AA495" s="498"/>
      <c r="AB495" s="498"/>
      <c r="AC495" s="758">
        <v>0</v>
      </c>
      <c r="AD495" s="498"/>
      <c r="AE495" s="504"/>
      <c r="AF495" s="758">
        <v>0</v>
      </c>
      <c r="AG495" s="498"/>
      <c r="AH495" s="760">
        <v>0</v>
      </c>
      <c r="AI495" s="783">
        <v>0</v>
      </c>
      <c r="AJ495" s="498"/>
      <c r="AK495" s="498"/>
      <c r="AL495" s="758">
        <v>0</v>
      </c>
      <c r="AM495" s="868"/>
      <c r="AN495" s="760">
        <v>0</v>
      </c>
      <c r="AO495" s="766">
        <v>0</v>
      </c>
      <c r="AP495" s="719"/>
      <c r="AQ495" s="719"/>
      <c r="AR495" s="719"/>
      <c r="AS495" s="719"/>
      <c r="AT495" s="719"/>
      <c r="AU495" s="719"/>
      <c r="AV495" s="719"/>
      <c r="AW495" s="719"/>
      <c r="AX495" s="719"/>
      <c r="AY495" s="719"/>
      <c r="AZ495" s="719"/>
      <c r="BA495" s="719"/>
      <c r="BB495" s="719"/>
      <c r="BC495" s="719"/>
      <c r="BD495" s="719"/>
      <c r="BE495" s="719"/>
      <c r="BF495" s="719"/>
      <c r="BG495" s="719"/>
      <c r="BH495" s="719"/>
      <c r="BI495" s="719"/>
      <c r="BJ495" s="719"/>
    </row>
    <row r="496" spans="1:62" ht="15.75" hidden="1" customHeight="1">
      <c r="A496" s="493" t="s">
        <v>21</v>
      </c>
      <c r="B496" s="497"/>
      <c r="C496" s="719" t="s">
        <v>474</v>
      </c>
      <c r="D496" s="719"/>
      <c r="E496" s="719"/>
      <c r="F496" s="805"/>
      <c r="G496" s="719"/>
      <c r="H496" s="719"/>
      <c r="I496" s="805"/>
      <c r="J496" s="719"/>
      <c r="K496" s="719"/>
      <c r="L496" s="719"/>
      <c r="M496" s="805"/>
      <c r="N496" s="719"/>
      <c r="O496" s="719"/>
      <c r="P496" s="719"/>
      <c r="Q496" s="805"/>
      <c r="R496" s="805"/>
      <c r="S496" s="805"/>
      <c r="T496" s="719"/>
      <c r="U496" s="719"/>
      <c r="V496" s="585" t="s">
        <v>21</v>
      </c>
      <c r="W496" s="504"/>
      <c r="X496" s="719"/>
      <c r="Y496" s="504"/>
      <c r="Z496" s="758">
        <v>0</v>
      </c>
      <c r="AA496" s="498"/>
      <c r="AB496" s="498"/>
      <c r="AC496" s="758">
        <v>0</v>
      </c>
      <c r="AD496" s="498"/>
      <c r="AE496" s="504"/>
      <c r="AF496" s="758">
        <v>0</v>
      </c>
      <c r="AG496" s="498"/>
      <c r="AH496" s="760">
        <v>0</v>
      </c>
      <c r="AI496" s="783">
        <v>0</v>
      </c>
      <c r="AJ496" s="498"/>
      <c r="AK496" s="498"/>
      <c r="AL496" s="758">
        <v>0</v>
      </c>
      <c r="AM496" s="868"/>
      <c r="AN496" s="760">
        <v>0</v>
      </c>
      <c r="AO496" s="766">
        <v>0</v>
      </c>
      <c r="AP496" s="719"/>
      <c r="AQ496" s="719"/>
      <c r="AR496" s="719"/>
      <c r="AS496" s="719"/>
      <c r="AT496" s="719"/>
      <c r="AU496" s="719"/>
      <c r="AV496" s="719"/>
      <c r="AW496" s="719"/>
      <c r="AX496" s="719"/>
      <c r="AY496" s="719"/>
      <c r="AZ496" s="719"/>
      <c r="BA496" s="719"/>
      <c r="BB496" s="719"/>
      <c r="BC496" s="719"/>
      <c r="BD496" s="719"/>
      <c r="BE496" s="719"/>
      <c r="BF496" s="719"/>
      <c r="BG496" s="719"/>
      <c r="BH496" s="719"/>
      <c r="BI496" s="719"/>
      <c r="BJ496" s="719"/>
    </row>
    <row r="497" spans="1:62" ht="15.75" customHeight="1" thickTop="1" thickBot="1">
      <c r="A497" s="493" t="s">
        <v>194</v>
      </c>
      <c r="B497" s="497"/>
      <c r="C497" s="719" t="s">
        <v>474</v>
      </c>
      <c r="D497" s="719"/>
      <c r="E497" s="719"/>
      <c r="F497" s="805"/>
      <c r="G497" s="719"/>
      <c r="H497" s="719"/>
      <c r="I497" s="805"/>
      <c r="J497" s="719"/>
      <c r="K497" s="719"/>
      <c r="L497" s="719"/>
      <c r="M497" s="805"/>
      <c r="N497" s="719"/>
      <c r="O497" s="719"/>
      <c r="P497" s="719"/>
      <c r="Q497" s="805"/>
      <c r="R497" s="805"/>
      <c r="S497" s="805"/>
      <c r="T497" s="719"/>
      <c r="U497" s="719"/>
      <c r="V497" s="843" t="s">
        <v>194</v>
      </c>
      <c r="W497" s="844"/>
      <c r="X497" s="374" t="s">
        <v>187</v>
      </c>
      <c r="Y497" s="845">
        <v>4.7015081132462701E-2</v>
      </c>
      <c r="Z497" s="846">
        <v>283199.84514690842</v>
      </c>
      <c r="AA497" s="374" t="s">
        <v>187</v>
      </c>
      <c r="AB497" s="845">
        <v>4.7015081132462701E-2</v>
      </c>
      <c r="AC497" s="846">
        <v>283199.84514690842</v>
      </c>
      <c r="AD497" s="374" t="s">
        <v>187</v>
      </c>
      <c r="AE497" s="845">
        <v>4.5260654446957045E-2</v>
      </c>
      <c r="AF497" s="847">
        <v>213696.89999999997</v>
      </c>
      <c r="AG497" s="848"/>
      <c r="AH497" s="848">
        <v>-69502.94514690846</v>
      </c>
      <c r="AI497" s="849">
        <v>-0.24542013824497033</v>
      </c>
      <c r="AJ497" s="380" t="s">
        <v>187</v>
      </c>
      <c r="AK497" s="845">
        <v>4.767148472105364E-2</v>
      </c>
      <c r="AL497" s="847">
        <v>281298.69000000012</v>
      </c>
      <c r="AM497" s="850"/>
      <c r="AN497" s="847">
        <v>-67601.790000000154</v>
      </c>
      <c r="AO497" s="869">
        <v>-0.24032031574693832</v>
      </c>
      <c r="AP497" s="719"/>
      <c r="AQ497" s="719"/>
      <c r="AR497" s="719"/>
      <c r="AS497" s="719"/>
      <c r="AT497" s="719"/>
      <c r="AU497" s="719"/>
      <c r="AV497" s="719"/>
      <c r="AW497" s="719"/>
      <c r="AX497" s="719"/>
      <c r="AY497" s="719"/>
      <c r="AZ497" s="719"/>
      <c r="BA497" s="719"/>
      <c r="BB497" s="719"/>
      <c r="BC497" s="719"/>
      <c r="BD497" s="719"/>
      <c r="BE497" s="719"/>
      <c r="BF497" s="719"/>
      <c r="BG497" s="719"/>
      <c r="BH497" s="719"/>
      <c r="BI497" s="719"/>
      <c r="BJ497" s="719"/>
    </row>
    <row r="498" spans="1:62" ht="15.75" customHeight="1" thickTop="1">
      <c r="A498" s="493" t="s">
        <v>476</v>
      </c>
      <c r="B498" s="497"/>
      <c r="C498" s="719"/>
      <c r="D498" s="719"/>
      <c r="E498" s="719"/>
      <c r="F498" s="805"/>
      <c r="G498" s="719"/>
      <c r="H498" s="719"/>
      <c r="I498" s="805"/>
      <c r="J498" s="719"/>
      <c r="K498" s="719"/>
      <c r="L498" s="719"/>
      <c r="M498" s="805"/>
      <c r="N498" s="719"/>
      <c r="O498" s="719"/>
      <c r="P498" s="719"/>
      <c r="Q498" s="805"/>
      <c r="R498" s="805"/>
      <c r="S498" s="805"/>
      <c r="T498" s="719"/>
      <c r="U498" s="719"/>
      <c r="V498" s="719"/>
      <c r="W498" s="719"/>
      <c r="X498" s="719"/>
      <c r="Y498" s="719"/>
      <c r="Z498" s="719"/>
      <c r="AA498" s="719"/>
      <c r="AB498" s="719"/>
      <c r="AC498" s="719"/>
      <c r="AD498" s="719"/>
      <c r="AE498" s="870"/>
      <c r="AF498" s="871"/>
      <c r="AG498" s="719"/>
      <c r="AH498" s="719"/>
      <c r="AI498" s="719"/>
      <c r="AJ498" s="719"/>
      <c r="AK498" s="719"/>
      <c r="AL498" s="719"/>
      <c r="AM498" s="719"/>
      <c r="AN498" s="719"/>
      <c r="AO498" s="719"/>
      <c r="AP498" s="719"/>
      <c r="AQ498" s="719"/>
      <c r="AR498" s="719"/>
      <c r="AS498" s="719"/>
      <c r="AT498" s="719"/>
      <c r="AU498" s="719"/>
      <c r="AV498" s="719"/>
      <c r="AW498" s="719"/>
      <c r="AX498" s="719"/>
      <c r="AY498" s="719"/>
      <c r="AZ498" s="719"/>
      <c r="BA498" s="719"/>
      <c r="BB498" s="719"/>
      <c r="BC498" s="719"/>
      <c r="BD498" s="719"/>
      <c r="BE498" s="719"/>
      <c r="BF498" s="719"/>
      <c r="BG498" s="719"/>
      <c r="BH498" s="719"/>
      <c r="BI498" s="719"/>
      <c r="BJ498" s="719"/>
    </row>
    <row r="499" spans="1:62" ht="15.75" customHeight="1">
      <c r="B499" s="497"/>
      <c r="C499" s="719"/>
      <c r="D499" s="719"/>
      <c r="E499" s="719"/>
      <c r="F499" s="805"/>
      <c r="G499" s="719"/>
      <c r="H499" s="719"/>
      <c r="I499" s="805"/>
      <c r="J499" s="719"/>
      <c r="K499" s="719"/>
      <c r="L499" s="719"/>
      <c r="M499" s="805"/>
      <c r="N499" s="719"/>
      <c r="O499" s="719"/>
      <c r="P499" s="719"/>
      <c r="Q499" s="805"/>
      <c r="R499" s="805"/>
      <c r="S499" s="805"/>
      <c r="T499" s="719"/>
      <c r="U499" s="719"/>
      <c r="V499" s="719"/>
      <c r="W499" s="719"/>
      <c r="X499" s="719"/>
      <c r="Y499" s="719"/>
      <c r="Z499" s="805">
        <v>283199.84514690842</v>
      </c>
      <c r="AA499" s="719"/>
      <c r="AB499" s="719"/>
      <c r="AC499" s="719">
        <v>283199.84514690842</v>
      </c>
      <c r="AD499" s="719"/>
      <c r="AE499" s="719"/>
      <c r="AF499" s="826">
        <v>213696.89999999997</v>
      </c>
      <c r="AG499" s="719"/>
      <c r="AH499" s="719"/>
      <c r="AI499" s="719"/>
      <c r="AJ499" s="719"/>
      <c r="AK499" s="719"/>
      <c r="AL499" s="719">
        <v>281299</v>
      </c>
      <c r="AM499" s="719"/>
      <c r="AN499" s="719"/>
      <c r="AO499" s="719"/>
      <c r="AP499" s="719"/>
      <c r="AQ499" s="719"/>
      <c r="AR499" s="719"/>
      <c r="AS499" s="719"/>
      <c r="AT499" s="719"/>
      <c r="AU499" s="719"/>
      <c r="AV499" s="719"/>
      <c r="AW499" s="719"/>
      <c r="AX499" s="719"/>
      <c r="AY499" s="719"/>
      <c r="AZ499" s="719"/>
      <c r="BA499" s="719"/>
      <c r="BB499" s="719"/>
      <c r="BC499" s="719"/>
      <c r="BD499" s="719"/>
      <c r="BE499" s="719"/>
      <c r="BF499" s="719"/>
      <c r="BG499" s="719"/>
      <c r="BH499" s="719"/>
      <c r="BI499" s="719"/>
      <c r="BJ499" s="719"/>
    </row>
    <row r="500" spans="1:62" ht="15.75" customHeight="1">
      <c r="B500" s="497"/>
      <c r="C500" s="719"/>
      <c r="D500" s="719" t="s">
        <v>477</v>
      </c>
      <c r="E500" s="719"/>
      <c r="F500" s="805"/>
      <c r="G500" s="719"/>
      <c r="H500" s="719"/>
      <c r="I500" s="805"/>
      <c r="J500" s="719" t="s">
        <v>478</v>
      </c>
      <c r="K500" s="719"/>
      <c r="L500" s="719"/>
      <c r="M500" s="805"/>
      <c r="N500" s="719"/>
      <c r="O500" s="719" t="s">
        <v>479</v>
      </c>
      <c r="P500" s="719"/>
      <c r="Q500" s="805"/>
      <c r="R500" s="805"/>
      <c r="S500" s="805"/>
      <c r="T500" s="811"/>
      <c r="U500" s="811"/>
      <c r="V500" s="719"/>
      <c r="W500" s="719"/>
      <c r="X500" s="719"/>
      <c r="Y500" s="719"/>
      <c r="Z500" s="805">
        <v>0</v>
      </c>
      <c r="AA500" s="719"/>
      <c r="AB500" s="719"/>
      <c r="AC500" s="719">
        <v>0</v>
      </c>
      <c r="AD500" s="719"/>
      <c r="AE500" s="719"/>
      <c r="AF500" s="780">
        <v>0</v>
      </c>
      <c r="AG500" s="719"/>
      <c r="AH500" s="719"/>
      <c r="AI500" s="719"/>
      <c r="AJ500" s="719"/>
      <c r="AK500" s="719"/>
      <c r="AL500" s="719">
        <v>-0.30999999988125637</v>
      </c>
      <c r="AM500" s="719"/>
      <c r="AN500" s="719"/>
      <c r="AO500" s="719"/>
      <c r="AP500" s="719"/>
      <c r="AQ500" s="719"/>
      <c r="AR500" s="719"/>
      <c r="AS500" s="719"/>
      <c r="AT500" s="719"/>
      <c r="AU500" s="719"/>
      <c r="AV500" s="719"/>
      <c r="AW500" s="719"/>
      <c r="AX500" s="719"/>
      <c r="AY500" s="719"/>
      <c r="AZ500" s="719"/>
      <c r="BA500" s="719"/>
      <c r="BB500" s="719"/>
      <c r="BC500" s="719"/>
      <c r="BD500" s="719"/>
      <c r="BE500" s="719"/>
      <c r="BF500" s="719"/>
      <c r="BG500" s="719"/>
      <c r="BH500" s="719"/>
      <c r="BI500" s="719"/>
      <c r="BJ500" s="719"/>
    </row>
    <row r="501" spans="1:62" ht="15.75" customHeight="1">
      <c r="B501" s="497"/>
      <c r="C501" s="719"/>
      <c r="D501" s="719" t="s">
        <v>480</v>
      </c>
      <c r="E501" s="719"/>
      <c r="F501" s="805"/>
      <c r="G501" s="719"/>
      <c r="H501" s="719"/>
      <c r="I501" s="805"/>
      <c r="J501" s="719"/>
      <c r="K501" s="719"/>
      <c r="L501" s="719"/>
      <c r="M501" s="805"/>
      <c r="N501" s="719"/>
      <c r="O501" s="719"/>
      <c r="P501" s="719"/>
      <c r="Q501" s="805"/>
      <c r="R501" s="805"/>
      <c r="S501" s="805"/>
      <c r="T501" s="811"/>
      <c r="U501" s="811"/>
      <c r="V501" s="719"/>
      <c r="W501" s="719"/>
      <c r="X501" s="719"/>
      <c r="Y501" s="719"/>
      <c r="Z501" s="805"/>
      <c r="AA501" s="719"/>
      <c r="AB501" s="719"/>
      <c r="AC501" s="805"/>
      <c r="AD501" s="719"/>
      <c r="AE501" s="719"/>
      <c r="AF501" s="872"/>
      <c r="AG501" s="719"/>
      <c r="AH501" s="719"/>
      <c r="AI501" s="719"/>
      <c r="AJ501" s="719"/>
      <c r="AK501" s="719"/>
      <c r="AL501" s="872"/>
      <c r="AM501" s="719"/>
      <c r="AN501" s="719"/>
      <c r="AO501" s="719"/>
      <c r="AP501" s="719"/>
      <c r="AQ501" s="719"/>
      <c r="AR501" s="719"/>
      <c r="AS501" s="719"/>
      <c r="AT501" s="719"/>
      <c r="AU501" s="719"/>
      <c r="AV501" s="719"/>
      <c r="AW501" s="719"/>
      <c r="AX501" s="719"/>
      <c r="AY501" s="719"/>
      <c r="AZ501" s="719"/>
      <c r="BA501" s="719"/>
      <c r="BB501" s="719"/>
      <c r="BC501" s="719"/>
      <c r="BD501" s="719"/>
      <c r="BE501" s="719"/>
      <c r="BF501" s="719"/>
      <c r="BG501" s="719"/>
      <c r="BH501" s="719"/>
      <c r="BI501" s="719"/>
      <c r="BJ501" s="719"/>
    </row>
    <row r="502" spans="1:62" ht="15.75" customHeight="1">
      <c r="B502" s="497"/>
      <c r="C502" s="719"/>
      <c r="D502" s="719">
        <v>4423</v>
      </c>
      <c r="E502" s="719" t="e">
        <v>#N/A</v>
      </c>
      <c r="F502" s="805"/>
      <c r="G502" s="719"/>
      <c r="H502" s="719"/>
      <c r="I502" s="805"/>
      <c r="J502" s="719" t="e">
        <v>#N/A</v>
      </c>
      <c r="K502" s="719"/>
      <c r="L502" s="719"/>
      <c r="M502" s="805"/>
      <c r="N502" s="719"/>
      <c r="O502" s="719" t="e">
        <v>#N/A</v>
      </c>
      <c r="P502" s="719"/>
      <c r="Q502" s="805"/>
      <c r="R502" s="805"/>
      <c r="S502" s="805"/>
      <c r="T502" s="811"/>
      <c r="U502" s="811"/>
      <c r="V502" s="719"/>
      <c r="W502" s="719"/>
      <c r="X502" s="719"/>
      <c r="Y502" s="719"/>
      <c r="Z502" s="719"/>
      <c r="AA502" s="719"/>
      <c r="AB502" s="719"/>
      <c r="AC502" s="719"/>
      <c r="AD502" s="719"/>
      <c r="AE502" s="719"/>
      <c r="AF502" s="719"/>
      <c r="AG502" s="719"/>
      <c r="AH502" s="719"/>
      <c r="AI502" s="719"/>
      <c r="AJ502" s="719"/>
      <c r="AK502" s="719"/>
      <c r="AL502" s="719"/>
      <c r="AM502" s="719"/>
      <c r="AN502" s="719"/>
      <c r="AO502" s="719"/>
      <c r="AP502" s="719"/>
      <c r="AQ502" s="719"/>
      <c r="AR502" s="719"/>
      <c r="AS502" s="719"/>
      <c r="AT502" s="719"/>
      <c r="AU502" s="719"/>
      <c r="AV502" s="719"/>
      <c r="AW502" s="719"/>
      <c r="AX502" s="719"/>
      <c r="AY502" s="719"/>
      <c r="AZ502" s="719"/>
      <c r="BA502" s="719"/>
      <c r="BB502" s="719"/>
      <c r="BC502" s="719"/>
      <c r="BD502" s="719"/>
      <c r="BE502" s="719"/>
      <c r="BF502" s="719"/>
      <c r="BG502" s="719"/>
      <c r="BH502" s="719"/>
      <c r="BI502" s="719"/>
      <c r="BJ502" s="719"/>
    </row>
    <row r="503" spans="1:62" ht="15.75" customHeight="1">
      <c r="B503" s="497"/>
      <c r="C503" s="719"/>
      <c r="D503" s="719">
        <v>5423</v>
      </c>
      <c r="E503" s="719" t="e">
        <v>#N/A</v>
      </c>
      <c r="F503" s="805"/>
      <c r="G503" s="719"/>
      <c r="H503" s="719"/>
      <c r="I503" s="805"/>
      <c r="J503" s="719" t="e">
        <v>#N/A</v>
      </c>
      <c r="K503" s="719" t="e">
        <v>#N/A</v>
      </c>
      <c r="L503" s="719"/>
      <c r="M503" s="805"/>
      <c r="N503" s="719"/>
      <c r="O503" s="719" t="e">
        <v>#N/A</v>
      </c>
      <c r="P503" s="719" t="e">
        <v>#N/A</v>
      </c>
      <c r="Q503" s="805"/>
      <c r="R503" s="805"/>
      <c r="S503" s="805"/>
      <c r="T503" s="811"/>
      <c r="U503" s="811"/>
      <c r="V503" s="719"/>
      <c r="W503" s="719"/>
      <c r="X503" s="719"/>
      <c r="Y503" s="719"/>
      <c r="Z503" s="719"/>
      <c r="AA503" s="719"/>
      <c r="AB503" s="719"/>
      <c r="AC503" s="719"/>
      <c r="AD503" s="719"/>
      <c r="AE503" s="719"/>
      <c r="AF503" s="719"/>
      <c r="AG503" s="719"/>
      <c r="AH503" s="719"/>
      <c r="AI503" s="719"/>
      <c r="AJ503" s="719"/>
      <c r="AK503" s="719"/>
      <c r="AL503" s="719"/>
      <c r="AM503" s="719"/>
      <c r="AN503" s="719"/>
      <c r="AO503" s="719"/>
      <c r="AP503" s="719"/>
      <c r="AQ503" s="719"/>
      <c r="AR503" s="719"/>
      <c r="AS503" s="719"/>
      <c r="AT503" s="719"/>
      <c r="AU503" s="719"/>
      <c r="AV503" s="719"/>
      <c r="AW503" s="719"/>
      <c r="AX503" s="719"/>
      <c r="AY503" s="719"/>
      <c r="AZ503" s="719"/>
      <c r="BA503" s="719"/>
      <c r="BB503" s="719"/>
      <c r="BC503" s="719"/>
      <c r="BD503" s="719"/>
      <c r="BE503" s="719"/>
      <c r="BF503" s="719"/>
      <c r="BG503" s="719"/>
      <c r="BH503" s="719"/>
      <c r="BI503" s="719"/>
      <c r="BJ503" s="719"/>
    </row>
    <row r="504" spans="1:62" ht="15.75" customHeight="1">
      <c r="B504" s="497"/>
      <c r="C504" s="719"/>
      <c r="D504" s="719"/>
      <c r="E504" s="719" t="s">
        <v>481</v>
      </c>
      <c r="F504" s="805"/>
      <c r="G504" s="719"/>
      <c r="H504" s="719"/>
      <c r="I504" s="805"/>
      <c r="J504" s="719" t="e">
        <v>#N/A</v>
      </c>
      <c r="K504" s="719" t="e">
        <v>#N/A</v>
      </c>
      <c r="L504" s="719"/>
      <c r="M504" s="805"/>
      <c r="N504" s="719"/>
      <c r="O504" s="719" t="e">
        <v>#N/A</v>
      </c>
      <c r="P504" s="719" t="e">
        <v>#N/A</v>
      </c>
      <c r="Q504" s="805"/>
      <c r="R504" s="805"/>
      <c r="S504" s="805"/>
      <c r="T504" s="811"/>
      <c r="U504" s="811"/>
      <c r="V504" s="719"/>
      <c r="W504" s="719"/>
      <c r="X504" s="719"/>
      <c r="Y504" s="719"/>
      <c r="Z504" s="719"/>
      <c r="AA504" s="719"/>
      <c r="AB504" s="719"/>
      <c r="AC504" s="719"/>
      <c r="AD504" s="719"/>
      <c r="AE504" s="719"/>
      <c r="AF504" s="719"/>
      <c r="AG504" s="719"/>
      <c r="AH504" s="719"/>
      <c r="AI504" s="719"/>
      <c r="AJ504" s="719"/>
      <c r="AK504" s="719"/>
      <c r="AL504" s="719"/>
      <c r="AM504" s="719"/>
      <c r="AN504" s="719"/>
      <c r="AO504" s="719"/>
      <c r="AP504" s="719"/>
      <c r="AQ504" s="719"/>
      <c r="AR504" s="719"/>
      <c r="AS504" s="719"/>
      <c r="AT504" s="719"/>
      <c r="AU504" s="719"/>
      <c r="AV504" s="719"/>
      <c r="AW504" s="719"/>
      <c r="AX504" s="719"/>
      <c r="AY504" s="719"/>
      <c r="AZ504" s="719"/>
      <c r="BA504" s="719"/>
      <c r="BB504" s="719"/>
      <c r="BC504" s="719"/>
      <c r="BD504" s="719"/>
      <c r="BE504" s="719"/>
      <c r="BF504" s="719"/>
      <c r="BG504" s="719"/>
      <c r="BH504" s="719"/>
      <c r="BI504" s="719"/>
      <c r="BJ504" s="719"/>
    </row>
    <row r="505" spans="1:62" ht="15.75" customHeight="1">
      <c r="B505" s="497"/>
      <c r="C505" s="719"/>
      <c r="D505" s="719"/>
      <c r="E505" s="719"/>
      <c r="F505" s="805"/>
      <c r="G505" s="719"/>
      <c r="H505" s="719"/>
      <c r="I505" s="805"/>
      <c r="J505" s="719"/>
      <c r="K505" s="719"/>
      <c r="L505" s="719"/>
      <c r="M505" s="805"/>
      <c r="N505" s="719"/>
      <c r="O505" s="719"/>
      <c r="P505" s="719"/>
      <c r="Q505" s="805"/>
      <c r="R505" s="805"/>
      <c r="S505" s="805"/>
      <c r="T505" s="811"/>
      <c r="U505" s="811"/>
      <c r="V505" s="719"/>
      <c r="W505" s="719"/>
      <c r="X505" s="719"/>
      <c r="Y505" s="719"/>
      <c r="Z505" s="719"/>
      <c r="AA505" s="719"/>
      <c r="AB505" s="719"/>
      <c r="AC505" s="719"/>
      <c r="AD505" s="719"/>
      <c r="AE505" s="719"/>
      <c r="AF505" s="719"/>
      <c r="AG505" s="719"/>
      <c r="AH505" s="719"/>
      <c r="AI505" s="719"/>
      <c r="AJ505" s="719"/>
      <c r="AK505" s="719"/>
      <c r="AL505" s="719"/>
      <c r="AM505" s="719"/>
      <c r="AN505" s="719"/>
      <c r="AO505" s="719"/>
      <c r="AP505" s="719"/>
      <c r="AQ505" s="719"/>
      <c r="AR505" s="719"/>
      <c r="AS505" s="719"/>
      <c r="AT505" s="719"/>
      <c r="AU505" s="719"/>
      <c r="AV505" s="719"/>
      <c r="AW505" s="719"/>
      <c r="AX505" s="719"/>
      <c r="AY505" s="719"/>
      <c r="AZ505" s="719"/>
      <c r="BA505" s="719"/>
      <c r="BB505" s="719"/>
      <c r="BC505" s="719"/>
      <c r="BD505" s="719"/>
      <c r="BE505" s="719"/>
      <c r="BF505" s="719"/>
      <c r="BG505" s="719"/>
      <c r="BH505" s="719"/>
      <c r="BI505" s="719"/>
      <c r="BJ505" s="719"/>
    </row>
    <row r="506" spans="1:62" ht="15.75" customHeight="1">
      <c r="B506" s="497"/>
      <c r="C506" s="719"/>
      <c r="D506" s="719">
        <v>4425</v>
      </c>
      <c r="E506" s="719" t="e">
        <v>#N/A</v>
      </c>
      <c r="F506" s="805"/>
      <c r="G506" s="719"/>
      <c r="H506" s="719"/>
      <c r="I506" s="805"/>
      <c r="J506" s="719" t="e">
        <v>#N/A</v>
      </c>
      <c r="K506" s="719"/>
      <c r="L506" s="719"/>
      <c r="M506" s="805"/>
      <c r="N506" s="719"/>
      <c r="O506" s="719" t="e">
        <v>#N/A</v>
      </c>
      <c r="P506" s="719"/>
      <c r="Q506" s="805"/>
      <c r="R506" s="805"/>
      <c r="S506" s="805"/>
      <c r="T506" s="811"/>
      <c r="U506" s="811"/>
      <c r="V506" s="719"/>
      <c r="W506" s="719"/>
      <c r="X506" s="719"/>
      <c r="Y506" s="719"/>
      <c r="Z506" s="719"/>
      <c r="AA506" s="719"/>
      <c r="AB506" s="719"/>
      <c r="AC506" s="719"/>
      <c r="AD506" s="719"/>
      <c r="AE506" s="719"/>
      <c r="AF506" s="719"/>
      <c r="AG506" s="719"/>
      <c r="AH506" s="719"/>
      <c r="AI506" s="719"/>
      <c r="AJ506" s="719"/>
      <c r="AK506" s="719"/>
      <c r="AL506" s="719"/>
      <c r="AM506" s="719"/>
      <c r="AN506" s="719"/>
      <c r="AO506" s="719"/>
      <c r="AP506" s="719"/>
      <c r="AQ506" s="719"/>
      <c r="AR506" s="719"/>
      <c r="AS506" s="719"/>
      <c r="AT506" s="719"/>
      <c r="AU506" s="719"/>
      <c r="AV506" s="719"/>
      <c r="AW506" s="719"/>
      <c r="AX506" s="719"/>
      <c r="AY506" s="719"/>
      <c r="AZ506" s="719"/>
      <c r="BA506" s="719"/>
      <c r="BB506" s="719"/>
      <c r="BC506" s="719"/>
      <c r="BD506" s="719"/>
      <c r="BE506" s="719"/>
      <c r="BF506" s="719"/>
      <c r="BG506" s="719"/>
      <c r="BH506" s="719"/>
      <c r="BI506" s="719"/>
      <c r="BJ506" s="719"/>
    </row>
    <row r="507" spans="1:62" ht="15.75" customHeight="1">
      <c r="B507" s="497"/>
      <c r="C507" s="719"/>
      <c r="D507" s="719"/>
      <c r="E507" s="719"/>
      <c r="F507" s="805"/>
      <c r="G507" s="719"/>
      <c r="H507" s="719"/>
      <c r="I507" s="805"/>
      <c r="J507" s="719"/>
      <c r="K507" s="719"/>
      <c r="L507" s="719"/>
      <c r="M507" s="805"/>
      <c r="N507" s="719"/>
      <c r="O507" s="719"/>
      <c r="P507" s="719"/>
      <c r="Q507" s="805"/>
      <c r="R507" s="805"/>
      <c r="S507" s="805"/>
      <c r="T507" s="811"/>
      <c r="U507" s="811"/>
      <c r="V507" s="719"/>
      <c r="W507" s="811"/>
      <c r="X507" s="811"/>
      <c r="Y507" s="719"/>
      <c r="Z507" s="719"/>
      <c r="AA507" s="719"/>
      <c r="AB507" s="719"/>
      <c r="AC507" s="719"/>
      <c r="AD507" s="719"/>
      <c r="AE507" s="719"/>
      <c r="AF507" s="719"/>
      <c r="AG507" s="719"/>
      <c r="AH507" s="719"/>
      <c r="AI507" s="719"/>
      <c r="AJ507" s="719"/>
      <c r="AK507" s="719"/>
      <c r="AL507" s="719"/>
      <c r="AM507" s="719"/>
      <c r="AN507" s="719"/>
      <c r="AO507" s="719"/>
      <c r="AP507" s="719"/>
      <c r="AQ507" s="719"/>
      <c r="AR507" s="719"/>
      <c r="AS507" s="719"/>
      <c r="AT507" s="719"/>
      <c r="AU507" s="719"/>
      <c r="AV507" s="719"/>
      <c r="AW507" s="719"/>
      <c r="AX507" s="719"/>
      <c r="AY507" s="719"/>
      <c r="AZ507" s="719"/>
      <c r="BA507" s="719"/>
      <c r="BB507" s="719"/>
      <c r="BC507" s="719"/>
      <c r="BD507" s="719"/>
      <c r="BE507" s="719"/>
      <c r="BF507" s="719"/>
      <c r="BG507" s="719"/>
      <c r="BH507" s="719"/>
      <c r="BI507" s="719"/>
      <c r="BJ507" s="719"/>
    </row>
    <row r="508" spans="1:62" ht="15.75" customHeight="1">
      <c r="B508" s="497"/>
      <c r="C508" s="719"/>
      <c r="D508" s="719"/>
      <c r="E508" s="719"/>
      <c r="F508" s="805"/>
      <c r="G508" s="719"/>
      <c r="H508" s="719"/>
      <c r="I508" s="805"/>
      <c r="J508" s="719"/>
      <c r="K508" s="719"/>
      <c r="L508" s="719"/>
      <c r="M508" s="805"/>
      <c r="N508" s="719"/>
      <c r="O508" s="719"/>
      <c r="P508" s="719"/>
      <c r="Q508" s="805"/>
      <c r="R508" s="805"/>
      <c r="S508" s="805"/>
      <c r="T508" s="811"/>
      <c r="U508" s="811"/>
      <c r="V508" s="719"/>
      <c r="W508" s="811"/>
      <c r="X508" s="811"/>
      <c r="Y508" s="719"/>
      <c r="Z508" s="719"/>
      <c r="AA508" s="719"/>
      <c r="AB508" s="719"/>
      <c r="AC508" s="719"/>
      <c r="AD508" s="719"/>
      <c r="AE508" s="719"/>
      <c r="AF508" s="719"/>
      <c r="AG508" s="719"/>
      <c r="AH508" s="719"/>
      <c r="AI508" s="719"/>
      <c r="AJ508" s="719"/>
      <c r="AK508" s="719"/>
      <c r="AL508" s="719"/>
      <c r="AM508" s="719"/>
      <c r="AN508" s="719"/>
      <c r="AO508" s="719"/>
      <c r="AP508" s="719"/>
      <c r="AQ508" s="719"/>
      <c r="AR508" s="719"/>
      <c r="AS508" s="719"/>
      <c r="AT508" s="719"/>
      <c r="AU508" s="719"/>
      <c r="AV508" s="719"/>
      <c r="AW508" s="719"/>
      <c r="AX508" s="719"/>
      <c r="AY508" s="719"/>
      <c r="AZ508" s="719"/>
      <c r="BA508" s="719"/>
      <c r="BB508" s="719"/>
      <c r="BC508" s="719"/>
      <c r="BD508" s="719"/>
      <c r="BE508" s="719"/>
      <c r="BF508" s="719"/>
      <c r="BG508" s="719"/>
      <c r="BH508" s="719"/>
      <c r="BI508" s="719"/>
      <c r="BJ508" s="719"/>
    </row>
    <row r="509" spans="1:62" ht="15.75" customHeight="1">
      <c r="B509" s="497"/>
      <c r="C509" s="719"/>
      <c r="D509" s="719">
        <v>4727</v>
      </c>
      <c r="E509" s="719" t="e">
        <v>#N/A</v>
      </c>
      <c r="F509" s="805"/>
      <c r="G509" s="719"/>
      <c r="H509" s="719"/>
      <c r="I509" s="805"/>
      <c r="J509" s="719" t="e">
        <v>#N/A</v>
      </c>
      <c r="K509" s="719"/>
      <c r="L509" s="719"/>
      <c r="M509" s="805"/>
      <c r="N509" s="719"/>
      <c r="O509" s="719" t="e">
        <v>#N/A</v>
      </c>
      <c r="P509" s="719"/>
      <c r="Q509" s="805"/>
      <c r="R509" s="805"/>
      <c r="S509" s="805"/>
      <c r="T509" s="811"/>
      <c r="U509" s="811"/>
      <c r="V509" s="719"/>
      <c r="W509" s="811"/>
      <c r="X509" s="811"/>
      <c r="Y509" s="719"/>
      <c r="Z509" s="719"/>
      <c r="AA509" s="719"/>
      <c r="AB509" s="719"/>
      <c r="AC509" s="719"/>
      <c r="AD509" s="719"/>
      <c r="AE509" s="719"/>
      <c r="AF509" s="719"/>
      <c r="AG509" s="719"/>
      <c r="AH509" s="719"/>
      <c r="AI509" s="719"/>
      <c r="AJ509" s="719"/>
      <c r="AK509" s="719"/>
      <c r="AL509" s="719"/>
      <c r="AM509" s="719"/>
      <c r="AN509" s="719"/>
      <c r="AO509" s="719"/>
      <c r="AP509" s="719"/>
      <c r="AQ509" s="719"/>
      <c r="AR509" s="719"/>
      <c r="AS509" s="719"/>
      <c r="AT509" s="719"/>
      <c r="AU509" s="719"/>
      <c r="AV509" s="719"/>
      <c r="AW509" s="719"/>
      <c r="AX509" s="719"/>
      <c r="AY509" s="719"/>
      <c r="AZ509" s="719"/>
      <c r="BA509" s="719"/>
      <c r="BB509" s="719"/>
      <c r="BC509" s="719"/>
      <c r="BD509" s="719"/>
      <c r="BE509" s="719"/>
      <c r="BF509" s="719"/>
      <c r="BG509" s="719"/>
      <c r="BH509" s="719"/>
      <c r="BI509" s="719"/>
      <c r="BJ509" s="719"/>
    </row>
    <row r="510" spans="1:62" ht="15.75" customHeight="1">
      <c r="B510" s="497"/>
      <c r="C510" s="719"/>
      <c r="D510" s="719">
        <v>5727</v>
      </c>
      <c r="E510" s="719" t="e">
        <v>#N/A</v>
      </c>
      <c r="F510" s="805"/>
      <c r="G510" s="719"/>
      <c r="H510" s="719"/>
      <c r="I510" s="805"/>
      <c r="J510" s="719" t="e">
        <v>#N/A</v>
      </c>
      <c r="K510" s="719" t="e">
        <v>#N/A</v>
      </c>
      <c r="L510" s="719"/>
      <c r="M510" s="805"/>
      <c r="N510" s="719"/>
      <c r="O510" s="719" t="e">
        <v>#N/A</v>
      </c>
      <c r="P510" s="719" t="e">
        <v>#N/A</v>
      </c>
      <c r="Q510" s="805"/>
      <c r="R510" s="805"/>
      <c r="S510" s="805"/>
      <c r="T510" s="811"/>
      <c r="U510" s="811"/>
      <c r="V510" s="719"/>
      <c r="W510" s="811"/>
      <c r="X510" s="811"/>
      <c r="Y510" s="719"/>
      <c r="Z510" s="719"/>
      <c r="AA510" s="719"/>
      <c r="AB510" s="719"/>
      <c r="AC510" s="719"/>
      <c r="AD510" s="719"/>
      <c r="AE510" s="719"/>
      <c r="AF510" s="719"/>
      <c r="AG510" s="719"/>
      <c r="AH510" s="719"/>
      <c r="AI510" s="719"/>
      <c r="AJ510" s="719"/>
      <c r="AK510" s="719"/>
      <c r="AL510" s="719"/>
      <c r="AM510" s="719"/>
      <c r="AN510" s="719"/>
      <c r="AO510" s="719"/>
      <c r="AP510" s="719"/>
      <c r="AQ510" s="719"/>
      <c r="AR510" s="719"/>
      <c r="AS510" s="719"/>
      <c r="AT510" s="719"/>
      <c r="AU510" s="719"/>
      <c r="AV510" s="719"/>
      <c r="AW510" s="719"/>
      <c r="AX510" s="719"/>
      <c r="AY510" s="719"/>
      <c r="AZ510" s="719"/>
      <c r="BA510" s="719"/>
      <c r="BB510" s="719"/>
      <c r="BC510" s="719"/>
      <c r="BD510" s="719"/>
      <c r="BE510" s="719"/>
      <c r="BF510" s="719"/>
      <c r="BG510" s="719"/>
      <c r="BH510" s="719"/>
      <c r="BI510" s="719"/>
      <c r="BJ510" s="719"/>
    </row>
    <row r="511" spans="1:62" ht="15.75" customHeight="1">
      <c r="B511" s="497"/>
      <c r="C511" s="719"/>
      <c r="D511" s="719"/>
      <c r="E511" s="719" t="s">
        <v>482</v>
      </c>
      <c r="F511" s="805"/>
      <c r="G511" s="719"/>
      <c r="H511" s="719"/>
      <c r="I511" s="805"/>
      <c r="J511" s="719" t="e">
        <v>#N/A</v>
      </c>
      <c r="K511" s="719" t="e">
        <v>#N/A</v>
      </c>
      <c r="L511" s="719"/>
      <c r="M511" s="805"/>
      <c r="N511" s="719"/>
      <c r="O511" s="719" t="e">
        <v>#N/A</v>
      </c>
      <c r="P511" s="719" t="e">
        <v>#N/A</v>
      </c>
      <c r="Q511" s="805"/>
      <c r="R511" s="805"/>
      <c r="S511" s="805"/>
      <c r="T511" s="811"/>
      <c r="U511" s="811"/>
      <c r="V511" s="719"/>
      <c r="W511" s="811"/>
      <c r="X511" s="811"/>
      <c r="Y511" s="719"/>
      <c r="Z511" s="719"/>
      <c r="AA511" s="719"/>
      <c r="AB511" s="719"/>
      <c r="AC511" s="719"/>
      <c r="AD511" s="719"/>
      <c r="AE511" s="719"/>
      <c r="AF511" s="719"/>
      <c r="AG511" s="719"/>
      <c r="AH511" s="719"/>
      <c r="AI511" s="719"/>
      <c r="AJ511" s="719"/>
      <c r="AK511" s="719"/>
      <c r="AL511" s="719"/>
      <c r="AM511" s="719"/>
      <c r="AN511" s="719"/>
      <c r="AO511" s="719"/>
      <c r="AP511" s="719"/>
      <c r="AQ511" s="719"/>
      <c r="AR511" s="719"/>
      <c r="AS511" s="719"/>
      <c r="AT511" s="719"/>
      <c r="AU511" s="719"/>
      <c r="AV511" s="719"/>
      <c r="AW511" s="719"/>
      <c r="AX511" s="719"/>
      <c r="AY511" s="719"/>
      <c r="AZ511" s="719"/>
      <c r="BA511" s="719"/>
      <c r="BB511" s="719"/>
      <c r="BC511" s="719"/>
      <c r="BD511" s="719"/>
      <c r="BE511" s="719"/>
      <c r="BF511" s="719"/>
      <c r="BG511" s="719"/>
      <c r="BH511" s="719"/>
      <c r="BI511" s="719"/>
      <c r="BJ511" s="719"/>
    </row>
    <row r="512" spans="1:62" ht="15.75" customHeight="1">
      <c r="B512" s="497"/>
      <c r="C512" s="719"/>
      <c r="D512" s="719"/>
      <c r="E512" s="719"/>
      <c r="F512" s="805"/>
      <c r="G512" s="719"/>
      <c r="H512" s="719"/>
      <c r="I512" s="805"/>
      <c r="J512" s="719"/>
      <c r="K512" s="719"/>
      <c r="L512" s="719"/>
      <c r="M512" s="805"/>
      <c r="N512" s="719"/>
      <c r="O512" s="719"/>
      <c r="P512" s="719"/>
      <c r="Q512" s="805"/>
      <c r="R512" s="805"/>
      <c r="S512" s="805"/>
      <c r="T512" s="811"/>
      <c r="U512" s="811"/>
      <c r="V512" s="811"/>
      <c r="W512" s="811"/>
      <c r="X512" s="811"/>
      <c r="Y512" s="719"/>
      <c r="Z512" s="719"/>
      <c r="AA512" s="719"/>
      <c r="AB512" s="719"/>
      <c r="AC512" s="719"/>
      <c r="AD512" s="719"/>
      <c r="AE512" s="719"/>
      <c r="AF512" s="719"/>
      <c r="AG512" s="719"/>
      <c r="AH512" s="719"/>
      <c r="AI512" s="719"/>
      <c r="AJ512" s="719"/>
      <c r="AK512" s="719"/>
      <c r="AL512" s="719"/>
      <c r="AM512" s="719"/>
      <c r="AN512" s="719"/>
      <c r="AO512" s="719"/>
      <c r="AP512" s="719"/>
      <c r="AQ512" s="719"/>
      <c r="AR512" s="719"/>
      <c r="AS512" s="719"/>
      <c r="AT512" s="719"/>
      <c r="AU512" s="719"/>
      <c r="AV512" s="719"/>
      <c r="AW512" s="719"/>
      <c r="AX512" s="719"/>
      <c r="AY512" s="719"/>
      <c r="AZ512" s="719"/>
      <c r="BA512" s="719"/>
      <c r="BB512" s="719"/>
      <c r="BC512" s="719"/>
      <c r="BD512" s="719"/>
      <c r="BE512" s="719"/>
      <c r="BF512" s="719"/>
      <c r="BG512" s="719"/>
      <c r="BH512" s="719"/>
      <c r="BI512" s="719"/>
      <c r="BJ512" s="719"/>
    </row>
    <row r="513" spans="2:62" ht="15.75" customHeight="1">
      <c r="B513" s="497"/>
      <c r="C513" s="873"/>
      <c r="D513" s="811">
        <v>4729</v>
      </c>
      <c r="E513" s="811" t="e">
        <v>#N/A</v>
      </c>
      <c r="F513" s="874"/>
      <c r="G513" s="811"/>
      <c r="H513" s="811"/>
      <c r="I513" s="874"/>
      <c r="J513" s="811" t="e">
        <v>#N/A</v>
      </c>
      <c r="K513" s="811"/>
      <c r="L513" s="811"/>
      <c r="M513" s="874"/>
      <c r="N513" s="811"/>
      <c r="O513" s="811" t="e">
        <v>#N/A</v>
      </c>
      <c r="P513" s="811"/>
      <c r="Q513" s="874"/>
      <c r="R513" s="874"/>
      <c r="S513" s="874"/>
      <c r="T513" s="811"/>
      <c r="U513" s="811"/>
      <c r="V513" s="811"/>
      <c r="W513" s="811"/>
      <c r="X513" s="811"/>
      <c r="Y513" s="719"/>
      <c r="Z513" s="719"/>
      <c r="AA513" s="719"/>
      <c r="AB513" s="719"/>
      <c r="AC513" s="719"/>
      <c r="AD513" s="719"/>
      <c r="AE513" s="719"/>
      <c r="AF513" s="719"/>
      <c r="AG513" s="719"/>
      <c r="AH513" s="719"/>
      <c r="AI513" s="719"/>
      <c r="AJ513" s="719"/>
      <c r="AK513" s="719"/>
      <c r="AL513" s="719"/>
      <c r="AM513" s="719"/>
      <c r="AN513" s="719"/>
      <c r="AO513" s="719"/>
      <c r="AP513" s="719"/>
      <c r="AQ513" s="719"/>
      <c r="AR513" s="719"/>
      <c r="AS513" s="719"/>
      <c r="AT513" s="719"/>
      <c r="AU513" s="719"/>
      <c r="AV513" s="719"/>
      <c r="AW513" s="719"/>
      <c r="AX513" s="719"/>
      <c r="AY513" s="719"/>
      <c r="AZ513" s="719"/>
      <c r="BA513" s="719"/>
      <c r="BB513" s="719"/>
      <c r="BC513" s="719"/>
      <c r="BD513" s="719"/>
      <c r="BE513" s="719"/>
      <c r="BF513" s="719"/>
      <c r="BG513" s="719"/>
      <c r="BH513" s="719"/>
      <c r="BI513" s="719"/>
      <c r="BJ513" s="719"/>
    </row>
    <row r="514" spans="2:62" ht="15.75" customHeight="1">
      <c r="B514" s="497"/>
      <c r="C514" s="875"/>
      <c r="D514" s="811"/>
      <c r="E514" s="811"/>
      <c r="F514" s="874"/>
      <c r="G514" s="811"/>
      <c r="H514" s="811"/>
      <c r="I514" s="874"/>
      <c r="J514" s="811"/>
      <c r="K514" s="811"/>
      <c r="L514" s="811"/>
      <c r="M514" s="874"/>
      <c r="N514" s="811"/>
      <c r="O514" s="811"/>
      <c r="P514" s="811"/>
      <c r="Q514" s="874"/>
      <c r="R514" s="874"/>
      <c r="S514" s="874"/>
      <c r="T514" s="811"/>
      <c r="U514" s="811"/>
      <c r="V514" s="811"/>
      <c r="W514" s="811"/>
      <c r="X514" s="811"/>
      <c r="Y514" s="719"/>
      <c r="Z514" s="719"/>
      <c r="AA514" s="719"/>
      <c r="AB514" s="719"/>
      <c r="AC514" s="719"/>
      <c r="AD514" s="719"/>
      <c r="AE514" s="719"/>
      <c r="AF514" s="719"/>
      <c r="AG514" s="719"/>
      <c r="AH514" s="719"/>
      <c r="AI514" s="719"/>
      <c r="AJ514" s="719"/>
      <c r="AK514" s="719"/>
      <c r="AL514" s="719"/>
      <c r="AM514" s="719"/>
      <c r="AN514" s="719"/>
      <c r="AO514" s="719"/>
      <c r="AP514" s="719"/>
      <c r="AQ514" s="719"/>
      <c r="AR514" s="719"/>
      <c r="AS514" s="719"/>
      <c r="AT514" s="719"/>
      <c r="AU514" s="719"/>
      <c r="AV514" s="719"/>
      <c r="AW514" s="719"/>
      <c r="AX514" s="719"/>
      <c r="AY514" s="719"/>
      <c r="AZ514" s="719"/>
      <c r="BA514" s="719"/>
      <c r="BB514" s="719"/>
      <c r="BC514" s="719"/>
      <c r="BD514" s="719"/>
      <c r="BE514" s="719"/>
      <c r="BF514" s="719"/>
      <c r="BG514" s="719"/>
      <c r="BH514" s="719"/>
      <c r="BI514" s="719"/>
      <c r="BJ514" s="719"/>
    </row>
    <row r="515" spans="2:62" ht="15.75" customHeight="1">
      <c r="B515" s="497"/>
      <c r="C515" s="811"/>
      <c r="D515" s="811" t="s">
        <v>483</v>
      </c>
      <c r="E515" s="811"/>
      <c r="F515" s="874"/>
      <c r="G515" s="811"/>
      <c r="H515" s="811"/>
      <c r="I515" s="874"/>
      <c r="J515" s="811"/>
      <c r="K515" s="811"/>
      <c r="L515" s="811"/>
      <c r="M515" s="874"/>
      <c r="N515" s="811"/>
      <c r="O515" s="811"/>
      <c r="P515" s="811"/>
      <c r="Q515" s="874"/>
      <c r="R515" s="874"/>
      <c r="S515" s="874"/>
      <c r="T515" s="811"/>
      <c r="U515" s="811"/>
      <c r="V515" s="811"/>
      <c r="W515" s="811"/>
      <c r="X515" s="811"/>
      <c r="Y515" s="719"/>
      <c r="Z515" s="719"/>
      <c r="AA515" s="719"/>
      <c r="AB515" s="719"/>
      <c r="AC515" s="719"/>
      <c r="AD515" s="719"/>
      <c r="AE515" s="719"/>
      <c r="AF515" s="719"/>
      <c r="AG515" s="719"/>
      <c r="AH515" s="719"/>
      <c r="AI515" s="719"/>
      <c r="AJ515" s="719"/>
      <c r="AK515" s="719"/>
      <c r="AL515" s="719"/>
      <c r="AM515" s="719"/>
      <c r="AN515" s="719"/>
      <c r="AO515" s="719"/>
      <c r="AP515" s="719"/>
      <c r="AQ515" s="719"/>
      <c r="AR515" s="719"/>
      <c r="AS515" s="719"/>
      <c r="AT515" s="719"/>
      <c r="AU515" s="719"/>
      <c r="AV515" s="719"/>
      <c r="AW515" s="719"/>
      <c r="AX515" s="719"/>
      <c r="AY515" s="719"/>
      <c r="AZ515" s="719"/>
      <c r="BA515" s="719"/>
      <c r="BB515" s="719"/>
      <c r="BC515" s="719"/>
      <c r="BD515" s="719"/>
      <c r="BE515" s="719"/>
      <c r="BF515" s="719"/>
      <c r="BG515" s="719"/>
      <c r="BH515" s="719"/>
      <c r="BI515" s="719"/>
      <c r="BJ515" s="719"/>
    </row>
    <row r="516" spans="2:62" ht="15.75" customHeight="1">
      <c r="B516" s="497"/>
      <c r="C516" s="811"/>
      <c r="D516" s="811"/>
      <c r="E516" s="811" t="s">
        <v>484</v>
      </c>
      <c r="F516" s="811"/>
      <c r="G516" s="811"/>
      <c r="H516" s="811"/>
      <c r="I516" s="811"/>
      <c r="J516" s="873" t="e">
        <v>#N/A</v>
      </c>
      <c r="K516" s="873"/>
      <c r="L516" s="873"/>
      <c r="M516" s="874"/>
      <c r="N516" s="811"/>
      <c r="O516" s="811" t="e">
        <v>#N/A</v>
      </c>
      <c r="P516" s="811"/>
      <c r="Q516" s="811"/>
      <c r="R516" s="811"/>
      <c r="S516" s="874"/>
      <c r="T516" s="811"/>
      <c r="U516" s="811"/>
      <c r="V516" s="811"/>
      <c r="W516" s="811"/>
      <c r="X516" s="811"/>
      <c r="Y516" s="719"/>
      <c r="Z516" s="719"/>
      <c r="AA516" s="719"/>
      <c r="AB516" s="719"/>
      <c r="AC516" s="719"/>
      <c r="AD516" s="719"/>
      <c r="AE516" s="719"/>
      <c r="AF516" s="719"/>
      <c r="AG516" s="719"/>
      <c r="AH516" s="719"/>
      <c r="AI516" s="719"/>
      <c r="AJ516" s="719"/>
      <c r="AK516" s="719"/>
      <c r="AL516" s="719"/>
      <c r="AM516" s="719"/>
      <c r="AN516" s="719"/>
      <c r="AO516" s="719"/>
      <c r="AP516" s="719"/>
      <c r="AQ516" s="719"/>
      <c r="AR516" s="719"/>
      <c r="AS516" s="719"/>
      <c r="AT516" s="719"/>
      <c r="AU516" s="719"/>
      <c r="AV516" s="719"/>
      <c r="AW516" s="719"/>
      <c r="AX516" s="719"/>
      <c r="AY516" s="719"/>
      <c r="AZ516" s="719"/>
      <c r="BA516" s="719"/>
      <c r="BB516" s="719"/>
      <c r="BC516" s="719"/>
      <c r="BD516" s="719"/>
      <c r="BE516" s="719"/>
      <c r="BF516" s="719"/>
      <c r="BG516" s="719"/>
      <c r="BH516" s="719"/>
      <c r="BI516" s="719"/>
      <c r="BJ516" s="719"/>
    </row>
    <row r="517" spans="2:62" ht="15.75" customHeight="1">
      <c r="B517" s="497"/>
      <c r="C517" s="811"/>
      <c r="D517" s="811"/>
      <c r="E517" s="811" t="s">
        <v>485</v>
      </c>
      <c r="F517" s="811"/>
      <c r="G517" s="811"/>
      <c r="H517" s="811"/>
      <c r="I517" s="811"/>
      <c r="J517" s="811" t="e">
        <v>#N/A</v>
      </c>
      <c r="K517" s="811" t="e">
        <v>#N/A</v>
      </c>
      <c r="L517" s="811"/>
      <c r="M517" s="874"/>
      <c r="N517" s="811"/>
      <c r="O517" s="811" t="e">
        <v>#N/A</v>
      </c>
      <c r="P517" s="811" t="e">
        <v>#N/A</v>
      </c>
      <c r="Q517" s="811"/>
      <c r="R517" s="811"/>
      <c r="S517" s="874"/>
      <c r="T517" s="811"/>
      <c r="U517" s="811"/>
      <c r="V517" s="811"/>
      <c r="W517" s="811"/>
      <c r="X517" s="811"/>
      <c r="Y517" s="719"/>
      <c r="Z517" s="719"/>
      <c r="AA517" s="719"/>
      <c r="AB517" s="719"/>
      <c r="AC517" s="719"/>
      <c r="AD517" s="719"/>
      <c r="AE517" s="719"/>
      <c r="AF517" s="719"/>
      <c r="AG517" s="719"/>
      <c r="AH517" s="719"/>
      <c r="AI517" s="719"/>
      <c r="AJ517" s="719"/>
      <c r="AK517" s="719"/>
      <c r="AL517" s="719"/>
      <c r="AM517" s="719"/>
      <c r="AN517" s="719"/>
      <c r="AO517" s="719"/>
      <c r="AP517" s="719"/>
      <c r="AQ517" s="719"/>
      <c r="AR517" s="719"/>
      <c r="AS517" s="719"/>
      <c r="AT517" s="719"/>
      <c r="AU517" s="719"/>
      <c r="AV517" s="719"/>
      <c r="AW517" s="719"/>
      <c r="AX517" s="719"/>
      <c r="AY517" s="719"/>
      <c r="AZ517" s="719"/>
      <c r="BA517" s="719"/>
      <c r="BB517" s="719"/>
      <c r="BC517" s="719"/>
      <c r="BD517" s="719"/>
      <c r="BE517" s="719"/>
      <c r="BF517" s="719"/>
      <c r="BG517" s="719"/>
      <c r="BH517" s="719"/>
      <c r="BI517" s="719"/>
      <c r="BJ517" s="719"/>
    </row>
    <row r="518" spans="2:62" ht="15.75" customHeight="1">
      <c r="B518" s="497"/>
      <c r="C518" s="811"/>
      <c r="D518" s="811"/>
      <c r="E518" s="811"/>
      <c r="F518" s="811"/>
      <c r="G518" s="811"/>
      <c r="H518" s="811"/>
      <c r="I518" s="811"/>
      <c r="J518" s="811" t="e">
        <v>#N/A</v>
      </c>
      <c r="K518" s="811" t="e">
        <v>#N/A</v>
      </c>
      <c r="L518" s="811"/>
      <c r="M518" s="874"/>
      <c r="N518" s="811"/>
      <c r="O518" s="811" t="e">
        <v>#N/A</v>
      </c>
      <c r="P518" s="811" t="e">
        <v>#N/A</v>
      </c>
      <c r="Q518" s="811"/>
      <c r="R518" s="811"/>
      <c r="S518" s="874"/>
      <c r="T518" s="811"/>
      <c r="U518" s="811"/>
      <c r="V518" s="811"/>
      <c r="W518" s="811"/>
      <c r="X518" s="811"/>
      <c r="Y518" s="719"/>
      <c r="Z518" s="719"/>
      <c r="AA518" s="719"/>
      <c r="AB518" s="719"/>
      <c r="AC518" s="719"/>
      <c r="AD518" s="719"/>
      <c r="AE518" s="719"/>
      <c r="AF518" s="719"/>
      <c r="AG518" s="719"/>
      <c r="AH518" s="719"/>
      <c r="AI518" s="719"/>
      <c r="AJ518" s="719"/>
      <c r="AK518" s="719"/>
      <c r="AL518" s="719"/>
      <c r="AM518" s="719"/>
      <c r="AN518" s="719"/>
      <c r="AO518" s="719"/>
      <c r="AP518" s="719"/>
      <c r="AQ518" s="719"/>
      <c r="AR518" s="719"/>
      <c r="AS518" s="719"/>
      <c r="AT518" s="719"/>
      <c r="AU518" s="719"/>
      <c r="AV518" s="719"/>
      <c r="AW518" s="719"/>
      <c r="AX518" s="719"/>
      <c r="AY518" s="719"/>
      <c r="AZ518" s="719"/>
      <c r="BA518" s="719"/>
      <c r="BB518" s="719"/>
      <c r="BC518" s="719"/>
      <c r="BD518" s="719"/>
      <c r="BE518" s="719"/>
      <c r="BF518" s="719"/>
      <c r="BG518" s="719"/>
      <c r="BH518" s="719"/>
      <c r="BI518" s="719"/>
      <c r="BJ518" s="719"/>
    </row>
    <row r="519" spans="2:62" ht="15.75" customHeight="1">
      <c r="B519" s="497"/>
      <c r="C519" s="811"/>
      <c r="D519" s="811"/>
      <c r="E519" s="811"/>
      <c r="F519" s="811"/>
      <c r="G519" s="811"/>
      <c r="H519" s="811"/>
      <c r="I519" s="811"/>
      <c r="J519" s="811"/>
      <c r="K519" s="811"/>
      <c r="L519" s="811"/>
      <c r="M519" s="874"/>
      <c r="N519" s="811"/>
      <c r="O519" s="811"/>
      <c r="P519" s="811"/>
      <c r="Q519" s="811"/>
      <c r="R519" s="811"/>
      <c r="S519" s="874"/>
      <c r="T519" s="811"/>
      <c r="U519" s="811"/>
      <c r="V519" s="811"/>
      <c r="W519" s="811"/>
      <c r="X519" s="811"/>
      <c r="Y519" s="719"/>
      <c r="Z519" s="719"/>
      <c r="AA519" s="719"/>
      <c r="AB519" s="719"/>
      <c r="AC519" s="719"/>
      <c r="AD519" s="719"/>
      <c r="AE519" s="719"/>
      <c r="AF519" s="719"/>
      <c r="AG519" s="719"/>
      <c r="AH519" s="719"/>
      <c r="AI519" s="719"/>
      <c r="AJ519" s="719"/>
      <c r="AK519" s="719"/>
      <c r="AL519" s="719"/>
      <c r="AM519" s="719"/>
      <c r="AN519" s="719"/>
      <c r="AO519" s="719"/>
      <c r="AP519" s="719"/>
      <c r="AQ519" s="719"/>
      <c r="AR519" s="719"/>
      <c r="AS519" s="719"/>
      <c r="AT519" s="719"/>
      <c r="AU519" s="719"/>
      <c r="AV519" s="719"/>
      <c r="AW519" s="719"/>
      <c r="AX519" s="719"/>
      <c r="AY519" s="719"/>
      <c r="AZ519" s="719"/>
      <c r="BA519" s="719"/>
      <c r="BB519" s="719"/>
      <c r="BC519" s="719"/>
      <c r="BD519" s="719"/>
      <c r="BE519" s="719"/>
      <c r="BF519" s="719"/>
      <c r="BG519" s="719"/>
      <c r="BH519" s="719"/>
      <c r="BI519" s="719"/>
      <c r="BJ519" s="719"/>
    </row>
    <row r="520" spans="2:62" ht="15.75" customHeight="1">
      <c r="B520" s="497"/>
      <c r="C520" s="811"/>
      <c r="D520" s="811"/>
      <c r="E520" s="811" t="s">
        <v>486</v>
      </c>
      <c r="F520" s="811"/>
      <c r="G520" s="811"/>
      <c r="H520" s="811"/>
      <c r="I520" s="811"/>
      <c r="J520" s="811" t="e">
        <v>#N/A</v>
      </c>
      <c r="K520" s="811"/>
      <c r="L520" s="811"/>
      <c r="M520" s="874"/>
      <c r="N520" s="811"/>
      <c r="O520" s="811" t="e">
        <v>#N/A</v>
      </c>
      <c r="P520" s="811"/>
      <c r="Q520" s="811"/>
      <c r="R520" s="811"/>
      <c r="S520" s="811"/>
      <c r="T520" s="811"/>
      <c r="U520" s="811"/>
      <c r="V520" s="811"/>
      <c r="W520" s="811"/>
      <c r="X520" s="811"/>
      <c r="Y520" s="719"/>
      <c r="Z520" s="719"/>
      <c r="AA520" s="719"/>
      <c r="AB520" s="719"/>
      <c r="AC520" s="719"/>
      <c r="AD520" s="719"/>
      <c r="AE520" s="719"/>
      <c r="AF520" s="719"/>
      <c r="AG520" s="719"/>
      <c r="AH520" s="719"/>
      <c r="AI520" s="719"/>
      <c r="AJ520" s="719"/>
      <c r="AK520" s="719"/>
      <c r="AL520" s="719"/>
      <c r="AM520" s="719"/>
      <c r="AN520" s="719"/>
      <c r="AO520" s="719"/>
      <c r="AP520" s="719"/>
      <c r="AQ520" s="719"/>
      <c r="AR520" s="719"/>
      <c r="AS520" s="719"/>
      <c r="AT520" s="719"/>
      <c r="AU520" s="719"/>
      <c r="AV520" s="719"/>
      <c r="AW520" s="719"/>
      <c r="AX520" s="719"/>
      <c r="AY520" s="719"/>
      <c r="AZ520" s="719"/>
      <c r="BA520" s="719"/>
      <c r="BB520" s="719"/>
      <c r="BC520" s="719"/>
      <c r="BD520" s="719"/>
      <c r="BE520" s="719"/>
      <c r="BF520" s="719"/>
      <c r="BG520" s="719"/>
      <c r="BH520" s="719"/>
      <c r="BI520" s="719"/>
      <c r="BJ520" s="719"/>
    </row>
    <row r="521" spans="2:62" ht="15.75" customHeight="1">
      <c r="B521" s="497"/>
      <c r="C521" s="811"/>
      <c r="D521" s="811"/>
      <c r="E521" s="811"/>
      <c r="F521" s="811"/>
      <c r="G521" s="811"/>
      <c r="H521" s="811"/>
      <c r="I521" s="811"/>
      <c r="J521" s="873"/>
      <c r="K521" s="873"/>
      <c r="L521" s="873"/>
      <c r="M521" s="876"/>
      <c r="N521" s="873"/>
      <c r="O521" s="873"/>
      <c r="P521" s="873"/>
      <c r="Q521" s="811"/>
      <c r="R521" s="811"/>
      <c r="S521" s="873"/>
      <c r="T521" s="811"/>
      <c r="U521" s="811"/>
      <c r="V521" s="811"/>
      <c r="W521" s="811"/>
      <c r="X521" s="811"/>
      <c r="Y521" s="719"/>
      <c r="Z521" s="719"/>
      <c r="AA521" s="719"/>
      <c r="AB521" s="719"/>
      <c r="AC521" s="719"/>
      <c r="AD521" s="719"/>
      <c r="AE521" s="719"/>
      <c r="AF521" s="719"/>
      <c r="AG521" s="719"/>
      <c r="AH521" s="719"/>
      <c r="AI521" s="719"/>
      <c r="AJ521" s="719"/>
      <c r="AK521" s="719"/>
      <c r="AL521" s="719"/>
      <c r="AM521" s="719"/>
      <c r="AN521" s="719"/>
      <c r="AO521" s="719"/>
      <c r="AP521" s="719"/>
      <c r="AQ521" s="719"/>
      <c r="AR521" s="719"/>
      <c r="AS521" s="719"/>
      <c r="AT521" s="719"/>
      <c r="AU521" s="719"/>
      <c r="AV521" s="719"/>
      <c r="AW521" s="719"/>
      <c r="AX521" s="719"/>
      <c r="AY521" s="719"/>
      <c r="AZ521" s="719"/>
      <c r="BA521" s="719"/>
      <c r="BB521" s="719"/>
      <c r="BC521" s="719"/>
      <c r="BD521" s="719"/>
      <c r="BE521" s="719"/>
      <c r="BF521" s="719"/>
      <c r="BG521" s="719"/>
      <c r="BH521" s="719"/>
      <c r="BI521" s="719"/>
      <c r="BJ521" s="719"/>
    </row>
    <row r="522" spans="2:62" ht="15.75" customHeight="1">
      <c r="B522" s="497"/>
      <c r="C522" s="811"/>
      <c r="D522" s="811"/>
      <c r="E522" s="811"/>
      <c r="F522" s="811"/>
      <c r="G522" s="811"/>
      <c r="H522" s="811"/>
      <c r="I522" s="811"/>
      <c r="J522" s="811"/>
      <c r="K522" s="811"/>
      <c r="L522" s="811"/>
      <c r="M522" s="811"/>
      <c r="N522" s="811"/>
      <c r="O522" s="811"/>
      <c r="P522" s="811"/>
      <c r="Q522" s="811"/>
      <c r="R522" s="811"/>
      <c r="S522" s="811"/>
      <c r="T522" s="811"/>
      <c r="U522" s="811"/>
      <c r="V522" s="811"/>
      <c r="W522" s="811"/>
      <c r="X522" s="811"/>
      <c r="Y522" s="719"/>
      <c r="Z522" s="719"/>
      <c r="AA522" s="719"/>
      <c r="AB522" s="719"/>
      <c r="AC522" s="719"/>
      <c r="AD522" s="719"/>
      <c r="AE522" s="719"/>
      <c r="AF522" s="719"/>
      <c r="AG522" s="719"/>
      <c r="AH522" s="719"/>
      <c r="AI522" s="719"/>
      <c r="AJ522" s="719"/>
      <c r="AK522" s="719"/>
      <c r="AL522" s="719"/>
      <c r="AM522" s="719"/>
      <c r="AN522" s="719"/>
      <c r="AO522" s="719"/>
      <c r="AP522" s="719"/>
      <c r="AQ522" s="719"/>
      <c r="AR522" s="719"/>
      <c r="AS522" s="719"/>
      <c r="AT522" s="719"/>
      <c r="AU522" s="719"/>
      <c r="AV522" s="719"/>
      <c r="AW522" s="719"/>
      <c r="AX522" s="719"/>
      <c r="AY522" s="719"/>
      <c r="AZ522" s="719"/>
      <c r="BA522" s="719"/>
      <c r="BB522" s="719"/>
      <c r="BC522" s="719"/>
      <c r="BD522" s="719"/>
      <c r="BE522" s="719"/>
      <c r="BF522" s="719"/>
      <c r="BG522" s="719"/>
      <c r="BH522" s="719"/>
      <c r="BI522" s="719"/>
      <c r="BJ522" s="719"/>
    </row>
    <row r="523" spans="2:62" ht="15.75" customHeight="1">
      <c r="B523" s="497"/>
      <c r="C523" s="811"/>
      <c r="D523" s="811" t="s">
        <v>487</v>
      </c>
      <c r="E523" s="811"/>
      <c r="F523" s="811"/>
      <c r="G523" s="811"/>
      <c r="H523" s="811"/>
      <c r="I523" s="811"/>
      <c r="J523" s="811" t="s">
        <v>478</v>
      </c>
      <c r="K523" s="811"/>
      <c r="L523" s="811"/>
      <c r="M523" s="811"/>
      <c r="N523" s="811"/>
      <c r="O523" s="811" t="s">
        <v>479</v>
      </c>
      <c r="P523" s="811"/>
      <c r="Q523" s="811"/>
      <c r="R523" s="811"/>
      <c r="S523" s="811"/>
      <c r="T523" s="811"/>
      <c r="U523" s="811"/>
      <c r="V523" s="811"/>
      <c r="W523" s="811"/>
      <c r="X523" s="811"/>
      <c r="Y523" s="719"/>
      <c r="Z523" s="719"/>
      <c r="AA523" s="719"/>
      <c r="AB523" s="719"/>
      <c r="AC523" s="719"/>
      <c r="AD523" s="719"/>
      <c r="AE523" s="719"/>
      <c r="AF523" s="719"/>
      <c r="AG523" s="719"/>
      <c r="AH523" s="719"/>
      <c r="AI523" s="719"/>
      <c r="AJ523" s="719"/>
      <c r="AK523" s="719"/>
      <c r="AL523" s="719"/>
      <c r="AM523" s="719"/>
      <c r="AN523" s="719"/>
      <c r="AO523" s="719"/>
      <c r="AP523" s="719"/>
      <c r="AQ523" s="719"/>
      <c r="AR523" s="719"/>
      <c r="AS523" s="719"/>
      <c r="AT523" s="719"/>
      <c r="AU523" s="719"/>
      <c r="AV523" s="719"/>
      <c r="AW523" s="719"/>
      <c r="AX523" s="719"/>
      <c r="AY523" s="719"/>
      <c r="AZ523" s="719"/>
      <c r="BA523" s="719"/>
      <c r="BB523" s="719"/>
      <c r="BC523" s="719"/>
      <c r="BD523" s="719"/>
      <c r="BE523" s="719"/>
      <c r="BF523" s="719"/>
      <c r="BG523" s="719"/>
      <c r="BH523" s="719"/>
      <c r="BI523" s="719"/>
      <c r="BJ523" s="719"/>
    </row>
    <row r="524" spans="2:62" ht="15.75" customHeight="1">
      <c r="B524" s="497"/>
      <c r="C524" s="811"/>
      <c r="D524" s="811" t="s">
        <v>480</v>
      </c>
      <c r="E524" s="811"/>
      <c r="F524" s="811"/>
      <c r="G524" s="811"/>
      <c r="H524" s="811"/>
      <c r="I524" s="811"/>
      <c r="J524" s="811"/>
      <c r="K524" s="811"/>
      <c r="L524" s="811"/>
      <c r="M524" s="811"/>
      <c r="N524" s="811"/>
      <c r="O524" s="811"/>
      <c r="P524" s="811"/>
      <c r="Q524" s="811"/>
      <c r="R524" s="811"/>
      <c r="S524" s="811"/>
      <c r="T524" s="811"/>
      <c r="U524" s="811"/>
      <c r="V524" s="811"/>
      <c r="W524" s="811"/>
      <c r="X524" s="811"/>
      <c r="Y524" s="719"/>
      <c r="Z524" s="719"/>
      <c r="AA524" s="719"/>
      <c r="AB524" s="719"/>
      <c r="AC524" s="719"/>
      <c r="AD524" s="719"/>
      <c r="AE524" s="719"/>
      <c r="AF524" s="719"/>
      <c r="AG524" s="719"/>
      <c r="AH524" s="719"/>
      <c r="AI524" s="719"/>
      <c r="AJ524" s="719"/>
      <c r="AK524" s="719"/>
      <c r="AL524" s="719"/>
      <c r="AM524" s="719"/>
      <c r="AN524" s="719"/>
      <c r="AO524" s="719"/>
      <c r="AP524" s="719"/>
      <c r="AQ524" s="719"/>
      <c r="AR524" s="719"/>
      <c r="AS524" s="719"/>
      <c r="AT524" s="719"/>
      <c r="AU524" s="719"/>
      <c r="AV524" s="719"/>
      <c r="AW524" s="719"/>
      <c r="AX524" s="719"/>
      <c r="AY524" s="719"/>
      <c r="AZ524" s="719"/>
      <c r="BA524" s="719"/>
      <c r="BB524" s="719"/>
      <c r="BC524" s="719"/>
      <c r="BD524" s="719"/>
      <c r="BE524" s="719"/>
      <c r="BF524" s="719"/>
      <c r="BG524" s="719"/>
      <c r="BH524" s="719"/>
      <c r="BI524" s="719"/>
      <c r="BJ524" s="719"/>
    </row>
    <row r="525" spans="2:62" ht="15.75" customHeight="1">
      <c r="B525" s="497"/>
      <c r="C525" s="409"/>
      <c r="D525" s="410">
        <v>4405</v>
      </c>
      <c r="E525" s="410" t="s">
        <v>488</v>
      </c>
      <c r="F525" s="410"/>
      <c r="G525" s="410"/>
      <c r="H525" s="410"/>
      <c r="I525" s="410"/>
      <c r="J525" s="410">
        <v>41930.720000000001</v>
      </c>
      <c r="K525" s="410"/>
      <c r="L525" s="410"/>
      <c r="M525" s="410"/>
      <c r="N525" s="410"/>
      <c r="O525" s="410">
        <v>203405.29</v>
      </c>
      <c r="P525" s="410"/>
      <c r="Q525" s="410"/>
      <c r="R525" s="410"/>
      <c r="S525" s="410"/>
      <c r="T525" s="811"/>
      <c r="U525" s="811"/>
      <c r="V525" s="811"/>
      <c r="W525" s="811"/>
      <c r="X525" s="811"/>
      <c r="Y525" s="719"/>
      <c r="Z525" s="719"/>
      <c r="AA525" s="719"/>
      <c r="AB525" s="719"/>
      <c r="AC525" s="719"/>
      <c r="AD525" s="719"/>
      <c r="AE525" s="719"/>
      <c r="AF525" s="719"/>
      <c r="AG525" s="719"/>
      <c r="AH525" s="719"/>
      <c r="AI525" s="719"/>
      <c r="AJ525" s="719"/>
      <c r="AK525" s="719"/>
      <c r="AL525" s="719"/>
      <c r="AM525" s="719"/>
      <c r="AN525" s="719"/>
      <c r="AO525" s="719"/>
      <c r="AP525" s="719"/>
      <c r="AQ525" s="719"/>
      <c r="AR525" s="719"/>
      <c r="AS525" s="719"/>
      <c r="AT525" s="719"/>
      <c r="AU525" s="719"/>
      <c r="AV525" s="719"/>
      <c r="AW525" s="719"/>
      <c r="AX525" s="719"/>
      <c r="AY525" s="719"/>
      <c r="AZ525" s="719"/>
      <c r="BA525" s="719"/>
      <c r="BB525" s="719"/>
      <c r="BC525" s="719"/>
      <c r="BD525" s="719"/>
      <c r="BE525" s="719"/>
      <c r="BF525" s="719"/>
      <c r="BG525" s="719"/>
      <c r="BH525" s="719"/>
      <c r="BI525" s="719"/>
      <c r="BJ525" s="719"/>
    </row>
    <row r="526" spans="2:62" ht="15.75" customHeight="1">
      <c r="B526" s="497"/>
      <c r="C526" s="811"/>
      <c r="D526" s="811">
        <v>5405</v>
      </c>
      <c r="E526" s="811" t="s">
        <v>489</v>
      </c>
      <c r="F526" s="811"/>
      <c r="G526" s="811"/>
      <c r="H526" s="811"/>
      <c r="I526" s="811"/>
      <c r="J526" s="811">
        <v>-12116.8</v>
      </c>
      <c r="K526" s="811">
        <v>0.28897190413138624</v>
      </c>
      <c r="L526" s="811"/>
      <c r="M526" s="811"/>
      <c r="N526" s="811"/>
      <c r="O526" s="811">
        <v>-59996.639999999999</v>
      </c>
      <c r="P526" s="811">
        <v>0.29496106025561086</v>
      </c>
      <c r="Q526" s="411"/>
      <c r="R526" s="811"/>
      <c r="S526" s="811"/>
      <c r="T526" s="811"/>
      <c r="U526" s="811"/>
      <c r="V526" s="811"/>
      <c r="W526" s="811"/>
      <c r="X526" s="811"/>
      <c r="Y526" s="719"/>
      <c r="Z526" s="719"/>
      <c r="AA526" s="719"/>
      <c r="AB526" s="719"/>
      <c r="AC526" s="719"/>
      <c r="AD526" s="719"/>
      <c r="AE526" s="719"/>
      <c r="AF526" s="719"/>
      <c r="AG526" s="719"/>
      <c r="AH526" s="719"/>
      <c r="AI526" s="719"/>
      <c r="AJ526" s="719"/>
      <c r="AK526" s="719"/>
      <c r="AL526" s="719"/>
      <c r="AM526" s="719"/>
      <c r="AN526" s="719"/>
      <c r="AO526" s="719"/>
      <c r="AP526" s="719"/>
      <c r="AQ526" s="719"/>
      <c r="AR526" s="719"/>
      <c r="AS526" s="719"/>
      <c r="AT526" s="719"/>
      <c r="AU526" s="719"/>
      <c r="AV526" s="719"/>
      <c r="AW526" s="719"/>
      <c r="AX526" s="719"/>
      <c r="AY526" s="719"/>
      <c r="AZ526" s="719"/>
      <c r="BA526" s="719"/>
      <c r="BB526" s="719"/>
      <c r="BC526" s="719"/>
      <c r="BD526" s="719"/>
      <c r="BE526" s="719"/>
      <c r="BF526" s="719"/>
      <c r="BG526" s="719"/>
      <c r="BH526" s="719"/>
      <c r="BI526" s="719"/>
      <c r="BJ526" s="719"/>
    </row>
    <row r="527" spans="2:62" ht="15.75" customHeight="1">
      <c r="B527" s="497"/>
      <c r="C527" s="811"/>
      <c r="D527" s="811"/>
      <c r="E527" s="811" t="s">
        <v>490</v>
      </c>
      <c r="F527" s="811"/>
      <c r="G527" s="811"/>
      <c r="H527" s="811"/>
      <c r="I527" s="811"/>
      <c r="J527" s="811">
        <v>29813.920000000002</v>
      </c>
      <c r="K527" s="811">
        <v>0.71102809586861382</v>
      </c>
      <c r="L527" s="412"/>
      <c r="M527" s="413"/>
      <c r="N527" s="413"/>
      <c r="O527" s="811">
        <v>143408.65000000002</v>
      </c>
      <c r="P527" s="412">
        <v>0.70503893974438925</v>
      </c>
      <c r="Q527" s="413"/>
      <c r="R527" s="413"/>
      <c r="S527" s="412"/>
      <c r="T527" s="811"/>
      <c r="U527" s="811"/>
      <c r="V527" s="811"/>
      <c r="W527" s="811"/>
      <c r="X527" s="811"/>
      <c r="Y527" s="719"/>
      <c r="Z527" s="719"/>
      <c r="AA527" s="719"/>
      <c r="AB527" s="719"/>
      <c r="AC527" s="719"/>
      <c r="AD527" s="719"/>
      <c r="AE527" s="719"/>
      <c r="AF527" s="719"/>
      <c r="AG527" s="719"/>
      <c r="AH527" s="719"/>
      <c r="AI527" s="719"/>
      <c r="AJ527" s="719"/>
      <c r="AK527" s="719"/>
      <c r="AL527" s="719"/>
      <c r="AM527" s="719"/>
      <c r="AN527" s="719"/>
      <c r="AO527" s="719"/>
      <c r="AP527" s="719"/>
      <c r="AQ527" s="719"/>
      <c r="AR527" s="719"/>
      <c r="AS527" s="719"/>
      <c r="AT527" s="719"/>
      <c r="AU527" s="719"/>
      <c r="AV527" s="719"/>
      <c r="AW527" s="719"/>
      <c r="AX527" s="719"/>
      <c r="AY527" s="719"/>
      <c r="AZ527" s="719"/>
      <c r="BA527" s="719"/>
      <c r="BB527" s="719"/>
      <c r="BC527" s="719"/>
      <c r="BD527" s="719"/>
      <c r="BE527" s="719"/>
      <c r="BF527" s="719"/>
      <c r="BG527" s="719"/>
      <c r="BH527" s="719"/>
      <c r="BI527" s="719"/>
      <c r="BJ527" s="719"/>
    </row>
    <row r="528" spans="2:62" ht="15.75" customHeight="1">
      <c r="B528" s="497"/>
      <c r="C528" s="811"/>
      <c r="D528" s="811"/>
      <c r="E528" s="412"/>
      <c r="F528" s="414"/>
      <c r="G528" s="811"/>
      <c r="H528" s="412"/>
      <c r="I528" s="414"/>
      <c r="J528" s="413"/>
      <c r="K528" s="873"/>
      <c r="L528" s="412"/>
      <c r="M528" s="413"/>
      <c r="N528" s="413"/>
      <c r="O528" s="873"/>
      <c r="P528" s="412"/>
      <c r="Q528" s="413"/>
      <c r="R528" s="413"/>
      <c r="S528" s="412"/>
      <c r="T528" s="811"/>
      <c r="U528" s="811"/>
      <c r="V528" s="811"/>
      <c r="W528" s="811"/>
      <c r="X528" s="811"/>
      <c r="Y528" s="719"/>
      <c r="Z528" s="719"/>
      <c r="AA528" s="719"/>
      <c r="AB528" s="719"/>
      <c r="AC528" s="719"/>
      <c r="AD528" s="719"/>
      <c r="AE528" s="719"/>
      <c r="AF528" s="719"/>
      <c r="AG528" s="719"/>
      <c r="AH528" s="719"/>
      <c r="AI528" s="719"/>
      <c r="AJ528" s="719"/>
      <c r="AK528" s="719"/>
      <c r="AL528" s="719"/>
      <c r="AM528" s="719"/>
      <c r="AN528" s="719"/>
      <c r="AO528" s="719"/>
      <c r="AP528" s="719"/>
      <c r="AQ528" s="719"/>
      <c r="AR528" s="719"/>
      <c r="AS528" s="719"/>
      <c r="AT528" s="719"/>
      <c r="AU528" s="719"/>
      <c r="AV528" s="719"/>
      <c r="AW528" s="719"/>
      <c r="AX528" s="719"/>
      <c r="AY528" s="719"/>
      <c r="AZ528" s="719"/>
      <c r="BA528" s="719"/>
      <c r="BB528" s="719"/>
      <c r="BC528" s="719"/>
      <c r="BD528" s="719"/>
      <c r="BE528" s="719"/>
      <c r="BF528" s="719"/>
      <c r="BG528" s="719"/>
      <c r="BH528" s="719"/>
      <c r="BI528" s="719"/>
      <c r="BJ528" s="719"/>
    </row>
    <row r="529" spans="2:62" ht="15.75" customHeight="1">
      <c r="B529" s="497"/>
      <c r="C529" s="811"/>
      <c r="D529" s="877"/>
      <c r="E529" s="414"/>
      <c r="F529" s="414"/>
      <c r="G529" s="877"/>
      <c r="H529" s="414"/>
      <c r="I529" s="414"/>
      <c r="J529" s="414"/>
      <c r="K529" s="414"/>
      <c r="L529" s="414"/>
      <c r="M529" s="414"/>
      <c r="N529" s="414"/>
      <c r="O529" s="414"/>
      <c r="P529" s="414"/>
      <c r="Q529" s="414"/>
      <c r="R529" s="414"/>
      <c r="S529" s="414"/>
      <c r="T529" s="811"/>
      <c r="U529" s="811"/>
      <c r="V529" s="811"/>
      <c r="W529" s="811"/>
      <c r="X529" s="811"/>
      <c r="Y529" s="719"/>
      <c r="Z529" s="719"/>
      <c r="AA529" s="719"/>
      <c r="AB529" s="719"/>
      <c r="AC529" s="719"/>
      <c r="AD529" s="719"/>
      <c r="AE529" s="719"/>
      <c r="AF529" s="719"/>
      <c r="AG529" s="719"/>
      <c r="AH529" s="719"/>
      <c r="AI529" s="719"/>
      <c r="AJ529" s="719"/>
      <c r="AK529" s="719"/>
      <c r="AL529" s="719"/>
      <c r="AM529" s="719"/>
      <c r="AN529" s="719"/>
      <c r="AO529" s="719"/>
      <c r="AP529" s="719"/>
      <c r="AQ529" s="719"/>
      <c r="AR529" s="719"/>
      <c r="AS529" s="719"/>
      <c r="AT529" s="719"/>
      <c r="AU529" s="719"/>
      <c r="AV529" s="719"/>
      <c r="AW529" s="719"/>
      <c r="AX529" s="719"/>
      <c r="AY529" s="719"/>
      <c r="AZ529" s="719"/>
      <c r="BA529" s="719"/>
      <c r="BB529" s="719"/>
      <c r="BC529" s="719"/>
      <c r="BD529" s="719"/>
      <c r="BE529" s="719"/>
      <c r="BF529" s="719"/>
      <c r="BG529" s="719"/>
      <c r="BH529" s="719"/>
      <c r="BI529" s="719"/>
      <c r="BJ529" s="719"/>
    </row>
    <row r="530" spans="2:62" ht="15.75" customHeight="1">
      <c r="B530" s="497"/>
      <c r="C530" s="873"/>
      <c r="D530" s="811">
        <v>4705</v>
      </c>
      <c r="E530" s="811" t="s">
        <v>491</v>
      </c>
      <c r="F530" s="811"/>
      <c r="G530" s="811"/>
      <c r="H530" s="811"/>
      <c r="I530" s="811"/>
      <c r="J530" s="811">
        <v>49568.800000000003</v>
      </c>
      <c r="K530" s="811"/>
      <c r="L530" s="811"/>
      <c r="M530" s="811"/>
      <c r="N530" s="811"/>
      <c r="O530" s="811">
        <v>200379.06</v>
      </c>
      <c r="P530" s="811"/>
      <c r="Q530" s="811"/>
      <c r="R530" s="811"/>
      <c r="S530" s="811"/>
      <c r="T530" s="811"/>
      <c r="U530" s="811"/>
      <c r="V530" s="811"/>
      <c r="W530" s="811"/>
      <c r="X530" s="811"/>
      <c r="Y530" s="719"/>
      <c r="Z530" s="719"/>
      <c r="AA530" s="719"/>
      <c r="AB530" s="719"/>
      <c r="AC530" s="719"/>
      <c r="AD530" s="719"/>
      <c r="AE530" s="719"/>
      <c r="AF530" s="719"/>
      <c r="AG530" s="719"/>
      <c r="AH530" s="719"/>
      <c r="AI530" s="719"/>
      <c r="AJ530" s="719"/>
      <c r="AK530" s="719"/>
      <c r="AL530" s="719"/>
      <c r="AM530" s="719"/>
      <c r="AN530" s="719"/>
      <c r="AO530" s="719"/>
      <c r="AP530" s="719"/>
      <c r="AQ530" s="719"/>
      <c r="AR530" s="719"/>
      <c r="AS530" s="719"/>
      <c r="AT530" s="719"/>
      <c r="AU530" s="719"/>
      <c r="AV530" s="719"/>
      <c r="AW530" s="719"/>
      <c r="AX530" s="719"/>
      <c r="AY530" s="719"/>
      <c r="AZ530" s="719"/>
      <c r="BA530" s="719"/>
      <c r="BB530" s="719"/>
      <c r="BC530" s="719"/>
      <c r="BD530" s="719"/>
      <c r="BE530" s="719"/>
      <c r="BF530" s="719"/>
      <c r="BG530" s="719"/>
      <c r="BH530" s="719"/>
      <c r="BI530" s="719"/>
      <c r="BJ530" s="719"/>
    </row>
    <row r="531" spans="2:62" ht="15.75" customHeight="1">
      <c r="B531" s="497"/>
      <c r="C531" s="811"/>
      <c r="D531" s="811">
        <v>5705</v>
      </c>
      <c r="E531" s="811" t="s">
        <v>492</v>
      </c>
      <c r="F531" s="811"/>
      <c r="G531" s="811"/>
      <c r="H531" s="811"/>
      <c r="I531" s="811"/>
      <c r="J531" s="811">
        <v>-33819.760000000002</v>
      </c>
      <c r="K531" s="811">
        <v>0.68227917561046469</v>
      </c>
      <c r="L531" s="811"/>
      <c r="M531" s="811"/>
      <c r="N531" s="811"/>
      <c r="O531" s="811">
        <v>-137062.20000000001</v>
      </c>
      <c r="P531" s="811">
        <v>0.68401458715296903</v>
      </c>
      <c r="Q531" s="811"/>
      <c r="R531" s="811"/>
      <c r="S531" s="811"/>
      <c r="T531" s="811"/>
      <c r="U531" s="811"/>
      <c r="V531" s="811"/>
      <c r="W531" s="811"/>
      <c r="X531" s="811"/>
      <c r="Y531" s="719"/>
      <c r="Z531" s="719"/>
      <c r="AA531" s="719"/>
      <c r="AB531" s="719"/>
      <c r="AC531" s="719"/>
      <c r="AD531" s="719"/>
      <c r="AE531" s="719"/>
      <c r="AF531" s="719"/>
      <c r="AG531" s="719"/>
      <c r="AH531" s="719"/>
      <c r="AI531" s="719"/>
      <c r="AJ531" s="719"/>
      <c r="AK531" s="719"/>
      <c r="AL531" s="719"/>
      <c r="AM531" s="719"/>
      <c r="AN531" s="719"/>
      <c r="AO531" s="719"/>
      <c r="AP531" s="719"/>
      <c r="AQ531" s="719"/>
      <c r="AR531" s="719"/>
      <c r="AS531" s="719"/>
      <c r="AT531" s="719"/>
      <c r="AU531" s="719"/>
      <c r="AV531" s="719"/>
      <c r="AW531" s="719"/>
      <c r="AX531" s="719"/>
      <c r="AY531" s="719"/>
      <c r="AZ531" s="719"/>
      <c r="BA531" s="719"/>
      <c r="BB531" s="719"/>
      <c r="BC531" s="719"/>
      <c r="BD531" s="719"/>
      <c r="BE531" s="719"/>
      <c r="BF531" s="719"/>
      <c r="BG531" s="719"/>
      <c r="BH531" s="719"/>
      <c r="BI531" s="719"/>
      <c r="BJ531" s="719"/>
    </row>
    <row r="532" spans="2:62" ht="15.75" customHeight="1">
      <c r="B532" s="497"/>
      <c r="C532" s="811"/>
      <c r="D532" s="811"/>
      <c r="E532" s="874" t="s">
        <v>493</v>
      </c>
      <c r="F532" s="878"/>
      <c r="G532" s="811"/>
      <c r="H532" s="874"/>
      <c r="I532" s="878"/>
      <c r="J532" s="878">
        <v>15749.04</v>
      </c>
      <c r="K532" s="874">
        <v>0.31772082438953536</v>
      </c>
      <c r="L532" s="878"/>
      <c r="M532" s="874"/>
      <c r="N532" s="878"/>
      <c r="O532" s="874">
        <v>63316.859999999986</v>
      </c>
      <c r="P532" s="878">
        <v>0.31598541284703097</v>
      </c>
      <c r="Q532" s="874"/>
      <c r="R532" s="874"/>
      <c r="S532" s="874"/>
      <c r="T532" s="811"/>
      <c r="U532" s="811"/>
      <c r="V532" s="811"/>
      <c r="W532" s="811"/>
      <c r="X532" s="811"/>
      <c r="Y532" s="719"/>
      <c r="Z532" s="719"/>
      <c r="AA532" s="719"/>
      <c r="AB532" s="719"/>
      <c r="AC532" s="719"/>
      <c r="AD532" s="719"/>
      <c r="AE532" s="719"/>
      <c r="AF532" s="719"/>
      <c r="AG532" s="719"/>
      <c r="AH532" s="719"/>
      <c r="AI532" s="719"/>
      <c r="AJ532" s="719"/>
      <c r="AK532" s="719"/>
      <c r="AL532" s="719"/>
      <c r="AM532" s="719"/>
      <c r="AN532" s="719"/>
      <c r="AO532" s="719"/>
      <c r="AP532" s="719"/>
      <c r="AQ532" s="719"/>
      <c r="AR532" s="719"/>
      <c r="AS532" s="719"/>
      <c r="AT532" s="719"/>
      <c r="AU532" s="719"/>
      <c r="AV532" s="719"/>
      <c r="AW532" s="719"/>
      <c r="AX532" s="719"/>
      <c r="AY532" s="719"/>
      <c r="AZ532" s="719"/>
      <c r="BA532" s="719"/>
      <c r="BB532" s="719"/>
      <c r="BC532" s="719"/>
      <c r="BD532" s="719"/>
      <c r="BE532" s="719"/>
      <c r="BF532" s="719"/>
      <c r="BG532" s="719"/>
      <c r="BH532" s="719"/>
      <c r="BI532" s="719"/>
      <c r="BJ532" s="719"/>
    </row>
    <row r="533" spans="2:62" ht="15.75" customHeight="1">
      <c r="B533" s="497"/>
      <c r="C533" s="811"/>
      <c r="D533" s="811"/>
      <c r="E533" s="874"/>
      <c r="F533" s="878"/>
      <c r="G533" s="811"/>
      <c r="H533" s="874"/>
      <c r="I533" s="878"/>
      <c r="J533" s="878"/>
      <c r="K533" s="874"/>
      <c r="L533" s="878"/>
      <c r="M533" s="874"/>
      <c r="N533" s="878"/>
      <c r="O533" s="874"/>
      <c r="P533" s="878"/>
      <c r="Q533" s="874"/>
      <c r="R533" s="874"/>
      <c r="S533" s="874"/>
      <c r="T533" s="811"/>
      <c r="U533" s="811"/>
      <c r="V533" s="811"/>
      <c r="W533" s="811"/>
      <c r="X533" s="811"/>
      <c r="Y533" s="719"/>
      <c r="Z533" s="719"/>
      <c r="AA533" s="719"/>
      <c r="AB533" s="719"/>
      <c r="AC533" s="719"/>
      <c r="AD533" s="719"/>
      <c r="AE533" s="719"/>
      <c r="AF533" s="719"/>
      <c r="AG533" s="719"/>
      <c r="AH533" s="719"/>
      <c r="AI533" s="719"/>
      <c r="AJ533" s="719"/>
      <c r="AK533" s="719"/>
      <c r="AL533" s="719"/>
      <c r="AM533" s="719"/>
      <c r="AN533" s="719"/>
      <c r="AO533" s="719"/>
      <c r="AP533" s="719"/>
      <c r="AQ533" s="719"/>
      <c r="AR533" s="719"/>
      <c r="AS533" s="719"/>
      <c r="AT533" s="719"/>
      <c r="AU533" s="719"/>
      <c r="AV533" s="719"/>
      <c r="AW533" s="719"/>
      <c r="AX533" s="719"/>
      <c r="AY533" s="719"/>
      <c r="AZ533" s="719"/>
      <c r="BA533" s="719"/>
      <c r="BB533" s="719"/>
      <c r="BC533" s="719"/>
      <c r="BD533" s="719"/>
      <c r="BE533" s="719"/>
      <c r="BF533" s="719"/>
      <c r="BG533" s="719"/>
      <c r="BH533" s="719"/>
      <c r="BI533" s="719"/>
      <c r="BJ533" s="719"/>
    </row>
    <row r="534" spans="2:62" ht="15.75" customHeight="1">
      <c r="B534" s="497"/>
      <c r="C534" s="811"/>
      <c r="D534" s="811" t="s">
        <v>483</v>
      </c>
      <c r="E534" s="874"/>
      <c r="F534" s="878"/>
      <c r="G534" s="811"/>
      <c r="H534" s="874"/>
      <c r="I534" s="878"/>
      <c r="J534" s="878"/>
      <c r="K534" s="874"/>
      <c r="L534" s="878"/>
      <c r="M534" s="874"/>
      <c r="N534" s="878"/>
      <c r="O534" s="874"/>
      <c r="P534" s="878"/>
      <c r="Q534" s="874"/>
      <c r="R534" s="874"/>
      <c r="S534" s="874"/>
      <c r="T534" s="811"/>
      <c r="U534" s="811"/>
      <c r="V534" s="811"/>
      <c r="W534" s="811"/>
      <c r="X534" s="811"/>
      <c r="Y534" s="719"/>
      <c r="Z534" s="719"/>
      <c r="AA534" s="719"/>
      <c r="AB534" s="719"/>
      <c r="AC534" s="719"/>
      <c r="AD534" s="719"/>
      <c r="AE534" s="719"/>
      <c r="AF534" s="719"/>
      <c r="AG534" s="719"/>
      <c r="AH534" s="719"/>
      <c r="AI534" s="719"/>
      <c r="AJ534" s="719"/>
      <c r="AK534" s="719"/>
      <c r="AL534" s="719"/>
      <c r="AM534" s="719"/>
      <c r="AN534" s="719"/>
      <c r="AO534" s="719"/>
      <c r="AP534" s="719"/>
      <c r="AQ534" s="719"/>
      <c r="AR534" s="719"/>
      <c r="AS534" s="719"/>
      <c r="AT534" s="719"/>
      <c r="AU534" s="719"/>
      <c r="AV534" s="719"/>
      <c r="AW534" s="719"/>
      <c r="AX534" s="719"/>
      <c r="AY534" s="719"/>
      <c r="AZ534" s="719"/>
      <c r="BA534" s="719"/>
      <c r="BB534" s="719"/>
      <c r="BC534" s="719"/>
      <c r="BD534" s="719"/>
      <c r="BE534" s="719"/>
      <c r="BF534" s="719"/>
      <c r="BG534" s="719"/>
      <c r="BH534" s="719"/>
      <c r="BI534" s="719"/>
      <c r="BJ534" s="719"/>
    </row>
    <row r="535" spans="2:62" ht="15.75" customHeight="1">
      <c r="B535" s="497"/>
      <c r="C535" s="811"/>
      <c r="D535" s="811"/>
      <c r="E535" s="874" t="s">
        <v>494</v>
      </c>
      <c r="F535" s="878"/>
      <c r="G535" s="811"/>
      <c r="H535" s="874"/>
      <c r="I535" s="878"/>
      <c r="J535" s="878">
        <v>41930.720000000001</v>
      </c>
      <c r="K535" s="874"/>
      <c r="L535" s="878"/>
      <c r="M535" s="874"/>
      <c r="N535" s="878"/>
      <c r="O535" s="874">
        <v>203405.29</v>
      </c>
      <c r="P535" s="878"/>
      <c r="Q535" s="874"/>
      <c r="R535" s="874"/>
      <c r="S535" s="874"/>
      <c r="T535" s="811"/>
      <c r="U535" s="811"/>
      <c r="V535" s="811"/>
      <c r="W535" s="811"/>
      <c r="X535" s="811"/>
      <c r="Y535" s="719"/>
      <c r="Z535" s="719"/>
      <c r="AA535" s="719"/>
      <c r="AB535" s="719"/>
      <c r="AC535" s="719"/>
      <c r="AD535" s="719"/>
      <c r="AE535" s="719"/>
      <c r="AF535" s="719"/>
      <c r="AG535" s="719"/>
      <c r="AH535" s="719"/>
      <c r="AI535" s="719"/>
      <c r="AJ535" s="719"/>
      <c r="AK535" s="719"/>
      <c r="AL535" s="719"/>
      <c r="AM535" s="719"/>
      <c r="AN535" s="719"/>
      <c r="AO535" s="719"/>
      <c r="AP535" s="719"/>
      <c r="AQ535" s="719"/>
      <c r="AR535" s="719"/>
      <c r="AS535" s="719"/>
      <c r="AT535" s="719"/>
      <c r="AU535" s="719"/>
      <c r="AV535" s="719"/>
      <c r="AW535" s="719"/>
      <c r="AX535" s="719"/>
      <c r="AY535" s="719"/>
      <c r="AZ535" s="719"/>
      <c r="BA535" s="719"/>
      <c r="BB535" s="719"/>
      <c r="BC535" s="719"/>
      <c r="BD535" s="719"/>
      <c r="BE535" s="719"/>
      <c r="BF535" s="719"/>
      <c r="BG535" s="719"/>
      <c r="BH535" s="719"/>
      <c r="BI535" s="719"/>
      <c r="BJ535" s="719"/>
    </row>
    <row r="536" spans="2:62" ht="15.75" customHeight="1">
      <c r="B536" s="497"/>
      <c r="C536" s="811"/>
      <c r="D536" s="811"/>
      <c r="E536" s="874" t="s">
        <v>495</v>
      </c>
      <c r="F536" s="878"/>
      <c r="G536" s="811"/>
      <c r="H536" s="874"/>
      <c r="I536" s="878"/>
      <c r="J536" s="878">
        <v>-12116.8</v>
      </c>
      <c r="K536" s="874">
        <v>0.28897190413138624</v>
      </c>
      <c r="L536" s="878"/>
      <c r="M536" s="874"/>
      <c r="N536" s="878"/>
      <c r="O536" s="874">
        <v>-59996.639999999999</v>
      </c>
      <c r="P536" s="878">
        <v>0.29496106025561086</v>
      </c>
      <c r="Q536" s="874"/>
      <c r="R536" s="874"/>
      <c r="S536" s="811"/>
      <c r="T536" s="811"/>
      <c r="U536" s="811"/>
      <c r="V536" s="811"/>
      <c r="W536" s="811"/>
      <c r="X536" s="811"/>
      <c r="Y536" s="719"/>
      <c r="Z536" s="719"/>
      <c r="AA536" s="719"/>
      <c r="AB536" s="719"/>
      <c r="AC536" s="719"/>
      <c r="AD536" s="719"/>
      <c r="AE536" s="719"/>
      <c r="AF536" s="719"/>
      <c r="AG536" s="719"/>
      <c r="AH536" s="719"/>
      <c r="AI536" s="719"/>
      <c r="AJ536" s="719"/>
      <c r="AK536" s="719"/>
      <c r="AL536" s="719"/>
      <c r="AM536" s="719"/>
      <c r="AN536" s="719"/>
      <c r="AO536" s="719"/>
      <c r="AP536" s="719"/>
      <c r="AQ536" s="719"/>
      <c r="AR536" s="719"/>
      <c r="AS536" s="719"/>
      <c r="AT536" s="719"/>
      <c r="AU536" s="719"/>
      <c r="AV536" s="719"/>
      <c r="AW536" s="719"/>
      <c r="AX536" s="719"/>
      <c r="AY536" s="719"/>
      <c r="AZ536" s="719"/>
      <c r="BA536" s="719"/>
      <c r="BB536" s="719"/>
      <c r="BC536" s="719"/>
      <c r="BD536" s="719"/>
      <c r="BE536" s="719"/>
      <c r="BF536" s="719"/>
      <c r="BG536" s="719"/>
      <c r="BH536" s="719"/>
      <c r="BI536" s="719"/>
      <c r="BJ536" s="719"/>
    </row>
    <row r="537" spans="2:62" ht="15.75" customHeight="1">
      <c r="B537" s="497"/>
      <c r="C537" s="811"/>
      <c r="D537" s="811"/>
      <c r="E537" s="874"/>
      <c r="F537" s="878"/>
      <c r="G537" s="811"/>
      <c r="H537" s="874"/>
      <c r="I537" s="878"/>
      <c r="J537" s="878">
        <v>29813.920000000002</v>
      </c>
      <c r="K537" s="874">
        <v>0.71102809586861382</v>
      </c>
      <c r="L537" s="878"/>
      <c r="M537" s="874"/>
      <c r="N537" s="878"/>
      <c r="O537" s="874">
        <v>143408.65000000002</v>
      </c>
      <c r="P537" s="878">
        <v>0.70503893974438925</v>
      </c>
      <c r="Q537" s="874"/>
      <c r="R537" s="874"/>
      <c r="S537" s="874"/>
      <c r="T537" s="811"/>
      <c r="U537" s="811"/>
      <c r="V537" s="811"/>
      <c r="W537" s="811"/>
      <c r="X537" s="811"/>
      <c r="Y537" s="719"/>
      <c r="Z537" s="719"/>
      <c r="AA537" s="719"/>
      <c r="AB537" s="719"/>
      <c r="AC537" s="719"/>
      <c r="AD537" s="719"/>
      <c r="AE537" s="719"/>
      <c r="AF537" s="719"/>
      <c r="AG537" s="719"/>
      <c r="AH537" s="719"/>
      <c r="AI537" s="719"/>
      <c r="AJ537" s="719"/>
      <c r="AK537" s="719"/>
      <c r="AL537" s="719"/>
      <c r="AM537" s="719"/>
      <c r="AN537" s="719"/>
      <c r="AO537" s="719"/>
      <c r="AP537" s="719"/>
      <c r="AQ537" s="719"/>
      <c r="AR537" s="719"/>
      <c r="AS537" s="719"/>
      <c r="AT537" s="719"/>
      <c r="AU537" s="719"/>
      <c r="AV537" s="719"/>
      <c r="AW537" s="719"/>
      <c r="AX537" s="719"/>
      <c r="AY537" s="719"/>
      <c r="AZ537" s="719"/>
      <c r="BA537" s="719"/>
      <c r="BB537" s="719"/>
      <c r="BC537" s="719"/>
      <c r="BD537" s="719"/>
      <c r="BE537" s="719"/>
      <c r="BF537" s="719"/>
      <c r="BG537" s="719"/>
      <c r="BH537" s="719"/>
      <c r="BI537" s="719"/>
      <c r="BJ537" s="719"/>
    </row>
    <row r="538" spans="2:62" ht="15.75" customHeight="1">
      <c r="B538" s="497"/>
      <c r="C538" s="811"/>
      <c r="D538" s="811"/>
      <c r="E538" s="874"/>
      <c r="F538" s="879"/>
      <c r="G538" s="811"/>
      <c r="H538" s="874"/>
      <c r="I538" s="879"/>
      <c r="J538" s="878"/>
      <c r="K538" s="874"/>
      <c r="L538" s="878"/>
      <c r="M538" s="874"/>
      <c r="N538" s="878"/>
      <c r="O538" s="874"/>
      <c r="P538" s="811"/>
      <c r="Q538" s="811"/>
      <c r="R538" s="874"/>
      <c r="S538" s="874"/>
      <c r="T538" s="811"/>
      <c r="U538" s="811"/>
      <c r="V538" s="811"/>
      <c r="W538" s="811"/>
      <c r="X538" s="811"/>
      <c r="Y538" s="719"/>
      <c r="Z538" s="719"/>
      <c r="AA538" s="719"/>
      <c r="AB538" s="719"/>
      <c r="AC538" s="719"/>
      <c r="AD538" s="719"/>
      <c r="AE538" s="719"/>
      <c r="AF538" s="719"/>
      <c r="AG538" s="719"/>
      <c r="AH538" s="719"/>
      <c r="AI538" s="719"/>
      <c r="AJ538" s="719"/>
      <c r="AK538" s="719"/>
      <c r="AL538" s="719"/>
      <c r="AM538" s="719"/>
      <c r="AN538" s="719"/>
      <c r="AO538" s="719"/>
      <c r="AP538" s="719"/>
      <c r="AQ538" s="719"/>
      <c r="AR538" s="719"/>
      <c r="AS538" s="719"/>
      <c r="AT538" s="719"/>
      <c r="AU538" s="719"/>
      <c r="AV538" s="719"/>
      <c r="AW538" s="719"/>
      <c r="AX538" s="719"/>
      <c r="AY538" s="719"/>
      <c r="AZ538" s="719"/>
      <c r="BA538" s="719"/>
      <c r="BB538" s="719"/>
      <c r="BC538" s="719"/>
      <c r="BD538" s="719"/>
      <c r="BE538" s="719"/>
      <c r="BF538" s="719"/>
      <c r="BG538" s="719"/>
      <c r="BH538" s="719"/>
      <c r="BI538" s="719"/>
      <c r="BJ538" s="719"/>
    </row>
    <row r="539" spans="2:62" ht="15.75" customHeight="1">
      <c r="B539" s="497"/>
      <c r="C539" s="873"/>
      <c r="D539" s="873"/>
      <c r="E539" s="876"/>
      <c r="F539" s="880"/>
      <c r="G539" s="873"/>
      <c r="H539" s="876"/>
      <c r="I539" s="880"/>
      <c r="J539" s="880"/>
      <c r="K539" s="876"/>
      <c r="L539" s="880"/>
      <c r="M539" s="876"/>
      <c r="N539" s="880"/>
      <c r="O539" s="876"/>
      <c r="P539" s="880"/>
      <c r="Q539" s="876"/>
      <c r="R539" s="876"/>
      <c r="S539" s="873"/>
      <c r="T539" s="811"/>
      <c r="U539" s="811"/>
      <c r="V539" s="811"/>
      <c r="W539" s="811"/>
      <c r="X539" s="811"/>
      <c r="Y539" s="719"/>
      <c r="Z539" s="719"/>
      <c r="AA539" s="719"/>
      <c r="AB539" s="719"/>
      <c r="AC539" s="719"/>
      <c r="AD539" s="719"/>
      <c r="AE539" s="719"/>
      <c r="AF539" s="719"/>
      <c r="AG539" s="719"/>
      <c r="AH539" s="719"/>
      <c r="AI539" s="719"/>
      <c r="AJ539" s="719"/>
      <c r="AK539" s="719"/>
      <c r="AL539" s="719"/>
      <c r="AM539" s="719"/>
      <c r="AN539" s="719"/>
      <c r="AO539" s="719"/>
      <c r="AP539" s="719"/>
      <c r="AQ539" s="719"/>
      <c r="AR539" s="719"/>
      <c r="AS539" s="719"/>
      <c r="AT539" s="719"/>
      <c r="AU539" s="719"/>
      <c r="AV539" s="719"/>
      <c r="AW539" s="719"/>
      <c r="AX539" s="719"/>
      <c r="AY539" s="719"/>
      <c r="AZ539" s="719"/>
      <c r="BA539" s="719"/>
      <c r="BB539" s="719"/>
      <c r="BC539" s="719"/>
      <c r="BD539" s="719"/>
      <c r="BE539" s="719"/>
      <c r="BF539" s="719"/>
      <c r="BG539" s="719"/>
      <c r="BH539" s="719"/>
      <c r="BI539" s="719"/>
      <c r="BJ539" s="719"/>
    </row>
    <row r="540" spans="2:62" ht="15.75" customHeight="1">
      <c r="B540" s="497"/>
      <c r="C540" s="811"/>
      <c r="D540" s="811"/>
      <c r="E540" s="874"/>
      <c r="F540" s="811"/>
      <c r="G540" s="811"/>
      <c r="H540" s="874"/>
      <c r="I540" s="811"/>
      <c r="J540" s="878"/>
      <c r="K540" s="874"/>
      <c r="L540" s="878"/>
      <c r="M540" s="874"/>
      <c r="N540" s="878"/>
      <c r="O540" s="874"/>
      <c r="P540" s="873"/>
      <c r="Q540" s="880"/>
      <c r="R540" s="880"/>
      <c r="S540" s="811"/>
      <c r="T540" s="811"/>
      <c r="U540" s="811"/>
      <c r="V540" s="811"/>
      <c r="W540" s="811"/>
      <c r="X540" s="811"/>
      <c r="Y540" s="719"/>
      <c r="Z540" s="719"/>
      <c r="AA540" s="719"/>
      <c r="AB540" s="719"/>
      <c r="AC540" s="719"/>
      <c r="AD540" s="719"/>
      <c r="AE540" s="719"/>
      <c r="AF540" s="719"/>
      <c r="AG540" s="719"/>
      <c r="AH540" s="719"/>
      <c r="AI540" s="719"/>
      <c r="AJ540" s="719"/>
      <c r="AK540" s="719"/>
      <c r="AL540" s="719"/>
      <c r="AM540" s="719"/>
      <c r="AN540" s="719"/>
      <c r="AO540" s="719"/>
      <c r="AP540" s="719"/>
      <c r="AQ540" s="719"/>
      <c r="AR540" s="719"/>
      <c r="AS540" s="719"/>
      <c r="AT540" s="719"/>
      <c r="AU540" s="719"/>
      <c r="AV540" s="719"/>
      <c r="AW540" s="719"/>
      <c r="AX540" s="719"/>
      <c r="AY540" s="719"/>
      <c r="AZ540" s="719"/>
      <c r="BA540" s="719"/>
      <c r="BB540" s="719"/>
      <c r="BC540" s="719"/>
      <c r="BD540" s="719"/>
      <c r="BE540" s="719"/>
      <c r="BF540" s="719"/>
      <c r="BG540" s="719"/>
      <c r="BH540" s="719"/>
      <c r="BI540" s="719"/>
      <c r="BJ540" s="719"/>
    </row>
    <row r="541" spans="2:62" ht="15.75" customHeight="1">
      <c r="B541" s="497"/>
      <c r="C541" s="811"/>
      <c r="D541" s="811"/>
      <c r="E541" s="874"/>
      <c r="F541" s="811"/>
      <c r="G541" s="811"/>
      <c r="H541" s="874"/>
      <c r="I541" s="811"/>
      <c r="J541" s="878"/>
      <c r="K541" s="874"/>
      <c r="L541" s="878"/>
      <c r="M541" s="874"/>
      <c r="N541" s="878"/>
      <c r="O541" s="874"/>
      <c r="P541" s="811"/>
      <c r="Q541" s="811"/>
      <c r="R541" s="874"/>
      <c r="S541" s="811"/>
      <c r="T541" s="811"/>
      <c r="U541" s="811"/>
      <c r="V541" s="811"/>
      <c r="W541" s="811"/>
      <c r="X541" s="811"/>
      <c r="Y541" s="719"/>
      <c r="Z541" s="719"/>
      <c r="AA541" s="719"/>
      <c r="AB541" s="719"/>
      <c r="AC541" s="719"/>
      <c r="AD541" s="719"/>
      <c r="AE541" s="719"/>
      <c r="AF541" s="719"/>
      <c r="AG541" s="719"/>
      <c r="AH541" s="719"/>
      <c r="AI541" s="719"/>
      <c r="AJ541" s="719"/>
      <c r="AK541" s="719"/>
      <c r="AL541" s="719"/>
      <c r="AM541" s="719"/>
      <c r="AN541" s="719"/>
      <c r="AO541" s="719"/>
      <c r="AP541" s="719"/>
      <c r="AQ541" s="719"/>
      <c r="AR541" s="719"/>
      <c r="AS541" s="719"/>
      <c r="AT541" s="719"/>
      <c r="AU541" s="719"/>
      <c r="AV541" s="719"/>
      <c r="AW541" s="719"/>
      <c r="AX541" s="719"/>
      <c r="AY541" s="719"/>
      <c r="AZ541" s="719"/>
      <c r="BA541" s="719"/>
      <c r="BB541" s="719"/>
      <c r="BC541" s="719"/>
      <c r="BD541" s="719"/>
      <c r="BE541" s="719"/>
      <c r="BF541" s="719"/>
      <c r="BG541" s="719"/>
      <c r="BH541" s="719"/>
      <c r="BI541" s="719"/>
      <c r="BJ541" s="719"/>
    </row>
    <row r="542" spans="2:62" ht="15.75" customHeight="1">
      <c r="B542" s="497"/>
      <c r="C542" s="873"/>
      <c r="D542" s="811"/>
      <c r="E542" s="874"/>
      <c r="F542" s="811"/>
      <c r="G542" s="811"/>
      <c r="H542" s="874"/>
      <c r="I542" s="811"/>
      <c r="J542" s="878"/>
      <c r="K542" s="874"/>
      <c r="L542" s="878"/>
      <c r="M542" s="874"/>
      <c r="N542" s="878"/>
      <c r="O542" s="874"/>
      <c r="P542" s="811"/>
      <c r="Q542" s="811"/>
      <c r="R542" s="874"/>
      <c r="S542" s="811"/>
      <c r="T542" s="811"/>
      <c r="U542" s="811"/>
      <c r="V542" s="811"/>
      <c r="W542" s="811"/>
      <c r="X542" s="811"/>
      <c r="Y542" s="719"/>
      <c r="Z542" s="719"/>
      <c r="AA542" s="719"/>
      <c r="AB542" s="719"/>
      <c r="AC542" s="719"/>
      <c r="AD542" s="719"/>
      <c r="AE542" s="719"/>
      <c r="AF542" s="719"/>
      <c r="AG542" s="719"/>
      <c r="AH542" s="719"/>
      <c r="AI542" s="719"/>
      <c r="AJ542" s="719"/>
      <c r="AK542" s="719"/>
      <c r="AL542" s="719"/>
      <c r="AM542" s="719"/>
      <c r="AN542" s="719"/>
      <c r="AO542" s="719"/>
      <c r="AP542" s="719"/>
      <c r="AQ542" s="719"/>
      <c r="AR542" s="719"/>
      <c r="AS542" s="719"/>
      <c r="AT542" s="719"/>
      <c r="AU542" s="719"/>
      <c r="AV542" s="719"/>
      <c r="AW542" s="719"/>
      <c r="AX542" s="719"/>
      <c r="AY542" s="719"/>
      <c r="AZ542" s="719"/>
      <c r="BA542" s="719"/>
      <c r="BB542" s="719"/>
      <c r="BC542" s="719"/>
      <c r="BD542" s="719"/>
      <c r="BE542" s="719"/>
      <c r="BF542" s="719"/>
      <c r="BG542" s="719"/>
      <c r="BH542" s="719"/>
      <c r="BI542" s="719"/>
      <c r="BJ542" s="719"/>
    </row>
    <row r="543" spans="2:62" ht="15.75" customHeight="1">
      <c r="B543" s="497"/>
      <c r="C543" s="811"/>
      <c r="D543" s="811"/>
      <c r="E543" s="811"/>
      <c r="F543" s="811"/>
      <c r="G543" s="811"/>
      <c r="H543" s="811"/>
      <c r="I543" s="811"/>
      <c r="J543" s="811"/>
      <c r="K543" s="811"/>
      <c r="L543" s="811"/>
      <c r="M543" s="811"/>
      <c r="N543" s="811"/>
      <c r="O543" s="811"/>
      <c r="P543" s="811"/>
      <c r="Q543" s="811"/>
      <c r="R543" s="811"/>
      <c r="S543" s="811"/>
      <c r="T543" s="811"/>
      <c r="U543" s="811"/>
      <c r="V543" s="811"/>
      <c r="W543" s="811"/>
      <c r="X543" s="811"/>
      <c r="Y543" s="719"/>
      <c r="Z543" s="719"/>
      <c r="AA543" s="719"/>
      <c r="AB543" s="719"/>
      <c r="AC543" s="719"/>
      <c r="AD543" s="719"/>
      <c r="AE543" s="719"/>
      <c r="AF543" s="719"/>
      <c r="AG543" s="719"/>
      <c r="AH543" s="719"/>
      <c r="AI543" s="719"/>
      <c r="AJ543" s="719"/>
      <c r="AK543" s="719"/>
      <c r="AL543" s="719"/>
      <c r="AM543" s="719"/>
      <c r="AN543" s="719"/>
      <c r="AO543" s="719"/>
      <c r="AP543" s="719"/>
      <c r="AQ543" s="719"/>
      <c r="AR543" s="719"/>
      <c r="AS543" s="719"/>
      <c r="AT543" s="719"/>
      <c r="AU543" s="719"/>
      <c r="AV543" s="719"/>
      <c r="AW543" s="719"/>
      <c r="AX543" s="719"/>
      <c r="AY543" s="719"/>
      <c r="AZ543" s="719"/>
      <c r="BA543" s="719"/>
      <c r="BB543" s="719"/>
      <c r="BC543" s="719"/>
      <c r="BD543" s="719"/>
      <c r="BE543" s="719"/>
      <c r="BF543" s="719"/>
      <c r="BG543" s="719"/>
      <c r="BH543" s="719"/>
      <c r="BI543" s="719"/>
      <c r="BJ543" s="719"/>
    </row>
    <row r="544" spans="2:62" ht="15.75" customHeight="1">
      <c r="B544" s="497"/>
      <c r="C544" s="811"/>
      <c r="D544" s="811"/>
      <c r="E544" s="874"/>
      <c r="F544" s="878"/>
      <c r="G544" s="811"/>
      <c r="H544" s="874"/>
      <c r="I544" s="878"/>
      <c r="J544" s="878"/>
      <c r="K544" s="811"/>
      <c r="L544" s="878"/>
      <c r="M544" s="811"/>
      <c r="N544" s="878"/>
      <c r="O544" s="811"/>
      <c r="P544" s="878"/>
      <c r="Q544" s="874"/>
      <c r="R544" s="874"/>
      <c r="S544" s="811"/>
      <c r="T544" s="811"/>
      <c r="U544" s="811"/>
      <c r="V544" s="811"/>
      <c r="W544" s="811"/>
      <c r="X544" s="811"/>
      <c r="Y544" s="719"/>
      <c r="Z544" s="719"/>
      <c r="AA544" s="719"/>
      <c r="AB544" s="719"/>
      <c r="AC544" s="719"/>
      <c r="AD544" s="719"/>
      <c r="AE544" s="719"/>
      <c r="AF544" s="719"/>
      <c r="AG544" s="719"/>
      <c r="AH544" s="719"/>
      <c r="AI544" s="719"/>
      <c r="AJ544" s="719"/>
      <c r="AK544" s="719"/>
      <c r="AL544" s="719"/>
      <c r="AM544" s="719"/>
      <c r="AN544" s="719"/>
      <c r="AO544" s="719"/>
      <c r="AP544" s="719"/>
      <c r="AQ544" s="719"/>
      <c r="AR544" s="719"/>
      <c r="AS544" s="719"/>
      <c r="AT544" s="719"/>
      <c r="AU544" s="719"/>
      <c r="AV544" s="719"/>
      <c r="AW544" s="719"/>
      <c r="AX544" s="719"/>
      <c r="AY544" s="719"/>
      <c r="AZ544" s="719"/>
      <c r="BA544" s="719"/>
      <c r="BB544" s="719"/>
      <c r="BC544" s="719"/>
      <c r="BD544" s="719"/>
      <c r="BE544" s="719"/>
      <c r="BF544" s="719"/>
      <c r="BG544" s="719"/>
      <c r="BH544" s="719"/>
      <c r="BI544" s="719"/>
      <c r="BJ544" s="719"/>
    </row>
    <row r="545" spans="2:62" ht="15.75" customHeight="1">
      <c r="B545" s="497"/>
      <c r="C545" s="811"/>
      <c r="D545" s="811"/>
      <c r="E545" s="874"/>
      <c r="F545" s="879"/>
      <c r="G545" s="811"/>
      <c r="H545" s="874"/>
      <c r="I545" s="879"/>
      <c r="J545" s="878"/>
      <c r="K545" s="874"/>
      <c r="L545" s="878"/>
      <c r="M545" s="874"/>
      <c r="N545" s="878"/>
      <c r="O545" s="874"/>
      <c r="P545" s="811"/>
      <c r="Q545" s="878"/>
      <c r="R545" s="878"/>
      <c r="S545" s="874"/>
      <c r="T545" s="811"/>
      <c r="U545" s="811"/>
      <c r="V545" s="811"/>
      <c r="W545" s="811"/>
      <c r="X545" s="811"/>
      <c r="Y545" s="719"/>
      <c r="Z545" s="719"/>
      <c r="AA545" s="719"/>
      <c r="AB545" s="719"/>
      <c r="AC545" s="719"/>
      <c r="AD545" s="719"/>
      <c r="AE545" s="719"/>
      <c r="AF545" s="719"/>
      <c r="AG545" s="719"/>
      <c r="AH545" s="719"/>
      <c r="AI545" s="719"/>
      <c r="AJ545" s="719"/>
      <c r="AK545" s="719"/>
      <c r="AL545" s="719"/>
      <c r="AM545" s="719"/>
      <c r="AN545" s="719"/>
      <c r="AO545" s="719"/>
      <c r="AP545" s="719"/>
      <c r="AQ545" s="719"/>
      <c r="AR545" s="719"/>
      <c r="AS545" s="719"/>
      <c r="AT545" s="719"/>
      <c r="AU545" s="719"/>
      <c r="AV545" s="719"/>
      <c r="AW545" s="719"/>
      <c r="AX545" s="719"/>
      <c r="AY545" s="719"/>
      <c r="AZ545" s="719"/>
      <c r="BA545" s="719"/>
      <c r="BB545" s="719"/>
      <c r="BC545" s="719"/>
      <c r="BD545" s="719"/>
      <c r="BE545" s="719"/>
      <c r="BF545" s="719"/>
      <c r="BG545" s="719"/>
      <c r="BH545" s="719"/>
      <c r="BI545" s="719"/>
      <c r="BJ545" s="719"/>
    </row>
    <row r="546" spans="2:62" ht="15.75" customHeight="1">
      <c r="B546" s="497"/>
      <c r="C546" s="811"/>
      <c r="D546" s="811"/>
      <c r="E546" s="874"/>
      <c r="F546" s="879"/>
      <c r="G546" s="811"/>
      <c r="H546" s="874"/>
      <c r="I546" s="879"/>
      <c r="J546" s="878"/>
      <c r="K546" s="874"/>
      <c r="L546" s="878"/>
      <c r="M546" s="874"/>
      <c r="N546" s="878"/>
      <c r="O546" s="874"/>
      <c r="P546" s="811"/>
      <c r="Q546" s="811"/>
      <c r="R546" s="874"/>
      <c r="S546" s="874"/>
      <c r="T546" s="811"/>
      <c r="U546" s="811"/>
      <c r="V546" s="811"/>
      <c r="W546" s="811"/>
      <c r="X546" s="811"/>
      <c r="Y546" s="719"/>
      <c r="Z546" s="719"/>
      <c r="AA546" s="719"/>
      <c r="AB546" s="719"/>
      <c r="AC546" s="719"/>
      <c r="AD546" s="719"/>
      <c r="AE546" s="719"/>
      <c r="AF546" s="719"/>
      <c r="AG546" s="719"/>
      <c r="AH546" s="719"/>
      <c r="AI546" s="719"/>
      <c r="AJ546" s="719"/>
      <c r="AK546" s="719"/>
      <c r="AL546" s="719"/>
      <c r="AM546" s="719"/>
      <c r="AN546" s="719"/>
      <c r="AO546" s="719"/>
      <c r="AP546" s="719"/>
      <c r="AQ546" s="719"/>
      <c r="AR546" s="719"/>
      <c r="AS546" s="719"/>
      <c r="AT546" s="719"/>
      <c r="AU546" s="719"/>
      <c r="AV546" s="719"/>
      <c r="AW546" s="719"/>
      <c r="AX546" s="719"/>
      <c r="AY546" s="719"/>
      <c r="AZ546" s="719"/>
      <c r="BA546" s="719"/>
      <c r="BB546" s="719"/>
      <c r="BC546" s="719"/>
      <c r="BD546" s="719"/>
      <c r="BE546" s="719"/>
      <c r="BF546" s="719"/>
      <c r="BG546" s="719"/>
      <c r="BH546" s="719"/>
      <c r="BI546" s="719"/>
      <c r="BJ546" s="719"/>
    </row>
    <row r="547" spans="2:62" ht="15.75" customHeight="1">
      <c r="B547" s="497"/>
      <c r="C547" s="811"/>
      <c r="D547" s="811"/>
      <c r="E547" s="874"/>
      <c r="F547" s="878"/>
      <c r="G547" s="811"/>
      <c r="H547" s="874"/>
      <c r="I547" s="878"/>
      <c r="J547" s="878"/>
      <c r="K547" s="874"/>
      <c r="L547" s="878"/>
      <c r="M547" s="874"/>
      <c r="N547" s="878"/>
      <c r="O547" s="874"/>
      <c r="P547" s="811"/>
      <c r="Q547" s="811"/>
      <c r="R547" s="874"/>
      <c r="S547" s="811"/>
      <c r="T547" s="811"/>
      <c r="U547" s="811"/>
      <c r="V547" s="811"/>
      <c r="W547" s="811"/>
      <c r="X547" s="811"/>
      <c r="Y547" s="719"/>
      <c r="Z547" s="719"/>
      <c r="AA547" s="719"/>
      <c r="AB547" s="719"/>
      <c r="AC547" s="719"/>
      <c r="AD547" s="719"/>
      <c r="AE547" s="719"/>
      <c r="AF547" s="719"/>
      <c r="AG547" s="719"/>
      <c r="AH547" s="719"/>
      <c r="AI547" s="719"/>
      <c r="AJ547" s="719"/>
      <c r="AK547" s="719"/>
      <c r="AL547" s="719"/>
      <c r="AM547" s="719"/>
      <c r="AN547" s="719"/>
      <c r="AO547" s="719"/>
      <c r="AP547" s="719"/>
      <c r="AQ547" s="719"/>
      <c r="AR547" s="719"/>
      <c r="AS547" s="719"/>
      <c r="AT547" s="719"/>
      <c r="AU547" s="719"/>
      <c r="AV547" s="719"/>
      <c r="AW547" s="719"/>
      <c r="AX547" s="719"/>
      <c r="AY547" s="719"/>
      <c r="AZ547" s="719"/>
      <c r="BA547" s="719"/>
      <c r="BB547" s="719"/>
      <c r="BC547" s="719"/>
      <c r="BD547" s="719"/>
      <c r="BE547" s="719"/>
      <c r="BF547" s="719"/>
      <c r="BG547" s="719"/>
      <c r="BH547" s="719"/>
      <c r="BI547" s="719"/>
      <c r="BJ547" s="719"/>
    </row>
    <row r="548" spans="2:62" ht="15.75" customHeight="1">
      <c r="B548" s="497"/>
      <c r="C548" s="873"/>
      <c r="D548" s="873"/>
      <c r="E548" s="876"/>
      <c r="F548" s="880"/>
      <c r="G548" s="873"/>
      <c r="H548" s="876"/>
      <c r="I548" s="880"/>
      <c r="J548" s="880"/>
      <c r="K548" s="876"/>
      <c r="L548" s="880"/>
      <c r="M548" s="876"/>
      <c r="N548" s="880"/>
      <c r="O548" s="876"/>
      <c r="P548" s="880"/>
      <c r="Q548" s="873"/>
      <c r="R548" s="876"/>
      <c r="S548" s="873"/>
      <c r="T548" s="811"/>
      <c r="U548" s="811"/>
      <c r="V548" s="811"/>
      <c r="W548" s="811"/>
      <c r="X548" s="811"/>
      <c r="Y548" s="719"/>
      <c r="Z548" s="719"/>
      <c r="AA548" s="719"/>
      <c r="AB548" s="719"/>
      <c r="AC548" s="719"/>
      <c r="AD548" s="719"/>
      <c r="AE548" s="719"/>
      <c r="AF548" s="719"/>
      <c r="AG548" s="719"/>
      <c r="AH548" s="719"/>
      <c r="AI548" s="719"/>
      <c r="AJ548" s="719"/>
      <c r="AK548" s="719"/>
      <c r="AL548" s="719"/>
      <c r="AM548" s="719"/>
      <c r="AN548" s="719"/>
      <c r="AO548" s="719"/>
      <c r="AP548" s="719"/>
      <c r="AQ548" s="719"/>
      <c r="AR548" s="719"/>
      <c r="AS548" s="719"/>
      <c r="AT548" s="719"/>
      <c r="AU548" s="719"/>
      <c r="AV548" s="719"/>
      <c r="AW548" s="719"/>
      <c r="AX548" s="719"/>
      <c r="AY548" s="719"/>
      <c r="AZ548" s="719"/>
      <c r="BA548" s="719"/>
      <c r="BB548" s="719"/>
      <c r="BC548" s="719"/>
      <c r="BD548" s="719"/>
      <c r="BE548" s="719"/>
      <c r="BF548" s="719"/>
      <c r="BG548" s="719"/>
      <c r="BH548" s="719"/>
      <c r="BI548" s="719"/>
      <c r="BJ548" s="719"/>
    </row>
    <row r="549" spans="2:62" ht="15.75" customHeight="1">
      <c r="B549" s="497"/>
      <c r="C549" s="811"/>
      <c r="D549" s="811"/>
      <c r="E549" s="811"/>
      <c r="F549" s="811"/>
      <c r="G549" s="811"/>
      <c r="H549" s="811"/>
      <c r="I549" s="811"/>
      <c r="J549" s="811"/>
      <c r="K549" s="811"/>
      <c r="L549" s="811"/>
      <c r="M549" s="811"/>
      <c r="N549" s="811"/>
      <c r="O549" s="811"/>
      <c r="P549" s="873"/>
      <c r="Q549" s="880"/>
      <c r="R549" s="880"/>
      <c r="S549" s="811"/>
      <c r="T549" s="811"/>
      <c r="U549" s="811"/>
      <c r="V549" s="811"/>
      <c r="W549" s="811"/>
      <c r="X549" s="811"/>
      <c r="Y549" s="719"/>
      <c r="Z549" s="719"/>
      <c r="AA549" s="719"/>
      <c r="AB549" s="719"/>
      <c r="AC549" s="719"/>
      <c r="AD549" s="719"/>
      <c r="AE549" s="719"/>
      <c r="AF549" s="719"/>
      <c r="AG549" s="719"/>
      <c r="AH549" s="719"/>
      <c r="AI549" s="719"/>
      <c r="AJ549" s="719"/>
      <c r="AK549" s="719"/>
      <c r="AL549" s="719"/>
      <c r="AM549" s="719"/>
      <c r="AN549" s="719"/>
      <c r="AO549" s="719"/>
      <c r="AP549" s="719"/>
      <c r="AQ549" s="719"/>
      <c r="AR549" s="719"/>
      <c r="AS549" s="719"/>
      <c r="AT549" s="719"/>
      <c r="AU549" s="719"/>
      <c r="AV549" s="719"/>
      <c r="AW549" s="719"/>
      <c r="AX549" s="719"/>
      <c r="AY549" s="719"/>
      <c r="AZ549" s="719"/>
      <c r="BA549" s="719"/>
      <c r="BB549" s="719"/>
      <c r="BC549" s="719"/>
      <c r="BD549" s="719"/>
      <c r="BE549" s="719"/>
      <c r="BF549" s="719"/>
      <c r="BG549" s="719"/>
      <c r="BH549" s="719"/>
      <c r="BI549" s="719"/>
      <c r="BJ549" s="719"/>
    </row>
    <row r="550" spans="2:62" ht="15.75" customHeight="1">
      <c r="B550" s="497"/>
      <c r="C550" s="811"/>
      <c r="D550" s="811"/>
      <c r="E550" s="874"/>
      <c r="F550" s="878"/>
      <c r="G550" s="811"/>
      <c r="H550" s="874"/>
      <c r="I550" s="878"/>
      <c r="J550" s="878"/>
      <c r="K550" s="874"/>
      <c r="L550" s="878"/>
      <c r="M550" s="874"/>
      <c r="N550" s="878"/>
      <c r="O550" s="874"/>
      <c r="P550" s="811"/>
      <c r="Q550" s="811"/>
      <c r="R550" s="874"/>
      <c r="S550" s="811"/>
      <c r="T550" s="811"/>
      <c r="U550" s="811"/>
      <c r="V550" s="811"/>
      <c r="W550" s="811"/>
      <c r="X550" s="811"/>
      <c r="Y550" s="719"/>
      <c r="Z550" s="719"/>
      <c r="AA550" s="719"/>
      <c r="AB550" s="719"/>
      <c r="AC550" s="719"/>
      <c r="AD550" s="719"/>
      <c r="AE550" s="719"/>
      <c r="AF550" s="719"/>
      <c r="AG550" s="719"/>
      <c r="AH550" s="719"/>
      <c r="AI550" s="719"/>
      <c r="AJ550" s="719"/>
      <c r="AK550" s="719"/>
      <c r="AL550" s="719"/>
      <c r="AM550" s="719"/>
      <c r="AN550" s="719"/>
      <c r="AO550" s="719"/>
      <c r="AP550" s="719"/>
      <c r="AQ550" s="719"/>
      <c r="AR550" s="719"/>
      <c r="AS550" s="719"/>
      <c r="AT550" s="719"/>
      <c r="AU550" s="719"/>
      <c r="AV550" s="719"/>
      <c r="AW550" s="719"/>
      <c r="AX550" s="719"/>
      <c r="AY550" s="719"/>
      <c r="AZ550" s="719"/>
      <c r="BA550" s="719"/>
      <c r="BB550" s="719"/>
      <c r="BC550" s="719"/>
      <c r="BD550" s="719"/>
      <c r="BE550" s="719"/>
      <c r="BF550" s="719"/>
      <c r="BG550" s="719"/>
      <c r="BH550" s="719"/>
      <c r="BI550" s="719"/>
      <c r="BJ550" s="719"/>
    </row>
    <row r="551" spans="2:62" ht="15.75" customHeight="1">
      <c r="B551" s="497"/>
      <c r="C551" s="873"/>
      <c r="D551" s="811"/>
      <c r="E551" s="874"/>
      <c r="F551" s="878"/>
      <c r="G551" s="811"/>
      <c r="H551" s="874"/>
      <c r="I551" s="878"/>
      <c r="J551" s="878"/>
      <c r="K551" s="874"/>
      <c r="L551" s="878"/>
      <c r="M551" s="874"/>
      <c r="N551" s="878"/>
      <c r="O551" s="874"/>
      <c r="P551" s="811"/>
      <c r="Q551" s="811"/>
      <c r="R551" s="874"/>
      <c r="S551" s="811"/>
      <c r="T551" s="811"/>
      <c r="U551" s="811"/>
      <c r="V551" s="811"/>
      <c r="W551" s="811"/>
      <c r="X551" s="811"/>
      <c r="Y551" s="719"/>
      <c r="Z551" s="719"/>
      <c r="AA551" s="719"/>
      <c r="AB551" s="719"/>
      <c r="AC551" s="719"/>
      <c r="AD551" s="719"/>
      <c r="AE551" s="719"/>
      <c r="AF551" s="719"/>
      <c r="AG551" s="719"/>
      <c r="AH551" s="719"/>
      <c r="AI551" s="719"/>
      <c r="AJ551" s="719"/>
      <c r="AK551" s="719"/>
      <c r="AL551" s="719"/>
      <c r="AM551" s="719"/>
      <c r="AN551" s="719"/>
      <c r="AO551" s="719"/>
      <c r="AP551" s="719"/>
      <c r="AQ551" s="719"/>
      <c r="AR551" s="719"/>
      <c r="AS551" s="719"/>
      <c r="AT551" s="719"/>
      <c r="AU551" s="719"/>
      <c r="AV551" s="719"/>
      <c r="AW551" s="719"/>
      <c r="AX551" s="719"/>
      <c r="AY551" s="719"/>
      <c r="AZ551" s="719"/>
      <c r="BA551" s="719"/>
      <c r="BB551" s="719"/>
      <c r="BC551" s="719"/>
      <c r="BD551" s="719"/>
      <c r="BE551" s="719"/>
      <c r="BF551" s="719"/>
      <c r="BG551" s="719"/>
      <c r="BH551" s="719"/>
      <c r="BI551" s="719"/>
      <c r="BJ551" s="719"/>
    </row>
    <row r="552" spans="2:62" ht="15.75" customHeight="1">
      <c r="B552" s="497"/>
      <c r="C552" s="811"/>
      <c r="D552" s="811"/>
      <c r="E552" s="874"/>
      <c r="F552" s="878"/>
      <c r="G552" s="811"/>
      <c r="H552" s="874"/>
      <c r="I552" s="878"/>
      <c r="J552" s="878"/>
      <c r="K552" s="874"/>
      <c r="L552" s="878"/>
      <c r="M552" s="874"/>
      <c r="N552" s="878"/>
      <c r="O552" s="874"/>
      <c r="P552" s="811"/>
      <c r="Q552" s="811"/>
      <c r="R552" s="874"/>
      <c r="S552" s="811"/>
      <c r="T552" s="811"/>
      <c r="U552" s="811"/>
      <c r="V552" s="811"/>
      <c r="W552" s="811"/>
      <c r="X552" s="811"/>
      <c r="Y552" s="719"/>
      <c r="Z552" s="719"/>
      <c r="AA552" s="719"/>
      <c r="AB552" s="719"/>
      <c r="AC552" s="719"/>
      <c r="AD552" s="719"/>
      <c r="AE552" s="719"/>
      <c r="AF552" s="719"/>
      <c r="AG552" s="719"/>
      <c r="AH552" s="719"/>
      <c r="AI552" s="719"/>
      <c r="AJ552" s="719"/>
      <c r="AK552" s="719"/>
      <c r="AL552" s="719"/>
      <c r="AM552" s="719"/>
      <c r="AN552" s="719"/>
      <c r="AO552" s="719"/>
      <c r="AP552" s="719"/>
      <c r="AQ552" s="719"/>
      <c r="AR552" s="719"/>
      <c r="AS552" s="719"/>
      <c r="AT552" s="719"/>
      <c r="AU552" s="719"/>
      <c r="AV552" s="719"/>
      <c r="AW552" s="719"/>
      <c r="AX552" s="719"/>
      <c r="AY552" s="719"/>
      <c r="AZ552" s="719"/>
      <c r="BA552" s="719"/>
      <c r="BB552" s="719"/>
      <c r="BC552" s="719"/>
      <c r="BD552" s="719"/>
      <c r="BE552" s="719"/>
      <c r="BF552" s="719"/>
      <c r="BG552" s="719"/>
      <c r="BH552" s="719"/>
      <c r="BI552" s="719"/>
      <c r="BJ552" s="719"/>
    </row>
    <row r="553" spans="2:62" ht="15.75" customHeight="1">
      <c r="B553" s="497"/>
      <c r="C553" s="811"/>
      <c r="D553" s="811"/>
      <c r="E553" s="811"/>
      <c r="F553" s="811"/>
      <c r="G553" s="811"/>
      <c r="H553" s="811"/>
      <c r="I553" s="811"/>
      <c r="J553" s="811"/>
      <c r="K553" s="811"/>
      <c r="L553" s="811"/>
      <c r="M553" s="811"/>
      <c r="N553" s="811"/>
      <c r="O553" s="811"/>
      <c r="P553" s="878"/>
      <c r="Q553" s="874"/>
      <c r="R553" s="811"/>
      <c r="S553" s="874"/>
      <c r="T553" s="811"/>
      <c r="U553" s="811"/>
      <c r="V553" s="811"/>
      <c r="W553" s="811"/>
      <c r="X553" s="811"/>
      <c r="Y553" s="719"/>
      <c r="Z553" s="719"/>
      <c r="AA553" s="719"/>
      <c r="AB553" s="719"/>
      <c r="AC553" s="719"/>
      <c r="AD553" s="719"/>
      <c r="AE553" s="719"/>
      <c r="AF553" s="719"/>
      <c r="AG553" s="719"/>
      <c r="AH553" s="719"/>
      <c r="AI553" s="719"/>
      <c r="AJ553" s="719"/>
      <c r="AK553" s="719"/>
      <c r="AL553" s="719"/>
      <c r="AM553" s="719"/>
      <c r="AN553" s="719"/>
      <c r="AO553" s="719"/>
      <c r="AP553" s="719"/>
      <c r="AQ553" s="719"/>
      <c r="AR553" s="719"/>
      <c r="AS553" s="719"/>
      <c r="AT553" s="719"/>
      <c r="AU553" s="719"/>
      <c r="AV553" s="719"/>
      <c r="AW553" s="719"/>
      <c r="AX553" s="719"/>
      <c r="AY553" s="719"/>
      <c r="AZ553" s="719"/>
      <c r="BA553" s="719"/>
      <c r="BB553" s="719"/>
      <c r="BC553" s="719"/>
      <c r="BD553" s="719"/>
      <c r="BE553" s="719"/>
      <c r="BF553" s="719"/>
      <c r="BG553" s="719"/>
      <c r="BH553" s="719"/>
      <c r="BI553" s="719"/>
      <c r="BJ553" s="719"/>
    </row>
    <row r="554" spans="2:62" ht="15.75" customHeight="1">
      <c r="B554" s="497"/>
      <c r="C554" s="811"/>
      <c r="D554" s="811"/>
      <c r="E554" s="811"/>
      <c r="F554" s="811"/>
      <c r="G554" s="811"/>
      <c r="H554" s="811"/>
      <c r="I554" s="811"/>
      <c r="J554" s="811"/>
      <c r="K554" s="811"/>
      <c r="L554" s="811"/>
      <c r="M554" s="811"/>
      <c r="N554" s="811"/>
      <c r="O554" s="811"/>
      <c r="P554" s="878"/>
      <c r="Q554" s="874"/>
      <c r="R554" s="811"/>
      <c r="S554" s="874"/>
      <c r="T554" s="811"/>
      <c r="U554" s="811"/>
      <c r="V554" s="811"/>
      <c r="W554" s="811"/>
      <c r="X554" s="811"/>
      <c r="Y554" s="719"/>
      <c r="Z554" s="719"/>
      <c r="AA554" s="719"/>
      <c r="AB554" s="719"/>
      <c r="AC554" s="719"/>
      <c r="AD554" s="719"/>
      <c r="AE554" s="719"/>
      <c r="AF554" s="719"/>
      <c r="AG554" s="719"/>
      <c r="AH554" s="719"/>
      <c r="AI554" s="719"/>
      <c r="AJ554" s="719"/>
      <c r="AK554" s="719"/>
      <c r="AL554" s="719"/>
      <c r="AM554" s="719"/>
      <c r="AN554" s="719"/>
      <c r="AO554" s="719"/>
      <c r="AP554" s="719"/>
      <c r="AQ554" s="719"/>
      <c r="AR554" s="719"/>
      <c r="AS554" s="719"/>
      <c r="AT554" s="719"/>
      <c r="AU554" s="719"/>
      <c r="AV554" s="719"/>
      <c r="AW554" s="719"/>
      <c r="AX554" s="719"/>
      <c r="AY554" s="719"/>
      <c r="AZ554" s="719"/>
      <c r="BA554" s="719"/>
      <c r="BB554" s="719"/>
      <c r="BC554" s="719"/>
      <c r="BD554" s="719"/>
      <c r="BE554" s="719"/>
      <c r="BF554" s="719"/>
      <c r="BG554" s="719"/>
      <c r="BH554" s="719"/>
      <c r="BI554" s="719"/>
      <c r="BJ554" s="719"/>
    </row>
    <row r="555" spans="2:62" ht="15.75" customHeight="1">
      <c r="B555" s="497"/>
      <c r="C555" s="811"/>
      <c r="D555" s="811"/>
      <c r="E555" s="811"/>
      <c r="F555" s="811"/>
      <c r="G555" s="811"/>
      <c r="H555" s="811"/>
      <c r="I555" s="811"/>
      <c r="J555" s="811"/>
      <c r="K555" s="811"/>
      <c r="L555" s="811"/>
      <c r="M555" s="811"/>
      <c r="N555" s="811"/>
      <c r="O555" s="811"/>
      <c r="P555" s="878"/>
      <c r="Q555" s="874"/>
      <c r="R555" s="811"/>
      <c r="S555" s="874"/>
      <c r="T555" s="811"/>
      <c r="U555" s="811"/>
      <c r="V555" s="811"/>
      <c r="W555" s="811"/>
      <c r="X555" s="811"/>
      <c r="Y555" s="719"/>
      <c r="Z555" s="719"/>
      <c r="AA555" s="719"/>
      <c r="AB555" s="719"/>
      <c r="AC555" s="719"/>
      <c r="AD555" s="719"/>
      <c r="AE555" s="719"/>
      <c r="AF555" s="719"/>
      <c r="AG555" s="719"/>
      <c r="AH555" s="719"/>
      <c r="AI555" s="719"/>
      <c r="AJ555" s="719"/>
      <c r="AK555" s="719"/>
      <c r="AL555" s="719"/>
      <c r="AM555" s="719"/>
      <c r="AN555" s="719"/>
      <c r="AO555" s="719"/>
      <c r="AP555" s="719"/>
      <c r="AQ555" s="719"/>
      <c r="AR555" s="719"/>
      <c r="AS555" s="719"/>
      <c r="AT555" s="719"/>
      <c r="AU555" s="719"/>
      <c r="AV555" s="719"/>
      <c r="AW555" s="719"/>
      <c r="AX555" s="719"/>
      <c r="AY555" s="719"/>
      <c r="AZ555" s="719"/>
      <c r="BA555" s="719"/>
      <c r="BB555" s="719"/>
      <c r="BC555" s="719"/>
      <c r="BD555" s="719"/>
      <c r="BE555" s="719"/>
      <c r="BF555" s="719"/>
      <c r="BG555" s="719"/>
      <c r="BH555" s="719"/>
      <c r="BI555" s="719"/>
      <c r="BJ555" s="719"/>
    </row>
    <row r="556" spans="2:62" ht="15.75" customHeight="1">
      <c r="B556" s="497"/>
      <c r="C556" s="811"/>
      <c r="D556" s="811"/>
      <c r="E556" s="811"/>
      <c r="F556" s="811"/>
      <c r="G556" s="811"/>
      <c r="H556" s="811"/>
      <c r="I556" s="811"/>
      <c r="J556" s="811"/>
      <c r="K556" s="811"/>
      <c r="L556" s="811"/>
      <c r="M556" s="811"/>
      <c r="N556" s="811"/>
      <c r="O556" s="811"/>
      <c r="P556" s="878"/>
      <c r="Q556" s="874"/>
      <c r="R556" s="811"/>
      <c r="S556" s="874"/>
      <c r="T556" s="811"/>
      <c r="U556" s="811"/>
      <c r="V556" s="811"/>
      <c r="W556" s="811"/>
      <c r="X556" s="811"/>
      <c r="Y556" s="719"/>
      <c r="Z556" s="719"/>
      <c r="AA556" s="719"/>
      <c r="AB556" s="719"/>
      <c r="AC556" s="719"/>
      <c r="AD556" s="719"/>
      <c r="AE556" s="719"/>
      <c r="AF556" s="719"/>
      <c r="AG556" s="719"/>
      <c r="AH556" s="719"/>
      <c r="AI556" s="719"/>
      <c r="AJ556" s="719"/>
      <c r="AK556" s="719"/>
      <c r="AL556" s="719"/>
      <c r="AM556" s="719"/>
      <c r="AN556" s="719"/>
      <c r="AO556" s="719"/>
      <c r="AP556" s="719"/>
      <c r="AQ556" s="719"/>
      <c r="AR556" s="719"/>
      <c r="AS556" s="719"/>
      <c r="AT556" s="719"/>
      <c r="AU556" s="719"/>
      <c r="AV556" s="719"/>
      <c r="AW556" s="719"/>
      <c r="AX556" s="719"/>
      <c r="AY556" s="719"/>
      <c r="AZ556" s="719"/>
      <c r="BA556" s="719"/>
      <c r="BB556" s="719"/>
      <c r="BC556" s="719"/>
      <c r="BD556" s="719"/>
      <c r="BE556" s="719"/>
      <c r="BF556" s="719"/>
      <c r="BG556" s="719"/>
      <c r="BH556" s="719"/>
      <c r="BI556" s="719"/>
      <c r="BJ556" s="719"/>
    </row>
    <row r="557" spans="2:62" ht="15.75" customHeight="1">
      <c r="B557" s="497"/>
      <c r="C557" s="811"/>
      <c r="D557" s="811"/>
      <c r="E557" s="811"/>
      <c r="F557" s="811"/>
      <c r="G557" s="811"/>
      <c r="H557" s="811"/>
      <c r="I557" s="811"/>
      <c r="J557" s="811"/>
      <c r="K557" s="811"/>
      <c r="L557" s="811"/>
      <c r="M557" s="811"/>
      <c r="N557" s="811"/>
      <c r="O557" s="811"/>
      <c r="P557" s="878"/>
      <c r="Q557" s="874"/>
      <c r="R557" s="811"/>
      <c r="S557" s="874"/>
      <c r="T557" s="811"/>
      <c r="U557" s="811"/>
      <c r="V557" s="811"/>
      <c r="W557" s="811"/>
      <c r="X557" s="811"/>
      <c r="Y557" s="719"/>
      <c r="Z557" s="719"/>
      <c r="AA557" s="719"/>
      <c r="AB557" s="719"/>
      <c r="AC557" s="719"/>
      <c r="AD557" s="719"/>
      <c r="AE557" s="719"/>
      <c r="AF557" s="719"/>
      <c r="AG557" s="719"/>
      <c r="AH557" s="719"/>
      <c r="AI557" s="719"/>
      <c r="AJ557" s="719"/>
      <c r="AK557" s="719"/>
      <c r="AL557" s="719"/>
      <c r="AM557" s="719"/>
      <c r="AN557" s="719"/>
      <c r="AO557" s="719"/>
      <c r="AP557" s="719"/>
      <c r="AQ557" s="719"/>
      <c r="AR557" s="719"/>
      <c r="AS557" s="719"/>
      <c r="AT557" s="719"/>
      <c r="AU557" s="719"/>
      <c r="AV557" s="719"/>
      <c r="AW557" s="719"/>
      <c r="AX557" s="719"/>
      <c r="AY557" s="719"/>
      <c r="AZ557" s="719"/>
      <c r="BA557" s="719"/>
      <c r="BB557" s="719"/>
      <c r="BC557" s="719"/>
      <c r="BD557" s="719"/>
      <c r="BE557" s="719"/>
      <c r="BF557" s="719"/>
      <c r="BG557" s="719"/>
      <c r="BH557" s="719"/>
      <c r="BI557" s="719"/>
      <c r="BJ557" s="719"/>
    </row>
    <row r="558" spans="2:62" ht="15.75" customHeight="1">
      <c r="B558" s="497"/>
      <c r="C558" s="811"/>
      <c r="D558" s="811"/>
      <c r="E558" s="811"/>
      <c r="F558" s="811"/>
      <c r="G558" s="811"/>
      <c r="H558" s="811"/>
      <c r="I558" s="811"/>
      <c r="J558" s="811"/>
      <c r="K558" s="811"/>
      <c r="L558" s="811"/>
      <c r="M558" s="811"/>
      <c r="N558" s="811"/>
      <c r="O558" s="811"/>
      <c r="P558" s="878"/>
      <c r="Q558" s="874"/>
      <c r="R558" s="811"/>
      <c r="S558" s="874"/>
      <c r="T558" s="811"/>
      <c r="U558" s="811"/>
      <c r="V558" s="811"/>
      <c r="W558" s="811"/>
      <c r="X558" s="811"/>
      <c r="Y558" s="719"/>
      <c r="Z558" s="719"/>
      <c r="AA558" s="719"/>
      <c r="AB558" s="719"/>
      <c r="AC558" s="719"/>
      <c r="AD558" s="719"/>
      <c r="AE558" s="719"/>
      <c r="AF558" s="719"/>
      <c r="AG558" s="719"/>
      <c r="AH558" s="719"/>
      <c r="AI558" s="719"/>
      <c r="AJ558" s="719"/>
      <c r="AK558" s="719"/>
      <c r="AL558" s="719"/>
      <c r="AM558" s="719"/>
      <c r="AN558" s="719"/>
      <c r="AO558" s="719"/>
      <c r="AP558" s="719"/>
      <c r="AQ558" s="719"/>
      <c r="AR558" s="719"/>
      <c r="AS558" s="719"/>
      <c r="AT558" s="719"/>
      <c r="AU558" s="719"/>
      <c r="AV558" s="719"/>
      <c r="AW558" s="719"/>
      <c r="AX558" s="719"/>
      <c r="AY558" s="719"/>
      <c r="AZ558" s="719"/>
      <c r="BA558" s="719"/>
      <c r="BB558" s="719"/>
      <c r="BC558" s="719"/>
      <c r="BD558" s="719"/>
      <c r="BE558" s="719"/>
      <c r="BF558" s="719"/>
      <c r="BG558" s="719"/>
      <c r="BH558" s="719"/>
      <c r="BI558" s="719"/>
      <c r="BJ558" s="719"/>
    </row>
    <row r="559" spans="2:62" ht="15.75" customHeight="1">
      <c r="B559" s="497"/>
      <c r="C559" s="811"/>
      <c r="D559" s="811"/>
      <c r="E559" s="811"/>
      <c r="F559" s="811"/>
      <c r="G559" s="811"/>
      <c r="H559" s="811"/>
      <c r="I559" s="811"/>
      <c r="J559" s="811"/>
      <c r="K559" s="811"/>
      <c r="L559" s="811"/>
      <c r="M559" s="811"/>
      <c r="N559" s="811"/>
      <c r="O559" s="811"/>
      <c r="P559" s="878"/>
      <c r="Q559" s="874"/>
      <c r="R559" s="811"/>
      <c r="S559" s="874"/>
      <c r="T559" s="811"/>
      <c r="U559" s="811"/>
      <c r="V559" s="811"/>
      <c r="W559" s="811"/>
      <c r="X559" s="811"/>
      <c r="Y559" s="719"/>
      <c r="Z559" s="719"/>
      <c r="AA559" s="719"/>
      <c r="AB559" s="719"/>
      <c r="AC559" s="719"/>
      <c r="AD559" s="719"/>
      <c r="AE559" s="719"/>
      <c r="AF559" s="719"/>
      <c r="AG559" s="719"/>
      <c r="AH559" s="719"/>
      <c r="AI559" s="719"/>
      <c r="AJ559" s="719"/>
      <c r="AK559" s="719"/>
      <c r="AL559" s="719"/>
      <c r="AM559" s="719"/>
      <c r="AN559" s="719"/>
      <c r="AO559" s="719"/>
      <c r="AP559" s="719"/>
      <c r="AQ559" s="719"/>
      <c r="AR559" s="719"/>
      <c r="AS559" s="719"/>
      <c r="AT559" s="719"/>
      <c r="AU559" s="719"/>
      <c r="AV559" s="719"/>
      <c r="AW559" s="719"/>
      <c r="AX559" s="719"/>
      <c r="AY559" s="719"/>
      <c r="AZ559" s="719"/>
      <c r="BA559" s="719"/>
      <c r="BB559" s="719"/>
      <c r="BC559" s="719"/>
      <c r="BD559" s="719"/>
      <c r="BE559" s="719"/>
      <c r="BF559" s="719"/>
      <c r="BG559" s="719"/>
      <c r="BH559" s="719"/>
      <c r="BI559" s="719"/>
      <c r="BJ559" s="719"/>
    </row>
    <row r="560" spans="2:62" ht="15.75" customHeight="1">
      <c r="B560" s="497"/>
      <c r="C560" s="811"/>
      <c r="D560" s="811"/>
      <c r="E560" s="811"/>
      <c r="F560" s="811"/>
      <c r="G560" s="811"/>
      <c r="H560" s="811"/>
      <c r="I560" s="811"/>
      <c r="J560" s="811"/>
      <c r="K560" s="811"/>
      <c r="L560" s="811"/>
      <c r="M560" s="811"/>
      <c r="N560" s="811"/>
      <c r="O560" s="811"/>
      <c r="P560" s="878"/>
      <c r="Q560" s="874"/>
      <c r="R560" s="811"/>
      <c r="S560" s="874"/>
      <c r="T560" s="811"/>
      <c r="U560" s="811"/>
      <c r="V560" s="811"/>
      <c r="W560" s="811"/>
      <c r="X560" s="811"/>
      <c r="Y560" s="719"/>
      <c r="Z560" s="719"/>
      <c r="AA560" s="719"/>
      <c r="AB560" s="719"/>
      <c r="AC560" s="719"/>
      <c r="AD560" s="719"/>
      <c r="AE560" s="719"/>
      <c r="AF560" s="719"/>
      <c r="AG560" s="719"/>
      <c r="AH560" s="719"/>
      <c r="AI560" s="719"/>
      <c r="AJ560" s="719"/>
      <c r="AK560" s="719"/>
      <c r="AL560" s="719"/>
      <c r="AM560" s="719"/>
      <c r="AN560" s="719"/>
      <c r="AO560" s="719"/>
      <c r="AP560" s="719"/>
      <c r="AQ560" s="719"/>
      <c r="AR560" s="719"/>
      <c r="AS560" s="719"/>
      <c r="AT560" s="719"/>
      <c r="AU560" s="719"/>
      <c r="AV560" s="719"/>
      <c r="AW560" s="719"/>
      <c r="AX560" s="719"/>
      <c r="AY560" s="719"/>
      <c r="AZ560" s="719"/>
      <c r="BA560" s="719"/>
      <c r="BB560" s="719"/>
      <c r="BC560" s="719"/>
      <c r="BD560" s="719"/>
      <c r="BE560" s="719"/>
      <c r="BF560" s="719"/>
      <c r="BG560" s="719"/>
      <c r="BH560" s="719"/>
      <c r="BI560" s="719"/>
      <c r="BJ560" s="719"/>
    </row>
    <row r="561" spans="2:62" ht="15.75" customHeight="1">
      <c r="B561" s="497"/>
      <c r="C561" s="873"/>
      <c r="D561" s="873"/>
      <c r="E561" s="811"/>
      <c r="F561" s="811"/>
      <c r="G561" s="873"/>
      <c r="H561" s="811"/>
      <c r="I561" s="811"/>
      <c r="J561" s="811"/>
      <c r="K561" s="811"/>
      <c r="L561" s="811"/>
      <c r="M561" s="811"/>
      <c r="N561" s="811"/>
      <c r="O561" s="811"/>
      <c r="P561" s="880"/>
      <c r="Q561" s="876"/>
      <c r="R561" s="811"/>
      <c r="S561" s="876"/>
      <c r="T561" s="811"/>
      <c r="U561" s="811"/>
      <c r="V561" s="811"/>
      <c r="W561" s="811"/>
      <c r="X561" s="811"/>
      <c r="Y561" s="719"/>
      <c r="Z561" s="719"/>
      <c r="AA561" s="719"/>
      <c r="AB561" s="719"/>
      <c r="AC561" s="719"/>
      <c r="AD561" s="719"/>
      <c r="AE561" s="719"/>
      <c r="AF561" s="719"/>
      <c r="AG561" s="719"/>
      <c r="AH561" s="719"/>
      <c r="AI561" s="719"/>
      <c r="AJ561" s="719"/>
      <c r="AK561" s="719"/>
      <c r="AL561" s="719"/>
      <c r="AM561" s="719"/>
      <c r="AN561" s="719"/>
      <c r="AO561" s="719"/>
      <c r="AP561" s="719"/>
      <c r="AQ561" s="719"/>
      <c r="AR561" s="719"/>
      <c r="AS561" s="719"/>
      <c r="AT561" s="719"/>
      <c r="AU561" s="719"/>
      <c r="AV561" s="719"/>
      <c r="AW561" s="719"/>
      <c r="AX561" s="719"/>
      <c r="AY561" s="719"/>
      <c r="AZ561" s="719"/>
      <c r="BA561" s="719"/>
      <c r="BB561" s="719"/>
      <c r="BC561" s="719"/>
      <c r="BD561" s="719"/>
      <c r="BE561" s="719"/>
      <c r="BF561" s="719"/>
      <c r="BG561" s="719"/>
      <c r="BH561" s="719"/>
      <c r="BI561" s="719"/>
      <c r="BJ561" s="719"/>
    </row>
    <row r="562" spans="2:62" ht="15.75" customHeight="1">
      <c r="B562" s="497"/>
      <c r="C562" s="811"/>
      <c r="D562" s="811"/>
      <c r="E562" s="811"/>
      <c r="F562" s="811"/>
      <c r="G562" s="811"/>
      <c r="H562" s="811"/>
      <c r="I562" s="811"/>
      <c r="J562" s="811"/>
      <c r="K562" s="811"/>
      <c r="L562" s="811"/>
      <c r="M562" s="811"/>
      <c r="N562" s="811"/>
      <c r="O562" s="811"/>
      <c r="P562" s="880"/>
      <c r="Q562" s="880"/>
      <c r="R562" s="811"/>
      <c r="S562" s="811"/>
      <c r="T562" s="811"/>
      <c r="U562" s="811"/>
      <c r="V562" s="811"/>
      <c r="W562" s="811"/>
      <c r="X562" s="811"/>
      <c r="Y562" s="719"/>
      <c r="Z562" s="719"/>
      <c r="AA562" s="719"/>
      <c r="AB562" s="719"/>
      <c r="AC562" s="719"/>
      <c r="AD562" s="719"/>
      <c r="AE562" s="719"/>
      <c r="AF562" s="719"/>
      <c r="AG562" s="719"/>
      <c r="AH562" s="719"/>
      <c r="AI562" s="719"/>
      <c r="AJ562" s="719"/>
      <c r="AK562" s="719"/>
      <c r="AL562" s="719"/>
      <c r="AM562" s="719"/>
      <c r="AN562" s="719"/>
      <c r="AO562" s="719"/>
      <c r="AP562" s="719"/>
      <c r="AQ562" s="719"/>
      <c r="AR562" s="719"/>
      <c r="AS562" s="719"/>
      <c r="AT562" s="719"/>
      <c r="AU562" s="719"/>
      <c r="AV562" s="719"/>
      <c r="AW562" s="719"/>
      <c r="AX562" s="719"/>
      <c r="AY562" s="719"/>
      <c r="AZ562" s="719"/>
      <c r="BA562" s="719"/>
      <c r="BB562" s="719"/>
      <c r="BC562" s="719"/>
      <c r="BD562" s="719"/>
      <c r="BE562" s="719"/>
      <c r="BF562" s="719"/>
      <c r="BG562" s="719"/>
      <c r="BH562" s="719"/>
      <c r="BI562" s="719"/>
      <c r="BJ562" s="719"/>
    </row>
    <row r="563" spans="2:62" ht="15.75" customHeight="1">
      <c r="B563" s="497"/>
      <c r="C563" s="811"/>
      <c r="D563" s="811"/>
      <c r="E563" s="811"/>
      <c r="F563" s="811"/>
      <c r="G563" s="811"/>
      <c r="H563" s="811"/>
      <c r="I563" s="811"/>
      <c r="J563" s="811"/>
      <c r="K563" s="811"/>
      <c r="L563" s="811"/>
      <c r="M563" s="811"/>
      <c r="N563" s="811"/>
      <c r="O563" s="811"/>
      <c r="P563" s="878"/>
      <c r="Q563" s="874"/>
      <c r="R563" s="811"/>
      <c r="S563" s="874"/>
      <c r="T563" s="811"/>
      <c r="U563" s="811"/>
      <c r="V563" s="811"/>
      <c r="W563" s="811"/>
      <c r="X563" s="811"/>
      <c r="Y563" s="719"/>
      <c r="Z563" s="719"/>
      <c r="AA563" s="719"/>
      <c r="AB563" s="719"/>
      <c r="AC563" s="719"/>
      <c r="AD563" s="719"/>
      <c r="AE563" s="719"/>
      <c r="AF563" s="719"/>
      <c r="AG563" s="719"/>
      <c r="AH563" s="719"/>
      <c r="AI563" s="719"/>
      <c r="AJ563" s="719"/>
      <c r="AK563" s="719"/>
      <c r="AL563" s="719"/>
      <c r="AM563" s="719"/>
      <c r="AN563" s="719"/>
      <c r="AO563" s="719"/>
      <c r="AP563" s="719"/>
      <c r="AQ563" s="719"/>
      <c r="AR563" s="719"/>
      <c r="AS563" s="719"/>
      <c r="AT563" s="719"/>
      <c r="AU563" s="719"/>
      <c r="AV563" s="719"/>
      <c r="AW563" s="719"/>
      <c r="AX563" s="719"/>
      <c r="AY563" s="719"/>
      <c r="AZ563" s="719"/>
      <c r="BA563" s="719"/>
      <c r="BB563" s="719"/>
      <c r="BC563" s="719"/>
      <c r="BD563" s="719"/>
      <c r="BE563" s="719"/>
      <c r="BF563" s="719"/>
      <c r="BG563" s="719"/>
      <c r="BH563" s="719"/>
      <c r="BI563" s="719"/>
      <c r="BJ563" s="719"/>
    </row>
    <row r="564" spans="2:62" ht="15.75" customHeight="1">
      <c r="B564" s="497"/>
      <c r="C564" s="811"/>
      <c r="D564" s="811"/>
      <c r="E564" s="811"/>
      <c r="F564" s="811"/>
      <c r="G564" s="811"/>
      <c r="H564" s="811"/>
      <c r="I564" s="811"/>
      <c r="J564" s="811"/>
      <c r="K564" s="811"/>
      <c r="L564" s="811"/>
      <c r="M564" s="811"/>
      <c r="N564" s="811"/>
      <c r="O564" s="811"/>
      <c r="P564" s="878"/>
      <c r="Q564" s="874"/>
      <c r="R564" s="811"/>
      <c r="S564" s="874"/>
      <c r="T564" s="811"/>
      <c r="U564" s="811"/>
      <c r="V564" s="811"/>
      <c r="W564" s="811"/>
      <c r="X564" s="811"/>
      <c r="Y564" s="719"/>
      <c r="Z564" s="719"/>
      <c r="AA564" s="719"/>
      <c r="AB564" s="719"/>
      <c r="AC564" s="719"/>
      <c r="AD564" s="719"/>
      <c r="AE564" s="719"/>
      <c r="AF564" s="719"/>
      <c r="AG564" s="719"/>
      <c r="AH564" s="719"/>
      <c r="AI564" s="719"/>
      <c r="AJ564" s="719"/>
      <c r="AK564" s="719"/>
      <c r="AL564" s="719"/>
      <c r="AM564" s="719"/>
      <c r="AN564" s="719"/>
      <c r="AO564" s="719"/>
      <c r="AP564" s="719"/>
      <c r="AQ564" s="719"/>
      <c r="AR564" s="719"/>
      <c r="AS564" s="719"/>
      <c r="AT564" s="719"/>
      <c r="AU564" s="719"/>
      <c r="AV564" s="719"/>
      <c r="AW564" s="719"/>
      <c r="AX564" s="719"/>
      <c r="AY564" s="719"/>
      <c r="AZ564" s="719"/>
      <c r="BA564" s="719"/>
      <c r="BB564" s="719"/>
      <c r="BC564" s="719"/>
      <c r="BD564" s="719"/>
      <c r="BE564" s="719"/>
      <c r="BF564" s="719"/>
      <c r="BG564" s="719"/>
      <c r="BH564" s="719"/>
      <c r="BI564" s="719"/>
      <c r="BJ564" s="719"/>
    </row>
    <row r="565" spans="2:62" ht="15.75" customHeight="1">
      <c r="B565" s="497"/>
      <c r="C565" s="873"/>
      <c r="D565" s="811"/>
      <c r="E565" s="811"/>
      <c r="F565" s="811"/>
      <c r="G565" s="811"/>
      <c r="H565" s="811"/>
      <c r="I565" s="811"/>
      <c r="J565" s="811"/>
      <c r="K565" s="811"/>
      <c r="L565" s="811"/>
      <c r="M565" s="811"/>
      <c r="N565" s="811"/>
      <c r="O565" s="811"/>
      <c r="P565" s="880"/>
      <c r="Q565" s="876"/>
      <c r="R565" s="811"/>
      <c r="S565" s="876"/>
      <c r="T565" s="811"/>
      <c r="U565" s="811"/>
      <c r="V565" s="811"/>
      <c r="W565" s="811"/>
      <c r="X565" s="811"/>
      <c r="Y565" s="719"/>
      <c r="Z565" s="719"/>
      <c r="AA565" s="719"/>
      <c r="AB565" s="719"/>
      <c r="AC565" s="719"/>
      <c r="AD565" s="719"/>
      <c r="AE565" s="719"/>
      <c r="AF565" s="719"/>
      <c r="AG565" s="719"/>
      <c r="AH565" s="719"/>
      <c r="AI565" s="719"/>
      <c r="AJ565" s="719"/>
      <c r="AK565" s="719"/>
      <c r="AL565" s="719"/>
      <c r="AM565" s="719"/>
      <c r="AN565" s="719"/>
      <c r="AO565" s="719"/>
      <c r="AP565" s="719"/>
      <c r="AQ565" s="719"/>
      <c r="AR565" s="719"/>
      <c r="AS565" s="719"/>
      <c r="AT565" s="719"/>
      <c r="AU565" s="719"/>
      <c r="AV565" s="719"/>
      <c r="AW565" s="719"/>
      <c r="AX565" s="719"/>
      <c r="AY565" s="719"/>
      <c r="AZ565" s="719"/>
      <c r="BA565" s="719"/>
      <c r="BB565" s="719"/>
      <c r="BC565" s="719"/>
      <c r="BD565" s="719"/>
      <c r="BE565" s="719"/>
      <c r="BF565" s="719"/>
      <c r="BG565" s="719"/>
      <c r="BH565" s="719"/>
      <c r="BI565" s="719"/>
      <c r="BJ565" s="719"/>
    </row>
    <row r="566" spans="2:62" ht="15.75" customHeight="1">
      <c r="B566" s="497"/>
      <c r="C566" s="811"/>
      <c r="D566" s="811"/>
      <c r="E566" s="811"/>
      <c r="F566" s="811"/>
      <c r="G566" s="811"/>
      <c r="H566" s="811"/>
      <c r="I566" s="811"/>
      <c r="J566" s="811"/>
      <c r="K566" s="811"/>
      <c r="L566" s="811"/>
      <c r="M566" s="811"/>
      <c r="N566" s="811"/>
      <c r="O566" s="811"/>
      <c r="P566" s="880"/>
      <c r="Q566" s="880"/>
      <c r="R566" s="811"/>
      <c r="S566" s="811"/>
      <c r="T566" s="811"/>
      <c r="U566" s="811"/>
      <c r="V566" s="811"/>
      <c r="W566" s="811"/>
      <c r="X566" s="811"/>
      <c r="Y566" s="719"/>
      <c r="Z566" s="719"/>
      <c r="AA566" s="719"/>
      <c r="AB566" s="719"/>
      <c r="AC566" s="719"/>
      <c r="AD566" s="719"/>
      <c r="AE566" s="719"/>
      <c r="AF566" s="719"/>
      <c r="AG566" s="719"/>
      <c r="AH566" s="719"/>
      <c r="AI566" s="719"/>
      <c r="AJ566" s="719"/>
      <c r="AK566" s="719"/>
      <c r="AL566" s="719"/>
      <c r="AM566" s="719"/>
      <c r="AN566" s="719"/>
      <c r="AO566" s="719"/>
      <c r="AP566" s="719"/>
      <c r="AQ566" s="719"/>
      <c r="AR566" s="719"/>
      <c r="AS566" s="719"/>
      <c r="AT566" s="719"/>
      <c r="AU566" s="719"/>
      <c r="AV566" s="719"/>
      <c r="AW566" s="719"/>
      <c r="AX566" s="719"/>
      <c r="AY566" s="719"/>
      <c r="AZ566" s="719"/>
      <c r="BA566" s="719"/>
      <c r="BB566" s="719"/>
      <c r="BC566" s="719"/>
      <c r="BD566" s="719"/>
      <c r="BE566" s="719"/>
      <c r="BF566" s="719"/>
      <c r="BG566" s="719"/>
      <c r="BH566" s="719"/>
      <c r="BI566" s="719"/>
      <c r="BJ566" s="719"/>
    </row>
    <row r="567" spans="2:62" ht="15.75" customHeight="1">
      <c r="B567" s="497"/>
      <c r="C567" s="811"/>
      <c r="D567" s="811"/>
      <c r="E567" s="811"/>
      <c r="F567" s="811"/>
      <c r="G567" s="811"/>
      <c r="H567" s="811"/>
      <c r="I567" s="811"/>
      <c r="J567" s="811"/>
      <c r="K567" s="811"/>
      <c r="L567" s="811"/>
      <c r="M567" s="811"/>
      <c r="N567" s="811"/>
      <c r="O567" s="811"/>
      <c r="P567" s="878"/>
      <c r="Q567" s="874"/>
      <c r="R567" s="811"/>
      <c r="S567" s="874"/>
      <c r="T567" s="811"/>
      <c r="U567" s="811"/>
      <c r="V567" s="811"/>
      <c r="W567" s="811"/>
      <c r="X567" s="811"/>
      <c r="Y567" s="719"/>
      <c r="Z567" s="719"/>
      <c r="AA567" s="719"/>
      <c r="AB567" s="719"/>
      <c r="AC567" s="719"/>
      <c r="AD567" s="719"/>
      <c r="AE567" s="719"/>
      <c r="AF567" s="719"/>
      <c r="AG567" s="719"/>
      <c r="AH567" s="719"/>
      <c r="AI567" s="719"/>
      <c r="AJ567" s="719"/>
      <c r="AK567" s="719"/>
      <c r="AL567" s="719"/>
      <c r="AM567" s="719"/>
      <c r="AN567" s="719"/>
      <c r="AO567" s="719"/>
      <c r="AP567" s="719"/>
      <c r="AQ567" s="719"/>
      <c r="AR567" s="719"/>
      <c r="AS567" s="719"/>
      <c r="AT567" s="719"/>
      <c r="AU567" s="719"/>
      <c r="AV567" s="719"/>
      <c r="AW567" s="719"/>
      <c r="AX567" s="719"/>
      <c r="AY567" s="719"/>
      <c r="AZ567" s="719"/>
      <c r="BA567" s="719"/>
      <c r="BB567" s="719"/>
      <c r="BC567" s="719"/>
      <c r="BD567" s="719"/>
      <c r="BE567" s="719"/>
      <c r="BF567" s="719"/>
      <c r="BG567" s="719"/>
      <c r="BH567" s="719"/>
      <c r="BI567" s="719"/>
      <c r="BJ567" s="719"/>
    </row>
    <row r="568" spans="2:62" ht="15.75" customHeight="1">
      <c r="B568" s="497"/>
      <c r="C568" s="873"/>
      <c r="D568" s="873"/>
      <c r="E568" s="811"/>
      <c r="F568" s="811"/>
      <c r="G568" s="873"/>
      <c r="H568" s="811"/>
      <c r="I568" s="811"/>
      <c r="J568" s="811"/>
      <c r="K568" s="811"/>
      <c r="L568" s="811"/>
      <c r="M568" s="811"/>
      <c r="N568" s="811"/>
      <c r="O568" s="811"/>
      <c r="P568" s="880"/>
      <c r="Q568" s="876"/>
      <c r="R568" s="811"/>
      <c r="S568" s="876"/>
      <c r="T568" s="811"/>
      <c r="U568" s="811"/>
      <c r="V568" s="811"/>
      <c r="W568" s="811"/>
      <c r="X568" s="811"/>
      <c r="Y568" s="719"/>
      <c r="Z568" s="719"/>
      <c r="AA568" s="719"/>
      <c r="AB568" s="719"/>
      <c r="AC568" s="719"/>
      <c r="AD568" s="719"/>
      <c r="AE568" s="719"/>
      <c r="AF568" s="719"/>
      <c r="AG568" s="719"/>
      <c r="AH568" s="719"/>
      <c r="AI568" s="719"/>
      <c r="AJ568" s="719"/>
      <c r="AK568" s="719"/>
      <c r="AL568" s="719"/>
      <c r="AM568" s="719"/>
      <c r="AN568" s="719"/>
      <c r="AO568" s="719"/>
      <c r="AP568" s="719"/>
      <c r="AQ568" s="719"/>
      <c r="AR568" s="719"/>
      <c r="AS568" s="719"/>
      <c r="AT568" s="719"/>
      <c r="AU568" s="719"/>
      <c r="AV568" s="719"/>
      <c r="AW568" s="719"/>
      <c r="AX568" s="719"/>
      <c r="AY568" s="719"/>
      <c r="AZ568" s="719"/>
      <c r="BA568" s="719"/>
      <c r="BB568" s="719"/>
      <c r="BC568" s="719"/>
      <c r="BD568" s="719"/>
      <c r="BE568" s="719"/>
      <c r="BF568" s="719"/>
      <c r="BG568" s="719"/>
      <c r="BH568" s="719"/>
      <c r="BI568" s="719"/>
      <c r="BJ568" s="719"/>
    </row>
    <row r="569" spans="2:62" ht="15.75" customHeight="1">
      <c r="B569" s="497"/>
      <c r="C569" s="811"/>
      <c r="D569" s="811"/>
      <c r="E569" s="811"/>
      <c r="F569" s="811"/>
      <c r="G569" s="811"/>
      <c r="H569" s="811"/>
      <c r="I569" s="811"/>
      <c r="J569" s="811"/>
      <c r="K569" s="811"/>
      <c r="L569" s="811"/>
      <c r="M569" s="811"/>
      <c r="N569" s="811"/>
      <c r="O569" s="811"/>
      <c r="P569" s="880"/>
      <c r="Q569" s="880"/>
      <c r="R569" s="811"/>
      <c r="S569" s="811"/>
      <c r="T569" s="811"/>
      <c r="U569" s="811"/>
      <c r="V569" s="811"/>
      <c r="W569" s="811"/>
      <c r="X569" s="811"/>
      <c r="Y569" s="719"/>
      <c r="Z569" s="719"/>
      <c r="AA569" s="719"/>
      <c r="AB569" s="719"/>
      <c r="AC569" s="719"/>
      <c r="AD569" s="719"/>
      <c r="AE569" s="719"/>
      <c r="AF569" s="719"/>
      <c r="AG569" s="719"/>
      <c r="AH569" s="719"/>
      <c r="AI569" s="719"/>
      <c r="AJ569" s="719"/>
      <c r="AK569" s="719"/>
      <c r="AL569" s="719"/>
      <c r="AM569" s="719"/>
      <c r="AN569" s="719"/>
      <c r="AO569" s="719"/>
      <c r="AP569" s="719"/>
      <c r="AQ569" s="719"/>
      <c r="AR569" s="719"/>
      <c r="AS569" s="719"/>
      <c r="AT569" s="719"/>
      <c r="AU569" s="719"/>
      <c r="AV569" s="719"/>
      <c r="AW569" s="719"/>
      <c r="AX569" s="719"/>
      <c r="AY569" s="719"/>
      <c r="AZ569" s="719"/>
      <c r="BA569" s="719"/>
      <c r="BB569" s="719"/>
      <c r="BC569" s="719"/>
      <c r="BD569" s="719"/>
      <c r="BE569" s="719"/>
      <c r="BF569" s="719"/>
      <c r="BG569" s="719"/>
      <c r="BH569" s="719"/>
      <c r="BI569" s="719"/>
      <c r="BJ569" s="719"/>
    </row>
    <row r="570" spans="2:62" ht="15.75" customHeight="1">
      <c r="B570" s="497"/>
      <c r="C570" s="811"/>
      <c r="D570" s="811"/>
      <c r="E570" s="874"/>
      <c r="F570" s="878"/>
      <c r="G570" s="811"/>
      <c r="H570" s="874"/>
      <c r="I570" s="878"/>
      <c r="J570" s="878"/>
      <c r="K570" s="874"/>
      <c r="L570" s="878"/>
      <c r="M570" s="874"/>
      <c r="N570" s="878"/>
      <c r="O570" s="874"/>
      <c r="P570" s="878"/>
      <c r="Q570" s="874"/>
      <c r="R570" s="874"/>
      <c r="S570" s="811"/>
      <c r="T570" s="811"/>
      <c r="U570" s="811"/>
      <c r="V570" s="811"/>
      <c r="W570" s="811"/>
      <c r="X570" s="811"/>
      <c r="Y570" s="719"/>
      <c r="Z570" s="719"/>
      <c r="AA570" s="719"/>
      <c r="AB570" s="719"/>
      <c r="AC570" s="719"/>
      <c r="AD570" s="719"/>
      <c r="AE570" s="719"/>
      <c r="AF570" s="719"/>
      <c r="AG570" s="719"/>
      <c r="AH570" s="719"/>
      <c r="AI570" s="719"/>
      <c r="AJ570" s="719"/>
      <c r="AK570" s="719"/>
      <c r="AL570" s="719"/>
      <c r="AM570" s="719"/>
      <c r="AN570" s="719"/>
      <c r="AO570" s="719"/>
      <c r="AP570" s="719"/>
      <c r="AQ570" s="719"/>
      <c r="AR570" s="719"/>
      <c r="AS570" s="719"/>
      <c r="AT570" s="719"/>
      <c r="AU570" s="719"/>
      <c r="AV570" s="719"/>
      <c r="AW570" s="719"/>
      <c r="AX570" s="719"/>
      <c r="AY570" s="719"/>
      <c r="AZ570" s="719"/>
      <c r="BA570" s="719"/>
      <c r="BB570" s="719"/>
      <c r="BC570" s="719"/>
      <c r="BD570" s="719"/>
      <c r="BE570" s="719"/>
      <c r="BF570" s="719"/>
      <c r="BG570" s="719"/>
      <c r="BH570" s="719"/>
      <c r="BI570" s="719"/>
      <c r="BJ570" s="719"/>
    </row>
    <row r="571" spans="2:62" ht="15.75" customHeight="1">
      <c r="B571" s="497"/>
      <c r="C571" s="873"/>
      <c r="D571" s="873"/>
      <c r="E571" s="876"/>
      <c r="F571" s="880"/>
      <c r="G571" s="873"/>
      <c r="H571" s="876"/>
      <c r="I571" s="880"/>
      <c r="J571" s="880"/>
      <c r="K571" s="876"/>
      <c r="L571" s="880"/>
      <c r="M571" s="876"/>
      <c r="N571" s="880"/>
      <c r="O571" s="876"/>
      <c r="P571" s="880"/>
      <c r="Q571" s="876"/>
      <c r="R571" s="876"/>
      <c r="S571" s="876"/>
      <c r="T571" s="811"/>
      <c r="U571" s="811"/>
      <c r="V571" s="811"/>
      <c r="W571" s="811"/>
      <c r="X571" s="811"/>
      <c r="Y571" s="719"/>
      <c r="Z571" s="719"/>
      <c r="AA571" s="719"/>
      <c r="AB571" s="719"/>
      <c r="AC571" s="719"/>
      <c r="AD571" s="719"/>
      <c r="AE571" s="719"/>
      <c r="AF571" s="719"/>
      <c r="AG571" s="719"/>
      <c r="AH571" s="719"/>
      <c r="AI571" s="719"/>
      <c r="AJ571" s="719"/>
      <c r="AK571" s="719"/>
      <c r="AL571" s="719"/>
      <c r="AM571" s="719"/>
      <c r="AN571" s="719"/>
      <c r="AO571" s="719"/>
      <c r="AP571" s="719"/>
      <c r="AQ571" s="719"/>
      <c r="AR571" s="719"/>
      <c r="AS571" s="719"/>
      <c r="AT571" s="719"/>
      <c r="AU571" s="719"/>
      <c r="AV571" s="719"/>
      <c r="AW571" s="719"/>
      <c r="AX571" s="719"/>
      <c r="AY571" s="719"/>
      <c r="AZ571" s="719"/>
      <c r="BA571" s="719"/>
      <c r="BB571" s="719"/>
      <c r="BC571" s="719"/>
      <c r="BD571" s="719"/>
      <c r="BE571" s="719"/>
      <c r="BF571" s="719"/>
      <c r="BG571" s="719"/>
      <c r="BH571" s="719"/>
      <c r="BI571" s="719"/>
      <c r="BJ571" s="719"/>
    </row>
    <row r="572" spans="2:62" ht="15.75" customHeight="1">
      <c r="B572" s="497"/>
      <c r="C572" s="811"/>
      <c r="D572" s="811"/>
      <c r="E572" s="874"/>
      <c r="F572" s="878"/>
      <c r="G572" s="811"/>
      <c r="H572" s="874"/>
      <c r="I572" s="878"/>
      <c r="J572" s="874"/>
      <c r="K572" s="878"/>
      <c r="L572" s="874"/>
      <c r="M572" s="811"/>
      <c r="N572" s="874"/>
      <c r="O572" s="878"/>
      <c r="P572" s="876"/>
      <c r="Q572" s="880"/>
      <c r="R572" s="880"/>
      <c r="S572" s="874"/>
      <c r="T572" s="811"/>
      <c r="U572" s="811"/>
      <c r="V572" s="811"/>
      <c r="W572" s="811"/>
      <c r="X572" s="811"/>
      <c r="Y572" s="719"/>
      <c r="Z572" s="719"/>
      <c r="AA572" s="719"/>
      <c r="AB572" s="719"/>
      <c r="AC572" s="719"/>
      <c r="AD572" s="719"/>
      <c r="AE572" s="719"/>
      <c r="AF572" s="719"/>
      <c r="AG572" s="719"/>
      <c r="AH572" s="719"/>
      <c r="AI572" s="719"/>
      <c r="AJ572" s="719"/>
      <c r="AK572" s="719"/>
      <c r="AL572" s="719"/>
      <c r="AM572" s="719"/>
      <c r="AN572" s="719"/>
      <c r="AO572" s="719"/>
      <c r="AP572" s="719"/>
      <c r="AQ572" s="719"/>
      <c r="AR572" s="719"/>
      <c r="AS572" s="719"/>
      <c r="AT572" s="719"/>
      <c r="AU572" s="719"/>
      <c r="AV572" s="719"/>
      <c r="AW572" s="719"/>
      <c r="AX572" s="719"/>
      <c r="AY572" s="719"/>
      <c r="AZ572" s="719"/>
      <c r="BA572" s="719"/>
      <c r="BB572" s="719"/>
      <c r="BC572" s="719"/>
      <c r="BD572" s="719"/>
      <c r="BE572" s="719"/>
      <c r="BF572" s="719"/>
      <c r="BG572" s="719"/>
      <c r="BH572" s="719"/>
      <c r="BI572" s="719"/>
      <c r="BJ572" s="719"/>
    </row>
    <row r="573" spans="2:62" ht="15.75" customHeight="1">
      <c r="B573" s="497"/>
      <c r="C573" s="811"/>
      <c r="D573" s="811"/>
      <c r="E573" s="874"/>
      <c r="F573" s="878"/>
      <c r="G573" s="811"/>
      <c r="H573" s="874"/>
      <c r="I573" s="878"/>
      <c r="J573" s="874"/>
      <c r="K573" s="878"/>
      <c r="L573" s="874"/>
      <c r="M573" s="811"/>
      <c r="N573" s="874"/>
      <c r="O573" s="878"/>
      <c r="P573" s="874"/>
      <c r="Q573" s="811"/>
      <c r="R573" s="878"/>
      <c r="S573" s="874"/>
      <c r="T573" s="811"/>
      <c r="U573" s="811"/>
      <c r="V573" s="811"/>
      <c r="W573" s="811"/>
      <c r="X573" s="811"/>
      <c r="Y573" s="719"/>
      <c r="Z573" s="719"/>
      <c r="AA573" s="719"/>
      <c r="AB573" s="719"/>
      <c r="AC573" s="719"/>
      <c r="AD573" s="719"/>
      <c r="AE573" s="719"/>
      <c r="AF573" s="719"/>
      <c r="AG573" s="719"/>
      <c r="AH573" s="719"/>
      <c r="AI573" s="719"/>
      <c r="AJ573" s="719"/>
      <c r="AK573" s="719"/>
      <c r="AL573" s="719"/>
      <c r="AM573" s="719"/>
      <c r="AN573" s="719"/>
      <c r="AO573" s="719"/>
      <c r="AP573" s="719"/>
      <c r="AQ573" s="719"/>
      <c r="AR573" s="719"/>
      <c r="AS573" s="719"/>
      <c r="AT573" s="719"/>
      <c r="AU573" s="719"/>
      <c r="AV573" s="719"/>
      <c r="AW573" s="719"/>
      <c r="AX573" s="719"/>
      <c r="AY573" s="719"/>
      <c r="AZ573" s="719"/>
      <c r="BA573" s="719"/>
      <c r="BB573" s="719"/>
      <c r="BC573" s="719"/>
      <c r="BD573" s="719"/>
      <c r="BE573" s="719"/>
      <c r="BF573" s="719"/>
      <c r="BG573" s="719"/>
      <c r="BH573" s="719"/>
      <c r="BI573" s="719"/>
      <c r="BJ573" s="719"/>
    </row>
    <row r="574" spans="2:62" ht="15.75" customHeight="1">
      <c r="B574" s="497"/>
      <c r="C574" s="811"/>
      <c r="D574" s="811"/>
      <c r="E574" s="811"/>
      <c r="F574" s="811"/>
      <c r="G574" s="811"/>
      <c r="H574" s="811"/>
      <c r="I574" s="811"/>
      <c r="J574" s="811"/>
      <c r="K574" s="811"/>
      <c r="L574" s="811"/>
      <c r="M574" s="811"/>
      <c r="N574" s="811"/>
      <c r="O574" s="811"/>
      <c r="P574" s="811"/>
      <c r="Q574" s="811"/>
      <c r="R574" s="878"/>
      <c r="S574" s="874"/>
      <c r="T574" s="811"/>
      <c r="U574" s="811"/>
      <c r="V574" s="811"/>
      <c r="W574" s="811"/>
      <c r="X574" s="811"/>
      <c r="Y574" s="719"/>
      <c r="Z574" s="719"/>
      <c r="AA574" s="719"/>
      <c r="AB574" s="719"/>
      <c r="AC574" s="719"/>
      <c r="AD574" s="719"/>
      <c r="AE574" s="719"/>
      <c r="AF574" s="719"/>
      <c r="AG574" s="719"/>
      <c r="AH574" s="719"/>
      <c r="AI574" s="719"/>
      <c r="AJ574" s="719"/>
      <c r="AK574" s="719"/>
      <c r="AL574" s="719"/>
      <c r="AM574" s="719"/>
      <c r="AN574" s="719"/>
      <c r="AO574" s="719"/>
      <c r="AP574" s="719"/>
      <c r="AQ574" s="719"/>
      <c r="AR574" s="719"/>
      <c r="AS574" s="719"/>
      <c r="AT574" s="719"/>
      <c r="AU574" s="719"/>
      <c r="AV574" s="719"/>
      <c r="AW574" s="719"/>
      <c r="AX574" s="719"/>
      <c r="AY574" s="719"/>
      <c r="AZ574" s="719"/>
      <c r="BA574" s="719"/>
      <c r="BB574" s="719"/>
      <c r="BC574" s="719"/>
      <c r="BD574" s="719"/>
      <c r="BE574" s="719"/>
      <c r="BF574" s="719"/>
      <c r="BG574" s="719"/>
      <c r="BH574" s="719"/>
      <c r="BI574" s="719"/>
      <c r="BJ574" s="719"/>
    </row>
    <row r="575" spans="2:62" ht="15.75" customHeight="1">
      <c r="B575" s="497"/>
      <c r="C575" s="811"/>
      <c r="D575" s="811"/>
      <c r="E575" s="874"/>
      <c r="F575" s="878"/>
      <c r="G575" s="811"/>
      <c r="H575" s="874"/>
      <c r="I575" s="878"/>
      <c r="J575" s="874"/>
      <c r="K575" s="878"/>
      <c r="L575" s="874"/>
      <c r="M575" s="811"/>
      <c r="N575" s="874"/>
      <c r="O575" s="878"/>
      <c r="P575" s="874"/>
      <c r="Q575" s="811"/>
      <c r="R575" s="878"/>
      <c r="S575" s="874"/>
      <c r="T575" s="811"/>
      <c r="U575" s="811"/>
      <c r="V575" s="811"/>
      <c r="W575" s="811"/>
      <c r="X575" s="811"/>
      <c r="Y575" s="719"/>
      <c r="Z575" s="719"/>
      <c r="AA575" s="719"/>
      <c r="AB575" s="719"/>
      <c r="AC575" s="719"/>
      <c r="AD575" s="719"/>
      <c r="AE575" s="719"/>
      <c r="AF575" s="719"/>
      <c r="AG575" s="719"/>
      <c r="AH575" s="719"/>
      <c r="AI575" s="719"/>
      <c r="AJ575" s="719"/>
      <c r="AK575" s="719"/>
      <c r="AL575" s="719"/>
      <c r="AM575" s="719"/>
      <c r="AN575" s="719"/>
      <c r="AO575" s="719"/>
      <c r="AP575" s="719"/>
      <c r="AQ575" s="719"/>
      <c r="AR575" s="719"/>
      <c r="AS575" s="719"/>
      <c r="AT575" s="719"/>
      <c r="AU575" s="719"/>
      <c r="AV575" s="719"/>
      <c r="AW575" s="719"/>
      <c r="AX575" s="719"/>
      <c r="AY575" s="719"/>
      <c r="AZ575" s="719"/>
      <c r="BA575" s="719"/>
      <c r="BB575" s="719"/>
      <c r="BC575" s="719"/>
      <c r="BD575" s="719"/>
      <c r="BE575" s="719"/>
      <c r="BF575" s="719"/>
      <c r="BG575" s="719"/>
      <c r="BH575" s="719"/>
      <c r="BI575" s="719"/>
      <c r="BJ575" s="719"/>
    </row>
    <row r="576" spans="2:62" ht="15.75" customHeight="1">
      <c r="B576" s="497"/>
      <c r="C576" s="811"/>
      <c r="D576" s="811"/>
      <c r="E576" s="874"/>
      <c r="F576" s="878"/>
      <c r="G576" s="811"/>
      <c r="H576" s="874"/>
      <c r="I576" s="878"/>
      <c r="J576" s="874"/>
      <c r="K576" s="878"/>
      <c r="L576" s="874"/>
      <c r="M576" s="811"/>
      <c r="N576" s="874"/>
      <c r="O576" s="878"/>
      <c r="P576" s="874"/>
      <c r="Q576" s="811"/>
      <c r="R576" s="878"/>
      <c r="S576" s="874"/>
      <c r="T576" s="811"/>
      <c r="U576" s="811"/>
      <c r="V576" s="811"/>
      <c r="W576" s="811"/>
      <c r="X576" s="811"/>
      <c r="Y576" s="719"/>
      <c r="Z576" s="719"/>
      <c r="AA576" s="719"/>
      <c r="AB576" s="719"/>
      <c r="AC576" s="719"/>
      <c r="AD576" s="719"/>
      <c r="AE576" s="719"/>
      <c r="AF576" s="719"/>
      <c r="AG576" s="719"/>
      <c r="AH576" s="719"/>
      <c r="AI576" s="719"/>
      <c r="AJ576" s="719"/>
      <c r="AK576" s="719"/>
      <c r="AL576" s="719"/>
      <c r="AM576" s="719"/>
      <c r="AN576" s="719"/>
      <c r="AO576" s="719"/>
      <c r="AP576" s="719"/>
      <c r="AQ576" s="719"/>
      <c r="AR576" s="719"/>
      <c r="AS576" s="719"/>
      <c r="AT576" s="719"/>
      <c r="AU576" s="719"/>
      <c r="AV576" s="719"/>
      <c r="AW576" s="719"/>
      <c r="AX576" s="719"/>
      <c r="AY576" s="719"/>
      <c r="AZ576" s="719"/>
      <c r="BA576" s="719"/>
      <c r="BB576" s="719"/>
      <c r="BC576" s="719"/>
      <c r="BD576" s="719"/>
      <c r="BE576" s="719"/>
      <c r="BF576" s="719"/>
      <c r="BG576" s="719"/>
      <c r="BH576" s="719"/>
      <c r="BI576" s="719"/>
      <c r="BJ576" s="719"/>
    </row>
    <row r="577" spans="2:62" ht="15.75" customHeight="1">
      <c r="B577" s="497"/>
      <c r="C577" s="811"/>
      <c r="D577" s="811"/>
      <c r="E577" s="874"/>
      <c r="F577" s="878"/>
      <c r="G577" s="811"/>
      <c r="H577" s="874"/>
      <c r="I577" s="878"/>
      <c r="J577" s="874"/>
      <c r="K577" s="878"/>
      <c r="L577" s="874"/>
      <c r="M577" s="811"/>
      <c r="N577" s="874"/>
      <c r="O577" s="878"/>
      <c r="P577" s="874"/>
      <c r="Q577" s="811"/>
      <c r="R577" s="878"/>
      <c r="S577" s="874"/>
      <c r="T577" s="811"/>
      <c r="U577" s="811"/>
      <c r="V577" s="811"/>
      <c r="W577" s="811"/>
      <c r="X577" s="811"/>
      <c r="Y577" s="719"/>
      <c r="Z577" s="719"/>
      <c r="AA577" s="719"/>
      <c r="AB577" s="719"/>
      <c r="AC577" s="719"/>
      <c r="AD577" s="719"/>
      <c r="AE577" s="719"/>
      <c r="AF577" s="719"/>
      <c r="AG577" s="719"/>
      <c r="AH577" s="719"/>
      <c r="AI577" s="719"/>
      <c r="AJ577" s="719"/>
      <c r="AK577" s="719"/>
      <c r="AL577" s="719"/>
      <c r="AM577" s="719"/>
      <c r="AN577" s="719"/>
      <c r="AO577" s="719"/>
      <c r="AP577" s="719"/>
      <c r="AQ577" s="719"/>
      <c r="AR577" s="719"/>
      <c r="AS577" s="719"/>
      <c r="AT577" s="719"/>
      <c r="AU577" s="719"/>
      <c r="AV577" s="719"/>
      <c r="AW577" s="719"/>
      <c r="AX577" s="719"/>
      <c r="AY577" s="719"/>
      <c r="AZ577" s="719"/>
      <c r="BA577" s="719"/>
      <c r="BB577" s="719"/>
      <c r="BC577" s="719"/>
      <c r="BD577" s="719"/>
      <c r="BE577" s="719"/>
      <c r="BF577" s="719"/>
      <c r="BG577" s="719"/>
      <c r="BH577" s="719"/>
      <c r="BI577" s="719"/>
      <c r="BJ577" s="719"/>
    </row>
    <row r="578" spans="2:62" ht="15.75" customHeight="1">
      <c r="B578" s="497"/>
      <c r="C578" s="811"/>
      <c r="D578" s="811"/>
      <c r="E578" s="874"/>
      <c r="F578" s="878"/>
      <c r="G578" s="811"/>
      <c r="H578" s="874"/>
      <c r="I578" s="878"/>
      <c r="J578" s="874"/>
      <c r="K578" s="878"/>
      <c r="L578" s="874"/>
      <c r="M578" s="811"/>
      <c r="N578" s="874"/>
      <c r="O578" s="878"/>
      <c r="P578" s="874"/>
      <c r="Q578" s="811"/>
      <c r="R578" s="878"/>
      <c r="S578" s="874"/>
      <c r="T578" s="811"/>
      <c r="U578" s="811"/>
      <c r="V578" s="811"/>
      <c r="W578" s="811"/>
      <c r="X578" s="811"/>
      <c r="Y578" s="719"/>
      <c r="Z578" s="719"/>
      <c r="AA578" s="719"/>
      <c r="AB578" s="719"/>
      <c r="AC578" s="719"/>
      <c r="AD578" s="719"/>
      <c r="AE578" s="719"/>
      <c r="AF578" s="719"/>
      <c r="AG578" s="719"/>
      <c r="AH578" s="719"/>
      <c r="AI578" s="719"/>
      <c r="AJ578" s="719"/>
      <c r="AK578" s="719"/>
      <c r="AL578" s="719"/>
      <c r="AM578" s="719"/>
      <c r="AN578" s="719"/>
      <c r="AO578" s="719"/>
      <c r="AP578" s="719"/>
      <c r="AQ578" s="719"/>
      <c r="AR578" s="719"/>
      <c r="AS578" s="719"/>
      <c r="AT578" s="719"/>
      <c r="AU578" s="719"/>
      <c r="AV578" s="719"/>
      <c r="AW578" s="719"/>
      <c r="AX578" s="719"/>
      <c r="AY578" s="719"/>
      <c r="AZ578" s="719"/>
      <c r="BA578" s="719"/>
      <c r="BB578" s="719"/>
      <c r="BC578" s="719"/>
      <c r="BD578" s="719"/>
      <c r="BE578" s="719"/>
      <c r="BF578" s="719"/>
      <c r="BG578" s="719"/>
      <c r="BH578" s="719"/>
      <c r="BI578" s="719"/>
      <c r="BJ578" s="719"/>
    </row>
    <row r="579" spans="2:62" ht="15.75" customHeight="1">
      <c r="B579" s="497"/>
      <c r="C579" s="811"/>
      <c r="D579" s="811"/>
      <c r="E579" s="874"/>
      <c r="F579" s="878"/>
      <c r="G579" s="811"/>
      <c r="H579" s="874"/>
      <c r="I579" s="878"/>
      <c r="J579" s="874"/>
      <c r="K579" s="878"/>
      <c r="L579" s="874"/>
      <c r="M579" s="811"/>
      <c r="N579" s="874"/>
      <c r="O579" s="878"/>
      <c r="P579" s="874"/>
      <c r="Q579" s="811"/>
      <c r="R579" s="878"/>
      <c r="S579" s="874"/>
      <c r="T579" s="811"/>
      <c r="U579" s="811"/>
      <c r="V579" s="811"/>
      <c r="W579" s="811"/>
      <c r="X579" s="811"/>
      <c r="Y579" s="719"/>
      <c r="Z579" s="719"/>
      <c r="AA579" s="719"/>
      <c r="AB579" s="719"/>
      <c r="AC579" s="719"/>
      <c r="AD579" s="719"/>
      <c r="AE579" s="719"/>
      <c r="AF579" s="719"/>
      <c r="AG579" s="719"/>
      <c r="AH579" s="719"/>
      <c r="AI579" s="719"/>
      <c r="AJ579" s="719"/>
      <c r="AK579" s="719"/>
      <c r="AL579" s="719"/>
      <c r="AM579" s="719"/>
      <c r="AN579" s="719"/>
      <c r="AO579" s="719"/>
      <c r="AP579" s="719"/>
      <c r="AQ579" s="719"/>
      <c r="AR579" s="719"/>
      <c r="AS579" s="719"/>
      <c r="AT579" s="719"/>
      <c r="AU579" s="719"/>
      <c r="AV579" s="719"/>
      <c r="AW579" s="719"/>
      <c r="AX579" s="719"/>
      <c r="AY579" s="719"/>
      <c r="AZ579" s="719"/>
      <c r="BA579" s="719"/>
      <c r="BB579" s="719"/>
      <c r="BC579" s="719"/>
      <c r="BD579" s="719"/>
      <c r="BE579" s="719"/>
      <c r="BF579" s="719"/>
      <c r="BG579" s="719"/>
      <c r="BH579" s="719"/>
      <c r="BI579" s="719"/>
      <c r="BJ579" s="719"/>
    </row>
    <row r="580" spans="2:62" ht="15.75" customHeight="1">
      <c r="B580" s="497"/>
      <c r="C580" s="811"/>
      <c r="D580" s="811"/>
      <c r="E580" s="874"/>
      <c r="F580" s="878"/>
      <c r="G580" s="811"/>
      <c r="H580" s="874"/>
      <c r="I580" s="878"/>
      <c r="J580" s="874"/>
      <c r="K580" s="878"/>
      <c r="L580" s="874"/>
      <c r="M580" s="811"/>
      <c r="N580" s="874"/>
      <c r="O580" s="878"/>
      <c r="P580" s="874"/>
      <c r="Q580" s="811"/>
      <c r="R580" s="878"/>
      <c r="S580" s="874"/>
      <c r="T580" s="811"/>
      <c r="U580" s="811"/>
      <c r="V580" s="811"/>
      <c r="W580" s="811"/>
      <c r="X580" s="811"/>
      <c r="Y580" s="719"/>
      <c r="Z580" s="719"/>
      <c r="AA580" s="719"/>
      <c r="AB580" s="719"/>
      <c r="AC580" s="719"/>
      <c r="AD580" s="719"/>
      <c r="AE580" s="719"/>
      <c r="AF580" s="719"/>
      <c r="AG580" s="719"/>
      <c r="AH580" s="719"/>
      <c r="AI580" s="719"/>
      <c r="AJ580" s="719"/>
      <c r="AK580" s="719"/>
      <c r="AL580" s="719"/>
      <c r="AM580" s="719"/>
      <c r="AN580" s="719"/>
      <c r="AO580" s="719"/>
      <c r="AP580" s="719"/>
      <c r="AQ580" s="719"/>
      <c r="AR580" s="719"/>
      <c r="AS580" s="719"/>
      <c r="AT580" s="719"/>
      <c r="AU580" s="719"/>
      <c r="AV580" s="719"/>
      <c r="AW580" s="719"/>
      <c r="AX580" s="719"/>
      <c r="AY580" s="719"/>
      <c r="AZ580" s="719"/>
      <c r="BA580" s="719"/>
      <c r="BB580" s="719"/>
      <c r="BC580" s="719"/>
      <c r="BD580" s="719"/>
      <c r="BE580" s="719"/>
      <c r="BF580" s="719"/>
      <c r="BG580" s="719"/>
      <c r="BH580" s="719"/>
      <c r="BI580" s="719"/>
      <c r="BJ580" s="719"/>
    </row>
    <row r="581" spans="2:62" ht="15.75" customHeight="1">
      <c r="B581" s="497"/>
      <c r="C581" s="811"/>
      <c r="D581" s="811"/>
      <c r="E581" s="874"/>
      <c r="F581" s="878"/>
      <c r="G581" s="811"/>
      <c r="H581" s="874"/>
      <c r="I581" s="878"/>
      <c r="J581" s="874"/>
      <c r="K581" s="878"/>
      <c r="L581" s="874"/>
      <c r="M581" s="811"/>
      <c r="N581" s="874"/>
      <c r="O581" s="878"/>
      <c r="P581" s="874"/>
      <c r="Q581" s="811"/>
      <c r="R581" s="878"/>
      <c r="S581" s="874"/>
      <c r="T581" s="811"/>
      <c r="U581" s="811"/>
      <c r="V581" s="811"/>
      <c r="W581" s="811"/>
      <c r="X581" s="811"/>
      <c r="Y581" s="719"/>
      <c r="Z581" s="719"/>
      <c r="AA581" s="719"/>
      <c r="AB581" s="719"/>
      <c r="AC581" s="719"/>
      <c r="AD581" s="719"/>
      <c r="AE581" s="719"/>
      <c r="AF581" s="719"/>
      <c r="AG581" s="719"/>
      <c r="AH581" s="719"/>
      <c r="AI581" s="719"/>
      <c r="AJ581" s="719"/>
      <c r="AK581" s="719"/>
      <c r="AL581" s="719"/>
      <c r="AM581" s="719"/>
      <c r="AN581" s="719"/>
      <c r="AO581" s="719"/>
      <c r="AP581" s="719"/>
      <c r="AQ581" s="719"/>
      <c r="AR581" s="719"/>
      <c r="AS581" s="719"/>
      <c r="AT581" s="719"/>
      <c r="AU581" s="719"/>
      <c r="AV581" s="719"/>
      <c r="AW581" s="719"/>
      <c r="AX581" s="719"/>
      <c r="AY581" s="719"/>
      <c r="AZ581" s="719"/>
      <c r="BA581" s="719"/>
      <c r="BB581" s="719"/>
      <c r="BC581" s="719"/>
      <c r="BD581" s="719"/>
      <c r="BE581" s="719"/>
      <c r="BF581" s="719"/>
      <c r="BG581" s="719"/>
      <c r="BH581" s="719"/>
      <c r="BI581" s="719"/>
      <c r="BJ581" s="719"/>
    </row>
    <row r="582" spans="2:62" ht="15.75" customHeight="1">
      <c r="B582" s="497"/>
      <c r="C582" s="811"/>
      <c r="D582" s="811"/>
      <c r="E582" s="811"/>
      <c r="F582" s="811"/>
      <c r="G582" s="811"/>
      <c r="H582" s="811"/>
      <c r="I582" s="811"/>
      <c r="J582" s="811"/>
      <c r="K582" s="811"/>
      <c r="L582" s="811"/>
      <c r="M582" s="811"/>
      <c r="N582" s="811"/>
      <c r="O582" s="811"/>
      <c r="P582" s="811"/>
      <c r="Q582" s="811"/>
      <c r="R582" s="811"/>
      <c r="S582" s="811"/>
      <c r="T582" s="811"/>
      <c r="U582" s="811"/>
      <c r="V582" s="811"/>
      <c r="W582" s="811"/>
      <c r="X582" s="811"/>
      <c r="Y582" s="719"/>
      <c r="Z582" s="719"/>
      <c r="AA582" s="719"/>
      <c r="AB582" s="719"/>
      <c r="AC582" s="719"/>
      <c r="AD582" s="719"/>
      <c r="AE582" s="719"/>
      <c r="AF582" s="719"/>
      <c r="AG582" s="719"/>
      <c r="AH582" s="719"/>
      <c r="AI582" s="719"/>
      <c r="AJ582" s="719"/>
      <c r="AK582" s="719"/>
      <c r="AL582" s="719"/>
      <c r="AM582" s="719"/>
      <c r="AN582" s="719"/>
      <c r="AO582" s="719"/>
      <c r="AP582" s="719"/>
      <c r="AQ582" s="719"/>
      <c r="AR582" s="719"/>
      <c r="AS582" s="719"/>
      <c r="AT582" s="719"/>
      <c r="AU582" s="719"/>
      <c r="AV582" s="719"/>
      <c r="AW582" s="719"/>
      <c r="AX582" s="719"/>
      <c r="AY582" s="719"/>
      <c r="AZ582" s="719"/>
      <c r="BA582" s="719"/>
      <c r="BB582" s="719"/>
      <c r="BC582" s="719"/>
      <c r="BD582" s="719"/>
      <c r="BE582" s="719"/>
      <c r="BF582" s="719"/>
      <c r="BG582" s="719"/>
      <c r="BH582" s="719"/>
      <c r="BI582" s="719"/>
      <c r="BJ582" s="719"/>
    </row>
    <row r="583" spans="2:62" ht="15.75" customHeight="1">
      <c r="B583" s="497"/>
      <c r="C583" s="811"/>
      <c r="D583" s="811"/>
      <c r="E583" s="811"/>
      <c r="F583" s="811"/>
      <c r="G583" s="811"/>
      <c r="H583" s="811"/>
      <c r="I583" s="811"/>
      <c r="J583" s="811"/>
      <c r="K583" s="811"/>
      <c r="L583" s="811"/>
      <c r="M583" s="811"/>
      <c r="N583" s="811"/>
      <c r="O583" s="811"/>
      <c r="P583" s="811"/>
      <c r="Q583" s="811"/>
      <c r="R583" s="811"/>
      <c r="S583" s="811"/>
      <c r="T583" s="811"/>
      <c r="U583" s="811"/>
      <c r="V583" s="811"/>
      <c r="W583" s="811"/>
      <c r="X583" s="811"/>
      <c r="Y583" s="719"/>
      <c r="Z583" s="719"/>
      <c r="AA583" s="719"/>
      <c r="AB583" s="719"/>
      <c r="AC583" s="719"/>
      <c r="AD583" s="719"/>
      <c r="AE583" s="719"/>
      <c r="AF583" s="719"/>
      <c r="AG583" s="719"/>
      <c r="AH583" s="719"/>
      <c r="AI583" s="719"/>
      <c r="AJ583" s="719"/>
      <c r="AK583" s="719"/>
      <c r="AL583" s="719"/>
      <c r="AM583" s="719"/>
      <c r="AN583" s="719"/>
      <c r="AO583" s="719"/>
      <c r="AP583" s="719"/>
      <c r="AQ583" s="719"/>
      <c r="AR583" s="719"/>
      <c r="AS583" s="719"/>
      <c r="AT583" s="719"/>
      <c r="AU583" s="719"/>
      <c r="AV583" s="719"/>
      <c r="AW583" s="719"/>
      <c r="AX583" s="719"/>
      <c r="AY583" s="719"/>
      <c r="AZ583" s="719"/>
      <c r="BA583" s="719"/>
      <c r="BB583" s="719"/>
      <c r="BC583" s="719"/>
      <c r="BD583" s="719"/>
      <c r="BE583" s="719"/>
      <c r="BF583" s="719"/>
      <c r="BG583" s="719"/>
      <c r="BH583" s="719"/>
      <c r="BI583" s="719"/>
      <c r="BJ583" s="719"/>
    </row>
    <row r="584" spans="2:62" ht="15.75" customHeight="1">
      <c r="B584" s="497"/>
      <c r="C584" s="811"/>
      <c r="D584" s="811"/>
      <c r="E584" s="811"/>
      <c r="F584" s="811"/>
      <c r="G584" s="811"/>
      <c r="H584" s="811"/>
      <c r="I584" s="811"/>
      <c r="J584" s="811"/>
      <c r="K584" s="811"/>
      <c r="L584" s="811"/>
      <c r="M584" s="811"/>
      <c r="N584" s="811"/>
      <c r="O584" s="811"/>
      <c r="P584" s="811"/>
      <c r="Q584" s="811"/>
      <c r="R584" s="811"/>
      <c r="S584" s="811"/>
      <c r="T584" s="811"/>
      <c r="U584" s="811"/>
      <c r="V584" s="811"/>
      <c r="W584" s="811"/>
      <c r="X584" s="811"/>
      <c r="Y584" s="719"/>
      <c r="Z584" s="719"/>
      <c r="AA584" s="719"/>
      <c r="AB584" s="719"/>
      <c r="AC584" s="719"/>
      <c r="AD584" s="719"/>
      <c r="AE584" s="719"/>
      <c r="AF584" s="719"/>
      <c r="AG584" s="719"/>
      <c r="AH584" s="719"/>
      <c r="AI584" s="719"/>
      <c r="AJ584" s="719"/>
      <c r="AK584" s="719"/>
      <c r="AL584" s="719"/>
      <c r="AM584" s="719"/>
      <c r="AN584" s="719"/>
      <c r="AO584" s="719"/>
      <c r="AP584" s="719"/>
      <c r="AQ584" s="719"/>
      <c r="AR584" s="719"/>
      <c r="AS584" s="719"/>
      <c r="AT584" s="719"/>
      <c r="AU584" s="719"/>
      <c r="AV584" s="719"/>
      <c r="AW584" s="719"/>
      <c r="AX584" s="719"/>
      <c r="AY584" s="719"/>
      <c r="AZ584" s="719"/>
      <c r="BA584" s="719"/>
      <c r="BB584" s="719"/>
      <c r="BC584" s="719"/>
      <c r="BD584" s="719"/>
      <c r="BE584" s="719"/>
      <c r="BF584" s="719"/>
      <c r="BG584" s="719"/>
      <c r="BH584" s="719"/>
      <c r="BI584" s="719"/>
      <c r="BJ584" s="719"/>
    </row>
    <row r="585" spans="2:62" ht="15.75" customHeight="1">
      <c r="B585" s="497"/>
      <c r="C585" s="811"/>
      <c r="D585" s="811"/>
      <c r="E585" s="811"/>
      <c r="F585" s="811"/>
      <c r="G585" s="811"/>
      <c r="H585" s="811"/>
      <c r="I585" s="811"/>
      <c r="J585" s="811"/>
      <c r="K585" s="811"/>
      <c r="L585" s="811"/>
      <c r="M585" s="811"/>
      <c r="N585" s="811"/>
      <c r="O585" s="811"/>
      <c r="P585" s="811"/>
      <c r="Q585" s="811"/>
      <c r="R585" s="811"/>
      <c r="S585" s="811"/>
      <c r="T585" s="811"/>
      <c r="U585" s="811"/>
      <c r="V585" s="811"/>
      <c r="W585" s="811"/>
      <c r="X585" s="811"/>
      <c r="Y585" s="719"/>
      <c r="Z585" s="719"/>
      <c r="AA585" s="719"/>
      <c r="AB585" s="719"/>
      <c r="AC585" s="719"/>
      <c r="AD585" s="719"/>
      <c r="AE585" s="719"/>
      <c r="AF585" s="719"/>
      <c r="AG585" s="719"/>
      <c r="AH585" s="719"/>
      <c r="AI585" s="719"/>
      <c r="AJ585" s="719"/>
      <c r="AK585" s="719"/>
      <c r="AL585" s="719"/>
      <c r="AM585" s="719"/>
      <c r="AN585" s="719"/>
      <c r="AO585" s="719"/>
      <c r="AP585" s="719"/>
      <c r="AQ585" s="719"/>
      <c r="AR585" s="719"/>
      <c r="AS585" s="719"/>
      <c r="AT585" s="719"/>
      <c r="AU585" s="719"/>
      <c r="AV585" s="719"/>
      <c r="AW585" s="719"/>
      <c r="AX585" s="719"/>
      <c r="AY585" s="719"/>
      <c r="AZ585" s="719"/>
      <c r="BA585" s="719"/>
      <c r="BB585" s="719"/>
      <c r="BC585" s="719"/>
      <c r="BD585" s="719"/>
      <c r="BE585" s="719"/>
      <c r="BF585" s="719"/>
      <c r="BG585" s="719"/>
      <c r="BH585" s="719"/>
      <c r="BI585" s="719"/>
      <c r="BJ585" s="719"/>
    </row>
    <row r="586" spans="2:62" ht="15.75" customHeight="1">
      <c r="B586" s="497"/>
      <c r="C586" s="811"/>
      <c r="D586" s="811"/>
      <c r="E586" s="811"/>
      <c r="F586" s="811"/>
      <c r="G586" s="811"/>
      <c r="H586" s="811"/>
      <c r="I586" s="811"/>
      <c r="J586" s="811"/>
      <c r="K586" s="811"/>
      <c r="L586" s="811"/>
      <c r="M586" s="811"/>
      <c r="N586" s="811"/>
      <c r="O586" s="811"/>
      <c r="P586" s="811"/>
      <c r="Q586" s="811"/>
      <c r="R586" s="811"/>
      <c r="S586" s="811"/>
      <c r="T586" s="811"/>
      <c r="U586" s="811"/>
      <c r="V586" s="811"/>
      <c r="W586" s="811"/>
      <c r="X586" s="811"/>
      <c r="Y586" s="719"/>
      <c r="Z586" s="719"/>
      <c r="AA586" s="719"/>
      <c r="AB586" s="719"/>
      <c r="AC586" s="719"/>
      <c r="AD586" s="719"/>
      <c r="AE586" s="719"/>
      <c r="AF586" s="719"/>
      <c r="AG586" s="719"/>
      <c r="AH586" s="719"/>
      <c r="AI586" s="719"/>
      <c r="AJ586" s="719"/>
      <c r="AK586" s="719"/>
      <c r="AL586" s="719"/>
      <c r="AM586" s="719"/>
      <c r="AN586" s="719"/>
      <c r="AO586" s="719"/>
      <c r="AP586" s="719"/>
      <c r="AQ586" s="719"/>
      <c r="AR586" s="719"/>
      <c r="AS586" s="719"/>
      <c r="AT586" s="719"/>
      <c r="AU586" s="719"/>
      <c r="AV586" s="719"/>
      <c r="AW586" s="719"/>
      <c r="AX586" s="719"/>
      <c r="AY586" s="719"/>
      <c r="AZ586" s="719"/>
      <c r="BA586" s="719"/>
      <c r="BB586" s="719"/>
      <c r="BC586" s="719"/>
      <c r="BD586" s="719"/>
      <c r="BE586" s="719"/>
      <c r="BF586" s="719"/>
      <c r="BG586" s="719"/>
      <c r="BH586" s="719"/>
      <c r="BI586" s="719"/>
      <c r="BJ586" s="719"/>
    </row>
    <row r="587" spans="2:62" ht="15.75" customHeight="1">
      <c r="B587" s="497"/>
      <c r="C587" s="811"/>
      <c r="D587" s="811"/>
      <c r="E587" s="811"/>
      <c r="F587" s="811"/>
      <c r="G587" s="811"/>
      <c r="H587" s="811"/>
      <c r="I587" s="811"/>
      <c r="J587" s="811"/>
      <c r="K587" s="811"/>
      <c r="L587" s="811"/>
      <c r="M587" s="811"/>
      <c r="N587" s="811"/>
      <c r="O587" s="811"/>
      <c r="P587" s="811"/>
      <c r="Q587" s="811"/>
      <c r="R587" s="811"/>
      <c r="S587" s="811"/>
      <c r="T587" s="811"/>
      <c r="U587" s="811"/>
      <c r="V587" s="811"/>
      <c r="W587" s="811"/>
      <c r="X587" s="811"/>
      <c r="Y587" s="719"/>
      <c r="Z587" s="719"/>
      <c r="AA587" s="719"/>
      <c r="AB587" s="719"/>
      <c r="AC587" s="719"/>
      <c r="AD587" s="719"/>
      <c r="AE587" s="719"/>
      <c r="AF587" s="719"/>
      <c r="AG587" s="719"/>
      <c r="AH587" s="719"/>
      <c r="AI587" s="719"/>
      <c r="AJ587" s="719"/>
      <c r="AK587" s="719"/>
      <c r="AL587" s="719"/>
      <c r="AM587" s="719"/>
      <c r="AN587" s="719"/>
      <c r="AO587" s="719"/>
      <c r="AP587" s="719"/>
      <c r="AQ587" s="719"/>
      <c r="AR587" s="719"/>
      <c r="AS587" s="719"/>
      <c r="AT587" s="719"/>
      <c r="AU587" s="719"/>
      <c r="AV587" s="719"/>
      <c r="AW587" s="719"/>
      <c r="AX587" s="719"/>
      <c r="AY587" s="719"/>
      <c r="AZ587" s="719"/>
      <c r="BA587" s="719"/>
      <c r="BB587" s="719"/>
      <c r="BC587" s="719"/>
      <c r="BD587" s="719"/>
      <c r="BE587" s="719"/>
      <c r="BF587" s="719"/>
      <c r="BG587" s="719"/>
      <c r="BH587" s="719"/>
      <c r="BI587" s="719"/>
      <c r="BJ587" s="719"/>
    </row>
    <row r="588" spans="2:62" ht="15.75" customHeight="1">
      <c r="B588" s="497"/>
      <c r="C588" s="811"/>
      <c r="D588" s="811"/>
      <c r="E588" s="811"/>
      <c r="F588" s="811"/>
      <c r="G588" s="811"/>
      <c r="H588" s="811"/>
      <c r="I588" s="811"/>
      <c r="J588" s="811"/>
      <c r="K588" s="811"/>
      <c r="L588" s="811"/>
      <c r="M588" s="811"/>
      <c r="N588" s="811"/>
      <c r="O588" s="811"/>
      <c r="P588" s="811"/>
      <c r="Q588" s="811"/>
      <c r="R588" s="811"/>
      <c r="S588" s="811"/>
      <c r="T588" s="811"/>
      <c r="U588" s="811"/>
      <c r="V588" s="811"/>
      <c r="W588" s="811"/>
      <c r="X588" s="811"/>
      <c r="Y588" s="719"/>
      <c r="Z588" s="719"/>
      <c r="AA588" s="719"/>
      <c r="AB588" s="719"/>
      <c r="AC588" s="719"/>
      <c r="AD588" s="719"/>
      <c r="AE588" s="719"/>
      <c r="AF588" s="719"/>
      <c r="AG588" s="719"/>
      <c r="AH588" s="719"/>
      <c r="AI588" s="719"/>
      <c r="AJ588" s="719"/>
      <c r="AK588" s="719"/>
      <c r="AL588" s="719"/>
      <c r="AM588" s="719"/>
      <c r="AN588" s="719"/>
      <c r="AO588" s="719"/>
      <c r="AP588" s="719"/>
      <c r="AQ588" s="719"/>
      <c r="AR588" s="719"/>
      <c r="AS588" s="719"/>
      <c r="AT588" s="719"/>
      <c r="AU588" s="719"/>
      <c r="AV588" s="719"/>
      <c r="AW588" s="719"/>
      <c r="AX588" s="719"/>
      <c r="AY588" s="719"/>
      <c r="AZ588" s="719"/>
      <c r="BA588" s="719"/>
      <c r="BB588" s="719"/>
      <c r="BC588" s="719"/>
      <c r="BD588" s="719"/>
      <c r="BE588" s="719"/>
      <c r="BF588" s="719"/>
      <c r="BG588" s="719"/>
      <c r="BH588" s="719"/>
      <c r="BI588" s="719"/>
      <c r="BJ588" s="719"/>
    </row>
    <row r="589" spans="2:62" ht="15.75" customHeight="1">
      <c r="B589" s="497"/>
      <c r="C589" s="811"/>
      <c r="D589" s="811"/>
      <c r="E589" s="811"/>
      <c r="F589" s="811"/>
      <c r="G589" s="811"/>
      <c r="H589" s="811"/>
      <c r="I589" s="811"/>
      <c r="J589" s="811"/>
      <c r="K589" s="811"/>
      <c r="L589" s="811"/>
      <c r="M589" s="811"/>
      <c r="N589" s="811"/>
      <c r="O589" s="811"/>
      <c r="P589" s="811"/>
      <c r="Q589" s="811"/>
      <c r="R589" s="811"/>
      <c r="S589" s="811"/>
      <c r="T589" s="811"/>
      <c r="U589" s="811"/>
      <c r="V589" s="811"/>
      <c r="W589" s="811"/>
      <c r="X589" s="811"/>
      <c r="Y589" s="719"/>
      <c r="Z589" s="719"/>
      <c r="AA589" s="719"/>
      <c r="AB589" s="719"/>
      <c r="AC589" s="719"/>
      <c r="AD589" s="719"/>
      <c r="AE589" s="719"/>
      <c r="AF589" s="719"/>
      <c r="AG589" s="719"/>
      <c r="AH589" s="719"/>
      <c r="AI589" s="719"/>
      <c r="AJ589" s="719"/>
      <c r="AK589" s="719"/>
      <c r="AL589" s="719"/>
      <c r="AM589" s="719"/>
      <c r="AN589" s="719"/>
      <c r="AO589" s="719"/>
      <c r="AP589" s="719"/>
      <c r="AQ589" s="719"/>
      <c r="AR589" s="719"/>
      <c r="AS589" s="719"/>
      <c r="AT589" s="719"/>
      <c r="AU589" s="719"/>
      <c r="AV589" s="719"/>
      <c r="AW589" s="719"/>
      <c r="AX589" s="719"/>
      <c r="AY589" s="719"/>
      <c r="AZ589" s="719"/>
      <c r="BA589" s="719"/>
      <c r="BB589" s="719"/>
      <c r="BC589" s="719"/>
      <c r="BD589" s="719"/>
      <c r="BE589" s="719"/>
      <c r="BF589" s="719"/>
      <c r="BG589" s="719"/>
      <c r="BH589" s="719"/>
      <c r="BI589" s="719"/>
      <c r="BJ589" s="719"/>
    </row>
    <row r="590" spans="2:62" ht="15.75" customHeight="1">
      <c r="B590" s="497"/>
      <c r="C590" s="811"/>
      <c r="D590" s="811"/>
      <c r="E590" s="811"/>
      <c r="F590" s="811"/>
      <c r="G590" s="811"/>
      <c r="H590" s="811"/>
      <c r="I590" s="811"/>
      <c r="J590" s="811"/>
      <c r="K590" s="811"/>
      <c r="L590" s="811"/>
      <c r="M590" s="811"/>
      <c r="N590" s="811"/>
      <c r="O590" s="811"/>
      <c r="P590" s="811"/>
      <c r="Q590" s="811"/>
      <c r="R590" s="811"/>
      <c r="S590" s="811"/>
      <c r="T590" s="811"/>
      <c r="U590" s="811"/>
      <c r="V590" s="811"/>
      <c r="W590" s="811"/>
      <c r="X590" s="811"/>
      <c r="Y590" s="719"/>
      <c r="Z590" s="719"/>
      <c r="AA590" s="719"/>
      <c r="AB590" s="719"/>
      <c r="AC590" s="719"/>
      <c r="AD590" s="719"/>
      <c r="AE590" s="719"/>
      <c r="AF590" s="719"/>
      <c r="AG590" s="719"/>
      <c r="AH590" s="719"/>
      <c r="AI590" s="719"/>
      <c r="AJ590" s="719"/>
      <c r="AK590" s="719"/>
      <c r="AL590" s="719"/>
      <c r="AM590" s="719"/>
      <c r="AN590" s="719"/>
      <c r="AO590" s="719"/>
      <c r="AP590" s="719"/>
      <c r="AQ590" s="719"/>
      <c r="AR590" s="719"/>
      <c r="AS590" s="719"/>
      <c r="AT590" s="719"/>
      <c r="AU590" s="719"/>
      <c r="AV590" s="719"/>
      <c r="AW590" s="719"/>
      <c r="AX590" s="719"/>
      <c r="AY590" s="719"/>
      <c r="AZ590" s="719"/>
      <c r="BA590" s="719"/>
      <c r="BB590" s="719"/>
      <c r="BC590" s="719"/>
      <c r="BD590" s="719"/>
      <c r="BE590" s="719"/>
      <c r="BF590" s="719"/>
      <c r="BG590" s="719"/>
      <c r="BH590" s="719"/>
      <c r="BI590" s="719"/>
      <c r="BJ590" s="719"/>
    </row>
    <row r="591" spans="2:62" ht="15.75" customHeight="1">
      <c r="B591" s="497"/>
      <c r="C591" s="811"/>
      <c r="D591" s="811"/>
      <c r="E591" s="811"/>
      <c r="F591" s="811"/>
      <c r="G591" s="811"/>
      <c r="H591" s="811"/>
      <c r="I591" s="811"/>
      <c r="J591" s="811"/>
      <c r="K591" s="811"/>
      <c r="L591" s="811"/>
      <c r="M591" s="811"/>
      <c r="N591" s="811"/>
      <c r="O591" s="811"/>
      <c r="P591" s="811"/>
      <c r="Q591" s="811"/>
      <c r="R591" s="811"/>
      <c r="S591" s="811"/>
      <c r="T591" s="811"/>
      <c r="U591" s="811"/>
      <c r="V591" s="811"/>
      <c r="W591" s="811"/>
      <c r="X591" s="811"/>
      <c r="Y591" s="719"/>
      <c r="Z591" s="719"/>
      <c r="AA591" s="719"/>
      <c r="AB591" s="719"/>
      <c r="AC591" s="719"/>
      <c r="AD591" s="719"/>
      <c r="AE591" s="719"/>
      <c r="AF591" s="719"/>
      <c r="AG591" s="719"/>
      <c r="AH591" s="719"/>
      <c r="AI591" s="719"/>
      <c r="AJ591" s="719"/>
      <c r="AK591" s="719"/>
      <c r="AL591" s="719"/>
      <c r="AM591" s="719"/>
      <c r="AN591" s="719"/>
      <c r="AO591" s="719"/>
      <c r="AP591" s="719"/>
      <c r="AQ591" s="719"/>
      <c r="AR591" s="719"/>
      <c r="AS591" s="719"/>
      <c r="AT591" s="719"/>
      <c r="AU591" s="719"/>
      <c r="AV591" s="719"/>
      <c r="AW591" s="719"/>
      <c r="AX591" s="719"/>
      <c r="AY591" s="719"/>
      <c r="AZ591" s="719"/>
      <c r="BA591" s="719"/>
      <c r="BB591" s="719"/>
      <c r="BC591" s="719"/>
      <c r="BD591" s="719"/>
      <c r="BE591" s="719"/>
      <c r="BF591" s="719"/>
      <c r="BG591" s="719"/>
      <c r="BH591" s="719"/>
      <c r="BI591" s="719"/>
      <c r="BJ591" s="719"/>
    </row>
    <row r="592" spans="2:62" ht="15.75" customHeight="1">
      <c r="B592" s="497"/>
      <c r="C592" s="811"/>
      <c r="D592" s="811"/>
      <c r="E592" s="811"/>
      <c r="F592" s="811"/>
      <c r="G592" s="811"/>
      <c r="H592" s="811"/>
      <c r="I592" s="811"/>
      <c r="J592" s="811"/>
      <c r="K592" s="811"/>
      <c r="L592" s="811"/>
      <c r="M592" s="811"/>
      <c r="N592" s="811"/>
      <c r="O592" s="811"/>
      <c r="P592" s="811"/>
      <c r="Q592" s="811"/>
      <c r="R592" s="811"/>
      <c r="S592" s="811"/>
      <c r="T592" s="811"/>
      <c r="U592" s="811"/>
      <c r="V592" s="811"/>
      <c r="W592" s="811"/>
      <c r="X592" s="811"/>
      <c r="Y592" s="719"/>
      <c r="Z592" s="719"/>
      <c r="AA592" s="719"/>
      <c r="AB592" s="719"/>
      <c r="AC592" s="719"/>
      <c r="AD592" s="719"/>
      <c r="AE592" s="719"/>
      <c r="AF592" s="719"/>
      <c r="AG592" s="719"/>
      <c r="AH592" s="719"/>
      <c r="AI592" s="719"/>
      <c r="AJ592" s="719"/>
      <c r="AK592" s="719"/>
      <c r="AL592" s="719"/>
      <c r="AM592" s="719"/>
      <c r="AN592" s="719"/>
      <c r="AO592" s="719"/>
      <c r="AP592" s="719"/>
      <c r="AQ592" s="719"/>
      <c r="AR592" s="719"/>
      <c r="AS592" s="719"/>
      <c r="AT592" s="719"/>
      <c r="AU592" s="719"/>
      <c r="AV592" s="719"/>
      <c r="AW592" s="719"/>
      <c r="AX592" s="719"/>
      <c r="AY592" s="719"/>
      <c r="AZ592" s="719"/>
      <c r="BA592" s="719"/>
      <c r="BB592" s="719"/>
      <c r="BC592" s="719"/>
      <c r="BD592" s="719"/>
      <c r="BE592" s="719"/>
      <c r="BF592" s="719"/>
      <c r="BG592" s="719"/>
      <c r="BH592" s="719"/>
      <c r="BI592" s="719"/>
      <c r="BJ592" s="719"/>
    </row>
    <row r="593" spans="2:62" ht="15.75" customHeight="1">
      <c r="B593" s="497"/>
      <c r="C593" s="811"/>
      <c r="D593" s="811"/>
      <c r="E593" s="811"/>
      <c r="F593" s="811"/>
      <c r="G593" s="811"/>
      <c r="H593" s="811"/>
      <c r="I593" s="811"/>
      <c r="J593" s="811"/>
      <c r="K593" s="811"/>
      <c r="L593" s="811"/>
      <c r="M593" s="811"/>
      <c r="N593" s="811"/>
      <c r="O593" s="811"/>
      <c r="P593" s="811"/>
      <c r="Q593" s="811"/>
      <c r="R593" s="811"/>
      <c r="S593" s="811"/>
      <c r="T593" s="811"/>
      <c r="U593" s="811"/>
      <c r="V593" s="811"/>
      <c r="W593" s="811"/>
      <c r="X593" s="811"/>
      <c r="Y593" s="719"/>
      <c r="Z593" s="719"/>
      <c r="AA593" s="719"/>
      <c r="AB593" s="719"/>
      <c r="AC593" s="719"/>
      <c r="AD593" s="719"/>
      <c r="AE593" s="719"/>
      <c r="AF593" s="719"/>
      <c r="AG593" s="719"/>
      <c r="AH593" s="719"/>
      <c r="AI593" s="719"/>
      <c r="AJ593" s="719"/>
      <c r="AK593" s="719"/>
      <c r="AL593" s="719"/>
      <c r="AM593" s="719"/>
      <c r="AN593" s="719"/>
      <c r="AO593" s="719"/>
      <c r="AP593" s="719"/>
      <c r="AQ593" s="719"/>
      <c r="AR593" s="719"/>
      <c r="AS593" s="719"/>
      <c r="AT593" s="719"/>
      <c r="AU593" s="719"/>
      <c r="AV593" s="719"/>
      <c r="AW593" s="719"/>
      <c r="AX593" s="719"/>
      <c r="AY593" s="719"/>
      <c r="AZ593" s="719"/>
      <c r="BA593" s="719"/>
      <c r="BB593" s="719"/>
      <c r="BC593" s="719"/>
      <c r="BD593" s="719"/>
      <c r="BE593" s="719"/>
      <c r="BF593" s="719"/>
      <c r="BG593" s="719"/>
      <c r="BH593" s="719"/>
      <c r="BI593" s="719"/>
      <c r="BJ593" s="719"/>
    </row>
    <row r="594" spans="2:62" ht="15.75" customHeight="1">
      <c r="B594" s="497"/>
      <c r="C594" s="811"/>
      <c r="D594" s="811"/>
      <c r="E594" s="811"/>
      <c r="F594" s="811"/>
      <c r="G594" s="811"/>
      <c r="H594" s="811"/>
      <c r="I594" s="811"/>
      <c r="J594" s="811"/>
      <c r="K594" s="811"/>
      <c r="L594" s="811"/>
      <c r="M594" s="811"/>
      <c r="N594" s="811"/>
      <c r="O594" s="811"/>
      <c r="P594" s="811"/>
      <c r="Q594" s="811"/>
      <c r="R594" s="811"/>
      <c r="S594" s="811"/>
      <c r="T594" s="811"/>
      <c r="U594" s="811"/>
      <c r="V594" s="811"/>
      <c r="W594" s="811"/>
      <c r="X594" s="811"/>
      <c r="Y594" s="719"/>
      <c r="Z594" s="719"/>
      <c r="AA594" s="719"/>
      <c r="AB594" s="719"/>
      <c r="AC594" s="719"/>
      <c r="AD594" s="719"/>
      <c r="AE594" s="719"/>
      <c r="AF594" s="719"/>
      <c r="AG594" s="719"/>
      <c r="AH594" s="719"/>
      <c r="AI594" s="719"/>
      <c r="AJ594" s="719"/>
      <c r="AK594" s="719"/>
      <c r="AL594" s="719"/>
      <c r="AM594" s="719"/>
      <c r="AN594" s="719"/>
      <c r="AO594" s="719"/>
      <c r="AP594" s="719"/>
      <c r="AQ594" s="719"/>
      <c r="AR594" s="719"/>
      <c r="AS594" s="719"/>
      <c r="AT594" s="719"/>
      <c r="AU594" s="719"/>
      <c r="AV594" s="719"/>
      <c r="AW594" s="719"/>
      <c r="AX594" s="719"/>
      <c r="AY594" s="719"/>
      <c r="AZ594" s="719"/>
      <c r="BA594" s="719"/>
      <c r="BB594" s="719"/>
      <c r="BC594" s="719"/>
      <c r="BD594" s="719"/>
      <c r="BE594" s="719"/>
      <c r="BF594" s="719"/>
      <c r="BG594" s="719"/>
      <c r="BH594" s="719"/>
      <c r="BI594" s="719"/>
      <c r="BJ594" s="719"/>
    </row>
    <row r="595" spans="2:62" ht="15.75" customHeight="1">
      <c r="B595" s="497"/>
      <c r="C595" s="811"/>
      <c r="D595" s="811"/>
      <c r="E595" s="811"/>
      <c r="F595" s="811"/>
      <c r="G595" s="811"/>
      <c r="H595" s="811"/>
      <c r="I595" s="811"/>
      <c r="J595" s="811"/>
      <c r="K595" s="811"/>
      <c r="L595" s="811"/>
      <c r="M595" s="811"/>
      <c r="N595" s="811"/>
      <c r="O595" s="811"/>
      <c r="P595" s="811"/>
      <c r="Q595" s="811"/>
      <c r="R595" s="811"/>
      <c r="S595" s="811"/>
      <c r="T595" s="811"/>
      <c r="U595" s="811"/>
      <c r="V595" s="811"/>
      <c r="W595" s="811"/>
      <c r="X595" s="811"/>
      <c r="Y595" s="719"/>
      <c r="Z595" s="719"/>
      <c r="AA595" s="719"/>
      <c r="AB595" s="719"/>
      <c r="AC595" s="719"/>
      <c r="AD595" s="719"/>
      <c r="AE595" s="719"/>
      <c r="AF595" s="719"/>
      <c r="AG595" s="719"/>
      <c r="AH595" s="719"/>
      <c r="AI595" s="719"/>
      <c r="AJ595" s="719"/>
      <c r="AK595" s="719"/>
      <c r="AL595" s="719"/>
      <c r="AM595" s="719"/>
      <c r="AN595" s="719"/>
      <c r="AO595" s="719"/>
      <c r="AP595" s="719"/>
      <c r="AQ595" s="719"/>
      <c r="AR595" s="719"/>
      <c r="AS595" s="719"/>
      <c r="AT595" s="719"/>
      <c r="AU595" s="719"/>
      <c r="AV595" s="719"/>
      <c r="AW595" s="719"/>
      <c r="AX595" s="719"/>
      <c r="AY595" s="719"/>
      <c r="AZ595" s="719"/>
      <c r="BA595" s="719"/>
      <c r="BB595" s="719"/>
      <c r="BC595" s="719"/>
      <c r="BD595" s="719"/>
      <c r="BE595" s="719"/>
      <c r="BF595" s="719"/>
      <c r="BG595" s="719"/>
      <c r="BH595" s="719"/>
      <c r="BI595" s="719"/>
      <c r="BJ595" s="719"/>
    </row>
    <row r="596" spans="2:62" ht="15.75" customHeight="1">
      <c r="B596" s="497"/>
      <c r="C596" s="811"/>
      <c r="D596" s="811"/>
      <c r="E596" s="811"/>
      <c r="F596" s="811"/>
      <c r="G596" s="811"/>
      <c r="H596" s="811"/>
      <c r="I596" s="811"/>
      <c r="J596" s="811"/>
      <c r="K596" s="811"/>
      <c r="L596" s="811"/>
      <c r="M596" s="811"/>
      <c r="N596" s="811"/>
      <c r="O596" s="811"/>
      <c r="P596" s="811"/>
      <c r="Q596" s="811"/>
      <c r="R596" s="811"/>
      <c r="S596" s="811"/>
      <c r="T596" s="811"/>
      <c r="U596" s="811"/>
      <c r="V596" s="811"/>
      <c r="W596" s="811"/>
      <c r="X596" s="811"/>
      <c r="Y596" s="719"/>
      <c r="Z596" s="719"/>
      <c r="AA596" s="719"/>
      <c r="AB596" s="719"/>
      <c r="AC596" s="719"/>
      <c r="AD596" s="719"/>
      <c r="AE596" s="719"/>
      <c r="AF596" s="719"/>
      <c r="AG596" s="719"/>
      <c r="AH596" s="719"/>
      <c r="AI596" s="719"/>
      <c r="AJ596" s="719"/>
      <c r="AK596" s="719"/>
      <c r="AL596" s="719"/>
      <c r="AM596" s="719"/>
      <c r="AN596" s="719"/>
      <c r="AO596" s="719"/>
      <c r="AP596" s="719"/>
      <c r="AQ596" s="719"/>
      <c r="AR596" s="719"/>
      <c r="AS596" s="719"/>
      <c r="AT596" s="719"/>
      <c r="AU596" s="719"/>
      <c r="AV596" s="719"/>
      <c r="AW596" s="719"/>
      <c r="AX596" s="719"/>
      <c r="AY596" s="719"/>
      <c r="AZ596" s="719"/>
      <c r="BA596" s="719"/>
      <c r="BB596" s="719"/>
      <c r="BC596" s="719"/>
      <c r="BD596" s="719"/>
      <c r="BE596" s="719"/>
      <c r="BF596" s="719"/>
      <c r="BG596" s="719"/>
      <c r="BH596" s="719"/>
      <c r="BI596" s="719"/>
      <c r="BJ596" s="719"/>
    </row>
    <row r="597" spans="2:62" ht="15.75" customHeight="1">
      <c r="B597" s="497"/>
      <c r="C597" s="811"/>
      <c r="D597" s="811"/>
      <c r="E597" s="811"/>
      <c r="F597" s="811"/>
      <c r="G597" s="811"/>
      <c r="H597" s="811"/>
      <c r="I597" s="811"/>
      <c r="J597" s="811"/>
      <c r="K597" s="811"/>
      <c r="L597" s="811"/>
      <c r="M597" s="811"/>
      <c r="N597" s="811"/>
      <c r="O597" s="811"/>
      <c r="P597" s="811"/>
      <c r="Q597" s="811"/>
      <c r="R597" s="811"/>
      <c r="S597" s="811"/>
      <c r="T597" s="811"/>
      <c r="U597" s="811"/>
      <c r="V597" s="811"/>
      <c r="W597" s="811"/>
      <c r="X597" s="811"/>
      <c r="Y597" s="719"/>
      <c r="Z597" s="719"/>
      <c r="AA597" s="719"/>
      <c r="AB597" s="719"/>
      <c r="AC597" s="719"/>
      <c r="AD597" s="719"/>
      <c r="AE597" s="719"/>
      <c r="AF597" s="719"/>
      <c r="AG597" s="719"/>
      <c r="AH597" s="719"/>
      <c r="AI597" s="719"/>
      <c r="AJ597" s="719"/>
      <c r="AK597" s="719"/>
      <c r="AL597" s="719"/>
      <c r="AM597" s="719"/>
      <c r="AN597" s="719"/>
      <c r="AO597" s="719"/>
      <c r="AP597" s="719"/>
      <c r="AQ597" s="719"/>
      <c r="AR597" s="719"/>
      <c r="AS597" s="719"/>
      <c r="AT597" s="719"/>
      <c r="AU597" s="719"/>
      <c r="AV597" s="719"/>
      <c r="AW597" s="719"/>
      <c r="AX597" s="719"/>
      <c r="AY597" s="719"/>
      <c r="AZ597" s="719"/>
      <c r="BA597" s="719"/>
      <c r="BB597" s="719"/>
      <c r="BC597" s="719"/>
      <c r="BD597" s="719"/>
      <c r="BE597" s="719"/>
      <c r="BF597" s="719"/>
      <c r="BG597" s="719"/>
      <c r="BH597" s="719"/>
      <c r="BI597" s="719"/>
      <c r="BJ597" s="719"/>
    </row>
    <row r="598" spans="2:62" ht="15.75" customHeight="1">
      <c r="B598" s="497"/>
      <c r="C598" s="811"/>
      <c r="D598" s="811"/>
      <c r="E598" s="811"/>
      <c r="F598" s="811"/>
      <c r="G598" s="811"/>
      <c r="H598" s="811"/>
      <c r="I598" s="811"/>
      <c r="J598" s="811"/>
      <c r="K598" s="811"/>
      <c r="L598" s="811"/>
      <c r="M598" s="811"/>
      <c r="N598" s="811"/>
      <c r="O598" s="811"/>
      <c r="P598" s="811"/>
      <c r="Q598" s="811"/>
      <c r="R598" s="811"/>
      <c r="S598" s="811"/>
      <c r="T598" s="811"/>
      <c r="U598" s="811"/>
      <c r="V598" s="811"/>
      <c r="W598" s="811"/>
      <c r="X598" s="811"/>
      <c r="Y598" s="719"/>
      <c r="Z598" s="719"/>
      <c r="AA598" s="719"/>
      <c r="AB598" s="719"/>
      <c r="AC598" s="719"/>
      <c r="AD598" s="719"/>
      <c r="AE598" s="719"/>
      <c r="AF598" s="719"/>
      <c r="AG598" s="719"/>
      <c r="AH598" s="719"/>
      <c r="AI598" s="719"/>
      <c r="AJ598" s="719"/>
      <c r="AK598" s="719"/>
      <c r="AL598" s="719"/>
      <c r="AM598" s="719"/>
      <c r="AN598" s="719"/>
      <c r="AO598" s="719"/>
      <c r="AP598" s="719"/>
      <c r="AQ598" s="719"/>
      <c r="AR598" s="719"/>
      <c r="AS598" s="719"/>
      <c r="AT598" s="719"/>
      <c r="AU598" s="719"/>
      <c r="AV598" s="719"/>
      <c r="AW598" s="719"/>
      <c r="AX598" s="719"/>
      <c r="AY598" s="719"/>
      <c r="AZ598" s="719"/>
      <c r="BA598" s="719"/>
      <c r="BB598" s="719"/>
      <c r="BC598" s="719"/>
      <c r="BD598" s="719"/>
      <c r="BE598" s="719"/>
      <c r="BF598" s="719"/>
      <c r="BG598" s="719"/>
      <c r="BH598" s="719"/>
      <c r="BI598" s="719"/>
      <c r="BJ598" s="719"/>
    </row>
    <row r="599" spans="2:62" ht="15.75" customHeight="1">
      <c r="B599" s="497"/>
      <c r="C599" s="811"/>
      <c r="D599" s="811"/>
      <c r="E599" s="811"/>
      <c r="F599" s="811"/>
      <c r="G599" s="811"/>
      <c r="H599" s="811"/>
      <c r="I599" s="811"/>
      <c r="J599" s="811"/>
      <c r="K599" s="811"/>
      <c r="L599" s="811"/>
      <c r="M599" s="811"/>
      <c r="N599" s="811"/>
      <c r="O599" s="811"/>
      <c r="P599" s="811"/>
      <c r="Q599" s="811"/>
      <c r="R599" s="811"/>
      <c r="S599" s="811"/>
      <c r="T599" s="811"/>
      <c r="U599" s="811"/>
      <c r="V599" s="811"/>
      <c r="W599" s="811"/>
      <c r="X599" s="811"/>
      <c r="Y599" s="719"/>
      <c r="Z599" s="719"/>
      <c r="AA599" s="719"/>
      <c r="AB599" s="719"/>
      <c r="AC599" s="719"/>
      <c r="AD599" s="719"/>
      <c r="AE599" s="719"/>
      <c r="AF599" s="719"/>
      <c r="AG599" s="719"/>
      <c r="AH599" s="719"/>
      <c r="AI599" s="719"/>
      <c r="AJ599" s="719"/>
      <c r="AK599" s="719"/>
      <c r="AL599" s="719"/>
      <c r="AM599" s="719"/>
      <c r="AN599" s="719"/>
      <c r="AO599" s="719"/>
      <c r="AP599" s="719"/>
      <c r="AQ599" s="719"/>
      <c r="AR599" s="719"/>
      <c r="AS599" s="719"/>
      <c r="AT599" s="719"/>
      <c r="AU599" s="719"/>
      <c r="AV599" s="719"/>
      <c r="AW599" s="719"/>
      <c r="AX599" s="719"/>
      <c r="AY599" s="719"/>
      <c r="AZ599" s="719"/>
      <c r="BA599" s="719"/>
      <c r="BB599" s="719"/>
      <c r="BC599" s="719"/>
      <c r="BD599" s="719"/>
      <c r="BE599" s="719"/>
      <c r="BF599" s="719"/>
      <c r="BG599" s="719"/>
      <c r="BH599" s="719"/>
      <c r="BI599" s="719"/>
      <c r="BJ599" s="719"/>
    </row>
    <row r="600" spans="2:62" ht="15.75" customHeight="1">
      <c r="B600" s="497"/>
      <c r="C600" s="811"/>
      <c r="D600" s="811"/>
      <c r="E600" s="811"/>
      <c r="F600" s="811"/>
      <c r="G600" s="811"/>
      <c r="H600" s="811"/>
      <c r="I600" s="811"/>
      <c r="J600" s="811"/>
      <c r="K600" s="811"/>
      <c r="L600" s="811"/>
      <c r="M600" s="811"/>
      <c r="N600" s="811"/>
      <c r="O600" s="811"/>
      <c r="P600" s="811"/>
      <c r="Q600" s="811"/>
      <c r="R600" s="811"/>
      <c r="S600" s="811"/>
      <c r="T600" s="811"/>
      <c r="U600" s="811"/>
      <c r="V600" s="811"/>
      <c r="W600" s="811"/>
      <c r="X600" s="811"/>
      <c r="Y600" s="719"/>
      <c r="Z600" s="719"/>
      <c r="AA600" s="719"/>
      <c r="AB600" s="719"/>
      <c r="AC600" s="719"/>
      <c r="AD600" s="719"/>
      <c r="AE600" s="719"/>
      <c r="AF600" s="719"/>
      <c r="AG600" s="719"/>
      <c r="AH600" s="719"/>
      <c r="AI600" s="719"/>
      <c r="AJ600" s="719"/>
      <c r="AK600" s="719"/>
      <c r="AL600" s="719"/>
      <c r="AM600" s="719"/>
      <c r="AN600" s="719"/>
      <c r="AO600" s="719"/>
      <c r="AP600" s="719"/>
      <c r="AQ600" s="719"/>
      <c r="AR600" s="719"/>
      <c r="AS600" s="719"/>
      <c r="AT600" s="719"/>
      <c r="AU600" s="719"/>
      <c r="AV600" s="719"/>
      <c r="AW600" s="719"/>
      <c r="AX600" s="719"/>
      <c r="AY600" s="719"/>
      <c r="AZ600" s="719"/>
      <c r="BA600" s="719"/>
      <c r="BB600" s="719"/>
      <c r="BC600" s="719"/>
      <c r="BD600" s="719"/>
      <c r="BE600" s="719"/>
      <c r="BF600" s="719"/>
      <c r="BG600" s="719"/>
      <c r="BH600" s="719"/>
      <c r="BI600" s="719"/>
      <c r="BJ600" s="719"/>
    </row>
    <row r="601" spans="2:62" ht="15.75" customHeight="1">
      <c r="B601" s="497"/>
      <c r="C601" s="811"/>
      <c r="D601" s="811"/>
      <c r="E601" s="811"/>
      <c r="F601" s="811"/>
      <c r="G601" s="811"/>
      <c r="H601" s="811"/>
      <c r="I601" s="811"/>
      <c r="J601" s="811"/>
      <c r="K601" s="811"/>
      <c r="L601" s="811"/>
      <c r="M601" s="811"/>
      <c r="N601" s="811"/>
      <c r="O601" s="811"/>
      <c r="P601" s="811"/>
      <c r="Q601" s="811"/>
      <c r="R601" s="811"/>
      <c r="S601" s="811"/>
      <c r="T601" s="811"/>
      <c r="U601" s="811"/>
      <c r="V601" s="811"/>
      <c r="W601" s="811"/>
      <c r="X601" s="811"/>
      <c r="Y601" s="719"/>
      <c r="Z601" s="719"/>
      <c r="AA601" s="719"/>
      <c r="AB601" s="719"/>
      <c r="AC601" s="719"/>
      <c r="AD601" s="719"/>
      <c r="AE601" s="719"/>
      <c r="AF601" s="719"/>
      <c r="AG601" s="719"/>
      <c r="AH601" s="719"/>
      <c r="AI601" s="719"/>
      <c r="AJ601" s="719"/>
      <c r="AK601" s="719"/>
      <c r="AL601" s="719"/>
      <c r="AM601" s="719"/>
      <c r="AN601" s="719"/>
      <c r="AO601" s="719"/>
      <c r="AP601" s="719"/>
      <c r="AQ601" s="719"/>
      <c r="AR601" s="719"/>
      <c r="AS601" s="719"/>
      <c r="AT601" s="719"/>
      <c r="AU601" s="719"/>
      <c r="AV601" s="719"/>
      <c r="AW601" s="719"/>
      <c r="AX601" s="719"/>
      <c r="AY601" s="719"/>
      <c r="AZ601" s="719"/>
      <c r="BA601" s="719"/>
      <c r="BB601" s="719"/>
      <c r="BC601" s="719"/>
      <c r="BD601" s="719"/>
      <c r="BE601" s="719"/>
      <c r="BF601" s="719"/>
      <c r="BG601" s="719"/>
      <c r="BH601" s="719"/>
      <c r="BI601" s="719"/>
      <c r="BJ601" s="719"/>
    </row>
    <row r="602" spans="2:62" ht="15.75" customHeight="1">
      <c r="B602" s="497"/>
      <c r="C602" s="811"/>
      <c r="D602" s="811"/>
      <c r="E602" s="811"/>
      <c r="F602" s="811"/>
      <c r="G602" s="811"/>
      <c r="H602" s="811"/>
      <c r="I602" s="811"/>
      <c r="J602" s="811"/>
      <c r="K602" s="811"/>
      <c r="L602" s="811"/>
      <c r="M602" s="811"/>
      <c r="N602" s="811"/>
      <c r="O602" s="811"/>
      <c r="P602" s="811"/>
      <c r="Q602" s="811"/>
      <c r="R602" s="811"/>
      <c r="S602" s="811"/>
      <c r="T602" s="811"/>
      <c r="U602" s="811"/>
      <c r="V602" s="811"/>
      <c r="W602" s="811"/>
      <c r="X602" s="811"/>
      <c r="Y602" s="719"/>
      <c r="Z602" s="719"/>
      <c r="AA602" s="719"/>
      <c r="AB602" s="719"/>
      <c r="AC602" s="719"/>
      <c r="AD602" s="719"/>
      <c r="AE602" s="719"/>
      <c r="AF602" s="719"/>
      <c r="AG602" s="719"/>
      <c r="AH602" s="719"/>
      <c r="AI602" s="719"/>
      <c r="AJ602" s="719"/>
      <c r="AK602" s="719"/>
      <c r="AL602" s="719"/>
      <c r="AM602" s="719"/>
      <c r="AN602" s="719"/>
      <c r="AO602" s="719"/>
      <c r="AP602" s="719"/>
      <c r="AQ602" s="719"/>
      <c r="AR602" s="719"/>
      <c r="AS602" s="719"/>
      <c r="AT602" s="719"/>
      <c r="AU602" s="719"/>
      <c r="AV602" s="719"/>
      <c r="AW602" s="719"/>
      <c r="AX602" s="719"/>
      <c r="AY602" s="719"/>
      <c r="AZ602" s="719"/>
      <c r="BA602" s="719"/>
      <c r="BB602" s="719"/>
      <c r="BC602" s="719"/>
      <c r="BD602" s="719"/>
      <c r="BE602" s="719"/>
      <c r="BF602" s="719"/>
      <c r="BG602" s="719"/>
      <c r="BH602" s="719"/>
      <c r="BI602" s="719"/>
      <c r="BJ602" s="719"/>
    </row>
    <row r="603" spans="2:62" ht="15.75" customHeight="1">
      <c r="B603" s="497"/>
      <c r="C603" s="811"/>
      <c r="D603" s="811"/>
      <c r="E603" s="811"/>
      <c r="F603" s="811"/>
      <c r="G603" s="811"/>
      <c r="H603" s="811"/>
      <c r="I603" s="811"/>
      <c r="J603" s="811"/>
      <c r="K603" s="811"/>
      <c r="L603" s="811"/>
      <c r="M603" s="811"/>
      <c r="N603" s="811"/>
      <c r="O603" s="811"/>
      <c r="P603" s="811"/>
      <c r="Q603" s="811"/>
      <c r="R603" s="811"/>
      <c r="S603" s="811"/>
      <c r="T603" s="811"/>
      <c r="U603" s="811"/>
      <c r="V603" s="811"/>
      <c r="W603" s="811"/>
      <c r="X603" s="811"/>
      <c r="Y603" s="719"/>
      <c r="Z603" s="719"/>
      <c r="AA603" s="719"/>
      <c r="AB603" s="719"/>
      <c r="AC603" s="719"/>
      <c r="AD603" s="719"/>
      <c r="AE603" s="719"/>
      <c r="AF603" s="719"/>
      <c r="AG603" s="719"/>
      <c r="AH603" s="719"/>
      <c r="AI603" s="719"/>
      <c r="AJ603" s="719"/>
      <c r="AK603" s="719"/>
      <c r="AL603" s="719"/>
      <c r="AM603" s="719"/>
      <c r="AN603" s="719"/>
      <c r="AO603" s="719"/>
      <c r="AP603" s="719"/>
      <c r="AQ603" s="719"/>
      <c r="AR603" s="719"/>
      <c r="AS603" s="719"/>
      <c r="AT603" s="719"/>
      <c r="AU603" s="719"/>
      <c r="AV603" s="719"/>
      <c r="AW603" s="719"/>
      <c r="AX603" s="719"/>
      <c r="AY603" s="719"/>
      <c r="AZ603" s="719"/>
      <c r="BA603" s="719"/>
      <c r="BB603" s="719"/>
      <c r="BC603" s="719"/>
      <c r="BD603" s="719"/>
      <c r="BE603" s="719"/>
      <c r="BF603" s="719"/>
      <c r="BG603" s="719"/>
      <c r="BH603" s="719"/>
      <c r="BI603" s="719"/>
      <c r="BJ603" s="719"/>
    </row>
    <row r="604" spans="2:62" ht="15.75" customHeight="1">
      <c r="B604" s="497"/>
      <c r="C604" s="811"/>
      <c r="D604" s="811"/>
      <c r="E604" s="811"/>
      <c r="F604" s="811"/>
      <c r="G604" s="811"/>
      <c r="H604" s="811"/>
      <c r="I604" s="811"/>
      <c r="J604" s="811"/>
      <c r="K604" s="811"/>
      <c r="L604" s="811"/>
      <c r="M604" s="811"/>
      <c r="N604" s="811"/>
      <c r="O604" s="811"/>
      <c r="P604" s="811"/>
      <c r="Q604" s="811"/>
      <c r="R604" s="811"/>
      <c r="S604" s="811"/>
      <c r="T604" s="811"/>
      <c r="U604" s="811"/>
      <c r="V604" s="811"/>
      <c r="W604" s="811"/>
      <c r="X604" s="811"/>
      <c r="Y604" s="719"/>
      <c r="Z604" s="719"/>
      <c r="AA604" s="719"/>
      <c r="AB604" s="719"/>
      <c r="AC604" s="719"/>
      <c r="AD604" s="719"/>
      <c r="AE604" s="719"/>
      <c r="AF604" s="719"/>
      <c r="AG604" s="719"/>
      <c r="AH604" s="719"/>
      <c r="AI604" s="719"/>
      <c r="AJ604" s="719"/>
      <c r="AK604" s="719"/>
      <c r="AL604" s="719"/>
      <c r="AM604" s="719"/>
      <c r="AN604" s="719"/>
      <c r="AO604" s="719"/>
      <c r="AP604" s="719"/>
      <c r="AQ604" s="719"/>
      <c r="AR604" s="719"/>
      <c r="AS604" s="719"/>
      <c r="AT604" s="719"/>
      <c r="AU604" s="719"/>
      <c r="AV604" s="719"/>
      <c r="AW604" s="719"/>
      <c r="AX604" s="719"/>
      <c r="AY604" s="719"/>
      <c r="AZ604" s="719"/>
      <c r="BA604" s="719"/>
      <c r="BB604" s="719"/>
      <c r="BC604" s="719"/>
      <c r="BD604" s="719"/>
      <c r="BE604" s="719"/>
      <c r="BF604" s="719"/>
      <c r="BG604" s="719"/>
      <c r="BH604" s="719"/>
      <c r="BI604" s="719"/>
      <c r="BJ604" s="719"/>
    </row>
    <row r="605" spans="2:62" ht="15.75" customHeight="1">
      <c r="B605" s="497"/>
      <c r="C605" s="811"/>
      <c r="D605" s="811"/>
      <c r="E605" s="811"/>
      <c r="F605" s="811"/>
      <c r="G605" s="811"/>
      <c r="H605" s="811"/>
      <c r="I605" s="811"/>
      <c r="J605" s="811"/>
      <c r="K605" s="811"/>
      <c r="L605" s="811"/>
      <c r="M605" s="811"/>
      <c r="N605" s="811"/>
      <c r="O605" s="811"/>
      <c r="P605" s="811"/>
      <c r="Q605" s="811"/>
      <c r="R605" s="811"/>
      <c r="S605" s="811"/>
      <c r="T605" s="811"/>
      <c r="U605" s="811"/>
      <c r="V605" s="811"/>
      <c r="W605" s="811"/>
      <c r="X605" s="811"/>
      <c r="Y605" s="719"/>
      <c r="Z605" s="719"/>
      <c r="AA605" s="719"/>
      <c r="AB605" s="719"/>
      <c r="AC605" s="719"/>
      <c r="AD605" s="719"/>
      <c r="AE605" s="719"/>
      <c r="AF605" s="719"/>
      <c r="AG605" s="719"/>
      <c r="AH605" s="719"/>
      <c r="AI605" s="719"/>
      <c r="AJ605" s="719"/>
      <c r="AK605" s="719"/>
      <c r="AL605" s="719"/>
      <c r="AM605" s="719"/>
      <c r="AN605" s="719"/>
      <c r="AO605" s="719"/>
      <c r="AP605" s="719"/>
      <c r="AQ605" s="719"/>
      <c r="AR605" s="719"/>
      <c r="AS605" s="719"/>
      <c r="AT605" s="719"/>
      <c r="AU605" s="719"/>
      <c r="AV605" s="719"/>
      <c r="AW605" s="719"/>
      <c r="AX605" s="719"/>
      <c r="AY605" s="719"/>
      <c r="AZ605" s="719"/>
      <c r="BA605" s="719"/>
      <c r="BB605" s="719"/>
      <c r="BC605" s="719"/>
      <c r="BD605" s="719"/>
      <c r="BE605" s="719"/>
      <c r="BF605" s="719"/>
      <c r="BG605" s="719"/>
      <c r="BH605" s="719"/>
      <c r="BI605" s="719"/>
      <c r="BJ605" s="719"/>
    </row>
    <row r="606" spans="2:62" ht="15.75" customHeight="1">
      <c r="B606" s="497"/>
      <c r="C606" s="811"/>
      <c r="D606" s="811"/>
      <c r="E606" s="811"/>
      <c r="F606" s="811"/>
      <c r="G606" s="811"/>
      <c r="H606" s="811"/>
      <c r="I606" s="811"/>
      <c r="J606" s="811"/>
      <c r="K606" s="811"/>
      <c r="L606" s="811"/>
      <c r="M606" s="811"/>
      <c r="N606" s="811"/>
      <c r="O606" s="811"/>
      <c r="P606" s="811"/>
      <c r="Q606" s="811"/>
      <c r="R606" s="811"/>
      <c r="S606" s="811"/>
      <c r="T606" s="811"/>
      <c r="U606" s="811"/>
      <c r="V606" s="811"/>
      <c r="W606" s="811"/>
      <c r="X606" s="811"/>
      <c r="Y606" s="719"/>
      <c r="Z606" s="719"/>
      <c r="AA606" s="719"/>
      <c r="AB606" s="719"/>
      <c r="AC606" s="719"/>
      <c r="AD606" s="719"/>
      <c r="AE606" s="719"/>
      <c r="AF606" s="719"/>
      <c r="AG606" s="719"/>
      <c r="AH606" s="719"/>
      <c r="AI606" s="719"/>
      <c r="AJ606" s="719"/>
      <c r="AK606" s="719"/>
      <c r="AL606" s="719"/>
      <c r="AM606" s="719"/>
      <c r="AN606" s="719"/>
      <c r="AO606" s="719"/>
      <c r="AP606" s="719"/>
      <c r="AQ606" s="719"/>
      <c r="AR606" s="719"/>
      <c r="AS606" s="719"/>
      <c r="AT606" s="719"/>
      <c r="AU606" s="719"/>
      <c r="AV606" s="719"/>
      <c r="AW606" s="719"/>
      <c r="AX606" s="719"/>
      <c r="AY606" s="719"/>
      <c r="AZ606" s="719"/>
      <c r="BA606" s="719"/>
      <c r="BB606" s="719"/>
      <c r="BC606" s="719"/>
      <c r="BD606" s="719"/>
      <c r="BE606" s="719"/>
      <c r="BF606" s="719"/>
      <c r="BG606" s="719"/>
      <c r="BH606" s="719"/>
      <c r="BI606" s="719"/>
      <c r="BJ606" s="719"/>
    </row>
    <row r="607" spans="2:62" ht="15.75" customHeight="1">
      <c r="B607" s="497"/>
      <c r="C607" s="811"/>
      <c r="D607" s="811"/>
      <c r="E607" s="811"/>
      <c r="F607" s="811"/>
      <c r="G607" s="811"/>
      <c r="H607" s="811"/>
      <c r="I607" s="811"/>
      <c r="J607" s="811"/>
      <c r="K607" s="811"/>
      <c r="L607" s="811"/>
      <c r="M607" s="811"/>
      <c r="N607" s="811"/>
      <c r="O607" s="811"/>
      <c r="P607" s="811"/>
      <c r="Q607" s="811"/>
      <c r="R607" s="811"/>
      <c r="S607" s="811"/>
      <c r="T607" s="811"/>
      <c r="U607" s="811"/>
      <c r="V607" s="811"/>
      <c r="W607" s="811"/>
      <c r="X607" s="811"/>
      <c r="Y607" s="719"/>
      <c r="Z607" s="719"/>
      <c r="AA607" s="719"/>
      <c r="AB607" s="719"/>
      <c r="AC607" s="719"/>
      <c r="AD607" s="719"/>
      <c r="AE607" s="719"/>
      <c r="AF607" s="719"/>
      <c r="AG607" s="719"/>
      <c r="AH607" s="719"/>
      <c r="AI607" s="719"/>
      <c r="AJ607" s="719"/>
      <c r="AK607" s="719"/>
      <c r="AL607" s="719"/>
      <c r="AM607" s="719"/>
      <c r="AN607" s="719"/>
      <c r="AO607" s="719"/>
      <c r="AP607" s="719"/>
      <c r="AQ607" s="719"/>
      <c r="AR607" s="719"/>
      <c r="AS607" s="719"/>
      <c r="AT607" s="719"/>
      <c r="AU607" s="719"/>
      <c r="AV607" s="719"/>
      <c r="AW607" s="719"/>
      <c r="AX607" s="719"/>
      <c r="AY607" s="719"/>
      <c r="AZ607" s="719"/>
      <c r="BA607" s="719"/>
      <c r="BB607" s="719"/>
      <c r="BC607" s="719"/>
      <c r="BD607" s="719"/>
      <c r="BE607" s="719"/>
      <c r="BF607" s="719"/>
      <c r="BG607" s="719"/>
      <c r="BH607" s="719"/>
      <c r="BI607" s="719"/>
      <c r="BJ607" s="719"/>
    </row>
    <row r="608" spans="2:62" ht="15.75" customHeight="1">
      <c r="B608" s="497"/>
      <c r="C608" s="811"/>
      <c r="D608" s="811"/>
      <c r="E608" s="811"/>
      <c r="F608" s="811"/>
      <c r="G608" s="811"/>
      <c r="H608" s="811"/>
      <c r="I608" s="811"/>
      <c r="J608" s="811"/>
      <c r="K608" s="811"/>
      <c r="L608" s="811"/>
      <c r="M608" s="811"/>
      <c r="N608" s="811"/>
      <c r="O608" s="811"/>
      <c r="P608" s="811"/>
      <c r="Q608" s="811"/>
      <c r="R608" s="811"/>
      <c r="S608" s="811"/>
      <c r="T608" s="811"/>
      <c r="U608" s="811"/>
      <c r="V608" s="811"/>
      <c r="W608" s="811"/>
      <c r="X608" s="811"/>
      <c r="Y608" s="719"/>
      <c r="Z608" s="719"/>
      <c r="AA608" s="719"/>
      <c r="AB608" s="719"/>
      <c r="AC608" s="719"/>
      <c r="AD608" s="719"/>
      <c r="AE608" s="719"/>
      <c r="AF608" s="719"/>
      <c r="AG608" s="719"/>
      <c r="AH608" s="719"/>
      <c r="AI608" s="719"/>
      <c r="AJ608" s="719"/>
      <c r="AK608" s="719"/>
      <c r="AL608" s="719"/>
      <c r="AM608" s="719"/>
      <c r="AN608" s="719"/>
      <c r="AO608" s="719"/>
      <c r="AP608" s="719"/>
      <c r="AQ608" s="719"/>
      <c r="AR608" s="719"/>
      <c r="AS608" s="719"/>
      <c r="AT608" s="719"/>
      <c r="AU608" s="719"/>
      <c r="AV608" s="719"/>
      <c r="AW608" s="719"/>
      <c r="AX608" s="719"/>
      <c r="AY608" s="719"/>
      <c r="AZ608" s="719"/>
      <c r="BA608" s="719"/>
      <c r="BB608" s="719"/>
      <c r="BC608" s="719"/>
      <c r="BD608" s="719"/>
      <c r="BE608" s="719"/>
      <c r="BF608" s="719"/>
      <c r="BG608" s="719"/>
      <c r="BH608" s="719"/>
      <c r="BI608" s="719"/>
      <c r="BJ608" s="719"/>
    </row>
    <row r="609" spans="2:62" ht="15.75" customHeight="1">
      <c r="B609" s="497"/>
      <c r="C609" s="811"/>
      <c r="D609" s="811"/>
      <c r="E609" s="811"/>
      <c r="F609" s="811"/>
      <c r="G609" s="811"/>
      <c r="H609" s="811"/>
      <c r="I609" s="811"/>
      <c r="J609" s="811"/>
      <c r="K609" s="811"/>
      <c r="L609" s="811"/>
      <c r="M609" s="811"/>
      <c r="N609" s="811"/>
      <c r="O609" s="811"/>
      <c r="P609" s="811"/>
      <c r="Q609" s="811"/>
      <c r="R609" s="811"/>
      <c r="S609" s="811"/>
      <c r="T609" s="811"/>
      <c r="U609" s="811"/>
      <c r="V609" s="811"/>
      <c r="W609" s="811"/>
      <c r="X609" s="811"/>
      <c r="Y609" s="719"/>
      <c r="Z609" s="719"/>
      <c r="AA609" s="719"/>
      <c r="AB609" s="719"/>
      <c r="AC609" s="719"/>
      <c r="AD609" s="719"/>
      <c r="AE609" s="719"/>
      <c r="AF609" s="719"/>
      <c r="AG609" s="719"/>
      <c r="AH609" s="719"/>
      <c r="AI609" s="719"/>
      <c r="AJ609" s="719"/>
      <c r="AK609" s="719"/>
      <c r="AL609" s="719"/>
      <c r="AM609" s="719"/>
      <c r="AN609" s="719"/>
      <c r="AO609" s="719"/>
      <c r="AP609" s="719"/>
      <c r="AQ609" s="719"/>
      <c r="AR609" s="719"/>
      <c r="AS609" s="719"/>
      <c r="AT609" s="719"/>
      <c r="AU609" s="719"/>
      <c r="AV609" s="719"/>
      <c r="AW609" s="719"/>
      <c r="AX609" s="719"/>
      <c r="AY609" s="719"/>
      <c r="AZ609" s="719"/>
      <c r="BA609" s="719"/>
      <c r="BB609" s="719"/>
      <c r="BC609" s="719"/>
      <c r="BD609" s="719"/>
      <c r="BE609" s="719"/>
      <c r="BF609" s="719"/>
      <c r="BG609" s="719"/>
      <c r="BH609" s="719"/>
      <c r="BI609" s="719"/>
      <c r="BJ609" s="719"/>
    </row>
    <row r="610" spans="2:62" ht="15.75" customHeight="1">
      <c r="B610" s="497"/>
      <c r="C610" s="811"/>
      <c r="D610" s="811"/>
      <c r="E610" s="811"/>
      <c r="F610" s="811"/>
      <c r="G610" s="811"/>
      <c r="H610" s="811"/>
      <c r="I610" s="811"/>
      <c r="J610" s="811"/>
      <c r="K610" s="811"/>
      <c r="L610" s="811"/>
      <c r="M610" s="811"/>
      <c r="N610" s="811"/>
      <c r="O610" s="811"/>
      <c r="P610" s="811"/>
      <c r="Q610" s="811"/>
      <c r="R610" s="811"/>
      <c r="S610" s="811"/>
      <c r="T610" s="811"/>
      <c r="U610" s="811"/>
      <c r="V610" s="811"/>
      <c r="W610" s="811"/>
      <c r="X610" s="811"/>
      <c r="Y610" s="719"/>
      <c r="Z610" s="719"/>
      <c r="AA610" s="719"/>
      <c r="AB610" s="719"/>
      <c r="AC610" s="719"/>
      <c r="AD610" s="719"/>
      <c r="AE610" s="719"/>
      <c r="AF610" s="719"/>
      <c r="AG610" s="719"/>
      <c r="AH610" s="719"/>
      <c r="AI610" s="719"/>
      <c r="AJ610" s="719"/>
      <c r="AK610" s="719"/>
      <c r="AL610" s="719"/>
      <c r="AM610" s="719"/>
      <c r="AN610" s="719"/>
      <c r="AO610" s="719"/>
      <c r="AP610" s="719"/>
      <c r="AQ610" s="719"/>
      <c r="AR610" s="719"/>
      <c r="AS610" s="719"/>
      <c r="AT610" s="719"/>
      <c r="AU610" s="719"/>
      <c r="AV610" s="719"/>
      <c r="AW610" s="719"/>
      <c r="AX610" s="719"/>
      <c r="AY610" s="719"/>
      <c r="AZ610" s="719"/>
      <c r="BA610" s="719"/>
      <c r="BB610" s="719"/>
      <c r="BC610" s="719"/>
      <c r="BD610" s="719"/>
      <c r="BE610" s="719"/>
      <c r="BF610" s="719"/>
      <c r="BG610" s="719"/>
      <c r="BH610" s="719"/>
      <c r="BI610" s="719"/>
      <c r="BJ610" s="719"/>
    </row>
    <row r="611" spans="2:62" ht="15.75" customHeight="1">
      <c r="B611" s="497"/>
      <c r="C611" s="811"/>
      <c r="D611" s="811"/>
      <c r="E611" s="811"/>
      <c r="F611" s="811"/>
      <c r="G611" s="811"/>
      <c r="H611" s="811"/>
      <c r="I611" s="811"/>
      <c r="J611" s="811"/>
      <c r="K611" s="811"/>
      <c r="L611" s="811"/>
      <c r="M611" s="811"/>
      <c r="N611" s="811"/>
      <c r="O611" s="811"/>
      <c r="P611" s="811"/>
      <c r="Q611" s="811"/>
      <c r="R611" s="811"/>
      <c r="S611" s="811"/>
      <c r="T611" s="811"/>
      <c r="U611" s="811"/>
      <c r="V611" s="811"/>
      <c r="W611" s="811"/>
      <c r="X611" s="811"/>
      <c r="Y611" s="719"/>
      <c r="Z611" s="719"/>
      <c r="AA611" s="719"/>
      <c r="AB611" s="719"/>
      <c r="AC611" s="719"/>
      <c r="AD611" s="719"/>
      <c r="AE611" s="719"/>
      <c r="AF611" s="719"/>
      <c r="AG611" s="719"/>
      <c r="AH611" s="719"/>
      <c r="AI611" s="719"/>
      <c r="AJ611" s="719"/>
      <c r="AK611" s="719"/>
      <c r="AL611" s="719"/>
      <c r="AM611" s="719"/>
      <c r="AN611" s="719"/>
      <c r="AO611" s="719"/>
      <c r="AP611" s="719"/>
      <c r="AQ611" s="719"/>
      <c r="AR611" s="719"/>
      <c r="AS611" s="719"/>
      <c r="AT611" s="719"/>
      <c r="AU611" s="719"/>
      <c r="AV611" s="719"/>
      <c r="AW611" s="719"/>
      <c r="AX611" s="719"/>
      <c r="AY611" s="719"/>
      <c r="AZ611" s="719"/>
      <c r="BA611" s="719"/>
      <c r="BB611" s="719"/>
      <c r="BC611" s="719"/>
      <c r="BD611" s="719"/>
      <c r="BE611" s="719"/>
      <c r="BF611" s="719"/>
      <c r="BG611" s="719"/>
      <c r="BH611" s="719"/>
      <c r="BI611" s="719"/>
      <c r="BJ611" s="719"/>
    </row>
    <row r="612" spans="2:62" ht="15.75" customHeight="1">
      <c r="B612" s="497"/>
      <c r="C612" s="811"/>
      <c r="D612" s="811"/>
      <c r="E612" s="811"/>
      <c r="F612" s="811"/>
      <c r="G612" s="811"/>
      <c r="H612" s="811"/>
      <c r="I612" s="811"/>
      <c r="J612" s="811"/>
      <c r="K612" s="811"/>
      <c r="L612" s="811"/>
      <c r="M612" s="811"/>
      <c r="N612" s="811"/>
      <c r="O612" s="811"/>
      <c r="P612" s="811"/>
      <c r="Q612" s="811"/>
      <c r="R612" s="811"/>
      <c r="S612" s="811"/>
      <c r="T612" s="811"/>
      <c r="U612" s="811"/>
      <c r="V612" s="811"/>
      <c r="W612" s="811"/>
      <c r="X612" s="811"/>
      <c r="Y612" s="719"/>
      <c r="Z612" s="719"/>
      <c r="AA612" s="719"/>
      <c r="AB612" s="719"/>
      <c r="AC612" s="719"/>
      <c r="AD612" s="719"/>
      <c r="AE612" s="719"/>
      <c r="AF612" s="719"/>
      <c r="AG612" s="719"/>
      <c r="AH612" s="719"/>
      <c r="AI612" s="719"/>
      <c r="AJ612" s="719"/>
      <c r="AK612" s="719"/>
      <c r="AL612" s="719"/>
      <c r="AM612" s="719"/>
      <c r="AN612" s="719"/>
      <c r="AO612" s="719"/>
      <c r="AP612" s="719"/>
      <c r="AQ612" s="719"/>
      <c r="AR612" s="719"/>
      <c r="AS612" s="719"/>
      <c r="AT612" s="719"/>
      <c r="AU612" s="719"/>
      <c r="AV612" s="719"/>
      <c r="AW612" s="719"/>
      <c r="AX612" s="719"/>
      <c r="AY612" s="719"/>
      <c r="AZ612" s="719"/>
      <c r="BA612" s="719"/>
      <c r="BB612" s="719"/>
      <c r="BC612" s="719"/>
      <c r="BD612" s="719"/>
      <c r="BE612" s="719"/>
      <c r="BF612" s="719"/>
      <c r="BG612" s="719"/>
      <c r="BH612" s="719"/>
      <c r="BI612" s="719"/>
      <c r="BJ612" s="719"/>
    </row>
    <row r="613" spans="2:62" ht="15.75" customHeight="1">
      <c r="B613" s="497"/>
      <c r="C613" s="811"/>
      <c r="D613" s="811"/>
      <c r="E613" s="811"/>
      <c r="F613" s="811"/>
      <c r="G613" s="811"/>
      <c r="H613" s="811"/>
      <c r="I613" s="811"/>
      <c r="J613" s="811"/>
      <c r="K613" s="811"/>
      <c r="L613" s="811"/>
      <c r="M613" s="811"/>
      <c r="N613" s="811"/>
      <c r="O613" s="811"/>
      <c r="P613" s="811"/>
      <c r="Q613" s="811"/>
      <c r="R613" s="811"/>
      <c r="S613" s="811"/>
      <c r="T613" s="811"/>
      <c r="U613" s="811"/>
      <c r="V613" s="811"/>
      <c r="W613" s="811"/>
      <c r="X613" s="811"/>
      <c r="Y613" s="719"/>
      <c r="Z613" s="719"/>
      <c r="AA613" s="719"/>
      <c r="AB613" s="719"/>
      <c r="AC613" s="719"/>
      <c r="AD613" s="719"/>
      <c r="AE613" s="719"/>
      <c r="AF613" s="719"/>
      <c r="AG613" s="719"/>
      <c r="AH613" s="719"/>
      <c r="AI613" s="719"/>
      <c r="AJ613" s="719"/>
      <c r="AK613" s="719"/>
      <c r="AL613" s="719"/>
      <c r="AM613" s="719"/>
      <c r="AN613" s="719"/>
      <c r="AO613" s="719"/>
      <c r="AP613" s="719"/>
      <c r="AQ613" s="719"/>
      <c r="AR613" s="719"/>
      <c r="AS613" s="719"/>
      <c r="AT613" s="719"/>
      <c r="AU613" s="719"/>
      <c r="AV613" s="719"/>
      <c r="AW613" s="719"/>
      <c r="AX613" s="719"/>
      <c r="AY613" s="719"/>
      <c r="AZ613" s="719"/>
      <c r="BA613" s="719"/>
      <c r="BB613" s="719"/>
      <c r="BC613" s="719"/>
      <c r="BD613" s="719"/>
      <c r="BE613" s="719"/>
      <c r="BF613" s="719"/>
      <c r="BG613" s="719"/>
      <c r="BH613" s="719"/>
      <c r="BI613" s="719"/>
      <c r="BJ613" s="719"/>
    </row>
    <row r="614" spans="2:62" ht="15.75" customHeight="1">
      <c r="B614" s="497"/>
      <c r="C614" s="811"/>
      <c r="D614" s="811"/>
      <c r="E614" s="811"/>
      <c r="F614" s="811"/>
      <c r="G614" s="811"/>
      <c r="H614" s="811"/>
      <c r="I614" s="811"/>
      <c r="J614" s="811"/>
      <c r="K614" s="811"/>
      <c r="L614" s="811"/>
      <c r="M614" s="811"/>
      <c r="N614" s="811"/>
      <c r="O614" s="811"/>
      <c r="P614" s="811"/>
      <c r="Q614" s="811"/>
      <c r="R614" s="811"/>
      <c r="S614" s="811"/>
      <c r="T614" s="811"/>
      <c r="U614" s="811"/>
      <c r="V614" s="811"/>
      <c r="W614" s="811"/>
      <c r="X614" s="811"/>
      <c r="Y614" s="719"/>
      <c r="Z614" s="719"/>
      <c r="AA614" s="719"/>
      <c r="AB614" s="719"/>
      <c r="AC614" s="719"/>
      <c r="AD614" s="719"/>
      <c r="AE614" s="719"/>
      <c r="AF614" s="719"/>
      <c r="AG614" s="719"/>
      <c r="AH614" s="719"/>
      <c r="AI614" s="719"/>
      <c r="AJ614" s="719"/>
      <c r="AK614" s="719"/>
      <c r="AL614" s="719"/>
      <c r="AM614" s="719"/>
      <c r="AN614" s="719"/>
      <c r="AO614" s="719"/>
      <c r="AP614" s="719"/>
      <c r="AQ614" s="719"/>
      <c r="AR614" s="719"/>
      <c r="AS614" s="719"/>
      <c r="AT614" s="719"/>
      <c r="AU614" s="719"/>
      <c r="AV614" s="719"/>
      <c r="AW614" s="719"/>
      <c r="AX614" s="719"/>
      <c r="AY614" s="719"/>
      <c r="AZ614" s="719"/>
      <c r="BA614" s="719"/>
      <c r="BB614" s="719"/>
      <c r="BC614" s="719"/>
      <c r="BD614" s="719"/>
      <c r="BE614" s="719"/>
      <c r="BF614" s="719"/>
      <c r="BG614" s="719"/>
      <c r="BH614" s="719"/>
      <c r="BI614" s="719"/>
      <c r="BJ614" s="719"/>
    </row>
    <row r="615" spans="2:62" ht="15.75" customHeight="1">
      <c r="B615" s="497"/>
      <c r="C615" s="811"/>
      <c r="D615" s="811"/>
      <c r="E615" s="811"/>
      <c r="F615" s="811"/>
      <c r="G615" s="811"/>
      <c r="H615" s="811"/>
      <c r="I615" s="811"/>
      <c r="J615" s="811"/>
      <c r="K615" s="811"/>
      <c r="L615" s="811"/>
      <c r="M615" s="811"/>
      <c r="N615" s="811"/>
      <c r="O615" s="811"/>
      <c r="P615" s="811"/>
      <c r="Q615" s="811"/>
      <c r="R615" s="811"/>
      <c r="S615" s="811"/>
      <c r="T615" s="811"/>
      <c r="U615" s="811"/>
      <c r="V615" s="811"/>
      <c r="W615" s="811"/>
      <c r="X615" s="811"/>
      <c r="Y615" s="719"/>
      <c r="Z615" s="719"/>
      <c r="AA615" s="719"/>
      <c r="AB615" s="719"/>
      <c r="AC615" s="719"/>
      <c r="AD615" s="719"/>
      <c r="AE615" s="719"/>
      <c r="AF615" s="719"/>
      <c r="AG615" s="719"/>
      <c r="AH615" s="719"/>
      <c r="AI615" s="719"/>
      <c r="AJ615" s="719"/>
      <c r="AK615" s="719"/>
      <c r="AL615" s="719"/>
      <c r="AM615" s="719"/>
      <c r="AN615" s="719"/>
      <c r="AO615" s="719"/>
      <c r="AP615" s="719"/>
      <c r="AQ615" s="719"/>
      <c r="AR615" s="719"/>
      <c r="AS615" s="719"/>
      <c r="AT615" s="719"/>
      <c r="AU615" s="719"/>
      <c r="AV615" s="719"/>
      <c r="AW615" s="719"/>
      <c r="AX615" s="719"/>
      <c r="AY615" s="719"/>
      <c r="AZ615" s="719"/>
      <c r="BA615" s="719"/>
      <c r="BB615" s="719"/>
      <c r="BC615" s="719"/>
      <c r="BD615" s="719"/>
      <c r="BE615" s="719"/>
      <c r="BF615" s="719"/>
      <c r="BG615" s="719"/>
      <c r="BH615" s="719"/>
      <c r="BI615" s="719"/>
      <c r="BJ615" s="719"/>
    </row>
    <row r="616" spans="2:62" ht="15.75" customHeight="1">
      <c r="B616" s="497"/>
      <c r="C616" s="811"/>
      <c r="D616" s="811"/>
      <c r="E616" s="811"/>
      <c r="F616" s="811"/>
      <c r="G616" s="811"/>
      <c r="H616" s="811"/>
      <c r="I616" s="811"/>
      <c r="J616" s="811"/>
      <c r="K616" s="811"/>
      <c r="L616" s="811"/>
      <c r="M616" s="811"/>
      <c r="N616" s="811"/>
      <c r="O616" s="811"/>
      <c r="P616" s="811"/>
      <c r="Q616" s="811"/>
      <c r="R616" s="811"/>
      <c r="S616" s="811"/>
      <c r="T616" s="811"/>
      <c r="U616" s="811"/>
      <c r="V616" s="811"/>
      <c r="W616" s="811"/>
      <c r="X616" s="811"/>
      <c r="Y616" s="719"/>
      <c r="Z616" s="719"/>
      <c r="AA616" s="719"/>
      <c r="AB616" s="719"/>
      <c r="AC616" s="719"/>
      <c r="AD616" s="719"/>
      <c r="AE616" s="719"/>
      <c r="AF616" s="719"/>
      <c r="AG616" s="719"/>
      <c r="AH616" s="719"/>
      <c r="AI616" s="719"/>
      <c r="AJ616" s="719"/>
      <c r="AK616" s="719"/>
      <c r="AL616" s="719"/>
      <c r="AM616" s="719"/>
      <c r="AN616" s="719"/>
      <c r="AO616" s="719"/>
      <c r="AP616" s="719"/>
      <c r="AQ616" s="719"/>
      <c r="AR616" s="719"/>
      <c r="AS616" s="719"/>
      <c r="AT616" s="719"/>
      <c r="AU616" s="719"/>
      <c r="AV616" s="719"/>
      <c r="AW616" s="719"/>
      <c r="AX616" s="719"/>
      <c r="AY616" s="719"/>
      <c r="AZ616" s="719"/>
      <c r="BA616" s="719"/>
      <c r="BB616" s="719"/>
      <c r="BC616" s="719"/>
      <c r="BD616" s="719"/>
      <c r="BE616" s="719"/>
      <c r="BF616" s="719"/>
      <c r="BG616" s="719"/>
      <c r="BH616" s="719"/>
      <c r="BI616" s="719"/>
      <c r="BJ616" s="719"/>
    </row>
    <row r="617" spans="2:62" ht="15.75" customHeight="1">
      <c r="B617" s="497"/>
      <c r="C617" s="811"/>
      <c r="D617" s="811"/>
      <c r="E617" s="811"/>
      <c r="F617" s="811"/>
      <c r="G617" s="811"/>
      <c r="H617" s="811"/>
      <c r="I617" s="811"/>
      <c r="J617" s="811"/>
      <c r="K617" s="811"/>
      <c r="L617" s="811"/>
      <c r="M617" s="811"/>
      <c r="N617" s="811"/>
      <c r="O617" s="811"/>
      <c r="P617" s="811"/>
      <c r="Q617" s="811"/>
      <c r="R617" s="811"/>
      <c r="S617" s="811"/>
      <c r="T617" s="811"/>
      <c r="U617" s="811"/>
      <c r="V617" s="811"/>
      <c r="W617" s="811"/>
      <c r="X617" s="811"/>
      <c r="Y617" s="719"/>
      <c r="Z617" s="719"/>
      <c r="AA617" s="719"/>
      <c r="AB617" s="719"/>
      <c r="AC617" s="719"/>
      <c r="AD617" s="719"/>
      <c r="AE617" s="719"/>
      <c r="AF617" s="719"/>
      <c r="AG617" s="719"/>
      <c r="AH617" s="719"/>
      <c r="AI617" s="719"/>
      <c r="AJ617" s="719"/>
      <c r="AK617" s="719"/>
      <c r="AL617" s="719"/>
      <c r="AM617" s="719"/>
      <c r="AN617" s="719"/>
      <c r="AO617" s="719"/>
      <c r="AP617" s="719"/>
      <c r="AQ617" s="719"/>
      <c r="AR617" s="719"/>
      <c r="AS617" s="719"/>
      <c r="AT617" s="719"/>
      <c r="AU617" s="719"/>
      <c r="AV617" s="719"/>
      <c r="AW617" s="719"/>
      <c r="AX617" s="719"/>
      <c r="AY617" s="719"/>
      <c r="AZ617" s="719"/>
      <c r="BA617" s="719"/>
      <c r="BB617" s="719"/>
      <c r="BC617" s="719"/>
      <c r="BD617" s="719"/>
      <c r="BE617" s="719"/>
      <c r="BF617" s="719"/>
      <c r="BG617" s="719"/>
      <c r="BH617" s="719"/>
      <c r="BI617" s="719"/>
      <c r="BJ617" s="719"/>
    </row>
    <row r="618" spans="2:62" ht="15.75" customHeight="1">
      <c r="B618" s="497"/>
      <c r="C618" s="811"/>
      <c r="D618" s="811"/>
      <c r="E618" s="811"/>
      <c r="F618" s="811"/>
      <c r="G618" s="811"/>
      <c r="H618" s="811"/>
      <c r="I618" s="811"/>
      <c r="J618" s="811"/>
      <c r="K618" s="811"/>
      <c r="L618" s="811"/>
      <c r="M618" s="811"/>
      <c r="N618" s="811"/>
      <c r="O618" s="811"/>
      <c r="P618" s="811"/>
      <c r="Q618" s="811"/>
      <c r="R618" s="811"/>
      <c r="S618" s="811"/>
      <c r="T618" s="811"/>
      <c r="U618" s="811"/>
      <c r="V618" s="811"/>
      <c r="W618" s="811"/>
      <c r="X618" s="811"/>
      <c r="Y618" s="719"/>
      <c r="Z618" s="719"/>
      <c r="AA618" s="719"/>
      <c r="AB618" s="719"/>
      <c r="AC618" s="719"/>
      <c r="AD618" s="719"/>
      <c r="AE618" s="719"/>
      <c r="AF618" s="719"/>
      <c r="AG618" s="719"/>
      <c r="AH618" s="719"/>
      <c r="AI618" s="719"/>
      <c r="AJ618" s="719"/>
      <c r="AK618" s="719"/>
      <c r="AL618" s="719"/>
      <c r="AM618" s="719"/>
      <c r="AN618" s="719"/>
      <c r="AO618" s="719"/>
      <c r="AP618" s="719"/>
      <c r="AQ618" s="719"/>
      <c r="AR618" s="719"/>
      <c r="AS618" s="719"/>
      <c r="AT618" s="719"/>
      <c r="AU618" s="719"/>
      <c r="AV618" s="719"/>
      <c r="AW618" s="719"/>
      <c r="AX618" s="719"/>
      <c r="AY618" s="719"/>
      <c r="AZ618" s="719"/>
      <c r="BA618" s="719"/>
      <c r="BB618" s="719"/>
      <c r="BC618" s="719"/>
      <c r="BD618" s="719"/>
      <c r="BE618" s="719"/>
      <c r="BF618" s="719"/>
      <c r="BG618" s="719"/>
      <c r="BH618" s="719"/>
      <c r="BI618" s="719"/>
      <c r="BJ618" s="719"/>
    </row>
    <row r="619" spans="2:62" ht="15.75" customHeight="1">
      <c r="B619" s="497"/>
      <c r="C619" s="811"/>
      <c r="D619" s="811"/>
      <c r="E619" s="811"/>
      <c r="F619" s="811"/>
      <c r="G619" s="811"/>
      <c r="H619" s="811"/>
      <c r="I619" s="811"/>
      <c r="J619" s="811"/>
      <c r="K619" s="811"/>
      <c r="L619" s="811"/>
      <c r="M619" s="811"/>
      <c r="N619" s="811"/>
      <c r="O619" s="811"/>
      <c r="P619" s="811"/>
      <c r="Q619" s="811"/>
      <c r="R619" s="811"/>
      <c r="S619" s="811"/>
      <c r="T619" s="811"/>
      <c r="U619" s="811"/>
      <c r="V619" s="811"/>
      <c r="W619" s="811"/>
      <c r="X619" s="811"/>
      <c r="Y619" s="719"/>
      <c r="Z619" s="719"/>
      <c r="AA619" s="719"/>
      <c r="AB619" s="719"/>
      <c r="AC619" s="719"/>
      <c r="AD619" s="719"/>
      <c r="AE619" s="719"/>
      <c r="AF619" s="719"/>
      <c r="AG619" s="719"/>
      <c r="AH619" s="719"/>
      <c r="AI619" s="719"/>
      <c r="AJ619" s="719"/>
      <c r="AK619" s="719"/>
      <c r="AL619" s="719"/>
      <c r="AM619" s="719"/>
      <c r="AN619" s="719"/>
      <c r="AO619" s="719"/>
      <c r="AP619" s="719"/>
      <c r="AQ619" s="719"/>
      <c r="AR619" s="719"/>
      <c r="AS619" s="719"/>
      <c r="AT619" s="719"/>
      <c r="AU619" s="719"/>
      <c r="AV619" s="719"/>
      <c r="AW619" s="719"/>
      <c r="AX619" s="719"/>
      <c r="AY619" s="719"/>
      <c r="AZ619" s="719"/>
      <c r="BA619" s="719"/>
      <c r="BB619" s="719"/>
      <c r="BC619" s="719"/>
      <c r="BD619" s="719"/>
      <c r="BE619" s="719"/>
      <c r="BF619" s="719"/>
      <c r="BG619" s="719"/>
      <c r="BH619" s="719"/>
      <c r="BI619" s="719"/>
      <c r="BJ619" s="719"/>
    </row>
    <row r="620" spans="2:62" ht="15.75" customHeight="1">
      <c r="B620" s="497"/>
      <c r="C620" s="811"/>
      <c r="D620" s="811"/>
      <c r="E620" s="811"/>
      <c r="F620" s="811"/>
      <c r="G620" s="811"/>
      <c r="H620" s="811"/>
      <c r="I620" s="811"/>
      <c r="J620" s="811"/>
      <c r="K620" s="811"/>
      <c r="L620" s="811"/>
      <c r="M620" s="811"/>
      <c r="N620" s="811"/>
      <c r="O620" s="811"/>
      <c r="P620" s="811"/>
      <c r="Q620" s="811"/>
      <c r="R620" s="811"/>
      <c r="S620" s="811"/>
      <c r="T620" s="811"/>
      <c r="U620" s="811"/>
      <c r="V620" s="811"/>
      <c r="W620" s="811"/>
      <c r="X620" s="811"/>
      <c r="Y620" s="719"/>
      <c r="Z620" s="719"/>
      <c r="AA620" s="719"/>
      <c r="AB620" s="719"/>
      <c r="AC620" s="719"/>
      <c r="AD620" s="719"/>
      <c r="AE620" s="719"/>
      <c r="AF620" s="719"/>
      <c r="AG620" s="719"/>
      <c r="AH620" s="719"/>
      <c r="AI620" s="719"/>
      <c r="AJ620" s="719"/>
      <c r="AK620" s="719"/>
      <c r="AL620" s="719"/>
      <c r="AM620" s="719"/>
      <c r="AN620" s="719"/>
      <c r="AO620" s="719"/>
      <c r="AP620" s="719"/>
      <c r="AQ620" s="719"/>
      <c r="AR620" s="719"/>
      <c r="AS620" s="719"/>
      <c r="AT620" s="719"/>
      <c r="AU620" s="719"/>
      <c r="AV620" s="719"/>
      <c r="AW620" s="719"/>
      <c r="AX620" s="719"/>
      <c r="AY620" s="719"/>
      <c r="AZ620" s="719"/>
      <c r="BA620" s="719"/>
      <c r="BB620" s="719"/>
      <c r="BC620" s="719"/>
      <c r="BD620" s="719"/>
      <c r="BE620" s="719"/>
      <c r="BF620" s="719"/>
      <c r="BG620" s="719"/>
      <c r="BH620" s="719"/>
      <c r="BI620" s="719"/>
      <c r="BJ620" s="719"/>
    </row>
    <row r="621" spans="2:62" ht="15.75" customHeight="1">
      <c r="B621" s="497"/>
      <c r="C621" s="811"/>
      <c r="D621" s="811"/>
      <c r="E621" s="811"/>
      <c r="F621" s="811"/>
      <c r="G621" s="811"/>
      <c r="H621" s="811"/>
      <c r="I621" s="811"/>
      <c r="J621" s="811"/>
      <c r="K621" s="811"/>
      <c r="L621" s="811"/>
      <c r="M621" s="811"/>
      <c r="N621" s="811"/>
      <c r="O621" s="811"/>
      <c r="P621" s="811"/>
      <c r="Q621" s="811"/>
      <c r="R621" s="811"/>
      <c r="S621" s="811"/>
      <c r="T621" s="811"/>
      <c r="U621" s="811"/>
      <c r="V621" s="811"/>
      <c r="W621" s="811"/>
      <c r="X621" s="811"/>
      <c r="Y621" s="719"/>
      <c r="Z621" s="719"/>
      <c r="AA621" s="719"/>
      <c r="AB621" s="719"/>
      <c r="AC621" s="719"/>
      <c r="AD621" s="719"/>
      <c r="AE621" s="719"/>
      <c r="AF621" s="719"/>
      <c r="AG621" s="719"/>
      <c r="AH621" s="719"/>
      <c r="AI621" s="719"/>
      <c r="AJ621" s="719"/>
      <c r="AK621" s="719"/>
      <c r="AL621" s="719"/>
      <c r="AM621" s="719"/>
      <c r="AN621" s="719"/>
      <c r="AO621" s="719"/>
      <c r="AP621" s="719"/>
      <c r="AQ621" s="719"/>
      <c r="AR621" s="719"/>
      <c r="AS621" s="719"/>
      <c r="AT621" s="719"/>
      <c r="AU621" s="719"/>
      <c r="AV621" s="719"/>
      <c r="AW621" s="719"/>
      <c r="AX621" s="719"/>
      <c r="AY621" s="719"/>
      <c r="AZ621" s="719"/>
      <c r="BA621" s="719"/>
      <c r="BB621" s="719"/>
      <c r="BC621" s="719"/>
      <c r="BD621" s="719"/>
      <c r="BE621" s="719"/>
      <c r="BF621" s="719"/>
      <c r="BG621" s="719"/>
      <c r="BH621" s="719"/>
      <c r="BI621" s="719"/>
      <c r="BJ621" s="719"/>
    </row>
    <row r="622" spans="2:62" ht="15.75" customHeight="1">
      <c r="B622" s="497"/>
      <c r="C622" s="811"/>
      <c r="D622" s="811"/>
      <c r="E622" s="811"/>
      <c r="F622" s="811"/>
      <c r="G622" s="811"/>
      <c r="H622" s="811"/>
      <c r="I622" s="811"/>
      <c r="J622" s="811"/>
      <c r="K622" s="811"/>
      <c r="L622" s="811"/>
      <c r="M622" s="811"/>
      <c r="N622" s="811"/>
      <c r="O622" s="811"/>
      <c r="P622" s="811"/>
      <c r="Q622" s="811"/>
      <c r="R622" s="811"/>
      <c r="S622" s="811"/>
      <c r="T622" s="811"/>
      <c r="U622" s="811"/>
      <c r="V622" s="811"/>
      <c r="W622" s="811"/>
      <c r="X622" s="811"/>
      <c r="Y622" s="719"/>
      <c r="Z622" s="719"/>
      <c r="AA622" s="719"/>
      <c r="AB622" s="719"/>
      <c r="AC622" s="719"/>
      <c r="AD622" s="719"/>
      <c r="AE622" s="719"/>
      <c r="AF622" s="719"/>
      <c r="AG622" s="719"/>
      <c r="AH622" s="719"/>
      <c r="AI622" s="719"/>
      <c r="AJ622" s="719"/>
      <c r="AK622" s="719"/>
      <c r="AL622" s="719"/>
      <c r="AM622" s="719"/>
      <c r="AN622" s="719"/>
      <c r="AO622" s="719"/>
      <c r="AP622" s="719"/>
      <c r="AQ622" s="719"/>
      <c r="AR622" s="719"/>
      <c r="AS622" s="719"/>
      <c r="AT622" s="719"/>
      <c r="AU622" s="719"/>
      <c r="AV622" s="719"/>
      <c r="AW622" s="719"/>
      <c r="AX622" s="719"/>
      <c r="AY622" s="719"/>
      <c r="AZ622" s="719"/>
      <c r="BA622" s="719"/>
      <c r="BB622" s="719"/>
      <c r="BC622" s="719"/>
      <c r="BD622" s="719"/>
      <c r="BE622" s="719"/>
      <c r="BF622" s="719"/>
      <c r="BG622" s="719"/>
      <c r="BH622" s="719"/>
      <c r="BI622" s="719"/>
      <c r="BJ622" s="719"/>
    </row>
    <row r="623" spans="2:62" ht="15.75" customHeight="1">
      <c r="B623" s="497"/>
      <c r="C623" s="811"/>
      <c r="D623" s="811"/>
      <c r="E623" s="811"/>
      <c r="F623" s="811"/>
      <c r="G623" s="811"/>
      <c r="H623" s="811"/>
      <c r="I623" s="811"/>
      <c r="J623" s="811"/>
      <c r="K623" s="811"/>
      <c r="L623" s="811"/>
      <c r="M623" s="811"/>
      <c r="N623" s="811"/>
      <c r="O623" s="811"/>
      <c r="P623" s="811"/>
      <c r="Q623" s="811"/>
      <c r="R623" s="811"/>
      <c r="S623" s="811"/>
      <c r="T623" s="811"/>
      <c r="U623" s="811"/>
      <c r="V623" s="811"/>
      <c r="W623" s="811"/>
      <c r="X623" s="811"/>
      <c r="Y623" s="719"/>
      <c r="Z623" s="719"/>
      <c r="AA623" s="719"/>
      <c r="AB623" s="719"/>
      <c r="AC623" s="719"/>
      <c r="AD623" s="719"/>
      <c r="AE623" s="719"/>
      <c r="AF623" s="719"/>
      <c r="AG623" s="719"/>
      <c r="AH623" s="719"/>
      <c r="AI623" s="719"/>
      <c r="AJ623" s="719"/>
      <c r="AK623" s="719"/>
      <c r="AL623" s="719"/>
      <c r="AM623" s="719"/>
      <c r="AN623" s="719"/>
      <c r="AO623" s="719"/>
      <c r="AP623" s="719"/>
      <c r="AQ623" s="719"/>
      <c r="AR623" s="719"/>
      <c r="AS623" s="719"/>
      <c r="AT623" s="719"/>
      <c r="AU623" s="719"/>
      <c r="AV623" s="719"/>
      <c r="AW623" s="719"/>
      <c r="AX623" s="719"/>
      <c r="AY623" s="719"/>
      <c r="AZ623" s="719"/>
      <c r="BA623" s="719"/>
      <c r="BB623" s="719"/>
      <c r="BC623" s="719"/>
      <c r="BD623" s="719"/>
      <c r="BE623" s="719"/>
      <c r="BF623" s="719"/>
      <c r="BG623" s="719"/>
      <c r="BH623" s="719"/>
      <c r="BI623" s="719"/>
      <c r="BJ623" s="719"/>
    </row>
    <row r="624" spans="2:62" ht="15.75" customHeight="1">
      <c r="B624" s="497"/>
      <c r="C624" s="811"/>
      <c r="D624" s="811"/>
      <c r="E624" s="811"/>
      <c r="F624" s="811"/>
      <c r="G624" s="811"/>
      <c r="H624" s="811"/>
      <c r="I624" s="811"/>
      <c r="J624" s="811"/>
      <c r="K624" s="811"/>
      <c r="L624" s="811"/>
      <c r="M624" s="811"/>
      <c r="N624" s="811"/>
      <c r="O624" s="811"/>
      <c r="P624" s="811"/>
      <c r="Q624" s="811"/>
      <c r="R624" s="811"/>
      <c r="S624" s="811"/>
      <c r="T624" s="811"/>
      <c r="U624" s="811"/>
      <c r="V624" s="811"/>
      <c r="W624" s="811"/>
      <c r="X624" s="811"/>
      <c r="Y624" s="719"/>
      <c r="Z624" s="719"/>
      <c r="AA624" s="719"/>
      <c r="AB624" s="719"/>
      <c r="AC624" s="719"/>
      <c r="AD624" s="719"/>
      <c r="AE624" s="719"/>
      <c r="AF624" s="719"/>
      <c r="AG624" s="719"/>
      <c r="AH624" s="719"/>
      <c r="AI624" s="719"/>
      <c r="AJ624" s="719"/>
      <c r="AK624" s="719"/>
      <c r="AL624" s="719"/>
      <c r="AM624" s="719"/>
      <c r="AN624" s="719"/>
      <c r="AO624" s="719"/>
      <c r="AP624" s="719"/>
      <c r="AQ624" s="719"/>
      <c r="AR624" s="719"/>
      <c r="AS624" s="719"/>
      <c r="AT624" s="719"/>
      <c r="AU624" s="719"/>
      <c r="AV624" s="719"/>
      <c r="AW624" s="719"/>
      <c r="AX624" s="719"/>
      <c r="AY624" s="719"/>
      <c r="AZ624" s="719"/>
      <c r="BA624" s="719"/>
      <c r="BB624" s="719"/>
      <c r="BC624" s="719"/>
      <c r="BD624" s="719"/>
      <c r="BE624" s="719"/>
      <c r="BF624" s="719"/>
      <c r="BG624" s="719"/>
      <c r="BH624" s="719"/>
      <c r="BI624" s="719"/>
      <c r="BJ624" s="719"/>
    </row>
    <row r="625" spans="2:62" ht="15.75" customHeight="1">
      <c r="B625" s="497"/>
      <c r="C625" s="811"/>
      <c r="D625" s="811"/>
      <c r="E625" s="811"/>
      <c r="F625" s="811"/>
      <c r="G625" s="811"/>
      <c r="H625" s="811"/>
      <c r="I625" s="811"/>
      <c r="J625" s="811"/>
      <c r="K625" s="811"/>
      <c r="L625" s="811"/>
      <c r="M625" s="811"/>
      <c r="N625" s="811"/>
      <c r="O625" s="811"/>
      <c r="P625" s="811"/>
      <c r="Q625" s="811"/>
      <c r="R625" s="811"/>
      <c r="S625" s="811"/>
      <c r="T625" s="811"/>
      <c r="U625" s="811"/>
      <c r="V625" s="811"/>
      <c r="W625" s="811"/>
      <c r="X625" s="811"/>
      <c r="Y625" s="719"/>
      <c r="Z625" s="719"/>
      <c r="AA625" s="719"/>
      <c r="AB625" s="719"/>
      <c r="AC625" s="719"/>
      <c r="AD625" s="719"/>
      <c r="AE625" s="719"/>
      <c r="AF625" s="719"/>
      <c r="AG625" s="719"/>
      <c r="AH625" s="719"/>
      <c r="AI625" s="719"/>
      <c r="AJ625" s="719"/>
      <c r="AK625" s="719"/>
      <c r="AL625" s="719"/>
      <c r="AM625" s="719"/>
      <c r="AN625" s="719"/>
      <c r="AO625" s="719"/>
      <c r="AP625" s="719"/>
      <c r="AQ625" s="719"/>
      <c r="AR625" s="719"/>
      <c r="AS625" s="719"/>
      <c r="AT625" s="719"/>
      <c r="AU625" s="719"/>
      <c r="AV625" s="719"/>
      <c r="AW625" s="719"/>
      <c r="AX625" s="719"/>
      <c r="AY625" s="719"/>
      <c r="AZ625" s="719"/>
      <c r="BA625" s="719"/>
      <c r="BB625" s="719"/>
      <c r="BC625" s="719"/>
      <c r="BD625" s="719"/>
      <c r="BE625" s="719"/>
      <c r="BF625" s="719"/>
      <c r="BG625" s="719"/>
      <c r="BH625" s="719"/>
      <c r="BI625" s="719"/>
      <c r="BJ625" s="719"/>
    </row>
    <row r="626" spans="2:62" ht="15.75" customHeight="1">
      <c r="B626" s="497"/>
      <c r="C626" s="811"/>
      <c r="D626" s="811"/>
      <c r="E626" s="811"/>
      <c r="F626" s="811"/>
      <c r="G626" s="811"/>
      <c r="H626" s="811"/>
      <c r="I626" s="811"/>
      <c r="J626" s="811"/>
      <c r="K626" s="811"/>
      <c r="L626" s="811"/>
      <c r="M626" s="811"/>
      <c r="N626" s="811"/>
      <c r="O626" s="811"/>
      <c r="P626" s="811"/>
      <c r="Q626" s="811"/>
      <c r="R626" s="811"/>
      <c r="S626" s="811"/>
      <c r="T626" s="811"/>
      <c r="U626" s="811"/>
      <c r="V626" s="811"/>
      <c r="W626" s="811"/>
      <c r="X626" s="811"/>
      <c r="Y626" s="719"/>
      <c r="Z626" s="719"/>
      <c r="AA626" s="719"/>
      <c r="AB626" s="719"/>
      <c r="AC626" s="719"/>
      <c r="AD626" s="719"/>
      <c r="AE626" s="719"/>
      <c r="AF626" s="719"/>
      <c r="AG626" s="719"/>
      <c r="AH626" s="719"/>
      <c r="AI626" s="719"/>
      <c r="AJ626" s="719"/>
      <c r="AK626" s="719"/>
      <c r="AL626" s="719"/>
      <c r="AM626" s="719"/>
      <c r="AN626" s="719"/>
      <c r="AO626" s="719"/>
      <c r="AP626" s="719"/>
      <c r="AQ626" s="719"/>
      <c r="AR626" s="719"/>
      <c r="AS626" s="719"/>
      <c r="AT626" s="719"/>
      <c r="AU626" s="719"/>
      <c r="AV626" s="719"/>
      <c r="AW626" s="719"/>
      <c r="AX626" s="719"/>
      <c r="AY626" s="719"/>
      <c r="AZ626" s="719"/>
      <c r="BA626" s="719"/>
      <c r="BB626" s="719"/>
      <c r="BC626" s="719"/>
      <c r="BD626" s="719"/>
      <c r="BE626" s="719"/>
      <c r="BF626" s="719"/>
      <c r="BG626" s="719"/>
      <c r="BH626" s="719"/>
      <c r="BI626" s="719"/>
      <c r="BJ626" s="719"/>
    </row>
    <row r="627" spans="2:62" ht="15.75" customHeight="1">
      <c r="B627" s="497"/>
      <c r="C627" s="811"/>
      <c r="D627" s="811"/>
      <c r="E627" s="811"/>
      <c r="F627" s="811"/>
      <c r="G627" s="811"/>
      <c r="H627" s="811"/>
      <c r="I627" s="811"/>
      <c r="J627" s="811"/>
      <c r="K627" s="811"/>
      <c r="L627" s="811"/>
      <c r="M627" s="811"/>
      <c r="N627" s="811"/>
      <c r="O627" s="811"/>
      <c r="P627" s="811"/>
      <c r="Q627" s="811"/>
      <c r="R627" s="811"/>
      <c r="S627" s="811"/>
      <c r="T627" s="811"/>
      <c r="U627" s="811"/>
      <c r="V627" s="811"/>
      <c r="W627" s="811"/>
      <c r="X627" s="811"/>
      <c r="Y627" s="719"/>
      <c r="Z627" s="719"/>
      <c r="AA627" s="719"/>
      <c r="AB627" s="719"/>
      <c r="AC627" s="719"/>
      <c r="AD627" s="719"/>
      <c r="AE627" s="719"/>
      <c r="AF627" s="719"/>
      <c r="AG627" s="719"/>
      <c r="AH627" s="719"/>
      <c r="AI627" s="719"/>
      <c r="AJ627" s="719"/>
      <c r="AK627" s="719"/>
      <c r="AL627" s="719"/>
      <c r="AM627" s="719"/>
      <c r="AN627" s="719"/>
      <c r="AO627" s="719"/>
      <c r="AP627" s="719"/>
      <c r="AQ627" s="719"/>
      <c r="AR627" s="719"/>
      <c r="AS627" s="719"/>
      <c r="AT627" s="719"/>
      <c r="AU627" s="719"/>
      <c r="AV627" s="719"/>
      <c r="AW627" s="719"/>
      <c r="AX627" s="719"/>
      <c r="AY627" s="719"/>
      <c r="AZ627" s="719"/>
      <c r="BA627" s="719"/>
      <c r="BB627" s="719"/>
      <c r="BC627" s="719"/>
      <c r="BD627" s="719"/>
      <c r="BE627" s="719"/>
      <c r="BF627" s="719"/>
      <c r="BG627" s="719"/>
      <c r="BH627" s="719"/>
      <c r="BI627" s="719"/>
      <c r="BJ627" s="719"/>
    </row>
    <row r="628" spans="2:62" ht="15.75" customHeight="1">
      <c r="B628" s="497"/>
      <c r="C628" s="811"/>
      <c r="D628" s="811"/>
      <c r="E628" s="811"/>
      <c r="F628" s="811"/>
      <c r="G628" s="811"/>
      <c r="H628" s="811"/>
      <c r="I628" s="811"/>
      <c r="J628" s="811"/>
      <c r="K628" s="811"/>
      <c r="L628" s="811"/>
      <c r="M628" s="811"/>
      <c r="N628" s="811"/>
      <c r="O628" s="811"/>
      <c r="P628" s="811"/>
      <c r="Q628" s="811"/>
      <c r="R628" s="811"/>
      <c r="S628" s="811"/>
      <c r="T628" s="811"/>
      <c r="U628" s="811"/>
      <c r="V628" s="811"/>
      <c r="W628" s="811"/>
      <c r="X628" s="811"/>
      <c r="Y628" s="719"/>
      <c r="Z628" s="719"/>
      <c r="AA628" s="719"/>
      <c r="AB628" s="719"/>
      <c r="AC628" s="719"/>
      <c r="AD628" s="719"/>
      <c r="AE628" s="719"/>
      <c r="AF628" s="719"/>
      <c r="AG628" s="719"/>
      <c r="AH628" s="719"/>
      <c r="AI628" s="719"/>
      <c r="AJ628" s="719"/>
      <c r="AK628" s="719"/>
      <c r="AL628" s="719"/>
      <c r="AM628" s="719"/>
      <c r="AN628" s="719"/>
      <c r="AO628" s="719"/>
      <c r="AP628" s="719"/>
      <c r="AQ628" s="719"/>
      <c r="AR628" s="719"/>
      <c r="AS628" s="719"/>
      <c r="AT628" s="719"/>
      <c r="AU628" s="719"/>
      <c r="AV628" s="719"/>
      <c r="AW628" s="719"/>
      <c r="AX628" s="719"/>
      <c r="AY628" s="719"/>
      <c r="AZ628" s="719"/>
      <c r="BA628" s="719"/>
      <c r="BB628" s="719"/>
      <c r="BC628" s="719"/>
      <c r="BD628" s="719"/>
      <c r="BE628" s="719"/>
      <c r="BF628" s="719"/>
      <c r="BG628" s="719"/>
      <c r="BH628" s="719"/>
      <c r="BI628" s="719"/>
      <c r="BJ628" s="719"/>
    </row>
    <row r="629" spans="2:62" ht="15.75" customHeight="1">
      <c r="B629" s="497"/>
      <c r="C629" s="811"/>
      <c r="D629" s="811"/>
      <c r="E629" s="811"/>
      <c r="F629" s="811"/>
      <c r="G629" s="811"/>
      <c r="H629" s="811"/>
      <c r="I629" s="811"/>
      <c r="J629" s="811"/>
      <c r="K629" s="811"/>
      <c r="L629" s="811"/>
      <c r="M629" s="811"/>
      <c r="N629" s="811"/>
      <c r="O629" s="811"/>
      <c r="P629" s="811"/>
      <c r="Q629" s="811"/>
      <c r="R629" s="811"/>
      <c r="S629" s="811"/>
      <c r="T629" s="811"/>
      <c r="U629" s="811"/>
      <c r="V629" s="811"/>
      <c r="W629" s="811"/>
      <c r="X629" s="811"/>
      <c r="Y629" s="719"/>
      <c r="Z629" s="719"/>
      <c r="AA629" s="719"/>
      <c r="AB629" s="719"/>
      <c r="AC629" s="719"/>
      <c r="AD629" s="719"/>
      <c r="AE629" s="719"/>
      <c r="AF629" s="719"/>
      <c r="AG629" s="719"/>
      <c r="AH629" s="719"/>
      <c r="AI629" s="719"/>
      <c r="AJ629" s="719"/>
      <c r="AK629" s="719"/>
      <c r="AL629" s="719"/>
      <c r="AM629" s="719"/>
      <c r="AN629" s="719"/>
      <c r="AO629" s="719"/>
      <c r="AP629" s="719"/>
      <c r="AQ629" s="719"/>
      <c r="AR629" s="719"/>
      <c r="AS629" s="719"/>
      <c r="AT629" s="719"/>
      <c r="AU629" s="719"/>
      <c r="AV629" s="719"/>
      <c r="AW629" s="719"/>
      <c r="AX629" s="719"/>
      <c r="AY629" s="719"/>
      <c r="AZ629" s="719"/>
      <c r="BA629" s="719"/>
      <c r="BB629" s="719"/>
      <c r="BC629" s="719"/>
      <c r="BD629" s="719"/>
      <c r="BE629" s="719"/>
      <c r="BF629" s="719"/>
      <c r="BG629" s="719"/>
      <c r="BH629" s="719"/>
      <c r="BI629" s="719"/>
      <c r="BJ629" s="719"/>
    </row>
    <row r="630" spans="2:62" ht="15.75" customHeight="1">
      <c r="B630" s="497"/>
      <c r="C630" s="811"/>
      <c r="D630" s="811"/>
      <c r="E630" s="811"/>
      <c r="F630" s="811"/>
      <c r="G630" s="811"/>
      <c r="H630" s="811"/>
      <c r="I630" s="811"/>
      <c r="J630" s="811"/>
      <c r="K630" s="811"/>
      <c r="L630" s="811"/>
      <c r="M630" s="811"/>
      <c r="N630" s="811"/>
      <c r="O630" s="811"/>
      <c r="P630" s="811"/>
      <c r="Q630" s="811"/>
      <c r="R630" s="811"/>
      <c r="S630" s="811"/>
      <c r="T630" s="811"/>
      <c r="U630" s="811"/>
      <c r="V630" s="811"/>
      <c r="W630" s="811"/>
      <c r="X630" s="811"/>
      <c r="Y630" s="719"/>
      <c r="Z630" s="719"/>
      <c r="AA630" s="719"/>
      <c r="AB630" s="719"/>
      <c r="AC630" s="719"/>
      <c r="AD630" s="719"/>
      <c r="AE630" s="719"/>
      <c r="AF630" s="719"/>
      <c r="AG630" s="719"/>
      <c r="AH630" s="719"/>
      <c r="AI630" s="719"/>
      <c r="AJ630" s="719"/>
      <c r="AK630" s="719"/>
      <c r="AL630" s="719"/>
      <c r="AM630" s="719"/>
      <c r="AN630" s="719"/>
      <c r="AO630" s="719"/>
      <c r="AP630" s="719"/>
      <c r="AQ630" s="719"/>
      <c r="AR630" s="719"/>
      <c r="AS630" s="719"/>
      <c r="AT630" s="719"/>
      <c r="AU630" s="719"/>
      <c r="AV630" s="719"/>
      <c r="AW630" s="719"/>
      <c r="AX630" s="719"/>
      <c r="AY630" s="719"/>
      <c r="AZ630" s="719"/>
      <c r="BA630" s="719"/>
      <c r="BB630" s="719"/>
      <c r="BC630" s="719"/>
      <c r="BD630" s="719"/>
      <c r="BE630" s="719"/>
      <c r="BF630" s="719"/>
      <c r="BG630" s="719"/>
      <c r="BH630" s="719"/>
      <c r="BI630" s="719"/>
      <c r="BJ630" s="719"/>
    </row>
    <row r="631" spans="2:62" ht="15.75" customHeight="1">
      <c r="B631" s="497"/>
      <c r="C631" s="811"/>
      <c r="D631" s="811"/>
      <c r="E631" s="811"/>
      <c r="F631" s="811"/>
      <c r="G631" s="811"/>
      <c r="H631" s="811"/>
      <c r="I631" s="811"/>
      <c r="J631" s="811"/>
      <c r="K631" s="811"/>
      <c r="L631" s="811"/>
      <c r="M631" s="811"/>
      <c r="N631" s="811"/>
      <c r="O631" s="811"/>
      <c r="P631" s="811"/>
      <c r="Q631" s="811"/>
      <c r="R631" s="811"/>
      <c r="S631" s="811"/>
      <c r="T631" s="811"/>
      <c r="U631" s="811"/>
      <c r="V631" s="811"/>
      <c r="W631" s="811"/>
      <c r="X631" s="811"/>
      <c r="Y631" s="719"/>
      <c r="Z631" s="719"/>
      <c r="AA631" s="719"/>
      <c r="AB631" s="719"/>
      <c r="AC631" s="719"/>
      <c r="AD631" s="719"/>
      <c r="AE631" s="719"/>
      <c r="AF631" s="719"/>
      <c r="AG631" s="719"/>
      <c r="AH631" s="719"/>
      <c r="AI631" s="719"/>
      <c r="AJ631" s="719"/>
      <c r="AK631" s="719"/>
      <c r="AL631" s="719"/>
      <c r="AM631" s="719"/>
      <c r="AN631" s="719"/>
      <c r="AO631" s="719"/>
      <c r="AP631" s="719"/>
      <c r="AQ631" s="719"/>
      <c r="AR631" s="719"/>
      <c r="AS631" s="719"/>
      <c r="AT631" s="719"/>
      <c r="AU631" s="719"/>
      <c r="AV631" s="719"/>
      <c r="AW631" s="719"/>
      <c r="AX631" s="719"/>
      <c r="AY631" s="719"/>
      <c r="AZ631" s="719"/>
      <c r="BA631" s="719"/>
      <c r="BB631" s="719"/>
      <c r="BC631" s="719"/>
      <c r="BD631" s="719"/>
      <c r="BE631" s="719"/>
      <c r="BF631" s="719"/>
      <c r="BG631" s="719"/>
      <c r="BH631" s="719"/>
      <c r="BI631" s="719"/>
      <c r="BJ631" s="719"/>
    </row>
    <row r="632" spans="2:62" ht="15.75" customHeight="1">
      <c r="B632" s="497"/>
      <c r="C632" s="811"/>
      <c r="D632" s="811"/>
      <c r="E632" s="811"/>
      <c r="F632" s="811"/>
      <c r="G632" s="811"/>
      <c r="H632" s="811"/>
      <c r="I632" s="811"/>
      <c r="J632" s="811"/>
      <c r="K632" s="811"/>
      <c r="L632" s="811"/>
      <c r="M632" s="811"/>
      <c r="N632" s="811"/>
      <c r="O632" s="811"/>
      <c r="P632" s="811"/>
      <c r="Q632" s="811"/>
      <c r="R632" s="811"/>
      <c r="S632" s="811"/>
      <c r="T632" s="811"/>
      <c r="U632" s="811"/>
      <c r="V632" s="811"/>
      <c r="W632" s="811"/>
      <c r="X632" s="811"/>
      <c r="Y632" s="719"/>
      <c r="Z632" s="719"/>
      <c r="AA632" s="719"/>
      <c r="AB632" s="719"/>
      <c r="AC632" s="719"/>
      <c r="AD632" s="719"/>
      <c r="AE632" s="719"/>
      <c r="AF632" s="719"/>
      <c r="AG632" s="719"/>
      <c r="AH632" s="719"/>
      <c r="AI632" s="719"/>
      <c r="AJ632" s="719"/>
      <c r="AK632" s="719"/>
      <c r="AL632" s="719"/>
      <c r="AM632" s="719"/>
      <c r="AN632" s="719"/>
      <c r="AO632" s="719"/>
      <c r="AP632" s="719"/>
      <c r="AQ632" s="719"/>
      <c r="AR632" s="719"/>
      <c r="AS632" s="719"/>
      <c r="AT632" s="719"/>
      <c r="AU632" s="719"/>
      <c r="AV632" s="719"/>
      <c r="AW632" s="719"/>
      <c r="AX632" s="719"/>
      <c r="AY632" s="719"/>
      <c r="AZ632" s="719"/>
      <c r="BA632" s="719"/>
      <c r="BB632" s="719"/>
      <c r="BC632" s="719"/>
      <c r="BD632" s="719"/>
      <c r="BE632" s="719"/>
      <c r="BF632" s="719"/>
      <c r="BG632" s="719"/>
      <c r="BH632" s="719"/>
      <c r="BI632" s="719"/>
      <c r="BJ632" s="719"/>
    </row>
    <row r="633" spans="2:62" ht="15.75" customHeight="1">
      <c r="B633" s="497"/>
      <c r="C633" s="811"/>
      <c r="D633" s="811"/>
      <c r="E633" s="811"/>
      <c r="F633" s="811"/>
      <c r="G633" s="811"/>
      <c r="H633" s="811"/>
      <c r="I633" s="811"/>
      <c r="J633" s="811"/>
      <c r="K633" s="811"/>
      <c r="L633" s="811"/>
      <c r="M633" s="811"/>
      <c r="N633" s="811"/>
      <c r="O633" s="811"/>
      <c r="P633" s="811"/>
      <c r="Q633" s="811"/>
      <c r="R633" s="811"/>
      <c r="S633" s="811"/>
      <c r="T633" s="811"/>
      <c r="U633" s="811"/>
      <c r="V633" s="811"/>
      <c r="W633" s="811"/>
      <c r="X633" s="811"/>
      <c r="Y633" s="719"/>
      <c r="Z633" s="719"/>
      <c r="AA633" s="719"/>
      <c r="AB633" s="719"/>
      <c r="AC633" s="719"/>
      <c r="AD633" s="719"/>
      <c r="AE633" s="719"/>
      <c r="AF633" s="719"/>
      <c r="AG633" s="719"/>
      <c r="AH633" s="719"/>
      <c r="AI633" s="719"/>
      <c r="AJ633" s="719"/>
      <c r="AK633" s="719"/>
      <c r="AL633" s="719"/>
      <c r="AM633" s="719"/>
      <c r="AN633" s="719"/>
      <c r="AO633" s="719"/>
      <c r="AP633" s="719"/>
      <c r="AQ633" s="719"/>
      <c r="AR633" s="719"/>
      <c r="AS633" s="719"/>
      <c r="AT633" s="719"/>
      <c r="AU633" s="719"/>
      <c r="AV633" s="719"/>
      <c r="AW633" s="719"/>
      <c r="AX633" s="719"/>
      <c r="AY633" s="719"/>
      <c r="AZ633" s="719"/>
      <c r="BA633" s="719"/>
      <c r="BB633" s="719"/>
      <c r="BC633" s="719"/>
      <c r="BD633" s="719"/>
      <c r="BE633" s="719"/>
      <c r="BF633" s="719"/>
      <c r="BG633" s="719"/>
      <c r="BH633" s="719"/>
      <c r="BI633" s="719"/>
      <c r="BJ633" s="719"/>
    </row>
    <row r="634" spans="2:62" ht="15.75" customHeight="1">
      <c r="B634" s="497"/>
      <c r="C634" s="811"/>
      <c r="D634" s="811"/>
      <c r="E634" s="811"/>
      <c r="F634" s="811"/>
      <c r="G634" s="811"/>
      <c r="H634" s="811"/>
      <c r="I634" s="811"/>
      <c r="J634" s="811"/>
      <c r="K634" s="811"/>
      <c r="L634" s="811"/>
      <c r="M634" s="811"/>
      <c r="N634" s="811"/>
      <c r="O634" s="811"/>
      <c r="P634" s="811"/>
      <c r="Q634" s="811"/>
      <c r="R634" s="811"/>
      <c r="S634" s="811"/>
      <c r="T634" s="811"/>
      <c r="U634" s="811"/>
      <c r="V634" s="811"/>
      <c r="W634" s="811"/>
      <c r="X634" s="811"/>
      <c r="Y634" s="719"/>
      <c r="Z634" s="719"/>
      <c r="AA634" s="719"/>
      <c r="AB634" s="719"/>
      <c r="AC634" s="719"/>
      <c r="AD634" s="719"/>
      <c r="AE634" s="719"/>
      <c r="AF634" s="719"/>
      <c r="AG634" s="719"/>
      <c r="AH634" s="719"/>
      <c r="AI634" s="719"/>
      <c r="AJ634" s="719"/>
      <c r="AK634" s="719"/>
      <c r="AL634" s="719"/>
      <c r="AM634" s="719"/>
      <c r="AN634" s="719"/>
      <c r="AO634" s="719"/>
      <c r="AP634" s="719"/>
      <c r="AQ634" s="719"/>
      <c r="AR634" s="719"/>
      <c r="AS634" s="719"/>
      <c r="AT634" s="719"/>
      <c r="AU634" s="719"/>
      <c r="AV634" s="719"/>
      <c r="AW634" s="719"/>
      <c r="AX634" s="719"/>
      <c r="AY634" s="719"/>
      <c r="AZ634" s="719"/>
      <c r="BA634" s="719"/>
      <c r="BB634" s="719"/>
      <c r="BC634" s="719"/>
      <c r="BD634" s="719"/>
      <c r="BE634" s="719"/>
      <c r="BF634" s="719"/>
      <c r="BG634" s="719"/>
      <c r="BH634" s="719"/>
      <c r="BI634" s="719"/>
      <c r="BJ634" s="719"/>
    </row>
    <row r="635" spans="2:62" ht="15.75" customHeight="1">
      <c r="B635" s="497"/>
      <c r="C635" s="811"/>
      <c r="D635" s="811"/>
      <c r="E635" s="811"/>
      <c r="F635" s="811"/>
      <c r="G635" s="811"/>
      <c r="H635" s="811"/>
      <c r="I635" s="811"/>
      <c r="J635" s="811"/>
      <c r="K635" s="811"/>
      <c r="L635" s="811"/>
      <c r="M635" s="811"/>
      <c r="N635" s="811"/>
      <c r="O635" s="811"/>
      <c r="P635" s="811"/>
      <c r="Q635" s="811"/>
      <c r="R635" s="811"/>
      <c r="S635" s="811"/>
      <c r="T635" s="811"/>
      <c r="U635" s="811"/>
      <c r="V635" s="811"/>
      <c r="W635" s="811"/>
      <c r="X635" s="811"/>
      <c r="Y635" s="719"/>
      <c r="Z635" s="719"/>
      <c r="AA635" s="719"/>
      <c r="AB635" s="719"/>
      <c r="AC635" s="719"/>
      <c r="AD635" s="719"/>
      <c r="AE635" s="719"/>
      <c r="AF635" s="719"/>
      <c r="AG635" s="719"/>
      <c r="AH635" s="719"/>
      <c r="AI635" s="719"/>
      <c r="AJ635" s="719"/>
      <c r="AK635" s="719"/>
      <c r="AL635" s="719"/>
      <c r="AM635" s="719"/>
      <c r="AN635" s="719"/>
      <c r="AO635" s="719"/>
      <c r="AP635" s="719"/>
      <c r="AQ635" s="719"/>
      <c r="AR635" s="719"/>
      <c r="AS635" s="719"/>
      <c r="AT635" s="719"/>
      <c r="AU635" s="719"/>
      <c r="AV635" s="719"/>
      <c r="AW635" s="719"/>
      <c r="AX635" s="719"/>
      <c r="AY635" s="719"/>
      <c r="AZ635" s="719"/>
      <c r="BA635" s="719"/>
      <c r="BB635" s="719"/>
      <c r="BC635" s="719"/>
      <c r="BD635" s="719"/>
      <c r="BE635" s="719"/>
      <c r="BF635" s="719"/>
      <c r="BG635" s="719"/>
      <c r="BH635" s="719"/>
      <c r="BI635" s="719"/>
      <c r="BJ635" s="719"/>
    </row>
    <row r="636" spans="2:62" ht="15.75" customHeight="1">
      <c r="B636" s="497"/>
      <c r="C636" s="811"/>
      <c r="D636" s="811"/>
      <c r="E636" s="811"/>
      <c r="F636" s="811"/>
      <c r="G636" s="811"/>
      <c r="H636" s="811"/>
      <c r="I636" s="811"/>
      <c r="J636" s="811"/>
      <c r="K636" s="811"/>
      <c r="L636" s="811"/>
      <c r="M636" s="811"/>
      <c r="N636" s="811"/>
      <c r="O636" s="811"/>
      <c r="P636" s="811"/>
      <c r="Q636" s="811"/>
      <c r="R636" s="811"/>
      <c r="S636" s="811"/>
      <c r="T636" s="811"/>
      <c r="U636" s="811"/>
      <c r="V636" s="811"/>
      <c r="W636" s="811"/>
      <c r="X636" s="811"/>
      <c r="Y636" s="719"/>
      <c r="Z636" s="719"/>
      <c r="AA636" s="719"/>
      <c r="AB636" s="719"/>
      <c r="AC636" s="719"/>
      <c r="AD636" s="719"/>
      <c r="AE636" s="719"/>
      <c r="AF636" s="719"/>
      <c r="AG636" s="719"/>
      <c r="AH636" s="719"/>
      <c r="AI636" s="719"/>
      <c r="AJ636" s="719"/>
      <c r="AK636" s="719"/>
      <c r="AL636" s="719"/>
      <c r="AM636" s="719"/>
      <c r="AN636" s="719"/>
      <c r="AO636" s="719"/>
      <c r="AP636" s="719"/>
      <c r="AQ636" s="719"/>
      <c r="AR636" s="719"/>
      <c r="AS636" s="719"/>
      <c r="AT636" s="719"/>
      <c r="AU636" s="719"/>
      <c r="AV636" s="719"/>
      <c r="AW636" s="719"/>
      <c r="AX636" s="719"/>
      <c r="AY636" s="719"/>
      <c r="AZ636" s="719"/>
      <c r="BA636" s="719"/>
      <c r="BB636" s="719"/>
      <c r="BC636" s="719"/>
      <c r="BD636" s="719"/>
      <c r="BE636" s="719"/>
      <c r="BF636" s="719"/>
      <c r="BG636" s="719"/>
      <c r="BH636" s="719"/>
      <c r="BI636" s="719"/>
      <c r="BJ636" s="719"/>
    </row>
    <row r="637" spans="2:62" ht="15.75" customHeight="1">
      <c r="B637" s="497"/>
      <c r="C637" s="811"/>
      <c r="D637" s="811"/>
      <c r="E637" s="811"/>
      <c r="F637" s="811"/>
      <c r="G637" s="811"/>
      <c r="H637" s="811"/>
      <c r="I637" s="811"/>
      <c r="J637" s="811"/>
      <c r="K637" s="811"/>
      <c r="L637" s="811"/>
      <c r="M637" s="811"/>
      <c r="N637" s="811"/>
      <c r="O637" s="811"/>
      <c r="P637" s="811"/>
      <c r="Q637" s="811"/>
      <c r="R637" s="811"/>
      <c r="S637" s="811"/>
      <c r="T637" s="811"/>
      <c r="U637" s="811"/>
      <c r="V637" s="811"/>
      <c r="W637" s="811"/>
      <c r="X637" s="811"/>
      <c r="Y637" s="719"/>
      <c r="Z637" s="719"/>
      <c r="AA637" s="719"/>
      <c r="AB637" s="719"/>
      <c r="AC637" s="719"/>
      <c r="AD637" s="719"/>
      <c r="AE637" s="719"/>
      <c r="AF637" s="719"/>
      <c r="AG637" s="719"/>
      <c r="AH637" s="719"/>
      <c r="AI637" s="719"/>
      <c r="AJ637" s="719"/>
      <c r="AK637" s="719"/>
      <c r="AL637" s="719"/>
      <c r="AM637" s="719"/>
      <c r="AN637" s="719"/>
      <c r="AO637" s="719"/>
      <c r="AP637" s="719"/>
      <c r="AQ637" s="719"/>
      <c r="AR637" s="719"/>
      <c r="AS637" s="719"/>
      <c r="AT637" s="719"/>
      <c r="AU637" s="719"/>
      <c r="AV637" s="719"/>
      <c r="AW637" s="719"/>
      <c r="AX637" s="719"/>
      <c r="AY637" s="719"/>
      <c r="AZ637" s="719"/>
      <c r="BA637" s="719"/>
      <c r="BB637" s="719"/>
      <c r="BC637" s="719"/>
      <c r="BD637" s="719"/>
      <c r="BE637" s="719"/>
      <c r="BF637" s="719"/>
      <c r="BG637" s="719"/>
      <c r="BH637" s="719"/>
      <c r="BI637" s="719"/>
      <c r="BJ637" s="719"/>
    </row>
    <row r="638" spans="2:62" ht="15.75" customHeight="1">
      <c r="B638" s="497"/>
      <c r="C638" s="811"/>
      <c r="D638" s="811"/>
      <c r="E638" s="811"/>
      <c r="F638" s="811"/>
      <c r="G638" s="811"/>
      <c r="H638" s="811"/>
      <c r="I638" s="811"/>
      <c r="J638" s="811"/>
      <c r="K638" s="811"/>
      <c r="L638" s="811"/>
      <c r="M638" s="811"/>
      <c r="N638" s="811"/>
      <c r="O638" s="811"/>
      <c r="P638" s="811"/>
      <c r="Q638" s="811"/>
      <c r="R638" s="811"/>
      <c r="S638" s="811"/>
      <c r="T638" s="811"/>
      <c r="U638" s="811"/>
      <c r="V638" s="811"/>
      <c r="W638" s="811"/>
      <c r="X638" s="811"/>
      <c r="Y638" s="719"/>
      <c r="Z638" s="719"/>
      <c r="AA638" s="719"/>
      <c r="AB638" s="719"/>
      <c r="AC638" s="719"/>
      <c r="AD638" s="719"/>
      <c r="AE638" s="719"/>
      <c r="AF638" s="719"/>
      <c r="AG638" s="719"/>
      <c r="AH638" s="719"/>
      <c r="AI638" s="719"/>
      <c r="AJ638" s="719"/>
      <c r="AK638" s="719"/>
      <c r="AL638" s="719"/>
      <c r="AM638" s="719"/>
      <c r="AN638" s="719"/>
      <c r="AO638" s="719"/>
      <c r="AP638" s="719"/>
      <c r="AQ638" s="719"/>
      <c r="AR638" s="719"/>
      <c r="AS638" s="719"/>
      <c r="AT638" s="719"/>
      <c r="AU638" s="719"/>
      <c r="AV638" s="719"/>
      <c r="AW638" s="719"/>
      <c r="AX638" s="719"/>
      <c r="AY638" s="719"/>
      <c r="AZ638" s="719"/>
      <c r="BA638" s="719"/>
      <c r="BB638" s="719"/>
      <c r="BC638" s="719"/>
      <c r="BD638" s="719"/>
      <c r="BE638" s="719"/>
      <c r="BF638" s="719"/>
      <c r="BG638" s="719"/>
      <c r="BH638" s="719"/>
      <c r="BI638" s="719"/>
      <c r="BJ638" s="719"/>
    </row>
    <row r="639" spans="2:62" ht="15.75" customHeight="1">
      <c r="B639" s="497"/>
      <c r="C639" s="811"/>
      <c r="D639" s="811"/>
      <c r="E639" s="811"/>
      <c r="F639" s="811"/>
      <c r="G639" s="811"/>
      <c r="H639" s="811"/>
      <c r="I639" s="811"/>
      <c r="J639" s="811"/>
      <c r="K639" s="811"/>
      <c r="L639" s="811"/>
      <c r="M639" s="811"/>
      <c r="N639" s="811"/>
      <c r="O639" s="811"/>
      <c r="P639" s="811"/>
      <c r="Q639" s="811"/>
      <c r="R639" s="811"/>
      <c r="S639" s="811"/>
      <c r="T639" s="811"/>
      <c r="U639" s="811"/>
      <c r="V639" s="811"/>
      <c r="W639" s="811"/>
      <c r="X639" s="811"/>
      <c r="Y639" s="719"/>
      <c r="Z639" s="719"/>
      <c r="AA639" s="719"/>
      <c r="AB639" s="719"/>
      <c r="AC639" s="719"/>
      <c r="AD639" s="719"/>
      <c r="AE639" s="719"/>
      <c r="AF639" s="719"/>
      <c r="AG639" s="719"/>
      <c r="AH639" s="719"/>
      <c r="AI639" s="719"/>
      <c r="AJ639" s="719"/>
      <c r="AK639" s="719"/>
      <c r="AL639" s="719"/>
      <c r="AM639" s="719"/>
      <c r="AN639" s="719"/>
      <c r="AO639" s="719"/>
      <c r="AP639" s="719"/>
      <c r="AQ639" s="719"/>
      <c r="AR639" s="719"/>
      <c r="AS639" s="719"/>
      <c r="AT639" s="719"/>
      <c r="AU639" s="719"/>
      <c r="AV639" s="719"/>
      <c r="AW639" s="719"/>
      <c r="AX639" s="719"/>
      <c r="AY639" s="719"/>
      <c r="AZ639" s="719"/>
      <c r="BA639" s="719"/>
      <c r="BB639" s="719"/>
      <c r="BC639" s="719"/>
      <c r="BD639" s="719"/>
      <c r="BE639" s="719"/>
      <c r="BF639" s="719"/>
      <c r="BG639" s="719"/>
      <c r="BH639" s="719"/>
      <c r="BI639" s="719"/>
      <c r="BJ639" s="719"/>
    </row>
    <row r="640" spans="2:62" ht="15.75" customHeight="1">
      <c r="B640" s="497"/>
      <c r="C640" s="811"/>
      <c r="D640" s="811"/>
      <c r="E640" s="811"/>
      <c r="F640" s="811"/>
      <c r="G640" s="811"/>
      <c r="H640" s="811"/>
      <c r="I640" s="811"/>
      <c r="J640" s="811"/>
      <c r="K640" s="811"/>
      <c r="L640" s="811"/>
      <c r="M640" s="811"/>
      <c r="N640" s="811"/>
      <c r="O640" s="811"/>
      <c r="P640" s="811"/>
      <c r="Q640" s="811"/>
      <c r="R640" s="811"/>
      <c r="S640" s="811"/>
      <c r="T640" s="811"/>
      <c r="U640" s="811"/>
      <c r="V640" s="811"/>
      <c r="W640" s="811"/>
      <c r="X640" s="811"/>
      <c r="Y640" s="719"/>
      <c r="Z640" s="719"/>
      <c r="AA640" s="719"/>
      <c r="AB640" s="719"/>
      <c r="AC640" s="719"/>
      <c r="AD640" s="719"/>
      <c r="AE640" s="719"/>
      <c r="AF640" s="719"/>
      <c r="AG640" s="719"/>
      <c r="AH640" s="719"/>
      <c r="AI640" s="719"/>
      <c r="AJ640" s="719"/>
      <c r="AK640" s="719"/>
      <c r="AL640" s="719"/>
      <c r="AM640" s="719"/>
      <c r="AN640" s="719"/>
      <c r="AO640" s="719"/>
      <c r="AP640" s="719"/>
      <c r="AQ640" s="719"/>
      <c r="AR640" s="719"/>
      <c r="AS640" s="719"/>
      <c r="AT640" s="719"/>
      <c r="AU640" s="719"/>
      <c r="AV640" s="719"/>
      <c r="AW640" s="719"/>
      <c r="AX640" s="719"/>
      <c r="AY640" s="719"/>
      <c r="AZ640" s="719"/>
      <c r="BA640" s="719"/>
      <c r="BB640" s="719"/>
      <c r="BC640" s="719"/>
      <c r="BD640" s="719"/>
      <c r="BE640" s="719"/>
      <c r="BF640" s="719"/>
      <c r="BG640" s="719"/>
      <c r="BH640" s="719"/>
      <c r="BI640" s="719"/>
      <c r="BJ640" s="719"/>
    </row>
    <row r="641" spans="2:62" ht="15.75" customHeight="1">
      <c r="B641" s="497"/>
      <c r="C641" s="811"/>
      <c r="D641" s="811"/>
      <c r="E641" s="811"/>
      <c r="F641" s="811"/>
      <c r="G641" s="811"/>
      <c r="H641" s="811"/>
      <c r="I641" s="811"/>
      <c r="J641" s="811"/>
      <c r="K641" s="811"/>
      <c r="L641" s="811"/>
      <c r="M641" s="811"/>
      <c r="N641" s="811"/>
      <c r="O641" s="811"/>
      <c r="P641" s="811"/>
      <c r="Q641" s="811"/>
      <c r="R641" s="811"/>
      <c r="S641" s="811"/>
      <c r="T641" s="811"/>
      <c r="U641" s="811"/>
      <c r="V641" s="811"/>
      <c r="W641" s="811"/>
      <c r="X641" s="811"/>
      <c r="Y641" s="719"/>
      <c r="Z641" s="719"/>
      <c r="AA641" s="719"/>
      <c r="AB641" s="719"/>
      <c r="AC641" s="719"/>
      <c r="AD641" s="719"/>
      <c r="AE641" s="719"/>
      <c r="AF641" s="719"/>
      <c r="AG641" s="719"/>
      <c r="AH641" s="719"/>
      <c r="AI641" s="719"/>
      <c r="AJ641" s="719"/>
      <c r="AK641" s="719"/>
      <c r="AL641" s="719"/>
      <c r="AM641" s="719"/>
      <c r="AN641" s="719"/>
      <c r="AO641" s="719"/>
      <c r="AP641" s="719"/>
      <c r="AQ641" s="719"/>
      <c r="AR641" s="719"/>
      <c r="AS641" s="719"/>
      <c r="AT641" s="719"/>
      <c r="AU641" s="719"/>
      <c r="AV641" s="719"/>
      <c r="AW641" s="719"/>
      <c r="AX641" s="719"/>
      <c r="AY641" s="719"/>
      <c r="AZ641" s="719"/>
      <c r="BA641" s="719"/>
      <c r="BB641" s="719"/>
      <c r="BC641" s="719"/>
      <c r="BD641" s="719"/>
      <c r="BE641" s="719"/>
      <c r="BF641" s="719"/>
      <c r="BG641" s="719"/>
      <c r="BH641" s="719"/>
      <c r="BI641" s="719"/>
      <c r="BJ641" s="719"/>
    </row>
    <row r="642" spans="2:62" ht="15.75" customHeight="1">
      <c r="B642" s="497"/>
      <c r="C642" s="811"/>
      <c r="D642" s="811"/>
      <c r="E642" s="811"/>
      <c r="F642" s="811"/>
      <c r="G642" s="811"/>
      <c r="H642" s="811"/>
      <c r="I642" s="811"/>
      <c r="J642" s="811"/>
      <c r="K642" s="811"/>
      <c r="L642" s="811"/>
      <c r="M642" s="811"/>
      <c r="N642" s="811"/>
      <c r="O642" s="811"/>
      <c r="P642" s="811"/>
      <c r="Q642" s="811"/>
      <c r="R642" s="811"/>
      <c r="S642" s="811"/>
      <c r="T642" s="811"/>
      <c r="U642" s="811"/>
      <c r="V642" s="811"/>
      <c r="W642" s="811"/>
      <c r="X642" s="811"/>
      <c r="Y642" s="719"/>
      <c r="Z642" s="719"/>
      <c r="AA642" s="719"/>
      <c r="AB642" s="719"/>
      <c r="AC642" s="719"/>
      <c r="AD642" s="719"/>
      <c r="AE642" s="719"/>
      <c r="AF642" s="719"/>
      <c r="AG642" s="719"/>
      <c r="AH642" s="719"/>
      <c r="AI642" s="719"/>
      <c r="AJ642" s="719"/>
      <c r="AK642" s="719"/>
      <c r="AL642" s="719"/>
      <c r="AM642" s="719"/>
      <c r="AN642" s="719"/>
      <c r="AO642" s="719"/>
      <c r="AP642" s="719"/>
      <c r="AQ642" s="719"/>
      <c r="AR642" s="719"/>
      <c r="AS642" s="719"/>
      <c r="AT642" s="719"/>
      <c r="AU642" s="719"/>
      <c r="AV642" s="719"/>
      <c r="AW642" s="719"/>
      <c r="AX642" s="719"/>
      <c r="AY642" s="719"/>
      <c r="AZ642" s="719"/>
      <c r="BA642" s="719"/>
      <c r="BB642" s="719"/>
      <c r="BC642" s="719"/>
      <c r="BD642" s="719"/>
      <c r="BE642" s="719"/>
      <c r="BF642" s="719"/>
      <c r="BG642" s="719"/>
      <c r="BH642" s="719"/>
      <c r="BI642" s="719"/>
      <c r="BJ642" s="719"/>
    </row>
    <row r="643" spans="2:62" ht="15.75" customHeight="1">
      <c r="B643" s="497"/>
      <c r="C643" s="811"/>
      <c r="D643" s="811"/>
      <c r="E643" s="811"/>
      <c r="F643" s="811"/>
      <c r="G643" s="811"/>
      <c r="H643" s="811"/>
      <c r="I643" s="811"/>
      <c r="J643" s="811"/>
      <c r="K643" s="811"/>
      <c r="L643" s="811"/>
      <c r="M643" s="811"/>
      <c r="N643" s="811"/>
      <c r="O643" s="811"/>
      <c r="P643" s="811"/>
      <c r="Q643" s="811"/>
      <c r="R643" s="811"/>
      <c r="S643" s="811"/>
      <c r="T643" s="811"/>
      <c r="U643" s="811"/>
      <c r="V643" s="811"/>
      <c r="W643" s="811"/>
      <c r="X643" s="811"/>
      <c r="Y643" s="719"/>
      <c r="Z643" s="719"/>
      <c r="AA643" s="719"/>
      <c r="AB643" s="719"/>
      <c r="AC643" s="719"/>
      <c r="AD643" s="719"/>
      <c r="AE643" s="719"/>
      <c r="AF643" s="719"/>
      <c r="AG643" s="719"/>
      <c r="AH643" s="719"/>
      <c r="AI643" s="719"/>
      <c r="AJ643" s="719"/>
      <c r="AK643" s="719"/>
      <c r="AL643" s="719"/>
      <c r="AM643" s="719"/>
      <c r="AN643" s="719"/>
      <c r="AO643" s="719"/>
      <c r="AP643" s="719"/>
      <c r="AQ643" s="719"/>
      <c r="AR643" s="719"/>
      <c r="AS643" s="719"/>
      <c r="AT643" s="719"/>
      <c r="AU643" s="719"/>
      <c r="AV643" s="719"/>
      <c r="AW643" s="719"/>
      <c r="AX643" s="719"/>
      <c r="AY643" s="719"/>
      <c r="AZ643" s="719"/>
      <c r="BA643" s="719"/>
      <c r="BB643" s="719"/>
      <c r="BC643" s="719"/>
      <c r="BD643" s="719"/>
      <c r="BE643" s="719"/>
      <c r="BF643" s="719"/>
      <c r="BG643" s="719"/>
      <c r="BH643" s="719"/>
      <c r="BI643" s="719"/>
      <c r="BJ643" s="719"/>
    </row>
    <row r="644" spans="2:62" ht="15.75" customHeight="1">
      <c r="B644" s="497"/>
      <c r="C644" s="811"/>
      <c r="D644" s="811"/>
      <c r="E644" s="811"/>
      <c r="F644" s="811"/>
      <c r="G644" s="811"/>
      <c r="H644" s="811"/>
      <c r="I644" s="811"/>
      <c r="J644" s="811"/>
      <c r="K644" s="811"/>
      <c r="L644" s="811"/>
      <c r="M644" s="811"/>
      <c r="N644" s="811"/>
      <c r="O644" s="811"/>
      <c r="P644" s="811"/>
      <c r="Q644" s="811"/>
      <c r="R644" s="811"/>
      <c r="S644" s="811"/>
      <c r="T644" s="811"/>
      <c r="U644" s="811"/>
      <c r="V644" s="811"/>
      <c r="W644" s="811"/>
      <c r="X644" s="811"/>
      <c r="Y644" s="719"/>
      <c r="Z644" s="719"/>
      <c r="AA644" s="719"/>
      <c r="AB644" s="719"/>
      <c r="AC644" s="719"/>
      <c r="AD644" s="719"/>
      <c r="AE644" s="719"/>
      <c r="AF644" s="719"/>
      <c r="AG644" s="719"/>
      <c r="AH644" s="719"/>
      <c r="AI644" s="719"/>
      <c r="AJ644" s="719"/>
      <c r="AK644" s="719"/>
      <c r="AL644" s="719"/>
      <c r="AM644" s="719"/>
      <c r="AN644" s="719"/>
      <c r="AO644" s="719"/>
      <c r="AP644" s="719"/>
      <c r="AQ644" s="719"/>
      <c r="AR644" s="719"/>
      <c r="AS644" s="719"/>
      <c r="AT644" s="719"/>
      <c r="AU644" s="719"/>
      <c r="AV644" s="719"/>
      <c r="AW644" s="719"/>
      <c r="AX644" s="719"/>
      <c r="AY644" s="719"/>
      <c r="AZ644" s="719"/>
      <c r="BA644" s="719"/>
      <c r="BB644" s="719"/>
      <c r="BC644" s="719"/>
      <c r="BD644" s="719"/>
      <c r="BE644" s="719"/>
      <c r="BF644" s="719"/>
      <c r="BG644" s="719"/>
      <c r="BH644" s="719"/>
      <c r="BI644" s="719"/>
      <c r="BJ644" s="719"/>
    </row>
    <row r="645" spans="2:62" ht="15.75" customHeight="1">
      <c r="B645" s="497"/>
      <c r="C645" s="881"/>
      <c r="D645" s="811"/>
      <c r="E645" s="811"/>
      <c r="F645" s="811"/>
      <c r="G645" s="811"/>
      <c r="H645" s="811"/>
      <c r="I645" s="811"/>
      <c r="J645" s="811"/>
      <c r="K645" s="811"/>
      <c r="L645" s="811"/>
      <c r="M645" s="811"/>
      <c r="N645" s="811"/>
      <c r="O645" s="420"/>
      <c r="P645" s="811"/>
      <c r="Q645" s="811"/>
      <c r="R645" s="811"/>
      <c r="S645" s="811"/>
      <c r="T645" s="811"/>
      <c r="U645" s="811"/>
      <c r="V645" s="811"/>
      <c r="W645" s="811"/>
      <c r="X645" s="811"/>
      <c r="Y645" s="719"/>
      <c r="Z645" s="719"/>
      <c r="AA645" s="719"/>
      <c r="AB645" s="719"/>
      <c r="AC645" s="719"/>
      <c r="AD645" s="719"/>
      <c r="AE645" s="719"/>
      <c r="AF645" s="719"/>
      <c r="AG645" s="719"/>
      <c r="AH645" s="719"/>
      <c r="AI645" s="719"/>
      <c r="AJ645" s="719"/>
      <c r="AK645" s="719"/>
      <c r="AL645" s="719"/>
      <c r="AM645" s="719"/>
      <c r="AN645" s="719"/>
      <c r="AO645" s="719"/>
      <c r="AP645" s="719"/>
      <c r="AQ645" s="719"/>
      <c r="AR645" s="719"/>
      <c r="AS645" s="719"/>
      <c r="AT645" s="719"/>
      <c r="AU645" s="719"/>
      <c r="AV645" s="719"/>
      <c r="AW645" s="719"/>
      <c r="AX645" s="719"/>
      <c r="AY645" s="719"/>
      <c r="AZ645" s="719"/>
      <c r="BA645" s="719"/>
      <c r="BB645" s="719"/>
      <c r="BC645" s="719"/>
      <c r="BD645" s="719"/>
      <c r="BE645" s="719"/>
      <c r="BF645" s="719"/>
      <c r="BG645" s="719"/>
      <c r="BH645" s="719"/>
      <c r="BI645" s="719"/>
      <c r="BJ645" s="719"/>
    </row>
    <row r="646" spans="2:62" ht="15.75" customHeight="1">
      <c r="B646" s="497"/>
      <c r="C646" s="409"/>
      <c r="D646" s="413"/>
      <c r="E646" s="413"/>
      <c r="F646" s="413"/>
      <c r="G646" s="413"/>
      <c r="H646" s="413"/>
      <c r="I646" s="413"/>
      <c r="J646" s="413"/>
      <c r="K646" s="413"/>
      <c r="L646" s="413"/>
      <c r="M646" s="413"/>
      <c r="N646" s="413"/>
      <c r="O646" s="413"/>
      <c r="P646" s="413"/>
      <c r="Q646" s="421"/>
      <c r="R646" s="413"/>
      <c r="S646" s="413"/>
      <c r="T646" s="811"/>
      <c r="U646" s="811"/>
      <c r="V646" s="811"/>
      <c r="W646" s="811"/>
      <c r="X646" s="811"/>
      <c r="Y646" s="719"/>
      <c r="Z646" s="719"/>
      <c r="AA646" s="719"/>
      <c r="AB646" s="719"/>
      <c r="AC646" s="719"/>
      <c r="AD646" s="719"/>
      <c r="AE646" s="719"/>
      <c r="AF646" s="719"/>
      <c r="AG646" s="719"/>
      <c r="AH646" s="719"/>
      <c r="AI646" s="719"/>
      <c r="AJ646" s="719"/>
      <c r="AK646" s="719"/>
      <c r="AL646" s="719"/>
      <c r="AM646" s="719"/>
      <c r="AN646" s="719"/>
      <c r="AO646" s="719"/>
      <c r="AP646" s="719"/>
      <c r="AQ646" s="719"/>
      <c r="AR646" s="719"/>
      <c r="AS646" s="719"/>
      <c r="AT646" s="719"/>
      <c r="AU646" s="719"/>
      <c r="AV646" s="719"/>
      <c r="AW646" s="719"/>
      <c r="AX646" s="719"/>
      <c r="AY646" s="719"/>
      <c r="AZ646" s="719"/>
      <c r="BA646" s="719"/>
      <c r="BB646" s="719"/>
      <c r="BC646" s="719"/>
      <c r="BD646" s="719"/>
      <c r="BE646" s="719"/>
      <c r="BF646" s="719"/>
      <c r="BG646" s="719"/>
      <c r="BH646" s="719"/>
      <c r="BI646" s="719"/>
      <c r="BJ646" s="719"/>
    </row>
    <row r="647" spans="2:62" ht="15.75" customHeight="1">
      <c r="B647" s="497"/>
      <c r="C647" s="811"/>
      <c r="D647" s="410"/>
      <c r="E647" s="410"/>
      <c r="F647" s="422"/>
      <c r="G647" s="410"/>
      <c r="H647" s="410"/>
      <c r="I647" s="422"/>
      <c r="J647" s="414"/>
      <c r="K647" s="414"/>
      <c r="L647" s="423"/>
      <c r="M647" s="414"/>
      <c r="N647" s="414"/>
      <c r="O647" s="414"/>
      <c r="P647" s="414"/>
      <c r="Q647" s="411"/>
      <c r="R647" s="410"/>
      <c r="S647" s="422"/>
      <c r="T647" s="811"/>
      <c r="U647" s="811"/>
      <c r="V647" s="811"/>
      <c r="W647" s="811"/>
      <c r="X647" s="811"/>
      <c r="Y647" s="719"/>
      <c r="Z647" s="719"/>
      <c r="AA647" s="719"/>
      <c r="AB647" s="719"/>
      <c r="AC647" s="719"/>
      <c r="AD647" s="719"/>
      <c r="AE647" s="719"/>
      <c r="AF647" s="719"/>
      <c r="AG647" s="719"/>
      <c r="AH647" s="719"/>
      <c r="AI647" s="719"/>
      <c r="AJ647" s="719"/>
      <c r="AK647" s="719"/>
      <c r="AL647" s="719"/>
      <c r="AM647" s="719"/>
      <c r="AN647" s="719"/>
      <c r="AO647" s="719"/>
      <c r="AP647" s="719"/>
      <c r="AQ647" s="719"/>
      <c r="AR647" s="719"/>
      <c r="AS647" s="719"/>
      <c r="AT647" s="719"/>
      <c r="AU647" s="719"/>
      <c r="AV647" s="719"/>
      <c r="AW647" s="719"/>
      <c r="AX647" s="719"/>
      <c r="AY647" s="719"/>
      <c r="AZ647" s="719"/>
      <c r="BA647" s="719"/>
      <c r="BB647" s="719"/>
      <c r="BC647" s="719"/>
      <c r="BD647" s="719"/>
      <c r="BE647" s="719"/>
      <c r="BF647" s="719"/>
      <c r="BG647" s="719"/>
      <c r="BH647" s="719"/>
      <c r="BI647" s="719"/>
      <c r="BJ647" s="719"/>
    </row>
    <row r="648" spans="2:62" ht="15.75" customHeight="1">
      <c r="B648" s="497"/>
      <c r="C648" s="882"/>
      <c r="D648" s="811"/>
      <c r="E648" s="811"/>
      <c r="F648" s="413"/>
      <c r="G648" s="811"/>
      <c r="H648" s="811"/>
      <c r="I648" s="413"/>
      <c r="J648" s="413"/>
      <c r="K648" s="413"/>
      <c r="L648" s="811"/>
      <c r="M648" s="413"/>
      <c r="N648" s="413"/>
      <c r="O648" s="811"/>
      <c r="P648" s="413"/>
      <c r="Q648" s="413"/>
      <c r="R648" s="811"/>
      <c r="S648" s="413"/>
      <c r="T648" s="811"/>
      <c r="U648" s="811"/>
      <c r="V648" s="811"/>
      <c r="W648" s="811"/>
      <c r="X648" s="811"/>
      <c r="Y648" s="719"/>
      <c r="Z648" s="719"/>
      <c r="AA648" s="719"/>
      <c r="AB648" s="719"/>
      <c r="AC648" s="719"/>
      <c r="AD648" s="719"/>
      <c r="AE648" s="719"/>
      <c r="AF648" s="719"/>
      <c r="AG648" s="719"/>
      <c r="AH648" s="719"/>
      <c r="AI648" s="719"/>
      <c r="AJ648" s="719"/>
      <c r="AK648" s="719"/>
      <c r="AL648" s="719"/>
      <c r="AM648" s="719"/>
      <c r="AN648" s="719"/>
      <c r="AO648" s="719"/>
      <c r="AP648" s="719"/>
      <c r="AQ648" s="719"/>
      <c r="AR648" s="719"/>
      <c r="AS648" s="719"/>
      <c r="AT648" s="719"/>
      <c r="AU648" s="719"/>
      <c r="AV648" s="719"/>
      <c r="AW648" s="719"/>
      <c r="AX648" s="719"/>
      <c r="AY648" s="719"/>
      <c r="AZ648" s="719"/>
      <c r="BA648" s="719"/>
      <c r="BB648" s="719"/>
      <c r="BC648" s="719"/>
      <c r="BD648" s="719"/>
      <c r="BE648" s="719"/>
      <c r="BF648" s="719"/>
      <c r="BG648" s="719"/>
      <c r="BH648" s="719"/>
      <c r="BI648" s="719"/>
      <c r="BJ648" s="719"/>
    </row>
    <row r="649" spans="2:62" ht="15.75" customHeight="1">
      <c r="B649" s="497"/>
      <c r="C649" s="811"/>
      <c r="D649" s="811"/>
      <c r="E649" s="811"/>
      <c r="F649" s="874"/>
      <c r="G649" s="811"/>
      <c r="H649" s="811"/>
      <c r="I649" s="874"/>
      <c r="J649" s="874"/>
      <c r="K649" s="874"/>
      <c r="L649" s="874"/>
      <c r="M649" s="874"/>
      <c r="N649" s="874"/>
      <c r="O649" s="874"/>
      <c r="P649" s="874"/>
      <c r="Q649" s="874"/>
      <c r="R649" s="874"/>
      <c r="S649" s="874"/>
      <c r="T649" s="811"/>
      <c r="U649" s="811"/>
      <c r="V649" s="811"/>
      <c r="W649" s="811"/>
      <c r="X649" s="811"/>
      <c r="Y649" s="719"/>
      <c r="Z649" s="719"/>
      <c r="AA649" s="719"/>
      <c r="AB649" s="719"/>
      <c r="AC649" s="719"/>
      <c r="AD649" s="719"/>
      <c r="AE649" s="719"/>
      <c r="AF649" s="719"/>
      <c r="AG649" s="719"/>
      <c r="AH649" s="719"/>
      <c r="AI649" s="719"/>
      <c r="AJ649" s="719"/>
      <c r="AK649" s="719"/>
      <c r="AL649" s="719"/>
      <c r="AM649" s="719"/>
      <c r="AN649" s="719"/>
      <c r="AO649" s="719"/>
      <c r="AP649" s="719"/>
      <c r="AQ649" s="719"/>
      <c r="AR649" s="719"/>
      <c r="AS649" s="719"/>
      <c r="AT649" s="719"/>
      <c r="AU649" s="719"/>
      <c r="AV649" s="719"/>
      <c r="AW649" s="719"/>
      <c r="AX649" s="719"/>
      <c r="AY649" s="719"/>
      <c r="AZ649" s="719"/>
      <c r="BA649" s="719"/>
      <c r="BB649" s="719"/>
      <c r="BC649" s="719"/>
      <c r="BD649" s="719"/>
      <c r="BE649" s="719"/>
      <c r="BF649" s="719"/>
      <c r="BG649" s="719"/>
      <c r="BH649" s="719"/>
      <c r="BI649" s="719"/>
      <c r="BJ649" s="719"/>
    </row>
    <row r="650" spans="2:62" ht="15.75" customHeight="1">
      <c r="B650" s="497"/>
      <c r="C650" s="873"/>
      <c r="D650" s="873"/>
      <c r="E650" s="873"/>
      <c r="F650" s="876"/>
      <c r="G650" s="873"/>
      <c r="H650" s="873"/>
      <c r="I650" s="876"/>
      <c r="J650" s="876"/>
      <c r="K650" s="876"/>
      <c r="L650" s="876"/>
      <c r="M650" s="876"/>
      <c r="N650" s="876"/>
      <c r="O650" s="876"/>
      <c r="P650" s="876"/>
      <c r="Q650" s="876"/>
      <c r="R650" s="876"/>
      <c r="S650" s="876"/>
      <c r="T650" s="811"/>
      <c r="U650" s="811"/>
      <c r="V650" s="811"/>
      <c r="W650" s="811"/>
      <c r="X650" s="811"/>
      <c r="Y650" s="719"/>
      <c r="Z650" s="719"/>
      <c r="AA650" s="719"/>
      <c r="AB650" s="719"/>
      <c r="AC650" s="719"/>
      <c r="AD650" s="719"/>
      <c r="AE650" s="719"/>
      <c r="AF650" s="719"/>
      <c r="AG650" s="719"/>
      <c r="AH650" s="719"/>
      <c r="AI650" s="719"/>
      <c r="AJ650" s="719"/>
      <c r="AK650" s="719"/>
      <c r="AL650" s="719"/>
      <c r="AM650" s="719"/>
      <c r="AN650" s="719"/>
      <c r="AO650" s="719"/>
      <c r="AP650" s="719"/>
      <c r="AQ650" s="719"/>
      <c r="AR650" s="719"/>
      <c r="AS650" s="719"/>
      <c r="AT650" s="719"/>
      <c r="AU650" s="719"/>
      <c r="AV650" s="719"/>
      <c r="AW650" s="719"/>
      <c r="AX650" s="719"/>
      <c r="AY650" s="719"/>
      <c r="AZ650" s="719"/>
      <c r="BA650" s="719"/>
      <c r="BB650" s="719"/>
      <c r="BC650" s="719"/>
      <c r="BD650" s="719"/>
      <c r="BE650" s="719"/>
      <c r="BF650" s="719"/>
      <c r="BG650" s="719"/>
      <c r="BH650" s="719"/>
      <c r="BI650" s="719"/>
      <c r="BJ650" s="719"/>
    </row>
    <row r="651" spans="2:62" ht="15.75" customHeight="1">
      <c r="B651" s="497"/>
      <c r="C651" s="811"/>
      <c r="D651" s="811"/>
      <c r="E651" s="811"/>
      <c r="F651" s="811"/>
      <c r="G651" s="811"/>
      <c r="H651" s="811"/>
      <c r="I651" s="811"/>
      <c r="J651" s="874"/>
      <c r="K651" s="874"/>
      <c r="L651" s="874"/>
      <c r="M651" s="874"/>
      <c r="N651" s="874"/>
      <c r="O651" s="874"/>
      <c r="P651" s="874"/>
      <c r="Q651" s="874"/>
      <c r="R651" s="874"/>
      <c r="S651" s="874"/>
      <c r="T651" s="811"/>
      <c r="U651" s="811"/>
      <c r="V651" s="811"/>
      <c r="W651" s="811"/>
      <c r="X651" s="811"/>
      <c r="Y651" s="719"/>
      <c r="Z651" s="719"/>
      <c r="AA651" s="719"/>
      <c r="AB651" s="719"/>
      <c r="AC651" s="719"/>
      <c r="AD651" s="719"/>
      <c r="AE651" s="719"/>
      <c r="AF651" s="719"/>
      <c r="AG651" s="719"/>
      <c r="AH651" s="719"/>
      <c r="AI651" s="719"/>
      <c r="AJ651" s="719"/>
      <c r="AK651" s="719"/>
      <c r="AL651" s="719"/>
      <c r="AM651" s="719"/>
      <c r="AN651" s="719"/>
      <c r="AO651" s="719"/>
      <c r="AP651" s="719"/>
      <c r="AQ651" s="719"/>
      <c r="AR651" s="719"/>
      <c r="AS651" s="719"/>
      <c r="AT651" s="719"/>
      <c r="AU651" s="719"/>
      <c r="AV651" s="719"/>
      <c r="AW651" s="719"/>
      <c r="AX651" s="719"/>
      <c r="AY651" s="719"/>
      <c r="AZ651" s="719"/>
      <c r="BA651" s="719"/>
      <c r="BB651" s="719"/>
      <c r="BC651" s="719"/>
      <c r="BD651" s="719"/>
      <c r="BE651" s="719"/>
      <c r="BF651" s="719"/>
      <c r="BG651" s="719"/>
      <c r="BH651" s="719"/>
      <c r="BI651" s="719"/>
      <c r="BJ651" s="719"/>
    </row>
    <row r="652" spans="2:62" ht="15.75" customHeight="1">
      <c r="B652" s="497"/>
      <c r="C652" s="811"/>
      <c r="D652" s="811"/>
      <c r="E652" s="811"/>
      <c r="F652" s="811"/>
      <c r="G652" s="811"/>
      <c r="H652" s="811"/>
      <c r="I652" s="811"/>
      <c r="J652" s="811"/>
      <c r="K652" s="874"/>
      <c r="L652" s="874"/>
      <c r="M652" s="811"/>
      <c r="N652" s="874"/>
      <c r="O652" s="874"/>
      <c r="P652" s="811"/>
      <c r="Q652" s="874"/>
      <c r="R652" s="874"/>
      <c r="S652" s="811"/>
      <c r="T652" s="811"/>
      <c r="U652" s="811"/>
      <c r="V652" s="811"/>
      <c r="W652" s="811"/>
      <c r="X652" s="811"/>
      <c r="Y652" s="719"/>
      <c r="Z652" s="719"/>
      <c r="AA652" s="719"/>
      <c r="AB652" s="719"/>
      <c r="AC652" s="719"/>
      <c r="AD652" s="719"/>
      <c r="AE652" s="719"/>
      <c r="AF652" s="719"/>
      <c r="AG652" s="719"/>
      <c r="AH652" s="719"/>
      <c r="AI652" s="719"/>
      <c r="AJ652" s="719"/>
      <c r="AK652" s="719"/>
      <c r="AL652" s="719"/>
      <c r="AM652" s="719"/>
      <c r="AN652" s="719"/>
      <c r="AO652" s="719"/>
      <c r="AP652" s="719"/>
      <c r="AQ652" s="719"/>
      <c r="AR652" s="719"/>
      <c r="AS652" s="719"/>
      <c r="AT652" s="719"/>
      <c r="AU652" s="719"/>
      <c r="AV652" s="719"/>
      <c r="AW652" s="719"/>
      <c r="AX652" s="719"/>
      <c r="AY652" s="719"/>
      <c r="AZ652" s="719"/>
      <c r="BA652" s="719"/>
      <c r="BB652" s="719"/>
      <c r="BC652" s="719"/>
      <c r="BD652" s="719"/>
      <c r="BE652" s="719"/>
      <c r="BF652" s="719"/>
      <c r="BG652" s="719"/>
      <c r="BH652" s="719"/>
      <c r="BI652" s="719"/>
      <c r="BJ652" s="719"/>
    </row>
    <row r="653" spans="2:62" ht="15.75" customHeight="1">
      <c r="B653" s="497"/>
      <c r="C653" s="811"/>
      <c r="D653" s="811"/>
      <c r="E653" s="811"/>
      <c r="F653" s="811"/>
      <c r="G653" s="811"/>
      <c r="H653" s="811"/>
      <c r="I653" s="811"/>
      <c r="J653" s="811"/>
      <c r="K653" s="874"/>
      <c r="L653" s="874"/>
      <c r="M653" s="811"/>
      <c r="N653" s="874"/>
      <c r="O653" s="874"/>
      <c r="P653" s="811"/>
      <c r="Q653" s="874"/>
      <c r="R653" s="874"/>
      <c r="S653" s="811"/>
      <c r="T653" s="811"/>
      <c r="U653" s="811"/>
      <c r="V653" s="811"/>
      <c r="W653" s="811"/>
      <c r="X653" s="811"/>
      <c r="Y653" s="719"/>
      <c r="Z653" s="719"/>
      <c r="AA653" s="719"/>
      <c r="AB653" s="719"/>
      <c r="AC653" s="719"/>
      <c r="AD653" s="719"/>
      <c r="AE653" s="719"/>
      <c r="AF653" s="719"/>
      <c r="AG653" s="719"/>
      <c r="AH653" s="719"/>
      <c r="AI653" s="719"/>
      <c r="AJ653" s="719"/>
      <c r="AK653" s="719"/>
      <c r="AL653" s="719"/>
      <c r="AM653" s="719"/>
      <c r="AN653" s="719"/>
      <c r="AO653" s="719"/>
      <c r="AP653" s="719"/>
      <c r="AQ653" s="719"/>
      <c r="AR653" s="719"/>
      <c r="AS653" s="719"/>
      <c r="AT653" s="719"/>
      <c r="AU653" s="719"/>
      <c r="AV653" s="719"/>
      <c r="AW653" s="719"/>
      <c r="AX653" s="719"/>
      <c r="AY653" s="719"/>
      <c r="AZ653" s="719"/>
      <c r="BA653" s="719"/>
      <c r="BB653" s="719"/>
      <c r="BC653" s="719"/>
      <c r="BD653" s="719"/>
      <c r="BE653" s="719"/>
      <c r="BF653" s="719"/>
      <c r="BG653" s="719"/>
      <c r="BH653" s="719"/>
      <c r="BI653" s="719"/>
      <c r="BJ653" s="719"/>
    </row>
    <row r="654" spans="2:62" ht="15.75" customHeight="1">
      <c r="B654" s="497"/>
      <c r="C654" s="811"/>
      <c r="D654" s="811"/>
      <c r="E654" s="811"/>
      <c r="F654" s="811"/>
      <c r="G654" s="811"/>
      <c r="H654" s="811"/>
      <c r="I654" s="811"/>
      <c r="J654" s="811"/>
      <c r="K654" s="874"/>
      <c r="L654" s="874"/>
      <c r="M654" s="811"/>
      <c r="N654" s="874"/>
      <c r="O654" s="874"/>
      <c r="P654" s="811"/>
      <c r="Q654" s="874"/>
      <c r="R654" s="874"/>
      <c r="S654" s="811"/>
      <c r="T654" s="811"/>
      <c r="U654" s="811"/>
      <c r="V654" s="811"/>
      <c r="W654" s="811"/>
      <c r="X654" s="811"/>
      <c r="Y654" s="719"/>
      <c r="Z654" s="719"/>
      <c r="AA654" s="719"/>
      <c r="AB654" s="719"/>
      <c r="AC654" s="719"/>
      <c r="AD654" s="719"/>
      <c r="AE654" s="719"/>
      <c r="AF654" s="719"/>
      <c r="AG654" s="719"/>
      <c r="AH654" s="719"/>
      <c r="AI654" s="719"/>
      <c r="AJ654" s="719"/>
      <c r="AK654" s="719"/>
      <c r="AL654" s="719"/>
      <c r="AM654" s="719"/>
      <c r="AN654" s="719"/>
      <c r="AO654" s="719"/>
      <c r="AP654" s="719"/>
      <c r="AQ654" s="719"/>
      <c r="AR654" s="719"/>
      <c r="AS654" s="719"/>
      <c r="AT654" s="719"/>
      <c r="AU654" s="719"/>
      <c r="AV654" s="719"/>
      <c r="AW654" s="719"/>
      <c r="AX654" s="719"/>
      <c r="AY654" s="719"/>
      <c r="AZ654" s="719"/>
      <c r="BA654" s="719"/>
      <c r="BB654" s="719"/>
      <c r="BC654" s="719"/>
      <c r="BD654" s="719"/>
      <c r="BE654" s="719"/>
      <c r="BF654" s="719"/>
      <c r="BG654" s="719"/>
      <c r="BH654" s="719"/>
      <c r="BI654" s="719"/>
      <c r="BJ654" s="719"/>
    </row>
    <row r="655" spans="2:62" ht="15.75" customHeight="1">
      <c r="B655" s="497"/>
      <c r="C655" s="811"/>
      <c r="D655" s="811"/>
      <c r="E655" s="811"/>
      <c r="F655" s="811"/>
      <c r="G655" s="811"/>
      <c r="H655" s="811"/>
      <c r="I655" s="811"/>
      <c r="J655" s="811"/>
      <c r="K655" s="874"/>
      <c r="L655" s="874"/>
      <c r="M655" s="811"/>
      <c r="N655" s="874"/>
      <c r="O655" s="874"/>
      <c r="P655" s="811"/>
      <c r="Q655" s="874"/>
      <c r="R655" s="874"/>
      <c r="S655" s="811"/>
      <c r="T655" s="811"/>
      <c r="U655" s="811"/>
      <c r="V655" s="811"/>
      <c r="W655" s="811"/>
      <c r="X655" s="811"/>
      <c r="Y655" s="719"/>
      <c r="Z655" s="719"/>
      <c r="AA655" s="719"/>
      <c r="AB655" s="719"/>
      <c r="AC655" s="719"/>
      <c r="AD655" s="719"/>
      <c r="AE655" s="719"/>
      <c r="AF655" s="719"/>
      <c r="AG655" s="719"/>
      <c r="AH655" s="719"/>
      <c r="AI655" s="719"/>
      <c r="AJ655" s="719"/>
      <c r="AK655" s="719"/>
      <c r="AL655" s="719"/>
      <c r="AM655" s="719"/>
      <c r="AN655" s="719"/>
      <c r="AO655" s="719"/>
      <c r="AP655" s="719"/>
      <c r="AQ655" s="719"/>
      <c r="AR655" s="719"/>
      <c r="AS655" s="719"/>
      <c r="AT655" s="719"/>
      <c r="AU655" s="719"/>
      <c r="AV655" s="719"/>
      <c r="AW655" s="719"/>
      <c r="AX655" s="719"/>
      <c r="AY655" s="719"/>
      <c r="AZ655" s="719"/>
      <c r="BA655" s="719"/>
      <c r="BB655" s="719"/>
      <c r="BC655" s="719"/>
      <c r="BD655" s="719"/>
      <c r="BE655" s="719"/>
      <c r="BF655" s="719"/>
      <c r="BG655" s="719"/>
      <c r="BH655" s="719"/>
      <c r="BI655" s="719"/>
      <c r="BJ655" s="719"/>
    </row>
    <row r="656" spans="2:62" ht="15.75" customHeight="1">
      <c r="B656" s="497"/>
      <c r="C656" s="811"/>
      <c r="D656" s="811"/>
      <c r="E656" s="811"/>
      <c r="F656" s="811"/>
      <c r="G656" s="811"/>
      <c r="H656" s="811"/>
      <c r="I656" s="811"/>
      <c r="J656" s="811"/>
      <c r="K656" s="874"/>
      <c r="L656" s="874"/>
      <c r="M656" s="811"/>
      <c r="N656" s="874"/>
      <c r="O656" s="874"/>
      <c r="P656" s="811"/>
      <c r="Q656" s="874"/>
      <c r="R656" s="874"/>
      <c r="S656" s="811"/>
      <c r="T656" s="811"/>
      <c r="U656" s="811"/>
      <c r="V656" s="811"/>
      <c r="W656" s="811"/>
      <c r="X656" s="811"/>
      <c r="Y656" s="719"/>
      <c r="Z656" s="719"/>
      <c r="AA656" s="719"/>
      <c r="AB656" s="719"/>
      <c r="AC656" s="719"/>
      <c r="AD656" s="719"/>
      <c r="AE656" s="719"/>
      <c r="AF656" s="719"/>
      <c r="AG656" s="719"/>
      <c r="AH656" s="719"/>
      <c r="AI656" s="719"/>
      <c r="AJ656" s="719"/>
      <c r="AK656" s="719"/>
      <c r="AL656" s="719"/>
      <c r="AM656" s="719"/>
      <c r="AN656" s="719"/>
      <c r="AO656" s="719"/>
      <c r="AP656" s="719"/>
      <c r="AQ656" s="719"/>
      <c r="AR656" s="719"/>
      <c r="AS656" s="719"/>
      <c r="AT656" s="719"/>
      <c r="AU656" s="719"/>
      <c r="AV656" s="719"/>
      <c r="AW656" s="719"/>
      <c r="AX656" s="719"/>
      <c r="AY656" s="719"/>
      <c r="AZ656" s="719"/>
      <c r="BA656" s="719"/>
      <c r="BB656" s="719"/>
      <c r="BC656" s="719"/>
      <c r="BD656" s="719"/>
      <c r="BE656" s="719"/>
      <c r="BF656" s="719"/>
      <c r="BG656" s="719"/>
      <c r="BH656" s="719"/>
      <c r="BI656" s="719"/>
      <c r="BJ656" s="719"/>
    </row>
    <row r="657" spans="2:62" ht="15.75" customHeight="1">
      <c r="B657" s="497"/>
      <c r="C657" s="811"/>
      <c r="D657" s="811"/>
      <c r="E657" s="811"/>
      <c r="F657" s="811"/>
      <c r="G657" s="811"/>
      <c r="H657" s="811"/>
      <c r="I657" s="811"/>
      <c r="J657" s="811"/>
      <c r="K657" s="874"/>
      <c r="L657" s="876"/>
      <c r="M657" s="811"/>
      <c r="N657" s="874"/>
      <c r="O657" s="874"/>
      <c r="P657" s="811"/>
      <c r="Q657" s="874"/>
      <c r="R657" s="876"/>
      <c r="S657" s="811"/>
      <c r="T657" s="811"/>
      <c r="U657" s="811"/>
      <c r="V657" s="811"/>
      <c r="W657" s="811"/>
      <c r="X657" s="811"/>
      <c r="Y657" s="719"/>
      <c r="Z657" s="719"/>
      <c r="AA657" s="719"/>
      <c r="AB657" s="719"/>
      <c r="AC657" s="719"/>
      <c r="AD657" s="719"/>
      <c r="AE657" s="719"/>
      <c r="AF657" s="719"/>
      <c r="AG657" s="719"/>
      <c r="AH657" s="719"/>
      <c r="AI657" s="719"/>
      <c r="AJ657" s="719"/>
      <c r="AK657" s="719"/>
      <c r="AL657" s="719"/>
      <c r="AM657" s="719"/>
      <c r="AN657" s="719"/>
      <c r="AO657" s="719"/>
      <c r="AP657" s="719"/>
      <c r="AQ657" s="719"/>
      <c r="AR657" s="719"/>
      <c r="AS657" s="719"/>
      <c r="AT657" s="719"/>
      <c r="AU657" s="719"/>
      <c r="AV657" s="719"/>
      <c r="AW657" s="719"/>
      <c r="AX657" s="719"/>
      <c r="AY657" s="719"/>
      <c r="AZ657" s="719"/>
      <c r="BA657" s="719"/>
      <c r="BB657" s="719"/>
      <c r="BC657" s="719"/>
      <c r="BD657" s="719"/>
      <c r="BE657" s="719"/>
      <c r="BF657" s="719"/>
      <c r="BG657" s="719"/>
      <c r="BH657" s="719"/>
      <c r="BI657" s="719"/>
      <c r="BJ657" s="719"/>
    </row>
    <row r="658" spans="2:62" ht="15.75" customHeight="1">
      <c r="B658" s="497"/>
      <c r="C658" s="811"/>
      <c r="D658" s="811"/>
      <c r="E658" s="811"/>
      <c r="F658" s="811"/>
      <c r="G658" s="811"/>
      <c r="H658" s="811"/>
      <c r="I658" s="811"/>
      <c r="J658" s="811"/>
      <c r="K658" s="874"/>
      <c r="L658" s="874"/>
      <c r="M658" s="811"/>
      <c r="N658" s="874"/>
      <c r="O658" s="874"/>
      <c r="P658" s="811"/>
      <c r="Q658" s="874"/>
      <c r="R658" s="874"/>
      <c r="S658" s="811"/>
      <c r="T658" s="811"/>
      <c r="U658" s="811"/>
      <c r="V658" s="811"/>
      <c r="W658" s="811"/>
      <c r="X658" s="811"/>
      <c r="Y658" s="719"/>
      <c r="Z658" s="719"/>
      <c r="AA658" s="719"/>
      <c r="AB658" s="719"/>
      <c r="AC658" s="719"/>
      <c r="AD658" s="719"/>
      <c r="AE658" s="719"/>
      <c r="AF658" s="719"/>
      <c r="AG658" s="719"/>
      <c r="AH658" s="719"/>
      <c r="AI658" s="719"/>
      <c r="AJ658" s="719"/>
      <c r="AK658" s="719"/>
      <c r="AL658" s="719"/>
      <c r="AM658" s="719"/>
      <c r="AN658" s="719"/>
      <c r="AO658" s="719"/>
      <c r="AP658" s="719"/>
      <c r="AQ658" s="719"/>
      <c r="AR658" s="719"/>
      <c r="AS658" s="719"/>
      <c r="AT658" s="719"/>
      <c r="AU658" s="719"/>
      <c r="AV658" s="719"/>
      <c r="AW658" s="719"/>
      <c r="AX658" s="719"/>
      <c r="AY658" s="719"/>
      <c r="AZ658" s="719"/>
      <c r="BA658" s="719"/>
      <c r="BB658" s="719"/>
      <c r="BC658" s="719"/>
      <c r="BD658" s="719"/>
      <c r="BE658" s="719"/>
      <c r="BF658" s="719"/>
      <c r="BG658" s="719"/>
      <c r="BH658" s="719"/>
      <c r="BI658" s="719"/>
      <c r="BJ658" s="719"/>
    </row>
    <row r="659" spans="2:62" ht="15.75" customHeight="1">
      <c r="B659" s="497"/>
      <c r="C659" s="811"/>
      <c r="D659" s="811"/>
      <c r="E659" s="811"/>
      <c r="F659" s="811"/>
      <c r="G659" s="811"/>
      <c r="H659" s="811"/>
      <c r="I659" s="811"/>
      <c r="J659" s="811"/>
      <c r="K659" s="811"/>
      <c r="L659" s="811"/>
      <c r="M659" s="811"/>
      <c r="N659" s="876"/>
      <c r="O659" s="876"/>
      <c r="P659" s="811"/>
      <c r="Q659" s="876"/>
      <c r="R659" s="811"/>
      <c r="S659" s="811"/>
      <c r="T659" s="811"/>
      <c r="U659" s="811"/>
      <c r="V659" s="811"/>
      <c r="W659" s="811"/>
      <c r="X659" s="811"/>
      <c r="Y659" s="719"/>
      <c r="Z659" s="719"/>
      <c r="AA659" s="719"/>
      <c r="AB659" s="719"/>
      <c r="AC659" s="719"/>
      <c r="AD659" s="719"/>
      <c r="AE659" s="719"/>
      <c r="AF659" s="719"/>
      <c r="AG659" s="719"/>
      <c r="AH659" s="719"/>
      <c r="AI659" s="719"/>
      <c r="AJ659" s="719"/>
      <c r="AK659" s="719"/>
      <c r="AL659" s="719"/>
      <c r="AM659" s="719"/>
      <c r="AN659" s="719"/>
      <c r="AO659" s="719"/>
      <c r="AP659" s="719"/>
      <c r="AQ659" s="719"/>
      <c r="AR659" s="719"/>
      <c r="AS659" s="719"/>
      <c r="AT659" s="719"/>
      <c r="AU659" s="719"/>
      <c r="AV659" s="719"/>
      <c r="AW659" s="719"/>
      <c r="AX659" s="719"/>
      <c r="AY659" s="719"/>
      <c r="AZ659" s="719"/>
      <c r="BA659" s="719"/>
      <c r="BB659" s="719"/>
      <c r="BC659" s="719"/>
      <c r="BD659" s="719"/>
      <c r="BE659" s="719"/>
      <c r="BF659" s="719"/>
      <c r="BG659" s="719"/>
      <c r="BH659" s="719"/>
      <c r="BI659" s="719"/>
      <c r="BJ659" s="719"/>
    </row>
    <row r="660" spans="2:62" ht="15.75" customHeight="1">
      <c r="B660" s="497"/>
      <c r="C660" s="811"/>
      <c r="D660" s="811"/>
      <c r="E660" s="811"/>
      <c r="F660" s="811"/>
      <c r="G660" s="811"/>
      <c r="H660" s="811"/>
      <c r="I660" s="811"/>
      <c r="J660" s="811"/>
      <c r="K660" s="876"/>
      <c r="L660" s="876"/>
      <c r="M660" s="811"/>
      <c r="N660" s="874"/>
      <c r="O660" s="874"/>
      <c r="P660" s="811"/>
      <c r="Q660" s="874"/>
      <c r="R660" s="876"/>
      <c r="S660" s="811"/>
      <c r="T660" s="811"/>
      <c r="U660" s="811"/>
      <c r="V660" s="811"/>
      <c r="W660" s="811"/>
      <c r="X660" s="811"/>
      <c r="Y660" s="719"/>
      <c r="Z660" s="719"/>
      <c r="AA660" s="719"/>
      <c r="AB660" s="719"/>
      <c r="AC660" s="719"/>
      <c r="AD660" s="719"/>
      <c r="AE660" s="719"/>
      <c r="AF660" s="719"/>
      <c r="AG660" s="719"/>
      <c r="AH660" s="719"/>
      <c r="AI660" s="719"/>
      <c r="AJ660" s="719"/>
      <c r="AK660" s="719"/>
      <c r="AL660" s="719"/>
      <c r="AM660" s="719"/>
      <c r="AN660" s="719"/>
      <c r="AO660" s="719"/>
      <c r="AP660" s="719"/>
      <c r="AQ660" s="719"/>
      <c r="AR660" s="719"/>
      <c r="AS660" s="719"/>
      <c r="AT660" s="719"/>
      <c r="AU660" s="719"/>
      <c r="AV660" s="719"/>
      <c r="AW660" s="719"/>
      <c r="AX660" s="719"/>
      <c r="AY660" s="719"/>
      <c r="AZ660" s="719"/>
      <c r="BA660" s="719"/>
      <c r="BB660" s="719"/>
      <c r="BC660" s="719"/>
      <c r="BD660" s="719"/>
      <c r="BE660" s="719"/>
      <c r="BF660" s="719"/>
      <c r="BG660" s="719"/>
      <c r="BH660" s="719"/>
      <c r="BI660" s="719"/>
      <c r="BJ660" s="719"/>
    </row>
    <row r="661" spans="2:62" ht="15.75" customHeight="1">
      <c r="B661" s="497"/>
      <c r="C661" s="811"/>
      <c r="D661" s="811"/>
      <c r="E661" s="811"/>
      <c r="F661" s="811"/>
      <c r="G661" s="811"/>
      <c r="H661" s="811"/>
      <c r="I661" s="811"/>
      <c r="J661" s="811"/>
      <c r="K661" s="874"/>
      <c r="L661" s="874"/>
      <c r="M661" s="811"/>
      <c r="N661" s="874"/>
      <c r="O661" s="874"/>
      <c r="P661" s="811"/>
      <c r="Q661" s="874"/>
      <c r="R661" s="874"/>
      <c r="S661" s="811"/>
      <c r="T661" s="811"/>
      <c r="U661" s="811"/>
      <c r="V661" s="811"/>
      <c r="W661" s="811"/>
      <c r="X661" s="811"/>
      <c r="Y661" s="719"/>
      <c r="Z661" s="719"/>
      <c r="AA661" s="719"/>
      <c r="AB661" s="719"/>
      <c r="AC661" s="719"/>
      <c r="AD661" s="719"/>
      <c r="AE661" s="719"/>
      <c r="AF661" s="719"/>
      <c r="AG661" s="719"/>
      <c r="AH661" s="719"/>
      <c r="AI661" s="719"/>
      <c r="AJ661" s="719"/>
      <c r="AK661" s="719"/>
      <c r="AL661" s="719"/>
      <c r="AM661" s="719"/>
      <c r="AN661" s="719"/>
      <c r="AO661" s="719"/>
      <c r="AP661" s="719"/>
      <c r="AQ661" s="719"/>
      <c r="AR661" s="719"/>
      <c r="AS661" s="719"/>
      <c r="AT661" s="719"/>
      <c r="AU661" s="719"/>
      <c r="AV661" s="719"/>
      <c r="AW661" s="719"/>
      <c r="AX661" s="719"/>
      <c r="AY661" s="719"/>
      <c r="AZ661" s="719"/>
      <c r="BA661" s="719"/>
      <c r="BB661" s="719"/>
      <c r="BC661" s="719"/>
      <c r="BD661" s="719"/>
      <c r="BE661" s="719"/>
      <c r="BF661" s="719"/>
      <c r="BG661" s="719"/>
      <c r="BH661" s="719"/>
      <c r="BI661" s="719"/>
      <c r="BJ661" s="719"/>
    </row>
    <row r="662" spans="2:62" ht="15.75" customHeight="1">
      <c r="B662" s="497"/>
      <c r="C662" s="811"/>
      <c r="D662" s="811"/>
      <c r="E662" s="811"/>
      <c r="F662" s="811"/>
      <c r="G662" s="811"/>
      <c r="H662" s="811"/>
      <c r="I662" s="811"/>
      <c r="J662" s="811"/>
      <c r="K662" s="874"/>
      <c r="L662" s="874"/>
      <c r="M662" s="811"/>
      <c r="N662" s="874"/>
      <c r="O662" s="874"/>
      <c r="P662" s="811"/>
      <c r="Q662" s="874"/>
      <c r="R662" s="874"/>
      <c r="S662" s="811"/>
      <c r="T662" s="811"/>
      <c r="U662" s="811"/>
      <c r="V662" s="811"/>
      <c r="W662" s="811"/>
      <c r="X662" s="811"/>
      <c r="Y662" s="719"/>
      <c r="Z662" s="719"/>
      <c r="AA662" s="719"/>
      <c r="AB662" s="719"/>
      <c r="AC662" s="719"/>
      <c r="AD662" s="719"/>
      <c r="AE662" s="719"/>
      <c r="AF662" s="719"/>
      <c r="AG662" s="719"/>
      <c r="AH662" s="719"/>
      <c r="AI662" s="719"/>
      <c r="AJ662" s="719"/>
      <c r="AK662" s="719"/>
      <c r="AL662" s="719"/>
      <c r="AM662" s="719"/>
      <c r="AN662" s="719"/>
      <c r="AO662" s="719"/>
      <c r="AP662" s="719"/>
      <c r="AQ662" s="719"/>
      <c r="AR662" s="719"/>
      <c r="AS662" s="719"/>
      <c r="AT662" s="719"/>
      <c r="AU662" s="719"/>
      <c r="AV662" s="719"/>
      <c r="AW662" s="719"/>
      <c r="AX662" s="719"/>
      <c r="AY662" s="719"/>
      <c r="AZ662" s="719"/>
      <c r="BA662" s="719"/>
      <c r="BB662" s="719"/>
      <c r="BC662" s="719"/>
      <c r="BD662" s="719"/>
      <c r="BE662" s="719"/>
      <c r="BF662" s="719"/>
      <c r="BG662" s="719"/>
      <c r="BH662" s="719"/>
      <c r="BI662" s="719"/>
      <c r="BJ662" s="719"/>
    </row>
    <row r="663" spans="2:62" ht="15.75" customHeight="1">
      <c r="B663" s="497"/>
      <c r="C663" s="811"/>
      <c r="D663" s="811"/>
      <c r="E663" s="811"/>
      <c r="F663" s="811"/>
      <c r="G663" s="811"/>
      <c r="H663" s="811"/>
      <c r="I663" s="811"/>
      <c r="J663" s="811"/>
      <c r="K663" s="874"/>
      <c r="L663" s="874"/>
      <c r="M663" s="811"/>
      <c r="N663" s="874"/>
      <c r="O663" s="874"/>
      <c r="P663" s="811"/>
      <c r="Q663" s="874"/>
      <c r="R663" s="874"/>
      <c r="S663" s="811"/>
      <c r="T663" s="811"/>
      <c r="U663" s="811"/>
      <c r="V663" s="811"/>
      <c r="W663" s="811"/>
      <c r="X663" s="811"/>
      <c r="Y663" s="719"/>
      <c r="Z663" s="719"/>
      <c r="AA663" s="719"/>
      <c r="AB663" s="719"/>
      <c r="AC663" s="719"/>
      <c r="AD663" s="719"/>
      <c r="AE663" s="719"/>
      <c r="AF663" s="719"/>
      <c r="AG663" s="719"/>
      <c r="AH663" s="719"/>
      <c r="AI663" s="719"/>
      <c r="AJ663" s="719"/>
      <c r="AK663" s="719"/>
      <c r="AL663" s="719"/>
      <c r="AM663" s="719"/>
      <c r="AN663" s="719"/>
      <c r="AO663" s="719"/>
      <c r="AP663" s="719"/>
      <c r="AQ663" s="719"/>
      <c r="AR663" s="719"/>
      <c r="AS663" s="719"/>
      <c r="AT663" s="719"/>
      <c r="AU663" s="719"/>
      <c r="AV663" s="719"/>
      <c r="AW663" s="719"/>
      <c r="AX663" s="719"/>
      <c r="AY663" s="719"/>
      <c r="AZ663" s="719"/>
      <c r="BA663" s="719"/>
      <c r="BB663" s="719"/>
      <c r="BC663" s="719"/>
      <c r="BD663" s="719"/>
      <c r="BE663" s="719"/>
      <c r="BF663" s="719"/>
      <c r="BG663" s="719"/>
      <c r="BH663" s="719"/>
      <c r="BI663" s="719"/>
      <c r="BJ663" s="719"/>
    </row>
    <row r="664" spans="2:62" ht="15.75" customHeight="1">
      <c r="B664" s="497"/>
      <c r="C664" s="811"/>
      <c r="D664" s="811"/>
      <c r="E664" s="811"/>
      <c r="F664" s="811"/>
      <c r="G664" s="811"/>
      <c r="H664" s="811"/>
      <c r="I664" s="811"/>
      <c r="J664" s="811"/>
      <c r="K664" s="874"/>
      <c r="L664" s="874"/>
      <c r="M664" s="811"/>
      <c r="N664" s="874"/>
      <c r="O664" s="874"/>
      <c r="P664" s="811"/>
      <c r="Q664" s="874"/>
      <c r="R664" s="874"/>
      <c r="S664" s="811"/>
      <c r="T664" s="811"/>
      <c r="U664" s="811"/>
      <c r="V664" s="811"/>
      <c r="W664" s="811"/>
      <c r="X664" s="811"/>
      <c r="Y664" s="719"/>
      <c r="Z664" s="719"/>
      <c r="AA664" s="719"/>
      <c r="AB664" s="719"/>
      <c r="AC664" s="719"/>
      <c r="AD664" s="719"/>
      <c r="AE664" s="719"/>
      <c r="AF664" s="719"/>
      <c r="AG664" s="719"/>
      <c r="AH664" s="719"/>
      <c r="AI664" s="719"/>
      <c r="AJ664" s="719"/>
      <c r="AK664" s="719"/>
      <c r="AL664" s="719"/>
      <c r="AM664" s="719"/>
      <c r="AN664" s="719"/>
      <c r="AO664" s="719"/>
      <c r="AP664" s="719"/>
      <c r="AQ664" s="719"/>
      <c r="AR664" s="719"/>
      <c r="AS664" s="719"/>
      <c r="AT664" s="719"/>
      <c r="AU664" s="719"/>
      <c r="AV664" s="719"/>
      <c r="AW664" s="719"/>
      <c r="AX664" s="719"/>
      <c r="AY664" s="719"/>
      <c r="AZ664" s="719"/>
      <c r="BA664" s="719"/>
      <c r="BB664" s="719"/>
      <c r="BC664" s="719"/>
      <c r="BD664" s="719"/>
      <c r="BE664" s="719"/>
      <c r="BF664" s="719"/>
      <c r="BG664" s="719"/>
      <c r="BH664" s="719"/>
      <c r="BI664" s="719"/>
      <c r="BJ664" s="719"/>
    </row>
    <row r="665" spans="2:62" ht="15.75" customHeight="1">
      <c r="B665" s="497"/>
      <c r="C665" s="811"/>
      <c r="D665" s="811"/>
      <c r="E665" s="811"/>
      <c r="F665" s="811"/>
      <c r="G665" s="811"/>
      <c r="H665" s="811"/>
      <c r="I665" s="811"/>
      <c r="J665" s="811"/>
      <c r="K665" s="874"/>
      <c r="L665" s="874"/>
      <c r="M665" s="811"/>
      <c r="N665" s="874"/>
      <c r="O665" s="874"/>
      <c r="P665" s="811"/>
      <c r="Q665" s="874"/>
      <c r="R665" s="874"/>
      <c r="S665" s="811"/>
      <c r="T665" s="811"/>
      <c r="U665" s="811"/>
      <c r="V665" s="811"/>
      <c r="W665" s="811"/>
      <c r="X665" s="811"/>
      <c r="Y665" s="719"/>
      <c r="Z665" s="719"/>
      <c r="AA665" s="719"/>
      <c r="AB665" s="719"/>
      <c r="AC665" s="719"/>
      <c r="AD665" s="719"/>
      <c r="AE665" s="719"/>
      <c r="AF665" s="719"/>
      <c r="AG665" s="719"/>
      <c r="AH665" s="719"/>
      <c r="AI665" s="719"/>
      <c r="AJ665" s="719"/>
      <c r="AK665" s="719"/>
      <c r="AL665" s="719"/>
      <c r="AM665" s="719"/>
      <c r="AN665" s="719"/>
      <c r="AO665" s="719"/>
      <c r="AP665" s="719"/>
      <c r="AQ665" s="719"/>
      <c r="AR665" s="719"/>
      <c r="AS665" s="719"/>
      <c r="AT665" s="719"/>
      <c r="AU665" s="719"/>
      <c r="AV665" s="719"/>
      <c r="AW665" s="719"/>
      <c r="AX665" s="719"/>
      <c r="AY665" s="719"/>
      <c r="AZ665" s="719"/>
      <c r="BA665" s="719"/>
      <c r="BB665" s="719"/>
      <c r="BC665" s="719"/>
      <c r="BD665" s="719"/>
      <c r="BE665" s="719"/>
      <c r="BF665" s="719"/>
      <c r="BG665" s="719"/>
      <c r="BH665" s="719"/>
      <c r="BI665" s="719"/>
      <c r="BJ665" s="719"/>
    </row>
    <row r="666" spans="2:62" ht="15.75" customHeight="1">
      <c r="B666" s="497"/>
      <c r="C666" s="811"/>
      <c r="D666" s="811"/>
      <c r="E666" s="811"/>
      <c r="F666" s="811"/>
      <c r="G666" s="811"/>
      <c r="H666" s="811"/>
      <c r="I666" s="811"/>
      <c r="J666" s="811"/>
      <c r="K666" s="874"/>
      <c r="L666" s="874"/>
      <c r="M666" s="811"/>
      <c r="N666" s="874"/>
      <c r="O666" s="874"/>
      <c r="P666" s="811"/>
      <c r="Q666" s="874"/>
      <c r="R666" s="874"/>
      <c r="S666" s="811"/>
      <c r="T666" s="811"/>
      <c r="U666" s="811"/>
      <c r="V666" s="811"/>
      <c r="W666" s="811"/>
      <c r="X666" s="811"/>
      <c r="Y666" s="719"/>
      <c r="Z666" s="719"/>
      <c r="AA666" s="719"/>
      <c r="AB666" s="719"/>
      <c r="AC666" s="719"/>
      <c r="AD666" s="719"/>
      <c r="AE666" s="719"/>
      <c r="AF666" s="719"/>
      <c r="AG666" s="719"/>
      <c r="AH666" s="719"/>
      <c r="AI666" s="719"/>
      <c r="AJ666" s="719"/>
      <c r="AK666" s="719"/>
      <c r="AL666" s="719"/>
      <c r="AM666" s="719"/>
      <c r="AN666" s="719"/>
      <c r="AO666" s="719"/>
      <c r="AP666" s="719"/>
      <c r="AQ666" s="719"/>
      <c r="AR666" s="719"/>
      <c r="AS666" s="719"/>
      <c r="AT666" s="719"/>
      <c r="AU666" s="719"/>
      <c r="AV666" s="719"/>
      <c r="AW666" s="719"/>
      <c r="AX666" s="719"/>
      <c r="AY666" s="719"/>
      <c r="AZ666" s="719"/>
      <c r="BA666" s="719"/>
      <c r="BB666" s="719"/>
      <c r="BC666" s="719"/>
      <c r="BD666" s="719"/>
      <c r="BE666" s="719"/>
      <c r="BF666" s="719"/>
      <c r="BG666" s="719"/>
      <c r="BH666" s="719"/>
      <c r="BI666" s="719"/>
      <c r="BJ666" s="719"/>
    </row>
    <row r="667" spans="2:62" ht="15.75" customHeight="1">
      <c r="B667" s="497"/>
      <c r="C667" s="811"/>
      <c r="D667" s="811"/>
      <c r="E667" s="811"/>
      <c r="F667" s="811"/>
      <c r="G667" s="811"/>
      <c r="H667" s="811"/>
      <c r="I667" s="811"/>
      <c r="J667" s="811"/>
      <c r="K667" s="874"/>
      <c r="L667" s="874"/>
      <c r="M667" s="811"/>
      <c r="N667" s="874"/>
      <c r="O667" s="874"/>
      <c r="P667" s="811"/>
      <c r="Q667" s="874"/>
      <c r="R667" s="874"/>
      <c r="S667" s="811"/>
      <c r="T667" s="811"/>
      <c r="U667" s="811"/>
      <c r="V667" s="811"/>
      <c r="W667" s="811"/>
      <c r="X667" s="811"/>
      <c r="Y667" s="719"/>
      <c r="Z667" s="719"/>
      <c r="AA667" s="719"/>
      <c r="AB667" s="719"/>
      <c r="AC667" s="719"/>
      <c r="AD667" s="719"/>
      <c r="AE667" s="719"/>
      <c r="AF667" s="719"/>
      <c r="AG667" s="719"/>
      <c r="AH667" s="719"/>
      <c r="AI667" s="719"/>
      <c r="AJ667" s="719"/>
      <c r="AK667" s="719"/>
      <c r="AL667" s="719"/>
      <c r="AM667" s="719"/>
      <c r="AN667" s="719"/>
      <c r="AO667" s="719"/>
      <c r="AP667" s="719"/>
      <c r="AQ667" s="719"/>
      <c r="AR667" s="719"/>
      <c r="AS667" s="719"/>
      <c r="AT667" s="719"/>
      <c r="AU667" s="719"/>
      <c r="AV667" s="719"/>
      <c r="AW667" s="719"/>
      <c r="AX667" s="719"/>
      <c r="AY667" s="719"/>
      <c r="AZ667" s="719"/>
      <c r="BA667" s="719"/>
      <c r="BB667" s="719"/>
      <c r="BC667" s="719"/>
      <c r="BD667" s="719"/>
      <c r="BE667" s="719"/>
      <c r="BF667" s="719"/>
      <c r="BG667" s="719"/>
      <c r="BH667" s="719"/>
      <c r="BI667" s="719"/>
      <c r="BJ667" s="719"/>
    </row>
    <row r="668" spans="2:62" ht="15.75" customHeight="1">
      <c r="B668" s="497"/>
      <c r="C668" s="811"/>
      <c r="D668" s="811"/>
      <c r="E668" s="811"/>
      <c r="F668" s="811"/>
      <c r="G668" s="811"/>
      <c r="H668" s="811"/>
      <c r="I668" s="811"/>
      <c r="J668" s="811"/>
      <c r="K668" s="874"/>
      <c r="L668" s="874"/>
      <c r="M668" s="811"/>
      <c r="N668" s="874"/>
      <c r="O668" s="874"/>
      <c r="P668" s="811"/>
      <c r="Q668" s="874"/>
      <c r="R668" s="874"/>
      <c r="S668" s="811"/>
      <c r="T668" s="811"/>
      <c r="U668" s="811"/>
      <c r="V668" s="811"/>
      <c r="W668" s="811"/>
      <c r="X668" s="811"/>
      <c r="Y668" s="719"/>
      <c r="Z668" s="719"/>
      <c r="AA668" s="719"/>
      <c r="AB668" s="719"/>
      <c r="AC668" s="719"/>
      <c r="AD668" s="719"/>
      <c r="AE668" s="719"/>
      <c r="AF668" s="719"/>
      <c r="AG668" s="719"/>
      <c r="AH668" s="719"/>
      <c r="AI668" s="719"/>
      <c r="AJ668" s="719"/>
      <c r="AK668" s="719"/>
      <c r="AL668" s="719"/>
      <c r="AM668" s="719"/>
      <c r="AN668" s="719"/>
      <c r="AO668" s="719"/>
      <c r="AP668" s="719"/>
      <c r="AQ668" s="719"/>
      <c r="AR668" s="719"/>
      <c r="AS668" s="719"/>
      <c r="AT668" s="719"/>
      <c r="AU668" s="719"/>
      <c r="AV668" s="719"/>
      <c r="AW668" s="719"/>
      <c r="AX668" s="719"/>
      <c r="AY668" s="719"/>
      <c r="AZ668" s="719"/>
      <c r="BA668" s="719"/>
      <c r="BB668" s="719"/>
      <c r="BC668" s="719"/>
      <c r="BD668" s="719"/>
      <c r="BE668" s="719"/>
      <c r="BF668" s="719"/>
      <c r="BG668" s="719"/>
      <c r="BH668" s="719"/>
      <c r="BI668" s="719"/>
      <c r="BJ668" s="719"/>
    </row>
    <row r="669" spans="2:62" ht="15.75" customHeight="1">
      <c r="B669" s="497"/>
      <c r="C669" s="811"/>
      <c r="D669" s="811"/>
      <c r="E669" s="811"/>
      <c r="F669" s="811"/>
      <c r="G669" s="811"/>
      <c r="H669" s="811"/>
      <c r="I669" s="811"/>
      <c r="J669" s="811"/>
      <c r="K669" s="874"/>
      <c r="L669" s="874"/>
      <c r="M669" s="811"/>
      <c r="N669" s="876"/>
      <c r="O669" s="876"/>
      <c r="P669" s="811"/>
      <c r="Q669" s="876"/>
      <c r="R669" s="874"/>
      <c r="S669" s="811"/>
      <c r="T669" s="811"/>
      <c r="U669" s="811"/>
      <c r="V669" s="811"/>
      <c r="W669" s="811"/>
      <c r="X669" s="811"/>
      <c r="Y669" s="719"/>
      <c r="Z669" s="719"/>
      <c r="AA669" s="719"/>
      <c r="AB669" s="719"/>
      <c r="AC669" s="719"/>
      <c r="AD669" s="719"/>
      <c r="AE669" s="719"/>
      <c r="AF669" s="719"/>
      <c r="AG669" s="719"/>
      <c r="AH669" s="719"/>
      <c r="AI669" s="719"/>
      <c r="AJ669" s="719"/>
      <c r="AK669" s="719"/>
      <c r="AL669" s="719"/>
      <c r="AM669" s="719"/>
      <c r="AN669" s="719"/>
      <c r="AO669" s="719"/>
      <c r="AP669" s="719"/>
      <c r="AQ669" s="719"/>
      <c r="AR669" s="719"/>
      <c r="AS669" s="719"/>
      <c r="AT669" s="719"/>
      <c r="AU669" s="719"/>
      <c r="AV669" s="719"/>
      <c r="AW669" s="719"/>
      <c r="AX669" s="719"/>
      <c r="AY669" s="719"/>
      <c r="AZ669" s="719"/>
      <c r="BA669" s="719"/>
      <c r="BB669" s="719"/>
      <c r="BC669" s="719"/>
      <c r="BD669" s="719"/>
      <c r="BE669" s="719"/>
      <c r="BF669" s="719"/>
      <c r="BG669" s="719"/>
      <c r="BH669" s="719"/>
      <c r="BI669" s="719"/>
      <c r="BJ669" s="719"/>
    </row>
    <row r="670" spans="2:62" ht="15.75" customHeight="1">
      <c r="B670" s="497"/>
      <c r="C670" s="811"/>
      <c r="D670" s="811"/>
      <c r="E670" s="811"/>
      <c r="F670" s="811"/>
      <c r="G670" s="811"/>
      <c r="H670" s="811"/>
      <c r="I670" s="811"/>
      <c r="J670" s="811"/>
      <c r="K670" s="876"/>
      <c r="L670" s="876"/>
      <c r="M670" s="811"/>
      <c r="N670" s="874"/>
      <c r="O670" s="874"/>
      <c r="P670" s="811"/>
      <c r="Q670" s="874"/>
      <c r="R670" s="876"/>
      <c r="S670" s="811"/>
      <c r="T670" s="811"/>
      <c r="U670" s="811"/>
      <c r="V670" s="811"/>
      <c r="W670" s="811"/>
      <c r="X670" s="811"/>
      <c r="Y670" s="719"/>
      <c r="Z670" s="719"/>
      <c r="AA670" s="719"/>
      <c r="AB670" s="719"/>
      <c r="AC670" s="719"/>
      <c r="AD670" s="719"/>
      <c r="AE670" s="719"/>
      <c r="AF670" s="719"/>
      <c r="AG670" s="719"/>
      <c r="AH670" s="719"/>
      <c r="AI670" s="719"/>
      <c r="AJ670" s="719"/>
      <c r="AK670" s="719"/>
      <c r="AL670" s="719"/>
      <c r="AM670" s="719"/>
      <c r="AN670" s="719"/>
      <c r="AO670" s="719"/>
      <c r="AP670" s="719"/>
      <c r="AQ670" s="719"/>
      <c r="AR670" s="719"/>
      <c r="AS670" s="719"/>
      <c r="AT670" s="719"/>
      <c r="AU670" s="719"/>
      <c r="AV670" s="719"/>
      <c r="AW670" s="719"/>
      <c r="AX670" s="719"/>
      <c r="AY670" s="719"/>
      <c r="AZ670" s="719"/>
      <c r="BA670" s="719"/>
      <c r="BB670" s="719"/>
      <c r="BC670" s="719"/>
      <c r="BD670" s="719"/>
      <c r="BE670" s="719"/>
      <c r="BF670" s="719"/>
      <c r="BG670" s="719"/>
      <c r="BH670" s="719"/>
      <c r="BI670" s="719"/>
      <c r="BJ670" s="719"/>
    </row>
    <row r="671" spans="2:62" ht="15.75" customHeight="1">
      <c r="B671" s="497"/>
      <c r="C671" s="811"/>
      <c r="D671" s="811"/>
      <c r="E671" s="811"/>
      <c r="F671" s="811"/>
      <c r="G671" s="811"/>
      <c r="H671" s="811"/>
      <c r="I671" s="811"/>
      <c r="J671" s="811"/>
      <c r="K671" s="874"/>
      <c r="L671" s="874"/>
      <c r="M671" s="811"/>
      <c r="N671" s="874"/>
      <c r="O671" s="874"/>
      <c r="P671" s="811"/>
      <c r="Q671" s="874"/>
      <c r="R671" s="874"/>
      <c r="S671" s="811"/>
      <c r="T671" s="811"/>
      <c r="U671" s="811"/>
      <c r="V671" s="811"/>
      <c r="W671" s="811"/>
      <c r="X671" s="811"/>
      <c r="Y671" s="719"/>
      <c r="Z671" s="719"/>
      <c r="AA671" s="719"/>
      <c r="AB671" s="719"/>
      <c r="AC671" s="719"/>
      <c r="AD671" s="719"/>
      <c r="AE671" s="719"/>
      <c r="AF671" s="719"/>
      <c r="AG671" s="719"/>
      <c r="AH671" s="719"/>
      <c r="AI671" s="719"/>
      <c r="AJ671" s="719"/>
      <c r="AK671" s="719"/>
      <c r="AL671" s="719"/>
      <c r="AM671" s="719"/>
      <c r="AN671" s="719"/>
      <c r="AO671" s="719"/>
      <c r="AP671" s="719"/>
      <c r="AQ671" s="719"/>
      <c r="AR671" s="719"/>
      <c r="AS671" s="719"/>
      <c r="AT671" s="719"/>
      <c r="AU671" s="719"/>
      <c r="AV671" s="719"/>
      <c r="AW671" s="719"/>
      <c r="AX671" s="719"/>
      <c r="AY671" s="719"/>
      <c r="AZ671" s="719"/>
      <c r="BA671" s="719"/>
      <c r="BB671" s="719"/>
      <c r="BC671" s="719"/>
      <c r="BD671" s="719"/>
      <c r="BE671" s="719"/>
      <c r="BF671" s="719"/>
      <c r="BG671" s="719"/>
      <c r="BH671" s="719"/>
      <c r="BI671" s="719"/>
      <c r="BJ671" s="719"/>
    </row>
    <row r="672" spans="2:62" ht="15.75" customHeight="1">
      <c r="B672" s="497"/>
      <c r="C672" s="811"/>
      <c r="D672" s="811"/>
      <c r="E672" s="811"/>
      <c r="F672" s="811"/>
      <c r="G672" s="811"/>
      <c r="H672" s="811"/>
      <c r="I672" s="811"/>
      <c r="J672" s="811"/>
      <c r="K672" s="874"/>
      <c r="L672" s="874"/>
      <c r="M672" s="811"/>
      <c r="N672" s="874"/>
      <c r="O672" s="874"/>
      <c r="P672" s="811"/>
      <c r="Q672" s="874"/>
      <c r="R672" s="874"/>
      <c r="S672" s="811"/>
      <c r="T672" s="811"/>
      <c r="U672" s="811"/>
      <c r="V672" s="811"/>
      <c r="W672" s="811"/>
      <c r="X672" s="811"/>
      <c r="Y672" s="719"/>
      <c r="Z672" s="719"/>
      <c r="AA672" s="719"/>
      <c r="AB672" s="719"/>
      <c r="AC672" s="719"/>
      <c r="AD672" s="719"/>
      <c r="AE672" s="719"/>
      <c r="AF672" s="719"/>
      <c r="AG672" s="719"/>
      <c r="AH672" s="719"/>
      <c r="AI672" s="719"/>
      <c r="AJ672" s="719"/>
      <c r="AK672" s="719"/>
      <c r="AL672" s="719"/>
      <c r="AM672" s="719"/>
      <c r="AN672" s="719"/>
      <c r="AO672" s="719"/>
      <c r="AP672" s="719"/>
      <c r="AQ672" s="719"/>
      <c r="AR672" s="719"/>
      <c r="AS672" s="719"/>
      <c r="AT672" s="719"/>
      <c r="AU672" s="719"/>
      <c r="AV672" s="719"/>
      <c r="AW672" s="719"/>
      <c r="AX672" s="719"/>
      <c r="AY672" s="719"/>
      <c r="AZ672" s="719"/>
      <c r="BA672" s="719"/>
      <c r="BB672" s="719"/>
      <c r="BC672" s="719"/>
      <c r="BD672" s="719"/>
      <c r="BE672" s="719"/>
      <c r="BF672" s="719"/>
      <c r="BG672" s="719"/>
      <c r="BH672" s="719"/>
      <c r="BI672" s="719"/>
      <c r="BJ672" s="719"/>
    </row>
    <row r="673" spans="2:62" ht="15.75" customHeight="1">
      <c r="B673" s="497"/>
      <c r="C673" s="811"/>
      <c r="D673" s="811"/>
      <c r="E673" s="811"/>
      <c r="F673" s="811"/>
      <c r="G673" s="811"/>
      <c r="H673" s="811"/>
      <c r="I673" s="811"/>
      <c r="J673" s="811"/>
      <c r="K673" s="874"/>
      <c r="L673" s="874"/>
      <c r="M673" s="811"/>
      <c r="N673" s="874"/>
      <c r="O673" s="874"/>
      <c r="P673" s="811"/>
      <c r="Q673" s="874"/>
      <c r="R673" s="874"/>
      <c r="S673" s="811"/>
      <c r="T673" s="811"/>
      <c r="U673" s="811"/>
      <c r="V673" s="811"/>
      <c r="W673" s="811"/>
      <c r="X673" s="811"/>
      <c r="Y673" s="719"/>
      <c r="Z673" s="719"/>
      <c r="AA673" s="719"/>
      <c r="AB673" s="719"/>
      <c r="AC673" s="719"/>
      <c r="AD673" s="719"/>
      <c r="AE673" s="719"/>
      <c r="AF673" s="719"/>
      <c r="AG673" s="719"/>
      <c r="AH673" s="719"/>
      <c r="AI673" s="719"/>
      <c r="AJ673" s="719"/>
      <c r="AK673" s="719"/>
      <c r="AL673" s="719"/>
      <c r="AM673" s="719"/>
      <c r="AN673" s="719"/>
      <c r="AO673" s="719"/>
      <c r="AP673" s="719"/>
      <c r="AQ673" s="719"/>
      <c r="AR673" s="719"/>
      <c r="AS673" s="719"/>
      <c r="AT673" s="719"/>
      <c r="AU673" s="719"/>
      <c r="AV673" s="719"/>
      <c r="AW673" s="719"/>
      <c r="AX673" s="719"/>
      <c r="AY673" s="719"/>
      <c r="AZ673" s="719"/>
      <c r="BA673" s="719"/>
      <c r="BB673" s="719"/>
      <c r="BC673" s="719"/>
      <c r="BD673" s="719"/>
      <c r="BE673" s="719"/>
      <c r="BF673" s="719"/>
      <c r="BG673" s="719"/>
      <c r="BH673" s="719"/>
      <c r="BI673" s="719"/>
      <c r="BJ673" s="719"/>
    </row>
    <row r="674" spans="2:62" ht="15.75" customHeight="1">
      <c r="B674" s="497"/>
      <c r="C674" s="811"/>
      <c r="D674" s="811"/>
      <c r="E674" s="811"/>
      <c r="F674" s="811"/>
      <c r="G674" s="811"/>
      <c r="H674" s="811"/>
      <c r="I674" s="811"/>
      <c r="J674" s="811"/>
      <c r="K674" s="874"/>
      <c r="L674" s="874"/>
      <c r="M674" s="811"/>
      <c r="N674" s="874"/>
      <c r="O674" s="874"/>
      <c r="P674" s="811"/>
      <c r="Q674" s="874"/>
      <c r="R674" s="874"/>
      <c r="S674" s="811"/>
      <c r="T674" s="811"/>
      <c r="U674" s="811"/>
      <c r="V674" s="811"/>
      <c r="W674" s="811"/>
      <c r="X674" s="811"/>
      <c r="Y674" s="719"/>
      <c r="Z674" s="719"/>
      <c r="AA674" s="719"/>
      <c r="AB674" s="719"/>
      <c r="AC674" s="719"/>
      <c r="AD674" s="719"/>
      <c r="AE674" s="719"/>
      <c r="AF674" s="719"/>
      <c r="AG674" s="719"/>
      <c r="AH674" s="719"/>
      <c r="AI674" s="719"/>
      <c r="AJ674" s="719"/>
      <c r="AK674" s="719"/>
      <c r="AL674" s="719"/>
      <c r="AM674" s="719"/>
      <c r="AN674" s="719"/>
      <c r="AO674" s="719"/>
      <c r="AP674" s="719"/>
      <c r="AQ674" s="719"/>
      <c r="AR674" s="719"/>
      <c r="AS674" s="719"/>
      <c r="AT674" s="719"/>
      <c r="AU674" s="719"/>
      <c r="AV674" s="719"/>
      <c r="AW674" s="719"/>
      <c r="AX674" s="719"/>
      <c r="AY674" s="719"/>
      <c r="AZ674" s="719"/>
      <c r="BA674" s="719"/>
      <c r="BB674" s="719"/>
      <c r="BC674" s="719"/>
      <c r="BD674" s="719"/>
      <c r="BE674" s="719"/>
      <c r="BF674" s="719"/>
      <c r="BG674" s="719"/>
      <c r="BH674" s="719"/>
      <c r="BI674" s="719"/>
      <c r="BJ674" s="719"/>
    </row>
    <row r="675" spans="2:62" ht="15.75" customHeight="1">
      <c r="B675" s="497"/>
      <c r="C675" s="811"/>
      <c r="D675" s="811"/>
      <c r="E675" s="811"/>
      <c r="F675" s="811"/>
      <c r="G675" s="811"/>
      <c r="H675" s="811"/>
      <c r="I675" s="811"/>
      <c r="J675" s="811"/>
      <c r="K675" s="874"/>
      <c r="L675" s="874"/>
      <c r="M675" s="811"/>
      <c r="N675" s="874"/>
      <c r="O675" s="874"/>
      <c r="P675" s="811"/>
      <c r="Q675" s="874"/>
      <c r="R675" s="874"/>
      <c r="S675" s="811"/>
      <c r="T675" s="811"/>
      <c r="U675" s="811"/>
      <c r="V675" s="811"/>
      <c r="W675" s="811"/>
      <c r="X675" s="811"/>
      <c r="Y675" s="719"/>
      <c r="Z675" s="719"/>
      <c r="AA675" s="719"/>
      <c r="AB675" s="719"/>
      <c r="AC675" s="719"/>
      <c r="AD675" s="719"/>
      <c r="AE675" s="719"/>
      <c r="AF675" s="719"/>
      <c r="AG675" s="719"/>
      <c r="AH675" s="719"/>
      <c r="AI675" s="719"/>
      <c r="AJ675" s="719"/>
      <c r="AK675" s="719"/>
      <c r="AL675" s="719"/>
      <c r="AM675" s="719"/>
      <c r="AN675" s="719"/>
      <c r="AO675" s="719"/>
      <c r="AP675" s="719"/>
      <c r="AQ675" s="719"/>
      <c r="AR675" s="719"/>
      <c r="AS675" s="719"/>
      <c r="AT675" s="719"/>
      <c r="AU675" s="719"/>
      <c r="AV675" s="719"/>
      <c r="AW675" s="719"/>
      <c r="AX675" s="719"/>
      <c r="AY675" s="719"/>
      <c r="AZ675" s="719"/>
      <c r="BA675" s="719"/>
      <c r="BB675" s="719"/>
      <c r="BC675" s="719"/>
      <c r="BD675" s="719"/>
      <c r="BE675" s="719"/>
      <c r="BF675" s="719"/>
      <c r="BG675" s="719"/>
      <c r="BH675" s="719"/>
      <c r="BI675" s="719"/>
      <c r="BJ675" s="719"/>
    </row>
    <row r="676" spans="2:62" ht="15.75" customHeight="1">
      <c r="B676" s="497"/>
      <c r="C676" s="811"/>
      <c r="D676" s="811"/>
      <c r="E676" s="811"/>
      <c r="F676" s="811"/>
      <c r="G676" s="811"/>
      <c r="H676" s="811"/>
      <c r="I676" s="811"/>
      <c r="J676" s="811"/>
      <c r="K676" s="874"/>
      <c r="L676" s="874"/>
      <c r="M676" s="811"/>
      <c r="N676" s="874"/>
      <c r="O676" s="874"/>
      <c r="P676" s="811"/>
      <c r="Q676" s="874"/>
      <c r="R676" s="874"/>
      <c r="S676" s="811"/>
      <c r="T676" s="811"/>
      <c r="U676" s="811"/>
      <c r="V676" s="811"/>
      <c r="W676" s="811"/>
      <c r="X676" s="811"/>
      <c r="Y676" s="719"/>
      <c r="Z676" s="719"/>
      <c r="AA676" s="719"/>
      <c r="AB676" s="719"/>
      <c r="AC676" s="719"/>
      <c r="AD676" s="719"/>
      <c r="AE676" s="719"/>
      <c r="AF676" s="719"/>
      <c r="AG676" s="719"/>
      <c r="AH676" s="719"/>
      <c r="AI676" s="719"/>
      <c r="AJ676" s="719"/>
      <c r="AK676" s="719"/>
      <c r="AL676" s="719"/>
      <c r="AM676" s="719"/>
      <c r="AN676" s="719"/>
      <c r="AO676" s="719"/>
      <c r="AP676" s="719"/>
      <c r="AQ676" s="719"/>
      <c r="AR676" s="719"/>
      <c r="AS676" s="719"/>
      <c r="AT676" s="719"/>
      <c r="AU676" s="719"/>
      <c r="AV676" s="719"/>
      <c r="AW676" s="719"/>
      <c r="AX676" s="719"/>
      <c r="AY676" s="719"/>
      <c r="AZ676" s="719"/>
      <c r="BA676" s="719"/>
      <c r="BB676" s="719"/>
      <c r="BC676" s="719"/>
      <c r="BD676" s="719"/>
      <c r="BE676" s="719"/>
      <c r="BF676" s="719"/>
      <c r="BG676" s="719"/>
      <c r="BH676" s="719"/>
      <c r="BI676" s="719"/>
      <c r="BJ676" s="719"/>
    </row>
    <row r="677" spans="2:62" ht="15.75" customHeight="1">
      <c r="B677" s="497"/>
      <c r="C677" s="811"/>
      <c r="D677" s="811"/>
      <c r="E677" s="811"/>
      <c r="F677" s="811"/>
      <c r="G677" s="811"/>
      <c r="H677" s="811"/>
      <c r="I677" s="811"/>
      <c r="J677" s="811"/>
      <c r="K677" s="874"/>
      <c r="L677" s="874"/>
      <c r="M677" s="811"/>
      <c r="N677" s="874"/>
      <c r="O677" s="874"/>
      <c r="P677" s="811"/>
      <c r="Q677" s="874"/>
      <c r="R677" s="874"/>
      <c r="S677" s="811"/>
      <c r="T677" s="811"/>
      <c r="U677" s="811"/>
      <c r="V677" s="811"/>
      <c r="W677" s="811"/>
      <c r="X677" s="811"/>
      <c r="Y677" s="719"/>
      <c r="Z677" s="719"/>
      <c r="AA677" s="719"/>
      <c r="AB677" s="719"/>
      <c r="AC677" s="719"/>
      <c r="AD677" s="719"/>
      <c r="AE677" s="719"/>
      <c r="AF677" s="719"/>
      <c r="AG677" s="719"/>
      <c r="AH677" s="719"/>
      <c r="AI677" s="719"/>
      <c r="AJ677" s="719"/>
      <c r="AK677" s="719"/>
      <c r="AL677" s="719"/>
      <c r="AM677" s="719"/>
      <c r="AN677" s="719"/>
      <c r="AO677" s="719"/>
      <c r="AP677" s="719"/>
      <c r="AQ677" s="719"/>
      <c r="AR677" s="719"/>
      <c r="AS677" s="719"/>
      <c r="AT677" s="719"/>
      <c r="AU677" s="719"/>
      <c r="AV677" s="719"/>
      <c r="AW677" s="719"/>
      <c r="AX677" s="719"/>
      <c r="AY677" s="719"/>
      <c r="AZ677" s="719"/>
      <c r="BA677" s="719"/>
      <c r="BB677" s="719"/>
      <c r="BC677" s="719"/>
      <c r="BD677" s="719"/>
      <c r="BE677" s="719"/>
      <c r="BF677" s="719"/>
      <c r="BG677" s="719"/>
      <c r="BH677" s="719"/>
      <c r="BI677" s="719"/>
      <c r="BJ677" s="719"/>
    </row>
    <row r="678" spans="2:62" ht="15.75" customHeight="1">
      <c r="B678" s="497"/>
      <c r="C678" s="811"/>
      <c r="D678" s="811"/>
      <c r="E678" s="811"/>
      <c r="F678" s="811"/>
      <c r="G678" s="811"/>
      <c r="H678" s="811"/>
      <c r="I678" s="811"/>
      <c r="J678" s="811"/>
      <c r="K678" s="874"/>
      <c r="L678" s="874"/>
      <c r="M678" s="811"/>
      <c r="N678" s="874"/>
      <c r="O678" s="874"/>
      <c r="P678" s="811"/>
      <c r="Q678" s="874"/>
      <c r="R678" s="874"/>
      <c r="S678" s="811"/>
      <c r="T678" s="811"/>
      <c r="U678" s="811"/>
      <c r="V678" s="811"/>
      <c r="W678" s="811"/>
      <c r="X678" s="811"/>
      <c r="Y678" s="719"/>
      <c r="Z678" s="719"/>
      <c r="AA678" s="719"/>
      <c r="AB678" s="719"/>
      <c r="AC678" s="719"/>
      <c r="AD678" s="719"/>
      <c r="AE678" s="719"/>
      <c r="AF678" s="719"/>
      <c r="AG678" s="719"/>
      <c r="AH678" s="719"/>
      <c r="AI678" s="719"/>
      <c r="AJ678" s="719"/>
      <c r="AK678" s="719"/>
      <c r="AL678" s="719"/>
      <c r="AM678" s="719"/>
      <c r="AN678" s="719"/>
      <c r="AO678" s="719"/>
      <c r="AP678" s="719"/>
      <c r="AQ678" s="719"/>
      <c r="AR678" s="719"/>
      <c r="AS678" s="719"/>
      <c r="AT678" s="719"/>
      <c r="AU678" s="719"/>
      <c r="AV678" s="719"/>
      <c r="AW678" s="719"/>
      <c r="AX678" s="719"/>
      <c r="AY678" s="719"/>
      <c r="AZ678" s="719"/>
      <c r="BA678" s="719"/>
      <c r="BB678" s="719"/>
      <c r="BC678" s="719"/>
      <c r="BD678" s="719"/>
      <c r="BE678" s="719"/>
      <c r="BF678" s="719"/>
      <c r="BG678" s="719"/>
      <c r="BH678" s="719"/>
      <c r="BI678" s="719"/>
      <c r="BJ678" s="719"/>
    </row>
    <row r="679" spans="2:62" ht="15.75" customHeight="1">
      <c r="B679" s="497"/>
      <c r="C679" s="811"/>
      <c r="D679" s="811"/>
      <c r="E679" s="811"/>
      <c r="F679" s="811"/>
      <c r="G679" s="811"/>
      <c r="H679" s="811"/>
      <c r="I679" s="811"/>
      <c r="J679" s="811"/>
      <c r="K679" s="874"/>
      <c r="L679" s="874"/>
      <c r="M679" s="811"/>
      <c r="N679" s="874"/>
      <c r="O679" s="874"/>
      <c r="P679" s="811"/>
      <c r="Q679" s="874"/>
      <c r="R679" s="874"/>
      <c r="S679" s="811"/>
      <c r="T679" s="811"/>
      <c r="U679" s="811"/>
      <c r="V679" s="811"/>
      <c r="W679" s="811"/>
      <c r="X679" s="811"/>
      <c r="Y679" s="719"/>
      <c r="Z679" s="719"/>
      <c r="AA679" s="719"/>
      <c r="AB679" s="719"/>
      <c r="AC679" s="719"/>
      <c r="AD679" s="719"/>
      <c r="AE679" s="719"/>
      <c r="AF679" s="719"/>
      <c r="AG679" s="719"/>
      <c r="AH679" s="719"/>
      <c r="AI679" s="719"/>
      <c r="AJ679" s="719"/>
      <c r="AK679" s="719"/>
      <c r="AL679" s="719"/>
      <c r="AM679" s="719"/>
      <c r="AN679" s="719"/>
      <c r="AO679" s="719"/>
      <c r="AP679" s="719"/>
      <c r="AQ679" s="719"/>
      <c r="AR679" s="719"/>
      <c r="AS679" s="719"/>
      <c r="AT679" s="719"/>
      <c r="AU679" s="719"/>
      <c r="AV679" s="719"/>
      <c r="AW679" s="719"/>
      <c r="AX679" s="719"/>
      <c r="AY679" s="719"/>
      <c r="AZ679" s="719"/>
      <c r="BA679" s="719"/>
      <c r="BB679" s="719"/>
      <c r="BC679" s="719"/>
      <c r="BD679" s="719"/>
      <c r="BE679" s="719"/>
      <c r="BF679" s="719"/>
      <c r="BG679" s="719"/>
      <c r="BH679" s="719"/>
      <c r="BI679" s="719"/>
      <c r="BJ679" s="719"/>
    </row>
    <row r="680" spans="2:62" ht="15.75" customHeight="1">
      <c r="B680" s="497"/>
      <c r="C680" s="811"/>
      <c r="D680" s="811"/>
      <c r="E680" s="811"/>
      <c r="F680" s="811"/>
      <c r="G680" s="811"/>
      <c r="H680" s="811"/>
      <c r="I680" s="811"/>
      <c r="J680" s="811"/>
      <c r="K680" s="874"/>
      <c r="L680" s="874"/>
      <c r="M680" s="811"/>
      <c r="N680" s="874"/>
      <c r="O680" s="874"/>
      <c r="P680" s="811"/>
      <c r="Q680" s="874"/>
      <c r="R680" s="874"/>
      <c r="S680" s="811"/>
      <c r="T680" s="811"/>
      <c r="U680" s="811"/>
      <c r="V680" s="811"/>
      <c r="W680" s="811"/>
      <c r="X680" s="811"/>
      <c r="Y680" s="719"/>
      <c r="Z680" s="719"/>
      <c r="AA680" s="719"/>
      <c r="AB680" s="719"/>
      <c r="AC680" s="719"/>
      <c r="AD680" s="719"/>
      <c r="AE680" s="719"/>
      <c r="AF680" s="719"/>
      <c r="AG680" s="719"/>
      <c r="AH680" s="719"/>
      <c r="AI680" s="719"/>
      <c r="AJ680" s="719"/>
      <c r="AK680" s="719"/>
      <c r="AL680" s="719"/>
      <c r="AM680" s="719"/>
      <c r="AN680" s="719"/>
      <c r="AO680" s="719"/>
      <c r="AP680" s="719"/>
      <c r="AQ680" s="719"/>
      <c r="AR680" s="719"/>
      <c r="AS680" s="719"/>
      <c r="AT680" s="719"/>
      <c r="AU680" s="719"/>
      <c r="AV680" s="719"/>
      <c r="AW680" s="719"/>
      <c r="AX680" s="719"/>
      <c r="AY680" s="719"/>
      <c r="AZ680" s="719"/>
      <c r="BA680" s="719"/>
      <c r="BB680" s="719"/>
      <c r="BC680" s="719"/>
      <c r="BD680" s="719"/>
      <c r="BE680" s="719"/>
      <c r="BF680" s="719"/>
      <c r="BG680" s="719"/>
      <c r="BH680" s="719"/>
      <c r="BI680" s="719"/>
      <c r="BJ680" s="719"/>
    </row>
    <row r="681" spans="2:62" ht="15.75" customHeight="1">
      <c r="B681" s="497"/>
      <c r="C681" s="811"/>
      <c r="D681" s="811"/>
      <c r="E681" s="811"/>
      <c r="F681" s="811"/>
      <c r="G681" s="811"/>
      <c r="H681" s="811"/>
      <c r="I681" s="811"/>
      <c r="J681" s="811"/>
      <c r="K681" s="874"/>
      <c r="L681" s="874"/>
      <c r="M681" s="811"/>
      <c r="N681" s="874"/>
      <c r="O681" s="874"/>
      <c r="P681" s="811"/>
      <c r="Q681" s="874"/>
      <c r="R681" s="874"/>
      <c r="S681" s="811"/>
      <c r="T681" s="811"/>
      <c r="U681" s="811"/>
      <c r="V681" s="811"/>
      <c r="W681" s="811"/>
      <c r="X681" s="811"/>
      <c r="Y681" s="719"/>
      <c r="Z681" s="719"/>
      <c r="AA681" s="719"/>
      <c r="AB681" s="719"/>
      <c r="AC681" s="719"/>
      <c r="AD681" s="719"/>
      <c r="AE681" s="719"/>
      <c r="AF681" s="719"/>
      <c r="AG681" s="719"/>
      <c r="AH681" s="719"/>
      <c r="AI681" s="719"/>
      <c r="AJ681" s="719"/>
      <c r="AK681" s="719"/>
      <c r="AL681" s="719"/>
      <c r="AM681" s="719"/>
      <c r="AN681" s="719"/>
      <c r="AO681" s="719"/>
      <c r="AP681" s="719"/>
      <c r="AQ681" s="719"/>
      <c r="AR681" s="719"/>
      <c r="AS681" s="719"/>
      <c r="AT681" s="719"/>
      <c r="AU681" s="719"/>
      <c r="AV681" s="719"/>
      <c r="AW681" s="719"/>
      <c r="AX681" s="719"/>
      <c r="AY681" s="719"/>
      <c r="AZ681" s="719"/>
      <c r="BA681" s="719"/>
      <c r="BB681" s="719"/>
      <c r="BC681" s="719"/>
      <c r="BD681" s="719"/>
      <c r="BE681" s="719"/>
      <c r="BF681" s="719"/>
      <c r="BG681" s="719"/>
      <c r="BH681" s="719"/>
      <c r="BI681" s="719"/>
      <c r="BJ681" s="719"/>
    </row>
    <row r="682" spans="2:62" ht="15.75" customHeight="1">
      <c r="B682" s="497"/>
      <c r="C682" s="811"/>
      <c r="D682" s="811"/>
      <c r="E682" s="811"/>
      <c r="F682" s="811"/>
      <c r="G682" s="811"/>
      <c r="H682" s="811"/>
      <c r="I682" s="811"/>
      <c r="J682" s="811"/>
      <c r="K682" s="874"/>
      <c r="L682" s="874"/>
      <c r="M682" s="811"/>
      <c r="N682" s="874"/>
      <c r="O682" s="874"/>
      <c r="P682" s="811"/>
      <c r="Q682" s="874"/>
      <c r="R682" s="874"/>
      <c r="S682" s="811"/>
      <c r="T682" s="811"/>
      <c r="U682" s="811"/>
      <c r="V682" s="811"/>
      <c r="W682" s="811"/>
      <c r="X682" s="811"/>
      <c r="Y682" s="719"/>
      <c r="Z682" s="719"/>
      <c r="AA682" s="719"/>
      <c r="AB682" s="719"/>
      <c r="AC682" s="719"/>
      <c r="AD682" s="719"/>
      <c r="AE682" s="719"/>
      <c r="AF682" s="719"/>
      <c r="AG682" s="719"/>
      <c r="AH682" s="719"/>
      <c r="AI682" s="719"/>
      <c r="AJ682" s="719"/>
      <c r="AK682" s="719"/>
      <c r="AL682" s="719"/>
      <c r="AM682" s="719"/>
      <c r="AN682" s="719"/>
      <c r="AO682" s="719"/>
      <c r="AP682" s="719"/>
      <c r="AQ682" s="719"/>
      <c r="AR682" s="719"/>
      <c r="AS682" s="719"/>
      <c r="AT682" s="719"/>
      <c r="AU682" s="719"/>
      <c r="AV682" s="719"/>
      <c r="AW682" s="719"/>
      <c r="AX682" s="719"/>
      <c r="AY682" s="719"/>
      <c r="AZ682" s="719"/>
      <c r="BA682" s="719"/>
      <c r="BB682" s="719"/>
      <c r="BC682" s="719"/>
      <c r="BD682" s="719"/>
      <c r="BE682" s="719"/>
      <c r="BF682" s="719"/>
      <c r="BG682" s="719"/>
      <c r="BH682" s="719"/>
      <c r="BI682" s="719"/>
      <c r="BJ682" s="719"/>
    </row>
    <row r="683" spans="2:62" ht="15.75" customHeight="1">
      <c r="B683" s="497"/>
      <c r="C683" s="811"/>
      <c r="D683" s="811"/>
      <c r="E683" s="811"/>
      <c r="F683" s="811"/>
      <c r="G683" s="811"/>
      <c r="H683" s="811"/>
      <c r="I683" s="811"/>
      <c r="J683" s="811"/>
      <c r="K683" s="874"/>
      <c r="L683" s="874"/>
      <c r="M683" s="811"/>
      <c r="N683" s="874"/>
      <c r="O683" s="874"/>
      <c r="P683" s="811"/>
      <c r="Q683" s="874"/>
      <c r="R683" s="874"/>
      <c r="S683" s="811"/>
      <c r="T683" s="811"/>
      <c r="U683" s="811"/>
      <c r="V683" s="811"/>
      <c r="W683" s="811"/>
      <c r="X683" s="811"/>
      <c r="Y683" s="719"/>
      <c r="Z683" s="719"/>
      <c r="AA683" s="719"/>
      <c r="AB683" s="719"/>
      <c r="AC683" s="719"/>
      <c r="AD683" s="719"/>
      <c r="AE683" s="719"/>
      <c r="AF683" s="719"/>
      <c r="AG683" s="719"/>
      <c r="AH683" s="719"/>
      <c r="AI683" s="719"/>
      <c r="AJ683" s="719"/>
      <c r="AK683" s="719"/>
      <c r="AL683" s="719"/>
      <c r="AM683" s="719"/>
      <c r="AN683" s="719"/>
      <c r="AO683" s="719"/>
      <c r="AP683" s="719"/>
      <c r="AQ683" s="719"/>
      <c r="AR683" s="719"/>
      <c r="AS683" s="719"/>
      <c r="AT683" s="719"/>
      <c r="AU683" s="719"/>
      <c r="AV683" s="719"/>
      <c r="AW683" s="719"/>
      <c r="AX683" s="719"/>
      <c r="AY683" s="719"/>
      <c r="AZ683" s="719"/>
      <c r="BA683" s="719"/>
      <c r="BB683" s="719"/>
      <c r="BC683" s="719"/>
      <c r="BD683" s="719"/>
      <c r="BE683" s="719"/>
      <c r="BF683" s="719"/>
      <c r="BG683" s="719"/>
      <c r="BH683" s="719"/>
      <c r="BI683" s="719"/>
      <c r="BJ683" s="719"/>
    </row>
    <row r="684" spans="2:62" ht="15.75" customHeight="1">
      <c r="B684" s="497"/>
      <c r="C684" s="811"/>
      <c r="D684" s="811"/>
      <c r="E684" s="811"/>
      <c r="F684" s="811"/>
      <c r="G684" s="811"/>
      <c r="H684" s="811"/>
      <c r="I684" s="811"/>
      <c r="J684" s="811"/>
      <c r="K684" s="874"/>
      <c r="L684" s="874"/>
      <c r="M684" s="811"/>
      <c r="N684" s="811"/>
      <c r="O684" s="811"/>
      <c r="P684" s="811"/>
      <c r="Q684" s="811"/>
      <c r="R684" s="874"/>
      <c r="S684" s="811"/>
      <c r="T684" s="811"/>
      <c r="U684" s="811"/>
      <c r="V684" s="811"/>
      <c r="W684" s="811"/>
      <c r="X684" s="811"/>
      <c r="Y684" s="719"/>
      <c r="Z684" s="719"/>
      <c r="AA684" s="719"/>
      <c r="AB684" s="719"/>
      <c r="AC684" s="719"/>
      <c r="AD684" s="719"/>
      <c r="AE684" s="719"/>
      <c r="AF684" s="719"/>
      <c r="AG684" s="719"/>
      <c r="AH684" s="719"/>
      <c r="AI684" s="719"/>
      <c r="AJ684" s="719"/>
      <c r="AK684" s="719"/>
      <c r="AL684" s="719"/>
      <c r="AM684" s="719"/>
      <c r="AN684" s="719"/>
      <c r="AO684" s="719"/>
      <c r="AP684" s="719"/>
      <c r="AQ684" s="719"/>
      <c r="AR684" s="719"/>
      <c r="AS684" s="719"/>
      <c r="AT684" s="719"/>
      <c r="AU684" s="719"/>
      <c r="AV684" s="719"/>
      <c r="AW684" s="719"/>
      <c r="AX684" s="719"/>
      <c r="AY684" s="719"/>
      <c r="AZ684" s="719"/>
      <c r="BA684" s="719"/>
      <c r="BB684" s="719"/>
      <c r="BC684" s="719"/>
      <c r="BD684" s="719"/>
      <c r="BE684" s="719"/>
      <c r="BF684" s="719"/>
      <c r="BG684" s="719"/>
      <c r="BH684" s="719"/>
      <c r="BI684" s="719"/>
      <c r="BJ684" s="719"/>
    </row>
    <row r="685" spans="2:62" ht="15.75" customHeight="1">
      <c r="B685" s="497"/>
      <c r="C685" s="811"/>
      <c r="D685" s="811"/>
      <c r="E685" s="811"/>
      <c r="F685" s="811"/>
      <c r="G685" s="811"/>
      <c r="H685" s="811"/>
      <c r="I685" s="811"/>
      <c r="J685" s="811"/>
      <c r="K685" s="874"/>
      <c r="L685" s="874"/>
      <c r="M685" s="811"/>
      <c r="N685" s="876"/>
      <c r="O685" s="876"/>
      <c r="P685" s="811"/>
      <c r="Q685" s="876"/>
      <c r="R685" s="874"/>
      <c r="S685" s="811"/>
      <c r="T685" s="811"/>
      <c r="U685" s="811"/>
      <c r="V685" s="811"/>
      <c r="W685" s="811"/>
      <c r="X685" s="811"/>
      <c r="Y685" s="719"/>
      <c r="Z685" s="719"/>
      <c r="AA685" s="719"/>
      <c r="AB685" s="719"/>
      <c r="AC685" s="719"/>
      <c r="AD685" s="719"/>
      <c r="AE685" s="719"/>
      <c r="AF685" s="719"/>
      <c r="AG685" s="719"/>
      <c r="AH685" s="719"/>
      <c r="AI685" s="719"/>
      <c r="AJ685" s="719"/>
      <c r="AK685" s="719"/>
      <c r="AL685" s="719"/>
      <c r="AM685" s="719"/>
      <c r="AN685" s="719"/>
      <c r="AO685" s="719"/>
      <c r="AP685" s="719"/>
      <c r="AQ685" s="719"/>
      <c r="AR685" s="719"/>
      <c r="AS685" s="719"/>
      <c r="AT685" s="719"/>
      <c r="AU685" s="719"/>
      <c r="AV685" s="719"/>
      <c r="AW685" s="719"/>
      <c r="AX685" s="719"/>
      <c r="AY685" s="719"/>
      <c r="AZ685" s="719"/>
      <c r="BA685" s="719"/>
      <c r="BB685" s="719"/>
      <c r="BC685" s="719"/>
      <c r="BD685" s="719"/>
      <c r="BE685" s="719"/>
      <c r="BF685" s="719"/>
      <c r="BG685" s="719"/>
      <c r="BH685" s="719"/>
      <c r="BI685" s="719"/>
      <c r="BJ685" s="719"/>
    </row>
    <row r="686" spans="2:62" ht="15.75" customHeight="1">
      <c r="B686" s="497"/>
      <c r="C686" s="811"/>
      <c r="D686" s="811"/>
      <c r="E686" s="811"/>
      <c r="F686" s="811"/>
      <c r="G686" s="811"/>
      <c r="H686" s="811"/>
      <c r="I686" s="811"/>
      <c r="J686" s="811"/>
      <c r="K686" s="811"/>
      <c r="L686" s="811"/>
      <c r="M686" s="811"/>
      <c r="N686" s="874"/>
      <c r="O686" s="874"/>
      <c r="P686" s="811"/>
      <c r="Q686" s="874"/>
      <c r="R686" s="811"/>
      <c r="S686" s="811"/>
      <c r="T686" s="811"/>
      <c r="U686" s="811"/>
      <c r="V686" s="811"/>
      <c r="W686" s="811"/>
      <c r="X686" s="811"/>
      <c r="Y686" s="719"/>
      <c r="Z686" s="719"/>
      <c r="AA686" s="719"/>
      <c r="AB686" s="719"/>
      <c r="AC686" s="719"/>
      <c r="AD686" s="719"/>
      <c r="AE686" s="719"/>
      <c r="AF686" s="719"/>
      <c r="AG686" s="719"/>
      <c r="AH686" s="719"/>
      <c r="AI686" s="719"/>
      <c r="AJ686" s="719"/>
      <c r="AK686" s="719"/>
      <c r="AL686" s="719"/>
      <c r="AM686" s="719"/>
      <c r="AN686" s="719"/>
      <c r="AO686" s="719"/>
      <c r="AP686" s="719"/>
      <c r="AQ686" s="719"/>
      <c r="AR686" s="719"/>
      <c r="AS686" s="719"/>
      <c r="AT686" s="719"/>
      <c r="AU686" s="719"/>
      <c r="AV686" s="719"/>
      <c r="AW686" s="719"/>
      <c r="AX686" s="719"/>
      <c r="AY686" s="719"/>
      <c r="AZ686" s="719"/>
      <c r="BA686" s="719"/>
      <c r="BB686" s="719"/>
      <c r="BC686" s="719"/>
      <c r="BD686" s="719"/>
      <c r="BE686" s="719"/>
      <c r="BF686" s="719"/>
      <c r="BG686" s="719"/>
      <c r="BH686" s="719"/>
      <c r="BI686" s="719"/>
      <c r="BJ686" s="719"/>
    </row>
    <row r="687" spans="2:62" ht="15.75" customHeight="1">
      <c r="B687" s="497"/>
      <c r="C687" s="811"/>
      <c r="D687" s="811"/>
      <c r="E687" s="811"/>
      <c r="F687" s="811"/>
      <c r="G687" s="811"/>
      <c r="H687" s="811"/>
      <c r="I687" s="811"/>
      <c r="J687" s="811"/>
      <c r="K687" s="876"/>
      <c r="L687" s="876"/>
      <c r="M687" s="811"/>
      <c r="N687" s="874"/>
      <c r="O687" s="874"/>
      <c r="P687" s="811"/>
      <c r="Q687" s="874"/>
      <c r="R687" s="876"/>
      <c r="S687" s="811"/>
      <c r="T687" s="811"/>
      <c r="U687" s="811"/>
      <c r="V687" s="811"/>
      <c r="W687" s="811"/>
      <c r="X687" s="811"/>
      <c r="Y687" s="719"/>
      <c r="Z687" s="719"/>
      <c r="AA687" s="719"/>
      <c r="AB687" s="719"/>
      <c r="AC687" s="719"/>
      <c r="AD687" s="719"/>
      <c r="AE687" s="719"/>
      <c r="AF687" s="719"/>
      <c r="AG687" s="719"/>
      <c r="AH687" s="719"/>
      <c r="AI687" s="719"/>
      <c r="AJ687" s="719"/>
      <c r="AK687" s="719"/>
      <c r="AL687" s="719"/>
      <c r="AM687" s="719"/>
      <c r="AN687" s="719"/>
      <c r="AO687" s="719"/>
      <c r="AP687" s="719"/>
      <c r="AQ687" s="719"/>
      <c r="AR687" s="719"/>
      <c r="AS687" s="719"/>
      <c r="AT687" s="719"/>
      <c r="AU687" s="719"/>
      <c r="AV687" s="719"/>
      <c r="AW687" s="719"/>
      <c r="AX687" s="719"/>
      <c r="AY687" s="719"/>
      <c r="AZ687" s="719"/>
      <c r="BA687" s="719"/>
      <c r="BB687" s="719"/>
      <c r="BC687" s="719"/>
      <c r="BD687" s="719"/>
      <c r="BE687" s="719"/>
      <c r="BF687" s="719"/>
      <c r="BG687" s="719"/>
      <c r="BH687" s="719"/>
      <c r="BI687" s="719"/>
      <c r="BJ687" s="719"/>
    </row>
    <row r="688" spans="2:62" ht="15.75" customHeight="1">
      <c r="B688" s="497"/>
      <c r="C688" s="811"/>
      <c r="D688" s="811"/>
      <c r="E688" s="811"/>
      <c r="F688" s="811"/>
      <c r="G688" s="811"/>
      <c r="H688" s="811"/>
      <c r="I688" s="811"/>
      <c r="J688" s="811"/>
      <c r="K688" s="874"/>
      <c r="L688" s="874"/>
      <c r="M688" s="811"/>
      <c r="N688" s="874"/>
      <c r="O688" s="874"/>
      <c r="P688" s="811"/>
      <c r="Q688" s="874"/>
      <c r="R688" s="874"/>
      <c r="S688" s="811"/>
      <c r="T688" s="811"/>
      <c r="U688" s="811"/>
      <c r="V688" s="811"/>
      <c r="W688" s="811"/>
      <c r="X688" s="811"/>
      <c r="Y688" s="719"/>
      <c r="Z688" s="719"/>
      <c r="AA688" s="719"/>
      <c r="AB688" s="719"/>
      <c r="AC688" s="719"/>
      <c r="AD688" s="719"/>
      <c r="AE688" s="719"/>
      <c r="AF688" s="719"/>
      <c r="AG688" s="719"/>
      <c r="AH688" s="719"/>
      <c r="AI688" s="719"/>
      <c r="AJ688" s="719"/>
      <c r="AK688" s="719"/>
      <c r="AL688" s="719"/>
      <c r="AM688" s="719"/>
      <c r="AN688" s="719"/>
      <c r="AO688" s="719"/>
      <c r="AP688" s="719"/>
      <c r="AQ688" s="719"/>
      <c r="AR688" s="719"/>
      <c r="AS688" s="719"/>
      <c r="AT688" s="719"/>
      <c r="AU688" s="719"/>
      <c r="AV688" s="719"/>
      <c r="AW688" s="719"/>
      <c r="AX688" s="719"/>
      <c r="AY688" s="719"/>
      <c r="AZ688" s="719"/>
      <c r="BA688" s="719"/>
      <c r="BB688" s="719"/>
      <c r="BC688" s="719"/>
      <c r="BD688" s="719"/>
      <c r="BE688" s="719"/>
      <c r="BF688" s="719"/>
      <c r="BG688" s="719"/>
      <c r="BH688" s="719"/>
      <c r="BI688" s="719"/>
      <c r="BJ688" s="719"/>
    </row>
    <row r="689" spans="2:62" ht="15.75" customHeight="1">
      <c r="B689" s="497"/>
      <c r="C689" s="811"/>
      <c r="D689" s="811"/>
      <c r="E689" s="811"/>
      <c r="F689" s="811"/>
      <c r="G689" s="811"/>
      <c r="H689" s="811"/>
      <c r="I689" s="811"/>
      <c r="J689" s="811"/>
      <c r="K689" s="874"/>
      <c r="L689" s="874"/>
      <c r="M689" s="811"/>
      <c r="N689" s="874"/>
      <c r="O689" s="874"/>
      <c r="P689" s="811"/>
      <c r="Q689" s="874"/>
      <c r="R689" s="874"/>
      <c r="S689" s="811"/>
      <c r="T689" s="811"/>
      <c r="U689" s="811"/>
      <c r="V689" s="811"/>
      <c r="W689" s="811"/>
      <c r="X689" s="811"/>
      <c r="Y689" s="719"/>
      <c r="Z689" s="719"/>
      <c r="AA689" s="719"/>
      <c r="AB689" s="719"/>
      <c r="AC689" s="719"/>
      <c r="AD689" s="719"/>
      <c r="AE689" s="719"/>
      <c r="AF689" s="719"/>
      <c r="AG689" s="719"/>
      <c r="AH689" s="719"/>
      <c r="AI689" s="719"/>
      <c r="AJ689" s="719"/>
      <c r="AK689" s="719"/>
      <c r="AL689" s="719"/>
      <c r="AM689" s="719"/>
      <c r="AN689" s="719"/>
      <c r="AO689" s="719"/>
      <c r="AP689" s="719"/>
      <c r="AQ689" s="719"/>
      <c r="AR689" s="719"/>
      <c r="AS689" s="719"/>
      <c r="AT689" s="719"/>
      <c r="AU689" s="719"/>
      <c r="AV689" s="719"/>
      <c r="AW689" s="719"/>
      <c r="AX689" s="719"/>
      <c r="AY689" s="719"/>
      <c r="AZ689" s="719"/>
      <c r="BA689" s="719"/>
      <c r="BB689" s="719"/>
      <c r="BC689" s="719"/>
      <c r="BD689" s="719"/>
      <c r="BE689" s="719"/>
      <c r="BF689" s="719"/>
      <c r="BG689" s="719"/>
      <c r="BH689" s="719"/>
      <c r="BI689" s="719"/>
      <c r="BJ689" s="719"/>
    </row>
    <row r="690" spans="2:62" ht="15.75" customHeight="1">
      <c r="B690" s="497"/>
      <c r="C690" s="811"/>
      <c r="D690" s="811"/>
      <c r="E690" s="811"/>
      <c r="F690" s="811"/>
      <c r="G690" s="811"/>
      <c r="H690" s="811"/>
      <c r="I690" s="811"/>
      <c r="J690" s="811"/>
      <c r="K690" s="874"/>
      <c r="L690" s="874"/>
      <c r="M690" s="811"/>
      <c r="N690" s="874"/>
      <c r="O690" s="874"/>
      <c r="P690" s="811"/>
      <c r="Q690" s="874"/>
      <c r="R690" s="874"/>
      <c r="S690" s="811"/>
      <c r="T690" s="811"/>
      <c r="U690" s="811"/>
      <c r="V690" s="811"/>
      <c r="W690" s="811"/>
      <c r="X690" s="811"/>
      <c r="Y690" s="719"/>
      <c r="Z690" s="719"/>
      <c r="AA690" s="719"/>
      <c r="AB690" s="719"/>
      <c r="AC690" s="719"/>
      <c r="AD690" s="719"/>
      <c r="AE690" s="719"/>
      <c r="AF690" s="719"/>
      <c r="AG690" s="719"/>
      <c r="AH690" s="719"/>
      <c r="AI690" s="719"/>
      <c r="AJ690" s="719"/>
      <c r="AK690" s="719"/>
      <c r="AL690" s="719"/>
      <c r="AM690" s="719"/>
      <c r="AN690" s="719"/>
      <c r="AO690" s="719"/>
      <c r="AP690" s="719"/>
      <c r="AQ690" s="719"/>
      <c r="AR690" s="719"/>
      <c r="AS690" s="719"/>
      <c r="AT690" s="719"/>
      <c r="AU690" s="719"/>
      <c r="AV690" s="719"/>
      <c r="AW690" s="719"/>
      <c r="AX690" s="719"/>
      <c r="AY690" s="719"/>
      <c r="AZ690" s="719"/>
      <c r="BA690" s="719"/>
      <c r="BB690" s="719"/>
      <c r="BC690" s="719"/>
      <c r="BD690" s="719"/>
      <c r="BE690" s="719"/>
      <c r="BF690" s="719"/>
      <c r="BG690" s="719"/>
      <c r="BH690" s="719"/>
      <c r="BI690" s="719"/>
      <c r="BJ690" s="719"/>
    </row>
    <row r="691" spans="2:62" ht="15.75" customHeight="1">
      <c r="B691" s="497"/>
      <c r="C691" s="811"/>
      <c r="D691" s="811"/>
      <c r="E691" s="811"/>
      <c r="F691" s="811"/>
      <c r="G691" s="811"/>
      <c r="H691" s="811"/>
      <c r="I691" s="811"/>
      <c r="J691" s="811"/>
      <c r="K691" s="874"/>
      <c r="L691" s="874"/>
      <c r="M691" s="811"/>
      <c r="N691" s="874"/>
      <c r="O691" s="874"/>
      <c r="P691" s="811"/>
      <c r="Q691" s="874"/>
      <c r="R691" s="874"/>
      <c r="S691" s="811"/>
      <c r="T691" s="811"/>
      <c r="U691" s="811"/>
      <c r="V691" s="811"/>
      <c r="W691" s="811"/>
      <c r="X691" s="811"/>
      <c r="Y691" s="719"/>
      <c r="Z691" s="719"/>
      <c r="AA691" s="719"/>
      <c r="AB691" s="719"/>
      <c r="AC691" s="719"/>
      <c r="AD691" s="719"/>
      <c r="AE691" s="719"/>
      <c r="AF691" s="719"/>
      <c r="AG691" s="719"/>
      <c r="AH691" s="719"/>
      <c r="AI691" s="719"/>
      <c r="AJ691" s="719"/>
      <c r="AK691" s="719"/>
      <c r="AL691" s="719"/>
      <c r="AM691" s="719"/>
      <c r="AN691" s="719"/>
      <c r="AO691" s="719"/>
      <c r="AP691" s="719"/>
      <c r="AQ691" s="719"/>
      <c r="AR691" s="719"/>
      <c r="AS691" s="719"/>
      <c r="AT691" s="719"/>
      <c r="AU691" s="719"/>
      <c r="AV691" s="719"/>
      <c r="AW691" s="719"/>
      <c r="AX691" s="719"/>
      <c r="AY691" s="719"/>
      <c r="AZ691" s="719"/>
      <c r="BA691" s="719"/>
      <c r="BB691" s="719"/>
      <c r="BC691" s="719"/>
      <c r="BD691" s="719"/>
      <c r="BE691" s="719"/>
      <c r="BF691" s="719"/>
      <c r="BG691" s="719"/>
      <c r="BH691" s="719"/>
      <c r="BI691" s="719"/>
      <c r="BJ691" s="719"/>
    </row>
    <row r="692" spans="2:62" ht="15.75" customHeight="1">
      <c r="B692" s="497"/>
      <c r="C692" s="811"/>
      <c r="D692" s="811"/>
      <c r="E692" s="811"/>
      <c r="F692" s="811"/>
      <c r="G692" s="811"/>
      <c r="H692" s="811"/>
      <c r="I692" s="811"/>
      <c r="J692" s="811"/>
      <c r="K692" s="874"/>
      <c r="L692" s="874"/>
      <c r="M692" s="811"/>
      <c r="N692" s="874"/>
      <c r="O692" s="874"/>
      <c r="P692" s="811"/>
      <c r="Q692" s="874"/>
      <c r="R692" s="874"/>
      <c r="S692" s="811"/>
      <c r="T692" s="811"/>
      <c r="U692" s="811"/>
      <c r="V692" s="811"/>
      <c r="W692" s="811"/>
      <c r="X692" s="811"/>
      <c r="Y692" s="719"/>
      <c r="Z692" s="719"/>
      <c r="AA692" s="719"/>
      <c r="AB692" s="719"/>
      <c r="AC692" s="719"/>
      <c r="AD692" s="719"/>
      <c r="AE692" s="719"/>
      <c r="AF692" s="719"/>
      <c r="AG692" s="719"/>
      <c r="AH692" s="719"/>
      <c r="AI692" s="719"/>
      <c r="AJ692" s="719"/>
      <c r="AK692" s="719"/>
      <c r="AL692" s="719"/>
      <c r="AM692" s="719"/>
      <c r="AN692" s="719"/>
      <c r="AO692" s="719"/>
      <c r="AP692" s="719"/>
      <c r="AQ692" s="719"/>
      <c r="AR692" s="719"/>
      <c r="AS692" s="719"/>
      <c r="AT692" s="719"/>
      <c r="AU692" s="719"/>
      <c r="AV692" s="719"/>
      <c r="AW692" s="719"/>
      <c r="AX692" s="719"/>
      <c r="AY692" s="719"/>
      <c r="AZ692" s="719"/>
      <c r="BA692" s="719"/>
      <c r="BB692" s="719"/>
      <c r="BC692" s="719"/>
      <c r="BD692" s="719"/>
      <c r="BE692" s="719"/>
      <c r="BF692" s="719"/>
      <c r="BG692" s="719"/>
      <c r="BH692" s="719"/>
      <c r="BI692" s="719"/>
      <c r="BJ692" s="719"/>
    </row>
    <row r="693" spans="2:62" ht="15.75" customHeight="1">
      <c r="B693" s="497"/>
      <c r="C693" s="811"/>
      <c r="D693" s="811"/>
      <c r="E693" s="811"/>
      <c r="F693" s="811"/>
      <c r="G693" s="811"/>
      <c r="H693" s="811"/>
      <c r="I693" s="811"/>
      <c r="J693" s="811"/>
      <c r="K693" s="874"/>
      <c r="L693" s="874"/>
      <c r="M693" s="811"/>
      <c r="N693" s="874"/>
      <c r="O693" s="874"/>
      <c r="P693" s="811"/>
      <c r="Q693" s="874"/>
      <c r="R693" s="874"/>
      <c r="S693" s="811"/>
      <c r="T693" s="811"/>
      <c r="U693" s="811"/>
      <c r="V693" s="811"/>
      <c r="W693" s="811"/>
      <c r="X693" s="811"/>
      <c r="Y693" s="719"/>
      <c r="Z693" s="719"/>
      <c r="AA693" s="719"/>
      <c r="AB693" s="719"/>
      <c r="AC693" s="719"/>
      <c r="AD693" s="719"/>
      <c r="AE693" s="719"/>
      <c r="AF693" s="719"/>
      <c r="AG693" s="719"/>
      <c r="AH693" s="719"/>
      <c r="AI693" s="719"/>
      <c r="AJ693" s="719"/>
      <c r="AK693" s="719"/>
      <c r="AL693" s="719"/>
      <c r="AM693" s="719"/>
      <c r="AN693" s="719"/>
      <c r="AO693" s="719"/>
      <c r="AP693" s="719"/>
      <c r="AQ693" s="719"/>
      <c r="AR693" s="719"/>
      <c r="AS693" s="719"/>
      <c r="AT693" s="719"/>
      <c r="AU693" s="719"/>
      <c r="AV693" s="719"/>
      <c r="AW693" s="719"/>
      <c r="AX693" s="719"/>
      <c r="AY693" s="719"/>
      <c r="AZ693" s="719"/>
      <c r="BA693" s="719"/>
      <c r="BB693" s="719"/>
      <c r="BC693" s="719"/>
      <c r="BD693" s="719"/>
      <c r="BE693" s="719"/>
      <c r="BF693" s="719"/>
      <c r="BG693" s="719"/>
      <c r="BH693" s="719"/>
      <c r="BI693" s="719"/>
      <c r="BJ693" s="719"/>
    </row>
    <row r="694" spans="2:62" ht="15.75" customHeight="1">
      <c r="B694" s="497"/>
      <c r="C694" s="811"/>
      <c r="D694" s="811"/>
      <c r="E694" s="811"/>
      <c r="F694" s="811"/>
      <c r="G694" s="811"/>
      <c r="H694" s="811"/>
      <c r="I694" s="811"/>
      <c r="J694" s="811"/>
      <c r="K694" s="874"/>
      <c r="L694" s="876"/>
      <c r="M694" s="811"/>
      <c r="N694" s="874"/>
      <c r="O694" s="874"/>
      <c r="P694" s="811"/>
      <c r="Q694" s="874"/>
      <c r="R694" s="876"/>
      <c r="S694" s="811"/>
      <c r="T694" s="811"/>
      <c r="U694" s="811"/>
      <c r="V694" s="811"/>
      <c r="W694" s="811"/>
      <c r="X694" s="811"/>
      <c r="Y694" s="719"/>
      <c r="Z694" s="719"/>
      <c r="AA694" s="719"/>
      <c r="AB694" s="719"/>
      <c r="AC694" s="719"/>
      <c r="AD694" s="719"/>
      <c r="AE694" s="719"/>
      <c r="AF694" s="719"/>
      <c r="AG694" s="719"/>
      <c r="AH694" s="719"/>
      <c r="AI694" s="719"/>
      <c r="AJ694" s="719"/>
      <c r="AK694" s="719"/>
      <c r="AL694" s="719"/>
      <c r="AM694" s="719"/>
      <c r="AN694" s="719"/>
      <c r="AO694" s="719"/>
      <c r="AP694" s="719"/>
      <c r="AQ694" s="719"/>
      <c r="AR694" s="719"/>
      <c r="AS694" s="719"/>
      <c r="AT694" s="719"/>
      <c r="AU694" s="719"/>
      <c r="AV694" s="719"/>
      <c r="AW694" s="719"/>
      <c r="AX694" s="719"/>
      <c r="AY694" s="719"/>
      <c r="AZ694" s="719"/>
      <c r="BA694" s="719"/>
      <c r="BB694" s="719"/>
      <c r="BC694" s="719"/>
      <c r="BD694" s="719"/>
      <c r="BE694" s="719"/>
      <c r="BF694" s="719"/>
      <c r="BG694" s="719"/>
      <c r="BH694" s="719"/>
      <c r="BI694" s="719"/>
      <c r="BJ694" s="719"/>
    </row>
    <row r="695" spans="2:62" ht="15.75" customHeight="1">
      <c r="B695" s="497"/>
      <c r="C695" s="811"/>
      <c r="D695" s="811"/>
      <c r="E695" s="811"/>
      <c r="F695" s="811"/>
      <c r="G695" s="811"/>
      <c r="H695" s="811"/>
      <c r="I695" s="811"/>
      <c r="J695" s="811"/>
      <c r="K695" s="874"/>
      <c r="L695" s="874"/>
      <c r="M695" s="811"/>
      <c r="N695" s="874"/>
      <c r="O695" s="874"/>
      <c r="P695" s="811"/>
      <c r="Q695" s="874"/>
      <c r="R695" s="874"/>
      <c r="S695" s="811"/>
      <c r="T695" s="811"/>
      <c r="U695" s="811"/>
      <c r="V695" s="811"/>
      <c r="W695" s="811"/>
      <c r="X695" s="811"/>
      <c r="Y695" s="719"/>
      <c r="Z695" s="719"/>
      <c r="AA695" s="719"/>
      <c r="AB695" s="719"/>
      <c r="AC695" s="719"/>
      <c r="AD695" s="719"/>
      <c r="AE695" s="719"/>
      <c r="AF695" s="719"/>
      <c r="AG695" s="719"/>
      <c r="AH695" s="719"/>
      <c r="AI695" s="719"/>
      <c r="AJ695" s="719"/>
      <c r="AK695" s="719"/>
      <c r="AL695" s="719"/>
      <c r="AM695" s="719"/>
      <c r="AN695" s="719"/>
      <c r="AO695" s="719"/>
      <c r="AP695" s="719"/>
      <c r="AQ695" s="719"/>
      <c r="AR695" s="719"/>
      <c r="AS695" s="719"/>
      <c r="AT695" s="719"/>
      <c r="AU695" s="719"/>
      <c r="AV695" s="719"/>
      <c r="AW695" s="719"/>
      <c r="AX695" s="719"/>
      <c r="AY695" s="719"/>
      <c r="AZ695" s="719"/>
      <c r="BA695" s="719"/>
      <c r="BB695" s="719"/>
      <c r="BC695" s="719"/>
      <c r="BD695" s="719"/>
      <c r="BE695" s="719"/>
      <c r="BF695" s="719"/>
      <c r="BG695" s="719"/>
      <c r="BH695" s="719"/>
      <c r="BI695" s="719"/>
      <c r="BJ695" s="719"/>
    </row>
    <row r="696" spans="2:62" ht="15.75" customHeight="1">
      <c r="B696" s="497"/>
      <c r="C696" s="811"/>
      <c r="D696" s="811"/>
      <c r="E696" s="811"/>
      <c r="F696" s="811"/>
      <c r="G696" s="811"/>
      <c r="H696" s="811"/>
      <c r="I696" s="811"/>
      <c r="J696" s="811"/>
      <c r="K696" s="874"/>
      <c r="L696" s="874"/>
      <c r="M696" s="811"/>
      <c r="N696" s="874"/>
      <c r="O696" s="874"/>
      <c r="P696" s="811"/>
      <c r="Q696" s="874"/>
      <c r="R696" s="874"/>
      <c r="S696" s="811"/>
      <c r="T696" s="811"/>
      <c r="U696" s="811"/>
      <c r="V696" s="811"/>
      <c r="W696" s="811"/>
      <c r="X696" s="811"/>
      <c r="Y696" s="719"/>
      <c r="Z696" s="719"/>
      <c r="AA696" s="719"/>
      <c r="AB696" s="719"/>
      <c r="AC696" s="719"/>
      <c r="AD696" s="719"/>
      <c r="AE696" s="719"/>
      <c r="AF696" s="719"/>
      <c r="AG696" s="719"/>
      <c r="AH696" s="719"/>
      <c r="AI696" s="719"/>
      <c r="AJ696" s="719"/>
      <c r="AK696" s="719"/>
      <c r="AL696" s="719"/>
      <c r="AM696" s="719"/>
      <c r="AN696" s="719"/>
      <c r="AO696" s="719"/>
      <c r="AP696" s="719"/>
      <c r="AQ696" s="719"/>
      <c r="AR696" s="719"/>
      <c r="AS696" s="719"/>
      <c r="AT696" s="719"/>
      <c r="AU696" s="719"/>
      <c r="AV696" s="719"/>
      <c r="AW696" s="719"/>
      <c r="AX696" s="719"/>
      <c r="AY696" s="719"/>
      <c r="AZ696" s="719"/>
      <c r="BA696" s="719"/>
      <c r="BB696" s="719"/>
      <c r="BC696" s="719"/>
      <c r="BD696" s="719"/>
      <c r="BE696" s="719"/>
      <c r="BF696" s="719"/>
      <c r="BG696" s="719"/>
      <c r="BH696" s="719"/>
      <c r="BI696" s="719"/>
      <c r="BJ696" s="719"/>
    </row>
    <row r="697" spans="2:62" ht="15.75" customHeight="1">
      <c r="B697" s="497"/>
      <c r="C697" s="811"/>
      <c r="D697" s="811"/>
      <c r="E697" s="811"/>
      <c r="F697" s="811"/>
      <c r="G697" s="811"/>
      <c r="H697" s="811"/>
      <c r="I697" s="811"/>
      <c r="J697" s="811"/>
      <c r="K697" s="874"/>
      <c r="L697" s="874"/>
      <c r="M697" s="811"/>
      <c r="N697" s="876"/>
      <c r="O697" s="876"/>
      <c r="P697" s="811"/>
      <c r="Q697" s="876"/>
      <c r="R697" s="874"/>
      <c r="S697" s="811"/>
      <c r="T697" s="811"/>
      <c r="U697" s="811"/>
      <c r="V697" s="811"/>
      <c r="W697" s="811"/>
      <c r="X697" s="811"/>
      <c r="Y697" s="719"/>
      <c r="Z697" s="719"/>
      <c r="AA697" s="719"/>
      <c r="AB697" s="719"/>
      <c r="AC697" s="719"/>
      <c r="AD697" s="719"/>
      <c r="AE697" s="719"/>
      <c r="AF697" s="719"/>
      <c r="AG697" s="719"/>
      <c r="AH697" s="719"/>
      <c r="AI697" s="719"/>
      <c r="AJ697" s="719"/>
      <c r="AK697" s="719"/>
      <c r="AL697" s="719"/>
      <c r="AM697" s="719"/>
      <c r="AN697" s="719"/>
      <c r="AO697" s="719"/>
      <c r="AP697" s="719"/>
      <c r="AQ697" s="719"/>
      <c r="AR697" s="719"/>
      <c r="AS697" s="719"/>
      <c r="AT697" s="719"/>
      <c r="AU697" s="719"/>
      <c r="AV697" s="719"/>
      <c r="AW697" s="719"/>
      <c r="AX697" s="719"/>
      <c r="AY697" s="719"/>
      <c r="AZ697" s="719"/>
      <c r="BA697" s="719"/>
      <c r="BB697" s="719"/>
      <c r="BC697" s="719"/>
      <c r="BD697" s="719"/>
      <c r="BE697" s="719"/>
      <c r="BF697" s="719"/>
      <c r="BG697" s="719"/>
      <c r="BH697" s="719"/>
      <c r="BI697" s="719"/>
      <c r="BJ697" s="719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8:I189 H191:I195 H364:H375 J364:K375 H284:L284 I18:J18 I17 J49:L54 L173 L6:L14 J31:K48 H31:H54 J111:K120 J122:K133 H105:H133 L125:L129 O122:P133 Q125:Q129 H225:H228 J225:K228 H281:H283 L275:L283 J294:K302 L319:L324 J317:K347 H317:H347 J253:K274 H253:H274 H197:H218 J197:K218 H184:I186">
    <cfRule type="expression" dxfId="705" priority="319" stopIfTrue="1">
      <formula>"esterreur(reference)"</formula>
    </cfRule>
  </conditionalFormatting>
  <conditionalFormatting sqref="M95:M96">
    <cfRule type="expression" dxfId="704" priority="320" stopIfTrue="1">
      <formula>"esterreur(reference)"</formula>
    </cfRule>
  </conditionalFormatting>
  <conditionalFormatting sqref="H275:H280 J275:K280">
    <cfRule type="expression" dxfId="703" priority="321" stopIfTrue="1">
      <formula>"esterreur(reference)"</formula>
    </cfRule>
  </conditionalFormatting>
  <conditionalFormatting sqref="H219:H224 J219:K224">
    <cfRule type="expression" dxfId="702" priority="322" stopIfTrue="1">
      <formula>"esterreur(reference)"</formula>
    </cfRule>
  </conditionalFormatting>
  <conditionalFormatting sqref="H141:H147 J141:K147">
    <cfRule type="expression" dxfId="701" priority="323" stopIfTrue="1">
      <formula>"esterreur(reference)"</formula>
    </cfRule>
  </conditionalFormatting>
  <conditionalFormatting sqref="H137:H139 J137:K139">
    <cfRule type="expression" dxfId="700" priority="324" stopIfTrue="1">
      <formula>"esterreur(reference)"</formula>
    </cfRule>
  </conditionalFormatting>
  <conditionalFormatting sqref="H140 J140:K140">
    <cfRule type="expression" dxfId="699" priority="325" stopIfTrue="1">
      <formula>"esterreur(reference)"</formula>
    </cfRule>
  </conditionalFormatting>
  <conditionalFormatting sqref="L82">
    <cfRule type="expression" dxfId="698" priority="299" stopIfTrue="1">
      <formula>"esterreur(reference)"</formula>
    </cfRule>
  </conditionalFormatting>
  <conditionalFormatting sqref="M311">
    <cfRule type="expression" dxfId="697" priority="326" stopIfTrue="1">
      <formula>"esterreur(reference)"</formula>
    </cfRule>
  </conditionalFormatting>
  <conditionalFormatting sqref="R311">
    <cfRule type="expression" dxfId="696" priority="327" stopIfTrue="1">
      <formula>"esterreur(reference)"</formula>
    </cfRule>
  </conditionalFormatting>
  <conditionalFormatting sqref="AG408:AI413 AH490:AI490 AG431:AI431 AH465:AI467 AH452:AI459 AH432:AI450 AH460:AH464 AI491:AI496 AH419:AI430">
    <cfRule type="cellIs" dxfId="695" priority="328" operator="greaterThan">
      <formula>0</formula>
    </cfRule>
  </conditionalFormatting>
  <conditionalFormatting sqref="AH468:AI479">
    <cfRule type="cellIs" dxfId="694" priority="329" operator="lessThan">
      <formula>0</formula>
    </cfRule>
  </conditionalFormatting>
  <conditionalFormatting sqref="AH491:AH496">
    <cfRule type="cellIs" dxfId="693" priority="330" operator="greaterThan">
      <formula>0</formula>
    </cfRule>
  </conditionalFormatting>
  <conditionalFormatting sqref="J281:K283">
    <cfRule type="expression" dxfId="692" priority="331" stopIfTrue="1">
      <formula>"esterreur(reference)"</formula>
    </cfRule>
  </conditionalFormatting>
  <conditionalFormatting sqref="K356 J356:J357 H356:I356 L355:L356 H358:L358">
    <cfRule type="expression" dxfId="691" priority="332" stopIfTrue="1">
      <formula>"esterreur(reference)"</formula>
    </cfRule>
  </conditionalFormatting>
  <conditionalFormatting sqref="H396">
    <cfRule type="expression" dxfId="690" priority="333" stopIfTrue="1">
      <formula>"esterreur(reference)"</formula>
    </cfRule>
  </conditionalFormatting>
  <conditionalFormatting sqref="I376:L376 H377:H392 J377:K392">
    <cfRule type="expression" dxfId="689" priority="334" stopIfTrue="1">
      <formula>"esterreur(reference)"</formula>
    </cfRule>
  </conditionalFormatting>
  <conditionalFormatting sqref="H397:L398 I396:L396 H395:L395 H393:H394 J393:K393">
    <cfRule type="expression" dxfId="688" priority="335" stopIfTrue="1">
      <formula>"esterreur(reference)"</formula>
    </cfRule>
  </conditionalFormatting>
  <conditionalFormatting sqref="H360:L362 H359 K359">
    <cfRule type="expression" dxfId="687" priority="336" stopIfTrue="1">
      <formula>"esterreur(reference)"</formula>
    </cfRule>
  </conditionalFormatting>
  <conditionalFormatting sqref="K394">
    <cfRule type="expression" dxfId="686" priority="337" stopIfTrue="1">
      <formula>"esterreur(reference)"</formula>
    </cfRule>
  </conditionalFormatting>
  <conditionalFormatting sqref="H316:L316">
    <cfRule type="expression" dxfId="685" priority="338" stopIfTrue="1">
      <formula>"esterreur(reference)"</formula>
    </cfRule>
  </conditionalFormatting>
  <conditionalFormatting sqref="H196:L196">
    <cfRule type="expression" dxfId="684" priority="339" stopIfTrue="1">
      <formula>"esterreur(reference)"</formula>
    </cfRule>
  </conditionalFormatting>
  <conditionalFormatting sqref="H55:H56 J55:K56 H71 J71:K71">
    <cfRule type="expression" dxfId="683" priority="340" stopIfTrue="1">
      <formula>"esterreur(reference)"</formula>
    </cfRule>
  </conditionalFormatting>
  <conditionalFormatting sqref="J61:K70 H61:H70">
    <cfRule type="expression" dxfId="682" priority="341" stopIfTrue="1">
      <formula>"esterreur(reference)"</formula>
    </cfRule>
  </conditionalFormatting>
  <conditionalFormatting sqref="H57:H59 J57:K59">
    <cfRule type="expression" dxfId="681" priority="342" stopIfTrue="1">
      <formula>"esterreur(reference)"</formula>
    </cfRule>
  </conditionalFormatting>
  <conditionalFormatting sqref="H60 J60:K60">
    <cfRule type="expression" dxfId="680" priority="343" stopIfTrue="1">
      <formula>"esterreur(reference)"</formula>
    </cfRule>
  </conditionalFormatting>
  <conditionalFormatting sqref="L19 L21:L23">
    <cfRule type="expression" dxfId="679" priority="317" stopIfTrue="1">
      <formula>"esterreur(reference)"</formula>
    </cfRule>
  </conditionalFormatting>
  <conditionalFormatting sqref="K98">
    <cfRule type="expression" dxfId="678" priority="344" stopIfTrue="1">
      <formula>"esterreur(reference)"</formula>
    </cfRule>
  </conditionalFormatting>
  <conditionalFormatting sqref="L331:L347">
    <cfRule type="expression" dxfId="677" priority="213" stopIfTrue="1">
      <formula>"esterreur(reference)"</formula>
    </cfRule>
  </conditionalFormatting>
  <conditionalFormatting sqref="L16:L17">
    <cfRule type="expression" dxfId="676" priority="318" stopIfTrue="1">
      <formula>"esterreur(reference)"</formula>
    </cfRule>
  </conditionalFormatting>
  <conditionalFormatting sqref="L20">
    <cfRule type="expression" dxfId="675" priority="316" stopIfTrue="1">
      <formula>"esterreur(reference)"</formula>
    </cfRule>
  </conditionalFormatting>
  <conditionalFormatting sqref="L325">
    <cfRule type="expression" dxfId="674" priority="217" stopIfTrue="1">
      <formula>"esterreur(reference)"</formula>
    </cfRule>
  </conditionalFormatting>
  <conditionalFormatting sqref="L326">
    <cfRule type="expression" dxfId="673" priority="216" stopIfTrue="1">
      <formula>"esterreur(reference)"</formula>
    </cfRule>
  </conditionalFormatting>
  <conditionalFormatting sqref="L327">
    <cfRule type="expression" dxfId="672" priority="215" stopIfTrue="1">
      <formula>"esterreur(reference)"</formula>
    </cfRule>
  </conditionalFormatting>
  <conditionalFormatting sqref="L328">
    <cfRule type="expression" dxfId="671" priority="214" stopIfTrue="1">
      <formula>"esterreur(reference)"</formula>
    </cfRule>
  </conditionalFormatting>
  <conditionalFormatting sqref="L42">
    <cfRule type="expression" dxfId="670" priority="315" stopIfTrue="1">
      <formula>"esterreur(reference)"</formula>
    </cfRule>
  </conditionalFormatting>
  <conditionalFormatting sqref="L43">
    <cfRule type="expression" dxfId="669" priority="314" stopIfTrue="1">
      <formula>"esterreur(reference)"</formula>
    </cfRule>
  </conditionalFormatting>
  <conditionalFormatting sqref="L44">
    <cfRule type="expression" dxfId="668" priority="313" stopIfTrue="1">
      <formula>"esterreur(reference)"</formula>
    </cfRule>
  </conditionalFormatting>
  <conditionalFormatting sqref="L45:L48">
    <cfRule type="expression" dxfId="667" priority="312" stopIfTrue="1">
      <formula>"esterreur(reference)"</formula>
    </cfRule>
  </conditionalFormatting>
  <conditionalFormatting sqref="L55">
    <cfRule type="expression" dxfId="666" priority="311" stopIfTrue="1">
      <formula>"esterreur(reference)"</formula>
    </cfRule>
  </conditionalFormatting>
  <conditionalFormatting sqref="L56">
    <cfRule type="expression" dxfId="665" priority="310" stopIfTrue="1">
      <formula>"esterreur(reference)"</formula>
    </cfRule>
  </conditionalFormatting>
  <conditionalFormatting sqref="L271">
    <cfRule type="expression" dxfId="664" priority="228" stopIfTrue="1">
      <formula>"esterreur(reference)"</formula>
    </cfRule>
  </conditionalFormatting>
  <conditionalFormatting sqref="L58">
    <cfRule type="expression" dxfId="663" priority="309" stopIfTrue="1">
      <formula>"esterreur(reference)"</formula>
    </cfRule>
  </conditionalFormatting>
  <conditionalFormatting sqref="L61">
    <cfRule type="expression" dxfId="662" priority="308" stopIfTrue="1">
      <formula>"esterreur(reference)"</formula>
    </cfRule>
  </conditionalFormatting>
  <conditionalFormatting sqref="L274">
    <cfRule type="expression" dxfId="661" priority="226" stopIfTrue="1">
      <formula>"esterreur(reference)"</formula>
    </cfRule>
  </conditionalFormatting>
  <conditionalFormatting sqref="L63">
    <cfRule type="expression" dxfId="660" priority="307" stopIfTrue="1">
      <formula>"esterreur(reference)"</formula>
    </cfRule>
  </conditionalFormatting>
  <conditionalFormatting sqref="L62">
    <cfRule type="expression" dxfId="659" priority="306" stopIfTrue="1">
      <formula>"esterreur(reference)"</formula>
    </cfRule>
  </conditionalFormatting>
  <conditionalFormatting sqref="L64">
    <cfRule type="expression" dxfId="658" priority="305" stopIfTrue="1">
      <formula>"esterreur(reference)"</formula>
    </cfRule>
  </conditionalFormatting>
  <conditionalFormatting sqref="L65">
    <cfRule type="expression" dxfId="657" priority="304" stopIfTrue="1">
      <formula>"esterreur(reference)"</formula>
    </cfRule>
  </conditionalFormatting>
  <conditionalFormatting sqref="L69 L66:L67">
    <cfRule type="expression" dxfId="656" priority="303" stopIfTrue="1">
      <formula>"esterreur(reference)"</formula>
    </cfRule>
  </conditionalFormatting>
  <conditionalFormatting sqref="L70">
    <cfRule type="expression" dxfId="655" priority="302" stopIfTrue="1">
      <formula>"esterreur(reference)"</formula>
    </cfRule>
  </conditionalFormatting>
  <conditionalFormatting sqref="L76:L77">
    <cfRule type="expression" dxfId="654" priority="301" stopIfTrue="1">
      <formula>"esterreur(reference)"</formula>
    </cfRule>
  </conditionalFormatting>
  <conditionalFormatting sqref="L78:L81">
    <cfRule type="expression" dxfId="653" priority="300" stopIfTrue="1">
      <formula>"esterreur(reference)"</formula>
    </cfRule>
  </conditionalFormatting>
  <conditionalFormatting sqref="L57">
    <cfRule type="expression" dxfId="652" priority="298" stopIfTrue="1">
      <formula>"esterreur(reference)"</formula>
    </cfRule>
  </conditionalFormatting>
  <conditionalFormatting sqref="L94:L95">
    <cfRule type="expression" dxfId="651" priority="297" stopIfTrue="1">
      <formula>"esterreur(reference)"</formula>
    </cfRule>
  </conditionalFormatting>
  <conditionalFormatting sqref="L98">
    <cfRule type="expression" dxfId="650" priority="296" stopIfTrue="1">
      <formula>"esterreur(reference)"</formula>
    </cfRule>
  </conditionalFormatting>
  <conditionalFormatting sqref="L99">
    <cfRule type="expression" dxfId="649" priority="295" stopIfTrue="1">
      <formula>"esterreur(reference)"</formula>
    </cfRule>
  </conditionalFormatting>
  <conditionalFormatting sqref="L101">
    <cfRule type="expression" dxfId="648" priority="294" stopIfTrue="1">
      <formula>"esterreur(reference)"</formula>
    </cfRule>
  </conditionalFormatting>
  <conditionalFormatting sqref="L102">
    <cfRule type="expression" dxfId="647" priority="293" stopIfTrue="1">
      <formula>"esterreur(reference)"</formula>
    </cfRule>
  </conditionalFormatting>
  <conditionalFormatting sqref="L103">
    <cfRule type="expression" dxfId="646" priority="292" stopIfTrue="1">
      <formula>"esterreur(reference)"</formula>
    </cfRule>
  </conditionalFormatting>
  <conditionalFormatting sqref="L111">
    <cfRule type="expression" dxfId="645" priority="291" stopIfTrue="1">
      <formula>"esterreur(reference)"</formula>
    </cfRule>
  </conditionalFormatting>
  <conditionalFormatting sqref="L112">
    <cfRule type="expression" dxfId="644" priority="290" stopIfTrue="1">
      <formula>"esterreur(reference)"</formula>
    </cfRule>
  </conditionalFormatting>
  <conditionalFormatting sqref="L207">
    <cfRule type="expression" dxfId="643" priority="251" stopIfTrue="1">
      <formula>"esterreur(reference)"</formula>
    </cfRule>
  </conditionalFormatting>
  <conditionalFormatting sqref="L114">
    <cfRule type="expression" dxfId="642" priority="289" stopIfTrue="1">
      <formula>"esterreur(reference)"</formula>
    </cfRule>
  </conditionalFormatting>
  <conditionalFormatting sqref="L227">
    <cfRule type="expression" dxfId="641" priority="247" stopIfTrue="1">
      <formula>"esterreur(reference)"</formula>
    </cfRule>
  </conditionalFormatting>
  <conditionalFormatting sqref="L116:L119">
    <cfRule type="expression" dxfId="640" priority="288" stopIfTrue="1">
      <formula>"esterreur(reference)"</formula>
    </cfRule>
  </conditionalFormatting>
  <conditionalFormatting sqref="L120">
    <cfRule type="expression" dxfId="639" priority="287" stopIfTrue="1">
      <formula>"esterreur(reference)"</formula>
    </cfRule>
  </conditionalFormatting>
  <conditionalFormatting sqref="L130">
    <cfRule type="expression" dxfId="638" priority="284" stopIfTrue="1">
      <formula>"esterreur(reference)"</formula>
    </cfRule>
  </conditionalFormatting>
  <conditionalFormatting sqref="L124">
    <cfRule type="expression" dxfId="637" priority="286" stopIfTrue="1">
      <formula>"esterreur(reference)"</formula>
    </cfRule>
  </conditionalFormatting>
  <conditionalFormatting sqref="L123">
    <cfRule type="expression" dxfId="636" priority="285" stopIfTrue="1">
      <formula>"esterreur(reference)"</formula>
    </cfRule>
  </conditionalFormatting>
  <conditionalFormatting sqref="L138">
    <cfRule type="expression" dxfId="635" priority="278" stopIfTrue="1">
      <formula>"esterreur(reference)"</formula>
    </cfRule>
  </conditionalFormatting>
  <conditionalFormatting sqref="L131">
    <cfRule type="expression" dxfId="634" priority="283" stopIfTrue="1">
      <formula>"esterreur(reference)"</formula>
    </cfRule>
  </conditionalFormatting>
  <conditionalFormatting sqref="L132">
    <cfRule type="expression" dxfId="633" priority="282" stopIfTrue="1">
      <formula>"esterreur(reference)"</formula>
    </cfRule>
  </conditionalFormatting>
  <conditionalFormatting sqref="L133">
    <cfRule type="expression" dxfId="632" priority="281" stopIfTrue="1">
      <formula>"esterreur(reference)"</formula>
    </cfRule>
  </conditionalFormatting>
  <conditionalFormatting sqref="L139">
    <cfRule type="expression" dxfId="631" priority="277" stopIfTrue="1">
      <formula>"esterreur(reference)"</formula>
    </cfRule>
  </conditionalFormatting>
  <conditionalFormatting sqref="L136">
    <cfRule type="expression" dxfId="630" priority="280" stopIfTrue="1">
      <formula>"esterreur(reference)"</formula>
    </cfRule>
  </conditionalFormatting>
  <conditionalFormatting sqref="L137">
    <cfRule type="expression" dxfId="629" priority="279" stopIfTrue="1">
      <formula>"esterreur(reference)"</formula>
    </cfRule>
  </conditionalFormatting>
  <conditionalFormatting sqref="L140">
    <cfRule type="expression" dxfId="628" priority="276" stopIfTrue="1">
      <formula>"esterreur(reference)"</formula>
    </cfRule>
  </conditionalFormatting>
  <conditionalFormatting sqref="L141">
    <cfRule type="expression" dxfId="627" priority="275" stopIfTrue="1">
      <formula>"esterreur(reference)"</formula>
    </cfRule>
  </conditionalFormatting>
  <conditionalFormatting sqref="L142">
    <cfRule type="expression" dxfId="626" priority="274" stopIfTrue="1">
      <formula>"esterreur(reference)"</formula>
    </cfRule>
  </conditionalFormatting>
  <conditionalFormatting sqref="L143">
    <cfRule type="expression" dxfId="625" priority="273" stopIfTrue="1">
      <formula>"esterreur(reference)"</formula>
    </cfRule>
  </conditionalFormatting>
  <conditionalFormatting sqref="L144">
    <cfRule type="expression" dxfId="624" priority="272" stopIfTrue="1">
      <formula>"esterreur(reference)"</formula>
    </cfRule>
  </conditionalFormatting>
  <conditionalFormatting sqref="L145">
    <cfRule type="expression" dxfId="623" priority="271" stopIfTrue="1">
      <formula>"esterreur(reference)"</formula>
    </cfRule>
  </conditionalFormatting>
  <conditionalFormatting sqref="L146">
    <cfRule type="expression" dxfId="622" priority="270" stopIfTrue="1">
      <formula>"esterreur(reference)"</formula>
    </cfRule>
  </conditionalFormatting>
  <conditionalFormatting sqref="L147">
    <cfRule type="expression" dxfId="621" priority="269" stopIfTrue="1">
      <formula>"esterreur(reference)"</formula>
    </cfRule>
  </conditionalFormatting>
  <conditionalFormatting sqref="L155">
    <cfRule type="expression" dxfId="620" priority="268" stopIfTrue="1">
      <formula>"esterreur(reference)"</formula>
    </cfRule>
  </conditionalFormatting>
  <conditionalFormatting sqref="L157">
    <cfRule type="expression" dxfId="619" priority="266" stopIfTrue="1">
      <formula>"esterreur(reference)"</formula>
    </cfRule>
  </conditionalFormatting>
  <conditionalFormatting sqref="L156">
    <cfRule type="expression" dxfId="618" priority="267" stopIfTrue="1">
      <formula>"esterreur(reference)"</formula>
    </cfRule>
  </conditionalFormatting>
  <conditionalFormatting sqref="L115">
    <cfRule type="expression" dxfId="617" priority="265" stopIfTrue="1">
      <formula>"esterreur(reference)"</formula>
    </cfRule>
  </conditionalFormatting>
  <conditionalFormatting sqref="L113">
    <cfRule type="expression" dxfId="616" priority="264" stopIfTrue="1">
      <formula>"esterreur(reference)"</formula>
    </cfRule>
  </conditionalFormatting>
  <conditionalFormatting sqref="L171">
    <cfRule type="expression" dxfId="615" priority="263" stopIfTrue="1">
      <formula>"esterreur(reference)"</formula>
    </cfRule>
  </conditionalFormatting>
  <conditionalFormatting sqref="L174">
    <cfRule type="expression" dxfId="614" priority="262" stopIfTrue="1">
      <formula>"esterreur(reference)"</formula>
    </cfRule>
  </conditionalFormatting>
  <conditionalFormatting sqref="L177">
    <cfRule type="expression" dxfId="613" priority="261" stopIfTrue="1">
      <formula>"esterreur(reference)"</formula>
    </cfRule>
  </conditionalFormatting>
  <conditionalFormatting sqref="L187">
    <cfRule type="expression" dxfId="612" priority="260" stopIfTrue="1">
      <formula>"esterreur(reference)"</formula>
    </cfRule>
  </conditionalFormatting>
  <conditionalFormatting sqref="L197">
    <cfRule type="expression" dxfId="611" priority="259" stopIfTrue="1">
      <formula>"esterreur(reference)"</formula>
    </cfRule>
  </conditionalFormatting>
  <conditionalFormatting sqref="L199">
    <cfRule type="expression" dxfId="610" priority="258" stopIfTrue="1">
      <formula>"esterreur(reference)"</formula>
    </cfRule>
  </conditionalFormatting>
  <conditionalFormatting sqref="L198">
    <cfRule type="expression" dxfId="609" priority="257" stopIfTrue="1">
      <formula>"esterreur(reference)"</formula>
    </cfRule>
  </conditionalFormatting>
  <conditionalFormatting sqref="L200">
    <cfRule type="expression" dxfId="608" priority="256" stopIfTrue="1">
      <formula>"esterreur(reference)"</formula>
    </cfRule>
  </conditionalFormatting>
  <conditionalFormatting sqref="L201">
    <cfRule type="expression" dxfId="607" priority="255" stopIfTrue="1">
      <formula>"esterreur(reference)"</formula>
    </cfRule>
  </conditionalFormatting>
  <conditionalFormatting sqref="L202:L204">
    <cfRule type="expression" dxfId="606" priority="254" stopIfTrue="1">
      <formula>"esterreur(reference)"</formula>
    </cfRule>
  </conditionalFormatting>
  <conditionalFormatting sqref="L206">
    <cfRule type="expression" dxfId="605" priority="252" stopIfTrue="1">
      <formula>"esterreur(reference)"</formula>
    </cfRule>
  </conditionalFormatting>
  <conditionalFormatting sqref="L205">
    <cfRule type="expression" dxfId="604" priority="253" stopIfTrue="1">
      <formula>"esterreur(reference)"</formula>
    </cfRule>
  </conditionalFormatting>
  <conditionalFormatting sqref="L208">
    <cfRule type="expression" dxfId="603" priority="250" stopIfTrue="1">
      <formula>"esterreur(reference)"</formula>
    </cfRule>
  </conditionalFormatting>
  <conditionalFormatting sqref="L211:L224">
    <cfRule type="expression" dxfId="602" priority="249" stopIfTrue="1">
      <formula>"esterreur(reference)"</formula>
    </cfRule>
  </conditionalFormatting>
  <conditionalFormatting sqref="L225:L226">
    <cfRule type="expression" dxfId="601" priority="248" stopIfTrue="1">
      <formula>"esterreur(reference)"</formula>
    </cfRule>
  </conditionalFormatting>
  <conditionalFormatting sqref="L180">
    <cfRule type="expression" dxfId="600" priority="246" stopIfTrue="1">
      <formula>"esterreur(reference)"</formula>
    </cfRule>
  </conditionalFormatting>
  <conditionalFormatting sqref="L243">
    <cfRule type="expression" dxfId="599" priority="245" stopIfTrue="1">
      <formula>"esterreur(reference)"</formula>
    </cfRule>
  </conditionalFormatting>
  <conditionalFormatting sqref="L246">
    <cfRule type="expression" dxfId="598" priority="244" stopIfTrue="1">
      <formula>"esterreur(reference)"</formula>
    </cfRule>
  </conditionalFormatting>
  <conditionalFormatting sqref="L253">
    <cfRule type="expression" dxfId="597" priority="243" stopIfTrue="1">
      <formula>"esterreur(reference)"</formula>
    </cfRule>
  </conditionalFormatting>
  <conditionalFormatting sqref="L254">
    <cfRule type="expression" dxfId="596" priority="242" stopIfTrue="1">
      <formula>"esterreur(reference)"</formula>
    </cfRule>
  </conditionalFormatting>
  <conditionalFormatting sqref="L255">
    <cfRule type="expression" dxfId="595" priority="241" stopIfTrue="1">
      <formula>"esterreur(reference)"</formula>
    </cfRule>
  </conditionalFormatting>
  <conditionalFormatting sqref="L256">
    <cfRule type="expression" dxfId="594" priority="240" stopIfTrue="1">
      <formula>"esterreur(reference)"</formula>
    </cfRule>
  </conditionalFormatting>
  <conditionalFormatting sqref="L257">
    <cfRule type="expression" dxfId="593" priority="239" stopIfTrue="1">
      <formula>"esterreur(reference)"</formula>
    </cfRule>
  </conditionalFormatting>
  <conditionalFormatting sqref="L258">
    <cfRule type="expression" dxfId="592" priority="238" stopIfTrue="1">
      <formula>"esterreur(reference)"</formula>
    </cfRule>
  </conditionalFormatting>
  <conditionalFormatting sqref="L259">
    <cfRule type="expression" dxfId="591" priority="237" stopIfTrue="1">
      <formula>"esterreur(reference)"</formula>
    </cfRule>
  </conditionalFormatting>
  <conditionalFormatting sqref="L260">
    <cfRule type="expression" dxfId="590" priority="236" stopIfTrue="1">
      <formula>"esterreur(reference)"</formula>
    </cfRule>
  </conditionalFormatting>
  <conditionalFormatting sqref="L261">
    <cfRule type="expression" dxfId="589" priority="235" stopIfTrue="1">
      <formula>"esterreur(reference)"</formula>
    </cfRule>
  </conditionalFormatting>
  <conditionalFormatting sqref="L262">
    <cfRule type="expression" dxfId="588" priority="234" stopIfTrue="1">
      <formula>"esterreur(reference)"</formula>
    </cfRule>
  </conditionalFormatting>
  <conditionalFormatting sqref="L263:L264">
    <cfRule type="expression" dxfId="587" priority="233" stopIfTrue="1">
      <formula>"esterreur(reference)"</formula>
    </cfRule>
  </conditionalFormatting>
  <conditionalFormatting sqref="L268">
    <cfRule type="expression" dxfId="586" priority="231" stopIfTrue="1">
      <formula>"esterreur(reference)"</formula>
    </cfRule>
  </conditionalFormatting>
  <conditionalFormatting sqref="L267">
    <cfRule type="expression" dxfId="585" priority="232" stopIfTrue="1">
      <formula>"esterreur(reference)"</formula>
    </cfRule>
  </conditionalFormatting>
  <conditionalFormatting sqref="L269">
    <cfRule type="expression" dxfId="584" priority="230" stopIfTrue="1">
      <formula>"esterreur(reference)"</formula>
    </cfRule>
  </conditionalFormatting>
  <conditionalFormatting sqref="L270">
    <cfRule type="expression" dxfId="583" priority="229" stopIfTrue="1">
      <formula>"esterreur(reference)"</formula>
    </cfRule>
  </conditionalFormatting>
  <conditionalFormatting sqref="L272:L273">
    <cfRule type="expression" dxfId="582" priority="227" stopIfTrue="1">
      <formula>"esterreur(reference)"</formula>
    </cfRule>
  </conditionalFormatting>
  <conditionalFormatting sqref="L294:L300">
    <cfRule type="expression" dxfId="581" priority="225" stopIfTrue="1">
      <formula>"esterreur(reference)"</formula>
    </cfRule>
  </conditionalFormatting>
  <conditionalFormatting sqref="L301">
    <cfRule type="expression" dxfId="580" priority="224" stopIfTrue="1">
      <formula>"esterreur(reference)"</formula>
    </cfRule>
  </conditionalFormatting>
  <conditionalFormatting sqref="L302">
    <cfRule type="expression" dxfId="579" priority="223" stopIfTrue="1">
      <formula>"esterreur(reference)"</formula>
    </cfRule>
  </conditionalFormatting>
  <conditionalFormatting sqref="L306">
    <cfRule type="expression" dxfId="578" priority="222" stopIfTrue="1">
      <formula>"esterreur(reference)"</formula>
    </cfRule>
  </conditionalFormatting>
  <conditionalFormatting sqref="L307">
    <cfRule type="expression" dxfId="577" priority="221" stopIfTrue="1">
      <formula>"esterreur(reference)"</formula>
    </cfRule>
  </conditionalFormatting>
  <conditionalFormatting sqref="L311">
    <cfRule type="expression" dxfId="576" priority="220" stopIfTrue="1">
      <formula>"esterreur(reference)"</formula>
    </cfRule>
  </conditionalFormatting>
  <conditionalFormatting sqref="L317">
    <cfRule type="expression" dxfId="575" priority="219" stopIfTrue="1">
      <formula>"esterreur(reference)"</formula>
    </cfRule>
  </conditionalFormatting>
  <conditionalFormatting sqref="L318">
    <cfRule type="expression" dxfId="574" priority="218" stopIfTrue="1">
      <formula>"esterreur(reference)"</formula>
    </cfRule>
  </conditionalFormatting>
  <conditionalFormatting sqref="K5">
    <cfRule type="expression" dxfId="573" priority="212" stopIfTrue="1">
      <formula>"esterreur(reference)"</formula>
    </cfRule>
  </conditionalFormatting>
  <conditionalFormatting sqref="L5">
    <cfRule type="expression" dxfId="572" priority="211" stopIfTrue="1">
      <formula>"esterreur(reference)"</formula>
    </cfRule>
  </conditionalFormatting>
  <conditionalFormatting sqref="K182">
    <cfRule type="expression" dxfId="571" priority="210" stopIfTrue="1">
      <formula>"esterreur(reference)"</formula>
    </cfRule>
  </conditionalFormatting>
  <conditionalFormatting sqref="L93">
    <cfRule type="expression" dxfId="570" priority="209" stopIfTrue="1">
      <formula>"esterreur(reference)"</formula>
    </cfRule>
  </conditionalFormatting>
  <conditionalFormatting sqref="K171">
    <cfRule type="expression" dxfId="569" priority="208" stopIfTrue="1">
      <formula>"esterreur(reference)"</formula>
    </cfRule>
  </conditionalFormatting>
  <conditionalFormatting sqref="K174">
    <cfRule type="expression" dxfId="568" priority="207" stopIfTrue="1">
      <formula>"esterreur(reference)"</formula>
    </cfRule>
  </conditionalFormatting>
  <conditionalFormatting sqref="K177">
    <cfRule type="expression" dxfId="567" priority="206" stopIfTrue="1">
      <formula>"esterreur(reference)"</formula>
    </cfRule>
  </conditionalFormatting>
  <conditionalFormatting sqref="K180">
    <cfRule type="expression" dxfId="566" priority="205" stopIfTrue="1">
      <formula>"esterreur(reference)"</formula>
    </cfRule>
  </conditionalFormatting>
  <conditionalFormatting sqref="K240">
    <cfRule type="expression" dxfId="565" priority="204" stopIfTrue="1">
      <formula>"esterreur(reference)"</formula>
    </cfRule>
  </conditionalFormatting>
  <conditionalFormatting sqref="K243">
    <cfRule type="expression" dxfId="564" priority="203" stopIfTrue="1">
      <formula>"esterreur(reference)"</formula>
    </cfRule>
  </conditionalFormatting>
  <conditionalFormatting sqref="K246">
    <cfRule type="expression" dxfId="563" priority="202" stopIfTrue="1">
      <formula>"esterreur(reference)"</formula>
    </cfRule>
  </conditionalFormatting>
  <conditionalFormatting sqref="J306:J307">
    <cfRule type="expression" dxfId="562" priority="201" stopIfTrue="1">
      <formula>"esterreur(reference)"</formula>
    </cfRule>
  </conditionalFormatting>
  <conditionalFormatting sqref="K187">
    <cfRule type="expression" dxfId="561" priority="200" stopIfTrue="1">
      <formula>"esterreur(reference)"</formula>
    </cfRule>
  </conditionalFormatting>
  <conditionalFormatting sqref="K190">
    <cfRule type="expression" dxfId="560" priority="199" stopIfTrue="1">
      <formula>"esterreur(reference)"</formula>
    </cfRule>
  </conditionalFormatting>
  <conditionalFormatting sqref="J311">
    <cfRule type="expression" dxfId="559" priority="198" stopIfTrue="1">
      <formula>"esterreur(reference)"</formula>
    </cfRule>
  </conditionalFormatting>
  <conditionalFormatting sqref="L364:L375">
    <cfRule type="expression" dxfId="558" priority="197" stopIfTrue="1">
      <formula>"esterreur(reference)"</formula>
    </cfRule>
  </conditionalFormatting>
  <conditionalFormatting sqref="L377:L393">
    <cfRule type="expression" dxfId="557" priority="196" stopIfTrue="1">
      <formula>"esterreur(reference)"</formula>
    </cfRule>
  </conditionalFormatting>
  <conditionalFormatting sqref="K93">
    <cfRule type="expression" dxfId="556" priority="195" stopIfTrue="1">
      <formula>"esterreur(reference)"</formula>
    </cfRule>
  </conditionalFormatting>
  <conditionalFormatting sqref="L240">
    <cfRule type="expression" dxfId="555" priority="194" stopIfTrue="1">
      <formula>"esterreur(reference)"</formula>
    </cfRule>
  </conditionalFormatting>
  <conditionalFormatting sqref="K239">
    <cfRule type="expression" dxfId="554" priority="193" stopIfTrue="1">
      <formula>"esterreur(reference)"</formula>
    </cfRule>
  </conditionalFormatting>
  <conditionalFormatting sqref="L239">
    <cfRule type="expression" dxfId="553" priority="192" stopIfTrue="1">
      <formula>"esterreur(reference)"</formula>
    </cfRule>
  </conditionalFormatting>
  <conditionalFormatting sqref="F183">
    <cfRule type="expression" dxfId="552" priority="191" stopIfTrue="1">
      <formula>"esterreur(reference)"</formula>
    </cfRule>
  </conditionalFormatting>
  <conditionalFormatting sqref="J359">
    <cfRule type="expression" dxfId="551" priority="190" stopIfTrue="1">
      <formula>"esterreur(reference)"</formula>
    </cfRule>
  </conditionalFormatting>
  <conditionalFormatting sqref="L359">
    <cfRule type="expression" dxfId="550" priority="189" stopIfTrue="1">
      <formula>"esterreur(reference)"</formula>
    </cfRule>
  </conditionalFormatting>
  <conditionalFormatting sqref="S185">
    <cfRule type="expression" dxfId="549" priority="188" stopIfTrue="1">
      <formula>"esterreur(reference)"</formula>
    </cfRule>
  </conditionalFormatting>
  <conditionalFormatting sqref="K286">
    <cfRule type="expression" dxfId="548" priority="187" stopIfTrue="1">
      <formula>"esterreur(reference)"</formula>
    </cfRule>
  </conditionalFormatting>
  <conditionalFormatting sqref="AO408:AO413">
    <cfRule type="cellIs" dxfId="547" priority="186" operator="greaterThan">
      <formula>0</formula>
    </cfRule>
  </conditionalFormatting>
  <conditionalFormatting sqref="L71">
    <cfRule type="expression" dxfId="546" priority="185" stopIfTrue="1">
      <formula>"esterreur(reference)"</formula>
    </cfRule>
  </conditionalFormatting>
  <conditionalFormatting sqref="L210">
    <cfRule type="expression" dxfId="545" priority="182" stopIfTrue="1">
      <formula>"esterreur(reference)"</formula>
    </cfRule>
  </conditionalFormatting>
  <conditionalFormatting sqref="L122">
    <cfRule type="expression" dxfId="544" priority="184" stopIfTrue="1">
      <formula>"esterreur(reference)"</formula>
    </cfRule>
  </conditionalFormatting>
  <conditionalFormatting sqref="L266">
    <cfRule type="expression" dxfId="543" priority="181" stopIfTrue="1">
      <formula>"esterreur(reference)"</formula>
    </cfRule>
  </conditionalFormatting>
  <conditionalFormatting sqref="L135">
    <cfRule type="expression" dxfId="542" priority="183" stopIfTrue="1">
      <formula>"esterreur(reference)"</formula>
    </cfRule>
  </conditionalFormatting>
  <conditionalFormatting sqref="L330">
    <cfRule type="expression" dxfId="541" priority="180" stopIfTrue="1">
      <formula>"esterreur(reference)"</formula>
    </cfRule>
  </conditionalFormatting>
  <conditionalFormatting sqref="L75">
    <cfRule type="expression" dxfId="540" priority="179" stopIfTrue="1">
      <formula>"esterreur(reference)"</formula>
    </cfRule>
  </conditionalFormatting>
  <conditionalFormatting sqref="L60">
    <cfRule type="expression" dxfId="539" priority="177" stopIfTrue="1">
      <formula>"esterreur(reference)"</formula>
    </cfRule>
  </conditionalFormatting>
  <conditionalFormatting sqref="L59">
    <cfRule type="expression" dxfId="538" priority="178" stopIfTrue="1">
      <formula>"esterreur(reference)"</formula>
    </cfRule>
  </conditionalFormatting>
  <conditionalFormatting sqref="F5">
    <cfRule type="expression" dxfId="537" priority="176" stopIfTrue="1">
      <formula>"esterreur(reference)"</formula>
    </cfRule>
  </conditionalFormatting>
  <conditionalFormatting sqref="O25:Q30 Q18 O83:Q85 O41:Q41 O72:Q72 Q24 O13:O14 O16 O18:O24 O49:Q54 Q6:Q14 O31:P40 O42:P48">
    <cfRule type="expression" dxfId="536" priority="171" stopIfTrue="1">
      <formula>"esterreur(reference)"</formula>
    </cfRule>
  </conditionalFormatting>
  <conditionalFormatting sqref="P5">
    <cfRule type="expression" dxfId="535" priority="148" stopIfTrue="1">
      <formula>"esterreur(reference)"</formula>
    </cfRule>
  </conditionalFormatting>
  <conditionalFormatting sqref="Q32">
    <cfRule type="expression" dxfId="534" priority="166" stopIfTrue="1">
      <formula>"esterreur(reference)"</formula>
    </cfRule>
  </conditionalFormatting>
  <conditionalFormatting sqref="Q35">
    <cfRule type="expression" dxfId="533" priority="165" stopIfTrue="1">
      <formula>"esterreur(reference)"</formula>
    </cfRule>
  </conditionalFormatting>
  <conditionalFormatting sqref="O55:P56 O71:P71">
    <cfRule type="expression" dxfId="532" priority="172" stopIfTrue="1">
      <formula>"esterreur(reference)"</formula>
    </cfRule>
  </conditionalFormatting>
  <conditionalFormatting sqref="O61:P70">
    <cfRule type="expression" dxfId="531" priority="173" stopIfTrue="1">
      <formula>"esterreur(reference)"</formula>
    </cfRule>
  </conditionalFormatting>
  <conditionalFormatting sqref="O57:P59">
    <cfRule type="expression" dxfId="530" priority="174" stopIfTrue="1">
      <formula>"esterreur(reference)"</formula>
    </cfRule>
  </conditionalFormatting>
  <conditionalFormatting sqref="O60:P60">
    <cfRule type="expression" dxfId="529" priority="175" stopIfTrue="1">
      <formula>"esterreur(reference)"</formula>
    </cfRule>
  </conditionalFormatting>
  <conditionalFormatting sqref="Q19 Q21:Q23">
    <cfRule type="expression" dxfId="528" priority="169" stopIfTrue="1">
      <formula>"esterreur(reference)"</formula>
    </cfRule>
  </conditionalFormatting>
  <conditionalFormatting sqref="Q16:Q17">
    <cfRule type="expression" dxfId="527" priority="170" stopIfTrue="1">
      <formula>"esterreur(reference)"</formula>
    </cfRule>
  </conditionalFormatting>
  <conditionalFormatting sqref="Q20">
    <cfRule type="expression" dxfId="526" priority="168" stopIfTrue="1">
      <formula>"esterreur(reference)"</formula>
    </cfRule>
  </conditionalFormatting>
  <conditionalFormatting sqref="Q31 Q33:Q34">
    <cfRule type="expression" dxfId="525" priority="167" stopIfTrue="1">
      <formula>"esterreur(reference)"</formula>
    </cfRule>
  </conditionalFormatting>
  <conditionalFormatting sqref="Q42">
    <cfRule type="expression" dxfId="524" priority="164" stopIfTrue="1">
      <formula>"esterreur(reference)"</formula>
    </cfRule>
  </conditionalFormatting>
  <conditionalFormatting sqref="Q43">
    <cfRule type="expression" dxfId="523" priority="163" stopIfTrue="1">
      <formula>"esterreur(reference)"</formula>
    </cfRule>
  </conditionalFormatting>
  <conditionalFormatting sqref="Q44">
    <cfRule type="expression" dxfId="522" priority="162" stopIfTrue="1">
      <formula>"esterreur(reference)"</formula>
    </cfRule>
  </conditionalFormatting>
  <conditionalFormatting sqref="Q45:Q48">
    <cfRule type="expression" dxfId="521" priority="161" stopIfTrue="1">
      <formula>"esterreur(reference)"</formula>
    </cfRule>
  </conditionalFormatting>
  <conditionalFormatting sqref="Q55">
    <cfRule type="expression" dxfId="520" priority="160" stopIfTrue="1">
      <formula>"esterreur(reference)"</formula>
    </cfRule>
  </conditionalFormatting>
  <conditionalFormatting sqref="Q56">
    <cfRule type="expression" dxfId="519" priority="159" stopIfTrue="1">
      <formula>"esterreur(reference)"</formula>
    </cfRule>
  </conditionalFormatting>
  <conditionalFormatting sqref="Q58">
    <cfRule type="expression" dxfId="518" priority="158" stopIfTrue="1">
      <formula>"esterreur(reference)"</formula>
    </cfRule>
  </conditionalFormatting>
  <conditionalFormatting sqref="Q61">
    <cfRule type="expression" dxfId="517" priority="157" stopIfTrue="1">
      <formula>"esterreur(reference)"</formula>
    </cfRule>
  </conditionalFormatting>
  <conditionalFormatting sqref="Q63">
    <cfRule type="expression" dxfId="516" priority="156" stopIfTrue="1">
      <formula>"esterreur(reference)"</formula>
    </cfRule>
  </conditionalFormatting>
  <conditionalFormatting sqref="Q62">
    <cfRule type="expression" dxfId="515" priority="155" stopIfTrue="1">
      <formula>"esterreur(reference)"</formula>
    </cfRule>
  </conditionalFormatting>
  <conditionalFormatting sqref="Q64">
    <cfRule type="expression" dxfId="514" priority="154" stopIfTrue="1">
      <formula>"esterreur(reference)"</formula>
    </cfRule>
  </conditionalFormatting>
  <conditionalFormatting sqref="Q65">
    <cfRule type="expression" dxfId="513" priority="153" stopIfTrue="1">
      <formula>"esterreur(reference)"</formula>
    </cfRule>
  </conditionalFormatting>
  <conditionalFormatting sqref="Q66:Q69">
    <cfRule type="expression" dxfId="512" priority="152" stopIfTrue="1">
      <formula>"esterreur(reference)"</formula>
    </cfRule>
  </conditionalFormatting>
  <conditionalFormatting sqref="Q70">
    <cfRule type="expression" dxfId="511" priority="151" stopIfTrue="1">
      <formula>"esterreur(reference)"</formula>
    </cfRule>
  </conditionalFormatting>
  <conditionalFormatting sqref="Q75:Q82">
    <cfRule type="expression" dxfId="510" priority="150" stopIfTrue="1">
      <formula>"esterreur(reference)"</formula>
    </cfRule>
  </conditionalFormatting>
  <conditionalFormatting sqref="Q57">
    <cfRule type="expression" dxfId="509" priority="149" stopIfTrue="1">
      <formula>"esterreur(reference)"</formula>
    </cfRule>
  </conditionalFormatting>
  <conditionalFormatting sqref="Q5">
    <cfRule type="expression" dxfId="508" priority="147" stopIfTrue="1">
      <formula>"esterreur(reference)"</formula>
    </cfRule>
  </conditionalFormatting>
  <conditionalFormatting sqref="Q71">
    <cfRule type="expression" dxfId="507" priority="146" stopIfTrue="1">
      <formula>"esterreur(reference)"</formula>
    </cfRule>
  </conditionalFormatting>
  <conditionalFormatting sqref="Q60">
    <cfRule type="expression" dxfId="506" priority="144" stopIfTrue="1">
      <formula>"esterreur(reference)"</formula>
    </cfRule>
  </conditionalFormatting>
  <conditionalFormatting sqref="P98">
    <cfRule type="expression" dxfId="505" priority="143" stopIfTrue="1">
      <formula>"esterreur(reference)"</formula>
    </cfRule>
  </conditionalFormatting>
  <conditionalFormatting sqref="Q59">
    <cfRule type="expression" dxfId="504" priority="145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503" priority="139" stopIfTrue="1">
      <formula>"esterreur(reference)"</formula>
    </cfRule>
  </conditionalFormatting>
  <conditionalFormatting sqref="O141:P147">
    <cfRule type="expression" dxfId="502" priority="140" stopIfTrue="1">
      <formula>"esterreur(reference)"</formula>
    </cfRule>
  </conditionalFormatting>
  <conditionalFormatting sqref="O137:P139">
    <cfRule type="expression" dxfId="501" priority="141" stopIfTrue="1">
      <formula>"esterreur(reference)"</formula>
    </cfRule>
  </conditionalFormatting>
  <conditionalFormatting sqref="O140:P140">
    <cfRule type="expression" dxfId="500" priority="142" stopIfTrue="1">
      <formula>"esterreur(reference)"</formula>
    </cfRule>
  </conditionalFormatting>
  <conditionalFormatting sqref="Q94:Q95">
    <cfRule type="expression" dxfId="499" priority="138" stopIfTrue="1">
      <formula>"esterreur(reference)"</formula>
    </cfRule>
  </conditionalFormatting>
  <conditionalFormatting sqref="Q98">
    <cfRule type="expression" dxfId="498" priority="137" stopIfTrue="1">
      <formula>"esterreur(reference)"</formula>
    </cfRule>
  </conditionalFormatting>
  <conditionalFormatting sqref="Q99">
    <cfRule type="expression" dxfId="497" priority="136" stopIfTrue="1">
      <formula>"esterreur(reference)"</formula>
    </cfRule>
  </conditionalFormatting>
  <conditionalFormatting sqref="Q101">
    <cfRule type="expression" dxfId="496" priority="135" stopIfTrue="1">
      <formula>"esterreur(reference)"</formula>
    </cfRule>
  </conditionalFormatting>
  <conditionalFormatting sqref="Q102">
    <cfRule type="expression" dxfId="495" priority="134" stopIfTrue="1">
      <formula>"esterreur(reference)"</formula>
    </cfRule>
  </conditionalFormatting>
  <conditionalFormatting sqref="Q103">
    <cfRule type="expression" dxfId="494" priority="133" stopIfTrue="1">
      <formula>"esterreur(reference)"</formula>
    </cfRule>
  </conditionalFormatting>
  <conditionalFormatting sqref="Q111">
    <cfRule type="expression" dxfId="493" priority="132" stopIfTrue="1">
      <formula>"esterreur(reference)"</formula>
    </cfRule>
  </conditionalFormatting>
  <conditionalFormatting sqref="Q112">
    <cfRule type="expression" dxfId="492" priority="131" stopIfTrue="1">
      <formula>"esterreur(reference)"</formula>
    </cfRule>
  </conditionalFormatting>
  <conditionalFormatting sqref="Q114">
    <cfRule type="expression" dxfId="491" priority="130" stopIfTrue="1">
      <formula>"esterreur(reference)"</formula>
    </cfRule>
  </conditionalFormatting>
  <conditionalFormatting sqref="Q116:Q119">
    <cfRule type="expression" dxfId="490" priority="129" stopIfTrue="1">
      <formula>"esterreur(reference)"</formula>
    </cfRule>
  </conditionalFormatting>
  <conditionalFormatting sqref="Q120">
    <cfRule type="expression" dxfId="489" priority="128" stopIfTrue="1">
      <formula>"esterreur(reference)"</formula>
    </cfRule>
  </conditionalFormatting>
  <conditionalFormatting sqref="Q130">
    <cfRule type="expression" dxfId="488" priority="125" stopIfTrue="1">
      <formula>"esterreur(reference)"</formula>
    </cfRule>
  </conditionalFormatting>
  <conditionalFormatting sqref="Q124">
    <cfRule type="expression" dxfId="487" priority="127" stopIfTrue="1">
      <formula>"esterreur(reference)"</formula>
    </cfRule>
  </conditionalFormatting>
  <conditionalFormatting sqref="Q123">
    <cfRule type="expression" dxfId="486" priority="126" stopIfTrue="1">
      <formula>"esterreur(reference)"</formula>
    </cfRule>
  </conditionalFormatting>
  <conditionalFormatting sqref="Q139">
    <cfRule type="expression" dxfId="485" priority="118" stopIfTrue="1">
      <formula>"esterreur(reference)"</formula>
    </cfRule>
  </conditionalFormatting>
  <conditionalFormatting sqref="Q131">
    <cfRule type="expression" dxfId="484" priority="124" stopIfTrue="1">
      <formula>"esterreur(reference)"</formula>
    </cfRule>
  </conditionalFormatting>
  <conditionalFormatting sqref="Q132">
    <cfRule type="expression" dxfId="483" priority="123" stopIfTrue="1">
      <formula>"esterreur(reference)"</formula>
    </cfRule>
  </conditionalFormatting>
  <conditionalFormatting sqref="Q133">
    <cfRule type="expression" dxfId="482" priority="122" stopIfTrue="1">
      <formula>"esterreur(reference)"</formula>
    </cfRule>
  </conditionalFormatting>
  <conditionalFormatting sqref="Q141">
    <cfRule type="expression" dxfId="481" priority="116" stopIfTrue="1">
      <formula>"esterreur(reference)"</formula>
    </cfRule>
  </conditionalFormatting>
  <conditionalFormatting sqref="Q136">
    <cfRule type="expression" dxfId="480" priority="121" stopIfTrue="1">
      <formula>"esterreur(reference)"</formula>
    </cfRule>
  </conditionalFormatting>
  <conditionalFormatting sqref="Q137">
    <cfRule type="expression" dxfId="479" priority="120" stopIfTrue="1">
      <formula>"esterreur(reference)"</formula>
    </cfRule>
  </conditionalFormatting>
  <conditionalFormatting sqref="Q138">
    <cfRule type="expression" dxfId="478" priority="119" stopIfTrue="1">
      <formula>"esterreur(reference)"</formula>
    </cfRule>
  </conditionalFormatting>
  <conditionalFormatting sqref="Q143">
    <cfRule type="expression" dxfId="477" priority="114" stopIfTrue="1">
      <formula>"esterreur(reference)"</formula>
    </cfRule>
  </conditionalFormatting>
  <conditionalFormatting sqref="Q140">
    <cfRule type="expression" dxfId="476" priority="117" stopIfTrue="1">
      <formula>"esterreur(reference)"</formula>
    </cfRule>
  </conditionalFormatting>
  <conditionalFormatting sqref="Q142">
    <cfRule type="expression" dxfId="475" priority="115" stopIfTrue="1">
      <formula>"esterreur(reference)"</formula>
    </cfRule>
  </conditionalFormatting>
  <conditionalFormatting sqref="Q144">
    <cfRule type="expression" dxfId="474" priority="113" stopIfTrue="1">
      <formula>"esterreur(reference)"</formula>
    </cfRule>
  </conditionalFormatting>
  <conditionalFormatting sqref="Q145">
    <cfRule type="expression" dxfId="473" priority="112" stopIfTrue="1">
      <formula>"esterreur(reference)"</formula>
    </cfRule>
  </conditionalFormatting>
  <conditionalFormatting sqref="Q146">
    <cfRule type="expression" dxfId="472" priority="111" stopIfTrue="1">
      <formula>"esterreur(reference)"</formula>
    </cfRule>
  </conditionalFormatting>
  <conditionalFormatting sqref="Q147">
    <cfRule type="expression" dxfId="471" priority="110" stopIfTrue="1">
      <formula>"esterreur(reference)"</formula>
    </cfRule>
  </conditionalFormatting>
  <conditionalFormatting sqref="Q113">
    <cfRule type="expression" dxfId="470" priority="107" stopIfTrue="1">
      <formula>"esterreur(reference)"</formula>
    </cfRule>
  </conditionalFormatting>
  <conditionalFormatting sqref="Q155:Q161">
    <cfRule type="expression" dxfId="469" priority="109" stopIfTrue="1">
      <formula>"esterreur(reference)"</formula>
    </cfRule>
  </conditionalFormatting>
  <conditionalFormatting sqref="Q93">
    <cfRule type="expression" dxfId="468" priority="106" stopIfTrue="1">
      <formula>"esterreur(reference)"</formula>
    </cfRule>
  </conditionalFormatting>
  <conditionalFormatting sqref="Q115">
    <cfRule type="expression" dxfId="467" priority="108" stopIfTrue="1">
      <formula>"esterreur(reference)"</formula>
    </cfRule>
  </conditionalFormatting>
  <conditionalFormatting sqref="P93">
    <cfRule type="expression" dxfId="466" priority="105" stopIfTrue="1">
      <formula>"esterreur(reference)"</formula>
    </cfRule>
  </conditionalFormatting>
  <conditionalFormatting sqref="Q122">
    <cfRule type="expression" dxfId="465" priority="104" stopIfTrue="1">
      <formula>"esterreur(reference)"</formula>
    </cfRule>
  </conditionalFormatting>
  <conditionalFormatting sqref="Q135">
    <cfRule type="expression" dxfId="464" priority="103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463" priority="100" stopIfTrue="1">
      <formula>"esterreur(reference)"</formula>
    </cfRule>
  </conditionalFormatting>
  <conditionalFormatting sqref="O219:P224">
    <cfRule type="expression" dxfId="462" priority="101" stopIfTrue="1">
      <formula>"esterreur(reference)"</formula>
    </cfRule>
  </conditionalFormatting>
  <conditionalFormatting sqref="O196:Q196">
    <cfRule type="expression" dxfId="461" priority="102" stopIfTrue="1">
      <formula>"esterreur(reference)"</formula>
    </cfRule>
  </conditionalFormatting>
  <conditionalFormatting sqref="Q207">
    <cfRule type="expression" dxfId="460" priority="86" stopIfTrue="1">
      <formula>"esterreur(reference)"</formula>
    </cfRule>
  </conditionalFormatting>
  <conditionalFormatting sqref="Q227">
    <cfRule type="expression" dxfId="459" priority="82" stopIfTrue="1">
      <formula>"esterreur(reference)"</formula>
    </cfRule>
  </conditionalFormatting>
  <conditionalFormatting sqref="Q171">
    <cfRule type="expression" dxfId="458" priority="99" stopIfTrue="1">
      <formula>"esterreur(reference)"</formula>
    </cfRule>
  </conditionalFormatting>
  <conditionalFormatting sqref="Q174">
    <cfRule type="expression" dxfId="457" priority="98" stopIfTrue="1">
      <formula>"esterreur(reference)"</formula>
    </cfRule>
  </conditionalFormatting>
  <conditionalFormatting sqref="Q177">
    <cfRule type="expression" dxfId="456" priority="97" stopIfTrue="1">
      <formula>"esterreur(reference)"</formula>
    </cfRule>
  </conditionalFormatting>
  <conditionalFormatting sqref="Q183">
    <cfRule type="expression" dxfId="455" priority="96" stopIfTrue="1">
      <formula>"esterreur(reference)"</formula>
    </cfRule>
  </conditionalFormatting>
  <conditionalFormatting sqref="Q187">
    <cfRule type="expression" dxfId="454" priority="95" stopIfTrue="1">
      <formula>"esterreur(reference)"</formula>
    </cfRule>
  </conditionalFormatting>
  <conditionalFormatting sqref="Q197">
    <cfRule type="expression" dxfId="453" priority="94" stopIfTrue="1">
      <formula>"esterreur(reference)"</formula>
    </cfRule>
  </conditionalFormatting>
  <conditionalFormatting sqref="Q199">
    <cfRule type="expression" dxfId="452" priority="93" stopIfTrue="1">
      <formula>"esterreur(reference)"</formula>
    </cfRule>
  </conditionalFormatting>
  <conditionalFormatting sqref="Q198">
    <cfRule type="expression" dxfId="451" priority="92" stopIfTrue="1">
      <formula>"esterreur(reference)"</formula>
    </cfRule>
  </conditionalFormatting>
  <conditionalFormatting sqref="Q200">
    <cfRule type="expression" dxfId="450" priority="91" stopIfTrue="1">
      <formula>"esterreur(reference)"</formula>
    </cfRule>
  </conditionalFormatting>
  <conditionalFormatting sqref="Q201">
    <cfRule type="expression" dxfId="449" priority="90" stopIfTrue="1">
      <formula>"esterreur(reference)"</formula>
    </cfRule>
  </conditionalFormatting>
  <conditionalFormatting sqref="Q202:Q204">
    <cfRule type="expression" dxfId="448" priority="89" stopIfTrue="1">
      <formula>"esterreur(reference)"</formula>
    </cfRule>
  </conditionalFormatting>
  <conditionalFormatting sqref="Q206">
    <cfRule type="expression" dxfId="447" priority="87" stopIfTrue="1">
      <formula>"esterreur(reference)"</formula>
    </cfRule>
  </conditionalFormatting>
  <conditionalFormatting sqref="Q205">
    <cfRule type="expression" dxfId="446" priority="88" stopIfTrue="1">
      <formula>"esterreur(reference)"</formula>
    </cfRule>
  </conditionalFormatting>
  <conditionalFormatting sqref="Q208">
    <cfRule type="expression" dxfId="445" priority="85" stopIfTrue="1">
      <formula>"esterreur(reference)"</formula>
    </cfRule>
  </conditionalFormatting>
  <conditionalFormatting sqref="Q211:Q224">
    <cfRule type="expression" dxfId="444" priority="84" stopIfTrue="1">
      <formula>"esterreur(reference)"</formula>
    </cfRule>
  </conditionalFormatting>
  <conditionalFormatting sqref="Q225:Q226">
    <cfRule type="expression" dxfId="443" priority="83" stopIfTrue="1">
      <formula>"esterreur(reference)"</formula>
    </cfRule>
  </conditionalFormatting>
  <conditionalFormatting sqref="Q180">
    <cfRule type="expression" dxfId="442" priority="81" stopIfTrue="1">
      <formula>"esterreur(reference)"</formula>
    </cfRule>
  </conditionalFormatting>
  <conditionalFormatting sqref="P182">
    <cfRule type="expression" dxfId="441" priority="80" stopIfTrue="1">
      <formula>"esterreur(reference)"</formula>
    </cfRule>
  </conditionalFormatting>
  <conditionalFormatting sqref="P171">
    <cfRule type="expression" dxfId="440" priority="79" stopIfTrue="1">
      <formula>"esterreur(reference)"</formula>
    </cfRule>
  </conditionalFormatting>
  <conditionalFormatting sqref="P174">
    <cfRule type="expression" dxfId="439" priority="78" stopIfTrue="1">
      <formula>"esterreur(reference)"</formula>
    </cfRule>
  </conditionalFormatting>
  <conditionalFormatting sqref="P177">
    <cfRule type="expression" dxfId="438" priority="77" stopIfTrue="1">
      <formula>"esterreur(reference)"</formula>
    </cfRule>
  </conditionalFormatting>
  <conditionalFormatting sqref="P180">
    <cfRule type="expression" dxfId="437" priority="76" stopIfTrue="1">
      <formula>"esterreur(reference)"</formula>
    </cfRule>
  </conditionalFormatting>
  <conditionalFormatting sqref="P187">
    <cfRule type="expression" dxfId="436" priority="75" stopIfTrue="1">
      <formula>"esterreur(reference)"</formula>
    </cfRule>
  </conditionalFormatting>
  <conditionalFormatting sqref="P190">
    <cfRule type="expression" dxfId="435" priority="74" stopIfTrue="1">
      <formula>"esterreur(reference)"</formula>
    </cfRule>
  </conditionalFormatting>
  <conditionalFormatting sqref="Q210">
    <cfRule type="expression" dxfId="434" priority="73" stopIfTrue="1">
      <formula>"esterreur(reference)"</formula>
    </cfRule>
  </conditionalFormatting>
  <conditionalFormatting sqref="O287:Q287 O288:P288 O242:Q242 O251:Q252 O284:Q284 Q275:Q283 O253:P274">
    <cfRule type="expression" dxfId="433" priority="70" stopIfTrue="1">
      <formula>"esterreur(reference)"</formula>
    </cfRule>
  </conditionalFormatting>
  <conditionalFormatting sqref="O275:P280">
    <cfRule type="expression" dxfId="432" priority="71" stopIfTrue="1">
      <formula>"esterreur(reference)"</formula>
    </cfRule>
  </conditionalFormatting>
  <conditionalFormatting sqref="O281:P283">
    <cfRule type="expression" dxfId="431" priority="72" stopIfTrue="1">
      <formula>"esterreur(reference)"</formula>
    </cfRule>
  </conditionalFormatting>
  <conditionalFormatting sqref="Q271">
    <cfRule type="expression" dxfId="430" priority="52" stopIfTrue="1">
      <formula>"esterreur(reference)"</formula>
    </cfRule>
  </conditionalFormatting>
  <conditionalFormatting sqref="Q274">
    <cfRule type="expression" dxfId="429" priority="50" stopIfTrue="1">
      <formula>"esterreur(reference)"</formula>
    </cfRule>
  </conditionalFormatting>
  <conditionalFormatting sqref="Q243">
    <cfRule type="expression" dxfId="428" priority="69" stopIfTrue="1">
      <formula>"esterreur(reference)"</formula>
    </cfRule>
  </conditionalFormatting>
  <conditionalFormatting sqref="Q246">
    <cfRule type="expression" dxfId="427" priority="68" stopIfTrue="1">
      <formula>"esterreur(reference)"</formula>
    </cfRule>
  </conditionalFormatting>
  <conditionalFormatting sqref="Q253">
    <cfRule type="expression" dxfId="426" priority="67" stopIfTrue="1">
      <formula>"esterreur(reference)"</formula>
    </cfRule>
  </conditionalFormatting>
  <conditionalFormatting sqref="Q254">
    <cfRule type="expression" dxfId="425" priority="66" stopIfTrue="1">
      <formula>"esterreur(reference)"</formula>
    </cfRule>
  </conditionalFormatting>
  <conditionalFormatting sqref="Q255">
    <cfRule type="expression" dxfId="424" priority="65" stopIfTrue="1">
      <formula>"esterreur(reference)"</formula>
    </cfRule>
  </conditionalFormatting>
  <conditionalFormatting sqref="Q256">
    <cfRule type="expression" dxfId="423" priority="64" stopIfTrue="1">
      <formula>"esterreur(reference)"</formula>
    </cfRule>
  </conditionalFormatting>
  <conditionalFormatting sqref="Q257">
    <cfRule type="expression" dxfId="422" priority="63" stopIfTrue="1">
      <formula>"esterreur(reference)"</formula>
    </cfRule>
  </conditionalFormatting>
  <conditionalFormatting sqref="Q258">
    <cfRule type="expression" dxfId="421" priority="62" stopIfTrue="1">
      <formula>"esterreur(reference)"</formula>
    </cfRule>
  </conditionalFormatting>
  <conditionalFormatting sqref="Q259">
    <cfRule type="expression" dxfId="420" priority="61" stopIfTrue="1">
      <formula>"esterreur(reference)"</formula>
    </cfRule>
  </conditionalFormatting>
  <conditionalFormatting sqref="Q260">
    <cfRule type="expression" dxfId="419" priority="60" stopIfTrue="1">
      <formula>"esterreur(reference)"</formula>
    </cfRule>
  </conditionalFormatting>
  <conditionalFormatting sqref="Q261">
    <cfRule type="expression" dxfId="418" priority="59" stopIfTrue="1">
      <formula>"esterreur(reference)"</formula>
    </cfRule>
  </conditionalFormatting>
  <conditionalFormatting sqref="Q262">
    <cfRule type="expression" dxfId="417" priority="58" stopIfTrue="1">
      <formula>"esterreur(reference)"</formula>
    </cfRule>
  </conditionalFormatting>
  <conditionalFormatting sqref="Q263:Q264">
    <cfRule type="expression" dxfId="416" priority="57" stopIfTrue="1">
      <formula>"esterreur(reference)"</formula>
    </cfRule>
  </conditionalFormatting>
  <conditionalFormatting sqref="Q268">
    <cfRule type="expression" dxfId="415" priority="55" stopIfTrue="1">
      <formula>"esterreur(reference)"</formula>
    </cfRule>
  </conditionalFormatting>
  <conditionalFormatting sqref="Q267">
    <cfRule type="expression" dxfId="414" priority="56" stopIfTrue="1">
      <formula>"esterreur(reference)"</formula>
    </cfRule>
  </conditionalFormatting>
  <conditionalFormatting sqref="Q269">
    <cfRule type="expression" dxfId="413" priority="54" stopIfTrue="1">
      <formula>"esterreur(reference)"</formula>
    </cfRule>
  </conditionalFormatting>
  <conditionalFormatting sqref="Q270">
    <cfRule type="expression" dxfId="412" priority="53" stopIfTrue="1">
      <formula>"esterreur(reference)"</formula>
    </cfRule>
  </conditionalFormatting>
  <conditionalFormatting sqref="Q272:Q273">
    <cfRule type="expression" dxfId="411" priority="51" stopIfTrue="1">
      <formula>"esterreur(reference)"</formula>
    </cfRule>
  </conditionalFormatting>
  <conditionalFormatting sqref="P240">
    <cfRule type="expression" dxfId="410" priority="49" stopIfTrue="1">
      <formula>"esterreur(reference)"</formula>
    </cfRule>
  </conditionalFormatting>
  <conditionalFormatting sqref="P243">
    <cfRule type="expression" dxfId="409" priority="48" stopIfTrue="1">
      <formula>"esterreur(reference)"</formula>
    </cfRule>
  </conditionalFormatting>
  <conditionalFormatting sqref="P246">
    <cfRule type="expression" dxfId="408" priority="47" stopIfTrue="1">
      <formula>"esterreur(reference)"</formula>
    </cfRule>
  </conditionalFormatting>
  <conditionalFormatting sqref="Q240">
    <cfRule type="expression" dxfId="407" priority="46" stopIfTrue="1">
      <formula>"esterreur(reference)"</formula>
    </cfRule>
  </conditionalFormatting>
  <conditionalFormatting sqref="P286">
    <cfRule type="expression" dxfId="406" priority="45" stopIfTrue="1">
      <formula>"esterreur(reference)"</formula>
    </cfRule>
  </conditionalFormatting>
  <conditionalFormatting sqref="Q266">
    <cfRule type="expression" dxfId="405" priority="44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404" priority="42" stopIfTrue="1">
      <formula>"esterreur(reference)"</formula>
    </cfRule>
  </conditionalFormatting>
  <conditionalFormatting sqref="O316:Q316">
    <cfRule type="expression" dxfId="403" priority="43" stopIfTrue="1">
      <formula>"esterreur(reference)"</formula>
    </cfRule>
  </conditionalFormatting>
  <conditionalFormatting sqref="Q331:Q347">
    <cfRule type="expression" dxfId="402" priority="29" stopIfTrue="1">
      <formula>"esterreur(reference)"</formula>
    </cfRule>
  </conditionalFormatting>
  <conditionalFormatting sqref="Q325">
    <cfRule type="expression" dxfId="401" priority="33" stopIfTrue="1">
      <formula>"esterreur(reference)"</formula>
    </cfRule>
  </conditionalFormatting>
  <conditionalFormatting sqref="Q326">
    <cfRule type="expression" dxfId="400" priority="32" stopIfTrue="1">
      <formula>"esterreur(reference)"</formula>
    </cfRule>
  </conditionalFormatting>
  <conditionalFormatting sqref="Q327">
    <cfRule type="expression" dxfId="399" priority="31" stopIfTrue="1">
      <formula>"esterreur(reference)"</formula>
    </cfRule>
  </conditionalFormatting>
  <conditionalFormatting sqref="Q328">
    <cfRule type="expression" dxfId="398" priority="30" stopIfTrue="1">
      <formula>"esterreur(reference)"</formula>
    </cfRule>
  </conditionalFormatting>
  <conditionalFormatting sqref="Q294:Q300">
    <cfRule type="expression" dxfId="397" priority="41" stopIfTrue="1">
      <formula>"esterreur(reference)"</formula>
    </cfRule>
  </conditionalFormatting>
  <conditionalFormatting sqref="Q301">
    <cfRule type="expression" dxfId="396" priority="40" stopIfTrue="1">
      <formula>"esterreur(reference)"</formula>
    </cfRule>
  </conditionalFormatting>
  <conditionalFormatting sqref="Q302">
    <cfRule type="expression" dxfId="395" priority="39" stopIfTrue="1">
      <formula>"esterreur(reference)"</formula>
    </cfRule>
  </conditionalFormatting>
  <conditionalFormatting sqref="Q306">
    <cfRule type="expression" dxfId="394" priority="38" stopIfTrue="1">
      <formula>"esterreur(reference)"</formula>
    </cfRule>
  </conditionalFormatting>
  <conditionalFormatting sqref="Q307">
    <cfRule type="expression" dxfId="393" priority="37" stopIfTrue="1">
      <formula>"esterreur(reference)"</formula>
    </cfRule>
  </conditionalFormatting>
  <conditionalFormatting sqref="Q311">
    <cfRule type="expression" dxfId="392" priority="36" stopIfTrue="1">
      <formula>"esterreur(reference)"</formula>
    </cfRule>
  </conditionalFormatting>
  <conditionalFormatting sqref="Q317">
    <cfRule type="expression" dxfId="391" priority="35" stopIfTrue="1">
      <formula>"esterreur(reference)"</formula>
    </cfRule>
  </conditionalFormatting>
  <conditionalFormatting sqref="Q318">
    <cfRule type="expression" dxfId="390" priority="34" stopIfTrue="1">
      <formula>"esterreur(reference)"</formula>
    </cfRule>
  </conditionalFormatting>
  <conditionalFormatting sqref="O306:O307">
    <cfRule type="expression" dxfId="389" priority="28" stopIfTrue="1">
      <formula>"esterreur(reference)"</formula>
    </cfRule>
  </conditionalFormatting>
  <conditionalFormatting sqref="O311">
    <cfRule type="expression" dxfId="388" priority="27" stopIfTrue="1">
      <formula>"esterreur(reference)"</formula>
    </cfRule>
  </conditionalFormatting>
  <conditionalFormatting sqref="Q330">
    <cfRule type="expression" dxfId="387" priority="26" stopIfTrue="1">
      <formula>"esterreur(reference)"</formula>
    </cfRule>
  </conditionalFormatting>
  <conditionalFormatting sqref="O363:Q363 O364:P375">
    <cfRule type="expression" dxfId="386" priority="20" stopIfTrue="1">
      <formula>"esterreur(reference)"</formula>
    </cfRule>
  </conditionalFormatting>
  <conditionalFormatting sqref="O358:Q358">
    <cfRule type="expression" dxfId="385" priority="21" stopIfTrue="1">
      <formula>"esterreur(reference)"</formula>
    </cfRule>
  </conditionalFormatting>
  <conditionalFormatting sqref="O376:Q376 O377:P392">
    <cfRule type="expression" dxfId="384" priority="22" stopIfTrue="1">
      <formula>"esterreur(reference)"</formula>
    </cfRule>
  </conditionalFormatting>
  <conditionalFormatting sqref="O395:Q398 O393:P393">
    <cfRule type="expression" dxfId="383" priority="23" stopIfTrue="1">
      <formula>"esterreur(reference)"</formula>
    </cfRule>
  </conditionalFormatting>
  <conditionalFormatting sqref="O360:Q362 P359">
    <cfRule type="expression" dxfId="382" priority="24" stopIfTrue="1">
      <formula>"esterreur(reference)"</formula>
    </cfRule>
  </conditionalFormatting>
  <conditionalFormatting sqref="P394">
    <cfRule type="expression" dxfId="381" priority="25" stopIfTrue="1">
      <formula>"esterreur(reference)"</formula>
    </cfRule>
  </conditionalFormatting>
  <conditionalFormatting sqref="Q364:Q375">
    <cfRule type="expression" dxfId="380" priority="19" stopIfTrue="1">
      <formula>"esterreur(reference)"</formula>
    </cfRule>
  </conditionalFormatting>
  <conditionalFormatting sqref="Q377:Q393">
    <cfRule type="expression" dxfId="379" priority="18" stopIfTrue="1">
      <formula>"esterreur(reference)"</formula>
    </cfRule>
  </conditionalFormatting>
  <conditionalFormatting sqref="O359">
    <cfRule type="expression" dxfId="378" priority="17" stopIfTrue="1">
      <formula>"esterreur(reference)"</formula>
    </cfRule>
  </conditionalFormatting>
  <conditionalFormatting sqref="Q359">
    <cfRule type="expression" dxfId="377" priority="16" stopIfTrue="1">
      <formula>"esterreur(reference)"</formula>
    </cfRule>
  </conditionalFormatting>
  <conditionalFormatting sqref="Q36:Q40">
    <cfRule type="expression" dxfId="376" priority="15" stopIfTrue="1">
      <formula>"esterreur(reference)"</formula>
    </cfRule>
  </conditionalFormatting>
  <conditionalFormatting sqref="L68">
    <cfRule type="expression" dxfId="375" priority="14" stopIfTrue="1">
      <formula>"esterreur(reference)"</formula>
    </cfRule>
  </conditionalFormatting>
  <conditionalFormatting sqref="Q149:Q151">
    <cfRule type="expression" dxfId="374" priority="6" stopIfTrue="1">
      <formula>"esterreur(reference)"</formula>
    </cfRule>
  </conditionalFormatting>
  <conditionalFormatting sqref="H148 J148:K148">
    <cfRule type="expression" dxfId="373" priority="13" stopIfTrue="1">
      <formula>"esterreur(reference)"</formula>
    </cfRule>
  </conditionalFormatting>
  <conditionalFormatting sqref="L148">
    <cfRule type="expression" dxfId="372" priority="12" stopIfTrue="1">
      <formula>"esterreur(reference)"</formula>
    </cfRule>
  </conditionalFormatting>
  <conditionalFormatting sqref="O148:P148">
    <cfRule type="expression" dxfId="371" priority="11" stopIfTrue="1">
      <formula>"esterreur(reference)"</formula>
    </cfRule>
  </conditionalFormatting>
  <conditionalFormatting sqref="Q148">
    <cfRule type="expression" dxfId="370" priority="10" stopIfTrue="1">
      <formula>"esterreur(reference)"</formula>
    </cfRule>
  </conditionalFormatting>
  <conditionalFormatting sqref="H149:H151 J149:K151">
    <cfRule type="expression" dxfId="369" priority="9" stopIfTrue="1">
      <formula>"esterreur(reference)"</formula>
    </cfRule>
  </conditionalFormatting>
  <conditionalFormatting sqref="L149:L151">
    <cfRule type="expression" dxfId="368" priority="8" stopIfTrue="1">
      <formula>"esterreur(reference)"</formula>
    </cfRule>
  </conditionalFormatting>
  <conditionalFormatting sqref="O149:P151">
    <cfRule type="expression" dxfId="367" priority="7" stopIfTrue="1">
      <formula>"esterreur(reference)"</formula>
    </cfRule>
  </conditionalFormatting>
  <conditionalFormatting sqref="L158:L161">
    <cfRule type="expression" dxfId="366" priority="5" stopIfTrue="1">
      <formula>"esterreur(reference)"</formula>
    </cfRule>
  </conditionalFormatting>
  <conditionalFormatting sqref="AG414:AI417">
    <cfRule type="cellIs" dxfId="365" priority="4" operator="greaterThan">
      <formula>0</formula>
    </cfRule>
  </conditionalFormatting>
  <conditionalFormatting sqref="AO414:AO417">
    <cfRule type="cellIs" dxfId="364" priority="3" operator="greaterThan">
      <formula>0</formula>
    </cfRule>
  </conditionalFormatting>
  <conditionalFormatting sqref="G31:G32">
    <cfRule type="expression" dxfId="363" priority="2" stopIfTrue="1">
      <formula>"esterreur(reference)"</formula>
    </cfRule>
  </conditionalFormatting>
  <conditionalFormatting sqref="G111:G112">
    <cfRule type="expression" dxfId="362" priority="1" stopIfTrue="1">
      <formula>"esterreur(reference)"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697"/>
  <sheetViews>
    <sheetView topLeftCell="B1" zoomScale="70" zoomScaleNormal="70" workbookViewId="0">
      <selection activeCell="T32" sqref="T32"/>
    </sheetView>
  </sheetViews>
  <sheetFormatPr baseColWidth="10" defaultColWidth="12.59765625" defaultRowHeight="15" customHeight="1"/>
  <cols>
    <col min="1" max="1" width="24.09765625" style="493" customWidth="1"/>
    <col min="2" max="2" width="36" style="493" customWidth="1"/>
    <col min="3" max="3" width="34.59765625" style="493" customWidth="1"/>
    <col min="4" max="4" width="16.3984375" style="493" customWidth="1"/>
    <col min="5" max="5" width="15.59765625" style="493" customWidth="1"/>
    <col min="6" max="6" width="16.8984375" style="493" customWidth="1"/>
    <col min="7" max="7" width="17.69921875" style="493" customWidth="1"/>
    <col min="8" max="8" width="15.59765625" style="493" customWidth="1"/>
    <col min="9" max="9" width="15.8984375" style="493" customWidth="1"/>
    <col min="10" max="10" width="16.69921875" style="493" customWidth="1"/>
    <col min="11" max="11" width="14.5" style="493" customWidth="1"/>
    <col min="12" max="12" width="15.8984375" style="493" customWidth="1"/>
    <col min="13" max="13" width="13.59765625" style="493" customWidth="1"/>
    <col min="14" max="14" width="18.59765625" style="493" customWidth="1"/>
    <col min="15" max="15" width="16.3984375" style="493" customWidth="1"/>
    <col min="16" max="16" width="15.59765625" style="493" customWidth="1"/>
    <col min="17" max="17" width="16.3984375" style="493" customWidth="1"/>
    <col min="18" max="18" width="13.8984375" style="493" customWidth="1"/>
    <col min="19" max="19" width="18.59765625" style="493" customWidth="1"/>
    <col min="20" max="20" width="3" style="493" customWidth="1"/>
    <col min="21" max="21" width="13.09765625" style="493" customWidth="1"/>
    <col min="22" max="22" width="28.69921875" style="493" customWidth="1"/>
    <col min="23" max="23" width="12.19921875" style="493" customWidth="1"/>
    <col min="24" max="24" width="17.69921875" style="493" customWidth="1"/>
    <col min="25" max="25" width="10" style="493" customWidth="1"/>
    <col min="26" max="26" width="17.3984375" style="493" customWidth="1"/>
    <col min="27" max="27" width="10.8984375" style="493" customWidth="1"/>
    <col min="28" max="28" width="10" style="493" customWidth="1"/>
    <col min="29" max="29" width="17.5" style="493" customWidth="1"/>
    <col min="30" max="30" width="10.8984375" style="493" customWidth="1"/>
    <col min="31" max="31" width="12" style="493" customWidth="1"/>
    <col min="32" max="32" width="18.8984375" style="493" customWidth="1"/>
    <col min="33" max="33" width="10.8984375" style="493" customWidth="1"/>
    <col min="34" max="34" width="16.19921875" style="493" customWidth="1"/>
    <col min="35" max="35" width="12.3984375" style="493" customWidth="1"/>
    <col min="36" max="36" width="10.8984375" style="493" customWidth="1"/>
    <col min="37" max="37" width="10" style="493" customWidth="1"/>
    <col min="38" max="38" width="17.5" style="493" customWidth="1"/>
    <col min="39" max="39" width="10.8984375" style="493" customWidth="1"/>
    <col min="40" max="40" width="16" style="493" customWidth="1"/>
    <col min="41" max="41" width="12.3984375" style="493" customWidth="1"/>
    <col min="42" max="62" width="11" style="493" customWidth="1"/>
    <col min="63" max="16384" width="12.59765625" style="493"/>
  </cols>
  <sheetData>
    <row r="1" spans="1:40" ht="35.4">
      <c r="B1" s="494"/>
      <c r="C1" s="494" t="s">
        <v>228</v>
      </c>
      <c r="D1" s="2"/>
      <c r="E1" s="2"/>
      <c r="F1" s="2"/>
      <c r="G1" s="2"/>
      <c r="H1" s="494"/>
      <c r="I1" s="2"/>
      <c r="J1" s="494"/>
      <c r="K1" s="3" t="s">
        <v>0</v>
      </c>
      <c r="L1" s="2"/>
      <c r="M1" s="2"/>
      <c r="N1" s="495"/>
      <c r="O1" s="494"/>
      <c r="P1" s="2"/>
      <c r="Q1" s="494"/>
      <c r="R1" s="2"/>
      <c r="S1" s="5" t="s">
        <v>499</v>
      </c>
      <c r="T1" s="2" t="s">
        <v>1</v>
      </c>
      <c r="U1" s="496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</row>
    <row r="2" spans="1:40" ht="15" customHeight="1" thickBot="1">
      <c r="B2" s="49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217</v>
      </c>
      <c r="K2" s="9"/>
      <c r="L2" s="9" t="s">
        <v>214</v>
      </c>
      <c r="M2" s="498"/>
      <c r="N2" s="498"/>
      <c r="O2" s="9" t="s">
        <v>217</v>
      </c>
      <c r="P2" s="9"/>
      <c r="Q2" s="9" t="s">
        <v>214</v>
      </c>
      <c r="R2" s="498"/>
      <c r="S2" s="498"/>
      <c r="T2" s="498"/>
      <c r="U2" s="498"/>
      <c r="V2" s="493" t="s">
        <v>230</v>
      </c>
    </row>
    <row r="3" spans="1:40" ht="21.6" thickTop="1">
      <c r="B3" s="499"/>
      <c r="C3" s="500"/>
      <c r="D3" s="488" t="s">
        <v>5</v>
      </c>
      <c r="E3" s="501"/>
      <c r="F3" s="502"/>
      <c r="G3" s="489" t="s">
        <v>6</v>
      </c>
      <c r="H3" s="501"/>
      <c r="I3" s="502"/>
      <c r="J3" s="489" t="s">
        <v>7</v>
      </c>
      <c r="K3" s="501"/>
      <c r="L3" s="502"/>
      <c r="M3" s="489" t="s">
        <v>8</v>
      </c>
      <c r="N3" s="502"/>
      <c r="O3" s="488" t="s">
        <v>9</v>
      </c>
      <c r="P3" s="501"/>
      <c r="Q3" s="502"/>
      <c r="R3" s="489" t="s">
        <v>10</v>
      </c>
      <c r="S3" s="503"/>
      <c r="T3" s="504"/>
      <c r="U3" s="504"/>
      <c r="V3" s="493" t="s">
        <v>222</v>
      </c>
      <c r="W3" s="505">
        <v>0.45</v>
      </c>
      <c r="X3" s="499"/>
      <c r="Y3" s="499"/>
      <c r="Z3" s="499"/>
      <c r="AA3" s="499"/>
      <c r="AB3" s="499"/>
      <c r="AC3" s="499"/>
      <c r="AD3" s="499"/>
      <c r="AE3" s="499"/>
      <c r="AF3" s="499"/>
      <c r="AG3" s="499"/>
      <c r="AH3" s="499"/>
      <c r="AI3" s="499"/>
      <c r="AJ3" s="499"/>
      <c r="AK3" s="499"/>
      <c r="AL3" s="499"/>
      <c r="AM3" s="499"/>
      <c r="AN3" s="499"/>
    </row>
    <row r="4" spans="1:40" ht="20.399999999999999">
      <c r="B4" s="499"/>
      <c r="C4" s="506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504"/>
      <c r="U4" s="504"/>
      <c r="V4" s="493" t="s">
        <v>223</v>
      </c>
      <c r="W4" s="505">
        <v>0.1</v>
      </c>
      <c r="X4" s="499"/>
      <c r="Y4" s="499"/>
      <c r="Z4" s="499"/>
      <c r="AA4" s="499"/>
      <c r="AB4" s="499"/>
      <c r="AC4" s="499"/>
      <c r="AD4" s="499"/>
      <c r="AE4" s="499"/>
      <c r="AF4" s="499"/>
      <c r="AG4" s="499"/>
      <c r="AH4" s="499"/>
      <c r="AI4" s="499"/>
      <c r="AJ4" s="499"/>
      <c r="AK4" s="499"/>
      <c r="AL4" s="499"/>
      <c r="AM4" s="499"/>
      <c r="AN4" s="499"/>
    </row>
    <row r="5" spans="1:40" ht="20.399999999999999">
      <c r="A5" s="493" t="s">
        <v>231</v>
      </c>
      <c r="B5" s="499" t="s">
        <v>0</v>
      </c>
      <c r="C5" s="507" t="s">
        <v>16</v>
      </c>
      <c r="D5" s="22"/>
      <c r="E5" s="22"/>
      <c r="F5" s="508">
        <v>2936799.0457398733</v>
      </c>
      <c r="G5" s="22"/>
      <c r="H5" s="22"/>
      <c r="I5" s="25">
        <v>2936799.0457398733</v>
      </c>
      <c r="J5" s="509"/>
      <c r="K5" s="510"/>
      <c r="L5" s="508">
        <v>2836768.31</v>
      </c>
      <c r="M5" s="27"/>
      <c r="N5" s="28"/>
      <c r="O5" s="509"/>
      <c r="P5" s="510"/>
      <c r="Q5" s="508">
        <v>3829078.5799999996</v>
      </c>
      <c r="R5" s="27"/>
      <c r="S5" s="29"/>
      <c r="T5" s="504"/>
      <c r="U5" s="504"/>
      <c r="V5" s="511" t="s">
        <v>218</v>
      </c>
      <c r="W5" s="512">
        <v>0.22500000000000001</v>
      </c>
      <c r="X5" s="499"/>
      <c r="Y5" s="499"/>
      <c r="Z5" s="499"/>
      <c r="AA5" s="499"/>
      <c r="AB5" s="499"/>
      <c r="AC5" s="499"/>
      <c r="AD5" s="499"/>
      <c r="AE5" s="499"/>
      <c r="AF5" s="499"/>
      <c r="AG5" s="499"/>
      <c r="AH5" s="499"/>
      <c r="AI5" s="499"/>
      <c r="AJ5" s="499"/>
      <c r="AK5" s="499"/>
      <c r="AL5" s="499"/>
      <c r="AM5" s="499"/>
      <c r="AN5" s="499"/>
    </row>
    <row r="6" spans="1:40" ht="20.399999999999999">
      <c r="A6" s="493" t="s">
        <v>232</v>
      </c>
      <c r="B6" s="499" t="s">
        <v>0</v>
      </c>
      <c r="C6" s="513" t="s">
        <v>17</v>
      </c>
      <c r="D6" s="514">
        <v>14.978313253012049</v>
      </c>
      <c r="E6" s="514">
        <v>1450.6297619047618</v>
      </c>
      <c r="F6" s="514">
        <v>21727.986987951808</v>
      </c>
      <c r="G6" s="515">
        <v>14.978313253012049</v>
      </c>
      <c r="H6" s="514">
        <v>1450.6297619047618</v>
      </c>
      <c r="I6" s="514">
        <v>21727.986987951808</v>
      </c>
      <c r="J6" s="515">
        <v>9</v>
      </c>
      <c r="K6" s="514">
        <v>2603.6255555555526</v>
      </c>
      <c r="L6" s="516">
        <v>23432.629999999976</v>
      </c>
      <c r="M6" s="515">
        <v>-5.9783132530120486</v>
      </c>
      <c r="N6" s="517">
        <v>1704.6430120481673</v>
      </c>
      <c r="O6" s="515">
        <v>25</v>
      </c>
      <c r="P6" s="514">
        <v>1020.8359999999963</v>
      </c>
      <c r="Q6" s="516">
        <v>25520.899999999907</v>
      </c>
      <c r="R6" s="515">
        <v>-16</v>
      </c>
      <c r="S6" s="518">
        <v>-2088.2699999999313</v>
      </c>
      <c r="T6" s="504"/>
      <c r="U6" s="504"/>
      <c r="V6" s="511" t="s">
        <v>224</v>
      </c>
      <c r="W6" s="512">
        <v>2.5000000000000001E-2</v>
      </c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</row>
    <row r="7" spans="1:40" ht="20.399999999999999">
      <c r="A7" s="493" t="s">
        <v>233</v>
      </c>
      <c r="B7" s="499" t="s">
        <v>0</v>
      </c>
      <c r="C7" s="513" t="s">
        <v>18</v>
      </c>
      <c r="D7" s="514">
        <v>51.710843373493979</v>
      </c>
      <c r="E7" s="514">
        <v>2081.8275862068967</v>
      </c>
      <c r="F7" s="514">
        <v>107653.06024096387</v>
      </c>
      <c r="G7" s="515">
        <v>51.710843373493979</v>
      </c>
      <c r="H7" s="514">
        <v>2081.8275862068967</v>
      </c>
      <c r="I7" s="514">
        <v>107653.06024096387</v>
      </c>
      <c r="J7" s="515">
        <v>43</v>
      </c>
      <c r="K7" s="514">
        <v>3826.4693023255882</v>
      </c>
      <c r="L7" s="516">
        <v>164538.18000000028</v>
      </c>
      <c r="M7" s="515">
        <v>-8.7108433734939794</v>
      </c>
      <c r="N7" s="517">
        <v>56885.119759036417</v>
      </c>
      <c r="O7" s="515">
        <v>58</v>
      </c>
      <c r="P7" s="514">
        <v>2126.4851724137952</v>
      </c>
      <c r="Q7" s="516">
        <v>123336.14000000013</v>
      </c>
      <c r="R7" s="515">
        <v>-15</v>
      </c>
      <c r="S7" s="518">
        <v>41202.040000000154</v>
      </c>
      <c r="T7" s="504"/>
      <c r="U7" s="504"/>
      <c r="V7" s="493" t="s">
        <v>225</v>
      </c>
      <c r="W7" s="505">
        <v>0.2</v>
      </c>
      <c r="X7" s="499"/>
      <c r="Y7" s="499"/>
      <c r="Z7" s="499"/>
      <c r="AA7" s="499"/>
      <c r="AB7" s="499"/>
      <c r="AC7" s="499"/>
      <c r="AD7" s="499"/>
      <c r="AE7" s="499"/>
      <c r="AF7" s="499"/>
      <c r="AG7" s="499"/>
      <c r="AH7" s="499"/>
      <c r="AI7" s="499"/>
      <c r="AJ7" s="499"/>
      <c r="AK7" s="499"/>
      <c r="AL7" s="499"/>
      <c r="AM7" s="499"/>
      <c r="AN7" s="499"/>
    </row>
    <row r="8" spans="1:40" ht="20.399999999999999">
      <c r="A8" s="493" t="s">
        <v>234</v>
      </c>
      <c r="B8" s="499" t="s">
        <v>0</v>
      </c>
      <c r="C8" s="513" t="s">
        <v>19</v>
      </c>
      <c r="D8" s="514">
        <v>0</v>
      </c>
      <c r="E8" s="514">
        <v>0</v>
      </c>
      <c r="F8" s="514">
        <v>0</v>
      </c>
      <c r="G8" s="515">
        <v>0</v>
      </c>
      <c r="H8" s="514">
        <v>0</v>
      </c>
      <c r="I8" s="514">
        <v>0</v>
      </c>
      <c r="J8" s="515">
        <v>0</v>
      </c>
      <c r="K8" s="514">
        <v>0</v>
      </c>
      <c r="L8" s="516">
        <v>0</v>
      </c>
      <c r="M8" s="515">
        <v>0</v>
      </c>
      <c r="N8" s="517">
        <v>0</v>
      </c>
      <c r="O8" s="515">
        <v>0</v>
      </c>
      <c r="P8" s="514">
        <v>0</v>
      </c>
      <c r="Q8" s="516">
        <v>0</v>
      </c>
      <c r="R8" s="515">
        <v>0</v>
      </c>
      <c r="S8" s="518">
        <v>0</v>
      </c>
      <c r="T8" s="504"/>
      <c r="U8" s="504"/>
      <c r="W8" s="505">
        <v>1</v>
      </c>
      <c r="X8" s="499"/>
      <c r="Y8" s="499"/>
      <c r="Z8" s="499"/>
      <c r="AA8" s="499"/>
      <c r="AB8" s="499"/>
      <c r="AC8" s="499"/>
      <c r="AD8" s="499"/>
      <c r="AE8" s="499"/>
      <c r="AF8" s="499"/>
      <c r="AG8" s="499"/>
      <c r="AH8" s="499"/>
      <c r="AI8" s="499"/>
      <c r="AJ8" s="499"/>
      <c r="AK8" s="499"/>
      <c r="AL8" s="499"/>
      <c r="AM8" s="499"/>
      <c r="AN8" s="499"/>
    </row>
    <row r="9" spans="1:40" ht="20.399999999999999">
      <c r="A9" s="493" t="s">
        <v>235</v>
      </c>
      <c r="B9" s="499" t="s">
        <v>0</v>
      </c>
      <c r="C9" s="513" t="s">
        <v>20</v>
      </c>
      <c r="D9" s="514">
        <v>0</v>
      </c>
      <c r="E9" s="514">
        <v>0</v>
      </c>
      <c r="F9" s="514">
        <v>0</v>
      </c>
      <c r="G9" s="515">
        <v>0</v>
      </c>
      <c r="H9" s="514">
        <v>0</v>
      </c>
      <c r="I9" s="514">
        <v>0</v>
      </c>
      <c r="J9" s="515">
        <v>0</v>
      </c>
      <c r="K9" s="514">
        <v>0</v>
      </c>
      <c r="L9" s="516">
        <v>0</v>
      </c>
      <c r="M9" s="515">
        <v>0</v>
      </c>
      <c r="N9" s="517">
        <v>0</v>
      </c>
      <c r="O9" s="515">
        <v>0</v>
      </c>
      <c r="P9" s="514">
        <v>0</v>
      </c>
      <c r="Q9" s="516">
        <v>0</v>
      </c>
      <c r="R9" s="515">
        <v>0</v>
      </c>
      <c r="S9" s="518">
        <v>0</v>
      </c>
      <c r="T9" s="504"/>
      <c r="U9" s="504"/>
      <c r="V9" s="499"/>
      <c r="W9" s="499"/>
      <c r="X9" s="499"/>
      <c r="Y9" s="499"/>
      <c r="Z9" s="499"/>
      <c r="AA9" s="499"/>
      <c r="AB9" s="499"/>
      <c r="AC9" s="499"/>
      <c r="AD9" s="499"/>
      <c r="AE9" s="499"/>
      <c r="AF9" s="499"/>
      <c r="AG9" s="499"/>
      <c r="AH9" s="499"/>
      <c r="AI9" s="499"/>
      <c r="AJ9" s="499"/>
      <c r="AK9" s="499"/>
      <c r="AL9" s="499"/>
      <c r="AM9" s="499"/>
      <c r="AN9" s="499"/>
    </row>
    <row r="10" spans="1:40" ht="20.25" hidden="1" customHeight="1" thickBot="1">
      <c r="A10" s="493" t="s">
        <v>236</v>
      </c>
      <c r="B10" s="499" t="s">
        <v>0</v>
      </c>
      <c r="C10" s="513" t="s">
        <v>21</v>
      </c>
      <c r="D10" s="514">
        <v>0</v>
      </c>
      <c r="E10" s="514">
        <v>0</v>
      </c>
      <c r="F10" s="514">
        <v>0</v>
      </c>
      <c r="G10" s="515">
        <v>0</v>
      </c>
      <c r="H10" s="514">
        <v>0</v>
      </c>
      <c r="I10" s="514">
        <v>0</v>
      </c>
      <c r="J10" s="515">
        <v>0</v>
      </c>
      <c r="K10" s="514">
        <v>0</v>
      </c>
      <c r="L10" s="516">
        <v>0</v>
      </c>
      <c r="M10" s="515">
        <v>0</v>
      </c>
      <c r="N10" s="517">
        <v>0</v>
      </c>
      <c r="O10" s="515">
        <v>0</v>
      </c>
      <c r="P10" s="514">
        <v>0</v>
      </c>
      <c r="Q10" s="516">
        <v>0</v>
      </c>
      <c r="R10" s="515">
        <v>0</v>
      </c>
      <c r="S10" s="518">
        <v>0</v>
      </c>
      <c r="T10" s="504"/>
      <c r="U10" s="504"/>
      <c r="V10" s="499"/>
      <c r="W10" s="499"/>
      <c r="X10" s="499"/>
      <c r="Y10" s="499"/>
      <c r="Z10" s="499"/>
      <c r="AA10" s="499"/>
      <c r="AB10" s="499"/>
      <c r="AC10" s="499"/>
      <c r="AD10" s="499"/>
      <c r="AE10" s="499"/>
      <c r="AF10" s="499"/>
      <c r="AG10" s="499"/>
      <c r="AH10" s="499"/>
      <c r="AI10" s="499"/>
      <c r="AJ10" s="499"/>
      <c r="AK10" s="499"/>
      <c r="AL10" s="499"/>
      <c r="AM10" s="499"/>
      <c r="AN10" s="499"/>
    </row>
    <row r="11" spans="1:40" ht="20.25" hidden="1" customHeight="1" thickBot="1">
      <c r="A11" s="493" t="s">
        <v>236</v>
      </c>
      <c r="B11" s="499" t="s">
        <v>0</v>
      </c>
      <c r="C11" s="513" t="s">
        <v>21</v>
      </c>
      <c r="D11" s="514">
        <v>0</v>
      </c>
      <c r="E11" s="514">
        <v>0</v>
      </c>
      <c r="F11" s="514">
        <v>0</v>
      </c>
      <c r="G11" s="515">
        <v>0</v>
      </c>
      <c r="H11" s="514">
        <v>0</v>
      </c>
      <c r="I11" s="514">
        <v>0</v>
      </c>
      <c r="J11" s="515">
        <v>0</v>
      </c>
      <c r="K11" s="514">
        <v>0</v>
      </c>
      <c r="L11" s="516">
        <v>0</v>
      </c>
      <c r="M11" s="515">
        <v>0</v>
      </c>
      <c r="N11" s="517">
        <v>0</v>
      </c>
      <c r="O11" s="515">
        <v>0</v>
      </c>
      <c r="P11" s="514">
        <v>0</v>
      </c>
      <c r="Q11" s="516">
        <v>0</v>
      </c>
      <c r="R11" s="515">
        <v>0</v>
      </c>
      <c r="S11" s="518">
        <v>0</v>
      </c>
      <c r="T11" s="504"/>
      <c r="U11" s="504"/>
      <c r="V11" s="499"/>
      <c r="W11" s="499"/>
      <c r="X11" s="499"/>
      <c r="Y11" s="499"/>
      <c r="Z11" s="499"/>
      <c r="AA11" s="499"/>
      <c r="AB11" s="499"/>
      <c r="AC11" s="499"/>
      <c r="AD11" s="499"/>
      <c r="AE11" s="499"/>
      <c r="AF11" s="499"/>
      <c r="AG11" s="499"/>
      <c r="AH11" s="499"/>
      <c r="AI11" s="499"/>
      <c r="AJ11" s="499"/>
      <c r="AK11" s="499"/>
      <c r="AL11" s="499"/>
      <c r="AM11" s="499"/>
      <c r="AN11" s="499"/>
    </row>
    <row r="12" spans="1:40" ht="20.25" hidden="1" customHeight="1" thickBot="1">
      <c r="A12" s="493" t="s">
        <v>236</v>
      </c>
      <c r="B12" s="499" t="s">
        <v>0</v>
      </c>
      <c r="C12" s="513" t="s">
        <v>21</v>
      </c>
      <c r="D12" s="514">
        <v>0</v>
      </c>
      <c r="E12" s="514">
        <v>0</v>
      </c>
      <c r="F12" s="514">
        <v>0</v>
      </c>
      <c r="G12" s="515">
        <v>0</v>
      </c>
      <c r="H12" s="514">
        <v>0</v>
      </c>
      <c r="I12" s="514">
        <v>0</v>
      </c>
      <c r="J12" s="515">
        <v>0</v>
      </c>
      <c r="K12" s="514">
        <v>0</v>
      </c>
      <c r="L12" s="516">
        <v>0</v>
      </c>
      <c r="M12" s="515">
        <v>0</v>
      </c>
      <c r="N12" s="517">
        <v>0</v>
      </c>
      <c r="O12" s="515">
        <v>0</v>
      </c>
      <c r="P12" s="514">
        <v>0</v>
      </c>
      <c r="Q12" s="516">
        <v>0</v>
      </c>
      <c r="R12" s="515">
        <v>0</v>
      </c>
      <c r="S12" s="518">
        <v>0</v>
      </c>
      <c r="T12" s="504"/>
      <c r="U12" s="504"/>
      <c r="V12" s="499"/>
      <c r="W12" s="499"/>
      <c r="X12" s="499"/>
      <c r="Y12" s="499"/>
      <c r="Z12" s="499"/>
      <c r="AA12" s="499"/>
      <c r="AB12" s="499"/>
      <c r="AC12" s="499"/>
      <c r="AD12" s="499"/>
      <c r="AE12" s="499"/>
      <c r="AF12" s="499"/>
      <c r="AG12" s="499"/>
      <c r="AH12" s="499"/>
      <c r="AI12" s="499"/>
      <c r="AJ12" s="499"/>
      <c r="AK12" s="499"/>
      <c r="AL12" s="499"/>
      <c r="AM12" s="499"/>
      <c r="AN12" s="499"/>
    </row>
    <row r="13" spans="1:40" ht="21">
      <c r="A13" s="493" t="s">
        <v>237</v>
      </c>
      <c r="B13" s="499" t="s">
        <v>0</v>
      </c>
      <c r="C13" s="519" t="s">
        <v>22</v>
      </c>
      <c r="D13" s="520">
        <v>66.689156626506033</v>
      </c>
      <c r="E13" s="520">
        <v>1940.061229946524</v>
      </c>
      <c r="F13" s="521">
        <v>129381.04722891568</v>
      </c>
      <c r="G13" s="522">
        <v>66.689156626506033</v>
      </c>
      <c r="H13" s="520">
        <v>1940.061229946524</v>
      </c>
      <c r="I13" s="521">
        <v>129381.04722891568</v>
      </c>
      <c r="J13" s="522">
        <v>52</v>
      </c>
      <c r="K13" s="520">
        <v>3614.8232692307743</v>
      </c>
      <c r="L13" s="521">
        <v>187970.81000000026</v>
      </c>
      <c r="M13" s="522">
        <v>-14.689156626506028</v>
      </c>
      <c r="N13" s="521">
        <v>58589.762771084585</v>
      </c>
      <c r="O13" s="522">
        <v>83</v>
      </c>
      <c r="P13" s="520">
        <v>1793.4583132530124</v>
      </c>
      <c r="Q13" s="521">
        <v>148857.04000000004</v>
      </c>
      <c r="R13" s="522">
        <v>-31</v>
      </c>
      <c r="S13" s="523">
        <v>39113.770000000222</v>
      </c>
      <c r="T13" s="504"/>
      <c r="U13" s="504"/>
      <c r="V13" s="499"/>
      <c r="W13" s="499"/>
      <c r="X13" s="499"/>
      <c r="Y13" s="499"/>
      <c r="Z13" s="499"/>
      <c r="AA13" s="499"/>
      <c r="AB13" s="499"/>
      <c r="AC13" s="499"/>
      <c r="AD13" s="499"/>
      <c r="AE13" s="499"/>
      <c r="AF13" s="499"/>
      <c r="AG13" s="499"/>
      <c r="AH13" s="499"/>
      <c r="AI13" s="499"/>
      <c r="AJ13" s="499"/>
      <c r="AK13" s="499"/>
      <c r="AL13" s="499"/>
      <c r="AM13" s="499"/>
      <c r="AN13" s="499"/>
    </row>
    <row r="14" spans="1:40" ht="21">
      <c r="A14" s="493" t="s">
        <v>0</v>
      </c>
      <c r="B14" s="499" t="s">
        <v>0</v>
      </c>
      <c r="C14" s="513"/>
      <c r="D14" s="504"/>
      <c r="E14" s="514"/>
      <c r="F14" s="524"/>
      <c r="G14" s="525"/>
      <c r="H14" s="514"/>
      <c r="I14" s="524"/>
      <c r="J14" s="525"/>
      <c r="K14" s="514"/>
      <c r="L14" s="524"/>
      <c r="M14" s="526"/>
      <c r="N14" s="527"/>
      <c r="O14" s="525"/>
      <c r="P14" s="514"/>
      <c r="Q14" s="524"/>
      <c r="R14" s="526">
        <v>-0.37349397590361444</v>
      </c>
      <c r="S14" s="528">
        <v>0.26276063261771304</v>
      </c>
      <c r="T14" s="504"/>
      <c r="U14" s="504"/>
      <c r="V14" s="499"/>
      <c r="W14" s="499"/>
      <c r="X14" s="499"/>
      <c r="Y14" s="499"/>
      <c r="Z14" s="499"/>
      <c r="AA14" s="499"/>
      <c r="AB14" s="499"/>
      <c r="AC14" s="499"/>
      <c r="AD14" s="499"/>
      <c r="AE14" s="499"/>
      <c r="AF14" s="499"/>
      <c r="AG14" s="499"/>
      <c r="AH14" s="499"/>
      <c r="AI14" s="499"/>
      <c r="AJ14" s="499"/>
      <c r="AK14" s="499"/>
      <c r="AL14" s="499"/>
      <c r="AM14" s="499"/>
      <c r="AN14" s="499"/>
    </row>
    <row r="15" spans="1:40" ht="21">
      <c r="A15" s="493" t="s">
        <v>238</v>
      </c>
      <c r="B15" s="499" t="s">
        <v>0</v>
      </c>
      <c r="C15" s="529" t="s">
        <v>23</v>
      </c>
      <c r="D15" s="510">
        <v>6.2409638554216871</v>
      </c>
      <c r="E15" s="510">
        <v>1386.1016187312011</v>
      </c>
      <c r="F15" s="508">
        <v>8650.610102442919</v>
      </c>
      <c r="G15" s="530">
        <v>6.2409638554216871</v>
      </c>
      <c r="H15" s="531">
        <v>1386.1016187312011</v>
      </c>
      <c r="I15" s="532">
        <v>8650.610102442919</v>
      </c>
      <c r="J15" s="533">
        <v>4</v>
      </c>
      <c r="K15" s="534">
        <v>2132.3599999999933</v>
      </c>
      <c r="L15" s="534">
        <v>8529.4399999999732</v>
      </c>
      <c r="M15" s="535">
        <v>-2.2409638554216871</v>
      </c>
      <c r="N15" s="532">
        <v>-121.17010244294579</v>
      </c>
      <c r="O15" s="533">
        <v>4</v>
      </c>
      <c r="P15" s="534">
        <v>2427.2750000000015</v>
      </c>
      <c r="Q15" s="534">
        <v>9709.1000000000058</v>
      </c>
      <c r="R15" s="535">
        <v>0</v>
      </c>
      <c r="S15" s="536">
        <v>-1179.6600000000326</v>
      </c>
      <c r="T15" s="504"/>
      <c r="U15" s="504"/>
      <c r="V15" s="537"/>
      <c r="W15" s="499"/>
      <c r="X15" s="499"/>
      <c r="Y15" s="499"/>
      <c r="Z15" s="499"/>
      <c r="AA15" s="499"/>
      <c r="AB15" s="499"/>
      <c r="AC15" s="499"/>
      <c r="AD15" s="499"/>
      <c r="AE15" s="499"/>
      <c r="AF15" s="499"/>
      <c r="AG15" s="499"/>
      <c r="AH15" s="499"/>
      <c r="AI15" s="499"/>
      <c r="AJ15" s="499"/>
      <c r="AK15" s="499"/>
      <c r="AL15" s="499"/>
      <c r="AM15" s="499"/>
      <c r="AN15" s="499"/>
    </row>
    <row r="16" spans="1:40" ht="21">
      <c r="A16" s="493" t="s">
        <v>0</v>
      </c>
      <c r="B16" s="499" t="s">
        <v>0</v>
      </c>
      <c r="C16" s="513"/>
      <c r="D16" s="504"/>
      <c r="E16" s="514"/>
      <c r="F16" s="524"/>
      <c r="G16" s="525"/>
      <c r="H16" s="514"/>
      <c r="I16" s="524"/>
      <c r="J16" s="525"/>
      <c r="K16" s="514"/>
      <c r="L16" s="517"/>
      <c r="M16" s="526"/>
      <c r="N16" s="527"/>
      <c r="O16" s="525"/>
      <c r="P16" s="514"/>
      <c r="Q16" s="517"/>
      <c r="R16" s="526"/>
      <c r="S16" s="528"/>
      <c r="T16" s="504"/>
      <c r="U16" s="504"/>
      <c r="V16" s="499"/>
      <c r="W16" s="499"/>
      <c r="X16" s="499"/>
      <c r="Y16" s="499"/>
      <c r="Z16" s="499"/>
      <c r="AA16" s="499"/>
      <c r="AB16" s="499"/>
      <c r="AC16" s="499"/>
      <c r="AD16" s="499"/>
      <c r="AE16" s="499"/>
      <c r="AF16" s="499"/>
      <c r="AG16" s="499"/>
      <c r="AH16" s="499"/>
      <c r="AI16" s="499"/>
      <c r="AJ16" s="499"/>
      <c r="AK16" s="499"/>
      <c r="AL16" s="499"/>
      <c r="AM16" s="499"/>
      <c r="AN16" s="499"/>
    </row>
    <row r="17" spans="1:40" ht="21">
      <c r="A17" s="493" t="s">
        <v>239</v>
      </c>
      <c r="B17" s="499" t="s">
        <v>0</v>
      </c>
      <c r="C17" s="538" t="s">
        <v>24</v>
      </c>
      <c r="D17" s="514">
        <v>1.122629582806574</v>
      </c>
      <c r="E17" s="514">
        <v>1938.8731623598242</v>
      </c>
      <c r="F17" s="514">
        <v>2176.6363693748722</v>
      </c>
      <c r="G17" s="515">
        <v>1.122629582806574</v>
      </c>
      <c r="H17" s="514">
        <v>1938.8731623598242</v>
      </c>
      <c r="I17" s="514">
        <v>2176.6363693748722</v>
      </c>
      <c r="J17" s="535">
        <v>0</v>
      </c>
      <c r="K17" s="514">
        <v>0</v>
      </c>
      <c r="L17" s="517">
        <v>0</v>
      </c>
      <c r="M17" s="535">
        <v>-1.122629582806574</v>
      </c>
      <c r="N17" s="517">
        <v>-2176.6363693748722</v>
      </c>
      <c r="O17" s="535">
        <v>4</v>
      </c>
      <c r="P17" s="514">
        <v>2789.6125000000029</v>
      </c>
      <c r="Q17" s="517">
        <v>11158.450000000012</v>
      </c>
      <c r="R17" s="515">
        <v>-4</v>
      </c>
      <c r="S17" s="518">
        <v>-11158.450000000012</v>
      </c>
      <c r="T17" s="504"/>
      <c r="U17" s="504"/>
      <c r="V17" s="499"/>
      <c r="W17" s="499"/>
      <c r="X17" s="499"/>
      <c r="Y17" s="499"/>
      <c r="Z17" s="499"/>
      <c r="AA17" s="499"/>
      <c r="AB17" s="499"/>
      <c r="AC17" s="499"/>
      <c r="AD17" s="499"/>
      <c r="AE17" s="499"/>
      <c r="AF17" s="499"/>
      <c r="AG17" s="499"/>
      <c r="AH17" s="499"/>
      <c r="AI17" s="499"/>
      <c r="AJ17" s="499"/>
      <c r="AK17" s="499"/>
      <c r="AL17" s="499"/>
      <c r="AM17" s="499"/>
      <c r="AN17" s="499"/>
    </row>
    <row r="18" spans="1:40" ht="21">
      <c r="A18" s="493" t="s">
        <v>0</v>
      </c>
      <c r="B18" s="499" t="s">
        <v>0</v>
      </c>
      <c r="C18" s="519"/>
      <c r="D18" s="539"/>
      <c r="E18" s="539"/>
      <c r="F18" s="540"/>
      <c r="G18" s="541"/>
      <c r="H18" s="539"/>
      <c r="I18" s="540"/>
      <c r="J18" s="515"/>
      <c r="K18" s="539"/>
      <c r="L18" s="540"/>
      <c r="M18" s="515"/>
      <c r="N18" s="540"/>
      <c r="O18" s="515"/>
      <c r="P18" s="539"/>
      <c r="Q18" s="540"/>
      <c r="R18" s="541"/>
      <c r="S18" s="542"/>
      <c r="T18" s="504"/>
      <c r="U18" s="504"/>
      <c r="V18" s="499"/>
      <c r="W18" s="499"/>
      <c r="X18" s="499"/>
      <c r="Y18" s="499"/>
      <c r="Z18" s="499"/>
      <c r="AA18" s="499"/>
      <c r="AB18" s="499"/>
      <c r="AC18" s="499"/>
      <c r="AD18" s="499"/>
      <c r="AE18" s="499"/>
      <c r="AF18" s="499"/>
      <c r="AG18" s="499"/>
      <c r="AH18" s="499"/>
      <c r="AI18" s="499"/>
      <c r="AJ18" s="499"/>
      <c r="AK18" s="499"/>
      <c r="AL18" s="499"/>
      <c r="AM18" s="499"/>
      <c r="AN18" s="499"/>
    </row>
    <row r="19" spans="1:40" ht="21">
      <c r="A19" s="493" t="s">
        <v>240</v>
      </c>
      <c r="B19" s="499" t="s">
        <v>0</v>
      </c>
      <c r="C19" s="529" t="s">
        <v>25</v>
      </c>
      <c r="D19" s="514">
        <v>0</v>
      </c>
      <c r="E19" s="514">
        <v>0</v>
      </c>
      <c r="F19" s="514">
        <v>8416.038959999998</v>
      </c>
      <c r="G19" s="515">
        <v>0</v>
      </c>
      <c r="H19" s="514">
        <v>0</v>
      </c>
      <c r="I19" s="514">
        <v>8416.038959999998</v>
      </c>
      <c r="J19" s="530"/>
      <c r="K19" s="514"/>
      <c r="L19" s="517">
        <v>13151.099999999977</v>
      </c>
      <c r="M19" s="515"/>
      <c r="N19" s="517">
        <v>4735.0610399999787</v>
      </c>
      <c r="O19" s="530"/>
      <c r="P19" s="514"/>
      <c r="Q19" s="517">
        <v>6141.9900000000198</v>
      </c>
      <c r="R19" s="515">
        <v>0</v>
      </c>
      <c r="S19" s="518">
        <v>7009.1099999999569</v>
      </c>
      <c r="T19" s="504"/>
      <c r="U19" s="504"/>
      <c r="V19" s="537"/>
      <c r="W19" s="537"/>
      <c r="X19" s="543"/>
      <c r="Y19" s="499"/>
      <c r="Z19" s="499"/>
      <c r="AA19" s="499"/>
      <c r="AB19" s="499"/>
      <c r="AC19" s="499"/>
      <c r="AD19" s="499"/>
      <c r="AE19" s="499"/>
      <c r="AF19" s="499"/>
      <c r="AG19" s="499"/>
      <c r="AH19" s="499"/>
      <c r="AI19" s="499"/>
      <c r="AJ19" s="499"/>
      <c r="AK19" s="499"/>
      <c r="AL19" s="499"/>
      <c r="AM19" s="499"/>
      <c r="AN19" s="499"/>
    </row>
    <row r="20" spans="1:40" ht="21">
      <c r="A20" s="493" t="s">
        <v>0</v>
      </c>
      <c r="B20" s="499" t="s">
        <v>0</v>
      </c>
      <c r="C20" s="519"/>
      <c r="D20" s="539"/>
      <c r="E20" s="539"/>
      <c r="F20" s="540"/>
      <c r="G20" s="541"/>
      <c r="H20" s="539"/>
      <c r="I20" s="540"/>
      <c r="J20" s="515"/>
      <c r="K20" s="539"/>
      <c r="L20" s="540"/>
      <c r="M20" s="541"/>
      <c r="N20" s="540"/>
      <c r="O20" s="515"/>
      <c r="P20" s="539"/>
      <c r="Q20" s="540"/>
      <c r="R20" s="541"/>
      <c r="S20" s="542"/>
      <c r="T20" s="504"/>
      <c r="U20" s="504"/>
      <c r="V20" s="537"/>
      <c r="W20" s="537"/>
      <c r="X20" s="543"/>
      <c r="Y20" s="499"/>
      <c r="Z20" s="499"/>
      <c r="AA20" s="499"/>
      <c r="AB20" s="499"/>
      <c r="AC20" s="499"/>
      <c r="AD20" s="499"/>
      <c r="AE20" s="499"/>
      <c r="AF20" s="499"/>
      <c r="AG20" s="499"/>
      <c r="AH20" s="499"/>
      <c r="AI20" s="499"/>
      <c r="AJ20" s="499"/>
      <c r="AK20" s="499"/>
      <c r="AL20" s="499"/>
      <c r="AM20" s="499"/>
      <c r="AN20" s="499"/>
    </row>
    <row r="21" spans="1:40" ht="15.75" customHeight="1">
      <c r="A21" s="493" t="s">
        <v>241</v>
      </c>
      <c r="B21" s="499" t="s">
        <v>0</v>
      </c>
      <c r="C21" s="513" t="s">
        <v>26</v>
      </c>
      <c r="D21" s="514">
        <v>0</v>
      </c>
      <c r="E21" s="514">
        <v>0</v>
      </c>
      <c r="F21" s="514">
        <v>2182.3436317540154</v>
      </c>
      <c r="G21" s="525">
        <v>0</v>
      </c>
      <c r="H21" s="514">
        <v>0</v>
      </c>
      <c r="I21" s="514">
        <v>2182.3436317540154</v>
      </c>
      <c r="J21" s="515"/>
      <c r="K21" s="514">
        <v>228.50482142857143</v>
      </c>
      <c r="L21" s="517">
        <v>12796.27</v>
      </c>
      <c r="M21" s="515"/>
      <c r="N21" s="517">
        <v>10613.926368245986</v>
      </c>
      <c r="O21" s="515"/>
      <c r="P21" s="514">
        <v>0</v>
      </c>
      <c r="Q21" s="517">
        <v>0</v>
      </c>
      <c r="R21" s="515">
        <v>-228.50482142857143</v>
      </c>
      <c r="S21" s="518">
        <v>12796.27</v>
      </c>
      <c r="T21" s="504"/>
      <c r="U21" s="504"/>
      <c r="V21" s="499"/>
      <c r="W21" s="499"/>
      <c r="X21" s="499"/>
      <c r="Y21" s="499"/>
      <c r="Z21" s="499"/>
      <c r="AA21" s="499"/>
      <c r="AB21" s="499"/>
      <c r="AC21" s="499"/>
      <c r="AD21" s="499"/>
      <c r="AE21" s="499"/>
      <c r="AF21" s="499"/>
      <c r="AG21" s="499"/>
      <c r="AH21" s="499"/>
      <c r="AI21" s="499"/>
      <c r="AJ21" s="499"/>
      <c r="AK21" s="499"/>
      <c r="AL21" s="499"/>
      <c r="AM21" s="499"/>
      <c r="AN21" s="499"/>
    </row>
    <row r="22" spans="1:40" ht="18" customHeight="1">
      <c r="A22" s="493" t="s">
        <v>242</v>
      </c>
      <c r="B22" s="499" t="s">
        <v>0</v>
      </c>
      <c r="C22" s="513" t="s">
        <v>27</v>
      </c>
      <c r="D22" s="514">
        <v>0</v>
      </c>
      <c r="E22" s="514">
        <v>0</v>
      </c>
      <c r="F22" s="514">
        <v>58363.742879755097</v>
      </c>
      <c r="G22" s="525">
        <v>0</v>
      </c>
      <c r="H22" s="514">
        <v>0</v>
      </c>
      <c r="I22" s="514">
        <v>58363.742879755097</v>
      </c>
      <c r="J22" s="515"/>
      <c r="K22" s="514">
        <v>947.25267857142865</v>
      </c>
      <c r="L22" s="517">
        <v>53046.15</v>
      </c>
      <c r="M22" s="515"/>
      <c r="N22" s="517">
        <v>-5317.5928797550951</v>
      </c>
      <c r="O22" s="515"/>
      <c r="P22" s="514">
        <v>765.23471264367811</v>
      </c>
      <c r="Q22" s="517">
        <v>66575.42</v>
      </c>
      <c r="R22" s="515">
        <v>-947.25267857142865</v>
      </c>
      <c r="S22" s="518">
        <v>-13529.269999999997</v>
      </c>
      <c r="T22" s="504"/>
      <c r="U22" s="504"/>
      <c r="V22" s="499"/>
      <c r="W22" s="499"/>
      <c r="X22" s="499"/>
      <c r="Y22" s="499"/>
      <c r="Z22" s="499"/>
      <c r="AA22" s="499"/>
      <c r="AB22" s="499"/>
      <c r="AC22" s="499"/>
      <c r="AD22" s="499"/>
      <c r="AE22" s="499"/>
      <c r="AF22" s="499"/>
      <c r="AG22" s="499"/>
      <c r="AH22" s="499"/>
      <c r="AI22" s="499"/>
      <c r="AJ22" s="499"/>
      <c r="AK22" s="499"/>
      <c r="AL22" s="499"/>
      <c r="AM22" s="499"/>
      <c r="AN22" s="499"/>
    </row>
    <row r="23" spans="1:40" ht="19.5" customHeight="1">
      <c r="A23" s="493" t="s">
        <v>243</v>
      </c>
      <c r="B23" s="499" t="s">
        <v>0</v>
      </c>
      <c r="C23" s="513" t="s">
        <v>28</v>
      </c>
      <c r="D23" s="514">
        <v>0</v>
      </c>
      <c r="E23" s="514">
        <v>0</v>
      </c>
      <c r="F23" s="514">
        <v>1444.5158981294398</v>
      </c>
      <c r="G23" s="525">
        <v>0</v>
      </c>
      <c r="H23" s="514">
        <v>0</v>
      </c>
      <c r="I23" s="514">
        <v>1444.5158981294398</v>
      </c>
      <c r="J23" s="515"/>
      <c r="K23" s="514">
        <v>13.778571428571428</v>
      </c>
      <c r="L23" s="517">
        <v>771.6</v>
      </c>
      <c r="M23" s="535"/>
      <c r="N23" s="517">
        <v>-672.91589812943982</v>
      </c>
      <c r="O23" s="515"/>
      <c r="P23" s="514">
        <v>18.082413793103449</v>
      </c>
      <c r="Q23" s="517">
        <v>1573.17</v>
      </c>
      <c r="R23" s="515">
        <v>-13.778571428571428</v>
      </c>
      <c r="S23" s="518">
        <v>-801.57</v>
      </c>
      <c r="T23" s="504"/>
      <c r="U23" s="504"/>
      <c r="V23" s="499"/>
      <c r="W23" s="499"/>
      <c r="X23" s="499"/>
      <c r="Y23" s="499"/>
      <c r="Z23" s="499"/>
      <c r="AA23" s="499"/>
      <c r="AB23" s="499"/>
      <c r="AC23" s="499"/>
      <c r="AD23" s="499"/>
      <c r="AE23" s="499"/>
      <c r="AF23" s="499"/>
      <c r="AG23" s="499"/>
      <c r="AH23" s="499"/>
      <c r="AI23" s="499"/>
      <c r="AJ23" s="499"/>
      <c r="AK23" s="499"/>
      <c r="AL23" s="499"/>
      <c r="AM23" s="499"/>
      <c r="AN23" s="499"/>
    </row>
    <row r="24" spans="1:40" ht="18" customHeight="1">
      <c r="A24" s="493" t="s">
        <v>244</v>
      </c>
      <c r="B24" s="499" t="s">
        <v>0</v>
      </c>
      <c r="C24" s="519" t="s">
        <v>29</v>
      </c>
      <c r="D24" s="520">
        <v>72.930120481927716</v>
      </c>
      <c r="E24" s="520">
        <v>849.99999999999989</v>
      </c>
      <c r="F24" s="521">
        <v>61990.602409638552</v>
      </c>
      <c r="G24" s="522">
        <v>72.930120481927716</v>
      </c>
      <c r="H24" s="520">
        <v>849.99999999999989</v>
      </c>
      <c r="I24" s="521">
        <v>61990.602409638552</v>
      </c>
      <c r="J24" s="522">
        <v>56</v>
      </c>
      <c r="K24" s="520">
        <v>1189.5360714285714</v>
      </c>
      <c r="L24" s="521">
        <v>66614.02</v>
      </c>
      <c r="M24" s="544">
        <v>-16.930120481927716</v>
      </c>
      <c r="N24" s="521">
        <v>4623.4175903614523</v>
      </c>
      <c r="O24" s="522">
        <v>87</v>
      </c>
      <c r="P24" s="520">
        <v>783.31712643678156</v>
      </c>
      <c r="Q24" s="521">
        <v>68148.59</v>
      </c>
      <c r="R24" s="541"/>
      <c r="S24" s="523">
        <v>-1534.5699999999924</v>
      </c>
      <c r="T24" s="504"/>
      <c r="U24" s="504"/>
      <c r="V24" s="499"/>
      <c r="W24" s="499"/>
      <c r="X24" s="499"/>
      <c r="Y24" s="499"/>
      <c r="Z24" s="499"/>
      <c r="AA24" s="499"/>
      <c r="AB24" s="499"/>
      <c r="AC24" s="499"/>
      <c r="AD24" s="499"/>
      <c r="AE24" s="499"/>
      <c r="AF24" s="499"/>
      <c r="AG24" s="499"/>
      <c r="AH24" s="499"/>
      <c r="AI24" s="499"/>
      <c r="AJ24" s="499"/>
      <c r="AK24" s="499"/>
      <c r="AL24" s="499"/>
      <c r="AM24" s="499"/>
      <c r="AN24" s="499"/>
    </row>
    <row r="25" spans="1:40" ht="15.75" customHeight="1">
      <c r="A25" s="493" t="s">
        <v>0</v>
      </c>
      <c r="B25" s="499" t="s">
        <v>0</v>
      </c>
      <c r="C25" s="513"/>
      <c r="D25" s="504"/>
      <c r="E25" s="504"/>
      <c r="F25" s="545"/>
      <c r="G25" s="525"/>
      <c r="H25" s="504"/>
      <c r="I25" s="545"/>
      <c r="J25" s="525"/>
      <c r="K25" s="504"/>
      <c r="L25" s="545"/>
      <c r="M25" s="526"/>
      <c r="N25" s="527">
        <v>7.4582556236662489E-2</v>
      </c>
      <c r="O25" s="525"/>
      <c r="P25" s="504"/>
      <c r="Q25" s="545"/>
      <c r="R25" s="546"/>
      <c r="S25" s="528">
        <v>-2.2518000739266835E-2</v>
      </c>
      <c r="T25" s="504"/>
      <c r="U25" s="504"/>
      <c r="V25" s="499"/>
      <c r="W25" s="499"/>
      <c r="X25" s="499"/>
      <c r="Y25" s="499"/>
      <c r="Z25" s="499"/>
      <c r="AA25" s="499"/>
      <c r="AB25" s="499"/>
      <c r="AC25" s="499"/>
      <c r="AD25" s="499"/>
      <c r="AE25" s="499"/>
      <c r="AF25" s="499"/>
      <c r="AG25" s="499"/>
      <c r="AH25" s="499"/>
      <c r="AI25" s="499"/>
      <c r="AJ25" s="499"/>
      <c r="AK25" s="499"/>
      <c r="AL25" s="499"/>
      <c r="AM25" s="499"/>
      <c r="AN25" s="499"/>
    </row>
    <row r="26" spans="1:40" ht="15.75" customHeight="1" thickBot="1">
      <c r="A26" s="493" t="s">
        <v>0</v>
      </c>
      <c r="B26" s="499" t="s">
        <v>0</v>
      </c>
      <c r="C26" s="513"/>
      <c r="D26" s="504"/>
      <c r="E26" s="504"/>
      <c r="F26" s="524"/>
      <c r="G26" s="525"/>
      <c r="H26" s="504"/>
      <c r="I26" s="524"/>
      <c r="J26" s="525"/>
      <c r="K26" s="504"/>
      <c r="L26" s="524"/>
      <c r="M26" s="525"/>
      <c r="N26" s="524"/>
      <c r="O26" s="525"/>
      <c r="P26" s="504"/>
      <c r="Q26" s="524"/>
      <c r="R26" s="525"/>
      <c r="S26" s="547"/>
      <c r="T26" s="504"/>
      <c r="U26" s="504"/>
      <c r="V26" s="499"/>
      <c r="W26" s="499"/>
      <c r="X26" s="499"/>
      <c r="Y26" s="499"/>
      <c r="Z26" s="499"/>
      <c r="AA26" s="499"/>
      <c r="AB26" s="499"/>
      <c r="AC26" s="499"/>
      <c r="AD26" s="499"/>
      <c r="AE26" s="499"/>
      <c r="AF26" s="499"/>
      <c r="AG26" s="499"/>
      <c r="AH26" s="499"/>
      <c r="AI26" s="499"/>
      <c r="AJ26" s="499"/>
      <c r="AK26" s="499"/>
      <c r="AL26" s="499"/>
      <c r="AM26" s="499"/>
      <c r="AN26" s="499"/>
    </row>
    <row r="27" spans="1:40" ht="18" customHeight="1" thickTop="1">
      <c r="A27" s="493" t="s">
        <v>245</v>
      </c>
      <c r="B27" s="499" t="s">
        <v>0</v>
      </c>
      <c r="C27" s="548" t="s">
        <v>30</v>
      </c>
      <c r="D27" s="549">
        <v>74.052750064734283</v>
      </c>
      <c r="E27" s="550">
        <v>2844.1203721166321</v>
      </c>
      <c r="F27" s="551">
        <v>210614.93507037201</v>
      </c>
      <c r="G27" s="552">
        <v>74.052750064734283</v>
      </c>
      <c r="H27" s="553">
        <v>2844.1203721166321</v>
      </c>
      <c r="I27" s="551">
        <v>210614.93507037201</v>
      </c>
      <c r="J27" s="552">
        <v>56</v>
      </c>
      <c r="K27" s="553">
        <v>4933.3101785714325</v>
      </c>
      <c r="L27" s="551">
        <v>276265.37000000023</v>
      </c>
      <c r="M27" s="552">
        <v>-18.052750064734283</v>
      </c>
      <c r="N27" s="551">
        <v>65650.434929628216</v>
      </c>
      <c r="O27" s="552">
        <v>91</v>
      </c>
      <c r="P27" s="553">
        <v>2681.4853846153856</v>
      </c>
      <c r="Q27" s="551">
        <v>244015.17000000007</v>
      </c>
      <c r="R27" s="552">
        <v>-35</v>
      </c>
      <c r="S27" s="554">
        <v>32250.200000000157</v>
      </c>
      <c r="T27" s="504"/>
      <c r="U27" s="504"/>
      <c r="V27" s="499"/>
      <c r="W27" s="499"/>
      <c r="X27" s="499"/>
      <c r="Y27" s="499"/>
      <c r="Z27" s="499"/>
      <c r="AA27" s="499"/>
      <c r="AB27" s="499"/>
      <c r="AC27" s="499"/>
      <c r="AD27" s="499"/>
      <c r="AE27" s="499"/>
      <c r="AF27" s="499"/>
      <c r="AG27" s="499"/>
      <c r="AH27" s="499"/>
      <c r="AI27" s="499"/>
      <c r="AJ27" s="499"/>
      <c r="AK27" s="499"/>
      <c r="AL27" s="499"/>
      <c r="AM27" s="499"/>
      <c r="AN27" s="499"/>
    </row>
    <row r="28" spans="1:40" ht="22.5" customHeight="1" thickBot="1">
      <c r="A28" s="493" t="s">
        <v>0</v>
      </c>
      <c r="B28" s="499" t="s">
        <v>0</v>
      </c>
      <c r="C28" s="555"/>
      <c r="D28" s="556"/>
      <c r="E28" s="556"/>
      <c r="F28" s="557"/>
      <c r="G28" s="558"/>
      <c r="H28" s="556"/>
      <c r="I28" s="557"/>
      <c r="J28" s="558"/>
      <c r="K28" s="556"/>
      <c r="L28" s="557"/>
      <c r="M28" s="559">
        <v>-0.2437823044917739</v>
      </c>
      <c r="N28" s="560">
        <v>0.31170835490699023</v>
      </c>
      <c r="O28" s="558"/>
      <c r="P28" s="556"/>
      <c r="Q28" s="557"/>
      <c r="R28" s="559">
        <v>-0.38461538461538464</v>
      </c>
      <c r="S28" s="561">
        <v>0.13216473385650632</v>
      </c>
      <c r="T28" s="504"/>
      <c r="U28" s="504"/>
      <c r="V28" s="499"/>
      <c r="W28" s="499"/>
      <c r="X28" s="499"/>
      <c r="Y28" s="499"/>
      <c r="Z28" s="499"/>
      <c r="AA28" s="499"/>
      <c r="AB28" s="499"/>
      <c r="AC28" s="499"/>
      <c r="AD28" s="499"/>
      <c r="AE28" s="499"/>
      <c r="AF28" s="499"/>
      <c r="AG28" s="499"/>
      <c r="AH28" s="499"/>
      <c r="AI28" s="499"/>
      <c r="AJ28" s="499"/>
      <c r="AK28" s="499"/>
      <c r="AL28" s="499"/>
      <c r="AM28" s="499"/>
      <c r="AN28" s="499"/>
    </row>
    <row r="29" spans="1:40" ht="15.75" customHeight="1" thickTop="1">
      <c r="A29" s="493" t="s">
        <v>0</v>
      </c>
      <c r="B29" s="499" t="s">
        <v>0</v>
      </c>
      <c r="C29" s="538"/>
      <c r="D29" s="562"/>
      <c r="E29" s="562"/>
      <c r="F29" s="563"/>
      <c r="G29" s="564"/>
      <c r="H29" s="562"/>
      <c r="I29" s="563"/>
      <c r="J29" s="564"/>
      <c r="K29" s="562"/>
      <c r="L29" s="563"/>
      <c r="M29" s="526"/>
      <c r="N29" s="527"/>
      <c r="O29" s="564"/>
      <c r="P29" s="562"/>
      <c r="Q29" s="563"/>
      <c r="R29" s="526"/>
      <c r="S29" s="528"/>
      <c r="T29" s="504"/>
      <c r="U29" s="504"/>
      <c r="V29" s="499"/>
      <c r="W29" s="499"/>
      <c r="X29" s="499"/>
      <c r="Y29" s="499"/>
      <c r="Z29" s="499"/>
      <c r="AA29" s="499"/>
      <c r="AB29" s="499"/>
      <c r="AC29" s="499"/>
      <c r="AD29" s="499"/>
      <c r="AE29" s="499"/>
      <c r="AF29" s="499"/>
      <c r="AG29" s="499"/>
      <c r="AH29" s="499"/>
      <c r="AI29" s="499"/>
      <c r="AJ29" s="499"/>
      <c r="AK29" s="499"/>
      <c r="AL29" s="499"/>
      <c r="AM29" s="499"/>
      <c r="AN29" s="499"/>
    </row>
    <row r="30" spans="1:40" ht="15.75" customHeight="1">
      <c r="A30" s="493" t="s">
        <v>246</v>
      </c>
      <c r="B30" s="499" t="s">
        <v>0</v>
      </c>
      <c r="C30" s="80" t="s">
        <v>31</v>
      </c>
      <c r="D30" s="504"/>
      <c r="E30" s="81"/>
      <c r="F30" s="545"/>
      <c r="G30" s="525"/>
      <c r="H30" s="81"/>
      <c r="I30" s="545"/>
      <c r="J30" s="525"/>
      <c r="K30" s="81"/>
      <c r="L30" s="524"/>
      <c r="M30" s="525"/>
      <c r="N30" s="524"/>
      <c r="O30" s="525"/>
      <c r="P30" s="81"/>
      <c r="Q30" s="524"/>
      <c r="R30" s="525"/>
      <c r="S30" s="547"/>
      <c r="T30" s="504"/>
      <c r="U30" s="504"/>
      <c r="V30" s="499"/>
      <c r="W30" s="499"/>
      <c r="X30" s="499"/>
      <c r="Y30" s="499"/>
      <c r="Z30" s="499"/>
      <c r="AA30" s="499"/>
      <c r="AB30" s="499"/>
      <c r="AC30" s="499"/>
      <c r="AD30" s="499"/>
      <c r="AE30" s="499"/>
      <c r="AF30" s="499"/>
      <c r="AG30" s="499"/>
      <c r="AH30" s="499"/>
      <c r="AI30" s="499"/>
      <c r="AJ30" s="499"/>
      <c r="AK30" s="499"/>
      <c r="AL30" s="499"/>
      <c r="AM30" s="499"/>
      <c r="AN30" s="499"/>
    </row>
    <row r="31" spans="1:40" ht="15.75" customHeight="1">
      <c r="A31" s="493" t="s">
        <v>247</v>
      </c>
      <c r="B31" s="499" t="s">
        <v>0</v>
      </c>
      <c r="C31" s="513" t="s">
        <v>32</v>
      </c>
      <c r="D31" s="491">
        <v>0.32744374157023609</v>
      </c>
      <c r="E31" s="565">
        <v>619.7384843608047</v>
      </c>
      <c r="F31" s="514">
        <v>45197.602331720766</v>
      </c>
      <c r="G31" s="566">
        <v>0.32744374157023609</v>
      </c>
      <c r="H31" s="565">
        <v>619.7384843608047</v>
      </c>
      <c r="I31" s="514">
        <v>45197.602331720766</v>
      </c>
      <c r="J31" s="566">
        <v>0.27269476756390859</v>
      </c>
      <c r="K31" s="565">
        <v>956.86767857142854</v>
      </c>
      <c r="L31" s="514">
        <v>53584.59</v>
      </c>
      <c r="M31" s="525"/>
      <c r="N31" s="545">
        <v>8386.987668279231</v>
      </c>
      <c r="O31" s="525"/>
      <c r="P31" s="565">
        <v>611.33367816091948</v>
      </c>
      <c r="Q31" s="517">
        <v>53186.03</v>
      </c>
      <c r="R31" s="525"/>
      <c r="S31" s="567">
        <v>398.55999999999767</v>
      </c>
      <c r="T31" s="504"/>
      <c r="U31" s="504"/>
      <c r="V31" s="499"/>
      <c r="W31" s="499"/>
      <c r="X31" s="499"/>
      <c r="Y31" s="499"/>
      <c r="Z31" s="499"/>
      <c r="AA31" s="499"/>
      <c r="AB31" s="499"/>
      <c r="AC31" s="499"/>
      <c r="AD31" s="499"/>
      <c r="AE31" s="499"/>
      <c r="AF31" s="499"/>
      <c r="AG31" s="499"/>
      <c r="AH31" s="499"/>
      <c r="AI31" s="499"/>
      <c r="AJ31" s="499"/>
      <c r="AK31" s="499"/>
      <c r="AL31" s="499"/>
      <c r="AM31" s="499"/>
      <c r="AN31" s="499"/>
    </row>
    <row r="32" spans="1:40" ht="15.75" customHeight="1">
      <c r="A32" s="493" t="s">
        <v>248</v>
      </c>
      <c r="B32" s="499" t="s">
        <v>0</v>
      </c>
      <c r="C32" s="568" t="s">
        <v>33</v>
      </c>
      <c r="D32" s="492">
        <v>0.3</v>
      </c>
      <c r="E32" s="569">
        <v>254.99999999999994</v>
      </c>
      <c r="F32" s="508">
        <v>18597.180722891564</v>
      </c>
      <c r="G32" s="570">
        <v>0.3</v>
      </c>
      <c r="H32" s="571">
        <v>254.99999999999994</v>
      </c>
      <c r="I32" s="508">
        <v>18597.180722891564</v>
      </c>
      <c r="J32" s="572">
        <v>0.33398224577949209</v>
      </c>
      <c r="K32" s="569">
        <v>397.28392857142859</v>
      </c>
      <c r="L32" s="508">
        <v>22247.9</v>
      </c>
      <c r="M32" s="509"/>
      <c r="N32" s="573">
        <v>3650.7192771084374</v>
      </c>
      <c r="O32" s="509"/>
      <c r="P32" s="569">
        <v>240.78988505747128</v>
      </c>
      <c r="Q32" s="508">
        <v>20948.72</v>
      </c>
      <c r="R32" s="509"/>
      <c r="S32" s="574">
        <v>1299.1800000000003</v>
      </c>
      <c r="T32" s="504"/>
      <c r="U32" s="504">
        <v>0.29132499624550934</v>
      </c>
      <c r="V32" s="499" t="s">
        <v>497</v>
      </c>
      <c r="W32" s="499"/>
      <c r="X32" s="499"/>
      <c r="Y32" s="499"/>
      <c r="Z32" s="499"/>
      <c r="AA32" s="499"/>
      <c r="AB32" s="499"/>
      <c r="AC32" s="499"/>
      <c r="AD32" s="499"/>
      <c r="AE32" s="499"/>
      <c r="AF32" s="499"/>
      <c r="AG32" s="499"/>
      <c r="AH32" s="499"/>
      <c r="AI32" s="499"/>
      <c r="AJ32" s="499"/>
      <c r="AK32" s="499"/>
      <c r="AL32" s="499"/>
      <c r="AM32" s="499"/>
      <c r="AN32" s="499"/>
    </row>
    <row r="33" spans="1:40" ht="15.75" customHeight="1">
      <c r="A33" s="493" t="s">
        <v>249</v>
      </c>
      <c r="B33" s="499" t="s">
        <v>0</v>
      </c>
      <c r="C33" s="513" t="s">
        <v>34</v>
      </c>
      <c r="D33" s="82"/>
      <c r="E33" s="565">
        <v>167.84930226439229</v>
      </c>
      <c r="F33" s="514">
        <v>12241.269836949632</v>
      </c>
      <c r="G33" s="84"/>
      <c r="H33" s="565">
        <v>167.84930226439229</v>
      </c>
      <c r="I33" s="514">
        <v>12241.269836949632</v>
      </c>
      <c r="J33" s="525"/>
      <c r="K33" s="565">
        <v>83.595178571428576</v>
      </c>
      <c r="L33" s="514">
        <v>4681.33</v>
      </c>
      <c r="M33" s="525"/>
      <c r="N33" s="545">
        <v>-7559.9398369496321</v>
      </c>
      <c r="O33" s="525"/>
      <c r="P33" s="565">
        <v>74.750689655172422</v>
      </c>
      <c r="Q33" s="517">
        <v>6503.31</v>
      </c>
      <c r="R33" s="525"/>
      <c r="S33" s="567">
        <v>-1821.9800000000005</v>
      </c>
      <c r="T33" s="504"/>
      <c r="U33" s="504"/>
      <c r="V33" s="499"/>
      <c r="W33" s="499"/>
      <c r="X33" s="499"/>
      <c r="Y33" s="499"/>
      <c r="Z33" s="499"/>
      <c r="AA33" s="499"/>
      <c r="AB33" s="499"/>
      <c r="AC33" s="499"/>
      <c r="AD33" s="499"/>
      <c r="AE33" s="499"/>
      <c r="AF33" s="499"/>
      <c r="AG33" s="499"/>
      <c r="AH33" s="499"/>
      <c r="AI33" s="499"/>
      <c r="AJ33" s="499"/>
      <c r="AK33" s="499"/>
      <c r="AL33" s="499"/>
      <c r="AM33" s="499"/>
      <c r="AN33" s="499"/>
    </row>
    <row r="34" spans="1:40" ht="15.75" customHeight="1">
      <c r="A34" s="493" t="s">
        <v>250</v>
      </c>
      <c r="B34" s="499" t="s">
        <v>0</v>
      </c>
      <c r="C34" s="513" t="s">
        <v>35</v>
      </c>
      <c r="D34" s="82"/>
      <c r="E34" s="565">
        <v>7.3548076275245791</v>
      </c>
      <c r="F34" s="514">
        <v>536.38700639676847</v>
      </c>
      <c r="G34" s="84"/>
      <c r="H34" s="565">
        <v>7.3548076275245791</v>
      </c>
      <c r="I34" s="514">
        <v>536.38700639676847</v>
      </c>
      <c r="J34" s="525"/>
      <c r="K34" s="565">
        <v>10.361964285714285</v>
      </c>
      <c r="L34" s="514">
        <v>580.27</v>
      </c>
      <c r="M34" s="525"/>
      <c r="N34" s="545">
        <v>43.882993603231512</v>
      </c>
      <c r="O34" s="525"/>
      <c r="P34" s="565">
        <v>6.8565517241379306</v>
      </c>
      <c r="Q34" s="517">
        <v>596.52</v>
      </c>
      <c r="R34" s="525"/>
      <c r="S34" s="567">
        <v>-16.25</v>
      </c>
      <c r="T34" s="504"/>
      <c r="U34" s="504"/>
      <c r="V34" s="537"/>
      <c r="W34" s="499"/>
      <c r="X34" s="499"/>
      <c r="Y34" s="499"/>
      <c r="Z34" s="499"/>
      <c r="AA34" s="499"/>
      <c r="AB34" s="499"/>
      <c r="AC34" s="499"/>
      <c r="AD34" s="499"/>
      <c r="AE34" s="499"/>
      <c r="AF34" s="499"/>
      <c r="AG34" s="499"/>
      <c r="AH34" s="499"/>
      <c r="AI34" s="499"/>
      <c r="AJ34" s="499"/>
      <c r="AK34" s="499"/>
      <c r="AL34" s="499"/>
      <c r="AM34" s="499"/>
      <c r="AN34" s="499"/>
    </row>
    <row r="35" spans="1:40" ht="15.75" customHeight="1">
      <c r="A35" s="493" t="s">
        <v>251</v>
      </c>
      <c r="B35" s="499" t="s">
        <v>0</v>
      </c>
      <c r="C35" s="568" t="s">
        <v>36</v>
      </c>
      <c r="D35" s="89"/>
      <c r="E35" s="569">
        <v>17.733118212476484</v>
      </c>
      <c r="F35" s="508">
        <v>1293.2784477561765</v>
      </c>
      <c r="G35" s="91"/>
      <c r="H35" s="571">
        <v>17.733118212476484</v>
      </c>
      <c r="I35" s="508">
        <v>1293.2784477561765</v>
      </c>
      <c r="J35" s="509"/>
      <c r="K35" s="569">
        <v>66.075178571428566</v>
      </c>
      <c r="L35" s="508">
        <v>3700.21</v>
      </c>
      <c r="M35" s="509"/>
      <c r="N35" s="573">
        <v>2406.9315522438237</v>
      </c>
      <c r="O35" s="509"/>
      <c r="P35" s="569">
        <v>13.448275862068966</v>
      </c>
      <c r="Q35" s="517">
        <v>1170</v>
      </c>
      <c r="R35" s="509"/>
      <c r="S35" s="574">
        <v>2530.21</v>
      </c>
      <c r="T35" s="504"/>
      <c r="U35" s="504"/>
      <c r="V35" s="499"/>
      <c r="W35" s="537"/>
      <c r="X35" s="499"/>
      <c r="Y35" s="499"/>
      <c r="Z35" s="499"/>
      <c r="AA35" s="499"/>
      <c r="AB35" s="499"/>
      <c r="AC35" s="499"/>
      <c r="AD35" s="499"/>
      <c r="AE35" s="499"/>
      <c r="AF35" s="499"/>
      <c r="AG35" s="499"/>
      <c r="AH35" s="499"/>
      <c r="AI35" s="499"/>
      <c r="AJ35" s="499"/>
      <c r="AK35" s="499"/>
      <c r="AL35" s="499"/>
      <c r="AM35" s="499"/>
      <c r="AN35" s="499"/>
    </row>
    <row r="36" spans="1:40" ht="15.75" customHeight="1">
      <c r="A36" s="493" t="s">
        <v>252</v>
      </c>
      <c r="B36" s="499" t="s">
        <v>0</v>
      </c>
      <c r="C36" s="513" t="s">
        <v>37</v>
      </c>
      <c r="D36" s="82"/>
      <c r="E36" s="565">
        <v>195.93765281173594</v>
      </c>
      <c r="F36" s="514">
        <v>14289.756626506025</v>
      </c>
      <c r="G36" s="84"/>
      <c r="H36" s="565">
        <v>195.93765281173594</v>
      </c>
      <c r="I36" s="514">
        <v>14289.756626506025</v>
      </c>
      <c r="J36" s="525"/>
      <c r="K36" s="565">
        <v>151.55625000000001</v>
      </c>
      <c r="L36" s="575">
        <v>8487.15</v>
      </c>
      <c r="M36" s="504"/>
      <c r="N36" s="545">
        <v>-5802.6066265060253</v>
      </c>
      <c r="O36" s="525"/>
      <c r="P36" s="565">
        <v>119.94091954022988</v>
      </c>
      <c r="Q36" s="540">
        <v>10434.86</v>
      </c>
      <c r="R36" s="525"/>
      <c r="S36" s="567">
        <v>-1947.7100000000009</v>
      </c>
      <c r="T36" s="504"/>
      <c r="U36" s="504"/>
      <c r="V36" s="499"/>
      <c r="W36" s="499"/>
      <c r="X36" s="499"/>
      <c r="Y36" s="499"/>
      <c r="Z36" s="499"/>
      <c r="AA36" s="499"/>
      <c r="AB36" s="499"/>
      <c r="AC36" s="499"/>
      <c r="AD36" s="499"/>
      <c r="AE36" s="499"/>
      <c r="AF36" s="499"/>
      <c r="AG36" s="499"/>
      <c r="AH36" s="499"/>
      <c r="AI36" s="499"/>
      <c r="AJ36" s="499"/>
      <c r="AK36" s="499"/>
      <c r="AL36" s="499"/>
      <c r="AM36" s="499"/>
      <c r="AN36" s="499"/>
    </row>
    <row r="37" spans="1:40" ht="15.75" customHeight="1">
      <c r="A37" s="493" t="s">
        <v>253</v>
      </c>
      <c r="B37" s="499" t="s">
        <v>0</v>
      </c>
      <c r="C37" s="513" t="s">
        <v>38</v>
      </c>
      <c r="D37" s="82"/>
      <c r="E37" s="565">
        <v>95.743291953600405</v>
      </c>
      <c r="F37" s="514">
        <v>6982.569817512458</v>
      </c>
      <c r="G37" s="84"/>
      <c r="H37" s="565">
        <v>95.743291953600405</v>
      </c>
      <c r="I37" s="514">
        <v>6982.569817512458</v>
      </c>
      <c r="J37" s="525"/>
      <c r="K37" s="565">
        <v>4.1001785714285717</v>
      </c>
      <c r="L37" s="576">
        <v>229.61</v>
      </c>
      <c r="M37" s="504"/>
      <c r="N37" s="545">
        <v>-6752.9598175124584</v>
      </c>
      <c r="O37" s="525"/>
      <c r="P37" s="565">
        <v>161.06482758620689</v>
      </c>
      <c r="Q37" s="517">
        <v>14012.64</v>
      </c>
      <c r="R37" s="525"/>
      <c r="S37" s="567">
        <v>-13783.029999999999</v>
      </c>
      <c r="T37" s="504"/>
      <c r="U37" s="504"/>
      <c r="V37" s="499"/>
      <c r="W37" s="499"/>
      <c r="X37" s="499"/>
      <c r="Y37" s="499"/>
      <c r="Z37" s="499"/>
      <c r="AA37" s="499"/>
      <c r="AB37" s="499"/>
      <c r="AC37" s="499"/>
      <c r="AD37" s="499"/>
      <c r="AE37" s="499"/>
      <c r="AF37" s="499"/>
      <c r="AG37" s="499"/>
      <c r="AH37" s="499"/>
      <c r="AI37" s="499"/>
      <c r="AJ37" s="499"/>
      <c r="AK37" s="499"/>
      <c r="AL37" s="499"/>
      <c r="AM37" s="499"/>
      <c r="AN37" s="499"/>
    </row>
    <row r="38" spans="1:40" ht="15.75" hidden="1" customHeight="1">
      <c r="A38" s="493" t="s">
        <v>236</v>
      </c>
      <c r="B38" s="499" t="s">
        <v>0</v>
      </c>
      <c r="C38" s="513" t="s">
        <v>21</v>
      </c>
      <c r="D38" s="82"/>
      <c r="E38" s="565">
        <v>0</v>
      </c>
      <c r="F38" s="514">
        <v>0</v>
      </c>
      <c r="G38" s="84"/>
      <c r="H38" s="565">
        <v>0</v>
      </c>
      <c r="I38" s="514">
        <v>0</v>
      </c>
      <c r="J38" s="525"/>
      <c r="K38" s="565">
        <v>0</v>
      </c>
      <c r="L38" s="576">
        <v>0</v>
      </c>
      <c r="M38" s="504"/>
      <c r="N38" s="545">
        <v>0</v>
      </c>
      <c r="O38" s="525"/>
      <c r="P38" s="565">
        <v>0</v>
      </c>
      <c r="Q38" s="517">
        <v>0</v>
      </c>
      <c r="R38" s="525"/>
      <c r="S38" s="567">
        <v>0</v>
      </c>
      <c r="T38" s="504"/>
      <c r="U38" s="504"/>
      <c r="V38" s="499"/>
      <c r="W38" s="499"/>
      <c r="X38" s="499"/>
      <c r="Y38" s="499"/>
      <c r="Z38" s="499"/>
      <c r="AA38" s="499"/>
      <c r="AB38" s="499"/>
      <c r="AC38" s="499"/>
      <c r="AD38" s="499"/>
      <c r="AE38" s="499"/>
      <c r="AF38" s="499"/>
      <c r="AG38" s="499"/>
      <c r="AH38" s="499"/>
      <c r="AI38" s="499"/>
      <c r="AJ38" s="499"/>
      <c r="AK38" s="499"/>
      <c r="AL38" s="499"/>
      <c r="AM38" s="499"/>
      <c r="AN38" s="499"/>
    </row>
    <row r="39" spans="1:40" ht="15.75" hidden="1" customHeight="1">
      <c r="A39" s="493" t="s">
        <v>236</v>
      </c>
      <c r="B39" s="499" t="s">
        <v>0</v>
      </c>
      <c r="C39" s="513" t="s">
        <v>21</v>
      </c>
      <c r="D39" s="82"/>
      <c r="E39" s="565">
        <v>0</v>
      </c>
      <c r="F39" s="514">
        <v>0</v>
      </c>
      <c r="G39" s="84"/>
      <c r="H39" s="565">
        <v>0</v>
      </c>
      <c r="I39" s="514">
        <v>0</v>
      </c>
      <c r="J39" s="525"/>
      <c r="K39" s="565">
        <v>0</v>
      </c>
      <c r="L39" s="576">
        <v>0</v>
      </c>
      <c r="M39" s="504"/>
      <c r="N39" s="545">
        <v>0</v>
      </c>
      <c r="O39" s="525"/>
      <c r="P39" s="565">
        <v>0</v>
      </c>
      <c r="Q39" s="517">
        <v>0</v>
      </c>
      <c r="R39" s="525"/>
      <c r="S39" s="567">
        <v>0</v>
      </c>
      <c r="T39" s="504"/>
      <c r="U39" s="504"/>
      <c r="V39" s="499"/>
      <c r="W39" s="499"/>
      <c r="X39" s="499"/>
      <c r="Y39" s="499"/>
      <c r="Z39" s="499"/>
      <c r="AA39" s="499"/>
      <c r="AB39" s="499"/>
      <c r="AC39" s="499"/>
      <c r="AD39" s="499"/>
      <c r="AE39" s="499"/>
      <c r="AF39" s="499"/>
      <c r="AG39" s="499"/>
      <c r="AH39" s="499"/>
      <c r="AI39" s="499"/>
      <c r="AJ39" s="499"/>
      <c r="AK39" s="499"/>
      <c r="AL39" s="499"/>
      <c r="AM39" s="499"/>
      <c r="AN39" s="499"/>
    </row>
    <row r="40" spans="1:40" ht="15.75" hidden="1" customHeight="1">
      <c r="A40" s="493" t="s">
        <v>236</v>
      </c>
      <c r="B40" s="499" t="s">
        <v>0</v>
      </c>
      <c r="C40" s="513" t="s">
        <v>21</v>
      </c>
      <c r="D40" s="82"/>
      <c r="E40" s="565">
        <v>0</v>
      </c>
      <c r="F40" s="514">
        <v>0</v>
      </c>
      <c r="G40" s="84"/>
      <c r="H40" s="565">
        <v>0</v>
      </c>
      <c r="I40" s="514">
        <v>0</v>
      </c>
      <c r="J40" s="525"/>
      <c r="K40" s="565">
        <v>0</v>
      </c>
      <c r="L40" s="577">
        <v>0</v>
      </c>
      <c r="M40" s="504"/>
      <c r="N40" s="545">
        <v>0</v>
      </c>
      <c r="O40" s="525"/>
      <c r="P40" s="565">
        <v>0</v>
      </c>
      <c r="Q40" s="517">
        <v>0</v>
      </c>
      <c r="R40" s="525"/>
      <c r="S40" s="567">
        <v>0</v>
      </c>
      <c r="T40" s="504"/>
      <c r="U40" s="504"/>
      <c r="V40" s="499"/>
      <c r="W40" s="499"/>
      <c r="X40" s="499"/>
      <c r="Y40" s="499"/>
      <c r="Z40" s="499"/>
      <c r="AA40" s="499"/>
      <c r="AB40" s="499"/>
      <c r="AC40" s="499"/>
      <c r="AD40" s="499"/>
      <c r="AE40" s="499"/>
      <c r="AF40" s="499"/>
      <c r="AG40" s="499"/>
      <c r="AH40" s="499"/>
      <c r="AI40" s="499"/>
      <c r="AJ40" s="499"/>
      <c r="AK40" s="499"/>
      <c r="AL40" s="499"/>
      <c r="AM40" s="499"/>
      <c r="AN40" s="499"/>
    </row>
    <row r="41" spans="1:40" ht="15.75" customHeight="1">
      <c r="A41" s="493" t="s">
        <v>254</v>
      </c>
      <c r="B41" s="499" t="s">
        <v>0</v>
      </c>
      <c r="C41" s="578" t="s">
        <v>39</v>
      </c>
      <c r="D41" s="97" t="s">
        <v>40</v>
      </c>
      <c r="E41" s="579">
        <v>0.47070757235999788</v>
      </c>
      <c r="F41" s="580">
        <v>99138.044789733394</v>
      </c>
      <c r="G41" s="100" t="s">
        <v>40</v>
      </c>
      <c r="H41" s="579">
        <v>0.47070757235999788</v>
      </c>
      <c r="I41" s="580">
        <v>99138.044789733394</v>
      </c>
      <c r="J41" s="100" t="s">
        <v>40</v>
      </c>
      <c r="K41" s="579">
        <v>0.33848274215476198</v>
      </c>
      <c r="L41" s="580">
        <v>93511.06</v>
      </c>
      <c r="M41" s="581"/>
      <c r="N41" s="580">
        <v>-5626.9847897333966</v>
      </c>
      <c r="O41" s="100" t="s">
        <v>40</v>
      </c>
      <c r="P41" s="579">
        <v>0.43789113603059993</v>
      </c>
      <c r="Q41" s="582">
        <v>106852.08</v>
      </c>
      <c r="R41" s="583"/>
      <c r="S41" s="584">
        <v>-13341.020000000004</v>
      </c>
      <c r="T41" s="504"/>
      <c r="U41" s="504"/>
      <c r="V41" s="499"/>
      <c r="W41" s="499"/>
      <c r="X41" s="499"/>
      <c r="Y41" s="499"/>
      <c r="Z41" s="499"/>
      <c r="AA41" s="499"/>
      <c r="AB41" s="499"/>
      <c r="AC41" s="499"/>
      <c r="AD41" s="499"/>
      <c r="AE41" s="499"/>
      <c r="AF41" s="499"/>
      <c r="AG41" s="499"/>
      <c r="AH41" s="499"/>
      <c r="AI41" s="499"/>
      <c r="AJ41" s="499"/>
      <c r="AK41" s="499"/>
      <c r="AL41" s="499"/>
      <c r="AM41" s="499"/>
      <c r="AN41" s="499"/>
    </row>
    <row r="42" spans="1:40" ht="15.75" customHeight="1">
      <c r="A42" s="493" t="s">
        <v>255</v>
      </c>
      <c r="B42" s="499" t="s">
        <v>0</v>
      </c>
      <c r="C42" s="585" t="s">
        <v>42</v>
      </c>
      <c r="D42" s="504"/>
      <c r="E42" s="504"/>
      <c r="F42" s="514">
        <v>15886.260919540229</v>
      </c>
      <c r="G42" s="525"/>
      <c r="H42" s="504"/>
      <c r="I42" s="514">
        <v>15886.260919540229</v>
      </c>
      <c r="J42" s="525"/>
      <c r="K42" s="504"/>
      <c r="L42" s="517">
        <v>17258.29</v>
      </c>
      <c r="M42" s="525"/>
      <c r="N42" s="545">
        <v>1372.0290804597716</v>
      </c>
      <c r="O42" s="525"/>
      <c r="P42" s="504"/>
      <c r="Q42" s="517">
        <v>21334.91</v>
      </c>
      <c r="R42" s="525"/>
      <c r="S42" s="567">
        <v>-4076.619999999999</v>
      </c>
      <c r="T42" s="504"/>
      <c r="U42" s="504"/>
      <c r="V42" s="504"/>
      <c r="W42" s="504"/>
      <c r="X42" s="504"/>
      <c r="Y42" s="504"/>
      <c r="Z42" s="504"/>
      <c r="AA42" s="504"/>
      <c r="AB42" s="504"/>
      <c r="AC42" s="504"/>
      <c r="AD42" s="504"/>
      <c r="AE42" s="504"/>
      <c r="AF42" s="504"/>
      <c r="AG42" s="504"/>
      <c r="AH42" s="504"/>
      <c r="AI42" s="504"/>
      <c r="AJ42" s="504"/>
      <c r="AK42" s="504"/>
      <c r="AL42" s="504"/>
      <c r="AM42" s="504"/>
      <c r="AN42" s="504"/>
    </row>
    <row r="43" spans="1:40" ht="15.75" customHeight="1">
      <c r="A43" s="493" t="s">
        <v>257</v>
      </c>
      <c r="B43" s="499" t="s">
        <v>0</v>
      </c>
      <c r="C43" s="586" t="s">
        <v>43</v>
      </c>
      <c r="D43" s="82"/>
      <c r="E43" s="504"/>
      <c r="F43" s="508">
        <v>9822.0277770344837</v>
      </c>
      <c r="G43" s="84"/>
      <c r="H43" s="504"/>
      <c r="I43" s="508">
        <v>9822.0277770344837</v>
      </c>
      <c r="J43" s="525"/>
      <c r="K43" s="504"/>
      <c r="L43" s="517">
        <v>7489.24</v>
      </c>
      <c r="M43" s="525"/>
      <c r="N43" s="545">
        <v>-2332.787777034484</v>
      </c>
      <c r="O43" s="525"/>
      <c r="P43" s="504"/>
      <c r="Q43" s="517">
        <v>9816.59</v>
      </c>
      <c r="R43" s="525"/>
      <c r="S43" s="567">
        <v>-2327.3500000000004</v>
      </c>
      <c r="T43" s="504"/>
      <c r="U43" s="504"/>
      <c r="V43" s="499"/>
      <c r="W43" s="499"/>
      <c r="X43" s="499"/>
      <c r="Y43" s="499"/>
      <c r="Z43" s="499"/>
      <c r="AA43" s="499"/>
      <c r="AB43" s="499"/>
      <c r="AC43" s="499"/>
      <c r="AD43" s="499"/>
      <c r="AE43" s="499"/>
      <c r="AF43" s="499"/>
      <c r="AG43" s="499"/>
      <c r="AH43" s="499"/>
      <c r="AI43" s="499"/>
      <c r="AJ43" s="499"/>
      <c r="AK43" s="499"/>
      <c r="AL43" s="499"/>
      <c r="AM43" s="499"/>
      <c r="AN43" s="499"/>
    </row>
    <row r="44" spans="1:40" ht="15.75" customHeight="1">
      <c r="A44" s="493" t="s">
        <v>258</v>
      </c>
      <c r="B44" s="499" t="s">
        <v>0</v>
      </c>
      <c r="C44" s="585" t="s">
        <v>44</v>
      </c>
      <c r="D44" s="107"/>
      <c r="E44" s="587"/>
      <c r="F44" s="514">
        <v>8921.4021694406129</v>
      </c>
      <c r="G44" s="109"/>
      <c r="H44" s="587"/>
      <c r="I44" s="514">
        <v>8921.4021694406129</v>
      </c>
      <c r="J44" s="588"/>
      <c r="K44" s="587"/>
      <c r="L44" s="589">
        <v>3923.31</v>
      </c>
      <c r="M44" s="588"/>
      <c r="N44" s="590">
        <v>-4998.0921694406134</v>
      </c>
      <c r="O44" s="588"/>
      <c r="P44" s="587"/>
      <c r="Q44" s="589">
        <v>8653.41</v>
      </c>
      <c r="R44" s="588"/>
      <c r="S44" s="591">
        <v>-4730.1000000000004</v>
      </c>
      <c r="T44" s="504"/>
      <c r="U44" s="504"/>
      <c r="V44" s="499"/>
      <c r="W44" s="499"/>
      <c r="X44" s="499"/>
      <c r="Y44" s="499"/>
      <c r="Z44" s="499"/>
      <c r="AA44" s="499"/>
      <c r="AB44" s="499"/>
      <c r="AC44" s="499"/>
      <c r="AD44" s="499"/>
      <c r="AE44" s="499"/>
      <c r="AF44" s="499"/>
      <c r="AG44" s="499"/>
      <c r="AH44" s="499"/>
      <c r="AI44" s="499"/>
      <c r="AJ44" s="499"/>
      <c r="AK44" s="499"/>
      <c r="AL44" s="499"/>
      <c r="AM44" s="499"/>
      <c r="AN44" s="499"/>
    </row>
    <row r="45" spans="1:40" ht="15.75" customHeight="1">
      <c r="A45" s="493" t="s">
        <v>259</v>
      </c>
      <c r="B45" s="499" t="s">
        <v>0</v>
      </c>
      <c r="C45" s="585" t="s">
        <v>45</v>
      </c>
      <c r="D45" s="82"/>
      <c r="E45" s="504"/>
      <c r="F45" s="514">
        <v>0</v>
      </c>
      <c r="G45" s="84"/>
      <c r="H45" s="504"/>
      <c r="I45" s="514">
        <v>0</v>
      </c>
      <c r="J45" s="525"/>
      <c r="K45" s="504"/>
      <c r="L45" s="517">
        <v>0</v>
      </c>
      <c r="M45" s="525"/>
      <c r="N45" s="545">
        <v>0</v>
      </c>
      <c r="O45" s="525"/>
      <c r="P45" s="504"/>
      <c r="Q45" s="517">
        <v>0</v>
      </c>
      <c r="R45" s="525"/>
      <c r="S45" s="567">
        <v>0</v>
      </c>
      <c r="T45" s="504"/>
      <c r="U45" s="504"/>
      <c r="V45" s="499"/>
      <c r="W45" s="499"/>
      <c r="X45" s="499"/>
      <c r="Y45" s="499"/>
      <c r="Z45" s="499"/>
      <c r="AA45" s="499"/>
      <c r="AB45" s="499"/>
      <c r="AC45" s="499"/>
      <c r="AD45" s="499"/>
      <c r="AE45" s="499"/>
      <c r="AF45" s="499"/>
      <c r="AG45" s="499"/>
      <c r="AH45" s="499"/>
      <c r="AI45" s="499"/>
      <c r="AJ45" s="499"/>
      <c r="AK45" s="499"/>
      <c r="AL45" s="499"/>
      <c r="AM45" s="499"/>
      <c r="AN45" s="499"/>
    </row>
    <row r="46" spans="1:40" ht="15.75" hidden="1" customHeight="1">
      <c r="A46" s="493" t="s">
        <v>236</v>
      </c>
      <c r="B46" s="499" t="s">
        <v>0</v>
      </c>
      <c r="C46" s="585" t="s">
        <v>21</v>
      </c>
      <c r="D46" s="82"/>
      <c r="E46" s="504"/>
      <c r="F46" s="514">
        <v>0</v>
      </c>
      <c r="G46" s="84"/>
      <c r="H46" s="504"/>
      <c r="I46" s="514">
        <v>0</v>
      </c>
      <c r="J46" s="525"/>
      <c r="K46" s="504"/>
      <c r="L46" s="517">
        <v>0</v>
      </c>
      <c r="M46" s="525"/>
      <c r="N46" s="545">
        <v>0</v>
      </c>
      <c r="O46" s="525"/>
      <c r="P46" s="504"/>
      <c r="Q46" s="517">
        <v>0</v>
      </c>
      <c r="R46" s="525"/>
      <c r="S46" s="567">
        <v>0</v>
      </c>
      <c r="T46" s="504"/>
      <c r="U46" s="504"/>
      <c r="V46" s="499"/>
      <c r="W46" s="499"/>
      <c r="X46" s="499"/>
      <c r="Y46" s="499"/>
      <c r="Z46" s="499"/>
      <c r="AA46" s="499"/>
      <c r="AB46" s="499"/>
      <c r="AC46" s="499"/>
      <c r="AD46" s="499"/>
      <c r="AE46" s="499"/>
      <c r="AF46" s="499"/>
      <c r="AG46" s="499"/>
      <c r="AH46" s="499"/>
      <c r="AI46" s="499"/>
      <c r="AJ46" s="499"/>
      <c r="AK46" s="499"/>
      <c r="AL46" s="499"/>
      <c r="AM46" s="499"/>
      <c r="AN46" s="499"/>
    </row>
    <row r="47" spans="1:40" ht="15.75" hidden="1" customHeight="1">
      <c r="A47" s="493" t="s">
        <v>236</v>
      </c>
      <c r="B47" s="499" t="s">
        <v>0</v>
      </c>
      <c r="C47" s="585" t="s">
        <v>21</v>
      </c>
      <c r="D47" s="82"/>
      <c r="E47" s="504"/>
      <c r="F47" s="514">
        <v>0</v>
      </c>
      <c r="G47" s="84"/>
      <c r="H47" s="504"/>
      <c r="I47" s="514">
        <v>0</v>
      </c>
      <c r="J47" s="525"/>
      <c r="K47" s="504"/>
      <c r="L47" s="517">
        <v>0</v>
      </c>
      <c r="M47" s="525"/>
      <c r="N47" s="545">
        <v>0</v>
      </c>
      <c r="O47" s="525"/>
      <c r="P47" s="504"/>
      <c r="Q47" s="517">
        <v>0</v>
      </c>
      <c r="R47" s="525"/>
      <c r="S47" s="567">
        <v>0</v>
      </c>
      <c r="T47" s="504"/>
      <c r="U47" s="504"/>
      <c r="V47" s="499"/>
      <c r="W47" s="499"/>
      <c r="X47" s="499"/>
      <c r="Y47" s="499"/>
      <c r="Z47" s="499"/>
      <c r="AA47" s="499"/>
      <c r="AB47" s="499"/>
      <c r="AC47" s="499"/>
      <c r="AD47" s="499"/>
      <c r="AE47" s="499"/>
      <c r="AF47" s="499"/>
      <c r="AG47" s="499"/>
      <c r="AH47" s="499"/>
      <c r="AI47" s="499"/>
      <c r="AJ47" s="499"/>
      <c r="AK47" s="499"/>
      <c r="AL47" s="499"/>
      <c r="AM47" s="499"/>
      <c r="AN47" s="499"/>
    </row>
    <row r="48" spans="1:40" ht="15.75" hidden="1" customHeight="1">
      <c r="A48" s="493" t="s">
        <v>236</v>
      </c>
      <c r="B48" s="499" t="s">
        <v>0</v>
      </c>
      <c r="C48" s="585" t="s">
        <v>21</v>
      </c>
      <c r="D48" s="82"/>
      <c r="E48" s="504"/>
      <c r="F48" s="514">
        <v>0</v>
      </c>
      <c r="G48" s="84"/>
      <c r="H48" s="504"/>
      <c r="I48" s="514">
        <v>0</v>
      </c>
      <c r="J48" s="525"/>
      <c r="K48" s="504"/>
      <c r="L48" s="517">
        <v>0</v>
      </c>
      <c r="M48" s="525"/>
      <c r="N48" s="545">
        <v>0</v>
      </c>
      <c r="O48" s="525"/>
      <c r="P48" s="504"/>
      <c r="Q48" s="517">
        <v>0</v>
      </c>
      <c r="R48" s="525"/>
      <c r="S48" s="567">
        <v>0</v>
      </c>
      <c r="T48" s="504"/>
      <c r="U48" s="504"/>
      <c r="V48" s="499"/>
      <c r="W48" s="499"/>
      <c r="X48" s="499"/>
      <c r="Y48" s="499"/>
      <c r="Z48" s="499"/>
      <c r="AA48" s="499"/>
      <c r="AB48" s="499"/>
      <c r="AC48" s="499"/>
      <c r="AD48" s="499"/>
      <c r="AE48" s="499"/>
      <c r="AF48" s="499"/>
      <c r="AG48" s="499"/>
      <c r="AH48" s="499"/>
      <c r="AI48" s="499"/>
      <c r="AJ48" s="499"/>
      <c r="AK48" s="499"/>
      <c r="AL48" s="499"/>
      <c r="AM48" s="499"/>
      <c r="AN48" s="499"/>
    </row>
    <row r="49" spans="1:40" ht="15.75" customHeight="1">
      <c r="A49" s="493" t="s">
        <v>260</v>
      </c>
      <c r="B49" s="499" t="s">
        <v>0</v>
      </c>
      <c r="C49" s="586" t="s">
        <v>46</v>
      </c>
      <c r="D49" s="82"/>
      <c r="E49" s="504"/>
      <c r="F49" s="508">
        <v>12003.80046228538</v>
      </c>
      <c r="G49" s="84"/>
      <c r="H49" s="504"/>
      <c r="I49" s="508">
        <v>12003.80046228538</v>
      </c>
      <c r="J49" s="525"/>
      <c r="K49" s="504"/>
      <c r="L49" s="508">
        <v>17407.080000000002</v>
      </c>
      <c r="M49" s="525"/>
      <c r="N49" s="545">
        <v>5403.2795377146213</v>
      </c>
      <c r="O49" s="525"/>
      <c r="P49" s="504"/>
      <c r="Q49" s="508">
        <v>15115.93</v>
      </c>
      <c r="R49" s="525"/>
      <c r="S49" s="567">
        <v>2291.1500000000015</v>
      </c>
      <c r="T49" s="504"/>
      <c r="U49" s="504"/>
      <c r="V49" s="504"/>
      <c r="W49" s="504"/>
      <c r="X49" s="504"/>
      <c r="Y49" s="504"/>
      <c r="Z49" s="504"/>
      <c r="AA49" s="504"/>
      <c r="AB49" s="504"/>
      <c r="AC49" s="504"/>
      <c r="AD49" s="504"/>
      <c r="AE49" s="504"/>
      <c r="AF49" s="504"/>
      <c r="AG49" s="504"/>
      <c r="AH49" s="504"/>
      <c r="AI49" s="504"/>
      <c r="AJ49" s="504"/>
      <c r="AK49" s="504"/>
      <c r="AL49" s="504"/>
      <c r="AM49" s="504"/>
      <c r="AN49" s="504"/>
    </row>
    <row r="50" spans="1:40" ht="15.75" customHeight="1">
      <c r="A50" s="493" t="s">
        <v>261</v>
      </c>
      <c r="B50" s="499" t="s">
        <v>0</v>
      </c>
      <c r="C50" s="585" t="s">
        <v>47</v>
      </c>
      <c r="D50" s="107"/>
      <c r="E50" s="587"/>
      <c r="F50" s="514">
        <v>10750.63377229602</v>
      </c>
      <c r="G50" s="109"/>
      <c r="H50" s="587"/>
      <c r="I50" s="514">
        <v>10750.63377229602</v>
      </c>
      <c r="J50" s="588"/>
      <c r="K50" s="587"/>
      <c r="L50" s="517">
        <v>20529.61</v>
      </c>
      <c r="M50" s="588"/>
      <c r="N50" s="590">
        <v>9778.9762277039808</v>
      </c>
      <c r="O50" s="588"/>
      <c r="P50" s="587"/>
      <c r="Q50" s="517">
        <v>12289.25</v>
      </c>
      <c r="R50" s="588"/>
      <c r="S50" s="591">
        <v>8240.36</v>
      </c>
      <c r="T50" s="504"/>
      <c r="U50" s="504"/>
      <c r="V50" s="504"/>
      <c r="W50" s="504"/>
      <c r="X50" s="504"/>
      <c r="Y50" s="504"/>
      <c r="Z50" s="504"/>
      <c r="AA50" s="504"/>
      <c r="AB50" s="504"/>
      <c r="AC50" s="504"/>
      <c r="AD50" s="504"/>
      <c r="AE50" s="504"/>
      <c r="AF50" s="504"/>
      <c r="AG50" s="504"/>
      <c r="AH50" s="504"/>
      <c r="AI50" s="504"/>
      <c r="AJ50" s="504"/>
      <c r="AK50" s="504"/>
      <c r="AL50" s="504"/>
      <c r="AM50" s="504"/>
      <c r="AN50" s="504"/>
    </row>
    <row r="51" spans="1:40" ht="15.75" customHeight="1">
      <c r="A51" s="493" t="s">
        <v>262</v>
      </c>
      <c r="B51" s="499" t="s">
        <v>0</v>
      </c>
      <c r="C51" s="585" t="s">
        <v>48</v>
      </c>
      <c r="D51" s="82"/>
      <c r="E51" s="504"/>
      <c r="F51" s="514">
        <v>8537.2679956468401</v>
      </c>
      <c r="G51" s="84"/>
      <c r="H51" s="504"/>
      <c r="I51" s="514">
        <v>8537.2679956468401</v>
      </c>
      <c r="J51" s="525"/>
      <c r="K51" s="504"/>
      <c r="L51" s="517">
        <v>8891.51</v>
      </c>
      <c r="M51" s="525"/>
      <c r="N51" s="545">
        <v>354.24200435316016</v>
      </c>
      <c r="O51" s="525"/>
      <c r="P51" s="504"/>
      <c r="Q51" s="517">
        <v>8807.2900000000009</v>
      </c>
      <c r="R51" s="525"/>
      <c r="S51" s="567">
        <v>84.219999999999345</v>
      </c>
      <c r="T51" s="504"/>
      <c r="U51" s="504"/>
      <c r="V51" s="504"/>
      <c r="W51" s="504"/>
      <c r="X51" s="504"/>
      <c r="Y51" s="504"/>
      <c r="Z51" s="504"/>
      <c r="AA51" s="504"/>
      <c r="AB51" s="504"/>
      <c r="AC51" s="504"/>
      <c r="AD51" s="504"/>
      <c r="AE51" s="504"/>
      <c r="AF51" s="504"/>
      <c r="AG51" s="504"/>
      <c r="AH51" s="504"/>
      <c r="AI51" s="504"/>
      <c r="AJ51" s="504"/>
      <c r="AK51" s="504"/>
      <c r="AL51" s="504"/>
      <c r="AM51" s="504"/>
      <c r="AN51" s="504"/>
    </row>
    <row r="52" spans="1:40" ht="15.75" customHeight="1">
      <c r="A52" s="493" t="s">
        <v>263</v>
      </c>
      <c r="B52" s="499" t="s">
        <v>0</v>
      </c>
      <c r="C52" s="585" t="s">
        <v>49</v>
      </c>
      <c r="D52" s="82"/>
      <c r="E52" s="504"/>
      <c r="F52" s="514">
        <v>3478.1462204487129</v>
      </c>
      <c r="G52" s="84"/>
      <c r="H52" s="504"/>
      <c r="I52" s="514">
        <v>3478.1462204487129</v>
      </c>
      <c r="J52" s="525"/>
      <c r="K52" s="504"/>
      <c r="L52" s="517">
        <v>6026.16</v>
      </c>
      <c r="M52" s="525"/>
      <c r="N52" s="545">
        <v>2548.0137795512869</v>
      </c>
      <c r="O52" s="525"/>
      <c r="P52" s="504"/>
      <c r="Q52" s="517">
        <v>2048.21</v>
      </c>
      <c r="R52" s="525"/>
      <c r="S52" s="567">
        <v>3977.95</v>
      </c>
      <c r="T52" s="504"/>
      <c r="U52" s="504"/>
      <c r="V52" s="504"/>
      <c r="W52" s="504"/>
      <c r="X52" s="504"/>
      <c r="Y52" s="504"/>
      <c r="Z52" s="504"/>
      <c r="AA52" s="504"/>
      <c r="AB52" s="504"/>
      <c r="AC52" s="504"/>
      <c r="AD52" s="504"/>
      <c r="AE52" s="504"/>
      <c r="AF52" s="504"/>
      <c r="AG52" s="504"/>
      <c r="AH52" s="504"/>
      <c r="AI52" s="504"/>
      <c r="AJ52" s="504"/>
      <c r="AK52" s="504"/>
      <c r="AL52" s="504"/>
      <c r="AM52" s="504"/>
      <c r="AN52" s="504"/>
    </row>
    <row r="53" spans="1:40" ht="15.75" hidden="1" customHeight="1">
      <c r="A53" s="493" t="s">
        <v>236</v>
      </c>
      <c r="B53" s="499" t="s">
        <v>0</v>
      </c>
      <c r="C53" s="513" t="s">
        <v>21</v>
      </c>
      <c r="D53" s="89"/>
      <c r="E53" s="592"/>
      <c r="F53" s="514">
        <v>0</v>
      </c>
      <c r="G53" s="91"/>
      <c r="H53" s="592"/>
      <c r="I53" s="514">
        <v>0</v>
      </c>
      <c r="J53" s="509"/>
      <c r="K53" s="592"/>
      <c r="L53" s="517">
        <v>0</v>
      </c>
      <c r="M53" s="509"/>
      <c r="N53" s="573">
        <v>0</v>
      </c>
      <c r="O53" s="509"/>
      <c r="P53" s="592"/>
      <c r="Q53" s="517">
        <v>0</v>
      </c>
      <c r="R53" s="509"/>
      <c r="S53" s="574">
        <v>0</v>
      </c>
      <c r="T53" s="504"/>
      <c r="U53" s="504"/>
      <c r="V53" s="504"/>
      <c r="W53" s="504"/>
      <c r="X53" s="504"/>
      <c r="Y53" s="504"/>
      <c r="Z53" s="504"/>
      <c r="AA53" s="504"/>
      <c r="AB53" s="504"/>
      <c r="AC53" s="504"/>
      <c r="AD53" s="504"/>
      <c r="AE53" s="504"/>
      <c r="AF53" s="504"/>
      <c r="AG53" s="504"/>
      <c r="AH53" s="504"/>
      <c r="AI53" s="504"/>
      <c r="AJ53" s="504"/>
      <c r="AK53" s="504"/>
      <c r="AL53" s="504"/>
      <c r="AM53" s="504"/>
      <c r="AN53" s="504"/>
    </row>
    <row r="54" spans="1:40" ht="15.75" customHeight="1">
      <c r="A54" s="493" t="s">
        <v>264</v>
      </c>
      <c r="B54" s="499" t="s">
        <v>0</v>
      </c>
      <c r="C54" s="578" t="s">
        <v>50</v>
      </c>
      <c r="D54" s="97" t="s">
        <v>40</v>
      </c>
      <c r="E54" s="579">
        <v>0.32950910766847591</v>
      </c>
      <c r="F54" s="580">
        <v>69399.539316692273</v>
      </c>
      <c r="G54" s="100" t="s">
        <v>40</v>
      </c>
      <c r="H54" s="579">
        <v>0.32950910766847591</v>
      </c>
      <c r="I54" s="580">
        <v>69399.539316692273</v>
      </c>
      <c r="J54" s="100" t="s">
        <v>40</v>
      </c>
      <c r="K54" s="579">
        <v>0.29509742752050294</v>
      </c>
      <c r="L54" s="580">
        <v>81525.2</v>
      </c>
      <c r="M54" s="583"/>
      <c r="N54" s="580">
        <v>12125.660683307724</v>
      </c>
      <c r="O54" s="100" t="s">
        <v>40</v>
      </c>
      <c r="P54" s="579">
        <v>0.31992105244932101</v>
      </c>
      <c r="Q54" s="580">
        <v>78065.590000000011</v>
      </c>
      <c r="R54" s="583"/>
      <c r="S54" s="584">
        <v>3459.6100000000015</v>
      </c>
      <c r="T54" s="565"/>
      <c r="U54" s="504"/>
      <c r="V54" s="499"/>
      <c r="W54" s="499"/>
      <c r="X54" s="499"/>
      <c r="Y54" s="499"/>
      <c r="Z54" s="499"/>
      <c r="AA54" s="499"/>
      <c r="AB54" s="499"/>
      <c r="AC54" s="499"/>
      <c r="AD54" s="499"/>
      <c r="AE54" s="499"/>
      <c r="AF54" s="499"/>
      <c r="AG54" s="499"/>
      <c r="AH54" s="499"/>
      <c r="AI54" s="499"/>
      <c r="AJ54" s="499"/>
      <c r="AK54" s="499"/>
      <c r="AL54" s="499"/>
      <c r="AM54" s="499"/>
      <c r="AN54" s="499"/>
    </row>
    <row r="55" spans="1:40" ht="15.75" customHeight="1">
      <c r="A55" s="493" t="s">
        <v>265</v>
      </c>
      <c r="B55" s="499" t="s">
        <v>0</v>
      </c>
      <c r="C55" s="513" t="s">
        <v>51</v>
      </c>
      <c r="D55" s="82"/>
      <c r="E55" s="504"/>
      <c r="F55" s="514">
        <v>0</v>
      </c>
      <c r="G55" s="84"/>
      <c r="H55" s="504"/>
      <c r="I55" s="514">
        <v>0</v>
      </c>
      <c r="J55" s="525"/>
      <c r="K55" s="504"/>
      <c r="L55" s="517">
        <v>0</v>
      </c>
      <c r="M55" s="525"/>
      <c r="N55" s="545">
        <v>0</v>
      </c>
      <c r="O55" s="525"/>
      <c r="P55" s="504"/>
      <c r="Q55" s="517">
        <v>0</v>
      </c>
      <c r="R55" s="525"/>
      <c r="S55" s="567">
        <v>0</v>
      </c>
      <c r="T55" s="565"/>
      <c r="U55" s="504"/>
      <c r="V55" s="499"/>
      <c r="W55" s="499"/>
      <c r="X55" s="499"/>
      <c r="Y55" s="499"/>
      <c r="Z55" s="499"/>
      <c r="AA55" s="499"/>
      <c r="AB55" s="499"/>
      <c r="AC55" s="499"/>
      <c r="AD55" s="499"/>
      <c r="AE55" s="499"/>
      <c r="AF55" s="499"/>
      <c r="AG55" s="499"/>
      <c r="AH55" s="499"/>
      <c r="AI55" s="499"/>
      <c r="AJ55" s="499"/>
      <c r="AK55" s="499"/>
      <c r="AL55" s="499"/>
      <c r="AM55" s="499"/>
      <c r="AN55" s="499"/>
    </row>
    <row r="56" spans="1:40" ht="15.75" customHeight="1">
      <c r="A56" s="493" t="s">
        <v>266</v>
      </c>
      <c r="B56" s="499" t="s">
        <v>0</v>
      </c>
      <c r="C56" s="513" t="s">
        <v>52</v>
      </c>
      <c r="D56" s="82"/>
      <c r="E56" s="504"/>
      <c r="F56" s="514">
        <v>0</v>
      </c>
      <c r="G56" s="84"/>
      <c r="H56" s="504"/>
      <c r="I56" s="514">
        <v>0</v>
      </c>
      <c r="J56" s="525"/>
      <c r="K56" s="504"/>
      <c r="L56" s="517">
        <v>0</v>
      </c>
      <c r="M56" s="525"/>
      <c r="N56" s="545">
        <v>0</v>
      </c>
      <c r="O56" s="525"/>
      <c r="P56" s="504"/>
      <c r="Q56" s="517">
        <v>0</v>
      </c>
      <c r="R56" s="525"/>
      <c r="S56" s="567">
        <v>0</v>
      </c>
      <c r="T56" s="565"/>
      <c r="U56" s="504"/>
      <c r="V56" s="499"/>
      <c r="W56" s="499"/>
      <c r="X56" s="499"/>
      <c r="Y56" s="499"/>
      <c r="Z56" s="499"/>
      <c r="AA56" s="499"/>
      <c r="AB56" s="499"/>
      <c r="AC56" s="499"/>
      <c r="AD56" s="499"/>
      <c r="AE56" s="499"/>
      <c r="AF56" s="499"/>
      <c r="AG56" s="499"/>
      <c r="AH56" s="499"/>
      <c r="AI56" s="499"/>
      <c r="AJ56" s="499"/>
      <c r="AK56" s="499"/>
      <c r="AL56" s="499"/>
      <c r="AM56" s="499"/>
      <c r="AN56" s="499"/>
    </row>
    <row r="57" spans="1:40" ht="15.75" customHeight="1">
      <c r="A57" s="493" t="s">
        <v>267</v>
      </c>
      <c r="B57" s="499" t="s">
        <v>0</v>
      </c>
      <c r="C57" s="568" t="s">
        <v>53</v>
      </c>
      <c r="D57" s="89"/>
      <c r="E57" s="592"/>
      <c r="F57" s="508">
        <v>7322.9400000000005</v>
      </c>
      <c r="G57" s="91"/>
      <c r="H57" s="592"/>
      <c r="I57" s="508">
        <v>7322.9400000000005</v>
      </c>
      <c r="J57" s="509"/>
      <c r="K57" s="592"/>
      <c r="L57" s="508">
        <v>8324.85</v>
      </c>
      <c r="M57" s="509"/>
      <c r="N57" s="573">
        <v>1001.9099999999999</v>
      </c>
      <c r="O57" s="509"/>
      <c r="P57" s="592"/>
      <c r="Q57" s="508">
        <v>6376</v>
      </c>
      <c r="R57" s="509"/>
      <c r="S57" s="574">
        <v>1948.8500000000004</v>
      </c>
      <c r="T57" s="593"/>
      <c r="U57" s="504"/>
      <c r="V57" s="499"/>
      <c r="W57" s="499"/>
      <c r="X57" s="499"/>
      <c r="Y57" s="499"/>
      <c r="Z57" s="499"/>
      <c r="AA57" s="499"/>
      <c r="AB57" s="499"/>
      <c r="AC57" s="499"/>
      <c r="AD57" s="499"/>
      <c r="AE57" s="499"/>
      <c r="AF57" s="499"/>
      <c r="AG57" s="499"/>
      <c r="AH57" s="499"/>
      <c r="AI57" s="499"/>
      <c r="AJ57" s="499"/>
      <c r="AK57" s="499"/>
      <c r="AL57" s="499"/>
      <c r="AM57" s="499"/>
      <c r="AN57" s="499"/>
    </row>
    <row r="58" spans="1:40" ht="15.75" customHeight="1">
      <c r="A58" s="493" t="s">
        <v>268</v>
      </c>
      <c r="B58" s="499" t="s">
        <v>0</v>
      </c>
      <c r="C58" s="513" t="s">
        <v>54</v>
      </c>
      <c r="D58" s="82"/>
      <c r="E58" s="504"/>
      <c r="F58" s="514">
        <v>6834.1988433333336</v>
      </c>
      <c r="G58" s="84"/>
      <c r="H58" s="504"/>
      <c r="I58" s="514">
        <v>6834.1988433333336</v>
      </c>
      <c r="J58" s="525"/>
      <c r="K58" s="504"/>
      <c r="L58" s="517">
        <v>7033.71</v>
      </c>
      <c r="M58" s="525"/>
      <c r="N58" s="545">
        <v>199.51115666666647</v>
      </c>
      <c r="O58" s="525"/>
      <c r="P58" s="504"/>
      <c r="Q58" s="517">
        <v>6391.27</v>
      </c>
      <c r="R58" s="525"/>
      <c r="S58" s="567">
        <v>642.4399999999996</v>
      </c>
      <c r="T58" s="565"/>
      <c r="U58" s="504"/>
      <c r="V58" s="499"/>
      <c r="W58" s="499"/>
      <c r="X58" s="499"/>
      <c r="Y58" s="499"/>
      <c r="Z58" s="499"/>
      <c r="AA58" s="499"/>
      <c r="AB58" s="499"/>
      <c r="AC58" s="499"/>
      <c r="AD58" s="499"/>
      <c r="AE58" s="499"/>
      <c r="AF58" s="499"/>
      <c r="AG58" s="499"/>
      <c r="AH58" s="499"/>
      <c r="AI58" s="499"/>
      <c r="AJ58" s="499"/>
      <c r="AK58" s="499"/>
      <c r="AL58" s="499"/>
      <c r="AM58" s="499"/>
      <c r="AN58" s="499"/>
    </row>
    <row r="59" spans="1:40" ht="15.75" customHeight="1">
      <c r="A59" s="493" t="s">
        <v>269</v>
      </c>
      <c r="B59" s="499" t="s">
        <v>0</v>
      </c>
      <c r="C59" s="513" t="s">
        <v>55</v>
      </c>
      <c r="D59" s="82"/>
      <c r="E59" s="504"/>
      <c r="F59" s="514">
        <v>792.1418000000001</v>
      </c>
      <c r="G59" s="84"/>
      <c r="H59" s="504"/>
      <c r="I59" s="514">
        <v>792.1418000000001</v>
      </c>
      <c r="J59" s="525"/>
      <c r="K59" s="504"/>
      <c r="L59" s="517">
        <v>2502.7600000000002</v>
      </c>
      <c r="M59" s="525"/>
      <c r="N59" s="545">
        <v>1710.6182000000001</v>
      </c>
      <c r="O59" s="525"/>
      <c r="P59" s="504"/>
      <c r="Q59" s="517">
        <v>612.46</v>
      </c>
      <c r="R59" s="525"/>
      <c r="S59" s="567">
        <v>1890.3000000000002</v>
      </c>
      <c r="T59" s="504"/>
      <c r="U59" s="504"/>
      <c r="V59" s="499"/>
      <c r="W59" s="499"/>
      <c r="X59" s="499"/>
      <c r="Y59" s="499"/>
      <c r="Z59" s="499"/>
      <c r="AA59" s="499"/>
      <c r="AB59" s="499"/>
      <c r="AC59" s="499"/>
      <c r="AD59" s="499"/>
      <c r="AE59" s="499"/>
      <c r="AF59" s="499"/>
      <c r="AG59" s="499"/>
      <c r="AH59" s="499"/>
      <c r="AI59" s="499"/>
      <c r="AJ59" s="499"/>
      <c r="AK59" s="499"/>
      <c r="AL59" s="499"/>
      <c r="AM59" s="499"/>
      <c r="AN59" s="499"/>
    </row>
    <row r="60" spans="1:40" ht="15.75" customHeight="1">
      <c r="A60" s="493" t="s">
        <v>270</v>
      </c>
      <c r="B60" s="499" t="s">
        <v>0</v>
      </c>
      <c r="C60" s="568" t="s">
        <v>56</v>
      </c>
      <c r="D60" s="89"/>
      <c r="E60" s="592"/>
      <c r="F60" s="508">
        <v>6830.796977777778</v>
      </c>
      <c r="G60" s="91"/>
      <c r="H60" s="592"/>
      <c r="I60" s="508">
        <v>6830.796977777778</v>
      </c>
      <c r="J60" s="509"/>
      <c r="K60" s="592"/>
      <c r="L60" s="508">
        <v>7293.4</v>
      </c>
      <c r="M60" s="509"/>
      <c r="N60" s="573">
        <v>462.60302222222163</v>
      </c>
      <c r="O60" s="509"/>
      <c r="P60" s="592"/>
      <c r="Q60" s="508">
        <v>7206.23</v>
      </c>
      <c r="R60" s="509"/>
      <c r="S60" s="574">
        <v>87.170000000000073</v>
      </c>
      <c r="T60" s="504"/>
      <c r="U60" s="504"/>
      <c r="V60" s="499"/>
      <c r="W60" s="499"/>
      <c r="X60" s="499"/>
      <c r="Y60" s="499"/>
      <c r="Z60" s="499"/>
      <c r="AA60" s="499"/>
      <c r="AB60" s="499"/>
      <c r="AC60" s="499"/>
      <c r="AD60" s="499"/>
      <c r="AE60" s="499"/>
      <c r="AF60" s="499"/>
      <c r="AG60" s="499"/>
      <c r="AH60" s="499"/>
      <c r="AI60" s="499"/>
      <c r="AJ60" s="499"/>
      <c r="AK60" s="499"/>
      <c r="AL60" s="499"/>
      <c r="AM60" s="499"/>
      <c r="AN60" s="499"/>
    </row>
    <row r="61" spans="1:40" ht="15.75" customHeight="1">
      <c r="A61" s="493" t="s">
        <v>271</v>
      </c>
      <c r="B61" s="499" t="s">
        <v>0</v>
      </c>
      <c r="C61" s="513" t="s">
        <v>57</v>
      </c>
      <c r="D61" s="82"/>
      <c r="E61" s="504"/>
      <c r="F61" s="514">
        <v>92.79037772039085</v>
      </c>
      <c r="G61" s="84"/>
      <c r="H61" s="504"/>
      <c r="I61" s="514">
        <v>92.79037772039085</v>
      </c>
      <c r="J61" s="525"/>
      <c r="K61" s="504"/>
      <c r="L61" s="517">
        <v>0</v>
      </c>
      <c r="M61" s="525"/>
      <c r="N61" s="545">
        <v>-92.79037772039085</v>
      </c>
      <c r="O61" s="525"/>
      <c r="P61" s="504"/>
      <c r="Q61" s="517">
        <v>74.930000000000007</v>
      </c>
      <c r="R61" s="525"/>
      <c r="S61" s="567">
        <v>-74.930000000000007</v>
      </c>
      <c r="T61" s="504"/>
      <c r="U61" s="504"/>
      <c r="V61" s="504"/>
      <c r="W61" s="504"/>
      <c r="X61" s="504"/>
      <c r="Y61" s="504"/>
      <c r="Z61" s="504"/>
      <c r="AA61" s="504"/>
      <c r="AB61" s="504"/>
      <c r="AC61" s="504"/>
      <c r="AD61" s="504"/>
      <c r="AE61" s="504"/>
      <c r="AF61" s="504"/>
      <c r="AG61" s="504"/>
      <c r="AH61" s="504"/>
      <c r="AI61" s="504"/>
      <c r="AJ61" s="504"/>
      <c r="AK61" s="504"/>
      <c r="AL61" s="504"/>
      <c r="AM61" s="504"/>
      <c r="AN61" s="504"/>
    </row>
    <row r="62" spans="1:40" ht="15.75" customHeight="1">
      <c r="A62" s="493" t="s">
        <v>272</v>
      </c>
      <c r="B62" s="499" t="s">
        <v>0</v>
      </c>
      <c r="C62" s="513" t="s">
        <v>58</v>
      </c>
      <c r="D62" s="82"/>
      <c r="E62" s="504"/>
      <c r="F62" s="514">
        <v>49.306367467405586</v>
      </c>
      <c r="G62" s="84"/>
      <c r="H62" s="504"/>
      <c r="I62" s="514">
        <v>49.306367467405586</v>
      </c>
      <c r="J62" s="525"/>
      <c r="K62" s="504"/>
      <c r="L62" s="517">
        <v>0</v>
      </c>
      <c r="M62" s="525"/>
      <c r="N62" s="545">
        <v>-49.306367467405586</v>
      </c>
      <c r="O62" s="525"/>
      <c r="P62" s="504"/>
      <c r="Q62" s="517">
        <v>0</v>
      </c>
      <c r="R62" s="525"/>
      <c r="S62" s="567">
        <v>0</v>
      </c>
      <c r="T62" s="504"/>
      <c r="U62" s="504"/>
      <c r="V62" s="504"/>
      <c r="W62" s="504"/>
      <c r="X62" s="504"/>
      <c r="Y62" s="504"/>
      <c r="Z62" s="504"/>
      <c r="AA62" s="504"/>
      <c r="AB62" s="504"/>
      <c r="AC62" s="504"/>
      <c r="AD62" s="504"/>
      <c r="AE62" s="504"/>
      <c r="AF62" s="504"/>
      <c r="AG62" s="504"/>
      <c r="AH62" s="504"/>
      <c r="AI62" s="504"/>
      <c r="AJ62" s="504"/>
      <c r="AK62" s="504"/>
      <c r="AL62" s="504"/>
      <c r="AM62" s="504"/>
      <c r="AN62" s="504"/>
    </row>
    <row r="63" spans="1:40" ht="15.75" customHeight="1">
      <c r="A63" s="493" t="s">
        <v>273</v>
      </c>
      <c r="B63" s="499" t="s">
        <v>0</v>
      </c>
      <c r="C63" s="513" t="s">
        <v>59</v>
      </c>
      <c r="D63" s="82"/>
      <c r="E63" s="504"/>
      <c r="F63" s="514">
        <v>652.86432000000002</v>
      </c>
      <c r="G63" s="84"/>
      <c r="H63" s="504"/>
      <c r="I63" s="514">
        <v>652.86432000000002</v>
      </c>
      <c r="J63" s="525"/>
      <c r="K63" s="504"/>
      <c r="L63" s="516">
        <v>472.5</v>
      </c>
      <c r="M63" s="525"/>
      <c r="N63" s="545">
        <v>-180.36432000000002</v>
      </c>
      <c r="O63" s="525"/>
      <c r="P63" s="504"/>
      <c r="Q63" s="516">
        <v>755.68</v>
      </c>
      <c r="R63" s="525"/>
      <c r="S63" s="567">
        <v>-283.17999999999995</v>
      </c>
      <c r="T63" s="504"/>
      <c r="U63" s="504"/>
      <c r="V63" s="504"/>
      <c r="W63" s="504"/>
      <c r="X63" s="504"/>
      <c r="Y63" s="504"/>
      <c r="Z63" s="504"/>
      <c r="AA63" s="504"/>
      <c r="AB63" s="504"/>
      <c r="AC63" s="504"/>
      <c r="AD63" s="504"/>
      <c r="AE63" s="504"/>
      <c r="AF63" s="504"/>
      <c r="AG63" s="504"/>
      <c r="AH63" s="504"/>
      <c r="AI63" s="504"/>
      <c r="AJ63" s="504"/>
      <c r="AK63" s="504"/>
      <c r="AL63" s="504"/>
      <c r="AM63" s="504"/>
      <c r="AN63" s="504"/>
    </row>
    <row r="64" spans="1:40" ht="15.75" customHeight="1">
      <c r="A64" s="493" t="s">
        <v>274</v>
      </c>
      <c r="B64" s="499" t="s">
        <v>0</v>
      </c>
      <c r="C64" s="513" t="s">
        <v>60</v>
      </c>
      <c r="D64" s="82"/>
      <c r="E64" s="504"/>
      <c r="F64" s="514">
        <v>301.4645266666667</v>
      </c>
      <c r="G64" s="84"/>
      <c r="H64" s="504"/>
      <c r="I64" s="514">
        <v>301.4645266666667</v>
      </c>
      <c r="J64" s="525"/>
      <c r="K64" s="504"/>
      <c r="L64" s="517">
        <v>394.79</v>
      </c>
      <c r="M64" s="525"/>
      <c r="N64" s="545">
        <v>93.325473333333321</v>
      </c>
      <c r="O64" s="525"/>
      <c r="P64" s="504"/>
      <c r="Q64" s="517">
        <v>257.26</v>
      </c>
      <c r="R64" s="525"/>
      <c r="S64" s="567">
        <v>137.53000000000003</v>
      </c>
      <c r="T64" s="504"/>
      <c r="U64" s="504"/>
      <c r="V64" s="504"/>
      <c r="W64" s="504"/>
      <c r="X64" s="504"/>
      <c r="Y64" s="504"/>
      <c r="Z64" s="504"/>
      <c r="AA64" s="504"/>
      <c r="AB64" s="504"/>
      <c r="AC64" s="504"/>
      <c r="AD64" s="504"/>
      <c r="AE64" s="504"/>
      <c r="AF64" s="504"/>
      <c r="AG64" s="504"/>
      <c r="AH64" s="504"/>
      <c r="AI64" s="504"/>
      <c r="AJ64" s="504"/>
      <c r="AK64" s="504"/>
      <c r="AL64" s="504"/>
      <c r="AM64" s="504"/>
      <c r="AN64" s="504"/>
    </row>
    <row r="65" spans="1:40" ht="15.75" customHeight="1">
      <c r="A65" s="493" t="s">
        <v>275</v>
      </c>
      <c r="B65" s="499" t="s">
        <v>0</v>
      </c>
      <c r="C65" s="513" t="s">
        <v>61</v>
      </c>
      <c r="D65" s="82"/>
      <c r="E65" s="504"/>
      <c r="F65" s="514">
        <v>160.91707333333329</v>
      </c>
      <c r="G65" s="84"/>
      <c r="H65" s="504"/>
      <c r="I65" s="514">
        <v>160.91707333333329</v>
      </c>
      <c r="J65" s="525"/>
      <c r="K65" s="504"/>
      <c r="L65" s="517">
        <v>112.03</v>
      </c>
      <c r="M65" s="525"/>
      <c r="N65" s="545">
        <v>-48.887073333333291</v>
      </c>
      <c r="O65" s="525"/>
      <c r="P65" s="504"/>
      <c r="Q65" s="517">
        <v>162.85</v>
      </c>
      <c r="R65" s="525"/>
      <c r="S65" s="567">
        <v>-50.819999999999993</v>
      </c>
      <c r="T65" s="504"/>
      <c r="U65" s="504"/>
      <c r="V65" s="504"/>
      <c r="W65" s="504"/>
      <c r="X65" s="504"/>
      <c r="Y65" s="504"/>
      <c r="Z65" s="504"/>
      <c r="AA65" s="504"/>
      <c r="AB65" s="504"/>
      <c r="AC65" s="504"/>
      <c r="AD65" s="504"/>
      <c r="AE65" s="504"/>
      <c r="AF65" s="504"/>
      <c r="AG65" s="504"/>
      <c r="AH65" s="504"/>
      <c r="AI65" s="504"/>
      <c r="AJ65" s="504"/>
      <c r="AK65" s="504"/>
      <c r="AL65" s="504"/>
      <c r="AM65" s="504"/>
      <c r="AN65" s="504"/>
    </row>
    <row r="66" spans="1:40" ht="15.75" customHeight="1">
      <c r="A66" s="493" t="s">
        <v>276</v>
      </c>
      <c r="B66" s="499" t="s">
        <v>0</v>
      </c>
      <c r="C66" s="513" t="s">
        <v>62</v>
      </c>
      <c r="D66" s="82"/>
      <c r="E66" s="504"/>
      <c r="F66" s="514">
        <v>776.23359333333315</v>
      </c>
      <c r="G66" s="84"/>
      <c r="H66" s="504"/>
      <c r="I66" s="514">
        <v>776.23359333333315</v>
      </c>
      <c r="J66" s="525"/>
      <c r="K66" s="504"/>
      <c r="L66" s="517">
        <v>238.3</v>
      </c>
      <c r="M66" s="525"/>
      <c r="N66" s="545">
        <v>-537.93359333333319</v>
      </c>
      <c r="O66" s="525"/>
      <c r="P66" s="504"/>
      <c r="Q66" s="517">
        <v>1198.42</v>
      </c>
      <c r="R66" s="525"/>
      <c r="S66" s="567">
        <v>-960.12000000000012</v>
      </c>
      <c r="T66" s="504"/>
      <c r="U66" s="504"/>
      <c r="V66" s="504"/>
      <c r="W66" s="504"/>
      <c r="X66" s="504"/>
      <c r="Y66" s="504"/>
      <c r="Z66" s="504"/>
      <c r="AA66" s="504"/>
      <c r="AB66" s="504"/>
      <c r="AC66" s="504"/>
      <c r="AD66" s="504"/>
      <c r="AE66" s="504"/>
      <c r="AF66" s="504"/>
      <c r="AG66" s="504"/>
      <c r="AH66" s="504"/>
      <c r="AI66" s="504"/>
      <c r="AJ66" s="504"/>
      <c r="AK66" s="504"/>
      <c r="AL66" s="504"/>
      <c r="AM66" s="504"/>
      <c r="AN66" s="504"/>
    </row>
    <row r="67" spans="1:40" ht="15.75" customHeight="1">
      <c r="A67" s="493" t="s">
        <v>277</v>
      </c>
      <c r="B67" s="499" t="s">
        <v>0</v>
      </c>
      <c r="C67" s="513" t="s">
        <v>63</v>
      </c>
      <c r="D67" s="82"/>
      <c r="E67" s="504"/>
      <c r="F67" s="514">
        <v>1153.2562666666668</v>
      </c>
      <c r="G67" s="84"/>
      <c r="H67" s="504"/>
      <c r="I67" s="514">
        <v>1153.2562666666668</v>
      </c>
      <c r="J67" s="525"/>
      <c r="K67" s="504"/>
      <c r="L67" s="517">
        <v>1444.75</v>
      </c>
      <c r="M67" s="525"/>
      <c r="N67" s="545">
        <v>291.49373333333324</v>
      </c>
      <c r="O67" s="525"/>
      <c r="P67" s="504"/>
      <c r="Q67" s="517">
        <v>843.33</v>
      </c>
      <c r="R67" s="525"/>
      <c r="S67" s="567">
        <v>601.41999999999996</v>
      </c>
      <c r="T67" s="504"/>
      <c r="U67" s="504"/>
      <c r="V67" s="504"/>
      <c r="W67" s="504"/>
      <c r="X67" s="504"/>
      <c r="Y67" s="504"/>
      <c r="Z67" s="504"/>
      <c r="AA67" s="504"/>
      <c r="AB67" s="504"/>
      <c r="AC67" s="504"/>
      <c r="AD67" s="504"/>
      <c r="AE67" s="504"/>
      <c r="AF67" s="504"/>
      <c r="AG67" s="504"/>
      <c r="AH67" s="504"/>
      <c r="AI67" s="504"/>
      <c r="AJ67" s="504"/>
      <c r="AK67" s="504"/>
      <c r="AL67" s="504"/>
      <c r="AM67" s="504"/>
      <c r="AN67" s="504"/>
    </row>
    <row r="68" spans="1:40" ht="15.75" customHeight="1">
      <c r="A68" s="493" t="s">
        <v>278</v>
      </c>
      <c r="B68" s="499" t="s">
        <v>0</v>
      </c>
      <c r="C68" s="513" t="s">
        <v>64</v>
      </c>
      <c r="D68" s="82"/>
      <c r="E68" s="504"/>
      <c r="F68" s="514">
        <v>1979.1129895930551</v>
      </c>
      <c r="G68" s="84"/>
      <c r="H68" s="504"/>
      <c r="I68" s="514">
        <v>1979.1129895930551</v>
      </c>
      <c r="J68" s="525"/>
      <c r="K68" s="504"/>
      <c r="L68" s="516">
        <v>3064.9994999999999</v>
      </c>
      <c r="M68" s="525"/>
      <c r="N68" s="545">
        <v>1085.8865104069448</v>
      </c>
      <c r="O68" s="525"/>
      <c r="P68" s="504"/>
      <c r="Q68" s="517">
        <v>3102.8445000000002</v>
      </c>
      <c r="R68" s="525"/>
      <c r="S68" s="567">
        <v>-37.845000000000255</v>
      </c>
      <c r="T68" s="504"/>
      <c r="U68" s="504"/>
      <c r="V68" s="504"/>
      <c r="W68" s="504"/>
      <c r="X68" s="504"/>
      <c r="Y68" s="504"/>
      <c r="Z68" s="504"/>
      <c r="AA68" s="504"/>
      <c r="AB68" s="504"/>
      <c r="AC68" s="504"/>
      <c r="AD68" s="504"/>
      <c r="AE68" s="504"/>
      <c r="AF68" s="504"/>
      <c r="AG68" s="504"/>
      <c r="AH68" s="504"/>
      <c r="AI68" s="504"/>
      <c r="AJ68" s="504"/>
      <c r="AK68" s="504"/>
      <c r="AL68" s="504"/>
      <c r="AM68" s="504"/>
      <c r="AN68" s="504"/>
    </row>
    <row r="69" spans="1:40" ht="15.75" hidden="1" customHeight="1">
      <c r="A69" s="493" t="s">
        <v>236</v>
      </c>
      <c r="B69" s="499" t="s">
        <v>0</v>
      </c>
      <c r="C69" s="513" t="s">
        <v>21</v>
      </c>
      <c r="D69" s="82"/>
      <c r="E69" s="504"/>
      <c r="F69" s="514">
        <v>0</v>
      </c>
      <c r="G69" s="84"/>
      <c r="H69" s="504"/>
      <c r="I69" s="514">
        <v>0</v>
      </c>
      <c r="J69" s="525"/>
      <c r="K69" s="504"/>
      <c r="L69" s="517"/>
      <c r="M69" s="525"/>
      <c r="N69" s="545">
        <v>0</v>
      </c>
      <c r="O69" s="525"/>
      <c r="P69" s="504"/>
      <c r="Q69" s="517">
        <v>0</v>
      </c>
      <c r="R69" s="525"/>
      <c r="S69" s="567">
        <v>0</v>
      </c>
      <c r="T69" s="504"/>
      <c r="U69" s="504"/>
      <c r="V69" s="504"/>
      <c r="W69" s="504"/>
      <c r="X69" s="504"/>
      <c r="Y69" s="504"/>
      <c r="Z69" s="504"/>
      <c r="AA69" s="504"/>
      <c r="AB69" s="504"/>
      <c r="AC69" s="504"/>
      <c r="AD69" s="504"/>
      <c r="AE69" s="504"/>
      <c r="AF69" s="504"/>
      <c r="AG69" s="504"/>
      <c r="AH69" s="504"/>
      <c r="AI69" s="504"/>
      <c r="AJ69" s="504"/>
      <c r="AK69" s="504"/>
      <c r="AL69" s="504"/>
      <c r="AM69" s="504"/>
      <c r="AN69" s="504"/>
    </row>
    <row r="70" spans="1:40" ht="15.75" hidden="1" customHeight="1">
      <c r="A70" s="493" t="s">
        <v>236</v>
      </c>
      <c r="B70" s="499" t="s">
        <v>0</v>
      </c>
      <c r="C70" s="513" t="s">
        <v>21</v>
      </c>
      <c r="D70" s="82"/>
      <c r="E70" s="504"/>
      <c r="F70" s="514">
        <v>0</v>
      </c>
      <c r="G70" s="84"/>
      <c r="H70" s="504"/>
      <c r="I70" s="514">
        <v>0</v>
      </c>
      <c r="J70" s="525"/>
      <c r="K70" s="504"/>
      <c r="L70" s="517">
        <v>0</v>
      </c>
      <c r="M70" s="525"/>
      <c r="N70" s="545">
        <v>0</v>
      </c>
      <c r="O70" s="525"/>
      <c r="P70" s="504"/>
      <c r="Q70" s="517">
        <v>0</v>
      </c>
      <c r="R70" s="525"/>
      <c r="S70" s="567">
        <v>0</v>
      </c>
      <c r="T70" s="504"/>
      <c r="U70" s="504"/>
      <c r="V70" s="504"/>
      <c r="W70" s="504"/>
      <c r="X70" s="504"/>
      <c r="Y70" s="504"/>
      <c r="Z70" s="504"/>
      <c r="AA70" s="504"/>
      <c r="AB70" s="504"/>
      <c r="AC70" s="504"/>
      <c r="AD70" s="504"/>
      <c r="AE70" s="504"/>
      <c r="AF70" s="504"/>
      <c r="AG70" s="504"/>
      <c r="AH70" s="504"/>
      <c r="AI70" s="504"/>
      <c r="AJ70" s="504"/>
      <c r="AK70" s="504"/>
      <c r="AL70" s="504"/>
      <c r="AM70" s="504"/>
      <c r="AN70" s="504"/>
    </row>
    <row r="71" spans="1:40" ht="15.75" hidden="1" customHeight="1">
      <c r="A71" s="493" t="s">
        <v>236</v>
      </c>
      <c r="B71" s="499" t="s">
        <v>0</v>
      </c>
      <c r="C71" s="513" t="s">
        <v>21</v>
      </c>
      <c r="D71" s="82"/>
      <c r="E71" s="504"/>
      <c r="F71" s="514">
        <v>0</v>
      </c>
      <c r="G71" s="84"/>
      <c r="H71" s="504"/>
      <c r="I71" s="514">
        <v>0</v>
      </c>
      <c r="J71" s="525"/>
      <c r="K71" s="504"/>
      <c r="L71" s="517">
        <v>0</v>
      </c>
      <c r="M71" s="525"/>
      <c r="N71" s="545">
        <v>0</v>
      </c>
      <c r="O71" s="525"/>
      <c r="P71" s="504"/>
      <c r="Q71" s="517">
        <v>0</v>
      </c>
      <c r="R71" s="525"/>
      <c r="S71" s="567">
        <v>0</v>
      </c>
      <c r="T71" s="504"/>
      <c r="U71" s="504"/>
      <c r="V71" s="499"/>
      <c r="W71" s="499"/>
      <c r="X71" s="499"/>
      <c r="Y71" s="499"/>
      <c r="Z71" s="499"/>
      <c r="AA71" s="499"/>
      <c r="AB71" s="499"/>
      <c r="AC71" s="499"/>
      <c r="AD71" s="499"/>
      <c r="AE71" s="499"/>
      <c r="AF71" s="499"/>
      <c r="AG71" s="499"/>
      <c r="AH71" s="499"/>
      <c r="AI71" s="499"/>
      <c r="AJ71" s="499"/>
      <c r="AK71" s="499"/>
      <c r="AL71" s="499"/>
      <c r="AM71" s="499"/>
      <c r="AN71" s="499"/>
    </row>
    <row r="72" spans="1:40" ht="15.75" customHeight="1">
      <c r="A72" s="493" t="s">
        <v>279</v>
      </c>
      <c r="B72" s="499" t="s">
        <v>0</v>
      </c>
      <c r="C72" s="578" t="s">
        <v>65</v>
      </c>
      <c r="D72" s="97" t="s">
        <v>40</v>
      </c>
      <c r="E72" s="579">
        <v>0.12793975473243901</v>
      </c>
      <c r="F72" s="580">
        <v>26946.023135891963</v>
      </c>
      <c r="G72" s="100" t="s">
        <v>40</v>
      </c>
      <c r="H72" s="579">
        <v>0.12793975473243901</v>
      </c>
      <c r="I72" s="580">
        <v>26946.023135891963</v>
      </c>
      <c r="J72" s="100" t="s">
        <v>40</v>
      </c>
      <c r="K72" s="579">
        <v>0.11178414978323188</v>
      </c>
      <c r="L72" s="580">
        <v>30882.089500000002</v>
      </c>
      <c r="M72" s="583"/>
      <c r="N72" s="580">
        <v>3936.0663641080364</v>
      </c>
      <c r="O72" s="100" t="s">
        <v>40</v>
      </c>
      <c r="P72" s="579">
        <v>0.11057211934815361</v>
      </c>
      <c r="Q72" s="580">
        <v>26981.2745</v>
      </c>
      <c r="R72" s="583"/>
      <c r="S72" s="584">
        <v>3900.8149999999996</v>
      </c>
      <c r="T72" s="504"/>
      <c r="U72" s="504"/>
      <c r="V72" s="499"/>
      <c r="W72" s="499"/>
      <c r="X72" s="499"/>
      <c r="Y72" s="499"/>
      <c r="Z72" s="499"/>
      <c r="AA72" s="499"/>
      <c r="AB72" s="499"/>
      <c r="AC72" s="499"/>
      <c r="AD72" s="499"/>
      <c r="AE72" s="499"/>
      <c r="AF72" s="499"/>
      <c r="AG72" s="499"/>
      <c r="AH72" s="499"/>
      <c r="AI72" s="499"/>
      <c r="AJ72" s="499"/>
      <c r="AK72" s="499"/>
      <c r="AL72" s="499"/>
      <c r="AM72" s="499"/>
      <c r="AN72" s="499"/>
    </row>
    <row r="73" spans="1:40" ht="15.75" customHeight="1">
      <c r="A73" s="493" t="s">
        <v>0</v>
      </c>
      <c r="B73" s="499" t="s">
        <v>0</v>
      </c>
      <c r="C73" s="568"/>
      <c r="D73" s="89"/>
      <c r="E73" s="592"/>
      <c r="F73" s="545"/>
      <c r="G73" s="91"/>
      <c r="H73" s="592"/>
      <c r="I73" s="545"/>
      <c r="J73" s="509"/>
      <c r="K73" s="592"/>
      <c r="L73" s="573"/>
      <c r="M73" s="509"/>
      <c r="N73" s="573"/>
      <c r="O73" s="509"/>
      <c r="P73" s="592"/>
      <c r="Q73" s="573"/>
      <c r="R73" s="509"/>
      <c r="S73" s="574"/>
      <c r="T73" s="504"/>
      <c r="U73" s="504"/>
      <c r="V73" s="499"/>
      <c r="W73" s="499"/>
      <c r="X73" s="499"/>
      <c r="Y73" s="499"/>
      <c r="Z73" s="499"/>
      <c r="AA73" s="499"/>
      <c r="AB73" s="499"/>
      <c r="AC73" s="499"/>
      <c r="AD73" s="499"/>
      <c r="AE73" s="499"/>
      <c r="AF73" s="499"/>
      <c r="AG73" s="499"/>
      <c r="AH73" s="499"/>
      <c r="AI73" s="499"/>
      <c r="AJ73" s="499"/>
      <c r="AK73" s="499"/>
      <c r="AL73" s="499"/>
      <c r="AM73" s="499"/>
      <c r="AN73" s="499"/>
    </row>
    <row r="74" spans="1:40" ht="15.75" customHeight="1">
      <c r="A74" s="493" t="s">
        <v>280</v>
      </c>
      <c r="B74" s="499" t="s">
        <v>0</v>
      </c>
      <c r="C74" s="578" t="s">
        <v>66</v>
      </c>
      <c r="D74" s="97" t="s">
        <v>40</v>
      </c>
      <c r="E74" s="579">
        <v>0.92815643476091281</v>
      </c>
      <c r="F74" s="580">
        <v>195483.60724231764</v>
      </c>
      <c r="G74" s="100" t="s">
        <v>40</v>
      </c>
      <c r="H74" s="579">
        <v>0.92815643476091281</v>
      </c>
      <c r="I74" s="580">
        <v>195483.60724231764</v>
      </c>
      <c r="J74" s="100" t="s">
        <v>40</v>
      </c>
      <c r="K74" s="579">
        <v>0.7453643194584969</v>
      </c>
      <c r="L74" s="580">
        <v>205918.34950000001</v>
      </c>
      <c r="M74" s="583"/>
      <c r="N74" s="594">
        <v>10434.742257682374</v>
      </c>
      <c r="O74" s="100" t="s">
        <v>40</v>
      </c>
      <c r="P74" s="579">
        <v>0.86838430782807463</v>
      </c>
      <c r="Q74" s="580">
        <v>211898.94450000001</v>
      </c>
      <c r="R74" s="583"/>
      <c r="S74" s="595">
        <v>-5980.5950000000012</v>
      </c>
      <c r="T74" s="504"/>
      <c r="U74" s="504"/>
      <c r="V74" s="499"/>
      <c r="W74" s="499"/>
      <c r="X74" s="499"/>
      <c r="Y74" s="499"/>
      <c r="Z74" s="499"/>
      <c r="AA74" s="499"/>
      <c r="AB74" s="499"/>
      <c r="AC74" s="499"/>
      <c r="AD74" s="499"/>
      <c r="AE74" s="499"/>
      <c r="AF74" s="499"/>
      <c r="AG74" s="499"/>
      <c r="AH74" s="499"/>
      <c r="AI74" s="499"/>
      <c r="AJ74" s="499"/>
      <c r="AK74" s="499"/>
      <c r="AL74" s="499"/>
      <c r="AM74" s="499"/>
      <c r="AN74" s="499"/>
    </row>
    <row r="75" spans="1:40" ht="15.75" customHeight="1">
      <c r="A75" s="493" t="s">
        <v>281</v>
      </c>
      <c r="B75" s="499" t="s">
        <v>0</v>
      </c>
      <c r="C75" s="513" t="s">
        <v>200</v>
      </c>
      <c r="D75" s="82"/>
      <c r="E75" s="504"/>
      <c r="F75" s="514">
        <v>20185.2</v>
      </c>
      <c r="G75" s="84"/>
      <c r="H75" s="504"/>
      <c r="I75" s="514">
        <v>20185.2</v>
      </c>
      <c r="J75" s="525"/>
      <c r="K75" s="504"/>
      <c r="L75" s="516">
        <v>22000</v>
      </c>
      <c r="M75" s="525"/>
      <c r="N75" s="545">
        <v>1814.7999999999993</v>
      </c>
      <c r="O75" s="525"/>
      <c r="P75" s="504"/>
      <c r="Q75" s="516">
        <v>0</v>
      </c>
      <c r="R75" s="525"/>
      <c r="S75" s="567"/>
      <c r="T75" s="504"/>
      <c r="U75" s="504"/>
      <c r="V75" s="499"/>
      <c r="W75" s="499"/>
      <c r="X75" s="499"/>
      <c r="Y75" s="499"/>
      <c r="Z75" s="499"/>
      <c r="AA75" s="499"/>
      <c r="AB75" s="499"/>
      <c r="AC75" s="499"/>
      <c r="AD75" s="499"/>
      <c r="AE75" s="499"/>
      <c r="AF75" s="499"/>
      <c r="AG75" s="499"/>
      <c r="AH75" s="499"/>
      <c r="AI75" s="499"/>
      <c r="AJ75" s="499"/>
      <c r="AK75" s="499"/>
      <c r="AL75" s="499"/>
      <c r="AM75" s="499"/>
      <c r="AN75" s="499"/>
    </row>
    <row r="76" spans="1:40" ht="15.75" customHeight="1">
      <c r="A76" s="493" t="s">
        <v>282</v>
      </c>
      <c r="B76" s="499" t="s">
        <v>0</v>
      </c>
      <c r="C76" s="513" t="s">
        <v>197</v>
      </c>
      <c r="D76" s="82"/>
      <c r="E76" s="504"/>
      <c r="F76" s="514">
        <v>0</v>
      </c>
      <c r="G76" s="84"/>
      <c r="H76" s="504"/>
      <c r="I76" s="514">
        <v>0</v>
      </c>
      <c r="J76" s="525"/>
      <c r="K76" s="504"/>
      <c r="L76" s="516">
        <v>0</v>
      </c>
      <c r="M76" s="525"/>
      <c r="N76" s="545">
        <v>0</v>
      </c>
      <c r="O76" s="525"/>
      <c r="P76" s="504"/>
      <c r="Q76" s="516">
        <v>0</v>
      </c>
      <c r="R76" s="525"/>
      <c r="S76" s="567">
        <v>0</v>
      </c>
      <c r="T76" s="504"/>
      <c r="U76" s="504"/>
      <c r="V76" s="499"/>
      <c r="W76" s="499"/>
      <c r="X76" s="499"/>
      <c r="Y76" s="499"/>
      <c r="Z76" s="499"/>
      <c r="AA76" s="499"/>
      <c r="AB76" s="499"/>
      <c r="AC76" s="499"/>
      <c r="AD76" s="499"/>
      <c r="AE76" s="499"/>
      <c r="AF76" s="499"/>
      <c r="AG76" s="499"/>
      <c r="AH76" s="499"/>
      <c r="AI76" s="499"/>
      <c r="AJ76" s="499"/>
      <c r="AK76" s="499"/>
      <c r="AL76" s="499"/>
      <c r="AM76" s="499"/>
      <c r="AN76" s="499"/>
    </row>
    <row r="77" spans="1:40" ht="15.75" customHeight="1">
      <c r="A77" s="493" t="s">
        <v>283</v>
      </c>
      <c r="B77" s="499" t="s">
        <v>0</v>
      </c>
      <c r="C77" s="513" t="s">
        <v>69</v>
      </c>
      <c r="D77" s="82"/>
      <c r="E77" s="504"/>
      <c r="F77" s="514">
        <v>0</v>
      </c>
      <c r="G77" s="84"/>
      <c r="H77" s="504"/>
      <c r="I77" s="514">
        <v>0</v>
      </c>
      <c r="J77" s="525"/>
      <c r="K77" s="504"/>
      <c r="L77" s="516">
        <v>0</v>
      </c>
      <c r="M77" s="525"/>
      <c r="N77" s="545">
        <v>0</v>
      </c>
      <c r="O77" s="525"/>
      <c r="P77" s="504"/>
      <c r="Q77" s="516">
        <v>0</v>
      </c>
      <c r="R77" s="525"/>
      <c r="S77" s="567">
        <v>0</v>
      </c>
      <c r="T77" s="504"/>
      <c r="U77" s="504"/>
      <c r="V77" s="499"/>
      <c r="W77" s="499"/>
      <c r="X77" s="499"/>
      <c r="Y77" s="499"/>
      <c r="Z77" s="499"/>
      <c r="AA77" s="499"/>
      <c r="AB77" s="499"/>
      <c r="AC77" s="499"/>
      <c r="AD77" s="499"/>
      <c r="AE77" s="499"/>
      <c r="AF77" s="499"/>
      <c r="AG77" s="499"/>
      <c r="AH77" s="499"/>
      <c r="AI77" s="499"/>
      <c r="AJ77" s="499"/>
      <c r="AK77" s="499"/>
      <c r="AL77" s="499"/>
      <c r="AM77" s="499"/>
      <c r="AN77" s="499"/>
    </row>
    <row r="78" spans="1:40" ht="15.75" customHeight="1">
      <c r="A78" s="493" t="s">
        <v>284</v>
      </c>
      <c r="B78" s="499" t="s">
        <v>0</v>
      </c>
      <c r="C78" s="513" t="s">
        <v>70</v>
      </c>
      <c r="D78" s="82"/>
      <c r="E78" s="504"/>
      <c r="F78" s="514">
        <v>77407.490927710824</v>
      </c>
      <c r="G78" s="84"/>
      <c r="H78" s="504"/>
      <c r="I78" s="514">
        <v>77407.490927710824</v>
      </c>
      <c r="J78" s="525"/>
      <c r="K78" s="504"/>
      <c r="L78" s="517">
        <v>66097</v>
      </c>
      <c r="M78" s="525"/>
      <c r="N78" s="545">
        <v>-11310.490927710824</v>
      </c>
      <c r="O78" s="525"/>
      <c r="P78" s="504"/>
      <c r="Q78" s="516">
        <v>102678</v>
      </c>
      <c r="R78" s="525"/>
      <c r="S78" s="567">
        <v>-36581</v>
      </c>
      <c r="T78" s="504"/>
      <c r="U78" s="504"/>
      <c r="V78" s="499"/>
      <c r="W78" s="499"/>
      <c r="X78" s="499"/>
      <c r="Y78" s="499"/>
      <c r="Z78" s="499"/>
      <c r="AA78" s="499"/>
      <c r="AB78" s="499"/>
      <c r="AC78" s="499"/>
      <c r="AD78" s="499"/>
      <c r="AE78" s="499"/>
      <c r="AF78" s="499"/>
      <c r="AG78" s="499"/>
      <c r="AH78" s="499"/>
      <c r="AI78" s="499"/>
      <c r="AJ78" s="499"/>
      <c r="AK78" s="499"/>
      <c r="AL78" s="499"/>
      <c r="AM78" s="499"/>
      <c r="AN78" s="499"/>
    </row>
    <row r="79" spans="1:40" ht="15.75" hidden="1" customHeight="1">
      <c r="A79" s="493" t="s">
        <v>236</v>
      </c>
      <c r="B79" s="499" t="s">
        <v>0</v>
      </c>
      <c r="C79" s="513" t="s">
        <v>21</v>
      </c>
      <c r="D79" s="82"/>
      <c r="E79" s="504"/>
      <c r="F79" s="514">
        <v>0</v>
      </c>
      <c r="G79" s="84"/>
      <c r="H79" s="504"/>
      <c r="I79" s="514">
        <v>0</v>
      </c>
      <c r="J79" s="525"/>
      <c r="K79" s="504"/>
      <c r="L79" s="517">
        <v>0</v>
      </c>
      <c r="M79" s="525"/>
      <c r="N79" s="545">
        <v>0</v>
      </c>
      <c r="O79" s="525"/>
      <c r="P79" s="504"/>
      <c r="Q79" s="516">
        <v>0</v>
      </c>
      <c r="R79" s="525"/>
      <c r="S79" s="567">
        <v>0</v>
      </c>
      <c r="T79" s="504"/>
      <c r="U79" s="504"/>
      <c r="V79" s="499"/>
      <c r="W79" s="499"/>
      <c r="X79" s="499"/>
      <c r="Y79" s="499"/>
      <c r="Z79" s="499"/>
      <c r="AA79" s="499"/>
      <c r="AB79" s="499"/>
      <c r="AC79" s="499"/>
      <c r="AD79" s="499"/>
      <c r="AE79" s="499"/>
      <c r="AF79" s="499"/>
      <c r="AG79" s="499"/>
      <c r="AH79" s="499"/>
      <c r="AI79" s="499"/>
      <c r="AJ79" s="499"/>
      <c r="AK79" s="499"/>
      <c r="AL79" s="499"/>
      <c r="AM79" s="499"/>
      <c r="AN79" s="499"/>
    </row>
    <row r="80" spans="1:40" ht="15.75" hidden="1" customHeight="1">
      <c r="A80" s="493" t="s">
        <v>236</v>
      </c>
      <c r="B80" s="499" t="s">
        <v>0</v>
      </c>
      <c r="C80" s="513" t="s">
        <v>21</v>
      </c>
      <c r="D80" s="82"/>
      <c r="E80" s="504"/>
      <c r="F80" s="514">
        <v>0</v>
      </c>
      <c r="G80" s="84"/>
      <c r="H80" s="504"/>
      <c r="I80" s="514">
        <v>0</v>
      </c>
      <c r="J80" s="525"/>
      <c r="K80" s="504"/>
      <c r="L80" s="517">
        <v>0</v>
      </c>
      <c r="M80" s="525"/>
      <c r="N80" s="545">
        <v>0</v>
      </c>
      <c r="O80" s="525"/>
      <c r="P80" s="504"/>
      <c r="Q80" s="516">
        <v>0</v>
      </c>
      <c r="R80" s="525"/>
      <c r="S80" s="567">
        <v>0</v>
      </c>
      <c r="T80" s="504"/>
      <c r="U80" s="504"/>
      <c r="V80" s="499"/>
      <c r="W80" s="499"/>
      <c r="X80" s="499"/>
      <c r="Y80" s="499"/>
      <c r="Z80" s="499"/>
      <c r="AA80" s="499"/>
      <c r="AB80" s="499"/>
      <c r="AC80" s="499"/>
      <c r="AD80" s="499"/>
      <c r="AE80" s="499"/>
      <c r="AF80" s="499"/>
      <c r="AG80" s="499"/>
      <c r="AH80" s="499"/>
      <c r="AI80" s="499"/>
      <c r="AJ80" s="499"/>
      <c r="AK80" s="499"/>
      <c r="AL80" s="499"/>
      <c r="AM80" s="499"/>
      <c r="AN80" s="499"/>
    </row>
    <row r="81" spans="1:40" ht="15.75" hidden="1" customHeight="1">
      <c r="A81" s="493" t="s">
        <v>236</v>
      </c>
      <c r="B81" s="499" t="s">
        <v>0</v>
      </c>
      <c r="C81" s="513" t="s">
        <v>21</v>
      </c>
      <c r="D81" s="82"/>
      <c r="E81" s="504"/>
      <c r="F81" s="514">
        <v>0</v>
      </c>
      <c r="G81" s="84"/>
      <c r="H81" s="504"/>
      <c r="I81" s="514">
        <v>0</v>
      </c>
      <c r="J81" s="525"/>
      <c r="K81" s="504"/>
      <c r="L81" s="517">
        <v>0</v>
      </c>
      <c r="M81" s="525"/>
      <c r="N81" s="545">
        <v>0</v>
      </c>
      <c r="O81" s="525"/>
      <c r="P81" s="504"/>
      <c r="Q81" s="516">
        <v>0</v>
      </c>
      <c r="R81" s="525"/>
      <c r="S81" s="567">
        <v>0</v>
      </c>
      <c r="T81" s="504"/>
      <c r="U81" s="504"/>
      <c r="V81" s="499"/>
      <c r="W81" s="499"/>
      <c r="X81" s="499"/>
      <c r="Y81" s="499"/>
      <c r="Z81" s="499"/>
      <c r="AA81" s="499"/>
      <c r="AB81" s="499"/>
      <c r="AC81" s="499"/>
      <c r="AD81" s="499"/>
      <c r="AE81" s="499"/>
      <c r="AF81" s="499"/>
      <c r="AG81" s="499"/>
      <c r="AH81" s="499"/>
      <c r="AI81" s="499"/>
      <c r="AJ81" s="499"/>
      <c r="AK81" s="499"/>
      <c r="AL81" s="499"/>
      <c r="AM81" s="499"/>
      <c r="AN81" s="499"/>
    </row>
    <row r="82" spans="1:40" ht="15.75" customHeight="1">
      <c r="A82" s="493" t="s">
        <v>285</v>
      </c>
      <c r="B82" s="499" t="s">
        <v>0</v>
      </c>
      <c r="C82" s="513" t="s">
        <v>71</v>
      </c>
      <c r="D82" s="82"/>
      <c r="E82" s="504"/>
      <c r="F82" s="514">
        <v>26592.342548246081</v>
      </c>
      <c r="G82" s="84"/>
      <c r="H82" s="504"/>
      <c r="I82" s="514">
        <v>26592.342548246081</v>
      </c>
      <c r="J82" s="525">
        <v>55.999999999999993</v>
      </c>
      <c r="K82" s="504">
        <v>-516.41071428571433</v>
      </c>
      <c r="L82" s="516">
        <v>-28919</v>
      </c>
      <c r="M82" s="525"/>
      <c r="N82" s="545">
        <v>-55511.342548246081</v>
      </c>
      <c r="O82" s="525"/>
      <c r="P82" s="504"/>
      <c r="Q82" s="516">
        <v>25377</v>
      </c>
      <c r="R82" s="525"/>
      <c r="S82" s="567">
        <v>-54296</v>
      </c>
      <c r="T82" s="504"/>
      <c r="U82" s="504"/>
      <c r="V82" s="499"/>
      <c r="W82" s="499"/>
      <c r="X82" s="499"/>
      <c r="Y82" s="499"/>
      <c r="Z82" s="499"/>
      <c r="AA82" s="499"/>
      <c r="AB82" s="499"/>
      <c r="AC82" s="499"/>
      <c r="AD82" s="499"/>
      <c r="AE82" s="499"/>
      <c r="AF82" s="499"/>
      <c r="AG82" s="499"/>
      <c r="AH82" s="499"/>
      <c r="AI82" s="499"/>
      <c r="AJ82" s="499"/>
      <c r="AK82" s="499"/>
      <c r="AL82" s="499"/>
      <c r="AM82" s="499"/>
      <c r="AN82" s="499"/>
    </row>
    <row r="83" spans="1:40" ht="15.75" customHeight="1">
      <c r="A83" s="493" t="s">
        <v>286</v>
      </c>
      <c r="B83" s="499" t="s">
        <v>0</v>
      </c>
      <c r="C83" s="578" t="s">
        <v>72</v>
      </c>
      <c r="D83" s="97"/>
      <c r="E83" s="579"/>
      <c r="F83" s="580">
        <v>124185.03347595691</v>
      </c>
      <c r="G83" s="100"/>
      <c r="H83" s="579"/>
      <c r="I83" s="580">
        <v>124185.03347595691</v>
      </c>
      <c r="J83" s="100"/>
      <c r="K83" s="579"/>
      <c r="L83" s="580">
        <v>59178</v>
      </c>
      <c r="M83" s="583"/>
      <c r="N83" s="580">
        <v>-65007.033475956909</v>
      </c>
      <c r="O83" s="100"/>
      <c r="P83" s="579"/>
      <c r="Q83" s="580">
        <v>128055</v>
      </c>
      <c r="R83" s="583"/>
      <c r="S83" s="584">
        <v>-90877</v>
      </c>
      <c r="T83" s="504"/>
      <c r="U83" s="504"/>
      <c r="V83" s="499"/>
      <c r="W83" s="499"/>
      <c r="X83" s="499"/>
      <c r="Y83" s="499"/>
      <c r="Z83" s="499"/>
      <c r="AA83" s="499"/>
      <c r="AB83" s="499"/>
      <c r="AC83" s="499"/>
      <c r="AD83" s="499"/>
      <c r="AE83" s="499"/>
      <c r="AF83" s="499"/>
      <c r="AG83" s="499"/>
      <c r="AH83" s="499"/>
      <c r="AI83" s="499"/>
      <c r="AJ83" s="499"/>
      <c r="AK83" s="499"/>
      <c r="AL83" s="499"/>
      <c r="AM83" s="499"/>
      <c r="AN83" s="499"/>
    </row>
    <row r="84" spans="1:40" ht="15.75" customHeight="1">
      <c r="A84" s="493" t="s">
        <v>0</v>
      </c>
      <c r="B84" s="499" t="s">
        <v>0</v>
      </c>
      <c r="C84" s="596"/>
      <c r="D84" s="597"/>
      <c r="E84" s="598"/>
      <c r="F84" s="599"/>
      <c r="G84" s="600"/>
      <c r="H84" s="598"/>
      <c r="I84" s="599"/>
      <c r="J84" s="601"/>
      <c r="K84" s="602"/>
      <c r="L84" s="599"/>
      <c r="M84" s="601"/>
      <c r="N84" s="603"/>
      <c r="O84" s="601"/>
      <c r="P84" s="602"/>
      <c r="Q84" s="599"/>
      <c r="R84" s="601"/>
      <c r="S84" s="604"/>
      <c r="T84" s="504"/>
      <c r="U84" s="504"/>
      <c r="V84" s="499"/>
      <c r="W84" s="499"/>
      <c r="X84" s="499"/>
      <c r="Y84" s="499"/>
      <c r="Z84" s="499"/>
      <c r="AA84" s="499"/>
      <c r="AB84" s="499"/>
      <c r="AC84" s="499"/>
      <c r="AD84" s="499"/>
      <c r="AE84" s="499"/>
      <c r="AF84" s="499"/>
      <c r="AG84" s="499"/>
      <c r="AH84" s="499"/>
      <c r="AI84" s="499"/>
      <c r="AJ84" s="499"/>
      <c r="AK84" s="499"/>
      <c r="AL84" s="499"/>
      <c r="AM84" s="499"/>
      <c r="AN84" s="499"/>
    </row>
    <row r="85" spans="1:40" ht="15.75" customHeight="1" thickBot="1">
      <c r="A85" s="493" t="s">
        <v>287</v>
      </c>
      <c r="B85" s="499" t="s">
        <v>0</v>
      </c>
      <c r="C85" s="605" t="s">
        <v>73</v>
      </c>
      <c r="D85" s="606"/>
      <c r="E85" s="607"/>
      <c r="F85" s="608">
        <v>139316.36130401128</v>
      </c>
      <c r="G85" s="609"/>
      <c r="H85" s="607"/>
      <c r="I85" s="608">
        <v>139316.36130401128</v>
      </c>
      <c r="J85" s="609"/>
      <c r="K85" s="606"/>
      <c r="L85" s="608">
        <v>129525.02050000022</v>
      </c>
      <c r="M85" s="609"/>
      <c r="N85" s="608">
        <v>-9791.3408040110589</v>
      </c>
      <c r="O85" s="609"/>
      <c r="P85" s="606"/>
      <c r="Q85" s="608">
        <v>160171.22550000006</v>
      </c>
      <c r="R85" s="609"/>
      <c r="S85" s="610">
        <v>-52646.204999999842</v>
      </c>
      <c r="T85" s="504"/>
      <c r="U85" s="504"/>
      <c r="V85" s="499"/>
      <c r="W85" s="499"/>
      <c r="X85" s="499"/>
      <c r="Y85" s="499"/>
      <c r="Z85" s="499"/>
      <c r="AA85" s="499"/>
      <c r="AB85" s="499"/>
      <c r="AC85" s="499"/>
      <c r="AD85" s="499"/>
      <c r="AE85" s="499"/>
      <c r="AF85" s="499"/>
      <c r="AG85" s="499"/>
      <c r="AH85" s="499"/>
      <c r="AI85" s="499"/>
      <c r="AJ85" s="499"/>
      <c r="AK85" s="499"/>
      <c r="AL85" s="499"/>
      <c r="AM85" s="499"/>
      <c r="AN85" s="499"/>
    </row>
    <row r="86" spans="1:40" ht="15.75" customHeight="1" thickTop="1">
      <c r="B86" s="611"/>
      <c r="C86" s="612"/>
      <c r="D86" s="612"/>
      <c r="E86" s="612"/>
      <c r="F86" s="612"/>
      <c r="G86" s="612"/>
      <c r="H86" s="612"/>
      <c r="I86" s="612"/>
      <c r="J86" s="612"/>
      <c r="K86" s="612"/>
      <c r="L86" s="613"/>
      <c r="M86" s="612"/>
      <c r="N86" s="612"/>
      <c r="O86" s="612"/>
      <c r="P86" s="612"/>
      <c r="Q86" s="612"/>
      <c r="R86" s="612"/>
      <c r="S86" s="612"/>
      <c r="T86" s="612"/>
      <c r="U86" s="612"/>
      <c r="V86" s="611"/>
      <c r="W86" s="611"/>
      <c r="X86" s="611"/>
      <c r="Y86" s="611"/>
      <c r="Z86" s="611"/>
      <c r="AA86" s="611"/>
      <c r="AB86" s="611"/>
      <c r="AC86" s="611"/>
      <c r="AD86" s="611"/>
      <c r="AE86" s="611"/>
      <c r="AF86" s="611"/>
      <c r="AG86" s="611"/>
      <c r="AH86" s="611"/>
      <c r="AI86" s="611"/>
      <c r="AJ86" s="611"/>
      <c r="AK86" s="611"/>
      <c r="AL86" s="611"/>
      <c r="AM86" s="611"/>
      <c r="AN86" s="611"/>
    </row>
    <row r="87" spans="1:40" ht="40.5" customHeight="1">
      <c r="B87" s="611"/>
      <c r="C87" s="612"/>
      <c r="D87" s="612"/>
      <c r="E87" s="612"/>
      <c r="F87" s="612"/>
      <c r="G87" s="612"/>
      <c r="H87" s="612"/>
      <c r="I87" s="613"/>
      <c r="J87" s="612"/>
      <c r="K87" s="612"/>
      <c r="L87" s="612"/>
      <c r="M87" s="612"/>
      <c r="N87" s="612"/>
      <c r="O87" s="612"/>
      <c r="P87" s="612"/>
      <c r="Q87" s="612"/>
      <c r="R87" s="612"/>
      <c r="S87" s="612"/>
      <c r="T87" s="612"/>
      <c r="U87" s="612"/>
      <c r="V87" s="611"/>
      <c r="W87" s="611"/>
      <c r="X87" s="611"/>
      <c r="Y87" s="611"/>
      <c r="Z87" s="611"/>
      <c r="AA87" s="611"/>
      <c r="AB87" s="611"/>
      <c r="AC87" s="611"/>
      <c r="AD87" s="611"/>
      <c r="AE87" s="611"/>
      <c r="AF87" s="611"/>
      <c r="AG87" s="611"/>
      <c r="AH87" s="611"/>
      <c r="AI87" s="611"/>
      <c r="AJ87" s="611"/>
      <c r="AK87" s="611"/>
      <c r="AL87" s="611"/>
      <c r="AM87" s="611"/>
      <c r="AN87" s="611"/>
    </row>
    <row r="88" spans="1:40" ht="15.75" hidden="1" customHeight="1" thickBot="1">
      <c r="B88" s="497"/>
      <c r="C88" s="498"/>
      <c r="D88" s="498"/>
      <c r="E88" s="498"/>
      <c r="F88" s="498"/>
      <c r="G88" s="498"/>
      <c r="H88" s="498"/>
      <c r="I88" s="498"/>
      <c r="J88" s="498"/>
      <c r="K88" s="498"/>
      <c r="L88" s="498"/>
      <c r="M88" s="498"/>
      <c r="N88" s="498"/>
      <c r="O88" s="498"/>
      <c r="P88" s="498"/>
      <c r="Q88" s="498"/>
      <c r="R88" s="498"/>
      <c r="S88" s="498"/>
      <c r="T88" s="498"/>
      <c r="U88" s="498"/>
    </row>
    <row r="89" spans="1:40" ht="33" customHeight="1">
      <c r="B89" s="494"/>
      <c r="C89" s="496" t="s">
        <v>228</v>
      </c>
      <c r="D89" s="2"/>
      <c r="E89" s="2"/>
      <c r="F89" s="2"/>
      <c r="G89" s="2"/>
      <c r="H89" s="494"/>
      <c r="I89" s="494"/>
      <c r="J89" s="494"/>
      <c r="K89" s="3" t="s">
        <v>74</v>
      </c>
      <c r="L89" s="2"/>
      <c r="M89" s="2"/>
      <c r="N89" s="494"/>
      <c r="O89" s="494"/>
      <c r="P89" s="2"/>
      <c r="Q89" s="494"/>
      <c r="R89" s="2"/>
      <c r="S89" s="5" t="s">
        <v>499</v>
      </c>
      <c r="T89" s="496"/>
      <c r="U89" s="496"/>
      <c r="V89" s="494"/>
      <c r="W89" s="494"/>
      <c r="X89" s="494"/>
      <c r="Y89" s="494"/>
      <c r="Z89" s="494"/>
      <c r="AA89" s="494"/>
      <c r="AB89" s="494"/>
      <c r="AC89" s="494"/>
      <c r="AD89" s="494"/>
      <c r="AE89" s="494"/>
      <c r="AF89" s="494"/>
      <c r="AG89" s="494"/>
      <c r="AH89" s="494"/>
      <c r="AI89" s="494"/>
      <c r="AJ89" s="494"/>
      <c r="AK89" s="494"/>
      <c r="AL89" s="494"/>
      <c r="AM89" s="494"/>
      <c r="AN89" s="494"/>
    </row>
    <row r="90" spans="1:40" ht="15.75" customHeight="1" thickBot="1">
      <c r="B90" s="497"/>
      <c r="C90" s="8"/>
      <c r="D90" s="498"/>
      <c r="E90" s="498"/>
      <c r="F90" s="498"/>
      <c r="G90" s="498"/>
      <c r="H90" s="498"/>
      <c r="I90" s="498"/>
      <c r="J90" s="498"/>
      <c r="K90" s="498"/>
      <c r="L90" s="498"/>
      <c r="M90" s="498"/>
      <c r="N90" s="498"/>
      <c r="O90" s="498"/>
      <c r="P90" s="498"/>
      <c r="Q90" s="498"/>
      <c r="R90" s="498"/>
      <c r="S90" s="498"/>
      <c r="T90" s="498"/>
      <c r="U90" s="498"/>
    </row>
    <row r="91" spans="1:40" ht="15.75" customHeight="1" thickTop="1">
      <c r="B91" s="499"/>
      <c r="C91" s="500"/>
      <c r="D91" s="488" t="s">
        <v>5</v>
      </c>
      <c r="E91" s="501"/>
      <c r="F91" s="502"/>
      <c r="G91" s="489" t="s">
        <v>75</v>
      </c>
      <c r="H91" s="501"/>
      <c r="I91" s="502"/>
      <c r="J91" s="489" t="s">
        <v>7</v>
      </c>
      <c r="K91" s="501"/>
      <c r="L91" s="502"/>
      <c r="M91" s="489" t="s">
        <v>8</v>
      </c>
      <c r="N91" s="502"/>
      <c r="O91" s="488" t="s">
        <v>9</v>
      </c>
      <c r="P91" s="501"/>
      <c r="Q91" s="502"/>
      <c r="R91" s="489" t="s">
        <v>10</v>
      </c>
      <c r="S91" s="503"/>
      <c r="T91" s="504"/>
      <c r="U91" s="504"/>
      <c r="V91" s="499"/>
      <c r="W91" s="499"/>
      <c r="X91" s="499"/>
      <c r="Y91" s="499"/>
      <c r="Z91" s="499"/>
      <c r="AA91" s="499"/>
      <c r="AB91" s="499"/>
      <c r="AC91" s="499"/>
      <c r="AD91" s="499"/>
      <c r="AE91" s="499"/>
      <c r="AF91" s="499"/>
      <c r="AG91" s="499"/>
      <c r="AH91" s="499"/>
      <c r="AI91" s="499"/>
      <c r="AJ91" s="499"/>
      <c r="AK91" s="499"/>
      <c r="AL91" s="499"/>
      <c r="AM91" s="499"/>
      <c r="AN91" s="499"/>
    </row>
    <row r="92" spans="1:40" ht="15.75" customHeight="1">
      <c r="B92" s="499"/>
      <c r="C92" s="513"/>
      <c r="D92" s="136" t="s">
        <v>11</v>
      </c>
      <c r="E92" s="81" t="s">
        <v>12</v>
      </c>
      <c r="F92" s="137" t="s">
        <v>13</v>
      </c>
      <c r="G92" s="138" t="s">
        <v>11</v>
      </c>
      <c r="H92" s="81" t="s">
        <v>12</v>
      </c>
      <c r="I92" s="137" t="s">
        <v>13</v>
      </c>
      <c r="J92" s="138" t="s">
        <v>11</v>
      </c>
      <c r="K92" s="81" t="s">
        <v>14</v>
      </c>
      <c r="L92" s="137" t="s">
        <v>13</v>
      </c>
      <c r="M92" s="138" t="s">
        <v>15</v>
      </c>
      <c r="N92" s="137" t="s">
        <v>13</v>
      </c>
      <c r="O92" s="81" t="s">
        <v>11</v>
      </c>
      <c r="P92" s="81" t="s">
        <v>14</v>
      </c>
      <c r="Q92" s="137" t="s">
        <v>13</v>
      </c>
      <c r="R92" s="138" t="s">
        <v>11</v>
      </c>
      <c r="S92" s="139" t="s">
        <v>13</v>
      </c>
      <c r="T92" s="504"/>
      <c r="U92" s="504"/>
      <c r="V92" s="499"/>
      <c r="W92" s="499"/>
      <c r="X92" s="499"/>
      <c r="Y92" s="499"/>
      <c r="Z92" s="499"/>
      <c r="AA92" s="499"/>
      <c r="AB92" s="499"/>
      <c r="AC92" s="499"/>
      <c r="AD92" s="499"/>
      <c r="AE92" s="499"/>
      <c r="AF92" s="499"/>
      <c r="AG92" s="499"/>
      <c r="AH92" s="499"/>
      <c r="AI92" s="499"/>
      <c r="AJ92" s="499"/>
      <c r="AK92" s="499"/>
      <c r="AL92" s="499"/>
      <c r="AM92" s="499"/>
      <c r="AN92" s="499"/>
    </row>
    <row r="93" spans="1:40" ht="24" customHeight="1">
      <c r="A93" s="493" t="s">
        <v>288</v>
      </c>
      <c r="B93" s="499" t="s">
        <v>74</v>
      </c>
      <c r="C93" s="568" t="s">
        <v>16</v>
      </c>
      <c r="D93" s="510"/>
      <c r="E93" s="510"/>
      <c r="F93" s="508">
        <v>1486216.1620087216</v>
      </c>
      <c r="G93" s="530"/>
      <c r="H93" s="510"/>
      <c r="I93" s="508">
        <v>1486216.1620087216</v>
      </c>
      <c r="J93" s="509"/>
      <c r="K93" s="510"/>
      <c r="L93" s="508">
        <v>1873950.2200000002</v>
      </c>
      <c r="M93" s="140"/>
      <c r="N93" s="141"/>
      <c r="O93" s="509"/>
      <c r="P93" s="510"/>
      <c r="Q93" s="508">
        <v>1425396.5399999998</v>
      </c>
      <c r="R93" s="140"/>
      <c r="S93" s="142"/>
      <c r="T93" s="504"/>
      <c r="U93" s="504"/>
      <c r="V93" s="499"/>
      <c r="W93" s="499"/>
      <c r="X93" s="499"/>
      <c r="Y93" s="499"/>
      <c r="Z93" s="499"/>
      <c r="AA93" s="499"/>
      <c r="AB93" s="499"/>
      <c r="AC93" s="499"/>
      <c r="AD93" s="499"/>
      <c r="AE93" s="499"/>
      <c r="AF93" s="499"/>
      <c r="AG93" s="499"/>
      <c r="AH93" s="499"/>
      <c r="AI93" s="499"/>
      <c r="AJ93" s="499"/>
      <c r="AK93" s="499"/>
      <c r="AL93" s="499"/>
      <c r="AM93" s="499"/>
      <c r="AN93" s="499"/>
    </row>
    <row r="94" spans="1:40" ht="21.75" customHeight="1">
      <c r="A94" s="493" t="s">
        <v>289</v>
      </c>
      <c r="B94" s="499" t="s">
        <v>74</v>
      </c>
      <c r="C94" s="513" t="s">
        <v>76</v>
      </c>
      <c r="D94" s="514">
        <v>45.364077669902912</v>
      </c>
      <c r="E94" s="514">
        <v>1300</v>
      </c>
      <c r="F94" s="514">
        <v>58973.300970873788</v>
      </c>
      <c r="G94" s="515">
        <v>45.364077669902912</v>
      </c>
      <c r="H94" s="514">
        <v>1300</v>
      </c>
      <c r="I94" s="514">
        <v>58973.300970873788</v>
      </c>
      <c r="J94" s="515">
        <v>34</v>
      </c>
      <c r="K94" s="514">
        <v>2572.5085294117634</v>
      </c>
      <c r="L94" s="517">
        <v>87465.28999999995</v>
      </c>
      <c r="M94" s="515">
        <v>-11.364077669902912</v>
      </c>
      <c r="N94" s="517">
        <v>28491.989029126162</v>
      </c>
      <c r="O94" s="515">
        <v>38</v>
      </c>
      <c r="P94" s="514">
        <v>1319.4100000000019</v>
      </c>
      <c r="Q94" s="517">
        <v>50137.580000000075</v>
      </c>
      <c r="R94" s="515">
        <v>-4</v>
      </c>
      <c r="S94" s="518">
        <v>37327.709999999875</v>
      </c>
      <c r="T94" s="504"/>
      <c r="U94" s="504"/>
      <c r="V94" s="499"/>
      <c r="W94" s="499"/>
      <c r="X94" s="499"/>
      <c r="Y94" s="499"/>
      <c r="Z94" s="499"/>
      <c r="AA94" s="499"/>
      <c r="AB94" s="499"/>
      <c r="AC94" s="499"/>
      <c r="AD94" s="499"/>
      <c r="AE94" s="499"/>
      <c r="AF94" s="499"/>
      <c r="AG94" s="499"/>
      <c r="AH94" s="499"/>
      <c r="AI94" s="499"/>
      <c r="AJ94" s="499"/>
      <c r="AK94" s="499"/>
      <c r="AL94" s="499"/>
      <c r="AM94" s="499"/>
      <c r="AN94" s="499"/>
    </row>
    <row r="95" spans="1:40" ht="18.75" customHeight="1">
      <c r="A95" s="493" t="s">
        <v>290</v>
      </c>
      <c r="B95" s="499" t="s">
        <v>74</v>
      </c>
      <c r="C95" s="513" t="s">
        <v>77</v>
      </c>
      <c r="D95" s="514">
        <v>2.5485436893203883</v>
      </c>
      <c r="E95" s="510">
        <v>900.00000000000011</v>
      </c>
      <c r="F95" s="514">
        <v>2293.6893203883496</v>
      </c>
      <c r="G95" s="515">
        <v>2.5485436893203883</v>
      </c>
      <c r="H95" s="514">
        <v>900.00000000000011</v>
      </c>
      <c r="I95" s="514">
        <v>2293.6893203883496</v>
      </c>
      <c r="J95" s="515">
        <v>2</v>
      </c>
      <c r="K95" s="514">
        <v>1700.3899999999999</v>
      </c>
      <c r="L95" s="516">
        <v>3400.7799999999997</v>
      </c>
      <c r="M95" s="515">
        <v>-0.54854368932038833</v>
      </c>
      <c r="N95" s="517">
        <v>1107.0906796116501</v>
      </c>
      <c r="O95" s="515">
        <v>1</v>
      </c>
      <c r="P95" s="514">
        <v>-527.79999999999995</v>
      </c>
      <c r="Q95" s="516">
        <v>-527.79999999999995</v>
      </c>
      <c r="R95" s="515">
        <v>1</v>
      </c>
      <c r="S95" s="518">
        <v>3928.58</v>
      </c>
      <c r="T95" s="504"/>
      <c r="U95" s="504"/>
      <c r="V95" s="614"/>
      <c r="W95" s="504"/>
      <c r="X95" s="504"/>
      <c r="Y95" s="504"/>
      <c r="Z95" s="504"/>
      <c r="AA95" s="504"/>
      <c r="AB95" s="504"/>
      <c r="AC95" s="50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</row>
    <row r="96" spans="1:40" ht="15.75" customHeight="1">
      <c r="A96" s="493" t="s">
        <v>291</v>
      </c>
      <c r="B96" s="499" t="s">
        <v>74</v>
      </c>
      <c r="C96" s="519" t="s">
        <v>78</v>
      </c>
      <c r="D96" s="520">
        <v>47.912621359223301</v>
      </c>
      <c r="E96" s="514">
        <v>1278.7234042553191</v>
      </c>
      <c r="F96" s="521">
        <v>61266.99029126214</v>
      </c>
      <c r="G96" s="522">
        <v>47.912621359223301</v>
      </c>
      <c r="H96" s="520">
        <v>1278.7234042553191</v>
      </c>
      <c r="I96" s="521">
        <v>61266.99029126214</v>
      </c>
      <c r="J96" s="522">
        <v>36</v>
      </c>
      <c r="K96" s="520">
        <v>2524.0574999999985</v>
      </c>
      <c r="L96" s="521">
        <v>90866.069999999949</v>
      </c>
      <c r="M96" s="522">
        <v>-11.912621359223301</v>
      </c>
      <c r="N96" s="521">
        <v>29599.079708737809</v>
      </c>
      <c r="O96" s="522">
        <v>39</v>
      </c>
      <c r="P96" s="520">
        <v>1272.0456410256429</v>
      </c>
      <c r="Q96" s="521">
        <v>49609.780000000072</v>
      </c>
      <c r="R96" s="522">
        <v>-3</v>
      </c>
      <c r="S96" s="523">
        <v>41256.289999999877</v>
      </c>
      <c r="T96" s="504"/>
      <c r="U96" s="504"/>
      <c r="V96" s="504"/>
      <c r="W96" s="504"/>
      <c r="X96" s="504"/>
      <c r="Y96" s="504"/>
      <c r="Z96" s="504"/>
      <c r="AA96" s="504"/>
      <c r="AB96" s="504"/>
      <c r="AC96" s="565"/>
      <c r="AD96" s="504"/>
      <c r="AE96" s="504"/>
      <c r="AF96" s="565"/>
      <c r="AG96" s="504"/>
      <c r="AH96" s="504"/>
      <c r="AI96" s="504"/>
      <c r="AJ96" s="504"/>
      <c r="AK96" s="504"/>
      <c r="AL96" s="504"/>
      <c r="AM96" s="504"/>
      <c r="AN96" s="504"/>
    </row>
    <row r="97" spans="1:40" ht="15.75" customHeight="1">
      <c r="A97" s="493" t="s">
        <v>74</v>
      </c>
      <c r="B97" s="499" t="s">
        <v>74</v>
      </c>
      <c r="C97" s="513"/>
      <c r="D97" s="504"/>
      <c r="E97" s="514">
        <v>0</v>
      </c>
      <c r="F97" s="524"/>
      <c r="G97" s="525"/>
      <c r="H97" s="504">
        <v>0</v>
      </c>
      <c r="I97" s="524"/>
      <c r="J97" s="525"/>
      <c r="K97" s="504"/>
      <c r="L97" s="524"/>
      <c r="M97" s="526">
        <v>-0.24863221884498482</v>
      </c>
      <c r="N97" s="527">
        <v>0.48311626812455338</v>
      </c>
      <c r="O97" s="525"/>
      <c r="P97" s="504"/>
      <c r="Q97" s="524"/>
      <c r="R97" s="526">
        <v>-7.6923076923076927E-2</v>
      </c>
      <c r="S97" s="528">
        <v>0.83161606441310199</v>
      </c>
      <c r="T97" s="504"/>
      <c r="U97" s="504"/>
      <c r="V97" s="504"/>
      <c r="W97" s="504"/>
      <c r="X97" s="504"/>
      <c r="Y97" s="504"/>
      <c r="Z97" s="504"/>
      <c r="AA97" s="504"/>
      <c r="AB97" s="504"/>
      <c r="AC97" s="499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</row>
    <row r="98" spans="1:40" ht="15.75" customHeight="1">
      <c r="A98" s="493" t="s">
        <v>292</v>
      </c>
      <c r="B98" s="499" t="s">
        <v>74</v>
      </c>
      <c r="C98" s="513" t="s">
        <v>196</v>
      </c>
      <c r="D98" s="514"/>
      <c r="E98" s="514"/>
      <c r="F98" s="514"/>
      <c r="G98" s="514"/>
      <c r="H98" s="514"/>
      <c r="I98" s="514"/>
      <c r="J98" s="515"/>
      <c r="K98" s="514"/>
      <c r="L98" s="517"/>
      <c r="M98" s="515"/>
      <c r="N98" s="517"/>
      <c r="O98" s="515"/>
      <c r="P98" s="514"/>
      <c r="Q98" s="517"/>
      <c r="R98" s="515"/>
      <c r="S98" s="518"/>
      <c r="T98" s="504"/>
      <c r="U98" s="504"/>
      <c r="V98" s="504"/>
      <c r="W98" s="504"/>
      <c r="X98" s="504"/>
      <c r="Y98" s="504"/>
      <c r="Z98" s="504"/>
      <c r="AA98" s="504"/>
      <c r="AB98" s="504"/>
      <c r="AC98" s="499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</row>
    <row r="99" spans="1:40" ht="15.75" customHeight="1">
      <c r="A99" s="493" t="s">
        <v>293</v>
      </c>
      <c r="B99" s="499" t="s">
        <v>74</v>
      </c>
      <c r="C99" s="513" t="s">
        <v>79</v>
      </c>
      <c r="D99" s="514">
        <v>41.693223645356447</v>
      </c>
      <c r="E99" s="514">
        <v>212</v>
      </c>
      <c r="F99" s="514">
        <v>8838.9634128155667</v>
      </c>
      <c r="G99" s="514">
        <v>41.693223645356447</v>
      </c>
      <c r="H99" s="514">
        <v>212</v>
      </c>
      <c r="I99" s="514">
        <v>8838.9634128155667</v>
      </c>
      <c r="J99" s="515">
        <v>34</v>
      </c>
      <c r="K99" s="514">
        <v>-56.072058823528039</v>
      </c>
      <c r="L99" s="517">
        <v>-1906.4499999999534</v>
      </c>
      <c r="M99" s="515">
        <v>-7.6932236453564471</v>
      </c>
      <c r="N99" s="517">
        <v>-10745.41341281552</v>
      </c>
      <c r="O99" s="515">
        <v>41</v>
      </c>
      <c r="P99" s="514">
        <v>611.62902439024344</v>
      </c>
      <c r="Q99" s="517">
        <v>25076.789999999979</v>
      </c>
      <c r="R99" s="515">
        <v>-7</v>
      </c>
      <c r="S99" s="518">
        <v>-26983.239999999932</v>
      </c>
      <c r="T99" s="504"/>
      <c r="U99" s="504"/>
      <c r="V99" s="504">
        <v>-54</v>
      </c>
      <c r="W99" s="504">
        <v>0</v>
      </c>
      <c r="X99" s="504"/>
      <c r="Y99" s="504"/>
      <c r="Z99" s="504"/>
      <c r="AA99" s="504"/>
      <c r="AB99" s="504"/>
      <c r="AC99" s="565"/>
      <c r="AD99" s="504"/>
      <c r="AE99" s="504"/>
      <c r="AF99" s="615"/>
      <c r="AG99" s="504"/>
      <c r="AH99" s="504"/>
      <c r="AI99" s="504"/>
      <c r="AJ99" s="504"/>
      <c r="AK99" s="504"/>
      <c r="AL99" s="504"/>
      <c r="AM99" s="504"/>
      <c r="AN99" s="504"/>
    </row>
    <row r="100" spans="1:40" ht="15.75" customHeight="1">
      <c r="A100" s="493" t="s">
        <v>74</v>
      </c>
      <c r="B100" s="499" t="s">
        <v>74</v>
      </c>
      <c r="C100" s="568"/>
      <c r="D100" s="510"/>
      <c r="E100" s="510"/>
      <c r="F100" s="532"/>
      <c r="G100" s="535"/>
      <c r="H100" s="531"/>
      <c r="I100" s="532"/>
      <c r="J100" s="535"/>
      <c r="K100" s="531"/>
      <c r="L100" s="532"/>
      <c r="M100" s="533"/>
      <c r="N100" s="616"/>
      <c r="O100" s="535"/>
      <c r="P100" s="531"/>
      <c r="Q100" s="532"/>
      <c r="R100" s="533"/>
      <c r="S100" s="617"/>
      <c r="T100" s="504"/>
      <c r="U100" s="504"/>
      <c r="V100" s="504">
        <v>200</v>
      </c>
      <c r="W100" s="504">
        <v>0</v>
      </c>
      <c r="X100" s="504"/>
      <c r="Y100" s="504"/>
      <c r="Z100" s="504"/>
      <c r="AA100" s="504"/>
      <c r="AB100" s="504"/>
      <c r="AC100" s="504"/>
      <c r="AD100" s="504"/>
      <c r="AE100" s="504"/>
      <c r="AF100" s="615"/>
      <c r="AG100" s="504"/>
      <c r="AH100" s="504"/>
      <c r="AI100" s="504"/>
      <c r="AJ100" s="504"/>
      <c r="AK100" s="504"/>
      <c r="AL100" s="504"/>
      <c r="AM100" s="504"/>
      <c r="AN100" s="504"/>
    </row>
    <row r="101" spans="1:40" ht="15.75" customHeight="1">
      <c r="A101" s="493" t="s">
        <v>294</v>
      </c>
      <c r="B101" s="499" t="s">
        <v>74</v>
      </c>
      <c r="C101" s="513" t="s">
        <v>26</v>
      </c>
      <c r="D101" s="514">
        <v>0</v>
      </c>
      <c r="E101" s="514">
        <v>0</v>
      </c>
      <c r="F101" s="517">
        <v>31572.544671382038</v>
      </c>
      <c r="G101" s="515">
        <v>0</v>
      </c>
      <c r="H101" s="514">
        <v>0</v>
      </c>
      <c r="I101" s="514">
        <v>31572.544671382038</v>
      </c>
      <c r="J101" s="515"/>
      <c r="K101" s="514">
        <v>1201.3561111111112</v>
      </c>
      <c r="L101" s="517">
        <v>43248.82</v>
      </c>
      <c r="M101" s="515"/>
      <c r="N101" s="517">
        <v>11676.275328617961</v>
      </c>
      <c r="O101" s="515"/>
      <c r="P101" s="514">
        <v>799.67384615384617</v>
      </c>
      <c r="Q101" s="517">
        <v>31187.279999999999</v>
      </c>
      <c r="R101" s="515">
        <v>-1201.3561111111112</v>
      </c>
      <c r="S101" s="518">
        <v>12061.54</v>
      </c>
      <c r="T101" s="504"/>
      <c r="U101" s="504"/>
      <c r="V101" s="504"/>
      <c r="W101" s="504">
        <v>0</v>
      </c>
      <c r="X101" s="504"/>
      <c r="Y101" s="504"/>
      <c r="Z101" s="504"/>
      <c r="AA101" s="504"/>
      <c r="AB101" s="504"/>
      <c r="AC101" s="50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</row>
    <row r="102" spans="1:40" ht="15.75" customHeight="1">
      <c r="A102" s="493" t="s">
        <v>295</v>
      </c>
      <c r="B102" s="499" t="s">
        <v>74</v>
      </c>
      <c r="C102" s="513" t="s">
        <v>27</v>
      </c>
      <c r="D102" s="514">
        <v>0</v>
      </c>
      <c r="E102" s="514">
        <v>0</v>
      </c>
      <c r="F102" s="517">
        <v>55667.024227508307</v>
      </c>
      <c r="G102" s="515">
        <v>0</v>
      </c>
      <c r="H102" s="514">
        <v>0</v>
      </c>
      <c r="I102" s="514">
        <v>55667.024227508307</v>
      </c>
      <c r="J102" s="515"/>
      <c r="K102" s="514">
        <v>1261.9402777777777</v>
      </c>
      <c r="L102" s="517">
        <v>45429.85</v>
      </c>
      <c r="M102" s="515"/>
      <c r="N102" s="517">
        <v>-10237.174227508309</v>
      </c>
      <c r="O102" s="515"/>
      <c r="P102" s="514">
        <v>1285.4225641025639</v>
      </c>
      <c r="Q102" s="517">
        <v>50131.479999999996</v>
      </c>
      <c r="R102" s="515">
        <v>-1261.9402777777777</v>
      </c>
      <c r="S102" s="518">
        <v>-4701.6299999999974</v>
      </c>
      <c r="T102" s="504"/>
      <c r="U102" s="504"/>
      <c r="V102" s="504"/>
      <c r="W102" s="504"/>
      <c r="X102" s="504"/>
      <c r="Y102" s="504"/>
      <c r="Z102" s="504"/>
      <c r="AA102" s="504"/>
      <c r="AB102" s="504"/>
      <c r="AC102" s="50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</row>
    <row r="103" spans="1:40" ht="15.75" customHeight="1">
      <c r="A103" s="493" t="s">
        <v>296</v>
      </c>
      <c r="B103" s="499" t="s">
        <v>74</v>
      </c>
      <c r="C103" s="513" t="s">
        <v>28</v>
      </c>
      <c r="D103" s="514">
        <v>0</v>
      </c>
      <c r="E103" s="510">
        <v>0</v>
      </c>
      <c r="F103" s="517">
        <v>1578.8745557794468</v>
      </c>
      <c r="G103" s="515">
        <v>0</v>
      </c>
      <c r="H103" s="531">
        <v>0</v>
      </c>
      <c r="I103" s="514">
        <v>1578.8745557794468</v>
      </c>
      <c r="J103" s="515"/>
      <c r="K103" s="531">
        <v>41.279166666666669</v>
      </c>
      <c r="L103" s="517">
        <v>1486.05</v>
      </c>
      <c r="M103" s="535"/>
      <c r="N103" s="517">
        <v>-92.824555779446882</v>
      </c>
      <c r="O103" s="515"/>
      <c r="P103" s="531">
        <v>41.958461538461542</v>
      </c>
      <c r="Q103" s="517">
        <v>1636.38</v>
      </c>
      <c r="R103" s="515">
        <v>-41.279166666666669</v>
      </c>
      <c r="S103" s="518">
        <v>-150.33000000000015</v>
      </c>
      <c r="T103" s="504"/>
      <c r="U103" s="504"/>
      <c r="V103" s="504"/>
      <c r="W103" s="504"/>
      <c r="X103" s="504"/>
      <c r="Y103" s="504"/>
      <c r="Z103" s="504"/>
      <c r="AA103" s="504"/>
      <c r="AB103" s="504"/>
      <c r="AC103" s="50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</row>
    <row r="104" spans="1:40" ht="15.75" customHeight="1">
      <c r="A104" s="493" t="s">
        <v>297</v>
      </c>
      <c r="B104" s="499" t="s">
        <v>74</v>
      </c>
      <c r="C104" s="519" t="s">
        <v>29</v>
      </c>
      <c r="D104" s="520">
        <v>47.912621359223301</v>
      </c>
      <c r="E104" s="514">
        <v>1853.758799560484</v>
      </c>
      <c r="F104" s="521">
        <v>88818.443454669788</v>
      </c>
      <c r="G104" s="522">
        <v>47.912621359223301</v>
      </c>
      <c r="H104" s="520">
        <v>1853.758799560484</v>
      </c>
      <c r="I104" s="521">
        <v>88818.443454669788</v>
      </c>
      <c r="J104" s="522">
        <v>36</v>
      </c>
      <c r="K104" s="520">
        <v>2504.5755555555556</v>
      </c>
      <c r="L104" s="521">
        <v>90164.72</v>
      </c>
      <c r="M104" s="515">
        <v>-11.912621359223301</v>
      </c>
      <c r="N104" s="521">
        <v>1346.2765453302127</v>
      </c>
      <c r="O104" s="522">
        <v>39</v>
      </c>
      <c r="P104" s="520">
        <v>2127.0548717948718</v>
      </c>
      <c r="Q104" s="521">
        <v>82955.14</v>
      </c>
      <c r="R104" s="541"/>
      <c r="S104" s="523">
        <v>7209.5800000000017</v>
      </c>
      <c r="T104" s="504"/>
      <c r="U104" s="504"/>
      <c r="V104" s="504"/>
      <c r="W104" s="504"/>
      <c r="X104" s="504"/>
      <c r="Y104" s="504"/>
      <c r="Z104" s="504"/>
      <c r="AA104" s="504"/>
      <c r="AB104" s="504"/>
      <c r="AC104" s="50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</row>
    <row r="105" spans="1:40" ht="15.75" customHeight="1">
      <c r="A105" s="493" t="s">
        <v>74</v>
      </c>
      <c r="B105" s="499" t="s">
        <v>74</v>
      </c>
      <c r="C105" s="513"/>
      <c r="D105" s="504"/>
      <c r="E105" s="504"/>
      <c r="F105" s="545"/>
      <c r="G105" s="525"/>
      <c r="H105" s="618"/>
      <c r="I105" s="545"/>
      <c r="J105" s="525"/>
      <c r="K105" s="504"/>
      <c r="L105" s="545"/>
      <c r="M105" s="526"/>
      <c r="N105" s="527">
        <v>1.515762372054303E-2</v>
      </c>
      <c r="O105" s="525"/>
      <c r="P105" s="504"/>
      <c r="Q105" s="545"/>
      <c r="R105" s="546"/>
      <c r="S105" s="528">
        <v>8.6909382589192202E-2</v>
      </c>
      <c r="T105" s="504"/>
      <c r="U105" s="504"/>
      <c r="V105" s="504"/>
      <c r="W105" s="504"/>
      <c r="X105" s="504"/>
      <c r="Y105" s="504"/>
      <c r="Z105" s="504"/>
      <c r="AA105" s="504"/>
      <c r="AB105" s="504"/>
      <c r="AC105" s="50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</row>
    <row r="106" spans="1:40" ht="15.75" customHeight="1" thickBot="1">
      <c r="A106" s="493" t="s">
        <v>74</v>
      </c>
      <c r="B106" s="499" t="s">
        <v>74</v>
      </c>
      <c r="C106" s="513"/>
      <c r="D106" s="504"/>
      <c r="E106" s="504"/>
      <c r="F106" s="545"/>
      <c r="G106" s="525"/>
      <c r="H106" s="618"/>
      <c r="I106" s="545"/>
      <c r="J106" s="525"/>
      <c r="K106" s="504"/>
      <c r="L106" s="545"/>
      <c r="M106" s="526"/>
      <c r="N106" s="527"/>
      <c r="O106" s="525"/>
      <c r="P106" s="504"/>
      <c r="Q106" s="545"/>
      <c r="R106" s="546"/>
      <c r="S106" s="528"/>
      <c r="T106" s="504"/>
      <c r="U106" s="504"/>
      <c r="V106" s="504"/>
      <c r="W106" s="504"/>
      <c r="X106" s="504"/>
      <c r="Y106" s="504"/>
      <c r="Z106" s="504"/>
      <c r="AA106" s="504"/>
      <c r="AB106" s="504"/>
      <c r="AC106" s="50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</row>
    <row r="107" spans="1:40" ht="23.25" customHeight="1" thickTop="1">
      <c r="A107" s="493" t="s">
        <v>298</v>
      </c>
      <c r="B107" s="499" t="s">
        <v>74</v>
      </c>
      <c r="C107" s="548" t="s">
        <v>80</v>
      </c>
      <c r="D107" s="549">
        <v>89.605845004579749</v>
      </c>
      <c r="E107" s="553">
        <v>1773.5940903255237</v>
      </c>
      <c r="F107" s="551">
        <v>158924.39715874748</v>
      </c>
      <c r="G107" s="552">
        <v>89.605845004579749</v>
      </c>
      <c r="H107" s="553">
        <v>1773.5940903255237</v>
      </c>
      <c r="I107" s="551">
        <v>158924.39715874748</v>
      </c>
      <c r="J107" s="552">
        <v>70</v>
      </c>
      <c r="K107" s="553">
        <v>2558.919142857143</v>
      </c>
      <c r="L107" s="551">
        <v>179124.34</v>
      </c>
      <c r="M107" s="552">
        <v>-19.605845004579749</v>
      </c>
      <c r="N107" s="551">
        <v>20199.942841252516</v>
      </c>
      <c r="O107" s="552">
        <v>80</v>
      </c>
      <c r="P107" s="553">
        <v>1970.5213750000007</v>
      </c>
      <c r="Q107" s="551">
        <v>157641.71000000005</v>
      </c>
      <c r="R107" s="552">
        <v>-10</v>
      </c>
      <c r="S107" s="554">
        <v>21482.629999999946</v>
      </c>
      <c r="T107" s="504"/>
      <c r="U107" s="504"/>
      <c r="V107" s="504"/>
      <c r="W107" s="504"/>
      <c r="X107" s="504"/>
      <c r="Y107" s="504"/>
      <c r="Z107" s="504"/>
      <c r="AA107" s="504"/>
      <c r="AB107" s="504"/>
      <c r="AC107" s="50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</row>
    <row r="108" spans="1:40" ht="19.5" customHeight="1" thickBot="1">
      <c r="A108" s="493" t="s">
        <v>74</v>
      </c>
      <c r="B108" s="499" t="s">
        <v>74</v>
      </c>
      <c r="C108" s="555"/>
      <c r="D108" s="556"/>
      <c r="E108" s="556"/>
      <c r="F108" s="557"/>
      <c r="G108" s="558"/>
      <c r="H108" s="556"/>
      <c r="I108" s="557"/>
      <c r="J108" s="558"/>
      <c r="K108" s="556"/>
      <c r="L108" s="557"/>
      <c r="M108" s="559">
        <v>-0.21880096107098476</v>
      </c>
      <c r="N108" s="560">
        <v>0.12710410234292133</v>
      </c>
      <c r="O108" s="558"/>
      <c r="P108" s="556"/>
      <c r="Q108" s="557"/>
      <c r="R108" s="559">
        <v>-8</v>
      </c>
      <c r="S108" s="619">
        <v>0.13627503786910164</v>
      </c>
      <c r="T108" s="504"/>
      <c r="U108" s="504"/>
      <c r="V108" s="504"/>
      <c r="W108" s="504"/>
      <c r="X108" s="504"/>
      <c r="Y108" s="504"/>
      <c r="Z108" s="504"/>
      <c r="AA108" s="504"/>
      <c r="AB108" s="504"/>
      <c r="AC108" s="50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</row>
    <row r="109" spans="1:40" ht="15.75" customHeight="1" thickTop="1">
      <c r="A109" s="493" t="s">
        <v>74</v>
      </c>
      <c r="B109" s="499" t="s">
        <v>74</v>
      </c>
      <c r="C109" s="538"/>
      <c r="D109" s="562"/>
      <c r="E109" s="562"/>
      <c r="F109" s="563"/>
      <c r="G109" s="564"/>
      <c r="H109" s="562"/>
      <c r="I109" s="563"/>
      <c r="J109" s="564"/>
      <c r="K109" s="562"/>
      <c r="L109" s="563"/>
      <c r="M109" s="526"/>
      <c r="N109" s="527"/>
      <c r="O109" s="564"/>
      <c r="P109" s="562"/>
      <c r="Q109" s="563"/>
      <c r="R109" s="526"/>
      <c r="S109" s="528"/>
      <c r="T109" s="504"/>
      <c r="U109" s="504"/>
      <c r="V109" s="504"/>
      <c r="W109" s="504"/>
      <c r="X109" s="504"/>
      <c r="Y109" s="504"/>
      <c r="Z109" s="504"/>
      <c r="AA109" s="504"/>
      <c r="AB109" s="504"/>
      <c r="AC109" s="50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</row>
    <row r="110" spans="1:40" ht="15.75" customHeight="1">
      <c r="A110" s="493" t="s">
        <v>299</v>
      </c>
      <c r="B110" s="499" t="s">
        <v>74</v>
      </c>
      <c r="C110" s="80" t="s">
        <v>31</v>
      </c>
      <c r="D110" s="504"/>
      <c r="E110" s="81"/>
      <c r="F110" s="545"/>
      <c r="G110" s="525"/>
      <c r="H110" s="81"/>
      <c r="I110" s="545"/>
      <c r="J110" s="525"/>
      <c r="K110" s="81"/>
      <c r="L110" s="524"/>
      <c r="M110" s="525"/>
      <c r="N110" s="524"/>
      <c r="O110" s="525"/>
      <c r="P110" s="81"/>
      <c r="Q110" s="524"/>
      <c r="R110" s="525"/>
      <c r="S110" s="547"/>
      <c r="T110" s="504"/>
      <c r="U110" s="504"/>
      <c r="V110" s="504"/>
      <c r="W110" s="504"/>
      <c r="X110" s="504"/>
      <c r="Y110" s="504"/>
      <c r="Z110" s="504"/>
      <c r="AA110" s="504"/>
      <c r="AB110" s="504"/>
      <c r="AC110" s="50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</row>
    <row r="111" spans="1:40" ht="15.75" customHeight="1">
      <c r="A111" s="493" t="s">
        <v>300</v>
      </c>
      <c r="B111" s="499" t="s">
        <v>74</v>
      </c>
      <c r="C111" s="513" t="s">
        <v>32</v>
      </c>
      <c r="D111" s="82"/>
      <c r="E111" s="565">
        <v>484.42173252279639</v>
      </c>
      <c r="F111" s="514">
        <v>23209.915048543691</v>
      </c>
      <c r="G111" s="566">
        <v>0.37883230330401713</v>
      </c>
      <c r="H111" s="565">
        <v>484.42173252279639</v>
      </c>
      <c r="I111" s="514">
        <v>23209.915048543691</v>
      </c>
      <c r="J111" s="566">
        <v>0.31371324852059757</v>
      </c>
      <c r="K111" s="565">
        <v>791.83027777777772</v>
      </c>
      <c r="L111" s="517">
        <v>28505.89</v>
      </c>
      <c r="M111" s="525"/>
      <c r="N111" s="545">
        <v>5295.9749514563082</v>
      </c>
      <c r="O111" s="525"/>
      <c r="P111" s="565">
        <v>483.59025641025642</v>
      </c>
      <c r="Q111" s="517">
        <v>18860.02</v>
      </c>
      <c r="R111" s="525"/>
      <c r="S111" s="567">
        <v>9645.869999999999</v>
      </c>
      <c r="T111" s="504"/>
      <c r="U111" s="504"/>
      <c r="V111" s="504"/>
      <c r="W111" s="504"/>
      <c r="X111" s="504"/>
      <c r="Y111" s="504"/>
      <c r="Z111" s="504"/>
      <c r="AA111" s="504"/>
      <c r="AB111" s="504"/>
      <c r="AC111" s="50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</row>
    <row r="112" spans="1:40" ht="15.75" customHeight="1">
      <c r="A112" s="493" t="s">
        <v>301</v>
      </c>
      <c r="B112" s="499" t="s">
        <v>74</v>
      </c>
      <c r="C112" s="568" t="s">
        <v>33</v>
      </c>
      <c r="D112" s="89"/>
      <c r="E112" s="569">
        <v>556.12763986814514</v>
      </c>
      <c r="F112" s="508">
        <v>26645.533036400935</v>
      </c>
      <c r="G112" s="570">
        <v>0.3</v>
      </c>
      <c r="H112" s="569">
        <v>556.12763986814514</v>
      </c>
      <c r="I112" s="508">
        <v>26645.533036400935</v>
      </c>
      <c r="J112" s="570">
        <v>0.30230127704050985</v>
      </c>
      <c r="K112" s="569">
        <v>757.13638888888886</v>
      </c>
      <c r="L112" s="517">
        <v>27256.91</v>
      </c>
      <c r="M112" s="509"/>
      <c r="N112" s="573">
        <v>611.37696359906477</v>
      </c>
      <c r="O112" s="509"/>
      <c r="P112" s="569">
        <v>621.66871794871804</v>
      </c>
      <c r="Q112" s="517">
        <v>24245.08</v>
      </c>
      <c r="R112" s="509"/>
      <c r="S112" s="574">
        <v>3011.8299999999981</v>
      </c>
      <c r="T112" s="504"/>
      <c r="U112" s="504"/>
      <c r="V112" s="504"/>
      <c r="W112" s="504"/>
      <c r="X112" s="504"/>
      <c r="Y112" s="504"/>
      <c r="Z112" s="504"/>
      <c r="AA112" s="504"/>
      <c r="AB112" s="504"/>
      <c r="AC112" s="50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</row>
    <row r="113" spans="1:40" ht="15.75" customHeight="1">
      <c r="A113" s="493" t="s">
        <v>302</v>
      </c>
      <c r="B113" s="499" t="s">
        <v>74</v>
      </c>
      <c r="C113" s="513" t="s">
        <v>34</v>
      </c>
      <c r="D113" s="82"/>
      <c r="E113" s="565">
        <v>69.809353301886787</v>
      </c>
      <c r="F113" s="514">
        <v>3344.7491120855466</v>
      </c>
      <c r="G113" s="84"/>
      <c r="H113" s="565">
        <v>69.809353301886787</v>
      </c>
      <c r="I113" s="514">
        <v>3344.7491120855466</v>
      </c>
      <c r="J113" s="525"/>
      <c r="K113" s="565">
        <v>3.5430555555555556</v>
      </c>
      <c r="L113" s="589">
        <v>127.55</v>
      </c>
      <c r="M113" s="525"/>
      <c r="N113" s="545">
        <v>-3217.1991120855464</v>
      </c>
      <c r="O113" s="525"/>
      <c r="P113" s="565">
        <v>63.044102564102559</v>
      </c>
      <c r="Q113" s="589">
        <v>2458.7199999999998</v>
      </c>
      <c r="R113" s="525"/>
      <c r="S113" s="567">
        <v>-2331.1699999999996</v>
      </c>
      <c r="T113" s="504"/>
      <c r="U113" s="504"/>
      <c r="V113" s="504"/>
      <c r="W113" s="504"/>
      <c r="X113" s="504"/>
      <c r="Y113" s="504"/>
      <c r="Z113" s="504"/>
      <c r="AA113" s="504"/>
      <c r="AB113" s="504"/>
      <c r="AC113" s="50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</row>
    <row r="114" spans="1:40" ht="15.75" customHeight="1">
      <c r="A114" s="493" t="s">
        <v>303</v>
      </c>
      <c r="B114" s="499" t="s">
        <v>74</v>
      </c>
      <c r="C114" s="513" t="s">
        <v>35</v>
      </c>
      <c r="D114" s="82"/>
      <c r="E114" s="565">
        <v>33.51101497641509</v>
      </c>
      <c r="F114" s="514">
        <v>1605.6005719282375</v>
      </c>
      <c r="G114" s="84"/>
      <c r="H114" s="565">
        <v>33.51101497641509</v>
      </c>
      <c r="I114" s="514">
        <v>1605.6005719282375</v>
      </c>
      <c r="J114" s="525"/>
      <c r="K114" s="565">
        <v>0</v>
      </c>
      <c r="L114" s="517">
        <v>0</v>
      </c>
      <c r="M114" s="525"/>
      <c r="N114" s="545">
        <v>-1605.6005719282375</v>
      </c>
      <c r="O114" s="525"/>
      <c r="P114" s="565">
        <v>3.1074358974358973</v>
      </c>
      <c r="Q114" s="517">
        <v>121.19</v>
      </c>
      <c r="R114" s="525"/>
      <c r="S114" s="567">
        <v>-121.19</v>
      </c>
      <c r="T114" s="504"/>
      <c r="U114" s="504"/>
      <c r="V114" s="504"/>
      <c r="W114" s="514"/>
      <c r="X114" s="504"/>
      <c r="Y114" s="504"/>
      <c r="Z114" s="504"/>
      <c r="AA114" s="504"/>
      <c r="AB114" s="504"/>
      <c r="AC114" s="50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</row>
    <row r="115" spans="1:40" ht="15.75" customHeight="1">
      <c r="A115" s="493" t="s">
        <v>304</v>
      </c>
      <c r="B115" s="499" t="s">
        <v>74</v>
      </c>
      <c r="C115" s="568" t="s">
        <v>36</v>
      </c>
      <c r="D115" s="89"/>
      <c r="E115" s="569">
        <v>88.549952830188673</v>
      </c>
      <c r="F115" s="508">
        <v>4242.6603613299139</v>
      </c>
      <c r="G115" s="91"/>
      <c r="H115" s="569">
        <v>88.549952830188673</v>
      </c>
      <c r="I115" s="508">
        <v>4242.6603613299139</v>
      </c>
      <c r="J115" s="509"/>
      <c r="K115" s="569">
        <v>153.47638888888889</v>
      </c>
      <c r="L115" s="532">
        <v>5525.15</v>
      </c>
      <c r="M115" s="509"/>
      <c r="N115" s="573">
        <v>1282.4896386700857</v>
      </c>
      <c r="O115" s="509"/>
      <c r="P115" s="569">
        <v>114.14435897435898</v>
      </c>
      <c r="Q115" s="532">
        <v>4451.63</v>
      </c>
      <c r="R115" s="509"/>
      <c r="S115" s="574">
        <v>1073.5199999999995</v>
      </c>
      <c r="T115" s="504"/>
      <c r="U115" s="504"/>
      <c r="V115" s="504"/>
      <c r="W115" s="504"/>
      <c r="X115" s="504"/>
      <c r="Y115" s="504"/>
      <c r="Z115" s="504"/>
      <c r="AA115" s="504"/>
      <c r="AB115" s="504"/>
      <c r="AC115" s="50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</row>
    <row r="116" spans="1:40" ht="19.5" customHeight="1">
      <c r="A116" s="493" t="s">
        <v>305</v>
      </c>
      <c r="B116" s="499" t="s">
        <v>74</v>
      </c>
      <c r="C116" s="513" t="s">
        <v>37</v>
      </c>
      <c r="D116" s="82"/>
      <c r="E116" s="565">
        <v>42.755319148936188</v>
      </c>
      <c r="F116" s="514">
        <v>2048.5194174757289</v>
      </c>
      <c r="G116" s="84"/>
      <c r="H116" s="565">
        <v>42.755319148936188</v>
      </c>
      <c r="I116" s="514">
        <v>2048.5194174757289</v>
      </c>
      <c r="J116" s="525"/>
      <c r="K116" s="565">
        <v>147.16194444444443</v>
      </c>
      <c r="L116" s="517">
        <v>5297.83</v>
      </c>
      <c r="M116" s="525"/>
      <c r="N116" s="545">
        <v>3249.310582524271</v>
      </c>
      <c r="O116" s="525"/>
      <c r="P116" s="565">
        <v>17.77128205128205</v>
      </c>
      <c r="Q116" s="517">
        <v>693.07999999999993</v>
      </c>
      <c r="R116" s="525"/>
      <c r="S116" s="567">
        <v>4604.75</v>
      </c>
      <c r="T116" s="504"/>
      <c r="U116" s="504"/>
      <c r="V116" s="504"/>
      <c r="W116" s="499"/>
      <c r="X116" s="504"/>
      <c r="Y116" s="504"/>
      <c r="Z116" s="504"/>
      <c r="AA116" s="504"/>
      <c r="AB116" s="504"/>
      <c r="AC116" s="50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</row>
    <row r="117" spans="1:40" ht="15.75" customHeight="1">
      <c r="A117" s="493" t="s">
        <v>306</v>
      </c>
      <c r="B117" s="499" t="s">
        <v>74</v>
      </c>
      <c r="C117" s="513" t="s">
        <v>38</v>
      </c>
      <c r="D117" s="82"/>
      <c r="E117" s="565">
        <v>19.305121393134119</v>
      </c>
      <c r="F117" s="514">
        <v>924.95897160307652</v>
      </c>
      <c r="G117" s="84"/>
      <c r="H117" s="565">
        <v>19.305121393134119</v>
      </c>
      <c r="I117" s="514">
        <v>924.95897160307652</v>
      </c>
      <c r="J117" s="525"/>
      <c r="K117" s="565">
        <v>102.61777777777777</v>
      </c>
      <c r="L117" s="517">
        <v>3694.24</v>
      </c>
      <c r="M117" s="525"/>
      <c r="N117" s="545">
        <v>2769.2810283969234</v>
      </c>
      <c r="O117" s="525"/>
      <c r="P117" s="565">
        <v>14.314102564102564</v>
      </c>
      <c r="Q117" s="517">
        <v>558.25</v>
      </c>
      <c r="R117" s="525"/>
      <c r="S117" s="567">
        <v>3135.99</v>
      </c>
      <c r="T117" s="504"/>
      <c r="U117" s="504"/>
      <c r="V117" s="504"/>
      <c r="W117" s="514"/>
      <c r="X117" s="504"/>
      <c r="Y117" s="504"/>
      <c r="Z117" s="504"/>
      <c r="AA117" s="504"/>
      <c r="AB117" s="504"/>
      <c r="AC117" s="50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</row>
    <row r="118" spans="1:40" ht="15.75" hidden="1" customHeight="1">
      <c r="A118" s="493" t="s">
        <v>307</v>
      </c>
      <c r="B118" s="499" t="s">
        <v>74</v>
      </c>
      <c r="C118" s="513" t="s">
        <v>21</v>
      </c>
      <c r="D118" s="82"/>
      <c r="E118" s="565">
        <v>0</v>
      </c>
      <c r="F118" s="514">
        <v>0</v>
      </c>
      <c r="G118" s="84"/>
      <c r="H118" s="565">
        <v>0</v>
      </c>
      <c r="I118" s="514">
        <v>0</v>
      </c>
      <c r="J118" s="525"/>
      <c r="K118" s="565">
        <v>0</v>
      </c>
      <c r="L118" s="517">
        <v>0</v>
      </c>
      <c r="M118" s="525"/>
      <c r="N118" s="545">
        <v>0</v>
      </c>
      <c r="O118" s="525"/>
      <c r="P118" s="565">
        <v>0</v>
      </c>
      <c r="Q118" s="517">
        <v>0</v>
      </c>
      <c r="R118" s="525"/>
      <c r="S118" s="567">
        <v>0</v>
      </c>
      <c r="T118" s="504"/>
      <c r="U118" s="504"/>
      <c r="V118" s="504"/>
      <c r="W118" s="504"/>
      <c r="X118" s="504"/>
      <c r="Y118" s="504"/>
      <c r="Z118" s="504"/>
      <c r="AA118" s="504"/>
      <c r="AB118" s="504"/>
      <c r="AC118" s="50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</row>
    <row r="119" spans="1:40" ht="15.75" hidden="1" customHeight="1">
      <c r="A119" s="493" t="s">
        <v>307</v>
      </c>
      <c r="B119" s="499" t="s">
        <v>74</v>
      </c>
      <c r="C119" s="513" t="s">
        <v>21</v>
      </c>
      <c r="D119" s="82"/>
      <c r="E119" s="565">
        <v>0</v>
      </c>
      <c r="F119" s="514">
        <v>0</v>
      </c>
      <c r="G119" s="84"/>
      <c r="H119" s="565">
        <v>0</v>
      </c>
      <c r="I119" s="514">
        <v>0</v>
      </c>
      <c r="J119" s="525"/>
      <c r="K119" s="565">
        <v>0</v>
      </c>
      <c r="L119" s="517">
        <v>0</v>
      </c>
      <c r="M119" s="525"/>
      <c r="N119" s="545">
        <v>0</v>
      </c>
      <c r="O119" s="525"/>
      <c r="P119" s="565">
        <v>0</v>
      </c>
      <c r="Q119" s="517">
        <v>0</v>
      </c>
      <c r="R119" s="525"/>
      <c r="S119" s="567">
        <v>0</v>
      </c>
      <c r="T119" s="504"/>
      <c r="U119" s="504"/>
      <c r="V119" s="504"/>
      <c r="W119" s="504"/>
      <c r="X119" s="504"/>
      <c r="Y119" s="504"/>
      <c r="Z119" s="504"/>
      <c r="AA119" s="504"/>
      <c r="AB119" s="504"/>
      <c r="AC119" s="50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</row>
    <row r="120" spans="1:40" ht="15.75" hidden="1" customHeight="1">
      <c r="A120" s="493" t="s">
        <v>307</v>
      </c>
      <c r="B120" s="499" t="s">
        <v>74</v>
      </c>
      <c r="C120" s="513" t="s">
        <v>21</v>
      </c>
      <c r="D120" s="82"/>
      <c r="E120" s="565">
        <v>0</v>
      </c>
      <c r="F120" s="514">
        <v>0</v>
      </c>
      <c r="G120" s="84"/>
      <c r="H120" s="565">
        <v>0</v>
      </c>
      <c r="I120" s="514">
        <v>0</v>
      </c>
      <c r="J120" s="525"/>
      <c r="K120" s="565">
        <v>0</v>
      </c>
      <c r="L120" s="517">
        <v>0</v>
      </c>
      <c r="M120" s="525"/>
      <c r="N120" s="545">
        <v>0</v>
      </c>
      <c r="O120" s="525"/>
      <c r="P120" s="565">
        <v>0</v>
      </c>
      <c r="Q120" s="517">
        <v>0</v>
      </c>
      <c r="R120" s="525"/>
      <c r="S120" s="567">
        <v>0</v>
      </c>
      <c r="T120" s="504"/>
      <c r="U120" s="504"/>
      <c r="V120" s="504"/>
      <c r="W120" s="504"/>
      <c r="X120" s="504"/>
      <c r="Y120" s="504"/>
      <c r="Z120" s="504"/>
      <c r="AA120" s="504"/>
      <c r="AB120" s="504"/>
      <c r="AC120" s="50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</row>
    <row r="121" spans="1:40" ht="15.75" customHeight="1">
      <c r="A121" s="493" t="s">
        <v>308</v>
      </c>
      <c r="B121" s="499" t="s">
        <v>74</v>
      </c>
      <c r="C121" s="578" t="s">
        <v>39</v>
      </c>
      <c r="D121" s="97" t="s">
        <v>40</v>
      </c>
      <c r="E121" s="579">
        <v>0.39026063731054611</v>
      </c>
      <c r="F121" s="580">
        <v>62021.936519367133</v>
      </c>
      <c r="G121" s="100" t="s">
        <v>40</v>
      </c>
      <c r="H121" s="579">
        <v>0.39026063731054611</v>
      </c>
      <c r="I121" s="580">
        <v>62021.936519367133</v>
      </c>
      <c r="J121" s="100" t="s">
        <v>40</v>
      </c>
      <c r="K121" s="579">
        <v>0.39306534220865802</v>
      </c>
      <c r="L121" s="580">
        <v>70407.570000000007</v>
      </c>
      <c r="M121" s="583"/>
      <c r="N121" s="580">
        <v>8385.6334806328741</v>
      </c>
      <c r="O121" s="100" t="s">
        <v>40</v>
      </c>
      <c r="P121" s="579">
        <v>0.32597952661132634</v>
      </c>
      <c r="Q121" s="580">
        <v>51387.970000000008</v>
      </c>
      <c r="R121" s="583"/>
      <c r="S121" s="584">
        <v>19019.599999999999</v>
      </c>
      <c r="T121" s="504"/>
      <c r="U121" s="504"/>
      <c r="X121" s="504"/>
      <c r="Y121" s="504"/>
      <c r="Z121" s="504"/>
      <c r="AA121" s="504"/>
      <c r="AB121" s="504"/>
      <c r="AC121" s="50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</row>
    <row r="122" spans="1:40" ht="20.399999999999999">
      <c r="A122" s="493" t="s">
        <v>309</v>
      </c>
      <c r="B122" s="499" t="s">
        <v>74</v>
      </c>
      <c r="C122" s="585" t="s">
        <v>42</v>
      </c>
      <c r="D122" s="504"/>
      <c r="E122" s="504"/>
      <c r="F122" s="514">
        <v>8074.4819923371651</v>
      </c>
      <c r="G122" s="525"/>
      <c r="H122" s="504"/>
      <c r="I122" s="514">
        <v>8074.4819923371651</v>
      </c>
      <c r="J122" s="525"/>
      <c r="K122" s="504"/>
      <c r="L122" s="517">
        <v>10842.74</v>
      </c>
      <c r="M122" s="525"/>
      <c r="N122" s="545">
        <v>2768.2580076628346</v>
      </c>
      <c r="O122" s="525"/>
      <c r="P122" s="504"/>
      <c r="Q122" s="517">
        <v>7917.04</v>
      </c>
      <c r="R122" s="525"/>
      <c r="S122" s="567">
        <v>2925.7</v>
      </c>
      <c r="T122" s="504"/>
      <c r="U122" s="504"/>
      <c r="V122" s="504"/>
      <c r="W122" s="504"/>
      <c r="X122" s="504"/>
      <c r="Y122" s="504"/>
      <c r="Z122" s="504"/>
      <c r="AA122" s="504"/>
      <c r="AB122" s="504"/>
      <c r="AC122" s="50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</row>
    <row r="123" spans="1:40" ht="20.399999999999999">
      <c r="A123" s="493" t="s">
        <v>310</v>
      </c>
      <c r="B123" s="499" t="s">
        <v>74</v>
      </c>
      <c r="C123" s="586" t="s">
        <v>43</v>
      </c>
      <c r="D123" s="82"/>
      <c r="E123" s="504"/>
      <c r="F123" s="508">
        <v>2182.6728393409962</v>
      </c>
      <c r="G123" s="84"/>
      <c r="H123" s="504"/>
      <c r="I123" s="508">
        <v>2182.6728393409962</v>
      </c>
      <c r="J123" s="525"/>
      <c r="K123" s="504"/>
      <c r="L123" s="508">
        <v>1664.27</v>
      </c>
      <c r="M123" s="525"/>
      <c r="N123" s="545">
        <v>-518.40283934099625</v>
      </c>
      <c r="O123" s="525"/>
      <c r="P123" s="504"/>
      <c r="Q123" s="508">
        <v>2181.4699999999998</v>
      </c>
      <c r="R123" s="525"/>
      <c r="S123" s="567">
        <v>-517.19999999999982</v>
      </c>
      <c r="T123" s="504"/>
      <c r="U123" s="504"/>
      <c r="V123" s="504"/>
      <c r="W123" s="504"/>
      <c r="X123" s="504"/>
      <c r="Y123" s="504"/>
      <c r="Z123" s="504"/>
      <c r="AA123" s="504"/>
      <c r="AB123" s="504"/>
      <c r="AC123" s="50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</row>
    <row r="124" spans="1:40" ht="20.399999999999999">
      <c r="A124" s="493" t="s">
        <v>311</v>
      </c>
      <c r="B124" s="499" t="s">
        <v>74</v>
      </c>
      <c r="C124" s="585" t="s">
        <v>44</v>
      </c>
      <c r="D124" s="107"/>
      <c r="E124" s="587"/>
      <c r="F124" s="514">
        <v>8189.7951351417623</v>
      </c>
      <c r="G124" s="109"/>
      <c r="H124" s="587"/>
      <c r="I124" s="514">
        <v>8189.7951351417623</v>
      </c>
      <c r="J124" s="588"/>
      <c r="K124" s="587"/>
      <c r="L124" s="517">
        <v>7471.31</v>
      </c>
      <c r="M124" s="588"/>
      <c r="N124" s="590">
        <v>-718.48513514176193</v>
      </c>
      <c r="O124" s="588"/>
      <c r="P124" s="587"/>
      <c r="Q124" s="517">
        <v>7209.56</v>
      </c>
      <c r="R124" s="588"/>
      <c r="S124" s="591">
        <v>261.75</v>
      </c>
      <c r="T124" s="504"/>
      <c r="U124" s="504"/>
      <c r="V124" s="504"/>
      <c r="W124" s="504"/>
      <c r="X124" s="504"/>
      <c r="Y124" s="504"/>
      <c r="Z124" s="504"/>
      <c r="AA124" s="504"/>
      <c r="AB124" s="504"/>
      <c r="AC124" s="50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</row>
    <row r="125" spans="1:40" ht="15.75" customHeight="1">
      <c r="A125" s="493" t="s">
        <v>312</v>
      </c>
      <c r="B125" s="499" t="s">
        <v>74</v>
      </c>
      <c r="C125" s="585" t="s">
        <v>45</v>
      </c>
      <c r="D125" s="82"/>
      <c r="E125" s="504"/>
      <c r="F125" s="514">
        <v>0</v>
      </c>
      <c r="G125" s="84"/>
      <c r="H125" s="504"/>
      <c r="I125" s="514">
        <v>0</v>
      </c>
      <c r="J125" s="525"/>
      <c r="K125" s="504"/>
      <c r="L125" s="517">
        <v>0</v>
      </c>
      <c r="M125" s="525"/>
      <c r="N125" s="545">
        <v>0</v>
      </c>
      <c r="O125" s="525"/>
      <c r="P125" s="504"/>
      <c r="Q125" s="517">
        <v>0</v>
      </c>
      <c r="R125" s="525"/>
      <c r="S125" s="567">
        <v>0</v>
      </c>
      <c r="T125" s="504"/>
      <c r="U125" s="504"/>
      <c r="V125" s="504"/>
      <c r="W125" s="504"/>
      <c r="X125" s="504"/>
      <c r="Y125" s="504"/>
      <c r="Z125" s="504"/>
      <c r="AA125" s="504"/>
      <c r="AB125" s="504"/>
      <c r="AC125" s="50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</row>
    <row r="126" spans="1:40" ht="15.75" hidden="1" customHeight="1">
      <c r="A126" s="493" t="s">
        <v>307</v>
      </c>
      <c r="B126" s="499" t="s">
        <v>74</v>
      </c>
      <c r="C126" s="585" t="s">
        <v>21</v>
      </c>
      <c r="D126" s="82"/>
      <c r="E126" s="504"/>
      <c r="F126" s="514">
        <v>0</v>
      </c>
      <c r="G126" s="84"/>
      <c r="H126" s="504"/>
      <c r="I126" s="514">
        <v>0</v>
      </c>
      <c r="J126" s="525"/>
      <c r="K126" s="504"/>
      <c r="L126" s="517">
        <v>0</v>
      </c>
      <c r="M126" s="525"/>
      <c r="N126" s="545">
        <v>0</v>
      </c>
      <c r="O126" s="525"/>
      <c r="P126" s="504"/>
      <c r="Q126" s="517">
        <v>0</v>
      </c>
      <c r="R126" s="525"/>
      <c r="S126" s="567">
        <v>0</v>
      </c>
      <c r="T126" s="504"/>
      <c r="U126" s="504"/>
      <c r="V126" s="504"/>
      <c r="W126" s="504"/>
      <c r="X126" s="504"/>
      <c r="Y126" s="504"/>
      <c r="Z126" s="504"/>
      <c r="AA126" s="504"/>
      <c r="AB126" s="504"/>
      <c r="AC126" s="50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</row>
    <row r="127" spans="1:40" ht="15.75" hidden="1" customHeight="1">
      <c r="A127" s="493" t="s">
        <v>307</v>
      </c>
      <c r="B127" s="499" t="s">
        <v>74</v>
      </c>
      <c r="C127" s="585" t="s">
        <v>21</v>
      </c>
      <c r="D127" s="82"/>
      <c r="E127" s="504"/>
      <c r="F127" s="514">
        <v>0</v>
      </c>
      <c r="G127" s="84"/>
      <c r="H127" s="504"/>
      <c r="I127" s="514">
        <v>0</v>
      </c>
      <c r="J127" s="525"/>
      <c r="K127" s="504"/>
      <c r="L127" s="517">
        <v>0</v>
      </c>
      <c r="M127" s="525"/>
      <c r="N127" s="545">
        <v>0</v>
      </c>
      <c r="O127" s="525"/>
      <c r="P127" s="504"/>
      <c r="Q127" s="517">
        <v>0</v>
      </c>
      <c r="R127" s="525"/>
      <c r="S127" s="567">
        <v>0</v>
      </c>
      <c r="T127" s="504"/>
      <c r="U127" s="504"/>
      <c r="V127" s="504"/>
      <c r="W127" s="504"/>
      <c r="X127" s="504"/>
      <c r="Y127" s="504"/>
      <c r="Z127" s="504"/>
      <c r="AA127" s="504"/>
      <c r="AB127" s="504"/>
      <c r="AC127" s="50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</row>
    <row r="128" spans="1:40" ht="15.75" hidden="1" customHeight="1">
      <c r="A128" s="493" t="s">
        <v>307</v>
      </c>
      <c r="B128" s="499" t="s">
        <v>74</v>
      </c>
      <c r="C128" s="585" t="s">
        <v>21</v>
      </c>
      <c r="D128" s="82"/>
      <c r="E128" s="504"/>
      <c r="F128" s="514">
        <v>0</v>
      </c>
      <c r="G128" s="84"/>
      <c r="H128" s="504"/>
      <c r="I128" s="514">
        <v>0</v>
      </c>
      <c r="J128" s="525"/>
      <c r="K128" s="504"/>
      <c r="L128" s="517">
        <v>0</v>
      </c>
      <c r="M128" s="525"/>
      <c r="N128" s="545">
        <v>0</v>
      </c>
      <c r="O128" s="525"/>
      <c r="P128" s="504"/>
      <c r="Q128" s="517">
        <v>0</v>
      </c>
      <c r="R128" s="525"/>
      <c r="S128" s="567">
        <v>0</v>
      </c>
      <c r="T128" s="504"/>
      <c r="U128" s="504"/>
      <c r="V128" s="504"/>
      <c r="W128" s="504"/>
      <c r="X128" s="504"/>
      <c r="Y128" s="504"/>
      <c r="Z128" s="504"/>
      <c r="AA128" s="504"/>
      <c r="AB128" s="504"/>
      <c r="AC128" s="50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</row>
    <row r="129" spans="1:40" ht="15.75" customHeight="1">
      <c r="A129" s="493" t="s">
        <v>313</v>
      </c>
      <c r="B129" s="499" t="s">
        <v>74</v>
      </c>
      <c r="C129" s="586" t="s">
        <v>46</v>
      </c>
      <c r="D129" s="82"/>
      <c r="E129" s="504"/>
      <c r="F129" s="514">
        <v>7955.4484725954781</v>
      </c>
      <c r="G129" s="84"/>
      <c r="H129" s="504"/>
      <c r="I129" s="514">
        <v>7955.4484725954781</v>
      </c>
      <c r="J129" s="525"/>
      <c r="K129" s="504"/>
      <c r="L129" s="517">
        <v>4496.3900000000003</v>
      </c>
      <c r="M129" s="525"/>
      <c r="N129" s="545">
        <v>-3459.0584725954777</v>
      </c>
      <c r="O129" s="525"/>
      <c r="P129" s="504"/>
      <c r="Q129" s="517">
        <v>3223.57</v>
      </c>
      <c r="R129" s="525"/>
      <c r="S129" s="567">
        <v>1272.8200000000002</v>
      </c>
      <c r="T129" s="504"/>
      <c r="U129" s="504"/>
      <c r="V129" s="504"/>
      <c r="W129" s="504"/>
      <c r="X129" s="504"/>
      <c r="Y129" s="504"/>
      <c r="Z129" s="504"/>
      <c r="AA129" s="504"/>
      <c r="AB129" s="504"/>
      <c r="AC129" s="50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</row>
    <row r="130" spans="1:40" ht="15.75" customHeight="1">
      <c r="A130" s="493" t="s">
        <v>314</v>
      </c>
      <c r="B130" s="499" t="s">
        <v>74</v>
      </c>
      <c r="C130" s="585" t="s">
        <v>47</v>
      </c>
      <c r="D130" s="107"/>
      <c r="E130" s="587"/>
      <c r="F130" s="539">
        <v>7124.9195862559836</v>
      </c>
      <c r="G130" s="109"/>
      <c r="H130" s="587"/>
      <c r="I130" s="539">
        <v>7124.9195862559836</v>
      </c>
      <c r="J130" s="588"/>
      <c r="K130" s="587"/>
      <c r="L130" s="540">
        <v>3705.01</v>
      </c>
      <c r="M130" s="588"/>
      <c r="N130" s="590">
        <v>-3419.9095862559834</v>
      </c>
      <c r="O130" s="588"/>
      <c r="P130" s="587"/>
      <c r="Q130" s="540">
        <v>6704.76</v>
      </c>
      <c r="R130" s="588"/>
      <c r="S130" s="591">
        <v>-2999.75</v>
      </c>
      <c r="T130" s="504"/>
      <c r="U130" s="504"/>
      <c r="V130" s="504"/>
      <c r="W130" s="504"/>
      <c r="X130" s="504"/>
      <c r="Y130" s="504"/>
      <c r="Z130" s="504"/>
      <c r="AA130" s="504"/>
      <c r="AB130" s="504"/>
      <c r="AC130" s="50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</row>
    <row r="131" spans="1:40" ht="15.75" customHeight="1">
      <c r="A131" s="493" t="s">
        <v>315</v>
      </c>
      <c r="B131" s="499" t="s">
        <v>74</v>
      </c>
      <c r="C131" s="585" t="s">
        <v>48</v>
      </c>
      <c r="D131" s="82"/>
      <c r="E131" s="504"/>
      <c r="F131" s="514">
        <v>5658.0243773209286</v>
      </c>
      <c r="G131" s="84"/>
      <c r="H131" s="504"/>
      <c r="I131" s="514">
        <v>5658.0243773209286</v>
      </c>
      <c r="J131" s="525"/>
      <c r="K131" s="504"/>
      <c r="L131" s="517">
        <v>3334.33</v>
      </c>
      <c r="M131" s="525"/>
      <c r="N131" s="545">
        <v>-2323.6943773209287</v>
      </c>
      <c r="O131" s="525"/>
      <c r="P131" s="504"/>
      <c r="Q131" s="517">
        <v>4805.08</v>
      </c>
      <c r="R131" s="525"/>
      <c r="S131" s="567">
        <v>-1470.75</v>
      </c>
      <c r="T131" s="504"/>
      <c r="U131" s="504"/>
      <c r="V131" s="504"/>
      <c r="W131" s="504"/>
      <c r="X131" s="504"/>
      <c r="Y131" s="504"/>
      <c r="Z131" s="504"/>
      <c r="AA131" s="504"/>
      <c r="AB131" s="504"/>
      <c r="AC131" s="50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</row>
    <row r="132" spans="1:40" ht="15.75" customHeight="1">
      <c r="A132" s="493" t="s">
        <v>316</v>
      </c>
      <c r="B132" s="499" t="s">
        <v>74</v>
      </c>
      <c r="C132" s="585" t="s">
        <v>49</v>
      </c>
      <c r="D132" s="82"/>
      <c r="E132" s="504"/>
      <c r="F132" s="514">
        <v>2305.1210426122302</v>
      </c>
      <c r="G132" s="84"/>
      <c r="H132" s="504"/>
      <c r="I132" s="514">
        <v>2305.1210426122302</v>
      </c>
      <c r="J132" s="525"/>
      <c r="K132" s="504"/>
      <c r="L132" s="517">
        <v>2542.04</v>
      </c>
      <c r="M132" s="525"/>
      <c r="N132" s="545">
        <v>236.91895738776975</v>
      </c>
      <c r="O132" s="525"/>
      <c r="P132" s="504"/>
      <c r="Q132" s="517">
        <v>1117.46</v>
      </c>
      <c r="R132" s="525"/>
      <c r="S132" s="567">
        <v>1424.58</v>
      </c>
      <c r="T132" s="504"/>
      <c r="U132" s="504"/>
      <c r="V132" s="504"/>
      <c r="W132" s="504"/>
      <c r="X132" s="504"/>
      <c r="Y132" s="504"/>
      <c r="Z132" s="504"/>
      <c r="AA132" s="504"/>
      <c r="AB132" s="504"/>
      <c r="AC132" s="50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</row>
    <row r="133" spans="1:40" ht="15.75" hidden="1" customHeight="1">
      <c r="A133" s="493" t="s">
        <v>307</v>
      </c>
      <c r="B133" s="499" t="s">
        <v>74</v>
      </c>
      <c r="C133" s="513" t="s">
        <v>21</v>
      </c>
      <c r="D133" s="89"/>
      <c r="E133" s="592"/>
      <c r="F133" s="514">
        <v>0</v>
      </c>
      <c r="G133" s="91"/>
      <c r="H133" s="592"/>
      <c r="I133" s="514">
        <v>0</v>
      </c>
      <c r="J133" s="509"/>
      <c r="K133" s="592"/>
      <c r="L133" s="517">
        <v>0</v>
      </c>
      <c r="M133" s="509"/>
      <c r="N133" s="620">
        <v>0</v>
      </c>
      <c r="O133" s="509"/>
      <c r="P133" s="592"/>
      <c r="Q133" s="517">
        <v>0</v>
      </c>
      <c r="R133" s="509"/>
      <c r="S133" s="574">
        <v>0</v>
      </c>
      <c r="T133" s="504"/>
      <c r="U133" s="504"/>
      <c r="V133" s="504"/>
      <c r="W133" s="504"/>
      <c r="X133" s="504"/>
      <c r="Y133" s="504"/>
      <c r="Z133" s="504"/>
      <c r="AA133" s="504"/>
      <c r="AB133" s="504"/>
      <c r="AC133" s="50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</row>
    <row r="134" spans="1:40" ht="15.75" customHeight="1">
      <c r="A134" s="493" t="s">
        <v>317</v>
      </c>
      <c r="B134" s="499" t="s">
        <v>74</v>
      </c>
      <c r="C134" s="578" t="s">
        <v>50</v>
      </c>
      <c r="D134" s="97" t="s">
        <v>40</v>
      </c>
      <c r="E134" s="579">
        <v>0.26107044725272904</v>
      </c>
      <c r="F134" s="580">
        <v>41490.463445604546</v>
      </c>
      <c r="G134" s="100" t="s">
        <v>40</v>
      </c>
      <c r="H134" s="579">
        <v>0.26107044725272904</v>
      </c>
      <c r="I134" s="580">
        <v>41490.463445604546</v>
      </c>
      <c r="J134" s="100" t="s">
        <v>40</v>
      </c>
      <c r="K134" s="579">
        <v>0.19012541790802973</v>
      </c>
      <c r="L134" s="580">
        <v>34056.090000000004</v>
      </c>
      <c r="M134" s="621"/>
      <c r="N134" s="594">
        <v>-7434.3734456045422</v>
      </c>
      <c r="O134" s="100" t="s">
        <v>40</v>
      </c>
      <c r="P134" s="579">
        <v>0.21034369647474638</v>
      </c>
      <c r="Q134" s="580">
        <v>33158.94</v>
      </c>
      <c r="R134" s="621"/>
      <c r="S134" s="595">
        <v>897.15000000000146</v>
      </c>
      <c r="T134" s="504"/>
      <c r="U134" s="504"/>
      <c r="V134" s="504"/>
      <c r="W134" s="504"/>
      <c r="X134" s="504"/>
      <c r="Y134" s="504"/>
      <c r="Z134" s="504"/>
      <c r="AA134" s="504"/>
      <c r="AB134" s="504"/>
      <c r="AC134" s="50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</row>
    <row r="135" spans="1:40" ht="15.75" customHeight="1">
      <c r="A135" s="493" t="s">
        <v>318</v>
      </c>
      <c r="B135" s="499" t="s">
        <v>74</v>
      </c>
      <c r="C135" s="513" t="s">
        <v>51</v>
      </c>
      <c r="D135" s="82"/>
      <c r="E135" s="504"/>
      <c r="F135" s="514">
        <v>0</v>
      </c>
      <c r="G135" s="84"/>
      <c r="H135" s="504"/>
      <c r="I135" s="514">
        <v>0</v>
      </c>
      <c r="J135" s="525"/>
      <c r="K135" s="504"/>
      <c r="L135" s="517">
        <v>0</v>
      </c>
      <c r="M135" s="525"/>
      <c r="N135" s="545">
        <v>0</v>
      </c>
      <c r="O135" s="525"/>
      <c r="P135" s="504"/>
      <c r="Q135" s="517">
        <v>0</v>
      </c>
      <c r="R135" s="525"/>
      <c r="S135" s="567">
        <v>0</v>
      </c>
      <c r="T135" s="504"/>
      <c r="U135" s="504"/>
      <c r="V135" s="504"/>
      <c r="W135" s="504"/>
      <c r="X135" s="504"/>
      <c r="Y135" s="504"/>
      <c r="Z135" s="504"/>
      <c r="AA135" s="504"/>
      <c r="AB135" s="504"/>
      <c r="AC135" s="50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</row>
    <row r="136" spans="1:40" ht="15.75" customHeight="1">
      <c r="A136" s="493" t="s">
        <v>319</v>
      </c>
      <c r="B136" s="499" t="s">
        <v>74</v>
      </c>
      <c r="C136" s="513" t="s">
        <v>52</v>
      </c>
      <c r="D136" s="82"/>
      <c r="E136" s="504"/>
      <c r="F136" s="514">
        <v>0</v>
      </c>
      <c r="G136" s="84"/>
      <c r="H136" s="504"/>
      <c r="I136" s="514">
        <v>0</v>
      </c>
      <c r="J136" s="525"/>
      <c r="K136" s="504"/>
      <c r="L136" s="517">
        <v>0</v>
      </c>
      <c r="M136" s="525"/>
      <c r="N136" s="545">
        <v>0</v>
      </c>
      <c r="O136" s="525"/>
      <c r="P136" s="504"/>
      <c r="Q136" s="517">
        <v>0</v>
      </c>
      <c r="R136" s="525"/>
      <c r="S136" s="567">
        <v>0</v>
      </c>
      <c r="T136" s="504"/>
      <c r="U136" s="504"/>
      <c r="V136" s="504"/>
      <c r="W136" s="504"/>
      <c r="X136" s="504"/>
      <c r="Y136" s="504"/>
      <c r="Z136" s="504"/>
      <c r="AA136" s="504"/>
      <c r="AB136" s="504"/>
      <c r="AC136" s="50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</row>
    <row r="137" spans="1:40" ht="15.75" customHeight="1">
      <c r="A137" s="493" t="s">
        <v>320</v>
      </c>
      <c r="B137" s="499" t="s">
        <v>74</v>
      </c>
      <c r="C137" s="568" t="s">
        <v>53</v>
      </c>
      <c r="D137" s="89"/>
      <c r="E137" s="592"/>
      <c r="F137" s="508">
        <v>125.03999999999999</v>
      </c>
      <c r="G137" s="91"/>
      <c r="H137" s="592"/>
      <c r="I137" s="508">
        <v>125.03999999999999</v>
      </c>
      <c r="J137" s="509"/>
      <c r="K137" s="592"/>
      <c r="L137" s="508">
        <v>444.86</v>
      </c>
      <c r="M137" s="509"/>
      <c r="N137" s="573">
        <v>319.82000000000005</v>
      </c>
      <c r="O137" s="509"/>
      <c r="P137" s="592"/>
      <c r="Q137" s="508">
        <v>-351.13</v>
      </c>
      <c r="R137" s="509"/>
      <c r="S137" s="574">
        <v>795.99</v>
      </c>
      <c r="T137" s="504"/>
      <c r="U137" s="504"/>
      <c r="V137" s="504"/>
      <c r="W137" s="504"/>
      <c r="X137" s="504"/>
      <c r="Y137" s="504"/>
      <c r="Z137" s="504"/>
      <c r="AA137" s="504"/>
      <c r="AB137" s="504"/>
      <c r="AC137" s="50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</row>
    <row r="138" spans="1:40" ht="15.75" customHeight="1">
      <c r="A138" s="493" t="s">
        <v>321</v>
      </c>
      <c r="B138" s="499" t="s">
        <v>74</v>
      </c>
      <c r="C138" s="513" t="s">
        <v>54</v>
      </c>
      <c r="D138" s="82"/>
      <c r="E138" s="504"/>
      <c r="F138" s="514">
        <v>2428.3689099999997</v>
      </c>
      <c r="G138" s="84"/>
      <c r="H138" s="504"/>
      <c r="I138" s="514">
        <v>2428.3689099999997</v>
      </c>
      <c r="J138" s="525"/>
      <c r="K138" s="504"/>
      <c r="L138" s="517">
        <v>2731</v>
      </c>
      <c r="M138" s="525"/>
      <c r="N138" s="545">
        <v>302.63109000000031</v>
      </c>
      <c r="O138" s="525"/>
      <c r="P138" s="504"/>
      <c r="Q138" s="517">
        <v>1770.17</v>
      </c>
      <c r="R138" s="525"/>
      <c r="S138" s="567">
        <v>960.82999999999993</v>
      </c>
      <c r="T138" s="504"/>
      <c r="U138" s="504"/>
      <c r="V138" s="504"/>
      <c r="W138" s="504"/>
      <c r="X138" s="504"/>
      <c r="Y138" s="504"/>
      <c r="Z138" s="504"/>
      <c r="AA138" s="504"/>
      <c r="AB138" s="504"/>
      <c r="AC138" s="50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</row>
    <row r="139" spans="1:40" ht="15.75" customHeight="1">
      <c r="A139" s="493" t="s">
        <v>322</v>
      </c>
      <c r="B139" s="499" t="s">
        <v>74</v>
      </c>
      <c r="C139" s="513" t="s">
        <v>55</v>
      </c>
      <c r="D139" s="82"/>
      <c r="E139" s="504"/>
      <c r="F139" s="514">
        <v>297.05317500000001</v>
      </c>
      <c r="G139" s="84"/>
      <c r="H139" s="504"/>
      <c r="I139" s="514">
        <v>297.05317500000001</v>
      </c>
      <c r="J139" s="525"/>
      <c r="K139" s="504"/>
      <c r="L139" s="517">
        <v>933.28</v>
      </c>
      <c r="M139" s="525"/>
      <c r="N139" s="545">
        <v>636.22682499999996</v>
      </c>
      <c r="O139" s="525"/>
      <c r="P139" s="504"/>
      <c r="Q139" s="517">
        <v>229.67</v>
      </c>
      <c r="R139" s="525"/>
      <c r="S139" s="567">
        <v>703.61</v>
      </c>
      <c r="T139" s="622"/>
      <c r="U139" s="504"/>
      <c r="V139" s="504"/>
      <c r="W139" s="504"/>
      <c r="X139" s="504"/>
      <c r="Y139" s="504"/>
      <c r="Z139" s="504"/>
      <c r="AA139" s="504"/>
      <c r="AB139" s="504"/>
      <c r="AC139" s="50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</row>
    <row r="140" spans="1:40" ht="15.75" customHeight="1">
      <c r="A140" s="493" t="s">
        <v>323</v>
      </c>
      <c r="B140" s="499" t="s">
        <v>74</v>
      </c>
      <c r="C140" s="568" t="s">
        <v>56</v>
      </c>
      <c r="D140" s="89"/>
      <c r="E140" s="592"/>
      <c r="F140" s="508">
        <v>1558.4238666666665</v>
      </c>
      <c r="G140" s="91"/>
      <c r="H140" s="592"/>
      <c r="I140" s="508">
        <v>1558.4238666666665</v>
      </c>
      <c r="J140" s="509"/>
      <c r="K140" s="592"/>
      <c r="L140" s="508">
        <v>1263.48</v>
      </c>
      <c r="M140" s="509"/>
      <c r="N140" s="573">
        <v>-294.94386666666651</v>
      </c>
      <c r="O140" s="509"/>
      <c r="P140" s="592"/>
      <c r="Q140" s="508">
        <v>1235.5</v>
      </c>
      <c r="R140" s="509"/>
      <c r="S140" s="574">
        <v>27.980000000000018</v>
      </c>
      <c r="T140" s="504"/>
      <c r="U140" s="504"/>
      <c r="V140" s="504"/>
      <c r="W140" s="504"/>
      <c r="X140" s="504"/>
      <c r="Y140" s="504"/>
      <c r="Z140" s="504"/>
      <c r="AA140" s="504"/>
      <c r="AB140" s="504"/>
      <c r="AC140" s="50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</row>
    <row r="141" spans="1:40" ht="15.75" customHeight="1">
      <c r="A141" s="493" t="s">
        <v>324</v>
      </c>
      <c r="B141" s="499" t="s">
        <v>74</v>
      </c>
      <c r="C141" s="513" t="s">
        <v>57</v>
      </c>
      <c r="D141" s="82"/>
      <c r="E141" s="504"/>
      <c r="F141" s="514">
        <v>92.79037772039085</v>
      </c>
      <c r="G141" s="84"/>
      <c r="H141" s="504"/>
      <c r="I141" s="514">
        <v>92.79037772039085</v>
      </c>
      <c r="J141" s="525"/>
      <c r="K141" s="504"/>
      <c r="L141" s="517">
        <v>0</v>
      </c>
      <c r="M141" s="525"/>
      <c r="N141" s="545">
        <v>-92.79037772039085</v>
      </c>
      <c r="O141" s="525"/>
      <c r="P141" s="504"/>
      <c r="Q141" s="517">
        <v>28.09</v>
      </c>
      <c r="R141" s="525"/>
      <c r="S141" s="567">
        <v>-28.09</v>
      </c>
      <c r="T141" s="504"/>
      <c r="U141" s="504"/>
      <c r="V141" s="504"/>
      <c r="W141" s="504"/>
      <c r="X141" s="504"/>
      <c r="Y141" s="504"/>
      <c r="Z141" s="504"/>
      <c r="AA141" s="504"/>
      <c r="AB141" s="504"/>
      <c r="AC141" s="50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</row>
    <row r="142" spans="1:40" ht="15.75" customHeight="1">
      <c r="A142" s="493" t="s">
        <v>325</v>
      </c>
      <c r="B142" s="499" t="s">
        <v>74</v>
      </c>
      <c r="C142" s="513" t="s">
        <v>58</v>
      </c>
      <c r="D142" s="82"/>
      <c r="E142" s="504"/>
      <c r="F142" s="514">
        <v>49.306367467405586</v>
      </c>
      <c r="G142" s="84"/>
      <c r="H142" s="504"/>
      <c r="I142" s="514">
        <v>49.306367467405586</v>
      </c>
      <c r="J142" s="525"/>
      <c r="K142" s="504"/>
      <c r="L142" s="517">
        <v>0</v>
      </c>
      <c r="M142" s="525"/>
      <c r="N142" s="545">
        <v>-49.306367467405586</v>
      </c>
      <c r="O142" s="525"/>
      <c r="P142" s="504"/>
      <c r="Q142" s="517">
        <v>0</v>
      </c>
      <c r="R142" s="525"/>
      <c r="S142" s="567">
        <v>0</v>
      </c>
      <c r="T142" s="504"/>
      <c r="U142" s="504"/>
      <c r="V142" s="504"/>
      <c r="W142" s="504"/>
      <c r="X142" s="504"/>
      <c r="Y142" s="504"/>
      <c r="Z142" s="504"/>
      <c r="AA142" s="504"/>
      <c r="AB142" s="504"/>
      <c r="AC142" s="50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</row>
    <row r="143" spans="1:40" ht="15.75" customHeight="1">
      <c r="A143" s="493" t="s">
        <v>326</v>
      </c>
      <c r="B143" s="499" t="s">
        <v>74</v>
      </c>
      <c r="C143" s="513" t="s">
        <v>59</v>
      </c>
      <c r="D143" s="82"/>
      <c r="E143" s="504"/>
      <c r="F143" s="514">
        <v>244.82411999999999</v>
      </c>
      <c r="G143" s="84"/>
      <c r="H143" s="504"/>
      <c r="I143" s="514">
        <v>244.82411999999999</v>
      </c>
      <c r="J143" s="525"/>
      <c r="K143" s="504"/>
      <c r="L143" s="516">
        <v>177.2</v>
      </c>
      <c r="M143" s="525"/>
      <c r="N143" s="545">
        <v>-67.624120000000005</v>
      </c>
      <c r="O143" s="525"/>
      <c r="P143" s="504"/>
      <c r="Q143" s="516">
        <v>239.58</v>
      </c>
      <c r="R143" s="525"/>
      <c r="S143" s="567">
        <v>-62.380000000000024</v>
      </c>
      <c r="T143" s="504"/>
      <c r="U143" s="504"/>
      <c r="V143" s="504"/>
      <c r="W143" s="504"/>
      <c r="X143" s="504"/>
      <c r="Y143" s="504"/>
      <c r="Z143" s="504"/>
      <c r="AA143" s="504"/>
      <c r="AB143" s="504"/>
      <c r="AC143" s="50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</row>
    <row r="144" spans="1:40" ht="15.75" customHeight="1">
      <c r="A144" s="493" t="s">
        <v>327</v>
      </c>
      <c r="B144" s="499" t="s">
        <v>74</v>
      </c>
      <c r="C144" s="513" t="s">
        <v>60</v>
      </c>
      <c r="D144" s="82"/>
      <c r="E144" s="504"/>
      <c r="F144" s="514">
        <v>113.04919750000001</v>
      </c>
      <c r="G144" s="84"/>
      <c r="H144" s="504"/>
      <c r="I144" s="514">
        <v>113.04919750000001</v>
      </c>
      <c r="J144" s="525"/>
      <c r="K144" s="504"/>
      <c r="L144" s="517">
        <v>70.27</v>
      </c>
      <c r="M144" s="525"/>
      <c r="N144" s="545">
        <v>-42.779197500000009</v>
      </c>
      <c r="O144" s="525"/>
      <c r="P144" s="504"/>
      <c r="Q144" s="517">
        <v>48.54</v>
      </c>
      <c r="R144" s="525"/>
      <c r="S144" s="567">
        <v>21.729999999999997</v>
      </c>
      <c r="T144" s="504"/>
      <c r="U144" s="504"/>
      <c r="V144" s="504"/>
      <c r="W144" s="504"/>
      <c r="X144" s="504"/>
      <c r="Y144" s="504"/>
      <c r="Z144" s="504"/>
      <c r="AA144" s="504"/>
      <c r="AB144" s="504"/>
      <c r="AC144" s="50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</row>
    <row r="145" spans="1:40" ht="15.75" customHeight="1">
      <c r="A145" s="493" t="s">
        <v>328</v>
      </c>
      <c r="B145" s="499" t="s">
        <v>74</v>
      </c>
      <c r="C145" s="513" t="s">
        <v>61</v>
      </c>
      <c r="D145" s="82"/>
      <c r="E145" s="504"/>
      <c r="F145" s="514">
        <v>60.343902499999984</v>
      </c>
      <c r="G145" s="84"/>
      <c r="H145" s="504"/>
      <c r="I145" s="514">
        <v>60.343902499999984</v>
      </c>
      <c r="J145" s="525"/>
      <c r="K145" s="504"/>
      <c r="L145" s="517">
        <v>42.01</v>
      </c>
      <c r="M145" s="525"/>
      <c r="N145" s="545">
        <v>-18.333902499999986</v>
      </c>
      <c r="O145" s="525"/>
      <c r="P145" s="504"/>
      <c r="Q145" s="517">
        <v>57.32</v>
      </c>
      <c r="R145" s="525"/>
      <c r="S145" s="567">
        <v>-15.310000000000002</v>
      </c>
      <c r="T145" s="504"/>
      <c r="U145" s="504"/>
      <c r="V145" s="504"/>
      <c r="W145" s="504"/>
      <c r="X145" s="504"/>
      <c r="Y145" s="504"/>
      <c r="Z145" s="504"/>
      <c r="AA145" s="504"/>
      <c r="AB145" s="504"/>
      <c r="AC145" s="50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</row>
    <row r="146" spans="1:40" ht="15.75" customHeight="1">
      <c r="A146" s="493" t="s">
        <v>329</v>
      </c>
      <c r="B146" s="499" t="s">
        <v>74</v>
      </c>
      <c r="C146" s="513" t="s">
        <v>62</v>
      </c>
      <c r="D146" s="82"/>
      <c r="E146" s="504"/>
      <c r="F146" s="514">
        <v>291.0875974999999</v>
      </c>
      <c r="G146" s="84"/>
      <c r="H146" s="504"/>
      <c r="I146" s="514">
        <v>291.0875974999999</v>
      </c>
      <c r="J146" s="525"/>
      <c r="K146" s="504"/>
      <c r="L146" s="517">
        <v>89.36</v>
      </c>
      <c r="M146" s="525"/>
      <c r="N146" s="545">
        <v>-201.72759749999989</v>
      </c>
      <c r="O146" s="525"/>
      <c r="P146" s="504"/>
      <c r="Q146" s="517">
        <v>449.41</v>
      </c>
      <c r="R146" s="525"/>
      <c r="S146" s="567">
        <v>-360.05</v>
      </c>
      <c r="T146" s="504"/>
      <c r="U146" s="504"/>
      <c r="V146" s="504"/>
      <c r="W146" s="504"/>
      <c r="X146" s="504"/>
      <c r="Y146" s="504"/>
      <c r="Z146" s="504"/>
      <c r="AA146" s="504"/>
      <c r="AB146" s="504"/>
      <c r="AC146" s="50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</row>
    <row r="147" spans="1:40" ht="15.75" customHeight="1">
      <c r="A147" s="493" t="s">
        <v>330</v>
      </c>
      <c r="B147" s="499" t="s">
        <v>74</v>
      </c>
      <c r="C147" s="513" t="s">
        <v>63</v>
      </c>
      <c r="D147" s="82"/>
      <c r="E147" s="504"/>
      <c r="F147" s="514">
        <v>432.47109999999998</v>
      </c>
      <c r="G147" s="84"/>
      <c r="H147" s="504"/>
      <c r="I147" s="514">
        <v>432.47109999999998</v>
      </c>
      <c r="J147" s="525"/>
      <c r="K147" s="504"/>
      <c r="L147" s="517">
        <v>189.75</v>
      </c>
      <c r="M147" s="525"/>
      <c r="N147" s="545">
        <v>-242.72109999999998</v>
      </c>
      <c r="O147" s="525"/>
      <c r="P147" s="504"/>
      <c r="Q147" s="517">
        <v>130.62</v>
      </c>
      <c r="R147" s="525"/>
      <c r="S147" s="567">
        <v>59.129999999999995</v>
      </c>
      <c r="T147" s="504"/>
      <c r="U147" s="504"/>
      <c r="V147" s="504"/>
      <c r="W147" s="504"/>
      <c r="X147" s="504"/>
      <c r="Y147" s="504"/>
      <c r="Z147" s="504"/>
      <c r="AA147" s="504"/>
      <c r="AB147" s="504"/>
      <c r="AC147" s="50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</row>
    <row r="148" spans="1:40" ht="15.75" customHeight="1">
      <c r="A148" s="493" t="s">
        <v>331</v>
      </c>
      <c r="B148" s="499" t="s">
        <v>74</v>
      </c>
      <c r="C148" s="513" t="s">
        <v>64</v>
      </c>
      <c r="D148" s="82"/>
      <c r="E148" s="504"/>
      <c r="F148" s="514">
        <v>742.16737109739563</v>
      </c>
      <c r="G148" s="84"/>
      <c r="H148" s="504"/>
      <c r="I148" s="514">
        <v>742.16737109739563</v>
      </c>
      <c r="J148" s="525"/>
      <c r="K148" s="504"/>
      <c r="L148" s="517">
        <v>681.11099999999999</v>
      </c>
      <c r="M148" s="525"/>
      <c r="N148" s="545">
        <v>-61.05637109739564</v>
      </c>
      <c r="O148" s="525"/>
      <c r="P148" s="504"/>
      <c r="Q148" s="517">
        <v>689.52100000000007</v>
      </c>
      <c r="R148" s="525"/>
      <c r="S148" s="567">
        <v>-8.4100000000000819</v>
      </c>
      <c r="T148" s="565"/>
      <c r="U148" s="504"/>
      <c r="V148" s="504"/>
      <c r="W148" s="504"/>
      <c r="X148" s="504"/>
      <c r="Y148" s="504"/>
      <c r="Z148" s="504"/>
      <c r="AA148" s="504"/>
      <c r="AB148" s="504"/>
      <c r="AC148" s="50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</row>
    <row r="149" spans="1:40" ht="15.75" hidden="1" customHeight="1">
      <c r="A149" s="493" t="s">
        <v>307</v>
      </c>
      <c r="B149" s="499" t="s">
        <v>74</v>
      </c>
      <c r="C149" s="513" t="s">
        <v>21</v>
      </c>
      <c r="D149" s="82"/>
      <c r="E149" s="504"/>
      <c r="F149" s="514">
        <v>0</v>
      </c>
      <c r="G149" s="84"/>
      <c r="H149" s="504"/>
      <c r="I149" s="514">
        <v>0</v>
      </c>
      <c r="J149" s="525"/>
      <c r="K149" s="504"/>
      <c r="L149" s="517">
        <v>0</v>
      </c>
      <c r="M149" s="525"/>
      <c r="N149" s="545">
        <v>0</v>
      </c>
      <c r="O149" s="525"/>
      <c r="P149" s="504"/>
      <c r="Q149" s="517">
        <v>0</v>
      </c>
      <c r="R149" s="525"/>
      <c r="S149" s="567">
        <v>0</v>
      </c>
      <c r="T149" s="504"/>
      <c r="U149" s="504"/>
      <c r="V149" s="504"/>
      <c r="W149" s="504"/>
      <c r="X149" s="504"/>
      <c r="Y149" s="504"/>
      <c r="Z149" s="504"/>
      <c r="AA149" s="504"/>
      <c r="AB149" s="504"/>
      <c r="AC149" s="50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</row>
    <row r="150" spans="1:40" ht="15.75" hidden="1" customHeight="1">
      <c r="A150" s="493" t="s">
        <v>307</v>
      </c>
      <c r="B150" s="499" t="s">
        <v>74</v>
      </c>
      <c r="C150" s="513" t="s">
        <v>21</v>
      </c>
      <c r="D150" s="82"/>
      <c r="E150" s="504"/>
      <c r="F150" s="514">
        <v>0</v>
      </c>
      <c r="G150" s="84"/>
      <c r="H150" s="504"/>
      <c r="I150" s="514">
        <v>0</v>
      </c>
      <c r="J150" s="525"/>
      <c r="K150" s="504"/>
      <c r="L150" s="517">
        <v>0</v>
      </c>
      <c r="M150" s="525"/>
      <c r="N150" s="545">
        <v>0</v>
      </c>
      <c r="O150" s="525"/>
      <c r="P150" s="504"/>
      <c r="Q150" s="517">
        <v>0</v>
      </c>
      <c r="R150" s="525"/>
      <c r="S150" s="567">
        <v>0</v>
      </c>
      <c r="T150" s="504"/>
      <c r="U150" s="504"/>
      <c r="V150" s="504"/>
      <c r="W150" s="504"/>
      <c r="X150" s="504"/>
      <c r="Y150" s="504"/>
      <c r="Z150" s="504"/>
      <c r="AA150" s="504"/>
      <c r="AB150" s="504"/>
      <c r="AC150" s="50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</row>
    <row r="151" spans="1:40" ht="15.75" hidden="1" customHeight="1">
      <c r="A151" s="493" t="s">
        <v>307</v>
      </c>
      <c r="B151" s="499" t="s">
        <v>74</v>
      </c>
      <c r="C151" s="513" t="s">
        <v>21</v>
      </c>
      <c r="D151" s="82"/>
      <c r="E151" s="504"/>
      <c r="F151" s="514">
        <v>0</v>
      </c>
      <c r="G151" s="84"/>
      <c r="H151" s="504"/>
      <c r="I151" s="514">
        <v>0</v>
      </c>
      <c r="J151" s="525"/>
      <c r="K151" s="504"/>
      <c r="L151" s="517">
        <v>0</v>
      </c>
      <c r="M151" s="525"/>
      <c r="N151" s="545">
        <v>0</v>
      </c>
      <c r="O151" s="525"/>
      <c r="P151" s="504"/>
      <c r="Q151" s="517">
        <v>0</v>
      </c>
      <c r="R151" s="525"/>
      <c r="S151" s="567">
        <v>0</v>
      </c>
      <c r="T151" s="565"/>
      <c r="U151" s="504"/>
      <c r="V151" s="504"/>
      <c r="W151" s="504"/>
      <c r="X151" s="504"/>
      <c r="Y151" s="504"/>
      <c r="Z151" s="504"/>
      <c r="AA151" s="504"/>
      <c r="AB151" s="504"/>
      <c r="AC151" s="50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</row>
    <row r="152" spans="1:40" ht="15.75" customHeight="1">
      <c r="A152" s="493" t="s">
        <v>332</v>
      </c>
      <c r="B152" s="499" t="s">
        <v>74</v>
      </c>
      <c r="C152" s="578" t="s">
        <v>65</v>
      </c>
      <c r="D152" s="97" t="s">
        <v>40</v>
      </c>
      <c r="E152" s="579">
        <v>4.0490485416308335E-2</v>
      </c>
      <c r="F152" s="580">
        <v>6434.9259854518587</v>
      </c>
      <c r="G152" s="100" t="s">
        <v>40</v>
      </c>
      <c r="H152" s="579">
        <v>4.0490485416308335E-2</v>
      </c>
      <c r="I152" s="580">
        <v>6434.9259854518587</v>
      </c>
      <c r="J152" s="100" t="s">
        <v>40</v>
      </c>
      <c r="K152" s="579">
        <v>3.6970525613660328E-2</v>
      </c>
      <c r="L152" s="580">
        <v>6622.3210000000008</v>
      </c>
      <c r="M152" s="583"/>
      <c r="N152" s="580">
        <v>187.39501454814217</v>
      </c>
      <c r="O152" s="100" t="s">
        <v>40</v>
      </c>
      <c r="P152" s="579">
        <v>2.871886507701546E-2</v>
      </c>
      <c r="Q152" s="580">
        <v>4527.2910000000002</v>
      </c>
      <c r="R152" s="583"/>
      <c r="S152" s="584">
        <v>2095.0300000000007</v>
      </c>
      <c r="T152" s="593"/>
      <c r="U152" s="504"/>
      <c r="V152" s="504"/>
      <c r="W152" s="504"/>
      <c r="X152" s="504"/>
      <c r="Y152" s="504"/>
      <c r="Z152" s="504"/>
      <c r="AA152" s="504"/>
      <c r="AB152" s="504"/>
      <c r="AC152" s="50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</row>
    <row r="153" spans="1:40" ht="15.75" customHeight="1">
      <c r="A153" s="493" t="s">
        <v>74</v>
      </c>
      <c r="B153" s="499" t="s">
        <v>74</v>
      </c>
      <c r="C153" s="568"/>
      <c r="D153" s="89"/>
      <c r="E153" s="592"/>
      <c r="F153" s="545"/>
      <c r="G153" s="91"/>
      <c r="H153" s="592"/>
      <c r="I153" s="545"/>
      <c r="J153" s="509"/>
      <c r="K153" s="592"/>
      <c r="L153" s="573"/>
      <c r="M153" s="509"/>
      <c r="N153" s="573"/>
      <c r="O153" s="509"/>
      <c r="P153" s="592"/>
      <c r="Q153" s="573"/>
      <c r="R153" s="509"/>
      <c r="S153" s="574"/>
      <c r="T153" s="593"/>
      <c r="U153" s="504"/>
      <c r="V153" s="504"/>
      <c r="W153" s="504"/>
      <c r="X153" s="504"/>
      <c r="Y153" s="504"/>
      <c r="Z153" s="504"/>
      <c r="AA153" s="504"/>
      <c r="AB153" s="504"/>
      <c r="AC153" s="50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</row>
    <row r="154" spans="1:40" ht="15.75" customHeight="1">
      <c r="A154" s="493" t="s">
        <v>333</v>
      </c>
      <c r="B154" s="499" t="s">
        <v>74</v>
      </c>
      <c r="C154" s="578" t="s">
        <v>66</v>
      </c>
      <c r="D154" s="97" t="s">
        <v>40</v>
      </c>
      <c r="E154" s="579">
        <v>0.69182156997958344</v>
      </c>
      <c r="F154" s="580">
        <v>109947.32595042353</v>
      </c>
      <c r="G154" s="100" t="s">
        <v>40</v>
      </c>
      <c r="H154" s="579">
        <v>0.69182156997958344</v>
      </c>
      <c r="I154" s="580">
        <v>109947.32595042353</v>
      </c>
      <c r="J154" s="100" t="s">
        <v>40</v>
      </c>
      <c r="K154" s="579">
        <v>0.62016128573034801</v>
      </c>
      <c r="L154" s="580">
        <v>111085.981</v>
      </c>
      <c r="M154" s="583"/>
      <c r="N154" s="594">
        <v>1138.6550495764677</v>
      </c>
      <c r="O154" s="100" t="s">
        <v>40</v>
      </c>
      <c r="P154" s="579">
        <v>0.5650420881630881</v>
      </c>
      <c r="Q154" s="580">
        <v>89074.201000000001</v>
      </c>
      <c r="R154" s="583"/>
      <c r="S154" s="595">
        <v>22011.78</v>
      </c>
      <c r="T154" s="593"/>
      <c r="U154" s="504"/>
      <c r="V154" s="504"/>
      <c r="W154" s="504"/>
      <c r="X154" s="504"/>
      <c r="Y154" s="504"/>
      <c r="Z154" s="504"/>
      <c r="AA154" s="504"/>
      <c r="AB154" s="504"/>
      <c r="AC154" s="50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</row>
    <row r="155" spans="1:40" ht="15.75" customHeight="1">
      <c r="A155" s="493" t="s">
        <v>334</v>
      </c>
      <c r="B155" s="623" t="s">
        <v>74</v>
      </c>
      <c r="C155" s="513" t="s">
        <v>215</v>
      </c>
      <c r="D155" s="153"/>
      <c r="E155" s="624"/>
      <c r="F155" s="514">
        <v>0</v>
      </c>
      <c r="G155" s="155"/>
      <c r="H155" s="624"/>
      <c r="I155" s="514">
        <v>0</v>
      </c>
      <c r="J155" s="155"/>
      <c r="K155" s="624"/>
      <c r="L155" s="516">
        <v>0</v>
      </c>
      <c r="M155" s="525"/>
      <c r="N155" s="545">
        <v>0</v>
      </c>
      <c r="O155" s="155"/>
      <c r="P155" s="624"/>
      <c r="Q155" s="517">
        <v>0</v>
      </c>
      <c r="R155" s="525"/>
      <c r="S155" s="567">
        <v>0</v>
      </c>
      <c r="T155" s="593"/>
      <c r="U155" s="504"/>
      <c r="V155" s="504"/>
      <c r="W155" s="504"/>
      <c r="X155" s="504"/>
      <c r="Y155" s="504"/>
      <c r="Z155" s="504"/>
      <c r="AA155" s="504"/>
      <c r="AB155" s="504"/>
      <c r="AC155" s="50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</row>
    <row r="156" spans="1:40" ht="15.75" customHeight="1">
      <c r="A156" s="493" t="s">
        <v>335</v>
      </c>
      <c r="B156" s="499" t="s">
        <v>74</v>
      </c>
      <c r="C156" s="513" t="s">
        <v>82</v>
      </c>
      <c r="D156" s="153"/>
      <c r="E156" s="624"/>
      <c r="F156" s="514">
        <v>0</v>
      </c>
      <c r="G156" s="155"/>
      <c r="H156" s="624"/>
      <c r="I156" s="514">
        <v>0</v>
      </c>
      <c r="J156" s="155"/>
      <c r="K156" s="624"/>
      <c r="L156" s="517">
        <v>0</v>
      </c>
      <c r="M156" s="525"/>
      <c r="N156" s="545">
        <v>0</v>
      </c>
      <c r="O156" s="155"/>
      <c r="P156" s="624"/>
      <c r="Q156" s="517">
        <v>0</v>
      </c>
      <c r="R156" s="525"/>
      <c r="S156" s="567">
        <v>0</v>
      </c>
      <c r="T156" s="593"/>
      <c r="U156" s="504"/>
      <c r="V156" s="504"/>
      <c r="W156" s="504"/>
      <c r="X156" s="504"/>
      <c r="Y156" s="504"/>
      <c r="Z156" s="504"/>
      <c r="AA156" s="504"/>
      <c r="AB156" s="504"/>
      <c r="AC156" s="50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</row>
    <row r="157" spans="1:40" ht="15.75" customHeight="1">
      <c r="A157" s="493" t="s">
        <v>336</v>
      </c>
      <c r="B157" s="499" t="s">
        <v>74</v>
      </c>
      <c r="C157" s="513" t="s">
        <v>83</v>
      </c>
      <c r="D157" s="82"/>
      <c r="E157" s="504"/>
      <c r="F157" s="514">
        <v>0</v>
      </c>
      <c r="G157" s="84"/>
      <c r="H157" s="504"/>
      <c r="I157" s="514">
        <v>0</v>
      </c>
      <c r="J157" s="525"/>
      <c r="K157" s="504"/>
      <c r="L157" s="517">
        <v>0</v>
      </c>
      <c r="M157" s="525"/>
      <c r="N157" s="545">
        <v>0</v>
      </c>
      <c r="O157" s="525"/>
      <c r="P157" s="504"/>
      <c r="Q157" s="517">
        <v>0</v>
      </c>
      <c r="R157" s="525"/>
      <c r="S157" s="567">
        <v>0</v>
      </c>
      <c r="T157" s="593"/>
      <c r="U157" s="504"/>
      <c r="V157" s="504"/>
      <c r="W157" s="504"/>
      <c r="X157" s="504"/>
      <c r="Y157" s="504"/>
      <c r="Z157" s="504"/>
      <c r="AA157" s="504"/>
      <c r="AB157" s="504"/>
      <c r="AC157" s="50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</row>
    <row r="158" spans="1:40" ht="15.75" customHeight="1">
      <c r="A158" s="493" t="s">
        <v>337</v>
      </c>
      <c r="B158" s="499" t="s">
        <v>74</v>
      </c>
      <c r="C158" s="513" t="s">
        <v>71</v>
      </c>
      <c r="D158" s="82"/>
      <c r="E158" s="504"/>
      <c r="F158" s="514">
        <v>17205.422330097088</v>
      </c>
      <c r="G158" s="84"/>
      <c r="H158" s="504"/>
      <c r="I158" s="514">
        <v>17205.422330097088</v>
      </c>
      <c r="J158" s="525">
        <v>36</v>
      </c>
      <c r="K158" s="504">
        <v>1665.513611111111</v>
      </c>
      <c r="L158" s="516">
        <v>59958.49</v>
      </c>
      <c r="M158" s="525"/>
      <c r="N158" s="545">
        <v>42753.067669902914</v>
      </c>
      <c r="O158" s="525"/>
      <c r="P158" s="504"/>
      <c r="Q158" s="517">
        <v>13611</v>
      </c>
      <c r="R158" s="525"/>
      <c r="S158" s="567">
        <v>46347.49</v>
      </c>
      <c r="T158" s="593"/>
      <c r="U158" s="504"/>
      <c r="V158" s="504"/>
      <c r="W158" s="504"/>
      <c r="X158" s="504"/>
      <c r="Y158" s="504"/>
      <c r="Z158" s="504"/>
      <c r="AA158" s="504"/>
      <c r="AB158" s="504"/>
      <c r="AC158" s="50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</row>
    <row r="159" spans="1:40" ht="15.75" hidden="1" customHeight="1">
      <c r="A159" s="493" t="s">
        <v>307</v>
      </c>
      <c r="B159" s="499" t="s">
        <v>74</v>
      </c>
      <c r="C159" s="513" t="s">
        <v>21</v>
      </c>
      <c r="D159" s="82"/>
      <c r="E159" s="504"/>
      <c r="F159" s="514">
        <v>0</v>
      </c>
      <c r="G159" s="84"/>
      <c r="H159" s="504"/>
      <c r="I159" s="514">
        <v>0</v>
      </c>
      <c r="J159" s="525"/>
      <c r="K159" s="504"/>
      <c r="L159" s="516">
        <v>0</v>
      </c>
      <c r="M159" s="525"/>
      <c r="N159" s="545">
        <v>0</v>
      </c>
      <c r="O159" s="525"/>
      <c r="P159" s="504"/>
      <c r="Q159" s="517">
        <v>0</v>
      </c>
      <c r="R159" s="525"/>
      <c r="S159" s="567">
        <v>0</v>
      </c>
      <c r="T159" s="593"/>
      <c r="U159" s="504"/>
      <c r="V159" s="504"/>
      <c r="W159" s="504"/>
      <c r="X159" s="504"/>
      <c r="Y159" s="504"/>
      <c r="Z159" s="504"/>
      <c r="AA159" s="504"/>
      <c r="AB159" s="504"/>
      <c r="AC159" s="50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</row>
    <row r="160" spans="1:40" ht="15.75" hidden="1" customHeight="1">
      <c r="A160" s="493" t="s">
        <v>307</v>
      </c>
      <c r="B160" s="499" t="s">
        <v>74</v>
      </c>
      <c r="C160" s="513" t="s">
        <v>21</v>
      </c>
      <c r="D160" s="82"/>
      <c r="E160" s="504"/>
      <c r="F160" s="514">
        <v>0</v>
      </c>
      <c r="G160" s="84"/>
      <c r="H160" s="504"/>
      <c r="I160" s="514">
        <v>0</v>
      </c>
      <c r="J160" s="525"/>
      <c r="K160" s="504"/>
      <c r="L160" s="516">
        <v>0</v>
      </c>
      <c r="M160" s="525"/>
      <c r="N160" s="545">
        <v>0</v>
      </c>
      <c r="O160" s="525"/>
      <c r="P160" s="504"/>
      <c r="Q160" s="517">
        <v>0</v>
      </c>
      <c r="R160" s="525"/>
      <c r="S160" s="567">
        <v>0</v>
      </c>
      <c r="T160" s="593"/>
      <c r="U160" s="504"/>
      <c r="V160" s="504"/>
      <c r="W160" s="504"/>
      <c r="X160" s="504"/>
      <c r="Y160" s="504"/>
      <c r="Z160" s="504"/>
      <c r="AA160" s="504"/>
      <c r="AB160" s="504"/>
      <c r="AC160" s="50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</row>
    <row r="161" spans="1:40" ht="15.75" hidden="1" customHeight="1">
      <c r="A161" s="493" t="s">
        <v>307</v>
      </c>
      <c r="B161" s="499" t="s">
        <v>74</v>
      </c>
      <c r="C161" s="568" t="s">
        <v>21</v>
      </c>
      <c r="D161" s="89"/>
      <c r="E161" s="592"/>
      <c r="F161" s="514">
        <v>0</v>
      </c>
      <c r="G161" s="84"/>
      <c r="H161" s="504"/>
      <c r="I161" s="514">
        <v>0</v>
      </c>
      <c r="J161" s="525"/>
      <c r="K161" s="504"/>
      <c r="L161" s="516">
        <v>0</v>
      </c>
      <c r="M161" s="525"/>
      <c r="N161" s="545">
        <v>0</v>
      </c>
      <c r="O161" s="525"/>
      <c r="P161" s="504"/>
      <c r="Q161" s="517">
        <v>0</v>
      </c>
      <c r="R161" s="525"/>
      <c r="S161" s="567">
        <v>0</v>
      </c>
      <c r="T161" s="593"/>
      <c r="U161" s="504"/>
      <c r="V161" s="504"/>
      <c r="W161" s="504"/>
      <c r="X161" s="504"/>
      <c r="Y161" s="504"/>
      <c r="Z161" s="504"/>
      <c r="AA161" s="504"/>
      <c r="AB161" s="504"/>
      <c r="AC161" s="50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</row>
    <row r="162" spans="1:40" ht="15.75" customHeight="1">
      <c r="B162" s="499"/>
      <c r="C162" s="578" t="s">
        <v>72</v>
      </c>
      <c r="D162" s="97"/>
      <c r="E162" s="579"/>
      <c r="F162" s="580">
        <v>17205.422330097088</v>
      </c>
      <c r="G162" s="100"/>
      <c r="H162" s="579"/>
      <c r="I162" s="580">
        <v>17205.422330097088</v>
      </c>
      <c r="J162" s="100"/>
      <c r="K162" s="579"/>
      <c r="L162" s="580">
        <v>59958.49</v>
      </c>
      <c r="M162" s="583"/>
      <c r="N162" s="580">
        <v>0</v>
      </c>
      <c r="O162" s="100"/>
      <c r="P162" s="579"/>
      <c r="Q162" s="580">
        <v>13611</v>
      </c>
      <c r="R162" s="583"/>
      <c r="S162" s="584">
        <v>46347.49</v>
      </c>
      <c r="T162" s="593"/>
      <c r="U162" s="504"/>
      <c r="V162" s="504"/>
      <c r="W162" s="504"/>
      <c r="X162" s="504"/>
      <c r="Y162" s="504"/>
      <c r="Z162" s="504"/>
      <c r="AA162" s="504"/>
      <c r="AB162" s="504"/>
      <c r="AC162" s="50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</row>
    <row r="163" spans="1:40" ht="15.75" customHeight="1">
      <c r="B163" s="499"/>
      <c r="C163" s="513"/>
      <c r="D163" s="82"/>
      <c r="E163" s="504"/>
      <c r="F163" s="545"/>
      <c r="G163" s="84"/>
      <c r="H163" s="504"/>
      <c r="I163" s="545"/>
      <c r="J163" s="525"/>
      <c r="K163" s="504"/>
      <c r="L163" s="545"/>
      <c r="M163" s="525"/>
      <c r="N163" s="545"/>
      <c r="O163" s="525"/>
      <c r="P163" s="504"/>
      <c r="Q163" s="545"/>
      <c r="R163" s="525"/>
      <c r="S163" s="567"/>
      <c r="T163" s="624"/>
      <c r="U163" s="504"/>
      <c r="V163" s="504"/>
      <c r="W163" s="504"/>
      <c r="X163" s="504"/>
      <c r="Y163" s="504"/>
      <c r="Z163" s="504"/>
      <c r="AA163" s="504"/>
      <c r="AB163" s="504"/>
      <c r="AC163" s="50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</row>
    <row r="164" spans="1:40" ht="15.75" customHeight="1" thickBot="1">
      <c r="B164" s="499"/>
      <c r="C164" s="605" t="s">
        <v>73</v>
      </c>
      <c r="D164" s="156"/>
      <c r="E164" s="606"/>
      <c r="F164" s="608">
        <v>66182.49353842104</v>
      </c>
      <c r="G164" s="157"/>
      <c r="H164" s="606"/>
      <c r="I164" s="608">
        <v>66182.49353842104</v>
      </c>
      <c r="J164" s="625"/>
      <c r="K164" s="607"/>
      <c r="L164" s="608">
        <v>127996.84899999999</v>
      </c>
      <c r="M164" s="625"/>
      <c r="N164" s="608">
        <v>61814.355461578947</v>
      </c>
      <c r="O164" s="625"/>
      <c r="P164" s="607"/>
      <c r="Q164" s="608">
        <v>82178.509000000049</v>
      </c>
      <c r="R164" s="625"/>
      <c r="S164" s="610">
        <v>45818.339999999938</v>
      </c>
      <c r="T164" s="565"/>
      <c r="U164" s="504"/>
      <c r="V164" s="504"/>
      <c r="W164" s="504"/>
      <c r="X164" s="504"/>
      <c r="Y164" s="504"/>
      <c r="Z164" s="504"/>
      <c r="AA164" s="504"/>
      <c r="AB164" s="504"/>
      <c r="AC164" s="50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</row>
    <row r="165" spans="1:40" ht="15.75" customHeight="1" thickTop="1">
      <c r="B165" s="499"/>
      <c r="C165" s="498"/>
      <c r="D165" s="498"/>
      <c r="E165" s="498"/>
      <c r="F165" s="498"/>
      <c r="G165" s="498"/>
      <c r="H165" s="498"/>
      <c r="I165" s="498"/>
      <c r="J165" s="498"/>
      <c r="K165" s="498"/>
      <c r="L165" s="626"/>
      <c r="M165" s="498"/>
      <c r="N165" s="498"/>
      <c r="O165" s="498"/>
      <c r="P165" s="498"/>
      <c r="Q165" s="498"/>
      <c r="R165" s="498"/>
      <c r="S165" s="498"/>
      <c r="T165" s="626"/>
      <c r="U165" s="498"/>
      <c r="V165" s="504"/>
      <c r="W165" s="504"/>
      <c r="X165" s="504"/>
      <c r="Y165" s="504"/>
      <c r="Z165" s="504"/>
      <c r="AA165" s="504"/>
      <c r="AB165" s="504"/>
      <c r="AC165" s="50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</row>
    <row r="166" spans="1:40" ht="15.75" customHeight="1">
      <c r="B166" s="499"/>
      <c r="C166" s="498"/>
      <c r="D166" s="498"/>
      <c r="E166" s="498"/>
      <c r="F166" s="498"/>
      <c r="G166" s="498"/>
      <c r="H166" s="498"/>
      <c r="I166" s="498"/>
      <c r="J166" s="498"/>
      <c r="K166" s="498"/>
      <c r="L166" s="498"/>
      <c r="M166" s="498"/>
      <c r="N166" s="498"/>
      <c r="O166" s="498"/>
      <c r="P166" s="498"/>
      <c r="Q166" s="498"/>
      <c r="R166" s="498"/>
      <c r="S166" s="498"/>
      <c r="T166" s="626"/>
      <c r="U166" s="498"/>
      <c r="V166" s="498"/>
      <c r="W166" s="498"/>
      <c r="X166" s="498"/>
      <c r="Y166" s="498"/>
      <c r="Z166" s="498"/>
      <c r="AA166" s="498"/>
      <c r="AB166" s="498"/>
      <c r="AC166" s="498"/>
      <c r="AD166" s="498"/>
      <c r="AE166" s="498"/>
      <c r="AF166" s="498"/>
      <c r="AG166" s="498"/>
      <c r="AH166" s="498"/>
      <c r="AI166" s="498"/>
      <c r="AJ166" s="498"/>
      <c r="AK166" s="498"/>
      <c r="AL166" s="498"/>
      <c r="AM166" s="498"/>
      <c r="AN166" s="498"/>
    </row>
    <row r="167" spans="1:40" ht="33.75" customHeight="1">
      <c r="B167" s="499"/>
      <c r="C167" s="496" t="s">
        <v>228</v>
      </c>
      <c r="D167" s="2"/>
      <c r="E167" s="2"/>
      <c r="F167" s="2"/>
      <c r="G167" s="2"/>
      <c r="H167" s="494"/>
      <c r="I167" s="494"/>
      <c r="J167" s="494"/>
      <c r="K167" s="3" t="s">
        <v>84</v>
      </c>
      <c r="L167" s="2"/>
      <c r="M167" s="2"/>
      <c r="N167" s="494"/>
      <c r="O167" s="494"/>
      <c r="P167" s="2"/>
      <c r="Q167" s="494"/>
      <c r="R167" s="2"/>
      <c r="S167" s="5" t="s">
        <v>499</v>
      </c>
      <c r="T167" s="2"/>
      <c r="U167" s="496"/>
      <c r="V167" s="498"/>
      <c r="W167" s="498"/>
      <c r="X167" s="498"/>
      <c r="Y167" s="498"/>
      <c r="Z167" s="498"/>
      <c r="AA167" s="498"/>
      <c r="AB167" s="498"/>
      <c r="AC167" s="498"/>
      <c r="AD167" s="498"/>
      <c r="AE167" s="498"/>
      <c r="AF167" s="498"/>
      <c r="AG167" s="498"/>
      <c r="AH167" s="498"/>
      <c r="AI167" s="498"/>
      <c r="AJ167" s="498"/>
      <c r="AK167" s="498"/>
      <c r="AL167" s="498"/>
      <c r="AM167" s="498"/>
      <c r="AN167" s="498"/>
    </row>
    <row r="168" spans="1:40" ht="15.75" customHeight="1" thickBot="1">
      <c r="B168" s="499"/>
      <c r="C168" s="8"/>
      <c r="D168" s="498"/>
      <c r="E168" s="498"/>
      <c r="F168" s="498"/>
      <c r="G168" s="498"/>
      <c r="H168" s="498"/>
      <c r="I168" s="498"/>
      <c r="J168" s="498"/>
      <c r="K168" s="498"/>
      <c r="L168" s="498"/>
      <c r="M168" s="498"/>
      <c r="N168" s="498"/>
      <c r="O168" s="498"/>
      <c r="P168" s="498"/>
      <c r="Q168" s="498"/>
      <c r="R168" s="498"/>
      <c r="S168" s="498"/>
      <c r="T168" s="498"/>
      <c r="U168" s="498"/>
      <c r="V168" s="496"/>
      <c r="W168" s="496"/>
      <c r="X168" s="496"/>
      <c r="Y168" s="496"/>
      <c r="Z168" s="496"/>
      <c r="AA168" s="496"/>
      <c r="AB168" s="496"/>
      <c r="AC168" s="496"/>
      <c r="AD168" s="496"/>
      <c r="AE168" s="496"/>
      <c r="AF168" s="496"/>
      <c r="AG168" s="496"/>
      <c r="AH168" s="496"/>
      <c r="AI168" s="496"/>
      <c r="AJ168" s="496"/>
      <c r="AK168" s="496"/>
      <c r="AL168" s="496"/>
      <c r="AM168" s="496"/>
      <c r="AN168" s="496"/>
    </row>
    <row r="169" spans="1:40" ht="15.75" customHeight="1" thickTop="1">
      <c r="B169" s="499"/>
      <c r="C169" s="500"/>
      <c r="D169" s="488" t="s">
        <v>5</v>
      </c>
      <c r="E169" s="501"/>
      <c r="F169" s="502"/>
      <c r="G169" s="489" t="s">
        <v>75</v>
      </c>
      <c r="H169" s="501"/>
      <c r="I169" s="502"/>
      <c r="J169" s="489" t="s">
        <v>7</v>
      </c>
      <c r="K169" s="501"/>
      <c r="L169" s="502"/>
      <c r="M169" s="489" t="s">
        <v>8</v>
      </c>
      <c r="N169" s="502"/>
      <c r="O169" s="488" t="s">
        <v>9</v>
      </c>
      <c r="P169" s="501"/>
      <c r="Q169" s="502"/>
      <c r="R169" s="489" t="s">
        <v>10</v>
      </c>
      <c r="S169" s="503"/>
      <c r="T169" s="153"/>
      <c r="U169" s="504"/>
      <c r="V169" s="498"/>
      <c r="W169" s="498"/>
      <c r="X169" s="498"/>
      <c r="Y169" s="498"/>
      <c r="Z169" s="498"/>
      <c r="AA169" s="498"/>
      <c r="AB169" s="498"/>
      <c r="AC169" s="498"/>
      <c r="AD169" s="498"/>
      <c r="AE169" s="498"/>
      <c r="AF169" s="498"/>
      <c r="AG169" s="498"/>
      <c r="AH169" s="498"/>
      <c r="AI169" s="498"/>
      <c r="AJ169" s="498"/>
      <c r="AK169" s="498"/>
      <c r="AL169" s="498"/>
      <c r="AM169" s="498"/>
      <c r="AN169" s="498"/>
    </row>
    <row r="170" spans="1:40" ht="15.75" customHeight="1">
      <c r="A170" s="493" t="s">
        <v>84</v>
      </c>
      <c r="B170" s="499" t="s">
        <v>84</v>
      </c>
      <c r="C170" s="513"/>
      <c r="D170" s="81" t="s">
        <v>41</v>
      </c>
      <c r="E170" s="81" t="s">
        <v>85</v>
      </c>
      <c r="F170" s="137" t="s">
        <v>13</v>
      </c>
      <c r="G170" s="138" t="s">
        <v>41</v>
      </c>
      <c r="H170" s="81" t="s">
        <v>85</v>
      </c>
      <c r="I170" s="137" t="s">
        <v>13</v>
      </c>
      <c r="J170" s="138" t="s">
        <v>41</v>
      </c>
      <c r="K170" s="81" t="s">
        <v>85</v>
      </c>
      <c r="L170" s="137" t="s">
        <v>13</v>
      </c>
      <c r="M170" s="138" t="s">
        <v>41</v>
      </c>
      <c r="N170" s="137" t="s">
        <v>13</v>
      </c>
      <c r="O170" s="81" t="s">
        <v>41</v>
      </c>
      <c r="P170" s="81" t="s">
        <v>85</v>
      </c>
      <c r="Q170" s="137" t="s">
        <v>13</v>
      </c>
      <c r="R170" s="138" t="s">
        <v>86</v>
      </c>
      <c r="S170" s="139" t="s">
        <v>13</v>
      </c>
      <c r="T170" s="81"/>
      <c r="U170" s="504"/>
      <c r="V170" s="504"/>
      <c r="W170" s="504"/>
      <c r="X170" s="504"/>
      <c r="Y170" s="504"/>
      <c r="Z170" s="504"/>
      <c r="AA170" s="504"/>
      <c r="AB170" s="504"/>
      <c r="AC170" s="50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</row>
    <row r="171" spans="1:40" ht="15.75" customHeight="1">
      <c r="A171" s="493" t="s">
        <v>338</v>
      </c>
      <c r="B171" s="499" t="s">
        <v>84</v>
      </c>
      <c r="C171" s="513" t="s">
        <v>87</v>
      </c>
      <c r="D171" s="504">
        <v>405.78105705623432</v>
      </c>
      <c r="E171" s="565">
        <v>100633.70214994611</v>
      </c>
      <c r="F171" s="565">
        <v>75575.910314609529</v>
      </c>
      <c r="G171" s="627">
        <v>405.78105705623432</v>
      </c>
      <c r="H171" s="565">
        <v>100633.70214994611</v>
      </c>
      <c r="I171" s="565">
        <v>75575.910314609529</v>
      </c>
      <c r="J171" s="546">
        <v>417</v>
      </c>
      <c r="K171" s="514">
        <v>131924.35</v>
      </c>
      <c r="L171" s="517">
        <v>103603.64000000001</v>
      </c>
      <c r="M171" s="628">
        <v>2.7647773962526125E-2</v>
      </c>
      <c r="N171" s="545">
        <v>28027.729685390485</v>
      </c>
      <c r="O171" s="546">
        <v>554</v>
      </c>
      <c r="P171" s="514">
        <v>120082.12</v>
      </c>
      <c r="Q171" s="517">
        <v>91878.689999999988</v>
      </c>
      <c r="R171" s="628">
        <v>0.75270758122743686</v>
      </c>
      <c r="S171" s="567">
        <v>11724.950000000026</v>
      </c>
      <c r="T171" s="565"/>
      <c r="U171" s="504"/>
      <c r="V171" s="514"/>
      <c r="W171" s="504"/>
      <c r="X171" s="504"/>
      <c r="Y171" s="504"/>
      <c r="Z171" s="504"/>
      <c r="AA171" s="504"/>
      <c r="AB171" s="504"/>
      <c r="AC171" s="50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</row>
    <row r="172" spans="1:40" ht="15.75" customHeight="1">
      <c r="A172" s="493" t="s">
        <v>339</v>
      </c>
      <c r="B172" s="499" t="s">
        <v>84</v>
      </c>
      <c r="C172" s="513" t="s">
        <v>88</v>
      </c>
      <c r="D172" s="504"/>
      <c r="E172" s="618"/>
      <c r="F172" s="629">
        <v>0.751</v>
      </c>
      <c r="G172" s="525"/>
      <c r="H172" s="618"/>
      <c r="I172" s="629">
        <v>0.751</v>
      </c>
      <c r="J172" s="546"/>
      <c r="K172" s="504"/>
      <c r="L172" s="629">
        <v>0.7853261357740251</v>
      </c>
      <c r="M172" s="628"/>
      <c r="N172" s="545"/>
      <c r="O172" s="546"/>
      <c r="P172" s="504"/>
      <c r="Q172" s="629">
        <v>0.76513214456906653</v>
      </c>
      <c r="R172" s="546"/>
      <c r="S172" s="567"/>
      <c r="T172" s="565"/>
      <c r="U172" s="504"/>
      <c r="V172" s="504"/>
      <c r="W172" s="504"/>
      <c r="X172" s="504"/>
      <c r="Y172" s="504"/>
      <c r="Z172" s="504"/>
      <c r="AA172" s="504"/>
      <c r="AB172" s="504"/>
      <c r="AC172" s="50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</row>
    <row r="173" spans="1:40" ht="15.75" customHeight="1">
      <c r="A173" s="493" t="s">
        <v>84</v>
      </c>
      <c r="B173" s="499" t="s">
        <v>84</v>
      </c>
      <c r="C173" s="568"/>
      <c r="D173" s="592"/>
      <c r="E173" s="630">
        <v>248</v>
      </c>
      <c r="F173" s="631"/>
      <c r="G173" s="509"/>
      <c r="H173" s="630">
        <v>248</v>
      </c>
      <c r="I173" s="631"/>
      <c r="J173" s="632"/>
      <c r="K173" s="633">
        <v>316.36534772182256</v>
      </c>
      <c r="L173" s="631"/>
      <c r="M173" s="634"/>
      <c r="N173" s="573"/>
      <c r="O173" s="632"/>
      <c r="P173" s="633">
        <v>216.75472924187724</v>
      </c>
      <c r="Q173" s="631"/>
      <c r="R173" s="632"/>
      <c r="S173" s="574"/>
      <c r="T173" s="565"/>
      <c r="U173" s="504"/>
      <c r="V173" s="504"/>
      <c r="W173" s="504"/>
      <c r="X173" s="504"/>
      <c r="Y173" s="504"/>
      <c r="Z173" s="504"/>
      <c r="AA173" s="504"/>
      <c r="AB173" s="504"/>
      <c r="AC173" s="50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</row>
    <row r="174" spans="1:40" ht="18" customHeight="1">
      <c r="A174" s="493" t="s">
        <v>340</v>
      </c>
      <c r="B174" s="499" t="s">
        <v>84</v>
      </c>
      <c r="C174" s="506" t="s">
        <v>89</v>
      </c>
      <c r="D174" s="635">
        <v>357.52774516460863</v>
      </c>
      <c r="E174" s="565">
        <v>70825.398158380238</v>
      </c>
      <c r="F174" s="565">
        <v>49893.030287550246</v>
      </c>
      <c r="G174" s="636">
        <v>357.52774516460863</v>
      </c>
      <c r="H174" s="565">
        <v>70825.398158380238</v>
      </c>
      <c r="I174" s="565">
        <v>49893.030287550246</v>
      </c>
      <c r="J174" s="636">
        <v>199</v>
      </c>
      <c r="K174" s="637">
        <v>42375.1</v>
      </c>
      <c r="L174" s="517">
        <v>28911.32</v>
      </c>
      <c r="M174" s="628">
        <v>-0.44339984045607761</v>
      </c>
      <c r="N174" s="590">
        <v>-20981.710287550246</v>
      </c>
      <c r="O174" s="636">
        <v>246</v>
      </c>
      <c r="P174" s="637">
        <v>59705.25</v>
      </c>
      <c r="Q174" s="517">
        <v>42420.630000000005</v>
      </c>
      <c r="R174" s="628">
        <v>0.80894308943089432</v>
      </c>
      <c r="S174" s="567">
        <v>-13509.310000000005</v>
      </c>
      <c r="T174" s="565"/>
      <c r="U174" s="504"/>
      <c r="V174" s="514"/>
      <c r="W174" s="504"/>
      <c r="X174" s="504"/>
      <c r="Y174" s="504"/>
      <c r="Z174" s="504"/>
      <c r="AA174" s="504"/>
      <c r="AB174" s="504"/>
      <c r="AC174" s="50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</row>
    <row r="175" spans="1:40" ht="15.75" customHeight="1">
      <c r="A175" s="493" t="s">
        <v>339</v>
      </c>
      <c r="B175" s="499" t="s">
        <v>84</v>
      </c>
      <c r="C175" s="513" t="s">
        <v>88</v>
      </c>
      <c r="D175" s="504"/>
      <c r="E175" s="504"/>
      <c r="F175" s="629">
        <v>0.70445110913431241</v>
      </c>
      <c r="G175" s="525"/>
      <c r="H175" s="504"/>
      <c r="I175" s="629">
        <v>0.70445110913431241</v>
      </c>
      <c r="J175" s="525"/>
      <c r="K175" s="504"/>
      <c r="L175" s="629">
        <v>0.6822714282680159</v>
      </c>
      <c r="M175" s="526"/>
      <c r="N175" s="527"/>
      <c r="O175" s="525"/>
      <c r="P175" s="504"/>
      <c r="Q175" s="629">
        <v>0.71050083535367503</v>
      </c>
      <c r="R175" s="526"/>
      <c r="S175" s="528"/>
      <c r="T175" s="504"/>
      <c r="U175" s="504"/>
      <c r="V175" s="504"/>
      <c r="W175" s="504"/>
      <c r="X175" s="504"/>
      <c r="Y175" s="504"/>
      <c r="Z175" s="504"/>
      <c r="AA175" s="504"/>
      <c r="AB175" s="504"/>
      <c r="AC175" s="50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</row>
    <row r="176" spans="1:40" ht="15.75" customHeight="1">
      <c r="A176" s="493" t="s">
        <v>84</v>
      </c>
      <c r="B176" s="499" t="s">
        <v>84</v>
      </c>
      <c r="C176" s="568"/>
      <c r="D176" s="592"/>
      <c r="E176" s="592">
        <v>198.09762771214204</v>
      </c>
      <c r="F176" s="631"/>
      <c r="G176" s="509"/>
      <c r="H176" s="592">
        <v>198.09762771214204</v>
      </c>
      <c r="I176" s="631"/>
      <c r="J176" s="509"/>
      <c r="K176" s="638">
        <v>212.94020100502513</v>
      </c>
      <c r="L176" s="631"/>
      <c r="M176" s="639"/>
      <c r="N176" s="640"/>
      <c r="O176" s="509"/>
      <c r="P176" s="638">
        <v>242.70426829268294</v>
      </c>
      <c r="Q176" s="631"/>
      <c r="R176" s="639"/>
      <c r="S176" s="641"/>
      <c r="T176" s="504"/>
      <c r="U176" s="504"/>
      <c r="V176" s="504"/>
      <c r="W176" s="504"/>
      <c r="X176" s="504"/>
      <c r="Y176" s="504"/>
      <c r="Z176" s="504"/>
      <c r="AA176" s="504"/>
      <c r="AB176" s="504"/>
      <c r="AC176" s="50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</row>
    <row r="177" spans="1:40" ht="15.75" customHeight="1">
      <c r="A177" s="493" t="s">
        <v>341</v>
      </c>
      <c r="B177" s="499" t="s">
        <v>84</v>
      </c>
      <c r="C177" s="513" t="s">
        <v>90</v>
      </c>
      <c r="D177" s="504">
        <v>349.71729366503217</v>
      </c>
      <c r="E177" s="565">
        <v>75324.474256736343</v>
      </c>
      <c r="F177" s="565">
        <v>55570.033356746018</v>
      </c>
      <c r="G177" s="525">
        <v>349.71729366503217</v>
      </c>
      <c r="H177" s="565">
        <v>75324.474256736343</v>
      </c>
      <c r="I177" s="565">
        <v>55570.033356746018</v>
      </c>
      <c r="J177" s="546">
        <v>219</v>
      </c>
      <c r="K177" s="637">
        <v>70824.639999999999</v>
      </c>
      <c r="L177" s="517">
        <v>51528.71</v>
      </c>
      <c r="M177" s="628">
        <v>-0.37377989602720768</v>
      </c>
      <c r="N177" s="545">
        <v>-4041.3233567460193</v>
      </c>
      <c r="O177" s="546">
        <v>302</v>
      </c>
      <c r="P177" s="637">
        <v>52572.99</v>
      </c>
      <c r="Q177" s="517">
        <v>39366.6</v>
      </c>
      <c r="R177" s="628">
        <v>0.72516556291390732</v>
      </c>
      <c r="S177" s="567">
        <v>12162.11</v>
      </c>
      <c r="T177" s="565"/>
      <c r="U177" s="504"/>
      <c r="V177" s="514"/>
      <c r="W177" s="504"/>
      <c r="X177" s="504"/>
      <c r="Y177" s="504"/>
      <c r="Z177" s="504"/>
      <c r="AA177" s="504"/>
      <c r="AB177" s="504"/>
      <c r="AC177" s="50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</row>
    <row r="178" spans="1:40" ht="15.75" customHeight="1">
      <c r="A178" s="493" t="s">
        <v>339</v>
      </c>
      <c r="B178" s="499" t="s">
        <v>84</v>
      </c>
      <c r="C178" s="513" t="s">
        <v>88</v>
      </c>
      <c r="D178" s="504"/>
      <c r="E178" s="618"/>
      <c r="F178" s="629">
        <v>0.73774206730392589</v>
      </c>
      <c r="G178" s="525"/>
      <c r="H178" s="618"/>
      <c r="I178" s="629">
        <v>0.73774206730392589</v>
      </c>
      <c r="J178" s="546"/>
      <c r="K178" s="618"/>
      <c r="L178" s="629">
        <v>0.7275534333813769</v>
      </c>
      <c r="M178" s="628"/>
      <c r="N178" s="545">
        <v>-1.0188633922548984E-2</v>
      </c>
      <c r="O178" s="546"/>
      <c r="P178" s="618"/>
      <c r="Q178" s="629">
        <v>0.74879895550928333</v>
      </c>
      <c r="R178" s="546">
        <v>0</v>
      </c>
      <c r="S178" s="567"/>
      <c r="T178" s="565"/>
      <c r="U178" s="504"/>
      <c r="V178" s="504"/>
      <c r="W178" s="504"/>
      <c r="X178" s="504"/>
      <c r="Y178" s="504"/>
      <c r="Z178" s="504"/>
      <c r="AA178" s="504"/>
      <c r="AB178" s="504"/>
      <c r="AC178" s="50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</row>
    <row r="179" spans="1:40" ht="15.75" customHeight="1">
      <c r="A179" s="493" t="s">
        <v>84</v>
      </c>
      <c r="B179" s="499" t="s">
        <v>84</v>
      </c>
      <c r="C179" s="513"/>
      <c r="D179" s="504"/>
      <c r="E179" s="642">
        <v>215.38675845091029</v>
      </c>
      <c r="F179" s="643"/>
      <c r="G179" s="525"/>
      <c r="H179" s="642">
        <v>215.38675845091029</v>
      </c>
      <c r="I179" s="631"/>
      <c r="J179" s="546"/>
      <c r="K179" s="644">
        <v>323.40018264840182</v>
      </c>
      <c r="L179" s="629"/>
      <c r="M179" s="628"/>
      <c r="N179" s="545"/>
      <c r="O179" s="546"/>
      <c r="P179" s="644">
        <v>174.08274834437086</v>
      </c>
      <c r="Q179" s="629"/>
      <c r="R179" s="645"/>
      <c r="S179" s="567"/>
      <c r="T179" s="565"/>
      <c r="U179" s="504"/>
      <c r="V179" s="504"/>
      <c r="W179" s="504"/>
      <c r="X179" s="504"/>
      <c r="Y179" s="504"/>
      <c r="Z179" s="504"/>
      <c r="AA179" s="504"/>
      <c r="AB179" s="504"/>
      <c r="AC179" s="50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</row>
    <row r="180" spans="1:40" ht="15.75" customHeight="1">
      <c r="A180" s="493" t="s">
        <v>342</v>
      </c>
      <c r="B180" s="499" t="s">
        <v>84</v>
      </c>
      <c r="C180" s="506" t="s">
        <v>91</v>
      </c>
      <c r="D180" s="587">
        <v>0</v>
      </c>
      <c r="E180" s="565">
        <v>596.51820588579994</v>
      </c>
      <c r="F180" s="565">
        <v>225.57369588574963</v>
      </c>
      <c r="G180" s="588">
        <v>0</v>
      </c>
      <c r="H180" s="565">
        <v>596.51820588579994</v>
      </c>
      <c r="I180" s="565">
        <v>225.57369588574963</v>
      </c>
      <c r="J180" s="636">
        <v>0</v>
      </c>
      <c r="K180" s="637">
        <v>846.95</v>
      </c>
      <c r="L180" s="589">
        <v>602.75</v>
      </c>
      <c r="M180" s="646">
        <v>0</v>
      </c>
      <c r="N180" s="590">
        <v>377.17630411425034</v>
      </c>
      <c r="O180" s="636">
        <v>0</v>
      </c>
      <c r="P180" s="637">
        <v>504.86</v>
      </c>
      <c r="Q180" s="589">
        <v>468.08000000000004</v>
      </c>
      <c r="R180" s="628">
        <v>0</v>
      </c>
      <c r="S180" s="591">
        <v>134.66999999999996</v>
      </c>
      <c r="T180" s="565"/>
      <c r="U180" s="504"/>
      <c r="V180" s="514"/>
      <c r="W180" s="504"/>
      <c r="X180" s="504"/>
      <c r="Y180" s="504"/>
      <c r="Z180" s="504"/>
      <c r="AA180" s="504"/>
      <c r="AB180" s="504"/>
      <c r="AC180" s="50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</row>
    <row r="181" spans="1:40" ht="15.75" customHeight="1">
      <c r="A181" s="493" t="s">
        <v>339</v>
      </c>
      <c r="B181" s="499" t="s">
        <v>84</v>
      </c>
      <c r="C181" s="513" t="s">
        <v>88</v>
      </c>
      <c r="D181" s="562"/>
      <c r="E181" s="647"/>
      <c r="F181" s="629">
        <v>0.37815056382191031</v>
      </c>
      <c r="G181" s="564"/>
      <c r="H181" s="647"/>
      <c r="I181" s="629">
        <v>0.37815056382191031</v>
      </c>
      <c r="J181" s="648"/>
      <c r="K181" s="647">
        <v>0</v>
      </c>
      <c r="L181" s="629">
        <v>0.71167129110337091</v>
      </c>
      <c r="M181" s="546">
        <v>0</v>
      </c>
      <c r="N181" s="649"/>
      <c r="O181" s="648"/>
      <c r="P181" s="647">
        <v>0</v>
      </c>
      <c r="Q181" s="629">
        <v>0.92714812027096627</v>
      </c>
      <c r="R181" s="525"/>
      <c r="S181" s="650"/>
      <c r="T181" s="593"/>
      <c r="U181" s="504"/>
      <c r="V181" s="504"/>
      <c r="W181" s="504"/>
      <c r="X181" s="504"/>
      <c r="Y181" s="504"/>
      <c r="Z181" s="504"/>
      <c r="AA181" s="504"/>
      <c r="AB181" s="504"/>
      <c r="AC181" s="50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</row>
    <row r="182" spans="1:40" ht="15.75" customHeight="1">
      <c r="A182" s="493" t="s">
        <v>84</v>
      </c>
      <c r="B182" s="499" t="s">
        <v>84</v>
      </c>
      <c r="C182" s="568"/>
      <c r="D182" s="651"/>
      <c r="E182" s="652"/>
      <c r="F182" s="631"/>
      <c r="G182" s="653"/>
      <c r="H182" s="652"/>
      <c r="I182" s="631"/>
      <c r="J182" s="654"/>
      <c r="K182" s="510"/>
      <c r="L182" s="631"/>
      <c r="M182" s="632"/>
      <c r="N182" s="655"/>
      <c r="O182" s="654"/>
      <c r="P182" s="510"/>
      <c r="Q182" s="631"/>
      <c r="R182" s="509"/>
      <c r="S182" s="656"/>
      <c r="T182" s="593"/>
      <c r="U182" s="504"/>
      <c r="V182" s="504"/>
      <c r="W182" s="504"/>
      <c r="X182" s="504"/>
      <c r="Y182" s="504"/>
      <c r="Z182" s="504"/>
      <c r="AA182" s="504"/>
      <c r="AB182" s="504"/>
      <c r="AC182" s="50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</row>
    <row r="183" spans="1:40" ht="26.25" customHeight="1" thickBot="1">
      <c r="A183" s="493" t="s">
        <v>343</v>
      </c>
      <c r="B183" s="499" t="s">
        <v>84</v>
      </c>
      <c r="C183" s="513" t="s">
        <v>92</v>
      </c>
      <c r="D183" s="504"/>
      <c r="E183" s="504"/>
      <c r="F183" s="545">
        <v>-3858.8080346597339</v>
      </c>
      <c r="G183" s="525"/>
      <c r="H183" s="565"/>
      <c r="I183" s="565">
        <v>-3858.8080346597339</v>
      </c>
      <c r="J183" s="546"/>
      <c r="K183" s="565"/>
      <c r="L183" s="565">
        <v>-354.38</v>
      </c>
      <c r="M183" s="648"/>
      <c r="N183" s="545">
        <v>3504.4280346597338</v>
      </c>
      <c r="O183" s="546"/>
      <c r="P183" s="565"/>
      <c r="Q183" s="517">
        <v>-4646.71</v>
      </c>
      <c r="R183" s="657"/>
      <c r="S183" s="567">
        <v>4292.33</v>
      </c>
      <c r="T183" s="504"/>
      <c r="U183" s="504"/>
      <c r="V183" s="504"/>
      <c r="W183" s="504"/>
      <c r="X183" s="504"/>
      <c r="Y183" s="504"/>
      <c r="Z183" s="504"/>
      <c r="AA183" s="504"/>
      <c r="AB183" s="504"/>
      <c r="AC183" s="50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</row>
    <row r="184" spans="1:40" ht="15.75" customHeight="1" thickTop="1">
      <c r="A184" s="493" t="s">
        <v>344</v>
      </c>
      <c r="B184" s="499" t="s">
        <v>84</v>
      </c>
      <c r="C184" s="658" t="s">
        <v>93</v>
      </c>
      <c r="D184" s="659">
        <v>1113.0260958858751</v>
      </c>
      <c r="E184" s="659">
        <v>247380.09277094851</v>
      </c>
      <c r="F184" s="660">
        <v>177405.73962013179</v>
      </c>
      <c r="G184" s="661">
        <v>1113.0260958858751</v>
      </c>
      <c r="H184" s="659">
        <v>247380.09277094851</v>
      </c>
      <c r="I184" s="660">
        <v>177405.73962013179</v>
      </c>
      <c r="J184" s="661">
        <v>835</v>
      </c>
      <c r="K184" s="659">
        <v>245971.04000000004</v>
      </c>
      <c r="L184" s="660">
        <v>184292.04</v>
      </c>
      <c r="M184" s="662">
        <v>-5.6959020233415831E-3</v>
      </c>
      <c r="N184" s="660">
        <v>6886.3003798682184</v>
      </c>
      <c r="O184" s="661">
        <v>1102</v>
      </c>
      <c r="P184" s="659">
        <v>232865.21999999997</v>
      </c>
      <c r="Q184" s="660">
        <v>169487.29</v>
      </c>
      <c r="R184" s="526">
        <v>0.75771324863883849</v>
      </c>
      <c r="S184" s="663">
        <v>14804.75</v>
      </c>
      <c r="T184" s="593"/>
      <c r="U184" s="504"/>
      <c r="V184" s="504"/>
      <c r="W184" s="504"/>
      <c r="X184" s="504"/>
      <c r="Y184" s="504"/>
      <c r="Z184" s="504"/>
      <c r="AA184" s="504"/>
      <c r="AB184" s="504"/>
      <c r="AC184" s="50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</row>
    <row r="185" spans="1:40" ht="15.75" customHeight="1">
      <c r="A185" s="493" t="s">
        <v>345</v>
      </c>
      <c r="B185" s="499" t="s">
        <v>84</v>
      </c>
      <c r="C185" s="664" t="s">
        <v>94</v>
      </c>
      <c r="D185" s="665"/>
      <c r="E185" s="665">
        <v>222.25902311306976</v>
      </c>
      <c r="F185" s="666">
        <v>0.71713830176461846</v>
      </c>
      <c r="G185" s="667"/>
      <c r="H185" s="668">
        <v>222.25902311306976</v>
      </c>
      <c r="I185" s="527">
        <v>0.71713830176461846</v>
      </c>
      <c r="J185" s="667"/>
      <c r="K185" s="668">
        <v>294.57609580838329</v>
      </c>
      <c r="L185" s="527">
        <v>0.74924283769341293</v>
      </c>
      <c r="M185" s="667"/>
      <c r="N185" s="666">
        <v>3.881667185409806E-2</v>
      </c>
      <c r="O185" s="667"/>
      <c r="P185" s="668">
        <v>211.31145190562611</v>
      </c>
      <c r="Q185" s="527">
        <v>0.72783428113481274</v>
      </c>
      <c r="R185" s="667"/>
      <c r="S185" s="528">
        <v>8.7350207794342563E-2</v>
      </c>
      <c r="T185" s="593"/>
      <c r="U185" s="504"/>
      <c r="V185" s="504"/>
      <c r="W185" s="504"/>
      <c r="X185" s="504"/>
      <c r="Y185" s="504"/>
      <c r="Z185" s="504"/>
      <c r="AA185" s="504"/>
      <c r="AB185" s="504"/>
      <c r="AC185" s="50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</row>
    <row r="186" spans="1:40" ht="15.75" customHeight="1">
      <c r="A186" s="493" t="s">
        <v>84</v>
      </c>
      <c r="B186" s="499" t="s">
        <v>84</v>
      </c>
      <c r="C186" s="519"/>
      <c r="D186" s="669"/>
      <c r="E186" s="670"/>
      <c r="F186" s="671"/>
      <c r="G186" s="672"/>
      <c r="H186" s="670"/>
      <c r="I186" s="671">
        <v>69974.353150816722</v>
      </c>
      <c r="J186" s="672"/>
      <c r="K186" s="670"/>
      <c r="L186" s="671">
        <v>61679.000000000029</v>
      </c>
      <c r="M186" s="672"/>
      <c r="N186" s="671"/>
      <c r="O186" s="672"/>
      <c r="P186" s="670"/>
      <c r="Q186" s="671"/>
      <c r="R186" s="672"/>
      <c r="S186" s="673"/>
      <c r="T186" s="593"/>
      <c r="U186" s="504"/>
      <c r="V186" s="504"/>
      <c r="W186" s="504"/>
      <c r="X186" s="504"/>
      <c r="Y186" s="504"/>
      <c r="Z186" s="504"/>
      <c r="AA186" s="504"/>
      <c r="AB186" s="504"/>
      <c r="AC186" s="50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</row>
    <row r="187" spans="1:40" ht="19.5" customHeight="1">
      <c r="A187" s="493" t="s">
        <v>346</v>
      </c>
      <c r="B187" s="499" t="s">
        <v>84</v>
      </c>
      <c r="C187" s="513" t="s">
        <v>95</v>
      </c>
      <c r="D187" s="565"/>
      <c r="E187" s="565">
        <v>28934.706896221418</v>
      </c>
      <c r="F187" s="565">
        <v>6340.3377297168745</v>
      </c>
      <c r="G187" s="546"/>
      <c r="H187" s="565">
        <v>28934.706896221418</v>
      </c>
      <c r="I187" s="565">
        <v>6340.3377297168745</v>
      </c>
      <c r="J187" s="546"/>
      <c r="K187" s="514">
        <v>30007.469999999998</v>
      </c>
      <c r="L187" s="517">
        <v>6069.3399999999965</v>
      </c>
      <c r="M187" s="674">
        <v>0</v>
      </c>
      <c r="N187" s="545">
        <v>-270.99772971687798</v>
      </c>
      <c r="O187" s="546"/>
      <c r="P187" s="514">
        <v>29762.71</v>
      </c>
      <c r="Q187" s="517">
        <v>5379.739999999998</v>
      </c>
      <c r="R187" s="628">
        <v>0</v>
      </c>
      <c r="S187" s="567">
        <v>689.59999999999854</v>
      </c>
      <c r="T187" s="593"/>
      <c r="U187" s="504"/>
      <c r="V187" s="504"/>
      <c r="W187" s="504"/>
      <c r="X187" s="504"/>
      <c r="Y187" s="504"/>
      <c r="Z187" s="504"/>
      <c r="AA187" s="504"/>
      <c r="AB187" s="504"/>
      <c r="AC187" s="50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</row>
    <row r="188" spans="1:40" ht="21" customHeight="1">
      <c r="A188" s="493" t="s">
        <v>339</v>
      </c>
      <c r="B188" s="499" t="s">
        <v>84</v>
      </c>
      <c r="C188" s="513" t="s">
        <v>88</v>
      </c>
      <c r="D188" s="504"/>
      <c r="E188" s="618"/>
      <c r="F188" s="629">
        <v>0.21912569401367804</v>
      </c>
      <c r="G188" s="525"/>
      <c r="H188" s="618"/>
      <c r="I188" s="629">
        <v>0.21912569401367804</v>
      </c>
      <c r="J188" s="648"/>
      <c r="K188" s="647"/>
      <c r="L188" s="629">
        <v>0.20226097035171567</v>
      </c>
      <c r="M188" s="648"/>
      <c r="N188" s="649"/>
      <c r="O188" s="648"/>
      <c r="P188" s="647"/>
      <c r="Q188" s="629">
        <v>0.18075437350967025</v>
      </c>
      <c r="R188" s="648"/>
      <c r="S188" s="650"/>
      <c r="T188" s="593"/>
      <c r="U188" s="504"/>
      <c r="V188" s="504"/>
      <c r="W188" s="504"/>
      <c r="X188" s="504"/>
      <c r="Y188" s="504"/>
      <c r="Z188" s="504"/>
      <c r="AA188" s="504"/>
      <c r="AB188" s="504"/>
      <c r="AC188" s="50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</row>
    <row r="189" spans="1:40" ht="15.75" customHeight="1">
      <c r="A189" s="493" t="s">
        <v>84</v>
      </c>
      <c r="B189" s="499" t="s">
        <v>84</v>
      </c>
      <c r="C189" s="513"/>
      <c r="D189" s="504"/>
      <c r="E189" s="618"/>
      <c r="F189" s="629"/>
      <c r="G189" s="525"/>
      <c r="H189" s="618"/>
      <c r="I189" s="629"/>
      <c r="J189" s="648"/>
      <c r="K189" s="647"/>
      <c r="L189" s="629"/>
      <c r="M189" s="648"/>
      <c r="N189" s="649"/>
      <c r="O189" s="648"/>
      <c r="P189" s="647"/>
      <c r="Q189" s="629"/>
      <c r="R189" s="648"/>
      <c r="S189" s="650"/>
      <c r="T189" s="593"/>
      <c r="U189" s="504"/>
      <c r="V189" s="504"/>
      <c r="W189" s="504"/>
      <c r="X189" s="504"/>
      <c r="Y189" s="504"/>
      <c r="Z189" s="504"/>
      <c r="AA189" s="504"/>
      <c r="AB189" s="504"/>
      <c r="AC189" s="50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</row>
    <row r="190" spans="1:40" ht="15.75" customHeight="1">
      <c r="A190" s="493" t="s">
        <v>347</v>
      </c>
      <c r="B190" s="499" t="s">
        <v>84</v>
      </c>
      <c r="C190" s="513" t="s">
        <v>96</v>
      </c>
      <c r="D190" s="504"/>
      <c r="E190" s="565">
        <v>0</v>
      </c>
      <c r="F190" s="565">
        <v>0</v>
      </c>
      <c r="G190" s="525"/>
      <c r="H190" s="565">
        <v>0</v>
      </c>
      <c r="I190" s="565">
        <v>0</v>
      </c>
      <c r="J190" s="648"/>
      <c r="K190" s="514">
        <v>0</v>
      </c>
      <c r="L190" s="629"/>
      <c r="M190" s="648"/>
      <c r="N190" s="649"/>
      <c r="O190" s="648"/>
      <c r="P190" s="514">
        <v>0</v>
      </c>
      <c r="Q190" s="629"/>
      <c r="R190" s="648"/>
      <c r="S190" s="650"/>
      <c r="T190" s="593"/>
      <c r="U190" s="504"/>
      <c r="V190" s="504"/>
      <c r="W190" s="504"/>
      <c r="X190" s="504"/>
      <c r="Y190" s="504"/>
      <c r="Z190" s="504"/>
      <c r="AA190" s="504"/>
      <c r="AB190" s="504"/>
      <c r="AC190" s="50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</row>
    <row r="191" spans="1:40" ht="15.75" customHeight="1">
      <c r="A191" s="493" t="s">
        <v>339</v>
      </c>
      <c r="B191" s="499" t="s">
        <v>84</v>
      </c>
      <c r="C191" s="513" t="s">
        <v>88</v>
      </c>
      <c r="D191" s="504"/>
      <c r="E191" s="618"/>
      <c r="F191" s="629">
        <v>0</v>
      </c>
      <c r="G191" s="525"/>
      <c r="H191" s="618"/>
      <c r="I191" s="629">
        <v>0</v>
      </c>
      <c r="J191" s="648"/>
      <c r="K191" s="647"/>
      <c r="L191" s="629">
        <v>0</v>
      </c>
      <c r="M191" s="648"/>
      <c r="N191" s="649"/>
      <c r="O191" s="648"/>
      <c r="P191" s="647"/>
      <c r="Q191" s="629">
        <v>0</v>
      </c>
      <c r="R191" s="648"/>
      <c r="S191" s="650"/>
      <c r="T191" s="593"/>
      <c r="U191" s="504"/>
      <c r="V191" s="504"/>
      <c r="W191" s="504"/>
      <c r="X191" s="504"/>
      <c r="Y191" s="504"/>
      <c r="Z191" s="504"/>
      <c r="AA191" s="504"/>
      <c r="AB191" s="504"/>
      <c r="AC191" s="50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</row>
    <row r="192" spans="1:40" ht="15.75" customHeight="1" thickBot="1">
      <c r="A192" s="493" t="s">
        <v>84</v>
      </c>
      <c r="B192" s="499" t="s">
        <v>84</v>
      </c>
      <c r="C192" s="675"/>
      <c r="D192" s="676"/>
      <c r="E192" s="677"/>
      <c r="F192" s="678"/>
      <c r="G192" s="679"/>
      <c r="H192" s="677"/>
      <c r="I192" s="678"/>
      <c r="J192" s="679"/>
      <c r="K192" s="677"/>
      <c r="L192" s="678"/>
      <c r="M192" s="679"/>
      <c r="N192" s="678"/>
      <c r="O192" s="679"/>
      <c r="P192" s="677"/>
      <c r="Q192" s="678"/>
      <c r="R192" s="679"/>
      <c r="S192" s="680"/>
      <c r="T192" s="593"/>
      <c r="U192" s="504"/>
      <c r="V192" s="504"/>
      <c r="W192" s="504"/>
      <c r="X192" s="504"/>
      <c r="Y192" s="504"/>
      <c r="Z192" s="504"/>
      <c r="AA192" s="504"/>
      <c r="AB192" s="504"/>
      <c r="AC192" s="50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</row>
    <row r="193" spans="1:40" ht="24.75" customHeight="1" thickTop="1">
      <c r="A193" s="493" t="s">
        <v>348</v>
      </c>
      <c r="B193" s="499" t="s">
        <v>84</v>
      </c>
      <c r="C193" s="548" t="s">
        <v>97</v>
      </c>
      <c r="D193" s="549"/>
      <c r="E193" s="549">
        <v>276314.79966716992</v>
      </c>
      <c r="F193" s="551">
        <v>183746.07734984867</v>
      </c>
      <c r="G193" s="552"/>
      <c r="H193" s="549">
        <v>276314.79966716992</v>
      </c>
      <c r="I193" s="551">
        <v>183746.07734984867</v>
      </c>
      <c r="J193" s="552"/>
      <c r="K193" s="549">
        <v>275978.51</v>
      </c>
      <c r="L193" s="551">
        <v>190361.38</v>
      </c>
      <c r="M193" s="681">
        <v>2.478066609547791E-2</v>
      </c>
      <c r="N193" s="551">
        <v>6615.3026501513377</v>
      </c>
      <c r="O193" s="552"/>
      <c r="P193" s="549">
        <v>262627.93</v>
      </c>
      <c r="Q193" s="551">
        <v>174867.03</v>
      </c>
      <c r="R193" s="681">
        <v>2.3933234217712096E-2</v>
      </c>
      <c r="S193" s="554">
        <v>15494.350000000006</v>
      </c>
      <c r="T193" s="593"/>
      <c r="U193" s="504"/>
      <c r="V193" s="504"/>
      <c r="W193" s="504"/>
      <c r="X193" s="504"/>
      <c r="Y193" s="504"/>
      <c r="Z193" s="504"/>
      <c r="AA193" s="504"/>
      <c r="AB193" s="504"/>
      <c r="AC193" s="50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</row>
    <row r="194" spans="1:40" ht="24" customHeight="1" thickBot="1">
      <c r="A194" s="493" t="s">
        <v>84</v>
      </c>
      <c r="B194" s="499" t="s">
        <v>84</v>
      </c>
      <c r="C194" s="555"/>
      <c r="D194" s="556"/>
      <c r="E194" s="556"/>
      <c r="F194" s="560">
        <v>0.66498818583433361</v>
      </c>
      <c r="G194" s="558"/>
      <c r="H194" s="556"/>
      <c r="I194" s="560">
        <v>0.66498818583433361</v>
      </c>
      <c r="J194" s="558"/>
      <c r="K194" s="556"/>
      <c r="L194" s="560">
        <v>0.68976885192981152</v>
      </c>
      <c r="M194" s="559"/>
      <c r="N194" s="560">
        <v>3.6002415646435491E-2</v>
      </c>
      <c r="O194" s="558"/>
      <c r="P194" s="556"/>
      <c r="Q194" s="560">
        <v>0.66583561771209943</v>
      </c>
      <c r="R194" s="559"/>
      <c r="S194" s="561">
        <v>12.285857748146901</v>
      </c>
      <c r="T194" s="562"/>
      <c r="U194" s="504"/>
      <c r="V194" s="504"/>
      <c r="W194" s="504"/>
      <c r="X194" s="504"/>
      <c r="Y194" s="504"/>
      <c r="Z194" s="504"/>
      <c r="AA194" s="504"/>
      <c r="AB194" s="504"/>
      <c r="AC194" s="50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</row>
    <row r="195" spans="1:40" ht="15.75" customHeight="1" thickTop="1">
      <c r="A195" s="493" t="s">
        <v>84</v>
      </c>
      <c r="B195" s="499" t="s">
        <v>84</v>
      </c>
      <c r="C195" s="538"/>
      <c r="D195" s="562"/>
      <c r="E195" s="562"/>
      <c r="F195" s="527"/>
      <c r="G195" s="564"/>
      <c r="H195" s="562"/>
      <c r="I195" s="527"/>
      <c r="J195" s="564"/>
      <c r="K195" s="562"/>
      <c r="L195" s="527"/>
      <c r="M195" s="526"/>
      <c r="N195" s="527"/>
      <c r="O195" s="564"/>
      <c r="P195" s="562"/>
      <c r="Q195" s="527"/>
      <c r="R195" s="526"/>
      <c r="S195" s="528"/>
      <c r="T195" s="562"/>
      <c r="U195" s="504"/>
      <c r="V195" s="504"/>
      <c r="W195" s="504"/>
      <c r="X195" s="504"/>
      <c r="Y195" s="504"/>
      <c r="Z195" s="504"/>
      <c r="AA195" s="504"/>
      <c r="AB195" s="504"/>
      <c r="AC195" s="50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</row>
    <row r="196" spans="1:40" ht="15.75" customHeight="1">
      <c r="A196" s="493" t="s">
        <v>349</v>
      </c>
      <c r="B196" s="499" t="s">
        <v>84</v>
      </c>
      <c r="C196" s="80" t="s">
        <v>31</v>
      </c>
      <c r="D196" s="504"/>
      <c r="E196" s="504"/>
      <c r="F196" s="545"/>
      <c r="G196" s="525"/>
      <c r="H196" s="504"/>
      <c r="I196" s="545"/>
      <c r="J196" s="525"/>
      <c r="K196" s="504"/>
      <c r="L196" s="524"/>
      <c r="M196" s="525"/>
      <c r="N196" s="524"/>
      <c r="O196" s="525"/>
      <c r="P196" s="504"/>
      <c r="Q196" s="524"/>
      <c r="R196" s="525"/>
      <c r="S196" s="547"/>
      <c r="T196" s="504"/>
      <c r="U196" s="504"/>
      <c r="V196" s="504"/>
      <c r="W196" s="504"/>
      <c r="X196" s="504"/>
      <c r="Y196" s="504"/>
      <c r="Z196" s="504"/>
      <c r="AA196" s="504"/>
      <c r="AB196" s="504"/>
      <c r="AC196" s="50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</row>
    <row r="197" spans="1:40" ht="15.75" customHeight="1">
      <c r="A197" s="493" t="s">
        <v>350</v>
      </c>
      <c r="B197" s="499" t="s">
        <v>84</v>
      </c>
      <c r="C197" s="585" t="s">
        <v>42</v>
      </c>
      <c r="D197" s="504"/>
      <c r="E197" s="504"/>
      <c r="F197" s="514">
        <v>11574.768390804598</v>
      </c>
      <c r="G197" s="525"/>
      <c r="H197" s="504"/>
      <c r="I197" s="514">
        <v>11574.768390804598</v>
      </c>
      <c r="J197" s="525"/>
      <c r="K197" s="504"/>
      <c r="L197" s="517">
        <v>6588.91</v>
      </c>
      <c r="M197" s="525"/>
      <c r="N197" s="545">
        <v>-4985.8583908045985</v>
      </c>
      <c r="O197" s="525"/>
      <c r="P197" s="504"/>
      <c r="Q197" s="517">
        <v>10025.44</v>
      </c>
      <c r="R197" s="525"/>
      <c r="S197" s="518">
        <v>-3436.5300000000007</v>
      </c>
      <c r="T197" s="504"/>
      <c r="U197" s="504" t="s">
        <v>500</v>
      </c>
      <c r="V197" s="504"/>
      <c r="W197" s="504"/>
      <c r="X197" s="504"/>
      <c r="Y197" s="504"/>
      <c r="Z197" s="504"/>
      <c r="AA197" s="504"/>
      <c r="AB197" s="504"/>
      <c r="AC197" s="50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</row>
    <row r="198" spans="1:40" ht="15.75" customHeight="1">
      <c r="A198" s="493" t="s">
        <v>351</v>
      </c>
      <c r="B198" s="499" t="s">
        <v>84</v>
      </c>
      <c r="C198" s="586" t="s">
        <v>43</v>
      </c>
      <c r="D198" s="82"/>
      <c r="E198" s="504"/>
      <c r="F198" s="508">
        <v>9816.5681076743313</v>
      </c>
      <c r="G198" s="84"/>
      <c r="H198" s="504"/>
      <c r="I198" s="508">
        <v>9816.5681076743313</v>
      </c>
      <c r="J198" s="525"/>
      <c r="K198" s="504"/>
      <c r="L198" s="517">
        <v>8528.69</v>
      </c>
      <c r="M198" s="525"/>
      <c r="N198" s="545">
        <v>-1287.8781076743307</v>
      </c>
      <c r="O198" s="525"/>
      <c r="P198" s="504"/>
      <c r="Q198" s="517">
        <v>8664.7900000000009</v>
      </c>
      <c r="R198" s="525"/>
      <c r="S198" s="567">
        <v>-136.10000000000036</v>
      </c>
      <c r="T198" s="504"/>
      <c r="U198" s="504"/>
      <c r="V198" s="504"/>
      <c r="W198" s="504"/>
      <c r="X198" s="504"/>
      <c r="Y198" s="504"/>
      <c r="Z198" s="504"/>
      <c r="AA198" s="504"/>
      <c r="AB198" s="504"/>
      <c r="AC198" s="50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</row>
    <row r="199" spans="1:40" ht="29.25" customHeight="1">
      <c r="A199" s="493" t="s">
        <v>352</v>
      </c>
      <c r="B199" s="499" t="s">
        <v>84</v>
      </c>
      <c r="C199" s="585" t="s">
        <v>44</v>
      </c>
      <c r="D199" s="107"/>
      <c r="E199" s="587"/>
      <c r="F199" s="514">
        <v>14779.948499279693</v>
      </c>
      <c r="G199" s="109"/>
      <c r="H199" s="587"/>
      <c r="I199" s="514">
        <v>14779.948499279693</v>
      </c>
      <c r="J199" s="588"/>
      <c r="K199" s="587"/>
      <c r="L199" s="589">
        <v>21239.45</v>
      </c>
      <c r="M199" s="588"/>
      <c r="N199" s="590">
        <v>6459.5015007203074</v>
      </c>
      <c r="O199" s="588"/>
      <c r="P199" s="587"/>
      <c r="Q199" s="589">
        <v>8179.31</v>
      </c>
      <c r="R199" s="588"/>
      <c r="S199" s="591">
        <v>13060.14</v>
      </c>
      <c r="T199" s="504"/>
      <c r="U199" s="504" t="s">
        <v>353</v>
      </c>
      <c r="V199" s="504"/>
      <c r="W199" s="504"/>
      <c r="X199" s="504"/>
      <c r="Y199" s="504">
        <v>4875</v>
      </c>
      <c r="Z199" s="504"/>
      <c r="AA199" s="504"/>
      <c r="AB199" s="504"/>
      <c r="AC199" s="50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</row>
    <row r="200" spans="1:40" ht="21.75" customHeight="1">
      <c r="A200" s="493" t="s">
        <v>354</v>
      </c>
      <c r="B200" s="499" t="s">
        <v>84</v>
      </c>
      <c r="C200" s="585" t="s">
        <v>45</v>
      </c>
      <c r="D200" s="82"/>
      <c r="E200" s="504"/>
      <c r="F200" s="514">
        <v>27983.05435304586</v>
      </c>
      <c r="G200" s="84"/>
      <c r="H200" s="504"/>
      <c r="I200" s="514">
        <v>27983.05435304586</v>
      </c>
      <c r="J200" s="525"/>
      <c r="K200" s="504"/>
      <c r="L200" s="517">
        <v>46026.29</v>
      </c>
      <c r="M200" s="525"/>
      <c r="N200" s="545">
        <v>18043.235646954141</v>
      </c>
      <c r="O200" s="525"/>
      <c r="P200" s="504"/>
      <c r="Q200" s="517">
        <v>24491.9</v>
      </c>
      <c r="R200" s="525"/>
      <c r="S200" s="567">
        <v>21534.39</v>
      </c>
      <c r="T200" s="504"/>
      <c r="U200" s="504" t="s">
        <v>501</v>
      </c>
      <c r="V200" s="504"/>
      <c r="W200" s="504"/>
      <c r="X200" s="504"/>
      <c r="Y200" s="504"/>
      <c r="Z200" s="504"/>
      <c r="AA200" s="504"/>
      <c r="AB200" s="504"/>
      <c r="AC200" s="50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</row>
    <row r="201" spans="1:40" ht="15.75" hidden="1" customHeight="1">
      <c r="A201" s="493" t="s">
        <v>355</v>
      </c>
      <c r="B201" s="499" t="s">
        <v>84</v>
      </c>
      <c r="C201" s="513" t="s">
        <v>21</v>
      </c>
      <c r="D201" s="82"/>
      <c r="E201" s="504"/>
      <c r="F201" s="514">
        <v>0</v>
      </c>
      <c r="G201" s="84"/>
      <c r="H201" s="504"/>
      <c r="I201" s="514">
        <v>0</v>
      </c>
      <c r="J201" s="525"/>
      <c r="K201" s="504"/>
      <c r="L201" s="517">
        <v>0</v>
      </c>
      <c r="M201" s="525"/>
      <c r="N201" s="545">
        <v>0</v>
      </c>
      <c r="O201" s="525"/>
      <c r="P201" s="504"/>
      <c r="Q201" s="517">
        <v>0</v>
      </c>
      <c r="R201" s="525"/>
      <c r="S201" s="567">
        <v>0</v>
      </c>
      <c r="T201" s="504"/>
      <c r="U201" s="504"/>
      <c r="V201" s="504"/>
      <c r="W201" s="504"/>
      <c r="X201" s="504"/>
      <c r="Y201" s="504"/>
      <c r="Z201" s="504"/>
      <c r="AA201" s="504"/>
      <c r="AB201" s="504"/>
      <c r="AC201" s="50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</row>
    <row r="202" spans="1:40" ht="15.75" hidden="1" customHeight="1">
      <c r="A202" s="493" t="s">
        <v>355</v>
      </c>
      <c r="B202" s="499" t="s">
        <v>84</v>
      </c>
      <c r="C202" s="513" t="s">
        <v>21</v>
      </c>
      <c r="D202" s="82"/>
      <c r="E202" s="504"/>
      <c r="F202" s="514">
        <v>0</v>
      </c>
      <c r="G202" s="84"/>
      <c r="H202" s="504"/>
      <c r="I202" s="514">
        <v>0</v>
      </c>
      <c r="J202" s="525"/>
      <c r="K202" s="504"/>
      <c r="L202" s="517">
        <v>0</v>
      </c>
      <c r="M202" s="525"/>
      <c r="N202" s="545">
        <v>0</v>
      </c>
      <c r="O202" s="525"/>
      <c r="P202" s="504"/>
      <c r="Q202" s="517">
        <v>0</v>
      </c>
      <c r="R202" s="525"/>
      <c r="S202" s="567">
        <v>0</v>
      </c>
      <c r="T202" s="504"/>
      <c r="U202" s="504"/>
      <c r="V202" s="504"/>
      <c r="W202" s="504"/>
      <c r="X202" s="504"/>
      <c r="Y202" s="504"/>
      <c r="Z202" s="504"/>
      <c r="AA202" s="504"/>
      <c r="AB202" s="504"/>
      <c r="AC202" s="50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</row>
    <row r="203" spans="1:40" ht="15.75" hidden="1" customHeight="1">
      <c r="A203" s="493" t="s">
        <v>355</v>
      </c>
      <c r="B203" s="499" t="s">
        <v>84</v>
      </c>
      <c r="C203" s="513" t="s">
        <v>21</v>
      </c>
      <c r="D203" s="82"/>
      <c r="E203" s="504"/>
      <c r="F203" s="514">
        <v>0</v>
      </c>
      <c r="G203" s="84"/>
      <c r="H203" s="504"/>
      <c r="I203" s="514">
        <v>0</v>
      </c>
      <c r="J203" s="525"/>
      <c r="K203" s="504"/>
      <c r="L203" s="517">
        <v>0</v>
      </c>
      <c r="M203" s="525"/>
      <c r="N203" s="545">
        <v>0</v>
      </c>
      <c r="O203" s="525"/>
      <c r="P203" s="504"/>
      <c r="Q203" s="517">
        <v>0</v>
      </c>
      <c r="R203" s="525"/>
      <c r="S203" s="567">
        <v>0</v>
      </c>
      <c r="T203" s="504"/>
      <c r="U203" s="504"/>
      <c r="V203" s="504"/>
      <c r="W203" s="504"/>
      <c r="X203" s="504"/>
      <c r="Y203" s="504"/>
      <c r="Z203" s="504"/>
      <c r="AA203" s="504"/>
      <c r="AB203" s="504"/>
      <c r="AC203" s="50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</row>
    <row r="204" spans="1:40" ht="21.75" customHeight="1">
      <c r="A204" s="493" t="s">
        <v>356</v>
      </c>
      <c r="B204" s="499" t="s">
        <v>84</v>
      </c>
      <c r="C204" s="586" t="s">
        <v>46</v>
      </c>
      <c r="D204" s="82"/>
      <c r="E204" s="504"/>
      <c r="F204" s="514">
        <v>16240.365355092119</v>
      </c>
      <c r="G204" s="84"/>
      <c r="H204" s="504"/>
      <c r="I204" s="514">
        <v>16240.365355092119</v>
      </c>
      <c r="J204" s="525"/>
      <c r="K204" s="504"/>
      <c r="L204" s="517">
        <v>20058.400000000001</v>
      </c>
      <c r="M204" s="525"/>
      <c r="N204" s="545">
        <v>3818.0346449078825</v>
      </c>
      <c r="O204" s="525"/>
      <c r="P204" s="504"/>
      <c r="Q204" s="517">
        <v>14099.96</v>
      </c>
      <c r="R204" s="525"/>
      <c r="S204" s="567">
        <v>5958.4400000000023</v>
      </c>
      <c r="T204" s="504"/>
      <c r="U204" s="504"/>
      <c r="V204" s="504"/>
      <c r="W204" s="504"/>
      <c r="X204" s="504"/>
      <c r="Y204" s="504"/>
      <c r="Z204" s="504"/>
      <c r="AA204" s="504"/>
      <c r="AB204" s="504"/>
      <c r="AC204" s="50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</row>
    <row r="205" spans="1:40" ht="15.75" customHeight="1">
      <c r="A205" s="493" t="s">
        <v>357</v>
      </c>
      <c r="B205" s="499" t="s">
        <v>84</v>
      </c>
      <c r="C205" s="585" t="s">
        <v>47</v>
      </c>
      <c r="D205" s="107"/>
      <c r="E205" s="587"/>
      <c r="F205" s="540">
        <v>14544.911905978061</v>
      </c>
      <c r="G205" s="109"/>
      <c r="H205" s="587"/>
      <c r="I205" s="540">
        <v>14544.911905978061</v>
      </c>
      <c r="J205" s="588"/>
      <c r="K205" s="587"/>
      <c r="L205" s="589">
        <v>19337.54</v>
      </c>
      <c r="M205" s="588"/>
      <c r="N205" s="590">
        <v>4792.6280940219403</v>
      </c>
      <c r="O205" s="588"/>
      <c r="P205" s="587"/>
      <c r="Q205" s="589">
        <v>15325.37</v>
      </c>
      <c r="R205" s="588"/>
      <c r="S205" s="591">
        <v>4012.17</v>
      </c>
      <c r="T205" s="504"/>
      <c r="U205" s="504"/>
      <c r="V205" s="504"/>
      <c r="W205" s="504"/>
      <c r="X205" s="504"/>
      <c r="Y205" s="504"/>
      <c r="Z205" s="504"/>
      <c r="AA205" s="504"/>
      <c r="AB205" s="504"/>
      <c r="AC205" s="50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</row>
    <row r="206" spans="1:40" ht="15.75" customHeight="1">
      <c r="A206" s="493" t="s">
        <v>358</v>
      </c>
      <c r="B206" s="499" t="s">
        <v>84</v>
      </c>
      <c r="C206" s="585" t="s">
        <v>48</v>
      </c>
      <c r="D206" s="82"/>
      <c r="E206" s="504"/>
      <c r="F206" s="514">
        <v>11550.371219453165</v>
      </c>
      <c r="G206" s="84"/>
      <c r="H206" s="504"/>
      <c r="I206" s="514">
        <v>11550.371219453165</v>
      </c>
      <c r="J206" s="525"/>
      <c r="K206" s="504"/>
      <c r="L206" s="517">
        <v>7020.87</v>
      </c>
      <c r="M206" s="525"/>
      <c r="N206" s="545">
        <v>-4529.5012194531655</v>
      </c>
      <c r="O206" s="525"/>
      <c r="P206" s="504"/>
      <c r="Q206" s="517">
        <v>10983.18</v>
      </c>
      <c r="R206" s="525"/>
      <c r="S206" s="567">
        <v>-3962.3100000000004</v>
      </c>
      <c r="T206" s="504"/>
      <c r="U206" s="504"/>
      <c r="V206" s="504"/>
      <c r="W206" s="504"/>
      <c r="X206" s="504"/>
      <c r="Y206" s="504"/>
      <c r="Z206" s="504"/>
      <c r="AA206" s="504"/>
      <c r="AB206" s="504"/>
      <c r="AC206" s="50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</row>
    <row r="207" spans="1:40" ht="15.75" customHeight="1">
      <c r="A207" s="493" t="s">
        <v>359</v>
      </c>
      <c r="B207" s="499" t="s">
        <v>84</v>
      </c>
      <c r="C207" s="585" t="s">
        <v>49</v>
      </c>
      <c r="D207" s="82"/>
      <c r="E207" s="504"/>
      <c r="F207" s="514">
        <v>4705.7067931105494</v>
      </c>
      <c r="G207" s="84"/>
      <c r="H207" s="504"/>
      <c r="I207" s="514">
        <v>4705.7067931105494</v>
      </c>
      <c r="J207" s="525"/>
      <c r="K207" s="504"/>
      <c r="L207" s="517">
        <v>8599.2900000000009</v>
      </c>
      <c r="M207" s="525"/>
      <c r="N207" s="545">
        <v>3893.5832068894515</v>
      </c>
      <c r="O207" s="525"/>
      <c r="P207" s="504"/>
      <c r="Q207" s="517">
        <v>2554.23</v>
      </c>
      <c r="R207" s="525"/>
      <c r="S207" s="567">
        <v>6045.0600000000013</v>
      </c>
      <c r="T207" s="504"/>
      <c r="U207" s="504"/>
      <c r="V207" s="504"/>
      <c r="W207" s="504"/>
      <c r="X207" s="504"/>
      <c r="Y207" s="504"/>
      <c r="Z207" s="504"/>
      <c r="AA207" s="504"/>
      <c r="AB207" s="504"/>
      <c r="AC207" s="50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</row>
    <row r="208" spans="1:40" ht="15.75" hidden="1" customHeight="1">
      <c r="A208" s="493" t="s">
        <v>355</v>
      </c>
      <c r="B208" s="499" t="s">
        <v>84</v>
      </c>
      <c r="C208" s="513" t="s">
        <v>21</v>
      </c>
      <c r="D208" s="89"/>
      <c r="E208" s="592"/>
      <c r="F208" s="514">
        <v>0</v>
      </c>
      <c r="G208" s="91"/>
      <c r="H208" s="592"/>
      <c r="I208" s="514">
        <v>0</v>
      </c>
      <c r="J208" s="509"/>
      <c r="K208" s="592"/>
      <c r="L208" s="517">
        <v>0</v>
      </c>
      <c r="M208" s="509"/>
      <c r="N208" s="573">
        <v>0</v>
      </c>
      <c r="O208" s="509"/>
      <c r="P208" s="592"/>
      <c r="Q208" s="517">
        <v>0</v>
      </c>
      <c r="R208" s="509"/>
      <c r="S208" s="574">
        <v>0</v>
      </c>
      <c r="T208" s="504"/>
      <c r="U208" s="504"/>
      <c r="V208" s="504"/>
      <c r="W208" s="504"/>
      <c r="X208" s="504"/>
      <c r="Y208" s="504"/>
      <c r="Z208" s="504"/>
      <c r="AA208" s="504"/>
      <c r="AB208" s="504"/>
      <c r="AC208" s="50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</row>
    <row r="209" spans="1:40" ht="15.75" customHeight="1">
      <c r="A209" s="493" t="s">
        <v>360</v>
      </c>
      <c r="B209" s="499" t="s">
        <v>84</v>
      </c>
      <c r="C209" s="578" t="s">
        <v>50</v>
      </c>
      <c r="D209" s="97" t="s">
        <v>98</v>
      </c>
      <c r="E209" s="579">
        <v>0.60515955621041162</v>
      </c>
      <c r="F209" s="580">
        <v>111195.69462443839</v>
      </c>
      <c r="G209" s="100" t="s">
        <v>98</v>
      </c>
      <c r="H209" s="579">
        <v>0.60515955621041162</v>
      </c>
      <c r="I209" s="580">
        <v>111195.69462443839</v>
      </c>
      <c r="J209" s="100" t="s">
        <v>98</v>
      </c>
      <c r="K209" s="579">
        <v>0.72178211778040269</v>
      </c>
      <c r="L209" s="580">
        <v>137399.44</v>
      </c>
      <c r="M209" s="621"/>
      <c r="N209" s="594">
        <v>26203.745375561615</v>
      </c>
      <c r="O209" s="100" t="s">
        <v>98</v>
      </c>
      <c r="P209" s="579">
        <v>0.53940516974526309</v>
      </c>
      <c r="Q209" s="580">
        <v>94324.180000000008</v>
      </c>
      <c r="R209" s="621"/>
      <c r="S209" s="595">
        <v>43075.259999999995</v>
      </c>
      <c r="T209" s="504"/>
      <c r="U209" s="504"/>
      <c r="V209" s="504"/>
      <c r="W209" s="504"/>
      <c r="X209" s="504"/>
      <c r="Y209" s="504"/>
      <c r="Z209" s="504"/>
      <c r="AA209" s="504"/>
      <c r="AB209" s="504"/>
      <c r="AC209" s="50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</row>
    <row r="210" spans="1:40" ht="15.75" customHeight="1">
      <c r="A210" s="493" t="s">
        <v>361</v>
      </c>
      <c r="B210" s="499" t="s">
        <v>84</v>
      </c>
      <c r="C210" s="513" t="s">
        <v>51</v>
      </c>
      <c r="D210" s="82"/>
      <c r="E210" s="504"/>
      <c r="F210" s="514">
        <v>6918.7625000000007</v>
      </c>
      <c r="G210" s="84"/>
      <c r="H210" s="504"/>
      <c r="I210" s="514">
        <v>6918.7625000000007</v>
      </c>
      <c r="J210" s="525"/>
      <c r="K210" s="504"/>
      <c r="L210" s="517">
        <v>10368.24</v>
      </c>
      <c r="M210" s="525"/>
      <c r="N210" s="545">
        <v>3449.4774999999991</v>
      </c>
      <c r="O210" s="525"/>
      <c r="P210" s="504"/>
      <c r="Q210" s="517">
        <v>6869.4</v>
      </c>
      <c r="R210" s="525"/>
      <c r="S210" s="567">
        <v>3498.84</v>
      </c>
      <c r="T210" s="504"/>
      <c r="U210" s="504"/>
      <c r="V210" s="504"/>
      <c r="W210" s="504"/>
      <c r="X210" s="504"/>
      <c r="Y210" s="504"/>
      <c r="Z210" s="504"/>
      <c r="AA210" s="504"/>
      <c r="AB210" s="504"/>
      <c r="AC210" s="50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</row>
    <row r="211" spans="1:40" ht="15.75" customHeight="1">
      <c r="A211" s="493" t="s">
        <v>362</v>
      </c>
      <c r="B211" s="499" t="s">
        <v>84</v>
      </c>
      <c r="C211" s="513" t="s">
        <v>52</v>
      </c>
      <c r="D211" s="82"/>
      <c r="E211" s="504"/>
      <c r="F211" s="514">
        <v>2509.3680485488694</v>
      </c>
      <c r="G211" s="84"/>
      <c r="H211" s="504"/>
      <c r="I211" s="514">
        <v>2509.3680485488694</v>
      </c>
      <c r="J211" s="525"/>
      <c r="K211" s="504"/>
      <c r="L211" s="682">
        <v>4936.82</v>
      </c>
      <c r="M211" s="525"/>
      <c r="N211" s="545">
        <v>2427.4519514511303</v>
      </c>
      <c r="O211" s="525"/>
      <c r="P211" s="504"/>
      <c r="Q211" s="517">
        <v>4856.21</v>
      </c>
      <c r="R211" s="525"/>
      <c r="S211" s="567">
        <v>80.609999999999673</v>
      </c>
      <c r="T211" s="504"/>
      <c r="U211" s="504"/>
      <c r="V211" s="504"/>
      <c r="W211" s="504"/>
      <c r="X211" s="504"/>
      <c r="Y211" s="504"/>
      <c r="Z211" s="504"/>
      <c r="AA211" s="504"/>
      <c r="AB211" s="504"/>
      <c r="AC211" s="50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</row>
    <row r="212" spans="1:40" ht="15.75" customHeight="1">
      <c r="A212" s="493" t="s">
        <v>363</v>
      </c>
      <c r="B212" s="499" t="s">
        <v>84</v>
      </c>
      <c r="C212" s="568" t="s">
        <v>53</v>
      </c>
      <c r="D212" s="89"/>
      <c r="E212" s="592"/>
      <c r="F212" s="508">
        <v>15570.404444444444</v>
      </c>
      <c r="G212" s="91"/>
      <c r="H212" s="592"/>
      <c r="I212" s="508">
        <v>15570.404444444444</v>
      </c>
      <c r="J212" s="509"/>
      <c r="K212" s="592"/>
      <c r="L212" s="517">
        <v>17451.02</v>
      </c>
      <c r="M212" s="509"/>
      <c r="N212" s="573">
        <v>1880.6155555555561</v>
      </c>
      <c r="O212" s="509"/>
      <c r="P212" s="592"/>
      <c r="Q212" s="517">
        <v>18069.37</v>
      </c>
      <c r="R212" s="509"/>
      <c r="S212" s="574">
        <v>-618.34999999999854</v>
      </c>
      <c r="T212" s="504"/>
      <c r="U212" s="504"/>
      <c r="V212" s="504"/>
      <c r="W212" s="504"/>
      <c r="X212" s="504"/>
      <c r="Y212" s="504"/>
      <c r="Z212" s="504"/>
      <c r="AA212" s="504"/>
      <c r="AB212" s="504"/>
      <c r="AC212" s="50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</row>
    <row r="213" spans="1:40" ht="15.75" customHeight="1">
      <c r="A213" s="493" t="s">
        <v>364</v>
      </c>
      <c r="B213" s="499" t="s">
        <v>84</v>
      </c>
      <c r="C213" s="513" t="s">
        <v>54</v>
      </c>
      <c r="D213" s="82"/>
      <c r="E213" s="504"/>
      <c r="F213" s="514">
        <v>5968.7398199999989</v>
      </c>
      <c r="G213" s="84"/>
      <c r="H213" s="504"/>
      <c r="I213" s="514">
        <v>5968.7398199999989</v>
      </c>
      <c r="J213" s="525"/>
      <c r="K213" s="504"/>
      <c r="L213" s="589">
        <v>3983.16</v>
      </c>
      <c r="M213" s="525"/>
      <c r="N213" s="545">
        <v>-1985.579819999999</v>
      </c>
      <c r="O213" s="525"/>
      <c r="P213" s="504"/>
      <c r="Q213" s="589">
        <v>3896.62</v>
      </c>
      <c r="R213" s="525"/>
      <c r="S213" s="567">
        <v>86.539999999999964</v>
      </c>
      <c r="T213" s="504"/>
      <c r="U213" s="504"/>
      <c r="V213" s="504"/>
      <c r="W213" s="504"/>
      <c r="X213" s="504"/>
      <c r="Y213" s="504"/>
      <c r="Z213" s="504"/>
      <c r="AA213" s="504"/>
      <c r="AB213" s="504"/>
      <c r="AC213" s="50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</row>
    <row r="214" spans="1:40" ht="15.75" customHeight="1">
      <c r="A214" s="493" t="s">
        <v>365</v>
      </c>
      <c r="B214" s="499" t="s">
        <v>84</v>
      </c>
      <c r="C214" s="513" t="s">
        <v>55</v>
      </c>
      <c r="D214" s="82"/>
      <c r="E214" s="504"/>
      <c r="F214" s="514">
        <v>594.10635000000002</v>
      </c>
      <c r="G214" s="84"/>
      <c r="H214" s="504"/>
      <c r="I214" s="514">
        <v>594.10635000000002</v>
      </c>
      <c r="J214" s="525"/>
      <c r="K214" s="504"/>
      <c r="L214" s="517">
        <v>2001.21</v>
      </c>
      <c r="M214" s="525"/>
      <c r="N214" s="545">
        <v>1407.10365</v>
      </c>
      <c r="O214" s="525"/>
      <c r="P214" s="504"/>
      <c r="Q214" s="517">
        <v>687.77</v>
      </c>
      <c r="R214" s="525"/>
      <c r="S214" s="567">
        <v>1313.44</v>
      </c>
      <c r="T214" s="504"/>
      <c r="U214" s="504"/>
      <c r="V214" s="504"/>
      <c r="W214" s="504"/>
      <c r="X214" s="504"/>
      <c r="Y214" s="504"/>
      <c r="Z214" s="504"/>
      <c r="AA214" s="504"/>
      <c r="AB214" s="504"/>
      <c r="AC214" s="50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</row>
    <row r="215" spans="1:40" ht="15.75" customHeight="1">
      <c r="A215" s="493" t="s">
        <v>366</v>
      </c>
      <c r="B215" s="499" t="s">
        <v>84</v>
      </c>
      <c r="C215" s="568" t="s">
        <v>56</v>
      </c>
      <c r="D215" s="89"/>
      <c r="E215" s="592"/>
      <c r="F215" s="508">
        <v>3116.8477333333331</v>
      </c>
      <c r="G215" s="91"/>
      <c r="H215" s="592"/>
      <c r="I215" s="508">
        <v>3116.8477333333331</v>
      </c>
      <c r="J215" s="509"/>
      <c r="K215" s="592"/>
      <c r="L215" s="517">
        <v>2526.96</v>
      </c>
      <c r="M215" s="509"/>
      <c r="N215" s="573">
        <v>-589.88773333333302</v>
      </c>
      <c r="O215" s="509"/>
      <c r="P215" s="592"/>
      <c r="Q215" s="517">
        <v>2669.35</v>
      </c>
      <c r="R215" s="509"/>
      <c r="S215" s="574">
        <v>-142.38999999999987</v>
      </c>
      <c r="T215" s="504"/>
      <c r="U215" s="504"/>
      <c r="V215" s="504"/>
      <c r="W215" s="504"/>
      <c r="X215" s="504"/>
      <c r="Y215" s="504"/>
      <c r="Z215" s="504"/>
      <c r="AA215" s="504"/>
      <c r="AB215" s="504"/>
      <c r="AC215" s="50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</row>
    <row r="216" spans="1:40" ht="15.75" customHeight="1">
      <c r="A216" s="493" t="s">
        <v>367</v>
      </c>
      <c r="B216" s="499" t="s">
        <v>84</v>
      </c>
      <c r="C216" s="513" t="s">
        <v>99</v>
      </c>
      <c r="D216" s="82"/>
      <c r="E216" s="504"/>
      <c r="F216" s="514"/>
      <c r="G216" s="84"/>
      <c r="H216" s="504"/>
      <c r="I216" s="514"/>
      <c r="J216" s="525"/>
      <c r="K216" s="504"/>
      <c r="L216" s="589">
        <v>0</v>
      </c>
      <c r="M216" s="525"/>
      <c r="N216" s="545">
        <v>0</v>
      </c>
      <c r="O216" s="525"/>
      <c r="P216" s="504"/>
      <c r="Q216" s="589">
        <v>0</v>
      </c>
      <c r="R216" s="525"/>
      <c r="S216" s="567">
        <v>0</v>
      </c>
      <c r="T216" s="504"/>
      <c r="U216" s="504"/>
      <c r="V216" s="504"/>
      <c r="W216" s="504"/>
      <c r="X216" s="504"/>
      <c r="Y216" s="504"/>
      <c r="Z216" s="504"/>
      <c r="AA216" s="504"/>
      <c r="AB216" s="504"/>
      <c r="AC216" s="50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</row>
    <row r="217" spans="1:40" ht="15.75" customHeight="1">
      <c r="A217" s="493" t="s">
        <v>368</v>
      </c>
      <c r="B217" s="499" t="s">
        <v>84</v>
      </c>
      <c r="C217" s="513" t="s">
        <v>57</v>
      </c>
      <c r="D217" s="82"/>
      <c r="E217" s="504"/>
      <c r="F217" s="514">
        <v>1242.584188603495</v>
      </c>
      <c r="G217" s="84"/>
      <c r="H217" s="504"/>
      <c r="I217" s="514">
        <v>1242.584188603495</v>
      </c>
      <c r="J217" s="525"/>
      <c r="K217" s="504"/>
      <c r="L217" s="517">
        <v>1317.58</v>
      </c>
      <c r="M217" s="525"/>
      <c r="N217" s="545">
        <v>74.995811396504905</v>
      </c>
      <c r="O217" s="525"/>
      <c r="P217" s="504"/>
      <c r="Q217" s="517">
        <v>1377.24</v>
      </c>
      <c r="R217" s="525"/>
      <c r="S217" s="567">
        <v>-59.660000000000082</v>
      </c>
      <c r="T217" s="504"/>
      <c r="U217" s="504"/>
      <c r="V217" s="504"/>
      <c r="W217" s="504"/>
      <c r="X217" s="504"/>
      <c r="Y217" s="504"/>
      <c r="Z217" s="504"/>
      <c r="AA217" s="504"/>
      <c r="AB217" s="504"/>
      <c r="AC217" s="50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</row>
    <row r="218" spans="1:40" ht="15.75" customHeight="1">
      <c r="A218" s="493" t="s">
        <v>369</v>
      </c>
      <c r="B218" s="499" t="s">
        <v>84</v>
      </c>
      <c r="C218" s="513" t="s">
        <v>58</v>
      </c>
      <c r="D218" s="82"/>
      <c r="E218" s="504"/>
      <c r="F218" s="514">
        <v>660.27657304177922</v>
      </c>
      <c r="G218" s="84"/>
      <c r="H218" s="504"/>
      <c r="I218" s="514">
        <v>660.27657304177922</v>
      </c>
      <c r="J218" s="525"/>
      <c r="K218" s="504"/>
      <c r="L218" s="517">
        <v>512.22</v>
      </c>
      <c r="M218" s="525"/>
      <c r="N218" s="545">
        <v>-148.05657304177919</v>
      </c>
      <c r="O218" s="525"/>
      <c r="P218" s="504"/>
      <c r="Q218" s="517">
        <v>423.83</v>
      </c>
      <c r="R218" s="525"/>
      <c r="S218" s="567">
        <v>88.390000000000043</v>
      </c>
      <c r="T218" s="504"/>
      <c r="U218" s="504"/>
      <c r="V218" s="504"/>
      <c r="W218" s="504"/>
      <c r="X218" s="504"/>
      <c r="Y218" s="504"/>
      <c r="Z218" s="504"/>
      <c r="AA218" s="504"/>
      <c r="AB218" s="504"/>
      <c r="AC218" s="50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</row>
    <row r="219" spans="1:40" ht="15.75" customHeight="1">
      <c r="A219" s="493" t="s">
        <v>370</v>
      </c>
      <c r="B219" s="499" t="s">
        <v>84</v>
      </c>
      <c r="C219" s="513" t="s">
        <v>59</v>
      </c>
      <c r="D219" s="82"/>
      <c r="E219" s="504"/>
      <c r="F219" s="514">
        <v>489.64823999999999</v>
      </c>
      <c r="G219" s="84"/>
      <c r="H219" s="504"/>
      <c r="I219" s="514">
        <v>489.64823999999999</v>
      </c>
      <c r="J219" s="525"/>
      <c r="K219" s="504"/>
      <c r="L219" s="516">
        <v>1073.27</v>
      </c>
      <c r="M219" s="525"/>
      <c r="N219" s="545">
        <v>583.62175999999999</v>
      </c>
      <c r="O219" s="525"/>
      <c r="P219" s="504"/>
      <c r="Q219" s="516">
        <v>479.16</v>
      </c>
      <c r="R219" s="525"/>
      <c r="S219" s="567">
        <v>594.1099999999999</v>
      </c>
      <c r="T219" s="504"/>
      <c r="U219" s="504"/>
      <c r="V219" s="504"/>
      <c r="W219" s="504"/>
      <c r="X219" s="504"/>
      <c r="Y219" s="504"/>
      <c r="Z219" s="504"/>
      <c r="AA219" s="504"/>
      <c r="AB219" s="504"/>
      <c r="AC219" s="50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</row>
    <row r="220" spans="1:40" ht="15.75" customHeight="1">
      <c r="A220" s="493" t="s">
        <v>371</v>
      </c>
      <c r="B220" s="499" t="s">
        <v>84</v>
      </c>
      <c r="C220" s="513" t="s">
        <v>60</v>
      </c>
      <c r="D220" s="82"/>
      <c r="E220" s="504"/>
      <c r="F220" s="514">
        <v>226.09839500000001</v>
      </c>
      <c r="G220" s="84"/>
      <c r="H220" s="504"/>
      <c r="I220" s="514">
        <v>226.09839500000001</v>
      </c>
      <c r="J220" s="525"/>
      <c r="K220" s="504"/>
      <c r="L220" s="517">
        <v>351.7</v>
      </c>
      <c r="M220" s="525"/>
      <c r="N220" s="545">
        <v>125.60160499999998</v>
      </c>
      <c r="O220" s="525"/>
      <c r="P220" s="504"/>
      <c r="Q220" s="517">
        <v>203.5</v>
      </c>
      <c r="R220" s="525"/>
      <c r="S220" s="567">
        <v>148.19999999999999</v>
      </c>
      <c r="T220" s="504"/>
      <c r="U220" s="504"/>
      <c r="V220" s="504"/>
      <c r="W220" s="504"/>
      <c r="X220" s="504"/>
      <c r="Y220" s="504"/>
      <c r="Z220" s="504"/>
      <c r="AA220" s="504"/>
      <c r="AB220" s="504"/>
      <c r="AC220" s="50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</row>
    <row r="221" spans="1:40" ht="15.75" customHeight="1">
      <c r="A221" s="493" t="s">
        <v>372</v>
      </c>
      <c r="B221" s="499" t="s">
        <v>84</v>
      </c>
      <c r="C221" s="513" t="s">
        <v>61</v>
      </c>
      <c r="D221" s="82"/>
      <c r="E221" s="504"/>
      <c r="F221" s="514">
        <v>120.68780499999997</v>
      </c>
      <c r="G221" s="84"/>
      <c r="H221" s="504"/>
      <c r="I221" s="514">
        <v>120.68780499999997</v>
      </c>
      <c r="J221" s="525"/>
      <c r="K221" s="504"/>
      <c r="L221" s="517">
        <v>84.01</v>
      </c>
      <c r="M221" s="525"/>
      <c r="N221" s="545">
        <v>-36.677804999999964</v>
      </c>
      <c r="O221" s="525"/>
      <c r="P221" s="504"/>
      <c r="Q221" s="517">
        <v>114.64</v>
      </c>
      <c r="R221" s="525"/>
      <c r="S221" s="567">
        <v>-30.629999999999995</v>
      </c>
      <c r="T221" s="504"/>
      <c r="U221" s="504"/>
      <c r="V221" s="504"/>
      <c r="W221" s="504"/>
      <c r="X221" s="504"/>
      <c r="Y221" s="504"/>
      <c r="Z221" s="504"/>
      <c r="AA221" s="504"/>
      <c r="AB221" s="504"/>
      <c r="AC221" s="50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</row>
    <row r="222" spans="1:40" ht="15.75" customHeight="1">
      <c r="A222" s="493" t="s">
        <v>373</v>
      </c>
      <c r="B222" s="499" t="s">
        <v>84</v>
      </c>
      <c r="C222" s="513" t="s">
        <v>62</v>
      </c>
      <c r="D222" s="82"/>
      <c r="E222" s="504"/>
      <c r="F222" s="514">
        <v>582.1751949999998</v>
      </c>
      <c r="G222" s="84"/>
      <c r="H222" s="504"/>
      <c r="I222" s="514">
        <v>582.1751949999998</v>
      </c>
      <c r="J222" s="525"/>
      <c r="K222" s="504"/>
      <c r="L222" s="517">
        <v>178.72</v>
      </c>
      <c r="M222" s="525"/>
      <c r="N222" s="545">
        <v>-403.45519499999978</v>
      </c>
      <c r="O222" s="525"/>
      <c r="P222" s="504"/>
      <c r="Q222" s="517">
        <v>898.81</v>
      </c>
      <c r="R222" s="525"/>
      <c r="S222" s="567">
        <v>-720.08999999999992</v>
      </c>
      <c r="T222" s="504"/>
      <c r="U222" s="504"/>
      <c r="V222" s="504"/>
      <c r="W222" s="504"/>
      <c r="X222" s="504"/>
      <c r="Y222" s="504"/>
      <c r="Z222" s="504"/>
      <c r="AA222" s="504"/>
      <c r="AB222" s="504"/>
      <c r="AC222" s="50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</row>
    <row r="223" spans="1:40" ht="15.75" customHeight="1">
      <c r="A223" s="493" t="s">
        <v>374</v>
      </c>
      <c r="B223" s="499" t="s">
        <v>84</v>
      </c>
      <c r="C223" s="513" t="s">
        <v>63</v>
      </c>
      <c r="D223" s="82"/>
      <c r="E223" s="504"/>
      <c r="F223" s="514">
        <v>864.94219999999996</v>
      </c>
      <c r="G223" s="84"/>
      <c r="H223" s="504"/>
      <c r="I223" s="514">
        <v>864.94219999999996</v>
      </c>
      <c r="J223" s="525"/>
      <c r="K223" s="504"/>
      <c r="L223" s="517">
        <v>2085.21</v>
      </c>
      <c r="M223" s="525"/>
      <c r="N223" s="545">
        <v>1220.2678000000001</v>
      </c>
      <c r="O223" s="525"/>
      <c r="P223" s="504"/>
      <c r="Q223" s="517">
        <v>2298.75</v>
      </c>
      <c r="R223" s="525"/>
      <c r="S223" s="567">
        <v>-213.53999999999996</v>
      </c>
      <c r="T223" s="504"/>
      <c r="U223" s="504"/>
      <c r="V223" s="504"/>
      <c r="W223" s="504"/>
      <c r="X223" s="504"/>
      <c r="Y223" s="504"/>
      <c r="Z223" s="504"/>
      <c r="AA223" s="504"/>
      <c r="AB223" s="504"/>
      <c r="AC223" s="50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</row>
    <row r="224" spans="1:40" ht="15.75" customHeight="1">
      <c r="A224" s="493" t="s">
        <v>375</v>
      </c>
      <c r="B224" s="499" t="s">
        <v>84</v>
      </c>
      <c r="C224" s="513" t="s">
        <v>64</v>
      </c>
      <c r="D224" s="82"/>
      <c r="E224" s="504"/>
      <c r="F224" s="514">
        <v>1484.3347421947913</v>
      </c>
      <c r="G224" s="84"/>
      <c r="H224" s="504"/>
      <c r="I224" s="514">
        <v>1484.3347421947913</v>
      </c>
      <c r="J224" s="525"/>
      <c r="K224" s="504"/>
      <c r="L224" s="517">
        <v>1532.4997499999999</v>
      </c>
      <c r="M224" s="525"/>
      <c r="N224" s="545">
        <v>48.165007805208688</v>
      </c>
      <c r="O224" s="525"/>
      <c r="P224" s="504"/>
      <c r="Q224" s="517">
        <v>1551.4222500000001</v>
      </c>
      <c r="R224" s="525"/>
      <c r="S224" s="567">
        <v>-18.922500000000127</v>
      </c>
      <c r="T224" s="504"/>
      <c r="U224" s="504"/>
      <c r="V224" s="504"/>
      <c r="W224" s="504"/>
      <c r="X224" s="504"/>
      <c r="Y224" s="504"/>
      <c r="Z224" s="504"/>
      <c r="AA224" s="504"/>
      <c r="AB224" s="504"/>
      <c r="AC224" s="50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</row>
    <row r="225" spans="1:40" ht="15.75" hidden="1" customHeight="1">
      <c r="A225" s="493" t="s">
        <v>355</v>
      </c>
      <c r="B225" s="499" t="s">
        <v>84</v>
      </c>
      <c r="C225" s="513" t="s">
        <v>21</v>
      </c>
      <c r="D225" s="82"/>
      <c r="E225" s="504"/>
      <c r="F225" s="514">
        <v>0</v>
      </c>
      <c r="G225" s="84"/>
      <c r="H225" s="504"/>
      <c r="I225" s="514">
        <v>0</v>
      </c>
      <c r="J225" s="525"/>
      <c r="K225" s="504"/>
      <c r="L225" s="517">
        <v>0</v>
      </c>
      <c r="M225" s="525"/>
      <c r="N225" s="545">
        <v>0</v>
      </c>
      <c r="O225" s="525"/>
      <c r="P225" s="504"/>
      <c r="Q225" s="517">
        <v>0</v>
      </c>
      <c r="R225" s="525"/>
      <c r="S225" s="567">
        <v>0</v>
      </c>
      <c r="T225" s="504"/>
      <c r="U225" s="504"/>
      <c r="V225" s="504"/>
      <c r="W225" s="504"/>
      <c r="X225" s="504"/>
      <c r="Y225" s="504"/>
      <c r="Z225" s="504"/>
      <c r="AA225" s="504"/>
      <c r="AB225" s="504"/>
      <c r="AC225" s="50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</row>
    <row r="226" spans="1:40" ht="15.75" hidden="1" customHeight="1">
      <c r="A226" s="493" t="s">
        <v>355</v>
      </c>
      <c r="B226" s="499" t="s">
        <v>84</v>
      </c>
      <c r="C226" s="513" t="s">
        <v>21</v>
      </c>
      <c r="D226" s="82"/>
      <c r="E226" s="504"/>
      <c r="F226" s="514">
        <v>0</v>
      </c>
      <c r="G226" s="84"/>
      <c r="H226" s="504"/>
      <c r="I226" s="514">
        <v>0</v>
      </c>
      <c r="J226" s="525"/>
      <c r="K226" s="504"/>
      <c r="L226" s="517">
        <v>0</v>
      </c>
      <c r="M226" s="525"/>
      <c r="N226" s="545">
        <v>0</v>
      </c>
      <c r="O226" s="525"/>
      <c r="P226" s="504"/>
      <c r="Q226" s="517">
        <v>0</v>
      </c>
      <c r="R226" s="525"/>
      <c r="S226" s="567">
        <v>0</v>
      </c>
      <c r="T226" s="504"/>
      <c r="U226" s="504"/>
      <c r="V226" s="504"/>
      <c r="W226" s="504"/>
      <c r="X226" s="504"/>
      <c r="Y226" s="504"/>
      <c r="Z226" s="504"/>
      <c r="AA226" s="504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</row>
    <row r="227" spans="1:40" ht="15.75" hidden="1" customHeight="1">
      <c r="A227" s="493" t="s">
        <v>355</v>
      </c>
      <c r="B227" s="499" t="s">
        <v>84</v>
      </c>
      <c r="C227" s="513" t="s">
        <v>21</v>
      </c>
      <c r="D227" s="82"/>
      <c r="E227" s="504"/>
      <c r="F227" s="514">
        <v>0</v>
      </c>
      <c r="G227" s="84"/>
      <c r="H227" s="504"/>
      <c r="I227" s="514">
        <v>0</v>
      </c>
      <c r="J227" s="525"/>
      <c r="K227" s="504"/>
      <c r="L227" s="517">
        <v>0</v>
      </c>
      <c r="M227" s="525"/>
      <c r="N227" s="545">
        <v>0</v>
      </c>
      <c r="O227" s="525"/>
      <c r="P227" s="504"/>
      <c r="Q227" s="517">
        <v>0</v>
      </c>
      <c r="R227" s="525"/>
      <c r="S227" s="567">
        <v>0</v>
      </c>
      <c r="T227" s="504"/>
      <c r="U227" s="504"/>
      <c r="V227" s="504"/>
      <c r="W227" s="504"/>
      <c r="X227" s="504"/>
      <c r="Y227" s="504"/>
      <c r="Z227" s="504"/>
      <c r="AA227" s="504"/>
      <c r="AB227" s="504"/>
      <c r="AC227" s="50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</row>
    <row r="228" spans="1:40" ht="15.75" customHeight="1">
      <c r="B228" s="499"/>
      <c r="C228" s="578" t="s">
        <v>65</v>
      </c>
      <c r="D228" s="97" t="s">
        <v>98</v>
      </c>
      <c r="E228" s="579">
        <v>0.21959095299946521</v>
      </c>
      <c r="F228" s="580">
        <v>40348.976235166716</v>
      </c>
      <c r="G228" s="100" t="s">
        <v>98</v>
      </c>
      <c r="H228" s="579">
        <v>0.21959095299946521</v>
      </c>
      <c r="I228" s="580">
        <v>40348.976235166716</v>
      </c>
      <c r="J228" s="100" t="s">
        <v>98</v>
      </c>
      <c r="K228" s="579">
        <v>0.25426701440176575</v>
      </c>
      <c r="L228" s="580">
        <v>48402.619750000005</v>
      </c>
      <c r="M228" s="583"/>
      <c r="N228" s="580">
        <v>8053.6435148332894</v>
      </c>
      <c r="O228" s="100" t="s">
        <v>98</v>
      </c>
      <c r="P228" s="579">
        <v>0.25388475031571128</v>
      </c>
      <c r="Q228" s="580">
        <v>44396.072249999997</v>
      </c>
      <c r="R228" s="583"/>
      <c r="S228" s="584">
        <v>4006.5475000000079</v>
      </c>
      <c r="T228" s="504"/>
      <c r="U228" s="504"/>
      <c r="V228" s="504"/>
      <c r="W228" s="504"/>
      <c r="X228" s="504"/>
      <c r="Y228" s="504"/>
      <c r="Z228" s="504"/>
      <c r="AA228" s="504"/>
      <c r="AB228" s="504"/>
      <c r="AC228" s="50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</row>
    <row r="229" spans="1:40" ht="15.75" customHeight="1">
      <c r="B229" s="499"/>
      <c r="C229" s="568"/>
      <c r="D229" s="89"/>
      <c r="E229" s="592"/>
      <c r="F229" s="545"/>
      <c r="G229" s="91"/>
      <c r="H229" s="592"/>
      <c r="I229" s="545"/>
      <c r="J229" s="509"/>
      <c r="K229" s="592"/>
      <c r="L229" s="573"/>
      <c r="M229" s="509"/>
      <c r="N229" s="573"/>
      <c r="O229" s="509"/>
      <c r="P229" s="592"/>
      <c r="Q229" s="573"/>
      <c r="R229" s="509"/>
      <c r="S229" s="574"/>
      <c r="T229" s="504"/>
      <c r="U229" s="504"/>
      <c r="V229" s="504"/>
      <c r="W229" s="504"/>
      <c r="X229" s="504"/>
      <c r="Y229" s="504"/>
      <c r="Z229" s="504"/>
      <c r="AA229" s="504"/>
      <c r="AB229" s="504"/>
      <c r="AC229" s="50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</row>
    <row r="230" spans="1:40" ht="15.75" customHeight="1">
      <c r="B230" s="499"/>
      <c r="C230" s="578" t="s">
        <v>66</v>
      </c>
      <c r="D230" s="97" t="s">
        <v>40</v>
      </c>
      <c r="E230" s="579">
        <v>0.8247505092098768</v>
      </c>
      <c r="F230" s="580">
        <v>151544.6708596051</v>
      </c>
      <c r="G230" s="100" t="s">
        <v>40</v>
      </c>
      <c r="H230" s="579">
        <v>0.8247505092098768</v>
      </c>
      <c r="I230" s="580">
        <v>151544.6708596051</v>
      </c>
      <c r="J230" s="100" t="s">
        <v>40</v>
      </c>
      <c r="K230" s="579">
        <v>0.97604913218216849</v>
      </c>
      <c r="L230" s="580">
        <v>185802.05975000001</v>
      </c>
      <c r="M230" s="583"/>
      <c r="N230" s="594">
        <v>34257.388890394912</v>
      </c>
      <c r="O230" s="100" t="s">
        <v>40</v>
      </c>
      <c r="P230" s="579">
        <v>0.79328992006097443</v>
      </c>
      <c r="Q230" s="580">
        <v>138720.25225000002</v>
      </c>
      <c r="R230" s="583"/>
      <c r="S230" s="595">
        <v>47081.807499999995</v>
      </c>
      <c r="T230" s="504"/>
      <c r="U230" s="504"/>
      <c r="V230" s="504"/>
      <c r="W230" s="504"/>
      <c r="X230" s="504"/>
      <c r="Y230" s="504"/>
      <c r="Z230" s="504"/>
      <c r="AA230" s="504"/>
      <c r="AB230" s="504"/>
      <c r="AC230" s="50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</row>
    <row r="231" spans="1:40" ht="15.75" customHeight="1">
      <c r="B231" s="499"/>
      <c r="C231" s="513"/>
      <c r="D231" s="82"/>
      <c r="E231" s="504"/>
      <c r="F231" s="545"/>
      <c r="G231" s="84"/>
      <c r="H231" s="504"/>
      <c r="I231" s="545"/>
      <c r="J231" s="525"/>
      <c r="K231" s="504"/>
      <c r="L231" s="545"/>
      <c r="M231" s="525"/>
      <c r="N231" s="545">
        <v>0</v>
      </c>
      <c r="O231" s="525"/>
      <c r="P231" s="504"/>
      <c r="Q231" s="545"/>
      <c r="R231" s="525"/>
      <c r="S231" s="567"/>
      <c r="T231" s="504"/>
      <c r="U231" s="504"/>
      <c r="V231" s="504"/>
      <c r="W231" s="504"/>
      <c r="X231" s="504"/>
      <c r="Y231" s="504"/>
      <c r="Z231" s="504"/>
      <c r="AA231" s="504"/>
      <c r="AB231" s="504"/>
      <c r="AC231" s="50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</row>
    <row r="232" spans="1:40" ht="15.75" customHeight="1" thickBot="1">
      <c r="B232" s="499"/>
      <c r="C232" s="605" t="s">
        <v>73</v>
      </c>
      <c r="D232" s="156"/>
      <c r="E232" s="606"/>
      <c r="F232" s="608">
        <v>32201.406490243564</v>
      </c>
      <c r="G232" s="157"/>
      <c r="H232" s="606"/>
      <c r="I232" s="608">
        <v>32201.406490243564</v>
      </c>
      <c r="J232" s="625"/>
      <c r="K232" s="607"/>
      <c r="L232" s="608">
        <v>4559.3202499999898</v>
      </c>
      <c r="M232" s="625"/>
      <c r="N232" s="608">
        <v>-27642.086240243574</v>
      </c>
      <c r="O232" s="625"/>
      <c r="P232" s="607"/>
      <c r="Q232" s="608">
        <v>36146.777749999979</v>
      </c>
      <c r="R232" s="625"/>
      <c r="S232" s="610">
        <v>-31587.45749999999</v>
      </c>
      <c r="T232" s="504"/>
      <c r="U232" s="504"/>
      <c r="V232" s="504"/>
      <c r="W232" s="504"/>
      <c r="X232" s="504"/>
      <c r="Y232" s="504"/>
      <c r="Z232" s="504"/>
      <c r="AA232" s="504"/>
      <c r="AB232" s="504"/>
      <c r="AC232" s="50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</row>
    <row r="233" spans="1:40" ht="15.75" customHeight="1" thickTop="1">
      <c r="B233" s="499"/>
      <c r="C233" s="504"/>
      <c r="D233" s="504"/>
      <c r="E233" s="504"/>
      <c r="F233" s="504"/>
      <c r="G233" s="504"/>
      <c r="H233" s="504"/>
      <c r="I233" s="504"/>
      <c r="J233" s="504"/>
      <c r="K233" s="504"/>
      <c r="L233" s="565"/>
      <c r="M233" s="565"/>
      <c r="N233" s="504"/>
      <c r="O233" s="565"/>
      <c r="P233" s="504"/>
      <c r="Q233" s="565"/>
      <c r="R233" s="504"/>
      <c r="S233" s="504"/>
      <c r="T233" s="504"/>
      <c r="U233" s="504"/>
      <c r="V233" s="504"/>
      <c r="W233" s="504"/>
      <c r="X233" s="504"/>
      <c r="Y233" s="504"/>
      <c r="Z233" s="504"/>
      <c r="AA233" s="504"/>
      <c r="AB233" s="504"/>
      <c r="AC233" s="50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</row>
    <row r="234" spans="1:40" ht="15.75" customHeight="1">
      <c r="B234" s="499"/>
      <c r="C234" s="498"/>
      <c r="D234" s="498"/>
      <c r="E234" s="498"/>
      <c r="F234" s="498"/>
      <c r="G234" s="498"/>
      <c r="H234" s="498"/>
      <c r="I234" s="498"/>
      <c r="J234" s="498"/>
      <c r="K234" s="498"/>
      <c r="L234" s="626"/>
      <c r="M234" s="626"/>
      <c r="N234" s="498"/>
      <c r="O234" s="626"/>
      <c r="P234" s="498"/>
      <c r="Q234" s="626"/>
      <c r="R234" s="498"/>
      <c r="S234" s="498"/>
      <c r="T234" s="498"/>
      <c r="U234" s="498"/>
      <c r="V234" s="504"/>
      <c r="W234" s="504"/>
      <c r="X234" s="504"/>
      <c r="Y234" s="504"/>
      <c r="Z234" s="504"/>
      <c r="AA234" s="504"/>
      <c r="AB234" s="504"/>
      <c r="AC234" s="504"/>
      <c r="AD234" s="504"/>
      <c r="AE234" s="504"/>
      <c r="AF234" s="504"/>
      <c r="AG234" s="504"/>
      <c r="AH234" s="504"/>
      <c r="AI234" s="504"/>
      <c r="AJ234" s="504"/>
      <c r="AK234" s="504"/>
      <c r="AL234" s="504"/>
      <c r="AM234" s="504"/>
      <c r="AN234" s="504"/>
    </row>
    <row r="235" spans="1:40" ht="33" customHeight="1">
      <c r="B235" s="499"/>
      <c r="C235" s="496" t="s">
        <v>228</v>
      </c>
      <c r="D235" s="2"/>
      <c r="E235" s="2"/>
      <c r="F235" s="2"/>
      <c r="G235" s="2"/>
      <c r="H235" s="494"/>
      <c r="I235" s="494"/>
      <c r="J235" s="494"/>
      <c r="K235" s="3" t="s">
        <v>100</v>
      </c>
      <c r="L235" s="2"/>
      <c r="M235" s="2"/>
      <c r="N235" s="494"/>
      <c r="O235" s="494"/>
      <c r="P235" s="2"/>
      <c r="Q235" s="494"/>
      <c r="R235" s="2"/>
      <c r="S235" s="5" t="s">
        <v>499</v>
      </c>
      <c r="T235" s="2"/>
      <c r="U235" s="496"/>
      <c r="V235" s="498"/>
      <c r="W235" s="498"/>
      <c r="X235" s="498"/>
      <c r="Y235" s="498"/>
      <c r="Z235" s="498"/>
      <c r="AA235" s="498"/>
      <c r="AB235" s="498"/>
      <c r="AC235" s="498"/>
      <c r="AD235" s="498"/>
      <c r="AE235" s="498"/>
      <c r="AF235" s="498"/>
      <c r="AG235" s="498"/>
      <c r="AH235" s="498"/>
      <c r="AI235" s="498"/>
      <c r="AJ235" s="498"/>
      <c r="AK235" s="498"/>
      <c r="AL235" s="498"/>
      <c r="AM235" s="498"/>
      <c r="AN235" s="498"/>
    </row>
    <row r="236" spans="1:40" ht="24" customHeight="1" thickBot="1">
      <c r="B236" s="499"/>
      <c r="C236" s="8"/>
      <c r="D236" s="498"/>
      <c r="E236" s="498"/>
      <c r="F236" s="498"/>
      <c r="G236" s="498"/>
      <c r="H236" s="498"/>
      <c r="I236" s="498"/>
      <c r="J236" s="498"/>
      <c r="K236" s="498"/>
      <c r="L236" s="498"/>
      <c r="M236" s="498"/>
      <c r="N236" s="498"/>
      <c r="O236" s="498"/>
      <c r="P236" s="498"/>
      <c r="Q236" s="498"/>
      <c r="R236" s="498"/>
      <c r="S236" s="498"/>
      <c r="T236" s="498"/>
      <c r="U236" s="498"/>
      <c r="V236" s="496"/>
      <c r="W236" s="496"/>
      <c r="X236" s="496"/>
      <c r="Y236" s="496"/>
      <c r="Z236" s="496"/>
      <c r="AA236" s="496"/>
      <c r="AB236" s="496"/>
      <c r="AC236" s="496"/>
      <c r="AD236" s="496"/>
      <c r="AE236" s="496"/>
      <c r="AF236" s="496"/>
      <c r="AG236" s="496"/>
      <c r="AH236" s="496"/>
      <c r="AI236" s="496"/>
      <c r="AJ236" s="496"/>
      <c r="AK236" s="496"/>
      <c r="AL236" s="496"/>
      <c r="AM236" s="496"/>
      <c r="AN236" s="496"/>
    </row>
    <row r="237" spans="1:40" ht="15.75" customHeight="1" thickTop="1">
      <c r="B237" s="499"/>
      <c r="C237" s="500"/>
      <c r="D237" s="488" t="s">
        <v>5</v>
      </c>
      <c r="E237" s="501"/>
      <c r="F237" s="502"/>
      <c r="G237" s="489" t="s">
        <v>75</v>
      </c>
      <c r="H237" s="501"/>
      <c r="I237" s="502"/>
      <c r="J237" s="489" t="s">
        <v>7</v>
      </c>
      <c r="K237" s="501"/>
      <c r="L237" s="502"/>
      <c r="M237" s="489" t="s">
        <v>8</v>
      </c>
      <c r="N237" s="502"/>
      <c r="O237" s="488" t="s">
        <v>9</v>
      </c>
      <c r="P237" s="501"/>
      <c r="Q237" s="502"/>
      <c r="R237" s="489" t="s">
        <v>10</v>
      </c>
      <c r="S237" s="503"/>
      <c r="T237" s="153"/>
      <c r="U237" s="504"/>
      <c r="V237" s="498"/>
      <c r="W237" s="498"/>
      <c r="X237" s="498"/>
      <c r="Y237" s="498"/>
      <c r="Z237" s="498"/>
      <c r="AA237" s="498"/>
      <c r="AB237" s="498"/>
      <c r="AC237" s="498"/>
      <c r="AD237" s="498"/>
      <c r="AE237" s="498"/>
      <c r="AF237" s="498"/>
      <c r="AG237" s="498"/>
      <c r="AH237" s="498"/>
      <c r="AI237" s="498"/>
      <c r="AJ237" s="498"/>
      <c r="AK237" s="498"/>
      <c r="AL237" s="498"/>
      <c r="AM237" s="498"/>
      <c r="AN237" s="498"/>
    </row>
    <row r="238" spans="1:40" ht="15.75" customHeight="1">
      <c r="A238" s="493" t="s">
        <v>100</v>
      </c>
      <c r="B238" s="499" t="s">
        <v>100</v>
      </c>
      <c r="C238" s="513"/>
      <c r="D238" s="81" t="s">
        <v>41</v>
      </c>
      <c r="E238" s="81" t="s">
        <v>85</v>
      </c>
      <c r="F238" s="137" t="s">
        <v>13</v>
      </c>
      <c r="G238" s="138" t="s">
        <v>41</v>
      </c>
      <c r="H238" s="81" t="s">
        <v>85</v>
      </c>
      <c r="I238" s="137" t="s">
        <v>13</v>
      </c>
      <c r="J238" s="138" t="s">
        <v>41</v>
      </c>
      <c r="K238" s="81" t="s">
        <v>85</v>
      </c>
      <c r="L238" s="137" t="s">
        <v>13</v>
      </c>
      <c r="M238" s="138" t="s">
        <v>41</v>
      </c>
      <c r="N238" s="137" t="s">
        <v>13</v>
      </c>
      <c r="O238" s="81" t="s">
        <v>41</v>
      </c>
      <c r="P238" s="81" t="s">
        <v>85</v>
      </c>
      <c r="Q238" s="137" t="s">
        <v>13</v>
      </c>
      <c r="R238" s="138" t="s">
        <v>86</v>
      </c>
      <c r="S238" s="139" t="s">
        <v>13</v>
      </c>
      <c r="T238" s="81"/>
      <c r="U238" s="504"/>
      <c r="V238" s="504"/>
      <c r="W238" s="504"/>
      <c r="X238" s="504"/>
      <c r="Y238" s="504"/>
      <c r="Z238" s="504"/>
      <c r="AA238" s="504"/>
      <c r="AB238" s="504"/>
      <c r="AC238" s="504"/>
      <c r="AD238" s="504"/>
      <c r="AE238" s="504"/>
      <c r="AF238" s="504"/>
      <c r="AG238" s="504"/>
      <c r="AH238" s="504"/>
      <c r="AI238" s="504"/>
      <c r="AJ238" s="504"/>
      <c r="AK238" s="504"/>
      <c r="AL238" s="504"/>
      <c r="AM238" s="504"/>
      <c r="AN238" s="504"/>
    </row>
    <row r="239" spans="1:40" ht="15.75" customHeight="1">
      <c r="A239" s="493" t="s">
        <v>100</v>
      </c>
      <c r="B239" s="499" t="s">
        <v>100</v>
      </c>
      <c r="C239" s="513"/>
      <c r="D239" s="81"/>
      <c r="E239" s="81"/>
      <c r="F239" s="137"/>
      <c r="G239" s="138"/>
      <c r="H239" s="81"/>
      <c r="I239" s="137"/>
      <c r="J239" s="138"/>
      <c r="K239" s="514"/>
      <c r="L239" s="517"/>
      <c r="M239" s="138"/>
      <c r="N239" s="137"/>
      <c r="O239" s="81"/>
      <c r="P239" s="81"/>
      <c r="Q239" s="137"/>
      <c r="R239" s="138"/>
      <c r="S239" s="139"/>
      <c r="T239" s="81"/>
      <c r="U239" s="504"/>
      <c r="V239" s="504"/>
      <c r="W239" s="504"/>
      <c r="X239" s="504"/>
      <c r="Y239" s="504"/>
      <c r="Z239" s="504"/>
      <c r="AA239" s="504"/>
      <c r="AB239" s="504"/>
      <c r="AC239" s="504"/>
      <c r="AD239" s="504"/>
      <c r="AE239" s="504"/>
      <c r="AF239" s="504"/>
      <c r="AG239" s="504"/>
      <c r="AH239" s="504"/>
      <c r="AI239" s="504"/>
      <c r="AJ239" s="504"/>
      <c r="AK239" s="504"/>
      <c r="AL239" s="504"/>
      <c r="AM239" s="504"/>
      <c r="AN239" s="504"/>
    </row>
    <row r="240" spans="1:40" ht="15.75" customHeight="1">
      <c r="A240" s="493" t="s">
        <v>376</v>
      </c>
      <c r="B240" s="499" t="s">
        <v>100</v>
      </c>
      <c r="C240" s="513" t="s">
        <v>101</v>
      </c>
      <c r="D240" s="81">
        <v>0</v>
      </c>
      <c r="E240" s="565">
        <v>94914.02820660219</v>
      </c>
      <c r="F240" s="565">
        <v>20995.072942759201</v>
      </c>
      <c r="G240" s="627">
        <v>0</v>
      </c>
      <c r="H240" s="565">
        <v>94914.02820660219</v>
      </c>
      <c r="I240" s="565">
        <v>20995.072942759201</v>
      </c>
      <c r="J240" s="546">
        <v>77</v>
      </c>
      <c r="K240" s="514">
        <v>117303.03000000001</v>
      </c>
      <c r="L240" s="517">
        <v>25370.320000000003</v>
      </c>
      <c r="M240" s="628">
        <v>0.23588717301791276</v>
      </c>
      <c r="N240" s="545">
        <v>4375.247057240802</v>
      </c>
      <c r="O240" s="546">
        <v>42</v>
      </c>
      <c r="P240" s="514">
        <v>49052.24</v>
      </c>
      <c r="Q240" s="517">
        <v>10604.860000000002</v>
      </c>
      <c r="R240" s="628">
        <v>1.8333333333333333</v>
      </c>
      <c r="S240" s="567">
        <v>14765.460000000001</v>
      </c>
      <c r="T240" s="81"/>
      <c r="U240" s="504"/>
      <c r="V240" s="504"/>
      <c r="W240" s="504"/>
      <c r="X240" s="504"/>
      <c r="Y240" s="504"/>
      <c r="Z240" s="504"/>
      <c r="AA240" s="504"/>
      <c r="AB240" s="504"/>
      <c r="AC240" s="504"/>
      <c r="AD240" s="504"/>
      <c r="AE240" s="504"/>
      <c r="AF240" s="504"/>
      <c r="AG240" s="504"/>
      <c r="AH240" s="504"/>
      <c r="AI240" s="504"/>
      <c r="AJ240" s="504"/>
      <c r="AK240" s="504"/>
      <c r="AL240" s="504"/>
      <c r="AM240" s="504"/>
      <c r="AN240" s="504"/>
    </row>
    <row r="241" spans="1:40" ht="15.75" customHeight="1">
      <c r="A241" s="493" t="s">
        <v>377</v>
      </c>
      <c r="B241" s="499" t="s">
        <v>100</v>
      </c>
      <c r="C241" s="513" t="s">
        <v>88</v>
      </c>
      <c r="D241" s="81"/>
      <c r="E241" s="618"/>
      <c r="F241" s="629">
        <v>0.2212009472093904</v>
      </c>
      <c r="G241" s="525"/>
      <c r="H241" s="618"/>
      <c r="I241" s="629">
        <v>0.2212009472093904</v>
      </c>
      <c r="J241" s="546"/>
      <c r="K241" s="504"/>
      <c r="L241" s="629">
        <v>0.21628017622392193</v>
      </c>
      <c r="M241" s="628"/>
      <c r="N241" s="545">
        <v>18548.049905657885</v>
      </c>
      <c r="O241" s="546"/>
      <c r="P241" s="504"/>
      <c r="Q241" s="629">
        <v>0.21619522370436095</v>
      </c>
      <c r="R241" s="546"/>
      <c r="S241" s="567">
        <v>8053.8872727272737</v>
      </c>
      <c r="T241" s="81"/>
      <c r="U241" s="504"/>
      <c r="V241" s="504"/>
      <c r="W241" s="504"/>
      <c r="X241" s="504"/>
      <c r="Y241" s="504"/>
      <c r="Z241" s="504"/>
      <c r="AA241" s="504"/>
      <c r="AB241" s="504"/>
      <c r="AC241" s="504"/>
      <c r="AD241" s="504"/>
      <c r="AE241" s="504"/>
      <c r="AF241" s="504"/>
      <c r="AG241" s="504"/>
      <c r="AH241" s="504"/>
      <c r="AI241" s="504"/>
      <c r="AJ241" s="504"/>
      <c r="AK241" s="504"/>
      <c r="AL241" s="504"/>
      <c r="AM241" s="504"/>
      <c r="AN241" s="504"/>
    </row>
    <row r="242" spans="1:40" ht="15.75" customHeight="1">
      <c r="A242" s="493" t="s">
        <v>100</v>
      </c>
      <c r="B242" s="499" t="s">
        <v>100</v>
      </c>
      <c r="C242" s="513"/>
      <c r="D242" s="81"/>
      <c r="E242" s="209"/>
      <c r="F242" s="210"/>
      <c r="G242" s="138"/>
      <c r="H242" s="209"/>
      <c r="I242" s="210"/>
      <c r="J242" s="138"/>
      <c r="K242" s="81"/>
      <c r="L242" s="137"/>
      <c r="M242" s="138"/>
      <c r="N242" s="137"/>
      <c r="O242" s="138"/>
      <c r="P242" s="81"/>
      <c r="Q242" s="137"/>
      <c r="R242" s="211"/>
      <c r="S242" s="139"/>
      <c r="T242" s="81"/>
      <c r="U242" s="504"/>
      <c r="V242" s="504"/>
      <c r="W242" s="504"/>
      <c r="X242" s="504"/>
      <c r="Y242" s="504"/>
      <c r="Z242" s="504"/>
      <c r="AA242" s="504"/>
      <c r="AB242" s="504"/>
      <c r="AC242" s="504"/>
      <c r="AD242" s="504"/>
      <c r="AE242" s="504"/>
      <c r="AF242" s="504"/>
      <c r="AG242" s="504"/>
      <c r="AH242" s="504"/>
      <c r="AI242" s="504"/>
      <c r="AJ242" s="504"/>
      <c r="AK242" s="504"/>
      <c r="AL242" s="504"/>
      <c r="AM242" s="504"/>
      <c r="AN242" s="504"/>
    </row>
    <row r="243" spans="1:40" ht="15.75" customHeight="1">
      <c r="A243" s="493" t="s">
        <v>378</v>
      </c>
      <c r="B243" s="499" t="s">
        <v>100</v>
      </c>
      <c r="C243" s="506" t="s">
        <v>102</v>
      </c>
      <c r="D243" s="587">
        <v>0</v>
      </c>
      <c r="E243" s="565">
        <v>0</v>
      </c>
      <c r="F243" s="565">
        <v>0</v>
      </c>
      <c r="G243" s="683">
        <v>0</v>
      </c>
      <c r="H243" s="565">
        <v>0</v>
      </c>
      <c r="I243" s="565">
        <v>0</v>
      </c>
      <c r="J243" s="636">
        <v>0</v>
      </c>
      <c r="K243" s="637">
        <v>0</v>
      </c>
      <c r="L243" s="589">
        <v>0</v>
      </c>
      <c r="M243" s="646" t="e">
        <v>#DIV/0!</v>
      </c>
      <c r="N243" s="590">
        <v>0</v>
      </c>
      <c r="O243" s="636">
        <v>0</v>
      </c>
      <c r="P243" s="637">
        <v>0</v>
      </c>
      <c r="Q243" s="589">
        <v>0</v>
      </c>
      <c r="R243" s="628">
        <v>0</v>
      </c>
      <c r="S243" s="591">
        <v>0</v>
      </c>
      <c r="T243" s="622"/>
      <c r="U243" s="504"/>
      <c r="V243" s="504"/>
      <c r="W243" s="504"/>
      <c r="X243" s="504"/>
      <c r="Y243" s="504"/>
      <c r="Z243" s="504"/>
      <c r="AA243" s="504"/>
      <c r="AB243" s="504"/>
      <c r="AC243" s="504"/>
      <c r="AD243" s="504"/>
      <c r="AE243" s="504"/>
      <c r="AF243" s="504"/>
      <c r="AG243" s="504"/>
      <c r="AH243" s="504"/>
      <c r="AI243" s="504"/>
      <c r="AJ243" s="504"/>
      <c r="AK243" s="504"/>
      <c r="AL243" s="504"/>
      <c r="AM243" s="504"/>
      <c r="AN243" s="504"/>
    </row>
    <row r="244" spans="1:40" ht="15.75" customHeight="1">
      <c r="A244" s="493" t="s">
        <v>377</v>
      </c>
      <c r="B244" s="499" t="s">
        <v>100</v>
      </c>
      <c r="C244" s="513" t="s">
        <v>88</v>
      </c>
      <c r="D244" s="504"/>
      <c r="E244" s="618"/>
      <c r="F244" s="629" t="e">
        <v>#DIV/0!</v>
      </c>
      <c r="G244" s="525"/>
      <c r="H244" s="618"/>
      <c r="I244" s="629" t="e">
        <v>#DIV/0!</v>
      </c>
      <c r="J244" s="546"/>
      <c r="K244" s="504"/>
      <c r="L244" s="629">
        <v>0</v>
      </c>
      <c r="M244" s="628"/>
      <c r="N244" s="545" t="e">
        <v>#DIV/0!</v>
      </c>
      <c r="O244" s="546"/>
      <c r="P244" s="504"/>
      <c r="Q244" s="629">
        <v>0</v>
      </c>
      <c r="R244" s="546"/>
      <c r="S244" s="567">
        <v>0</v>
      </c>
      <c r="T244" s="622"/>
      <c r="U244" s="504"/>
      <c r="V244" s="504"/>
      <c r="W244" s="504"/>
      <c r="X244" s="504"/>
      <c r="Y244" s="504"/>
      <c r="Z244" s="504"/>
      <c r="AA244" s="504"/>
      <c r="AB244" s="504"/>
      <c r="AC244" s="504"/>
      <c r="AD244" s="504"/>
      <c r="AE244" s="504"/>
      <c r="AF244" s="504"/>
      <c r="AG244" s="504"/>
      <c r="AH244" s="504"/>
      <c r="AI244" s="504"/>
      <c r="AJ244" s="504"/>
      <c r="AK244" s="504"/>
      <c r="AL244" s="504"/>
      <c r="AM244" s="504"/>
      <c r="AN244" s="504"/>
    </row>
    <row r="245" spans="1:40" ht="15.75" customHeight="1">
      <c r="A245" s="493" t="s">
        <v>100</v>
      </c>
      <c r="B245" s="499" t="s">
        <v>100</v>
      </c>
      <c r="C245" s="568"/>
      <c r="D245" s="592"/>
      <c r="E245" s="630"/>
      <c r="F245" s="631"/>
      <c r="G245" s="509"/>
      <c r="H245" s="642"/>
      <c r="I245" s="631"/>
      <c r="J245" s="632"/>
      <c r="K245" s="684"/>
      <c r="L245" s="631"/>
      <c r="M245" s="634"/>
      <c r="N245" s="573"/>
      <c r="O245" s="632"/>
      <c r="P245" s="684"/>
      <c r="Q245" s="631"/>
      <c r="R245" s="632"/>
      <c r="S245" s="574"/>
      <c r="T245" s="622"/>
      <c r="U245" s="504"/>
      <c r="V245" s="504"/>
      <c r="W245" s="504"/>
      <c r="X245" s="504"/>
      <c r="Y245" s="504"/>
      <c r="Z245" s="504"/>
      <c r="AA245" s="504"/>
      <c r="AB245" s="504"/>
      <c r="AC245" s="504"/>
      <c r="AD245" s="504"/>
      <c r="AE245" s="504"/>
      <c r="AF245" s="504"/>
      <c r="AG245" s="504"/>
      <c r="AH245" s="504"/>
      <c r="AI245" s="504"/>
      <c r="AJ245" s="504"/>
      <c r="AK245" s="504"/>
      <c r="AL245" s="504"/>
      <c r="AM245" s="504"/>
      <c r="AN245" s="504"/>
    </row>
    <row r="246" spans="1:40" ht="15.75" customHeight="1">
      <c r="A246" s="493" t="s">
        <v>379</v>
      </c>
      <c r="B246" s="499" t="s">
        <v>100</v>
      </c>
      <c r="C246" s="506" t="s">
        <v>103</v>
      </c>
      <c r="D246" s="635">
        <v>0</v>
      </c>
      <c r="E246" s="565">
        <v>0</v>
      </c>
      <c r="F246" s="565">
        <v>0</v>
      </c>
      <c r="G246" s="636">
        <v>0</v>
      </c>
      <c r="H246" s="565">
        <v>0</v>
      </c>
      <c r="I246" s="565">
        <v>0</v>
      </c>
      <c r="J246" s="636">
        <v>0</v>
      </c>
      <c r="K246" s="514">
        <v>0</v>
      </c>
      <c r="L246" s="517">
        <v>0</v>
      </c>
      <c r="M246" s="628" t="e">
        <v>#DIV/0!</v>
      </c>
      <c r="N246" s="590">
        <v>0</v>
      </c>
      <c r="O246" s="636">
        <v>0</v>
      </c>
      <c r="P246" s="514">
        <v>0</v>
      </c>
      <c r="Q246" s="517">
        <v>0</v>
      </c>
      <c r="R246" s="628">
        <v>0</v>
      </c>
      <c r="S246" s="567">
        <v>0</v>
      </c>
      <c r="T246" s="622"/>
      <c r="U246" s="504"/>
      <c r="V246" s="504"/>
      <c r="W246" s="504"/>
      <c r="X246" s="504"/>
      <c r="Y246" s="504"/>
      <c r="Z246" s="504"/>
      <c r="AA246" s="504"/>
      <c r="AB246" s="504"/>
      <c r="AC246" s="504"/>
      <c r="AD246" s="504"/>
      <c r="AE246" s="504"/>
      <c r="AF246" s="504"/>
      <c r="AG246" s="504"/>
      <c r="AH246" s="504"/>
      <c r="AI246" s="504"/>
      <c r="AJ246" s="504"/>
      <c r="AK246" s="504"/>
      <c r="AL246" s="504"/>
      <c r="AM246" s="504"/>
      <c r="AN246" s="504"/>
    </row>
    <row r="247" spans="1:40" ht="15.75" customHeight="1">
      <c r="A247" s="493" t="s">
        <v>377</v>
      </c>
      <c r="B247" s="499" t="s">
        <v>100</v>
      </c>
      <c r="C247" s="513" t="s">
        <v>88</v>
      </c>
      <c r="D247" s="504"/>
      <c r="E247" s="504"/>
      <c r="F247" s="629" t="e">
        <v>#DIV/0!</v>
      </c>
      <c r="G247" s="525"/>
      <c r="H247" s="504"/>
      <c r="I247" s="629" t="e">
        <v>#DIV/0!</v>
      </c>
      <c r="J247" s="525"/>
      <c r="K247" s="504"/>
      <c r="L247" s="629">
        <v>0</v>
      </c>
      <c r="M247" s="526"/>
      <c r="N247" s="527" t="e">
        <v>#DIV/0!</v>
      </c>
      <c r="O247" s="525"/>
      <c r="P247" s="504"/>
      <c r="Q247" s="629">
        <v>0</v>
      </c>
      <c r="R247" s="526"/>
      <c r="S247" s="528">
        <v>0</v>
      </c>
      <c r="T247" s="622"/>
      <c r="U247" s="504"/>
      <c r="V247" s="504"/>
      <c r="W247" s="504"/>
      <c r="X247" s="504"/>
      <c r="Y247" s="504"/>
      <c r="Z247" s="504"/>
      <c r="AA247" s="504"/>
      <c r="AB247" s="504"/>
      <c r="AC247" s="504"/>
      <c r="AD247" s="504"/>
      <c r="AE247" s="504"/>
      <c r="AF247" s="504"/>
      <c r="AG247" s="504"/>
      <c r="AH247" s="504"/>
      <c r="AI247" s="504"/>
      <c r="AJ247" s="504"/>
      <c r="AK247" s="504"/>
      <c r="AL247" s="504"/>
      <c r="AM247" s="504"/>
      <c r="AN247" s="504"/>
    </row>
    <row r="248" spans="1:40" ht="15.75" customHeight="1" thickBot="1">
      <c r="A248" s="493" t="s">
        <v>100</v>
      </c>
      <c r="B248" s="499" t="s">
        <v>100</v>
      </c>
      <c r="C248" s="513"/>
      <c r="D248" s="504"/>
      <c r="E248" s="504"/>
      <c r="F248" s="629"/>
      <c r="G248" s="525"/>
      <c r="H248" s="504"/>
      <c r="I248" s="629"/>
      <c r="J248" s="525"/>
      <c r="K248" s="504"/>
      <c r="L248" s="629"/>
      <c r="M248" s="526"/>
      <c r="N248" s="527"/>
      <c r="O248" s="525"/>
      <c r="P248" s="504"/>
      <c r="Q248" s="629"/>
      <c r="R248" s="526"/>
      <c r="S248" s="528"/>
      <c r="T248" s="622"/>
      <c r="U248" s="504"/>
      <c r="V248" s="504"/>
      <c r="W248" s="504"/>
      <c r="X248" s="504"/>
      <c r="Y248" s="504"/>
      <c r="Z248" s="504"/>
      <c r="AA248" s="504"/>
      <c r="AB248" s="504"/>
      <c r="AC248" s="504"/>
      <c r="AD248" s="504"/>
      <c r="AE248" s="504"/>
      <c r="AF248" s="504"/>
      <c r="AG248" s="504"/>
      <c r="AH248" s="504"/>
      <c r="AI248" s="504"/>
      <c r="AJ248" s="504"/>
      <c r="AK248" s="504"/>
      <c r="AL248" s="504"/>
      <c r="AM248" s="504"/>
      <c r="AN248" s="504"/>
    </row>
    <row r="249" spans="1:40" ht="15.75" customHeight="1" thickTop="1">
      <c r="A249" s="493" t="s">
        <v>380</v>
      </c>
      <c r="B249" s="499" t="s">
        <v>100</v>
      </c>
      <c r="C249" s="548" t="s">
        <v>97</v>
      </c>
      <c r="D249" s="549"/>
      <c r="E249" s="549">
        <v>94914.02820660219</v>
      </c>
      <c r="F249" s="551">
        <v>20995.072942759201</v>
      </c>
      <c r="G249" s="552"/>
      <c r="H249" s="549">
        <v>94914.02820660219</v>
      </c>
      <c r="I249" s="551">
        <v>20995.072942759201</v>
      </c>
      <c r="J249" s="552"/>
      <c r="K249" s="549">
        <v>117303.03000000001</v>
      </c>
      <c r="L249" s="551">
        <v>25370.320000000003</v>
      </c>
      <c r="M249" s="681">
        <v>-4.9207709854684756E-3</v>
      </c>
      <c r="N249" s="551">
        <v>4375.247057240802</v>
      </c>
      <c r="O249" s="552"/>
      <c r="P249" s="549">
        <v>49052.24</v>
      </c>
      <c r="Q249" s="551">
        <v>10604.860000000002</v>
      </c>
      <c r="R249" s="681">
        <v>8.4952519560976825E-5</v>
      </c>
      <c r="S249" s="554">
        <v>14765.460000000001</v>
      </c>
      <c r="T249" s="622"/>
      <c r="U249" s="504"/>
      <c r="V249" s="504"/>
      <c r="W249" s="504"/>
      <c r="X249" s="504"/>
      <c r="Y249" s="504"/>
      <c r="Z249" s="504"/>
      <c r="AA249" s="504"/>
      <c r="AB249" s="504"/>
      <c r="AC249" s="504"/>
      <c r="AD249" s="504"/>
      <c r="AE249" s="504"/>
      <c r="AF249" s="504"/>
      <c r="AG249" s="504"/>
      <c r="AH249" s="504"/>
      <c r="AI249" s="504"/>
      <c r="AJ249" s="504"/>
      <c r="AK249" s="504"/>
      <c r="AL249" s="504"/>
      <c r="AM249" s="504"/>
      <c r="AN249" s="504"/>
    </row>
    <row r="250" spans="1:40" ht="23.25" customHeight="1" thickBot="1">
      <c r="A250" s="493" t="s">
        <v>100</v>
      </c>
      <c r="B250" s="499" t="s">
        <v>100</v>
      </c>
      <c r="C250" s="555"/>
      <c r="D250" s="556"/>
      <c r="E250" s="556"/>
      <c r="F250" s="560">
        <v>0.2212009472093904</v>
      </c>
      <c r="G250" s="558"/>
      <c r="H250" s="556"/>
      <c r="I250" s="560">
        <v>0.2212009472093904</v>
      </c>
      <c r="J250" s="558"/>
      <c r="K250" s="556"/>
      <c r="L250" s="560">
        <v>0.21628017622392193</v>
      </c>
      <c r="M250" s="559"/>
      <c r="N250" s="560">
        <v>0.20839399173174775</v>
      </c>
      <c r="O250" s="558"/>
      <c r="P250" s="556"/>
      <c r="Q250" s="560">
        <v>0.21619522370436095</v>
      </c>
      <c r="R250" s="559"/>
      <c r="S250" s="561">
        <v>1.3923295545627192</v>
      </c>
      <c r="T250" s="622"/>
      <c r="U250" s="504"/>
      <c r="V250" s="504"/>
      <c r="W250" s="504"/>
      <c r="X250" s="504"/>
      <c r="Y250" s="504"/>
      <c r="Z250" s="504"/>
      <c r="AA250" s="504"/>
      <c r="AB250" s="504"/>
      <c r="AC250" s="504"/>
      <c r="AD250" s="504"/>
      <c r="AE250" s="504"/>
      <c r="AF250" s="504"/>
      <c r="AG250" s="504"/>
      <c r="AH250" s="504"/>
      <c r="AI250" s="504"/>
      <c r="AJ250" s="504"/>
      <c r="AK250" s="504"/>
      <c r="AL250" s="504"/>
      <c r="AM250" s="504"/>
      <c r="AN250" s="504"/>
    </row>
    <row r="251" spans="1:40" ht="15.75" customHeight="1" thickTop="1">
      <c r="A251" s="493" t="s">
        <v>100</v>
      </c>
      <c r="B251" s="499" t="s">
        <v>100</v>
      </c>
      <c r="C251" s="513"/>
      <c r="D251" s="504"/>
      <c r="E251" s="504"/>
      <c r="F251" s="545"/>
      <c r="G251" s="525"/>
      <c r="H251" s="504"/>
      <c r="I251" s="545"/>
      <c r="J251" s="525"/>
      <c r="K251" s="504"/>
      <c r="L251" s="524"/>
      <c r="M251" s="525"/>
      <c r="N251" s="524"/>
      <c r="O251" s="525"/>
      <c r="P251" s="504"/>
      <c r="Q251" s="524"/>
      <c r="R251" s="525"/>
      <c r="S251" s="547"/>
      <c r="T251" s="504"/>
      <c r="U251" s="504"/>
      <c r="V251" s="504"/>
      <c r="W251" s="504"/>
      <c r="X251" s="504"/>
      <c r="Y251" s="504"/>
      <c r="Z251" s="504"/>
      <c r="AA251" s="504"/>
      <c r="AB251" s="504"/>
      <c r="AC251" s="504"/>
      <c r="AD251" s="504"/>
      <c r="AE251" s="504"/>
      <c r="AF251" s="504"/>
      <c r="AG251" s="504"/>
      <c r="AH251" s="504"/>
      <c r="AI251" s="504"/>
      <c r="AJ251" s="504"/>
      <c r="AK251" s="504"/>
      <c r="AL251" s="504"/>
      <c r="AM251" s="504"/>
      <c r="AN251" s="504"/>
    </row>
    <row r="252" spans="1:40" ht="15.75" customHeight="1">
      <c r="A252" s="493" t="s">
        <v>381</v>
      </c>
      <c r="B252" s="499" t="s">
        <v>100</v>
      </c>
      <c r="C252" s="80" t="s">
        <v>31</v>
      </c>
      <c r="D252" s="504"/>
      <c r="E252" s="504"/>
      <c r="F252" s="545"/>
      <c r="G252" s="525"/>
      <c r="H252" s="504"/>
      <c r="I252" s="545"/>
      <c r="J252" s="525"/>
      <c r="K252" s="504"/>
      <c r="L252" s="524"/>
      <c r="M252" s="525"/>
      <c r="N252" s="524"/>
      <c r="O252" s="525"/>
      <c r="P252" s="504"/>
      <c r="Q252" s="524"/>
      <c r="R252" s="525"/>
      <c r="S252" s="547"/>
      <c r="T252" s="504"/>
      <c r="U252" s="504"/>
      <c r="V252" s="504"/>
      <c r="W252" s="504"/>
      <c r="X252" s="504"/>
      <c r="Y252" s="504"/>
      <c r="Z252" s="504"/>
      <c r="AA252" s="504"/>
      <c r="AB252" s="504"/>
      <c r="AC252" s="504"/>
      <c r="AD252" s="504"/>
      <c r="AE252" s="504"/>
      <c r="AF252" s="504"/>
      <c r="AG252" s="504"/>
      <c r="AH252" s="504"/>
      <c r="AI252" s="504"/>
      <c r="AJ252" s="504"/>
      <c r="AK252" s="504"/>
      <c r="AL252" s="504"/>
      <c r="AM252" s="504"/>
      <c r="AN252" s="504"/>
    </row>
    <row r="253" spans="1:40" ht="15.75" customHeight="1">
      <c r="A253" s="493" t="s">
        <v>382</v>
      </c>
      <c r="B253" s="499" t="s">
        <v>100</v>
      </c>
      <c r="C253" s="585" t="s">
        <v>42</v>
      </c>
      <c r="D253" s="504"/>
      <c r="E253" s="504"/>
      <c r="F253" s="514">
        <v>325.80440613026821</v>
      </c>
      <c r="G253" s="525"/>
      <c r="H253" s="504"/>
      <c r="I253" s="514">
        <v>325.80440613026821</v>
      </c>
      <c r="J253" s="525"/>
      <c r="K253" s="504"/>
      <c r="L253" s="517">
        <v>901.88</v>
      </c>
      <c r="M253" s="525"/>
      <c r="N253" s="545">
        <v>576.07559386973185</v>
      </c>
      <c r="O253" s="525"/>
      <c r="P253" s="504"/>
      <c r="Q253" s="517">
        <v>809.12</v>
      </c>
      <c r="R253" s="525"/>
      <c r="S253" s="518">
        <v>92.759999999999991</v>
      </c>
      <c r="T253" s="504"/>
      <c r="U253" s="504"/>
      <c r="V253" s="504"/>
      <c r="W253" s="504"/>
      <c r="X253" s="504"/>
      <c r="Y253" s="504"/>
      <c r="Z253" s="504"/>
      <c r="AA253" s="504"/>
      <c r="AB253" s="504"/>
      <c r="AC253" s="504"/>
      <c r="AD253" s="504"/>
      <c r="AE253" s="504"/>
      <c r="AF253" s="504"/>
      <c r="AG253" s="504"/>
      <c r="AH253" s="504"/>
      <c r="AI253" s="504"/>
      <c r="AJ253" s="504"/>
      <c r="AK253" s="504"/>
      <c r="AL253" s="504"/>
      <c r="AM253" s="504"/>
      <c r="AN253" s="504"/>
    </row>
    <row r="254" spans="1:40" ht="15.75" customHeight="1">
      <c r="A254" s="493" t="s">
        <v>383</v>
      </c>
      <c r="B254" s="499" t="s">
        <v>100</v>
      </c>
      <c r="C254" s="586" t="s">
        <v>43</v>
      </c>
      <c r="D254" s="82"/>
      <c r="E254" s="504"/>
      <c r="F254" s="508">
        <v>545.66820983524906</v>
      </c>
      <c r="G254" s="84"/>
      <c r="H254" s="504"/>
      <c r="I254" s="508">
        <v>545.66820983524906</v>
      </c>
      <c r="J254" s="525"/>
      <c r="K254" s="504"/>
      <c r="L254" s="517">
        <v>416.07</v>
      </c>
      <c r="M254" s="525"/>
      <c r="N254" s="545">
        <v>-129.59820983524907</v>
      </c>
      <c r="O254" s="525"/>
      <c r="P254" s="504"/>
      <c r="Q254" s="517">
        <v>545.36</v>
      </c>
      <c r="R254" s="525"/>
      <c r="S254" s="567">
        <v>-129.29000000000002</v>
      </c>
      <c r="T254" s="504"/>
      <c r="U254" s="504"/>
      <c r="V254" s="504"/>
      <c r="W254" s="504"/>
      <c r="X254" s="504"/>
      <c r="Y254" s="504"/>
      <c r="Z254" s="504"/>
      <c r="AA254" s="504"/>
      <c r="AB254" s="504"/>
      <c r="AC254" s="504"/>
      <c r="AD254" s="504"/>
      <c r="AE254" s="504"/>
      <c r="AF254" s="504"/>
      <c r="AG254" s="504"/>
      <c r="AH254" s="504"/>
      <c r="AI254" s="504"/>
      <c r="AJ254" s="504"/>
      <c r="AK254" s="504"/>
      <c r="AL254" s="504"/>
      <c r="AM254" s="504"/>
      <c r="AN254" s="504"/>
    </row>
    <row r="255" spans="1:40" ht="15.75" customHeight="1">
      <c r="A255" s="493" t="s">
        <v>384</v>
      </c>
      <c r="B255" s="499" t="s">
        <v>100</v>
      </c>
      <c r="C255" s="585" t="s">
        <v>44</v>
      </c>
      <c r="D255" s="107"/>
      <c r="E255" s="587"/>
      <c r="F255" s="514">
        <v>469.91855390038313</v>
      </c>
      <c r="G255" s="109"/>
      <c r="H255" s="587"/>
      <c r="I255" s="514">
        <v>469.91855390038313</v>
      </c>
      <c r="J255" s="588"/>
      <c r="K255" s="587"/>
      <c r="L255" s="589">
        <v>1.23</v>
      </c>
      <c r="M255" s="588"/>
      <c r="N255" s="590">
        <v>-468.68855390038311</v>
      </c>
      <c r="O255" s="588"/>
      <c r="P255" s="587"/>
      <c r="Q255" s="589">
        <v>3707.1</v>
      </c>
      <c r="R255" s="588"/>
      <c r="S255" s="591">
        <v>-3705.87</v>
      </c>
      <c r="T255" s="504"/>
      <c r="U255" s="504"/>
      <c r="V255" s="504"/>
      <c r="W255" s="504"/>
      <c r="X255" s="504"/>
      <c r="Y255" s="504"/>
      <c r="Z255" s="504"/>
      <c r="AA255" s="504"/>
      <c r="AB255" s="504"/>
      <c r="AC255" s="504"/>
      <c r="AD255" s="504"/>
      <c r="AE255" s="504"/>
      <c r="AF255" s="504"/>
      <c r="AG255" s="504"/>
      <c r="AH255" s="504"/>
      <c r="AI255" s="504"/>
      <c r="AJ255" s="504"/>
      <c r="AK255" s="504"/>
      <c r="AL255" s="504"/>
      <c r="AM255" s="504"/>
      <c r="AN255" s="504"/>
    </row>
    <row r="256" spans="1:40" ht="15.75" customHeight="1">
      <c r="A256" s="493" t="s">
        <v>385</v>
      </c>
      <c r="B256" s="499" t="s">
        <v>100</v>
      </c>
      <c r="C256" s="585" t="s">
        <v>45</v>
      </c>
      <c r="D256" s="82"/>
      <c r="E256" s="504"/>
      <c r="F256" s="514">
        <v>4293.1034482758623</v>
      </c>
      <c r="G256" s="84"/>
      <c r="H256" s="504"/>
      <c r="I256" s="514">
        <v>4293.1034482758623</v>
      </c>
      <c r="J256" s="525"/>
      <c r="K256" s="504"/>
      <c r="L256" s="517">
        <v>4829.6499999999996</v>
      </c>
      <c r="M256" s="525"/>
      <c r="N256" s="545">
        <v>536.54655172413732</v>
      </c>
      <c r="O256" s="525"/>
      <c r="P256" s="504"/>
      <c r="Q256" s="517">
        <v>2023.11</v>
      </c>
      <c r="R256" s="525"/>
      <c r="S256" s="567">
        <v>2806.54</v>
      </c>
      <c r="T256" s="504"/>
      <c r="U256" s="685"/>
      <c r="V256" s="504"/>
      <c r="W256" s="504"/>
      <c r="X256" s="504"/>
      <c r="Y256" s="504"/>
      <c r="Z256" s="504"/>
      <c r="AA256" s="504"/>
      <c r="AB256" s="504"/>
      <c r="AC256" s="504"/>
      <c r="AD256" s="504"/>
      <c r="AE256" s="504"/>
      <c r="AF256" s="504"/>
      <c r="AG256" s="504"/>
      <c r="AH256" s="504"/>
      <c r="AI256" s="504"/>
      <c r="AJ256" s="504"/>
      <c r="AK256" s="504"/>
      <c r="AL256" s="504"/>
      <c r="AM256" s="504"/>
      <c r="AN256" s="504"/>
    </row>
    <row r="257" spans="1:40" ht="15.75" hidden="1" customHeight="1">
      <c r="A257" s="493" t="s">
        <v>386</v>
      </c>
      <c r="B257" s="499" t="s">
        <v>100</v>
      </c>
      <c r="C257" s="513" t="s">
        <v>21</v>
      </c>
      <c r="D257" s="82"/>
      <c r="E257" s="504"/>
      <c r="F257" s="514">
        <v>0</v>
      </c>
      <c r="G257" s="84"/>
      <c r="H257" s="504"/>
      <c r="I257" s="514">
        <v>0</v>
      </c>
      <c r="J257" s="525"/>
      <c r="K257" s="504"/>
      <c r="L257" s="517">
        <v>0</v>
      </c>
      <c r="M257" s="525"/>
      <c r="N257" s="545">
        <v>0</v>
      </c>
      <c r="O257" s="525"/>
      <c r="P257" s="504"/>
      <c r="Q257" s="517">
        <v>0</v>
      </c>
      <c r="R257" s="525"/>
      <c r="S257" s="567">
        <v>0</v>
      </c>
      <c r="T257" s="504"/>
      <c r="U257" s="504"/>
      <c r="V257" s="504"/>
      <c r="W257" s="504"/>
      <c r="X257" s="504"/>
      <c r="Y257" s="504"/>
      <c r="Z257" s="504"/>
      <c r="AA257" s="504"/>
      <c r="AB257" s="504"/>
      <c r="AC257" s="504"/>
      <c r="AD257" s="504"/>
      <c r="AE257" s="504"/>
      <c r="AF257" s="504"/>
      <c r="AG257" s="504"/>
      <c r="AH257" s="504"/>
      <c r="AI257" s="504"/>
      <c r="AJ257" s="504"/>
      <c r="AK257" s="504"/>
      <c r="AL257" s="504"/>
      <c r="AM257" s="504"/>
      <c r="AN257" s="504"/>
    </row>
    <row r="258" spans="1:40" ht="15.75" hidden="1" customHeight="1">
      <c r="A258" s="493" t="s">
        <v>386</v>
      </c>
      <c r="B258" s="499" t="s">
        <v>100</v>
      </c>
      <c r="C258" s="513" t="s">
        <v>21</v>
      </c>
      <c r="D258" s="82"/>
      <c r="E258" s="504"/>
      <c r="F258" s="514">
        <v>0</v>
      </c>
      <c r="G258" s="84"/>
      <c r="H258" s="504"/>
      <c r="I258" s="514">
        <v>0</v>
      </c>
      <c r="J258" s="525"/>
      <c r="K258" s="504"/>
      <c r="L258" s="517">
        <v>0</v>
      </c>
      <c r="M258" s="525"/>
      <c r="N258" s="545">
        <v>0</v>
      </c>
      <c r="O258" s="525"/>
      <c r="P258" s="504"/>
      <c r="Q258" s="517">
        <v>0</v>
      </c>
      <c r="R258" s="525"/>
      <c r="S258" s="567">
        <v>0</v>
      </c>
      <c r="T258" s="504"/>
      <c r="U258" s="504"/>
      <c r="V258" s="504"/>
      <c r="W258" s="504"/>
      <c r="X258" s="504"/>
      <c r="Y258" s="504"/>
      <c r="Z258" s="504"/>
      <c r="AA258" s="504"/>
      <c r="AB258" s="504"/>
      <c r="AC258" s="504"/>
      <c r="AD258" s="504"/>
      <c r="AE258" s="504"/>
      <c r="AF258" s="504"/>
      <c r="AG258" s="504"/>
      <c r="AH258" s="504"/>
      <c r="AI258" s="504"/>
      <c r="AJ258" s="504"/>
      <c r="AK258" s="504"/>
      <c r="AL258" s="504"/>
      <c r="AM258" s="504"/>
      <c r="AN258" s="504"/>
    </row>
    <row r="259" spans="1:40" ht="15.75" hidden="1" customHeight="1">
      <c r="A259" s="493" t="s">
        <v>386</v>
      </c>
      <c r="B259" s="499" t="s">
        <v>100</v>
      </c>
      <c r="C259" s="513" t="s">
        <v>21</v>
      </c>
      <c r="D259" s="82"/>
      <c r="E259" s="504"/>
      <c r="F259" s="514">
        <v>0</v>
      </c>
      <c r="G259" s="84"/>
      <c r="H259" s="504"/>
      <c r="I259" s="514">
        <v>0</v>
      </c>
      <c r="J259" s="525"/>
      <c r="K259" s="504"/>
      <c r="L259" s="517">
        <v>0</v>
      </c>
      <c r="M259" s="525"/>
      <c r="N259" s="545">
        <v>0</v>
      </c>
      <c r="O259" s="525"/>
      <c r="P259" s="504"/>
      <c r="Q259" s="517">
        <v>0</v>
      </c>
      <c r="R259" s="525"/>
      <c r="S259" s="567">
        <v>0</v>
      </c>
      <c r="T259" s="504"/>
      <c r="U259" s="504"/>
      <c r="V259" s="504"/>
      <c r="W259" s="504"/>
      <c r="X259" s="504"/>
      <c r="Y259" s="504"/>
      <c r="Z259" s="504"/>
      <c r="AA259" s="504"/>
      <c r="AB259" s="504"/>
      <c r="AC259" s="504"/>
      <c r="AD259" s="504"/>
      <c r="AE259" s="504"/>
      <c r="AF259" s="504"/>
      <c r="AG259" s="504"/>
      <c r="AH259" s="504"/>
      <c r="AI259" s="504"/>
      <c r="AJ259" s="504"/>
      <c r="AK259" s="504"/>
      <c r="AL259" s="504"/>
      <c r="AM259" s="504"/>
      <c r="AN259" s="504"/>
    </row>
    <row r="260" spans="1:40" ht="15.75" customHeight="1">
      <c r="A260" s="493" t="s">
        <v>387</v>
      </c>
      <c r="B260" s="499" t="s">
        <v>100</v>
      </c>
      <c r="C260" s="586" t="s">
        <v>46</v>
      </c>
      <c r="D260" s="82"/>
      <c r="E260" s="504"/>
      <c r="F260" s="508">
        <v>685.83684543664049</v>
      </c>
      <c r="G260" s="84"/>
      <c r="H260" s="504"/>
      <c r="I260" s="508">
        <v>685.83684543664049</v>
      </c>
      <c r="J260" s="525"/>
      <c r="K260" s="504"/>
      <c r="L260" s="517">
        <v>921.57</v>
      </c>
      <c r="M260" s="525"/>
      <c r="N260" s="545">
        <v>235.73315456335956</v>
      </c>
      <c r="O260" s="525"/>
      <c r="P260" s="504"/>
      <c r="Q260" s="517">
        <v>379.21</v>
      </c>
      <c r="R260" s="525"/>
      <c r="S260" s="567">
        <v>542.36000000000013</v>
      </c>
      <c r="T260" s="504"/>
      <c r="U260" s="504"/>
      <c r="V260" s="504"/>
      <c r="W260" s="504"/>
      <c r="X260" s="504"/>
      <c r="Y260" s="504"/>
      <c r="Z260" s="504"/>
      <c r="AA260" s="504"/>
      <c r="AB260" s="504"/>
      <c r="AC260" s="504"/>
      <c r="AD260" s="504"/>
      <c r="AE260" s="504"/>
      <c r="AF260" s="504"/>
      <c r="AG260" s="504"/>
      <c r="AH260" s="504"/>
      <c r="AI260" s="504"/>
      <c r="AJ260" s="504"/>
      <c r="AK260" s="504"/>
      <c r="AL260" s="504"/>
      <c r="AM260" s="504"/>
      <c r="AN260" s="504"/>
    </row>
    <row r="261" spans="1:40" ht="15.75" customHeight="1">
      <c r="A261" s="493" t="s">
        <v>388</v>
      </c>
      <c r="B261" s="499" t="s">
        <v>100</v>
      </c>
      <c r="C261" s="585" t="s">
        <v>47</v>
      </c>
      <c r="D261" s="107"/>
      <c r="E261" s="587"/>
      <c r="F261" s="514">
        <v>614.23719729445975</v>
      </c>
      <c r="G261" s="109"/>
      <c r="H261" s="587"/>
      <c r="I261" s="514">
        <v>614.23719729445975</v>
      </c>
      <c r="J261" s="588"/>
      <c r="K261" s="587"/>
      <c r="L261" s="589">
        <v>1948.28</v>
      </c>
      <c r="M261" s="588"/>
      <c r="N261" s="590">
        <v>1334.0428027055402</v>
      </c>
      <c r="O261" s="588"/>
      <c r="P261" s="587"/>
      <c r="Q261" s="589">
        <v>764.14</v>
      </c>
      <c r="R261" s="588"/>
      <c r="S261" s="591">
        <v>1184.1399999999999</v>
      </c>
      <c r="T261" s="504"/>
      <c r="U261" s="504"/>
      <c r="V261" s="504"/>
      <c r="W261" s="504"/>
      <c r="X261" s="504"/>
      <c r="Y261" s="504"/>
      <c r="Z261" s="504"/>
      <c r="AA261" s="504"/>
      <c r="AB261" s="504"/>
      <c r="AC261" s="504"/>
      <c r="AD261" s="504"/>
      <c r="AE261" s="504"/>
      <c r="AF261" s="504"/>
      <c r="AG261" s="504"/>
      <c r="AH261" s="504"/>
      <c r="AI261" s="504"/>
      <c r="AJ261" s="504"/>
      <c r="AK261" s="504"/>
      <c r="AL261" s="504"/>
      <c r="AM261" s="504"/>
      <c r="AN261" s="504"/>
    </row>
    <row r="262" spans="1:40" ht="15.75" customHeight="1">
      <c r="A262" s="493" t="s">
        <v>389</v>
      </c>
      <c r="B262" s="499" t="s">
        <v>100</v>
      </c>
      <c r="C262" s="585" t="s">
        <v>48</v>
      </c>
      <c r="D262" s="82"/>
      <c r="E262" s="504"/>
      <c r="F262" s="514">
        <v>487.77659785148285</v>
      </c>
      <c r="G262" s="84"/>
      <c r="H262" s="504"/>
      <c r="I262" s="514">
        <v>487.77659785148285</v>
      </c>
      <c r="J262" s="525"/>
      <c r="K262" s="504"/>
      <c r="L262" s="517">
        <v>1945.03</v>
      </c>
      <c r="M262" s="525"/>
      <c r="N262" s="545">
        <v>1457.2534021485171</v>
      </c>
      <c r="O262" s="525"/>
      <c r="P262" s="504"/>
      <c r="Q262" s="517">
        <v>547.63</v>
      </c>
      <c r="R262" s="525"/>
      <c r="S262" s="567">
        <v>1397.4</v>
      </c>
      <c r="T262" s="504"/>
      <c r="U262" s="504"/>
      <c r="V262" s="504"/>
      <c r="W262" s="504"/>
      <c r="X262" s="504"/>
      <c r="Y262" s="504"/>
      <c r="Z262" s="504"/>
      <c r="AA262" s="504"/>
      <c r="AB262" s="504"/>
      <c r="AC262" s="504"/>
      <c r="AD262" s="504"/>
      <c r="AE262" s="504"/>
      <c r="AF262" s="504"/>
      <c r="AG262" s="504"/>
      <c r="AH262" s="504"/>
      <c r="AI262" s="504"/>
      <c r="AJ262" s="504"/>
      <c r="AK262" s="504"/>
      <c r="AL262" s="504"/>
      <c r="AM262" s="504"/>
      <c r="AN262" s="504"/>
    </row>
    <row r="263" spans="1:40" ht="15.75" customHeight="1">
      <c r="A263" s="493" t="s">
        <v>390</v>
      </c>
      <c r="B263" s="499" t="s">
        <v>100</v>
      </c>
      <c r="C263" s="585" t="s">
        <v>49</v>
      </c>
      <c r="D263" s="82"/>
      <c r="E263" s="504"/>
      <c r="F263" s="514">
        <v>198.72379912467818</v>
      </c>
      <c r="G263" s="84"/>
      <c r="H263" s="504"/>
      <c r="I263" s="514">
        <v>198.72379912467818</v>
      </c>
      <c r="J263" s="525"/>
      <c r="K263" s="504"/>
      <c r="L263" s="517">
        <v>551.04999999999995</v>
      </c>
      <c r="M263" s="525"/>
      <c r="N263" s="545">
        <v>352.32620087532177</v>
      </c>
      <c r="O263" s="525"/>
      <c r="P263" s="504"/>
      <c r="Q263" s="517">
        <v>127.36</v>
      </c>
      <c r="R263" s="525"/>
      <c r="S263" s="567">
        <v>423.68999999999994</v>
      </c>
      <c r="T263" s="504"/>
      <c r="U263" s="504"/>
      <c r="V263" s="504"/>
      <c r="W263" s="504"/>
      <c r="X263" s="504"/>
      <c r="Y263" s="504"/>
      <c r="Z263" s="504"/>
      <c r="AA263" s="504"/>
      <c r="AB263" s="504"/>
      <c r="AC263" s="504"/>
      <c r="AD263" s="504"/>
      <c r="AE263" s="504"/>
      <c r="AF263" s="504"/>
      <c r="AG263" s="504"/>
      <c r="AH263" s="504"/>
      <c r="AI263" s="504"/>
      <c r="AJ263" s="504"/>
      <c r="AK263" s="504"/>
      <c r="AL263" s="504"/>
      <c r="AM263" s="504"/>
      <c r="AN263" s="504"/>
    </row>
    <row r="264" spans="1:40" ht="15.75" hidden="1" customHeight="1">
      <c r="A264" s="493" t="s">
        <v>386</v>
      </c>
      <c r="B264" s="499" t="s">
        <v>100</v>
      </c>
      <c r="C264" s="513" t="s">
        <v>21</v>
      </c>
      <c r="D264" s="89"/>
      <c r="E264" s="592"/>
      <c r="F264" s="514">
        <v>0</v>
      </c>
      <c r="G264" s="91"/>
      <c r="H264" s="592"/>
      <c r="I264" s="514">
        <v>0</v>
      </c>
      <c r="J264" s="509"/>
      <c r="K264" s="592"/>
      <c r="L264" s="517">
        <v>0</v>
      </c>
      <c r="M264" s="509"/>
      <c r="N264" s="573">
        <v>0</v>
      </c>
      <c r="O264" s="509"/>
      <c r="P264" s="592"/>
      <c r="Q264" s="517">
        <v>0</v>
      </c>
      <c r="R264" s="509"/>
      <c r="S264" s="574">
        <v>0</v>
      </c>
      <c r="T264" s="504"/>
      <c r="U264" s="504"/>
      <c r="V264" s="504"/>
      <c r="W264" s="504"/>
      <c r="X264" s="504"/>
      <c r="Y264" s="504"/>
      <c r="Z264" s="504"/>
      <c r="AA264" s="504"/>
      <c r="AB264" s="504"/>
      <c r="AC264" s="504"/>
      <c r="AD264" s="504"/>
      <c r="AE264" s="504"/>
      <c r="AF264" s="504"/>
      <c r="AG264" s="504"/>
      <c r="AH264" s="504"/>
      <c r="AI264" s="504"/>
      <c r="AJ264" s="504"/>
      <c r="AK264" s="504"/>
      <c r="AL264" s="504"/>
      <c r="AM264" s="504"/>
      <c r="AN264" s="504"/>
    </row>
    <row r="265" spans="1:40" ht="15.75" customHeight="1">
      <c r="A265" s="493" t="s">
        <v>391</v>
      </c>
      <c r="B265" s="499" t="s">
        <v>100</v>
      </c>
      <c r="C265" s="578" t="s">
        <v>50</v>
      </c>
      <c r="D265" s="97" t="s">
        <v>40</v>
      </c>
      <c r="E265" s="579" t="e">
        <v>#DIV/0!</v>
      </c>
      <c r="F265" s="580">
        <v>7621.0690578490239</v>
      </c>
      <c r="G265" s="100" t="s">
        <v>40</v>
      </c>
      <c r="H265" s="579" t="e">
        <v>#DIV/0!</v>
      </c>
      <c r="I265" s="580">
        <v>7621.0690578490239</v>
      </c>
      <c r="J265" s="100" t="s">
        <v>40</v>
      </c>
      <c r="K265" s="579">
        <v>0</v>
      </c>
      <c r="L265" s="580">
        <v>11514.76</v>
      </c>
      <c r="M265" s="621"/>
      <c r="N265" s="594">
        <v>3893.6909421509763</v>
      </c>
      <c r="O265" s="100" t="s">
        <v>40</v>
      </c>
      <c r="P265" s="579">
        <v>0</v>
      </c>
      <c r="Q265" s="580">
        <v>8903.0299999999988</v>
      </c>
      <c r="R265" s="621"/>
      <c r="S265" s="595">
        <v>2611.7300000000014</v>
      </c>
      <c r="T265" s="504"/>
      <c r="U265" s="504"/>
      <c r="V265" s="504"/>
      <c r="W265" s="504"/>
      <c r="X265" s="504"/>
      <c r="Y265" s="504"/>
      <c r="Z265" s="504"/>
      <c r="AA265" s="504"/>
      <c r="AB265" s="504"/>
      <c r="AC265" s="504"/>
      <c r="AD265" s="504"/>
      <c r="AE265" s="504"/>
      <c r="AF265" s="504"/>
      <c r="AG265" s="504"/>
      <c r="AH265" s="504"/>
      <c r="AI265" s="504"/>
      <c r="AJ265" s="504"/>
      <c r="AK265" s="504"/>
      <c r="AL265" s="504"/>
      <c r="AM265" s="504"/>
      <c r="AN265" s="504"/>
    </row>
    <row r="266" spans="1:40" ht="15.75" customHeight="1">
      <c r="A266" s="493" t="s">
        <v>392</v>
      </c>
      <c r="B266" s="499" t="s">
        <v>100</v>
      </c>
      <c r="C266" s="686" t="s">
        <v>51</v>
      </c>
      <c r="D266" s="82"/>
      <c r="E266" s="504"/>
      <c r="F266" s="514">
        <v>0</v>
      </c>
      <c r="G266" s="84"/>
      <c r="H266" s="504"/>
      <c r="I266" s="514">
        <v>0</v>
      </c>
      <c r="J266" s="525"/>
      <c r="K266" s="504"/>
      <c r="L266" s="517">
        <v>60.62</v>
      </c>
      <c r="M266" s="525"/>
      <c r="N266" s="545">
        <v>60.62</v>
      </c>
      <c r="O266" s="525"/>
      <c r="P266" s="504"/>
      <c r="Q266" s="517">
        <v>7.0000000000000007E-2</v>
      </c>
      <c r="R266" s="525"/>
      <c r="S266" s="567">
        <v>60.55</v>
      </c>
      <c r="T266" s="504"/>
      <c r="U266" s="504"/>
      <c r="V266" s="504"/>
      <c r="W266" s="504"/>
      <c r="X266" s="504"/>
      <c r="Y266" s="504"/>
      <c r="Z266" s="504"/>
      <c r="AA266" s="504"/>
      <c r="AB266" s="504"/>
      <c r="AC266" s="504"/>
      <c r="AD266" s="504"/>
      <c r="AE266" s="504"/>
      <c r="AF266" s="504"/>
      <c r="AG266" s="504"/>
      <c r="AH266" s="504"/>
      <c r="AI266" s="504"/>
      <c r="AJ266" s="504"/>
      <c r="AK266" s="504"/>
      <c r="AL266" s="504"/>
      <c r="AM266" s="504"/>
      <c r="AN266" s="504"/>
    </row>
    <row r="267" spans="1:40" ht="15.75" customHeight="1">
      <c r="A267" s="493" t="s">
        <v>393</v>
      </c>
      <c r="B267" s="499" t="s">
        <v>100</v>
      </c>
      <c r="C267" s="585" t="s">
        <v>52</v>
      </c>
      <c r="D267" s="82"/>
      <c r="E267" s="504"/>
      <c r="F267" s="514">
        <v>329.49146490135348</v>
      </c>
      <c r="G267" s="84"/>
      <c r="H267" s="504"/>
      <c r="I267" s="514">
        <v>329.49146490135348</v>
      </c>
      <c r="J267" s="525"/>
      <c r="K267" s="504"/>
      <c r="L267" s="517">
        <v>555.83000000000004</v>
      </c>
      <c r="M267" s="525"/>
      <c r="N267" s="545">
        <v>226.33853509864656</v>
      </c>
      <c r="O267" s="525"/>
      <c r="P267" s="504"/>
      <c r="Q267" s="517">
        <v>201.75</v>
      </c>
      <c r="R267" s="525"/>
      <c r="S267" s="567">
        <v>354.08000000000004</v>
      </c>
      <c r="T267" s="504"/>
      <c r="U267" s="504"/>
      <c r="V267" s="504"/>
      <c r="W267" s="504"/>
      <c r="X267" s="504"/>
      <c r="Y267" s="504"/>
      <c r="Z267" s="504"/>
      <c r="AA267" s="504"/>
      <c r="AB267" s="504"/>
      <c r="AC267" s="504"/>
      <c r="AD267" s="504"/>
      <c r="AE267" s="504"/>
      <c r="AF267" s="504"/>
      <c r="AG267" s="504"/>
      <c r="AH267" s="504"/>
      <c r="AI267" s="504"/>
      <c r="AJ267" s="504"/>
      <c r="AK267" s="504"/>
      <c r="AL267" s="504"/>
      <c r="AM267" s="504"/>
      <c r="AN267" s="504"/>
    </row>
    <row r="268" spans="1:40" ht="15.75" customHeight="1">
      <c r="A268" s="493" t="s">
        <v>394</v>
      </c>
      <c r="B268" s="499" t="s">
        <v>100</v>
      </c>
      <c r="C268" s="586" t="s">
        <v>53</v>
      </c>
      <c r="D268" s="89"/>
      <c r="E268" s="592"/>
      <c r="F268" s="508">
        <v>379.94</v>
      </c>
      <c r="G268" s="91"/>
      <c r="H268" s="592"/>
      <c r="I268" s="508">
        <v>379.94</v>
      </c>
      <c r="J268" s="509"/>
      <c r="K268" s="592"/>
      <c r="L268" s="517">
        <v>520.41</v>
      </c>
      <c r="M268" s="509"/>
      <c r="N268" s="573">
        <v>140.46999999999997</v>
      </c>
      <c r="O268" s="509"/>
      <c r="P268" s="592"/>
      <c r="Q268" s="517">
        <v>483.44</v>
      </c>
      <c r="R268" s="509"/>
      <c r="S268" s="574">
        <v>36.96999999999997</v>
      </c>
      <c r="T268" s="504"/>
      <c r="U268" s="504"/>
      <c r="V268" s="504"/>
      <c r="W268" s="504"/>
      <c r="X268" s="504"/>
      <c r="Y268" s="504"/>
      <c r="Z268" s="504"/>
      <c r="AA268" s="504"/>
      <c r="AB268" s="504"/>
      <c r="AC268" s="504"/>
      <c r="AD268" s="504"/>
      <c r="AE268" s="504"/>
      <c r="AF268" s="504"/>
      <c r="AG268" s="504"/>
      <c r="AH268" s="504"/>
      <c r="AI268" s="504"/>
      <c r="AJ268" s="504"/>
      <c r="AK268" s="504"/>
      <c r="AL268" s="504"/>
      <c r="AM268" s="504"/>
      <c r="AN268" s="504"/>
    </row>
    <row r="269" spans="1:40" ht="15.75" customHeight="1">
      <c r="A269" s="493" t="s">
        <v>395</v>
      </c>
      <c r="B269" s="499" t="s">
        <v>100</v>
      </c>
      <c r="C269" s="585" t="s">
        <v>54</v>
      </c>
      <c r="D269" s="82"/>
      <c r="E269" s="504"/>
      <c r="F269" s="514">
        <v>1313.4198641666667</v>
      </c>
      <c r="G269" s="84"/>
      <c r="H269" s="504"/>
      <c r="I269" s="514">
        <v>1313.4198641666667</v>
      </c>
      <c r="J269" s="525"/>
      <c r="K269" s="504"/>
      <c r="L269" s="589">
        <v>1413.66</v>
      </c>
      <c r="M269" s="525"/>
      <c r="N269" s="545">
        <v>100.2401358333334</v>
      </c>
      <c r="O269" s="525"/>
      <c r="P269" s="504"/>
      <c r="Q269" s="589">
        <v>1319.76</v>
      </c>
      <c r="R269" s="525"/>
      <c r="S269" s="567">
        <v>93.900000000000091</v>
      </c>
      <c r="T269" s="504"/>
      <c r="U269" s="504"/>
      <c r="V269" s="504"/>
      <c r="W269" s="504"/>
      <c r="X269" s="504"/>
      <c r="Y269" s="504"/>
      <c r="Z269" s="504"/>
      <c r="AA269" s="504"/>
      <c r="AB269" s="504"/>
      <c r="AC269" s="504"/>
      <c r="AD269" s="504"/>
      <c r="AE269" s="504"/>
      <c r="AF269" s="504"/>
      <c r="AG269" s="504"/>
      <c r="AH269" s="504"/>
      <c r="AI269" s="504"/>
      <c r="AJ269" s="504"/>
      <c r="AK269" s="504"/>
      <c r="AL269" s="504"/>
      <c r="AM269" s="504"/>
      <c r="AN269" s="504"/>
    </row>
    <row r="270" spans="1:40" ht="15.75" customHeight="1">
      <c r="A270" s="493" t="s">
        <v>396</v>
      </c>
      <c r="B270" s="499" t="s">
        <v>100</v>
      </c>
      <c r="C270" s="585" t="s">
        <v>55</v>
      </c>
      <c r="D270" s="82"/>
      <c r="E270" s="504"/>
      <c r="F270" s="514">
        <v>173.28101875000004</v>
      </c>
      <c r="G270" s="84"/>
      <c r="H270" s="504"/>
      <c r="I270" s="514">
        <v>173.28101875000004</v>
      </c>
      <c r="J270" s="525"/>
      <c r="K270" s="504"/>
      <c r="L270" s="517">
        <v>490.74</v>
      </c>
      <c r="M270" s="525"/>
      <c r="N270" s="545">
        <v>317.45898124999997</v>
      </c>
      <c r="O270" s="525"/>
      <c r="P270" s="504"/>
      <c r="Q270" s="517">
        <v>133.97</v>
      </c>
      <c r="R270" s="525"/>
      <c r="S270" s="567">
        <v>356.77</v>
      </c>
      <c r="T270" s="504"/>
      <c r="U270" s="504"/>
      <c r="V270" s="504"/>
      <c r="W270" s="504"/>
      <c r="X270" s="504"/>
      <c r="Y270" s="504"/>
      <c r="Z270" s="504"/>
      <c r="AA270" s="504"/>
      <c r="AB270" s="504"/>
      <c r="AC270" s="504"/>
      <c r="AD270" s="504"/>
      <c r="AE270" s="504"/>
      <c r="AF270" s="504"/>
      <c r="AG270" s="504"/>
      <c r="AH270" s="504"/>
      <c r="AI270" s="504"/>
      <c r="AJ270" s="504"/>
      <c r="AK270" s="504"/>
      <c r="AL270" s="504"/>
      <c r="AM270" s="504"/>
      <c r="AN270" s="504"/>
    </row>
    <row r="271" spans="1:40" ht="15.75" customHeight="1">
      <c r="A271" s="493" t="s">
        <v>397</v>
      </c>
      <c r="B271" s="499" t="s">
        <v>100</v>
      </c>
      <c r="C271" s="585" t="s">
        <v>56</v>
      </c>
      <c r="D271" s="89"/>
      <c r="E271" s="592"/>
      <c r="F271" s="508">
        <v>909.080588888889</v>
      </c>
      <c r="G271" s="91"/>
      <c r="H271" s="592"/>
      <c r="I271" s="508">
        <v>909.080588888889</v>
      </c>
      <c r="J271" s="509"/>
      <c r="K271" s="592"/>
      <c r="L271" s="517">
        <v>737.04</v>
      </c>
      <c r="M271" s="509"/>
      <c r="N271" s="573">
        <v>-172.04058888888903</v>
      </c>
      <c r="O271" s="509"/>
      <c r="P271" s="592"/>
      <c r="Q271" s="517">
        <v>631.61</v>
      </c>
      <c r="R271" s="509"/>
      <c r="S271" s="574">
        <v>105.42999999999995</v>
      </c>
      <c r="T271" s="504"/>
      <c r="U271" s="504"/>
      <c r="V271" s="504"/>
      <c r="W271" s="504"/>
      <c r="X271" s="504"/>
      <c r="Y271" s="504"/>
      <c r="Z271" s="504"/>
      <c r="AA271" s="504"/>
      <c r="AB271" s="504"/>
      <c r="AC271" s="504"/>
      <c r="AD271" s="504"/>
      <c r="AE271" s="504"/>
      <c r="AF271" s="504"/>
      <c r="AG271" s="504"/>
      <c r="AH271" s="504"/>
      <c r="AI271" s="504"/>
      <c r="AJ271" s="504"/>
      <c r="AK271" s="504"/>
      <c r="AL271" s="504"/>
      <c r="AM271" s="504"/>
      <c r="AN271" s="504"/>
    </row>
    <row r="272" spans="1:40" ht="15.75" customHeight="1">
      <c r="A272" s="493" t="s">
        <v>398</v>
      </c>
      <c r="B272" s="499" t="s">
        <v>100</v>
      </c>
      <c r="C272" s="687" t="s">
        <v>99</v>
      </c>
      <c r="D272" s="82"/>
      <c r="E272" s="504"/>
      <c r="F272" s="514"/>
      <c r="G272" s="84"/>
      <c r="H272" s="504"/>
      <c r="I272" s="514"/>
      <c r="J272" s="525"/>
      <c r="K272" s="504"/>
      <c r="L272" s="540">
        <v>0</v>
      </c>
      <c r="M272" s="525"/>
      <c r="N272" s="545">
        <v>0</v>
      </c>
      <c r="O272" s="525"/>
      <c r="P272" s="504"/>
      <c r="Q272" s="517">
        <v>0</v>
      </c>
      <c r="R272" s="525"/>
      <c r="S272" s="567">
        <v>0</v>
      </c>
      <c r="T272" s="504"/>
      <c r="U272" s="504"/>
      <c r="V272" s="504"/>
      <c r="W272" s="504"/>
      <c r="X272" s="504"/>
      <c r="Y272" s="504"/>
      <c r="Z272" s="504"/>
      <c r="AA272" s="504"/>
      <c r="AB272" s="504"/>
      <c r="AC272" s="504"/>
      <c r="AD272" s="504"/>
      <c r="AE272" s="504"/>
      <c r="AF272" s="504"/>
      <c r="AG272" s="504"/>
      <c r="AH272" s="504"/>
      <c r="AI272" s="504"/>
      <c r="AJ272" s="504"/>
      <c r="AK272" s="504"/>
      <c r="AL272" s="504"/>
      <c r="AM272" s="504"/>
      <c r="AN272" s="504"/>
    </row>
    <row r="273" spans="1:40" ht="15.75" customHeight="1">
      <c r="A273" s="493" t="s">
        <v>399</v>
      </c>
      <c r="B273" s="499" t="s">
        <v>100</v>
      </c>
      <c r="C273" s="585" t="s">
        <v>57</v>
      </c>
      <c r="D273" s="82"/>
      <c r="E273" s="504"/>
      <c r="F273" s="514">
        <v>92.79037772039085</v>
      </c>
      <c r="G273" s="84"/>
      <c r="H273" s="504"/>
      <c r="I273" s="514">
        <v>92.79037772039085</v>
      </c>
      <c r="J273" s="525"/>
      <c r="K273" s="504"/>
      <c r="L273" s="517">
        <v>0</v>
      </c>
      <c r="M273" s="525"/>
      <c r="N273" s="545">
        <v>-92.79037772039085</v>
      </c>
      <c r="O273" s="525"/>
      <c r="P273" s="504"/>
      <c r="Q273" s="517">
        <v>16.39</v>
      </c>
      <c r="R273" s="525"/>
      <c r="S273" s="567">
        <v>-16.39</v>
      </c>
      <c r="T273" s="504"/>
      <c r="U273" s="504"/>
      <c r="V273" s="504"/>
      <c r="W273" s="504"/>
      <c r="X273" s="504"/>
      <c r="Y273" s="504"/>
      <c r="Z273" s="504"/>
      <c r="AA273" s="504"/>
      <c r="AB273" s="504"/>
      <c r="AC273" s="504"/>
      <c r="AD273" s="504"/>
      <c r="AE273" s="504"/>
      <c r="AF273" s="504"/>
      <c r="AG273" s="504"/>
      <c r="AH273" s="504"/>
      <c r="AI273" s="504"/>
      <c r="AJ273" s="504"/>
      <c r="AK273" s="504"/>
      <c r="AL273" s="504"/>
      <c r="AM273" s="504"/>
      <c r="AN273" s="504"/>
    </row>
    <row r="274" spans="1:40" ht="15.75" customHeight="1">
      <c r="A274" s="493" t="s">
        <v>400</v>
      </c>
      <c r="B274" s="499" t="s">
        <v>100</v>
      </c>
      <c r="C274" s="585" t="s">
        <v>58</v>
      </c>
      <c r="D274" s="82"/>
      <c r="E274" s="504"/>
      <c r="F274" s="514">
        <v>49.306367467405586</v>
      </c>
      <c r="G274" s="84"/>
      <c r="H274" s="504"/>
      <c r="I274" s="514">
        <v>49.306367467405586</v>
      </c>
      <c r="J274" s="525"/>
      <c r="K274" s="504"/>
      <c r="L274" s="517">
        <v>0</v>
      </c>
      <c r="M274" s="525"/>
      <c r="N274" s="545">
        <v>-49.306367467405586</v>
      </c>
      <c r="O274" s="525"/>
      <c r="P274" s="504"/>
      <c r="Q274" s="517">
        <v>0</v>
      </c>
      <c r="R274" s="525"/>
      <c r="S274" s="567">
        <v>0</v>
      </c>
      <c r="T274" s="504"/>
      <c r="U274" s="504"/>
      <c r="V274" s="504"/>
      <c r="W274" s="504"/>
      <c r="X274" s="504"/>
      <c r="Y274" s="504"/>
      <c r="Z274" s="504"/>
      <c r="AA274" s="504"/>
      <c r="AB274" s="504"/>
      <c r="AC274" s="504"/>
      <c r="AD274" s="504"/>
      <c r="AE274" s="504"/>
      <c r="AF274" s="504"/>
      <c r="AG274" s="504"/>
      <c r="AH274" s="504"/>
      <c r="AI274" s="504"/>
      <c r="AJ274" s="504"/>
      <c r="AK274" s="504"/>
      <c r="AL274" s="504"/>
      <c r="AM274" s="504"/>
      <c r="AN274" s="504"/>
    </row>
    <row r="275" spans="1:40" ht="15.75" customHeight="1">
      <c r="A275" s="493" t="s">
        <v>401</v>
      </c>
      <c r="B275" s="499" t="s">
        <v>100</v>
      </c>
      <c r="C275" s="585" t="s">
        <v>59</v>
      </c>
      <c r="D275" s="82"/>
      <c r="E275" s="504"/>
      <c r="F275" s="514">
        <v>142.81407000000002</v>
      </c>
      <c r="G275" s="84"/>
      <c r="H275" s="504"/>
      <c r="I275" s="514">
        <v>142.81407000000002</v>
      </c>
      <c r="J275" s="525"/>
      <c r="K275" s="504"/>
      <c r="L275" s="516">
        <v>103.36</v>
      </c>
      <c r="M275" s="525"/>
      <c r="N275" s="545">
        <v>-39.454070000000016</v>
      </c>
      <c r="O275" s="525"/>
      <c r="P275" s="504"/>
      <c r="Q275" s="516">
        <v>139.76</v>
      </c>
      <c r="R275" s="525"/>
      <c r="S275" s="567">
        <v>-36.399999999999991</v>
      </c>
      <c r="T275" s="504"/>
      <c r="U275" s="504"/>
      <c r="V275" s="504"/>
      <c r="W275" s="504"/>
      <c r="X275" s="504"/>
      <c r="Y275" s="504"/>
      <c r="Z275" s="504"/>
      <c r="AA275" s="504"/>
      <c r="AB275" s="504"/>
      <c r="AC275" s="504"/>
      <c r="AD275" s="504"/>
      <c r="AE275" s="504"/>
      <c r="AF275" s="504"/>
      <c r="AG275" s="504"/>
      <c r="AH275" s="504"/>
      <c r="AI275" s="504"/>
      <c r="AJ275" s="504"/>
      <c r="AK275" s="504"/>
      <c r="AL275" s="504"/>
      <c r="AM275" s="504"/>
      <c r="AN275" s="504"/>
    </row>
    <row r="276" spans="1:40" ht="15.75" customHeight="1">
      <c r="A276" s="493" t="s">
        <v>402</v>
      </c>
      <c r="B276" s="499" t="s">
        <v>100</v>
      </c>
      <c r="C276" s="585" t="s">
        <v>60</v>
      </c>
      <c r="D276" s="82"/>
      <c r="E276" s="504"/>
      <c r="F276" s="514">
        <v>65.945365208333342</v>
      </c>
      <c r="G276" s="84"/>
      <c r="H276" s="504"/>
      <c r="I276" s="514">
        <v>65.945365208333342</v>
      </c>
      <c r="J276" s="525"/>
      <c r="K276" s="504"/>
      <c r="L276" s="517">
        <v>41</v>
      </c>
      <c r="M276" s="525"/>
      <c r="N276" s="545">
        <v>-24.945365208333342</v>
      </c>
      <c r="O276" s="525"/>
      <c r="P276" s="504"/>
      <c r="Q276" s="517">
        <v>62.78</v>
      </c>
      <c r="R276" s="525"/>
      <c r="S276" s="567">
        <v>-21.78</v>
      </c>
      <c r="T276" s="504"/>
      <c r="U276" s="504"/>
      <c r="V276" s="504"/>
      <c r="W276" s="504"/>
      <c r="X276" s="504"/>
      <c r="Y276" s="504"/>
      <c r="Z276" s="504"/>
      <c r="AA276" s="504"/>
      <c r="AB276" s="504"/>
      <c r="AC276" s="504"/>
      <c r="AD276" s="504"/>
      <c r="AE276" s="504"/>
      <c r="AF276" s="504"/>
      <c r="AG276" s="504"/>
      <c r="AH276" s="504"/>
      <c r="AI276" s="504"/>
      <c r="AJ276" s="504"/>
      <c r="AK276" s="504"/>
      <c r="AL276" s="504"/>
      <c r="AM276" s="504"/>
      <c r="AN276" s="504"/>
    </row>
    <row r="277" spans="1:40" ht="15.75" customHeight="1">
      <c r="A277" s="493" t="s">
        <v>403</v>
      </c>
      <c r="B277" s="499" t="s">
        <v>100</v>
      </c>
      <c r="C277" s="585" t="s">
        <v>61</v>
      </c>
      <c r="D277" s="82"/>
      <c r="E277" s="504"/>
      <c r="F277" s="514">
        <v>35.200609791666665</v>
      </c>
      <c r="G277" s="84"/>
      <c r="H277" s="504"/>
      <c r="I277" s="514">
        <v>35.200609791666665</v>
      </c>
      <c r="J277" s="525"/>
      <c r="K277" s="504"/>
      <c r="L277" s="517">
        <v>24.51</v>
      </c>
      <c r="M277" s="525"/>
      <c r="N277" s="545">
        <v>-10.690609791666663</v>
      </c>
      <c r="O277" s="525"/>
      <c r="P277" s="504"/>
      <c r="Q277" s="517">
        <v>33.44</v>
      </c>
      <c r="R277" s="525"/>
      <c r="S277" s="567">
        <v>-8.9299999999999962</v>
      </c>
      <c r="T277" s="504"/>
      <c r="U277" s="504"/>
      <c r="V277" s="504"/>
      <c r="W277" s="504"/>
      <c r="X277" s="504"/>
      <c r="Y277" s="504"/>
      <c r="Z277" s="504"/>
      <c r="AA277" s="504"/>
      <c r="AB277" s="504"/>
      <c r="AC277" s="504"/>
      <c r="AD277" s="504"/>
      <c r="AE277" s="504"/>
      <c r="AF277" s="504"/>
      <c r="AG277" s="504"/>
      <c r="AH277" s="504"/>
      <c r="AI277" s="504"/>
      <c r="AJ277" s="504"/>
      <c r="AK277" s="504"/>
      <c r="AL277" s="504"/>
      <c r="AM277" s="504"/>
      <c r="AN277" s="504"/>
    </row>
    <row r="278" spans="1:40" ht="15.75" customHeight="1">
      <c r="A278" s="493" t="s">
        <v>404</v>
      </c>
      <c r="B278" s="499" t="s">
        <v>100</v>
      </c>
      <c r="C278" s="585" t="s">
        <v>62</v>
      </c>
      <c r="D278" s="82"/>
      <c r="E278" s="504"/>
      <c r="F278" s="514">
        <v>169.80109854166665</v>
      </c>
      <c r="G278" s="84"/>
      <c r="H278" s="504"/>
      <c r="I278" s="514">
        <v>169.80109854166665</v>
      </c>
      <c r="J278" s="525"/>
      <c r="K278" s="504"/>
      <c r="L278" s="517">
        <v>52.13</v>
      </c>
      <c r="M278" s="525"/>
      <c r="N278" s="545">
        <v>-117.67109854166665</v>
      </c>
      <c r="O278" s="525"/>
      <c r="P278" s="504"/>
      <c r="Q278" s="517">
        <v>262.16000000000003</v>
      </c>
      <c r="R278" s="525"/>
      <c r="S278" s="567">
        <v>-210.03000000000003</v>
      </c>
      <c r="T278" s="504"/>
      <c r="U278" s="504"/>
      <c r="V278" s="504"/>
      <c r="W278" s="504"/>
      <c r="X278" s="504"/>
      <c r="Y278" s="504"/>
      <c r="Z278" s="504"/>
      <c r="AA278" s="504"/>
      <c r="AB278" s="504"/>
      <c r="AC278" s="504"/>
      <c r="AD278" s="504"/>
      <c r="AE278" s="504"/>
      <c r="AF278" s="504"/>
      <c r="AG278" s="504"/>
      <c r="AH278" s="504"/>
      <c r="AI278" s="504"/>
      <c r="AJ278" s="504"/>
      <c r="AK278" s="504"/>
      <c r="AL278" s="504"/>
      <c r="AM278" s="504"/>
      <c r="AN278" s="504"/>
    </row>
    <row r="279" spans="1:40" ht="15.75" customHeight="1">
      <c r="A279" s="493" t="s">
        <v>405</v>
      </c>
      <c r="B279" s="499" t="s">
        <v>100</v>
      </c>
      <c r="C279" s="585" t="s">
        <v>63</v>
      </c>
      <c r="D279" s="82"/>
      <c r="E279" s="504"/>
      <c r="F279" s="514">
        <v>252.27480833333334</v>
      </c>
      <c r="G279" s="84"/>
      <c r="H279" s="504"/>
      <c r="I279" s="514">
        <v>252.27480833333334</v>
      </c>
      <c r="J279" s="525"/>
      <c r="K279" s="504"/>
      <c r="L279" s="517">
        <v>110.69</v>
      </c>
      <c r="M279" s="525"/>
      <c r="N279" s="545">
        <v>-141.58480833333334</v>
      </c>
      <c r="O279" s="525"/>
      <c r="P279" s="504"/>
      <c r="Q279" s="517">
        <v>76.2</v>
      </c>
      <c r="R279" s="525"/>
      <c r="S279" s="567">
        <v>34.489999999999995</v>
      </c>
      <c r="T279" s="504"/>
      <c r="U279" s="504"/>
      <c r="V279" s="504"/>
      <c r="W279" s="504"/>
      <c r="X279" s="504"/>
      <c r="Y279" s="504"/>
      <c r="Z279" s="504"/>
      <c r="AA279" s="504"/>
      <c r="AB279" s="504"/>
      <c r="AC279" s="504"/>
      <c r="AD279" s="504"/>
      <c r="AE279" s="504"/>
      <c r="AF279" s="504"/>
      <c r="AG279" s="504"/>
      <c r="AH279" s="504"/>
      <c r="AI279" s="504"/>
      <c r="AJ279" s="504"/>
      <c r="AK279" s="504"/>
      <c r="AL279" s="504"/>
      <c r="AM279" s="504"/>
      <c r="AN279" s="504"/>
    </row>
    <row r="280" spans="1:40" ht="15.75" customHeight="1">
      <c r="A280" s="493" t="s">
        <v>406</v>
      </c>
      <c r="B280" s="499" t="s">
        <v>100</v>
      </c>
      <c r="C280" s="585" t="s">
        <v>64</v>
      </c>
      <c r="D280" s="82"/>
      <c r="E280" s="504"/>
      <c r="F280" s="514">
        <v>432.93096647348085</v>
      </c>
      <c r="G280" s="84"/>
      <c r="H280" s="504"/>
      <c r="I280" s="514">
        <v>432.93096647348085</v>
      </c>
      <c r="J280" s="525"/>
      <c r="K280" s="504"/>
      <c r="L280" s="517">
        <v>170.27775</v>
      </c>
      <c r="M280" s="525"/>
      <c r="N280" s="545">
        <v>-262.65321647348082</v>
      </c>
      <c r="O280" s="525"/>
      <c r="P280" s="504"/>
      <c r="Q280" s="517">
        <v>172.38025000000002</v>
      </c>
      <c r="R280" s="525"/>
      <c r="S280" s="567">
        <v>-2.1025000000000205</v>
      </c>
      <c r="T280" s="504"/>
      <c r="U280" s="504"/>
      <c r="V280" s="504"/>
      <c r="W280" s="504"/>
      <c r="X280" s="504"/>
      <c r="Y280" s="504"/>
      <c r="Z280" s="504"/>
      <c r="AA280" s="504"/>
      <c r="AB280" s="504"/>
      <c r="AC280" s="504"/>
      <c r="AD280" s="504"/>
      <c r="AE280" s="504"/>
      <c r="AF280" s="504"/>
      <c r="AG280" s="504"/>
      <c r="AH280" s="504"/>
      <c r="AI280" s="504"/>
      <c r="AJ280" s="504"/>
      <c r="AK280" s="504"/>
      <c r="AL280" s="504"/>
      <c r="AM280" s="504"/>
      <c r="AN280" s="504"/>
    </row>
    <row r="281" spans="1:40" ht="15.75" hidden="1" customHeight="1">
      <c r="A281" s="493" t="s">
        <v>386</v>
      </c>
      <c r="B281" s="499" t="s">
        <v>100</v>
      </c>
      <c r="C281" s="585" t="s">
        <v>21</v>
      </c>
      <c r="D281" s="82"/>
      <c r="E281" s="504"/>
      <c r="F281" s="514">
        <v>0</v>
      </c>
      <c r="G281" s="84"/>
      <c r="H281" s="504"/>
      <c r="I281" s="514">
        <v>0</v>
      </c>
      <c r="J281" s="525"/>
      <c r="K281" s="504"/>
      <c r="L281" s="517">
        <v>0</v>
      </c>
      <c r="M281" s="525"/>
      <c r="N281" s="545">
        <v>0</v>
      </c>
      <c r="O281" s="525"/>
      <c r="P281" s="504"/>
      <c r="Q281" s="517">
        <v>0</v>
      </c>
      <c r="R281" s="525"/>
      <c r="S281" s="567">
        <v>0</v>
      </c>
      <c r="T281" s="504"/>
      <c r="U281" s="504"/>
      <c r="V281" s="504"/>
      <c r="W281" s="504"/>
      <c r="X281" s="504"/>
      <c r="Y281" s="504"/>
      <c r="Z281" s="504"/>
      <c r="AA281" s="504"/>
      <c r="AB281" s="504"/>
      <c r="AC281" s="504"/>
      <c r="AD281" s="504"/>
      <c r="AE281" s="504"/>
      <c r="AF281" s="504"/>
      <c r="AG281" s="504"/>
      <c r="AH281" s="504"/>
      <c r="AI281" s="504"/>
      <c r="AJ281" s="504"/>
      <c r="AK281" s="504"/>
      <c r="AL281" s="504"/>
      <c r="AM281" s="504"/>
      <c r="AN281" s="504"/>
    </row>
    <row r="282" spans="1:40" ht="15.75" hidden="1" customHeight="1">
      <c r="A282" s="493" t="s">
        <v>386</v>
      </c>
      <c r="B282" s="499" t="s">
        <v>100</v>
      </c>
      <c r="C282" s="585" t="s">
        <v>21</v>
      </c>
      <c r="D282" s="82"/>
      <c r="E282" s="504"/>
      <c r="F282" s="514">
        <v>0</v>
      </c>
      <c r="G282" s="84"/>
      <c r="H282" s="504"/>
      <c r="I282" s="514">
        <v>0</v>
      </c>
      <c r="J282" s="525"/>
      <c r="K282" s="504"/>
      <c r="L282" s="517">
        <v>0</v>
      </c>
      <c r="M282" s="525"/>
      <c r="N282" s="545">
        <v>0</v>
      </c>
      <c r="O282" s="525"/>
      <c r="P282" s="504"/>
      <c r="Q282" s="517">
        <v>0</v>
      </c>
      <c r="R282" s="525"/>
      <c r="S282" s="567">
        <v>0</v>
      </c>
      <c r="T282" s="504"/>
      <c r="U282" s="504"/>
      <c r="V282" s="504"/>
      <c r="W282" s="504"/>
      <c r="X282" s="504"/>
      <c r="Y282" s="504"/>
      <c r="Z282" s="504"/>
      <c r="AA282" s="504"/>
      <c r="AB282" s="504"/>
      <c r="AC282" s="504"/>
      <c r="AD282" s="504"/>
      <c r="AE282" s="504"/>
      <c r="AF282" s="504"/>
      <c r="AG282" s="504"/>
      <c r="AH282" s="504"/>
      <c r="AI282" s="504"/>
      <c r="AJ282" s="504"/>
      <c r="AK282" s="504"/>
      <c r="AL282" s="504"/>
      <c r="AM282" s="504"/>
      <c r="AN282" s="504"/>
    </row>
    <row r="283" spans="1:40" ht="15.75" hidden="1" customHeight="1">
      <c r="A283" s="493" t="s">
        <v>386</v>
      </c>
      <c r="B283" s="499" t="s">
        <v>100</v>
      </c>
      <c r="C283" s="585" t="s">
        <v>21</v>
      </c>
      <c r="D283" s="82"/>
      <c r="E283" s="504"/>
      <c r="F283" s="514">
        <v>0</v>
      </c>
      <c r="G283" s="84"/>
      <c r="H283" s="504"/>
      <c r="I283" s="514">
        <v>0</v>
      </c>
      <c r="J283" s="525"/>
      <c r="K283" s="504"/>
      <c r="L283" s="517">
        <v>0</v>
      </c>
      <c r="M283" s="525"/>
      <c r="N283" s="545">
        <v>0</v>
      </c>
      <c r="O283" s="525"/>
      <c r="P283" s="504"/>
      <c r="Q283" s="517">
        <v>0</v>
      </c>
      <c r="R283" s="525"/>
      <c r="S283" s="567">
        <v>0</v>
      </c>
      <c r="T283" s="504"/>
      <c r="U283" s="504"/>
      <c r="V283" s="504"/>
      <c r="W283" s="504"/>
      <c r="X283" s="504"/>
      <c r="Y283" s="504"/>
      <c r="Z283" s="504"/>
      <c r="AA283" s="504"/>
      <c r="AB283" s="504"/>
      <c r="AC283" s="504"/>
      <c r="AD283" s="504"/>
      <c r="AE283" s="504"/>
      <c r="AF283" s="504"/>
      <c r="AG283" s="504"/>
      <c r="AH283" s="504"/>
      <c r="AI283" s="504"/>
      <c r="AJ283" s="504"/>
      <c r="AK283" s="504"/>
      <c r="AL283" s="504"/>
      <c r="AM283" s="504"/>
      <c r="AN283" s="504"/>
    </row>
    <row r="284" spans="1:40" ht="15.75" customHeight="1">
      <c r="B284" s="499"/>
      <c r="C284" s="578" t="s">
        <v>65</v>
      </c>
      <c r="D284" s="97" t="s">
        <v>40</v>
      </c>
      <c r="E284" s="579" t="e">
        <v>#DIV/0!</v>
      </c>
      <c r="F284" s="580">
        <v>4346.2766002431863</v>
      </c>
      <c r="G284" s="100" t="s">
        <v>40</v>
      </c>
      <c r="H284" s="579" t="e">
        <v>#DIV/0!</v>
      </c>
      <c r="I284" s="580">
        <v>4346.2766002431863</v>
      </c>
      <c r="J284" s="100" t="s">
        <v>40</v>
      </c>
      <c r="K284" s="579" t="e">
        <v>#DIV/0!</v>
      </c>
      <c r="L284" s="580">
        <v>4280.2677500000009</v>
      </c>
      <c r="M284" s="583"/>
      <c r="N284" s="580">
        <v>-66.00885024318643</v>
      </c>
      <c r="O284" s="100" t="s">
        <v>40</v>
      </c>
      <c r="P284" s="579" t="e">
        <v>#DIV/0!</v>
      </c>
      <c r="Q284" s="580">
        <v>3533.7102500000001</v>
      </c>
      <c r="R284" s="583"/>
      <c r="S284" s="584">
        <v>746.5575000000008</v>
      </c>
      <c r="T284" s="562"/>
      <c r="U284" s="504"/>
      <c r="V284" s="504"/>
      <c r="W284" s="504"/>
      <c r="X284" s="504"/>
      <c r="Y284" s="504"/>
      <c r="Z284" s="504"/>
      <c r="AA284" s="504"/>
      <c r="AB284" s="504"/>
      <c r="AC284" s="504"/>
      <c r="AD284" s="504"/>
      <c r="AE284" s="504"/>
      <c r="AF284" s="504"/>
      <c r="AG284" s="504"/>
      <c r="AH284" s="504"/>
      <c r="AI284" s="504"/>
      <c r="AJ284" s="504"/>
      <c r="AK284" s="504"/>
      <c r="AL284" s="504"/>
      <c r="AM284" s="504"/>
      <c r="AN284" s="504"/>
    </row>
    <row r="285" spans="1:40" ht="15.75" customHeight="1">
      <c r="B285" s="499"/>
      <c r="C285" s="568"/>
      <c r="D285" s="89"/>
      <c r="E285" s="592"/>
      <c r="F285" s="545"/>
      <c r="G285" s="91"/>
      <c r="H285" s="592"/>
      <c r="I285" s="545"/>
      <c r="J285" s="509"/>
      <c r="K285" s="592"/>
      <c r="L285" s="573"/>
      <c r="M285" s="509"/>
      <c r="N285" s="573"/>
      <c r="O285" s="509"/>
      <c r="P285" s="592"/>
      <c r="Q285" s="573"/>
      <c r="R285" s="509"/>
      <c r="S285" s="574"/>
      <c r="T285" s="562"/>
      <c r="U285" s="504"/>
      <c r="V285" s="504"/>
      <c r="W285" s="504"/>
      <c r="X285" s="504"/>
      <c r="Y285" s="504"/>
      <c r="Z285" s="504"/>
      <c r="AA285" s="504"/>
      <c r="AB285" s="504"/>
      <c r="AC285" s="504"/>
      <c r="AD285" s="504"/>
      <c r="AE285" s="504"/>
      <c r="AF285" s="504"/>
      <c r="AG285" s="504"/>
      <c r="AH285" s="504"/>
      <c r="AI285" s="504"/>
      <c r="AJ285" s="504"/>
      <c r="AK285" s="504"/>
      <c r="AL285" s="504"/>
      <c r="AM285" s="504"/>
      <c r="AN285" s="504"/>
    </row>
    <row r="286" spans="1:40" ht="15.75" customHeight="1">
      <c r="B286" s="499"/>
      <c r="C286" s="578" t="s">
        <v>66</v>
      </c>
      <c r="D286" s="97" t="s">
        <v>40</v>
      </c>
      <c r="E286" s="579" t="e">
        <v>#DIV/0!</v>
      </c>
      <c r="F286" s="580">
        <v>11967.34565809221</v>
      </c>
      <c r="G286" s="100" t="s">
        <v>40</v>
      </c>
      <c r="H286" s="579" t="e">
        <v>#DIV/0!</v>
      </c>
      <c r="I286" s="580">
        <v>11967.34565809221</v>
      </c>
      <c r="J286" s="100" t="s">
        <v>40</v>
      </c>
      <c r="K286" s="579" t="e">
        <v>#DIV/0!</v>
      </c>
      <c r="L286" s="580">
        <v>15795.027750000001</v>
      </c>
      <c r="M286" s="583"/>
      <c r="N286" s="594">
        <v>3827.6820919077909</v>
      </c>
      <c r="O286" s="100" t="s">
        <v>40</v>
      </c>
      <c r="P286" s="579" t="e">
        <v>#DIV/0!</v>
      </c>
      <c r="Q286" s="580">
        <v>12436.740249999999</v>
      </c>
      <c r="R286" s="583"/>
      <c r="S286" s="595">
        <v>3358.2875000000022</v>
      </c>
      <c r="T286" s="562"/>
      <c r="U286" s="504"/>
      <c r="V286" s="504"/>
      <c r="W286" s="504"/>
      <c r="X286" s="504"/>
      <c r="Y286" s="504"/>
      <c r="Z286" s="504"/>
      <c r="AA286" s="504"/>
      <c r="AB286" s="504"/>
      <c r="AC286" s="504"/>
      <c r="AD286" s="504"/>
      <c r="AE286" s="504"/>
      <c r="AF286" s="504"/>
      <c r="AG286" s="504"/>
      <c r="AH286" s="504"/>
      <c r="AI286" s="504"/>
      <c r="AJ286" s="504"/>
      <c r="AK286" s="504"/>
      <c r="AL286" s="504"/>
      <c r="AM286" s="504"/>
      <c r="AN286" s="504"/>
    </row>
    <row r="287" spans="1:40" ht="15.75" customHeight="1">
      <c r="B287" s="499"/>
      <c r="C287" s="513"/>
      <c r="D287" s="82"/>
      <c r="E287" s="504"/>
      <c r="F287" s="545"/>
      <c r="G287" s="84"/>
      <c r="H287" s="504"/>
      <c r="I287" s="545"/>
      <c r="J287" s="525"/>
      <c r="K287" s="504"/>
      <c r="L287" s="545"/>
      <c r="M287" s="525"/>
      <c r="N287" s="545">
        <v>0</v>
      </c>
      <c r="O287" s="525"/>
      <c r="P287" s="504"/>
      <c r="Q287" s="545"/>
      <c r="R287" s="525"/>
      <c r="S287" s="567"/>
      <c r="T287" s="504"/>
      <c r="U287" s="504"/>
      <c r="V287" s="504"/>
      <c r="W287" s="504"/>
      <c r="X287" s="504"/>
      <c r="Y287" s="504"/>
      <c r="Z287" s="504"/>
      <c r="AA287" s="504"/>
      <c r="AB287" s="504"/>
      <c r="AC287" s="504"/>
      <c r="AD287" s="504"/>
      <c r="AE287" s="504"/>
      <c r="AF287" s="504"/>
      <c r="AG287" s="504"/>
      <c r="AH287" s="504"/>
      <c r="AI287" s="504"/>
      <c r="AJ287" s="504"/>
      <c r="AK287" s="504"/>
      <c r="AL287" s="504"/>
      <c r="AM287" s="504"/>
      <c r="AN287" s="504"/>
    </row>
    <row r="288" spans="1:40" ht="15.75" customHeight="1" thickBot="1">
      <c r="B288" s="499"/>
      <c r="C288" s="605" t="s">
        <v>73</v>
      </c>
      <c r="D288" s="156"/>
      <c r="E288" s="606"/>
      <c r="F288" s="608">
        <v>9027.7272846669912</v>
      </c>
      <c r="G288" s="157"/>
      <c r="H288" s="606"/>
      <c r="I288" s="608">
        <v>9027.7272846669912</v>
      </c>
      <c r="J288" s="625"/>
      <c r="K288" s="607"/>
      <c r="L288" s="608">
        <v>9575.2922500000022</v>
      </c>
      <c r="M288" s="625"/>
      <c r="N288" s="608">
        <v>547.56496533301106</v>
      </c>
      <c r="O288" s="625"/>
      <c r="P288" s="607"/>
      <c r="Q288" s="608">
        <v>-1831.8802499999965</v>
      </c>
      <c r="R288" s="625"/>
      <c r="S288" s="610">
        <v>11407.172499999999</v>
      </c>
      <c r="T288" s="562"/>
      <c r="U288" s="504"/>
      <c r="V288" s="504"/>
      <c r="W288" s="504"/>
      <c r="X288" s="504"/>
      <c r="Y288" s="504"/>
      <c r="Z288" s="504"/>
      <c r="AA288" s="504"/>
      <c r="AB288" s="504"/>
      <c r="AC288" s="504"/>
      <c r="AD288" s="504"/>
      <c r="AE288" s="504"/>
      <c r="AF288" s="504"/>
      <c r="AG288" s="504"/>
      <c r="AH288" s="504"/>
      <c r="AI288" s="504"/>
      <c r="AJ288" s="504"/>
      <c r="AK288" s="504"/>
      <c r="AL288" s="504"/>
      <c r="AM288" s="504"/>
      <c r="AN288" s="504"/>
    </row>
    <row r="289" spans="1:40" ht="15.75" customHeight="1" thickTop="1">
      <c r="B289" s="499"/>
      <c r="C289" s="504"/>
      <c r="D289" s="504"/>
      <c r="E289" s="504"/>
      <c r="F289" s="504"/>
      <c r="G289" s="504"/>
      <c r="H289" s="504"/>
      <c r="I289" s="504"/>
      <c r="J289" s="504"/>
      <c r="K289" s="504"/>
      <c r="L289" s="565"/>
      <c r="M289" s="504"/>
      <c r="N289" s="504"/>
      <c r="O289" s="504"/>
      <c r="P289" s="504"/>
      <c r="Q289" s="504"/>
      <c r="R289" s="504"/>
      <c r="S289" s="504"/>
      <c r="T289" s="504"/>
      <c r="U289" s="504"/>
      <c r="V289" s="504"/>
      <c r="W289" s="504"/>
      <c r="X289" s="504"/>
      <c r="Y289" s="504"/>
      <c r="Z289" s="504"/>
      <c r="AA289" s="504"/>
      <c r="AB289" s="504"/>
      <c r="AC289" s="504"/>
      <c r="AD289" s="504"/>
      <c r="AE289" s="504"/>
      <c r="AF289" s="504"/>
      <c r="AG289" s="504"/>
      <c r="AH289" s="504"/>
      <c r="AI289" s="504"/>
      <c r="AJ289" s="504"/>
      <c r="AK289" s="504"/>
      <c r="AL289" s="504"/>
      <c r="AM289" s="504"/>
      <c r="AN289" s="504"/>
    </row>
    <row r="290" spans="1:40" ht="36" customHeight="1">
      <c r="B290" s="499"/>
      <c r="C290" s="496" t="s">
        <v>228</v>
      </c>
      <c r="D290" s="2"/>
      <c r="E290" s="2"/>
      <c r="F290" s="2"/>
      <c r="G290" s="2"/>
      <c r="H290" s="494"/>
      <c r="I290" s="494"/>
      <c r="J290" s="494"/>
      <c r="K290" s="3" t="s">
        <v>104</v>
      </c>
      <c r="L290" s="2"/>
      <c r="M290" s="2"/>
      <c r="N290" s="494"/>
      <c r="O290" s="494"/>
      <c r="P290" s="2"/>
      <c r="Q290" s="494"/>
      <c r="R290" s="2"/>
      <c r="S290" s="5" t="s">
        <v>499</v>
      </c>
      <c r="T290" s="504"/>
      <c r="U290" s="504"/>
      <c r="V290" s="504"/>
      <c r="W290" s="504"/>
      <c r="X290" s="504"/>
      <c r="Y290" s="504"/>
      <c r="Z290" s="504"/>
      <c r="AA290" s="504"/>
      <c r="AB290" s="504"/>
      <c r="AC290" s="504"/>
      <c r="AD290" s="504"/>
      <c r="AE290" s="504"/>
      <c r="AF290" s="504"/>
      <c r="AG290" s="504"/>
      <c r="AH290" s="504"/>
      <c r="AI290" s="504"/>
      <c r="AJ290" s="504"/>
      <c r="AK290" s="504"/>
      <c r="AL290" s="504"/>
      <c r="AM290" s="504"/>
      <c r="AN290" s="504"/>
    </row>
    <row r="291" spans="1:40" ht="15.75" customHeight="1" thickBot="1">
      <c r="B291" s="499"/>
      <c r="C291" s="8"/>
      <c r="D291" s="498"/>
      <c r="E291" s="498"/>
      <c r="F291" s="498"/>
      <c r="G291" s="498"/>
      <c r="H291" s="498"/>
      <c r="I291" s="498"/>
      <c r="J291" s="498"/>
      <c r="K291" s="498"/>
      <c r="L291" s="498"/>
      <c r="M291" s="498"/>
      <c r="N291" s="498"/>
      <c r="O291" s="498"/>
      <c r="P291" s="498"/>
      <c r="Q291" s="498"/>
      <c r="R291" s="498"/>
      <c r="S291" s="498"/>
      <c r="T291" s="504"/>
      <c r="U291" s="504"/>
      <c r="V291" s="504"/>
      <c r="W291" s="504"/>
      <c r="X291" s="504"/>
      <c r="Y291" s="504"/>
      <c r="Z291" s="504"/>
      <c r="AA291" s="504"/>
      <c r="AB291" s="504"/>
      <c r="AC291" s="504"/>
      <c r="AD291" s="504"/>
      <c r="AE291" s="504"/>
      <c r="AF291" s="504"/>
      <c r="AG291" s="504"/>
      <c r="AH291" s="504"/>
      <c r="AI291" s="504"/>
      <c r="AJ291" s="504"/>
      <c r="AK291" s="504"/>
      <c r="AL291" s="504"/>
      <c r="AM291" s="504"/>
      <c r="AN291" s="504"/>
    </row>
    <row r="292" spans="1:40" ht="15.75" customHeight="1" thickTop="1">
      <c r="B292" s="499"/>
      <c r="C292" s="500"/>
      <c r="D292" s="488" t="s">
        <v>5</v>
      </c>
      <c r="E292" s="501"/>
      <c r="F292" s="502"/>
      <c r="G292" s="489" t="s">
        <v>75</v>
      </c>
      <c r="H292" s="501"/>
      <c r="I292" s="502"/>
      <c r="J292" s="489" t="s">
        <v>7</v>
      </c>
      <c r="K292" s="501"/>
      <c r="L292" s="502"/>
      <c r="M292" s="489" t="s">
        <v>8</v>
      </c>
      <c r="N292" s="502"/>
      <c r="O292" s="488" t="s">
        <v>9</v>
      </c>
      <c r="P292" s="501"/>
      <c r="Q292" s="502"/>
      <c r="R292" s="489" t="s">
        <v>10</v>
      </c>
      <c r="S292" s="503"/>
      <c r="T292" s="504"/>
      <c r="U292" s="504"/>
      <c r="V292" s="504"/>
      <c r="W292" s="504"/>
      <c r="X292" s="504"/>
      <c r="Y292" s="504"/>
      <c r="Z292" s="504"/>
      <c r="AA292" s="504"/>
      <c r="AB292" s="504"/>
      <c r="AC292" s="504"/>
      <c r="AD292" s="504"/>
      <c r="AE292" s="504"/>
      <c r="AF292" s="504"/>
      <c r="AG292" s="504"/>
      <c r="AH292" s="504"/>
      <c r="AI292" s="504"/>
      <c r="AJ292" s="504"/>
      <c r="AK292" s="504"/>
      <c r="AL292" s="504"/>
      <c r="AM292" s="504"/>
      <c r="AN292" s="504"/>
    </row>
    <row r="293" spans="1:40" ht="15.75" customHeight="1">
      <c r="A293" s="493" t="s">
        <v>104</v>
      </c>
      <c r="B293" s="499" t="s">
        <v>104</v>
      </c>
      <c r="C293" s="513"/>
      <c r="D293" s="81" t="s">
        <v>85</v>
      </c>
      <c r="E293" s="81" t="s">
        <v>105</v>
      </c>
      <c r="F293" s="137" t="s">
        <v>13</v>
      </c>
      <c r="G293" s="138" t="s">
        <v>85</v>
      </c>
      <c r="H293" s="81" t="s">
        <v>105</v>
      </c>
      <c r="I293" s="137" t="s">
        <v>13</v>
      </c>
      <c r="J293" s="138" t="s">
        <v>85</v>
      </c>
      <c r="K293" s="81" t="s">
        <v>105</v>
      </c>
      <c r="L293" s="137" t="s">
        <v>13</v>
      </c>
      <c r="M293" s="138" t="s">
        <v>502</v>
      </c>
      <c r="N293" s="137" t="s">
        <v>13</v>
      </c>
      <c r="O293" s="81" t="s">
        <v>85</v>
      </c>
      <c r="P293" s="81" t="s">
        <v>105</v>
      </c>
      <c r="Q293" s="137" t="s">
        <v>13</v>
      </c>
      <c r="R293" s="138" t="s">
        <v>86</v>
      </c>
      <c r="S293" s="139" t="s">
        <v>13</v>
      </c>
      <c r="T293" s="504"/>
      <c r="U293" s="504"/>
      <c r="V293" s="504"/>
      <c r="W293" s="504"/>
      <c r="X293" s="504"/>
      <c r="Y293" s="504"/>
      <c r="Z293" s="504"/>
      <c r="AA293" s="504"/>
      <c r="AB293" s="504"/>
      <c r="AC293" s="504"/>
      <c r="AD293" s="504"/>
      <c r="AE293" s="504"/>
      <c r="AF293" s="504"/>
      <c r="AG293" s="504"/>
      <c r="AH293" s="504"/>
      <c r="AI293" s="504"/>
      <c r="AJ293" s="504"/>
      <c r="AK293" s="504"/>
      <c r="AL293" s="504"/>
      <c r="AM293" s="504"/>
      <c r="AN293" s="504"/>
    </row>
    <row r="294" spans="1:40" ht="15.75" customHeight="1">
      <c r="A294" s="493" t="s">
        <v>407</v>
      </c>
      <c r="B294" s="499" t="s">
        <v>104</v>
      </c>
      <c r="C294" s="513" t="s">
        <v>106</v>
      </c>
      <c r="D294" s="565">
        <v>73418.837757264744</v>
      </c>
      <c r="E294" s="622">
        <v>0.35811007851031496</v>
      </c>
      <c r="F294" s="567">
        <v>26292.025753390153</v>
      </c>
      <c r="G294" s="565">
        <v>73418.837757264744</v>
      </c>
      <c r="H294" s="622">
        <v>0.35811007851031496</v>
      </c>
      <c r="I294" s="567">
        <v>26292.025753390153</v>
      </c>
      <c r="J294" s="514">
        <v>86389.930000000008</v>
      </c>
      <c r="K294" s="622">
        <v>0.34160497641333898</v>
      </c>
      <c r="L294" s="517">
        <v>29511.230000000007</v>
      </c>
      <c r="M294" s="628">
        <v>0.17667253580913275</v>
      </c>
      <c r="N294" s="545">
        <v>3219.2042466098537</v>
      </c>
      <c r="O294" s="514">
        <v>68074.17</v>
      </c>
      <c r="P294" s="622">
        <v>0.36506651494979658</v>
      </c>
      <c r="Q294" s="517">
        <v>24851.599999999995</v>
      </c>
      <c r="R294" s="628">
        <v>0.2690559429516366</v>
      </c>
      <c r="S294" s="567">
        <v>4659.6300000000119</v>
      </c>
      <c r="T294" s="504"/>
      <c r="U294" s="504"/>
      <c r="V294" s="504"/>
      <c r="W294" s="504"/>
      <c r="X294" s="504"/>
      <c r="Y294" s="504"/>
      <c r="Z294" s="504"/>
      <c r="AA294" s="504"/>
      <c r="AB294" s="504"/>
      <c r="AC294" s="504"/>
      <c r="AD294" s="504"/>
      <c r="AE294" s="504"/>
      <c r="AF294" s="504"/>
      <c r="AG294" s="504"/>
      <c r="AH294" s="504"/>
      <c r="AI294" s="504"/>
      <c r="AJ294" s="504"/>
      <c r="AK294" s="504"/>
      <c r="AL294" s="504"/>
      <c r="AM294" s="504"/>
      <c r="AN294" s="504"/>
    </row>
    <row r="295" spans="1:40" ht="15.75" customHeight="1">
      <c r="A295" s="493" t="s">
        <v>408</v>
      </c>
      <c r="B295" s="499" t="s">
        <v>104</v>
      </c>
      <c r="C295" s="513" t="s">
        <v>107</v>
      </c>
      <c r="D295" s="565">
        <v>50870.006431817041</v>
      </c>
      <c r="E295" s="622">
        <v>0.2571723304036081</v>
      </c>
      <c r="F295" s="567">
        <v>13082.358101716922</v>
      </c>
      <c r="G295" s="565">
        <v>50870.006431817041</v>
      </c>
      <c r="H295" s="622">
        <v>0.2571723304036081</v>
      </c>
      <c r="I295" s="567">
        <v>13082.358101716922</v>
      </c>
      <c r="J295" s="514">
        <v>61772.62</v>
      </c>
      <c r="K295" s="622">
        <v>0.23851635239042798</v>
      </c>
      <c r="L295" s="517">
        <v>14733.78</v>
      </c>
      <c r="M295" s="628">
        <v>0.21432302319041655</v>
      </c>
      <c r="N295" s="545">
        <v>1651.4218982830789</v>
      </c>
      <c r="O295" s="514">
        <v>27184.52</v>
      </c>
      <c r="P295" s="622">
        <v>0.24658371749804661</v>
      </c>
      <c r="Q295" s="517">
        <v>6703.2599999999984</v>
      </c>
      <c r="R295" s="628">
        <v>1.2723454377712022</v>
      </c>
      <c r="S295" s="567">
        <v>8030.5200000000023</v>
      </c>
      <c r="T295" s="504"/>
      <c r="U295" s="504"/>
      <c r="V295" s="504"/>
      <c r="W295" s="504"/>
      <c r="X295" s="504"/>
      <c r="Y295" s="504"/>
      <c r="Z295" s="504"/>
      <c r="AA295" s="504"/>
      <c r="AB295" s="504"/>
      <c r="AC295" s="504"/>
      <c r="AD295" s="504"/>
      <c r="AE295" s="504"/>
      <c r="AF295" s="504"/>
      <c r="AG295" s="504"/>
      <c r="AH295" s="504"/>
      <c r="AI295" s="504"/>
      <c r="AJ295" s="504"/>
      <c r="AK295" s="504"/>
      <c r="AL295" s="504"/>
      <c r="AM295" s="504"/>
      <c r="AN295" s="504"/>
    </row>
    <row r="296" spans="1:40" ht="15.75" customHeight="1">
      <c r="A296" s="493" t="s">
        <v>409</v>
      </c>
      <c r="B296" s="499" t="s">
        <v>104</v>
      </c>
      <c r="C296" s="513" t="s">
        <v>108</v>
      </c>
      <c r="D296" s="565">
        <v>109393.16181373187</v>
      </c>
      <c r="E296" s="622">
        <v>0.24177651145507992</v>
      </c>
      <c r="F296" s="567">
        <v>26448.697040365154</v>
      </c>
      <c r="G296" s="565">
        <v>109393.16181373187</v>
      </c>
      <c r="H296" s="622">
        <v>0.24177651145507992</v>
      </c>
      <c r="I296" s="567">
        <v>26448.697040365154</v>
      </c>
      <c r="J296" s="514">
        <v>55234.06</v>
      </c>
      <c r="K296" s="622">
        <v>0.2397323318256887</v>
      </c>
      <c r="L296" s="517">
        <v>13241.39</v>
      </c>
      <c r="M296" s="628">
        <v>-0.49508672128839964</v>
      </c>
      <c r="N296" s="545">
        <v>-13207.307040365155</v>
      </c>
      <c r="O296" s="514">
        <v>79594.67</v>
      </c>
      <c r="P296" s="622">
        <v>0.23625149774476106</v>
      </c>
      <c r="Q296" s="517">
        <v>18804.36</v>
      </c>
      <c r="R296" s="628">
        <v>-0.30605830767311432</v>
      </c>
      <c r="S296" s="567">
        <v>-5562.9700000000012</v>
      </c>
      <c r="T296" s="504"/>
      <c r="U296" s="504"/>
      <c r="V296" s="504"/>
      <c r="W296" s="504"/>
      <c r="X296" s="504"/>
      <c r="Y296" s="504"/>
      <c r="Z296" s="504"/>
      <c r="AA296" s="504"/>
      <c r="AB296" s="504"/>
      <c r="AC296" s="504"/>
      <c r="AD296" s="504"/>
      <c r="AE296" s="504"/>
      <c r="AF296" s="504"/>
      <c r="AG296" s="504"/>
      <c r="AH296" s="504"/>
      <c r="AI296" s="504"/>
      <c r="AJ296" s="504"/>
      <c r="AK296" s="504"/>
      <c r="AL296" s="504"/>
      <c r="AM296" s="504"/>
      <c r="AN296" s="504"/>
    </row>
    <row r="297" spans="1:40" ht="15.75" customHeight="1">
      <c r="A297" s="493" t="s">
        <v>410</v>
      </c>
      <c r="B297" s="499" t="s">
        <v>104</v>
      </c>
      <c r="C297" s="513" t="s">
        <v>109</v>
      </c>
      <c r="D297" s="565">
        <v>69481.835026957517</v>
      </c>
      <c r="E297" s="622">
        <v>0.32393223852119107</v>
      </c>
      <c r="F297" s="567">
        <v>22507.40635684245</v>
      </c>
      <c r="G297" s="565">
        <v>69481.835026957517</v>
      </c>
      <c r="H297" s="622">
        <v>0.32393223852119107</v>
      </c>
      <c r="I297" s="567">
        <v>22507.40635684245</v>
      </c>
      <c r="J297" s="514">
        <v>57029.75</v>
      </c>
      <c r="K297" s="622">
        <v>0.34185736391970861</v>
      </c>
      <c r="L297" s="517">
        <v>19496.04</v>
      </c>
      <c r="M297" s="628">
        <v>-0.17921353145216107</v>
      </c>
      <c r="N297" s="545">
        <v>-3011.366356842449</v>
      </c>
      <c r="O297" s="514">
        <v>52618.64</v>
      </c>
      <c r="P297" s="622">
        <v>0.29299750050552426</v>
      </c>
      <c r="Q297" s="517">
        <v>15417.129999999997</v>
      </c>
      <c r="R297" s="628">
        <v>8.3831699184927638E-2</v>
      </c>
      <c r="S297" s="567">
        <v>4078.9100000000035</v>
      </c>
      <c r="T297" s="504"/>
      <c r="U297" s="504"/>
      <c r="V297" s="504"/>
      <c r="W297" s="504"/>
      <c r="X297" s="504"/>
      <c r="Y297" s="504"/>
      <c r="Z297" s="504"/>
      <c r="AA297" s="504"/>
      <c r="AB297" s="504"/>
      <c r="AC297" s="504"/>
      <c r="AD297" s="504"/>
      <c r="AE297" s="504"/>
      <c r="AF297" s="504"/>
      <c r="AG297" s="504"/>
      <c r="AH297" s="504"/>
      <c r="AI297" s="504"/>
      <c r="AJ297" s="504"/>
      <c r="AK297" s="504"/>
      <c r="AL297" s="504"/>
      <c r="AM297" s="504"/>
      <c r="AN297" s="504"/>
    </row>
    <row r="298" spans="1:40" ht="15.75" customHeight="1">
      <c r="A298" s="493" t="s">
        <v>411</v>
      </c>
      <c r="B298" s="499" t="s">
        <v>104</v>
      </c>
      <c r="C298" s="513" t="s">
        <v>110</v>
      </c>
      <c r="D298" s="565">
        <v>17231.184066161994</v>
      </c>
      <c r="E298" s="622">
        <v>0.28113730707120016</v>
      </c>
      <c r="F298" s="567">
        <v>4844.3286860089556</v>
      </c>
      <c r="G298" s="565">
        <v>17231.184066161994</v>
      </c>
      <c r="H298" s="622">
        <v>0.28113730707120016</v>
      </c>
      <c r="I298" s="567">
        <v>4844.3286860089556</v>
      </c>
      <c r="J298" s="514">
        <v>21587.59</v>
      </c>
      <c r="K298" s="622">
        <v>0.32324451224059747</v>
      </c>
      <c r="L298" s="517">
        <v>6978.07</v>
      </c>
      <c r="M298" s="628">
        <v>0.25282104335435468</v>
      </c>
      <c r="N298" s="545">
        <v>2133.7413139910441</v>
      </c>
      <c r="O298" s="514">
        <v>14457.31</v>
      </c>
      <c r="P298" s="622">
        <v>0.29024209897968567</v>
      </c>
      <c r="Q298" s="517">
        <v>4196.119999999999</v>
      </c>
      <c r="R298" s="628">
        <v>0.49319548380715367</v>
      </c>
      <c r="S298" s="567">
        <v>2781.9500000000007</v>
      </c>
      <c r="T298" s="504"/>
      <c r="U298" s="504"/>
      <c r="V298" s="504"/>
      <c r="W298" s="504"/>
      <c r="X298" s="504"/>
      <c r="Y298" s="504"/>
      <c r="Z298" s="504"/>
      <c r="AA298" s="504"/>
      <c r="AB298" s="504"/>
      <c r="AC298" s="504"/>
      <c r="AD298" s="504"/>
      <c r="AE298" s="504"/>
      <c r="AF298" s="504"/>
      <c r="AG298" s="504"/>
      <c r="AH298" s="504"/>
      <c r="AI298" s="504"/>
      <c r="AJ298" s="504"/>
      <c r="AK298" s="504"/>
      <c r="AL298" s="504"/>
      <c r="AM298" s="504"/>
      <c r="AN298" s="504"/>
    </row>
    <row r="299" spans="1:40" ht="15.75" customHeight="1">
      <c r="A299" s="493" t="s">
        <v>412</v>
      </c>
      <c r="B299" s="499" t="s">
        <v>104</v>
      </c>
      <c r="C299" s="513" t="s">
        <v>111</v>
      </c>
      <c r="D299" s="565">
        <v>54215.59408438782</v>
      </c>
      <c r="E299" s="622">
        <v>0.18194830719212418</v>
      </c>
      <c r="F299" s="567">
        <v>9864.4355670697059</v>
      </c>
      <c r="G299" s="565">
        <v>54215.59408438782</v>
      </c>
      <c r="H299" s="622">
        <v>0.18194830719212418</v>
      </c>
      <c r="I299" s="567">
        <v>9864.4355670697059</v>
      </c>
      <c r="J299" s="514">
        <v>80494.38</v>
      </c>
      <c r="K299" s="622">
        <v>0.17696974621085357</v>
      </c>
      <c r="L299" s="517">
        <v>14245.070000000007</v>
      </c>
      <c r="M299" s="628">
        <v>0.48470899119372646</v>
      </c>
      <c r="N299" s="545">
        <v>4380.634432930301</v>
      </c>
      <c r="O299" s="514">
        <v>33246.97</v>
      </c>
      <c r="P299" s="622">
        <v>0.1798897764217311</v>
      </c>
      <c r="Q299" s="517">
        <v>5980.7900000000009</v>
      </c>
      <c r="R299" s="628">
        <v>1.4211042389727546</v>
      </c>
      <c r="S299" s="567">
        <v>8264.2800000000061</v>
      </c>
      <c r="T299" s="504"/>
      <c r="U299" s="504"/>
      <c r="V299" s="504"/>
      <c r="W299" s="504"/>
      <c r="X299" s="504"/>
      <c r="Y299" s="504"/>
      <c r="Z299" s="504"/>
      <c r="AA299" s="504"/>
      <c r="AB299" s="504"/>
      <c r="AC299" s="504"/>
      <c r="AD299" s="504"/>
      <c r="AE299" s="504"/>
      <c r="AF299" s="504"/>
      <c r="AG299" s="504"/>
      <c r="AH299" s="504"/>
      <c r="AI299" s="504"/>
      <c r="AJ299" s="504"/>
      <c r="AK299" s="504"/>
      <c r="AL299" s="504"/>
      <c r="AM299" s="504"/>
      <c r="AN299" s="504"/>
    </row>
    <row r="300" spans="1:40" ht="15.75" hidden="1" customHeight="1">
      <c r="A300" s="493" t="s">
        <v>413</v>
      </c>
      <c r="B300" s="499" t="s">
        <v>104</v>
      </c>
      <c r="C300" s="513" t="s">
        <v>21</v>
      </c>
      <c r="D300" s="565">
        <v>0</v>
      </c>
      <c r="E300" s="622">
        <v>0</v>
      </c>
      <c r="F300" s="567">
        <v>0</v>
      </c>
      <c r="G300" s="565">
        <v>0</v>
      </c>
      <c r="H300" s="622">
        <v>0</v>
      </c>
      <c r="I300" s="567">
        <v>0</v>
      </c>
      <c r="J300" s="514">
        <v>0</v>
      </c>
      <c r="K300" s="622">
        <v>0</v>
      </c>
      <c r="L300" s="517">
        <v>0</v>
      </c>
      <c r="M300" s="628" t="e">
        <v>#DIV/0!</v>
      </c>
      <c r="N300" s="545">
        <v>0</v>
      </c>
      <c r="O300" s="514">
        <v>0</v>
      </c>
      <c r="P300" s="622">
        <v>0</v>
      </c>
      <c r="Q300" s="517">
        <v>0</v>
      </c>
      <c r="R300" s="628">
        <v>0</v>
      </c>
      <c r="S300" s="567">
        <v>0</v>
      </c>
      <c r="T300" s="504"/>
      <c r="U300" s="504"/>
      <c r="V300" s="504"/>
      <c r="W300" s="504"/>
      <c r="X300" s="504"/>
      <c r="Y300" s="504"/>
      <c r="Z300" s="504"/>
      <c r="AA300" s="504"/>
      <c r="AB300" s="504"/>
      <c r="AC300" s="504"/>
      <c r="AD300" s="504"/>
      <c r="AE300" s="504"/>
      <c r="AF300" s="504"/>
      <c r="AG300" s="504"/>
      <c r="AH300" s="504"/>
      <c r="AI300" s="504"/>
      <c r="AJ300" s="504"/>
      <c r="AK300" s="504"/>
      <c r="AL300" s="504"/>
      <c r="AM300" s="504"/>
      <c r="AN300" s="504"/>
    </row>
    <row r="301" spans="1:40" ht="15.75" customHeight="1">
      <c r="A301" s="493" t="s">
        <v>414</v>
      </c>
      <c r="B301" s="499" t="s">
        <v>104</v>
      </c>
      <c r="C301" s="513" t="s">
        <v>112</v>
      </c>
      <c r="D301" s="565">
        <v>0</v>
      </c>
      <c r="E301" s="622">
        <v>0</v>
      </c>
      <c r="F301" s="567">
        <v>6208.164410116402</v>
      </c>
      <c r="G301" s="565">
        <v>0</v>
      </c>
      <c r="H301" s="622">
        <v>0</v>
      </c>
      <c r="I301" s="567">
        <v>6208.164410116402</v>
      </c>
      <c r="J301" s="514">
        <v>0</v>
      </c>
      <c r="K301" s="622">
        <v>0</v>
      </c>
      <c r="L301" s="517">
        <v>14248.96</v>
      </c>
      <c r="M301" s="628"/>
      <c r="N301" s="545">
        <v>8040.7955898835971</v>
      </c>
      <c r="O301" s="514">
        <v>0</v>
      </c>
      <c r="P301" s="622">
        <v>0</v>
      </c>
      <c r="Q301" s="517">
        <v>10251.25</v>
      </c>
      <c r="R301" s="628">
        <v>0</v>
      </c>
      <c r="S301" s="567">
        <v>3997.7099999999991</v>
      </c>
      <c r="T301" s="504"/>
      <c r="U301" s="504"/>
      <c r="V301" s="504"/>
      <c r="W301" s="504"/>
      <c r="X301" s="504"/>
      <c r="Y301" s="504"/>
      <c r="Z301" s="504"/>
      <c r="AA301" s="504"/>
      <c r="AB301" s="504"/>
      <c r="AC301" s="504"/>
      <c r="AD301" s="504"/>
      <c r="AE301" s="504"/>
      <c r="AF301" s="504"/>
      <c r="AG301" s="504"/>
      <c r="AH301" s="504"/>
      <c r="AI301" s="504"/>
      <c r="AJ301" s="504"/>
      <c r="AK301" s="504"/>
      <c r="AL301" s="504"/>
      <c r="AM301" s="504"/>
      <c r="AN301" s="504"/>
    </row>
    <row r="302" spans="1:40" ht="15.75" customHeight="1">
      <c r="A302" s="493" t="s">
        <v>415</v>
      </c>
      <c r="B302" s="499" t="s">
        <v>104</v>
      </c>
      <c r="C302" s="568" t="s">
        <v>113</v>
      </c>
      <c r="D302" s="565">
        <v>0</v>
      </c>
      <c r="E302" s="622">
        <v>0</v>
      </c>
      <c r="F302" s="567">
        <v>0</v>
      </c>
      <c r="G302" s="565">
        <v>0</v>
      </c>
      <c r="H302" s="622">
        <v>0</v>
      </c>
      <c r="I302" s="567">
        <v>0</v>
      </c>
      <c r="J302" s="514">
        <v>0</v>
      </c>
      <c r="K302" s="622">
        <v>0</v>
      </c>
      <c r="L302" s="517">
        <v>0</v>
      </c>
      <c r="M302" s="628"/>
      <c r="N302" s="545">
        <v>0</v>
      </c>
      <c r="O302" s="514">
        <v>0</v>
      </c>
      <c r="P302" s="622">
        <v>0</v>
      </c>
      <c r="Q302" s="517">
        <v>0</v>
      </c>
      <c r="R302" s="628">
        <v>0</v>
      </c>
      <c r="S302" s="567">
        <v>0</v>
      </c>
      <c r="T302" s="504"/>
      <c r="U302" s="504"/>
      <c r="V302" s="504"/>
      <c r="W302" s="504"/>
      <c r="X302" s="504"/>
      <c r="Y302" s="504"/>
      <c r="Z302" s="504"/>
      <c r="AA302" s="504"/>
      <c r="AB302" s="504"/>
      <c r="AC302" s="504"/>
      <c r="AD302" s="504"/>
      <c r="AE302" s="504"/>
      <c r="AF302" s="504"/>
      <c r="AG302" s="504"/>
      <c r="AH302" s="504"/>
      <c r="AI302" s="504"/>
      <c r="AJ302" s="504"/>
      <c r="AK302" s="504"/>
      <c r="AL302" s="504"/>
      <c r="AM302" s="504"/>
      <c r="AN302" s="504"/>
    </row>
    <row r="303" spans="1:40" ht="15.75" customHeight="1">
      <c r="A303" s="493" t="s">
        <v>416</v>
      </c>
      <c r="B303" s="499" t="s">
        <v>104</v>
      </c>
      <c r="C303" s="538" t="s">
        <v>114</v>
      </c>
      <c r="D303" s="669">
        <v>374610.61918032094</v>
      </c>
      <c r="E303" s="688">
        <v>0.29162925534399464</v>
      </c>
      <c r="F303" s="673">
        <v>109247.41591550974</v>
      </c>
      <c r="G303" s="669">
        <v>374610.61918032094</v>
      </c>
      <c r="H303" s="688">
        <v>0.29162925534399464</v>
      </c>
      <c r="I303" s="673">
        <v>109247.41591550974</v>
      </c>
      <c r="J303" s="669">
        <v>362508.33</v>
      </c>
      <c r="K303" s="688">
        <v>0.31021229222511937</v>
      </c>
      <c r="L303" s="671">
        <v>112454.54000000001</v>
      </c>
      <c r="M303" s="689">
        <v>-3.2306316374057231E-2</v>
      </c>
      <c r="N303" s="671">
        <v>3207.1240844902641</v>
      </c>
      <c r="O303" s="669">
        <v>275176.28000000003</v>
      </c>
      <c r="P303" s="688">
        <v>0.31327013360308514</v>
      </c>
      <c r="Q303" s="671">
        <v>86204.50999999998</v>
      </c>
      <c r="R303" s="689">
        <v>0.31736765247353432</v>
      </c>
      <c r="S303" s="673">
        <v>26250.030000000028</v>
      </c>
      <c r="T303" s="504"/>
      <c r="U303" s="504"/>
      <c r="V303" s="504"/>
      <c r="W303" s="504"/>
      <c r="X303" s="504"/>
      <c r="Y303" s="504"/>
      <c r="Z303" s="504"/>
      <c r="AA303" s="504"/>
      <c r="AB303" s="504"/>
      <c r="AC303" s="504"/>
      <c r="AD303" s="504"/>
      <c r="AE303" s="504"/>
      <c r="AF303" s="504"/>
      <c r="AG303" s="504"/>
      <c r="AH303" s="504"/>
      <c r="AI303" s="504"/>
      <c r="AJ303" s="504"/>
      <c r="AK303" s="504"/>
      <c r="AL303" s="504"/>
      <c r="AM303" s="504"/>
      <c r="AN303" s="504"/>
    </row>
    <row r="304" spans="1:40" ht="15.75" customHeight="1">
      <c r="A304" s="493" t="s">
        <v>104</v>
      </c>
      <c r="B304" s="499" t="s">
        <v>104</v>
      </c>
      <c r="C304" s="513"/>
      <c r="D304" s="504"/>
      <c r="E304" s="504"/>
      <c r="F304" s="524"/>
      <c r="G304" s="525"/>
      <c r="H304" s="504"/>
      <c r="I304" s="524"/>
      <c r="J304" s="525"/>
      <c r="K304" s="504"/>
      <c r="L304" s="524"/>
      <c r="M304" s="525"/>
      <c r="N304" s="527">
        <v>2.9356521228571703E-2</v>
      </c>
      <c r="O304" s="525"/>
      <c r="P304" s="504"/>
      <c r="Q304" s="524"/>
      <c r="R304" s="525"/>
      <c r="S304" s="528">
        <v>0.30450877802101112</v>
      </c>
      <c r="T304" s="504"/>
      <c r="U304" s="504"/>
      <c r="V304" s="504"/>
      <c r="W304" s="504"/>
      <c r="X304" s="504"/>
      <c r="Y304" s="504"/>
      <c r="Z304" s="504"/>
      <c r="AA304" s="504"/>
      <c r="AB304" s="504"/>
      <c r="AC304" s="504"/>
      <c r="AD304" s="504"/>
      <c r="AE304" s="504"/>
      <c r="AF304" s="504"/>
      <c r="AG304" s="504"/>
      <c r="AH304" s="504"/>
      <c r="AI304" s="504"/>
      <c r="AJ304" s="504"/>
      <c r="AK304" s="504"/>
      <c r="AL304" s="504"/>
      <c r="AM304" s="504"/>
      <c r="AN304" s="504"/>
    </row>
    <row r="305" spans="1:40" ht="15.75" customHeight="1">
      <c r="A305" s="493" t="s">
        <v>104</v>
      </c>
      <c r="B305" s="499" t="s">
        <v>104</v>
      </c>
      <c r="C305" s="568"/>
      <c r="D305" s="592"/>
      <c r="E305" s="592"/>
      <c r="F305" s="690"/>
      <c r="G305" s="509"/>
      <c r="H305" s="691"/>
      <c r="I305" s="690"/>
      <c r="J305" s="509"/>
      <c r="K305" s="592"/>
      <c r="L305" s="690"/>
      <c r="M305" s="509"/>
      <c r="N305" s="640"/>
      <c r="O305" s="509"/>
      <c r="P305" s="592"/>
      <c r="Q305" s="690"/>
      <c r="R305" s="509"/>
      <c r="S305" s="641"/>
      <c r="T305" s="504"/>
      <c r="U305" s="504"/>
      <c r="V305" s="504"/>
      <c r="W305" s="504"/>
      <c r="X305" s="504"/>
      <c r="Y305" s="504"/>
      <c r="Z305" s="504"/>
      <c r="AA305" s="504"/>
      <c r="AB305" s="504"/>
      <c r="AC305" s="504"/>
      <c r="AD305" s="504"/>
      <c r="AE305" s="504"/>
      <c r="AF305" s="504"/>
      <c r="AG305" s="504"/>
      <c r="AH305" s="504"/>
      <c r="AI305" s="504"/>
      <c r="AJ305" s="504"/>
      <c r="AK305" s="504"/>
      <c r="AL305" s="504"/>
      <c r="AM305" s="504"/>
      <c r="AN305" s="504"/>
    </row>
    <row r="306" spans="1:40" ht="15.75" customHeight="1">
      <c r="A306" s="493" t="s">
        <v>417</v>
      </c>
      <c r="B306" s="499" t="s">
        <v>104</v>
      </c>
      <c r="C306" s="513" t="s">
        <v>115</v>
      </c>
      <c r="D306" s="565">
        <v>26239.689724136279</v>
      </c>
      <c r="E306" s="622">
        <v>0.1816444838198383</v>
      </c>
      <c r="F306" s="591">
        <v>4766.2948955334496</v>
      </c>
      <c r="G306" s="565">
        <v>26239.689724136279</v>
      </c>
      <c r="H306" s="622">
        <v>0.1816444838198383</v>
      </c>
      <c r="I306" s="591">
        <v>4766.2948955334496</v>
      </c>
      <c r="J306" s="514">
        <v>28986.81</v>
      </c>
      <c r="K306" s="622">
        <v>0.19307126241211089</v>
      </c>
      <c r="L306" s="517">
        <v>5596.52</v>
      </c>
      <c r="M306" s="628">
        <v>0.10469332163393745</v>
      </c>
      <c r="N306" s="545">
        <v>830.22510446655087</v>
      </c>
      <c r="O306" s="514">
        <v>41678.730000000003</v>
      </c>
      <c r="P306" s="622">
        <v>0.17140613449594086</v>
      </c>
      <c r="Q306" s="517">
        <v>7143.9900000000052</v>
      </c>
      <c r="R306" s="628">
        <v>-0.30451791597296751</v>
      </c>
      <c r="S306" s="567">
        <v>-1547.4700000000048</v>
      </c>
      <c r="T306" s="504"/>
      <c r="U306" s="504"/>
      <c r="V306" s="504"/>
      <c r="W306" s="504"/>
      <c r="X306" s="504"/>
      <c r="Y306" s="504"/>
      <c r="Z306" s="504"/>
      <c r="AA306" s="504"/>
      <c r="AB306" s="504"/>
      <c r="AC306" s="504"/>
      <c r="AD306" s="504"/>
      <c r="AE306" s="504"/>
      <c r="AF306" s="504"/>
      <c r="AG306" s="504"/>
      <c r="AH306" s="504"/>
      <c r="AI306" s="504"/>
      <c r="AJ306" s="504"/>
      <c r="AK306" s="504"/>
      <c r="AL306" s="504"/>
      <c r="AM306" s="504"/>
      <c r="AN306" s="504"/>
    </row>
    <row r="307" spans="1:40" ht="15.75" customHeight="1">
      <c r="A307" s="493" t="s">
        <v>418</v>
      </c>
      <c r="B307" s="499" t="s">
        <v>104</v>
      </c>
      <c r="C307" s="568" t="s">
        <v>116</v>
      </c>
      <c r="D307" s="565">
        <v>20388.431823214447</v>
      </c>
      <c r="E307" s="622">
        <v>0.29130399895825637</v>
      </c>
      <c r="F307" s="574">
        <v>5939.2317225901425</v>
      </c>
      <c r="G307" s="565">
        <v>20388.431823214447</v>
      </c>
      <c r="H307" s="622">
        <v>0.29130399895825637</v>
      </c>
      <c r="I307" s="574">
        <v>5939.2317225901425</v>
      </c>
      <c r="J307" s="514">
        <v>27718.68</v>
      </c>
      <c r="K307" s="622">
        <v>0.31348173866865231</v>
      </c>
      <c r="L307" s="517">
        <v>8689.2999999999993</v>
      </c>
      <c r="M307" s="628">
        <v>0.35952976866221115</v>
      </c>
      <c r="N307" s="545">
        <v>2750.0682774098568</v>
      </c>
      <c r="O307" s="514">
        <v>17764.38</v>
      </c>
      <c r="P307" s="622">
        <v>0.29562416476116821</v>
      </c>
      <c r="Q307" s="517">
        <v>5251.5800000000017</v>
      </c>
      <c r="R307" s="628">
        <v>0.56035167002732422</v>
      </c>
      <c r="S307" s="567">
        <v>3437.7199999999975</v>
      </c>
      <c r="T307" s="504"/>
      <c r="U307" s="504"/>
      <c r="V307" s="504"/>
      <c r="W307" s="504"/>
      <c r="X307" s="504"/>
      <c r="Y307" s="504"/>
      <c r="Z307" s="504"/>
      <c r="AA307" s="504"/>
      <c r="AB307" s="504"/>
      <c r="AC307" s="504"/>
      <c r="AD307" s="504"/>
      <c r="AE307" s="504"/>
      <c r="AF307" s="504"/>
      <c r="AG307" s="504"/>
      <c r="AH307" s="504"/>
      <c r="AI307" s="504"/>
      <c r="AJ307" s="504"/>
      <c r="AK307" s="504"/>
      <c r="AL307" s="504"/>
      <c r="AM307" s="504"/>
      <c r="AN307" s="504"/>
    </row>
    <row r="308" spans="1:40" ht="15.75" customHeight="1">
      <c r="A308" s="493" t="s">
        <v>419</v>
      </c>
      <c r="B308" s="499" t="s">
        <v>104</v>
      </c>
      <c r="C308" s="538" t="s">
        <v>117</v>
      </c>
      <c r="D308" s="669">
        <v>421238.74072767165</v>
      </c>
      <c r="E308" s="688">
        <v>0.28476237092158196</v>
      </c>
      <c r="F308" s="671">
        <v>119952.94253363332</v>
      </c>
      <c r="G308" s="672">
        <v>421238.74072767165</v>
      </c>
      <c r="H308" s="688">
        <v>0.28476237092158196</v>
      </c>
      <c r="I308" s="671">
        <v>119952.94253363332</v>
      </c>
      <c r="J308" s="672">
        <v>419213.82</v>
      </c>
      <c r="K308" s="688">
        <v>0.30232867800016711</v>
      </c>
      <c r="L308" s="671">
        <v>126740.36000000002</v>
      </c>
      <c r="M308" s="689">
        <v>-4.8070619624721251E-3</v>
      </c>
      <c r="N308" s="671">
        <v>6787.4174663666927</v>
      </c>
      <c r="O308" s="672">
        <v>334619.39</v>
      </c>
      <c r="P308" s="688">
        <v>0.29466337859261527</v>
      </c>
      <c r="Q308" s="671">
        <v>98600.079999999987</v>
      </c>
      <c r="R308" s="689">
        <v>0.25280791409009501</v>
      </c>
      <c r="S308" s="673">
        <v>28140.280000000028</v>
      </c>
      <c r="T308" s="504"/>
      <c r="U308" s="504"/>
      <c r="V308" s="504"/>
      <c r="W308" s="504"/>
      <c r="X308" s="504"/>
      <c r="Y308" s="504"/>
      <c r="Z308" s="504"/>
      <c r="AA308" s="504"/>
      <c r="AB308" s="504"/>
      <c r="AC308" s="504"/>
      <c r="AD308" s="504"/>
      <c r="AE308" s="504"/>
      <c r="AF308" s="504"/>
      <c r="AG308" s="504"/>
      <c r="AH308" s="504"/>
      <c r="AI308" s="504"/>
      <c r="AJ308" s="504"/>
      <c r="AK308" s="504"/>
      <c r="AL308" s="504"/>
      <c r="AM308" s="504"/>
      <c r="AN308" s="504"/>
    </row>
    <row r="309" spans="1:40" ht="15.75" customHeight="1">
      <c r="A309" s="493" t="s">
        <v>104</v>
      </c>
      <c r="B309" s="499" t="s">
        <v>104</v>
      </c>
      <c r="C309" s="513"/>
      <c r="D309" s="504"/>
      <c r="E309" s="504"/>
      <c r="F309" s="524"/>
      <c r="G309" s="525"/>
      <c r="H309" s="504"/>
      <c r="I309" s="524"/>
      <c r="J309" s="525"/>
      <c r="K309" s="504"/>
      <c r="L309" s="524"/>
      <c r="M309" s="525"/>
      <c r="N309" s="527">
        <v>5.6584001384239364E-2</v>
      </c>
      <c r="O309" s="525"/>
      <c r="P309" s="504"/>
      <c r="Q309" s="524"/>
      <c r="R309" s="525"/>
      <c r="S309" s="528">
        <v>0.28539814572158595</v>
      </c>
      <c r="T309" s="504"/>
      <c r="U309" s="504"/>
      <c r="V309" s="504"/>
      <c r="W309" s="504"/>
      <c r="X309" s="504"/>
      <c r="Y309" s="504"/>
      <c r="Z309" s="504"/>
      <c r="AA309" s="504"/>
      <c r="AB309" s="504"/>
      <c r="AC309" s="504"/>
      <c r="AD309" s="504"/>
      <c r="AE309" s="504"/>
      <c r="AF309" s="504"/>
      <c r="AG309" s="504"/>
      <c r="AH309" s="504"/>
      <c r="AI309" s="504"/>
      <c r="AJ309" s="504"/>
      <c r="AK309" s="504"/>
      <c r="AL309" s="504"/>
      <c r="AM309" s="504"/>
      <c r="AN309" s="504"/>
    </row>
    <row r="310" spans="1:40" ht="15.75" customHeight="1">
      <c r="A310" s="493" t="s">
        <v>104</v>
      </c>
      <c r="B310" s="499" t="s">
        <v>104</v>
      </c>
      <c r="C310" s="513"/>
      <c r="D310" s="504"/>
      <c r="E310" s="504"/>
      <c r="F310" s="524"/>
      <c r="G310" s="525"/>
      <c r="H310" s="504"/>
      <c r="I310" s="524"/>
      <c r="J310" s="525"/>
      <c r="K310" s="504"/>
      <c r="L310" s="524"/>
      <c r="M310" s="525"/>
      <c r="N310" s="527"/>
      <c r="O310" s="525"/>
      <c r="P310" s="504"/>
      <c r="Q310" s="524"/>
      <c r="R310" s="525"/>
      <c r="S310" s="528"/>
      <c r="T310" s="504"/>
      <c r="U310" s="504"/>
      <c r="V310" s="504"/>
      <c r="W310" s="504"/>
      <c r="X310" s="504"/>
      <c r="Y310" s="504"/>
      <c r="Z310" s="504"/>
      <c r="AA310" s="504"/>
      <c r="AB310" s="504"/>
      <c r="AC310" s="504"/>
      <c r="AD310" s="504"/>
      <c r="AE310" s="504"/>
      <c r="AF310" s="504"/>
      <c r="AG310" s="504"/>
      <c r="AH310" s="504"/>
      <c r="AI310" s="504"/>
      <c r="AJ310" s="504"/>
      <c r="AK310" s="504"/>
      <c r="AL310" s="504"/>
      <c r="AM310" s="504"/>
      <c r="AN310" s="504"/>
    </row>
    <row r="311" spans="1:40" ht="15.75" customHeight="1">
      <c r="A311" s="493" t="s">
        <v>420</v>
      </c>
      <c r="B311" s="499" t="s">
        <v>104</v>
      </c>
      <c r="C311" s="568" t="s">
        <v>118</v>
      </c>
      <c r="D311" s="571">
        <v>0</v>
      </c>
      <c r="E311" s="692">
        <v>0</v>
      </c>
      <c r="F311" s="620">
        <v>0</v>
      </c>
      <c r="G311" s="645">
        <v>0</v>
      </c>
      <c r="H311" s="692">
        <v>0</v>
      </c>
      <c r="I311" s="620">
        <v>0</v>
      </c>
      <c r="J311" s="530">
        <v>0</v>
      </c>
      <c r="K311" s="693">
        <v>0</v>
      </c>
      <c r="L311" s="508">
        <v>0</v>
      </c>
      <c r="M311" s="693">
        <v>0</v>
      </c>
      <c r="N311" s="573">
        <v>0</v>
      </c>
      <c r="O311" s="530">
        <v>0</v>
      </c>
      <c r="P311" s="693">
        <v>0</v>
      </c>
      <c r="Q311" s="508">
        <v>0</v>
      </c>
      <c r="R311" s="693">
        <v>0</v>
      </c>
      <c r="S311" s="574">
        <v>0</v>
      </c>
      <c r="T311" s="504"/>
      <c r="U311" s="504"/>
      <c r="V311" s="504"/>
      <c r="W311" s="504"/>
      <c r="X311" s="504"/>
      <c r="Y311" s="504"/>
      <c r="Z311" s="504"/>
      <c r="AA311" s="504"/>
      <c r="AB311" s="504"/>
      <c r="AC311" s="504"/>
      <c r="AD311" s="504"/>
      <c r="AE311" s="504"/>
      <c r="AF311" s="504"/>
      <c r="AG311" s="504"/>
      <c r="AH311" s="504"/>
      <c r="AI311" s="504"/>
      <c r="AJ311" s="504"/>
      <c r="AK311" s="504"/>
      <c r="AL311" s="504"/>
      <c r="AM311" s="504"/>
      <c r="AN311" s="504"/>
    </row>
    <row r="312" spans="1:40" ht="15.75" customHeight="1" thickBot="1">
      <c r="A312" s="493" t="s">
        <v>104</v>
      </c>
      <c r="B312" s="499" t="s">
        <v>104</v>
      </c>
      <c r="C312" s="513"/>
      <c r="D312" s="565"/>
      <c r="E312" s="622"/>
      <c r="F312" s="545"/>
      <c r="G312" s="546"/>
      <c r="H312" s="622"/>
      <c r="I312" s="545"/>
      <c r="J312" s="546"/>
      <c r="K312" s="622"/>
      <c r="L312" s="545"/>
      <c r="M312" s="628"/>
      <c r="N312" s="545"/>
      <c r="O312" s="546"/>
      <c r="P312" s="622"/>
      <c r="Q312" s="545"/>
      <c r="R312" s="628"/>
      <c r="S312" s="567"/>
      <c r="T312" s="504"/>
      <c r="U312" s="504"/>
      <c r="V312" s="504"/>
      <c r="W312" s="504"/>
      <c r="X312" s="504"/>
      <c r="Y312" s="504"/>
      <c r="Z312" s="504"/>
      <c r="AA312" s="504"/>
      <c r="AB312" s="504"/>
      <c r="AC312" s="504"/>
      <c r="AD312" s="504"/>
      <c r="AE312" s="504"/>
      <c r="AF312" s="504"/>
      <c r="AG312" s="504"/>
      <c r="AH312" s="504"/>
      <c r="AI312" s="504"/>
      <c r="AJ312" s="504"/>
      <c r="AK312" s="504"/>
      <c r="AL312" s="504"/>
      <c r="AM312" s="504"/>
      <c r="AN312" s="504"/>
    </row>
    <row r="313" spans="1:40" ht="15.75" customHeight="1" thickTop="1">
      <c r="A313" s="493" t="s">
        <v>421</v>
      </c>
      <c r="B313" s="499" t="s">
        <v>104</v>
      </c>
      <c r="C313" s="548" t="s">
        <v>119</v>
      </c>
      <c r="D313" s="549">
        <v>421238.74072767165</v>
      </c>
      <c r="E313" s="694">
        <v>0.28476237092158196</v>
      </c>
      <c r="F313" s="551">
        <v>119952.94253363332</v>
      </c>
      <c r="G313" s="552">
        <v>421238.74072767165</v>
      </c>
      <c r="H313" s="694">
        <v>0.28476237092158196</v>
      </c>
      <c r="I313" s="551">
        <v>119952.94253363332</v>
      </c>
      <c r="J313" s="552">
        <v>419213.82</v>
      </c>
      <c r="K313" s="694">
        <v>0.30232867800016711</v>
      </c>
      <c r="L313" s="551">
        <v>126740.36000000002</v>
      </c>
      <c r="M313" s="695">
        <v>-4.8070619624721251E-3</v>
      </c>
      <c r="N313" s="696">
        <v>6787.4174663666927</v>
      </c>
      <c r="O313" s="552">
        <v>334619.39</v>
      </c>
      <c r="P313" s="694">
        <v>0.29466337859261527</v>
      </c>
      <c r="Q313" s="551">
        <v>98600.079999999987</v>
      </c>
      <c r="R313" s="695">
        <v>0.25280791409009501</v>
      </c>
      <c r="S313" s="697">
        <v>28140.280000000028</v>
      </c>
      <c r="T313" s="504"/>
      <c r="U313" s="504"/>
      <c r="V313" s="504"/>
      <c r="W313" s="504"/>
      <c r="X313" s="504"/>
      <c r="Y313" s="504"/>
      <c r="Z313" s="504"/>
      <c r="AA313" s="504"/>
      <c r="AB313" s="504"/>
      <c r="AC313" s="504"/>
      <c r="AD313" s="504"/>
      <c r="AE313" s="504"/>
      <c r="AF313" s="504"/>
      <c r="AG313" s="504"/>
      <c r="AH313" s="504"/>
      <c r="AI313" s="504"/>
      <c r="AJ313" s="504"/>
      <c r="AK313" s="504"/>
      <c r="AL313" s="504"/>
      <c r="AM313" s="504"/>
      <c r="AN313" s="504"/>
    </row>
    <row r="314" spans="1:40" ht="15.75" customHeight="1" thickBot="1">
      <c r="A314" s="493" t="s">
        <v>104</v>
      </c>
      <c r="B314" s="499" t="s">
        <v>104</v>
      </c>
      <c r="C314" s="698"/>
      <c r="D314" s="699"/>
      <c r="E314" s="700"/>
      <c r="F314" s="701"/>
      <c r="G314" s="702"/>
      <c r="H314" s="700"/>
      <c r="I314" s="701"/>
      <c r="J314" s="702"/>
      <c r="K314" s="700"/>
      <c r="L314" s="701"/>
      <c r="M314" s="703"/>
      <c r="N314" s="560">
        <v>5.6584001384239364E-2</v>
      </c>
      <c r="O314" s="702"/>
      <c r="P314" s="700"/>
      <c r="Q314" s="701"/>
      <c r="R314" s="703"/>
      <c r="S314" s="561">
        <v>0.28539814572158595</v>
      </c>
      <c r="T314" s="504"/>
      <c r="U314" s="504"/>
      <c r="V314" s="504"/>
      <c r="W314" s="504"/>
      <c r="X314" s="504"/>
      <c r="Y314" s="504"/>
      <c r="Z314" s="504"/>
      <c r="AA314" s="504"/>
      <c r="AB314" s="504"/>
      <c r="AC314" s="504"/>
      <c r="AD314" s="504"/>
      <c r="AE314" s="504"/>
      <c r="AF314" s="504"/>
      <c r="AG314" s="504"/>
      <c r="AH314" s="504"/>
      <c r="AI314" s="504"/>
      <c r="AJ314" s="504"/>
      <c r="AK314" s="504"/>
      <c r="AL314" s="504"/>
      <c r="AM314" s="504"/>
      <c r="AN314" s="504"/>
    </row>
    <row r="315" spans="1:40" ht="15.75" customHeight="1" thickTop="1">
      <c r="A315" s="493" t="s">
        <v>104</v>
      </c>
      <c r="B315" s="499" t="s">
        <v>104</v>
      </c>
      <c r="C315" s="538"/>
      <c r="D315" s="593"/>
      <c r="E315" s="647"/>
      <c r="F315" s="649"/>
      <c r="G315" s="648"/>
      <c r="H315" s="647"/>
      <c r="I315" s="649"/>
      <c r="J315" s="648"/>
      <c r="K315" s="647"/>
      <c r="L315" s="649"/>
      <c r="M315" s="525"/>
      <c r="N315" s="527"/>
      <c r="O315" s="648"/>
      <c r="P315" s="647"/>
      <c r="Q315" s="649"/>
      <c r="R315" s="525"/>
      <c r="S315" s="528"/>
      <c r="T315" s="504"/>
      <c r="U315" s="504"/>
      <c r="V315" s="504"/>
      <c r="W315" s="504"/>
      <c r="X315" s="504"/>
      <c r="Y315" s="504"/>
      <c r="Z315" s="504"/>
      <c r="AA315" s="504"/>
      <c r="AB315" s="504"/>
      <c r="AC315" s="504"/>
      <c r="AD315" s="504"/>
      <c r="AE315" s="504"/>
      <c r="AF315" s="504"/>
      <c r="AG315" s="504"/>
      <c r="AH315" s="504"/>
      <c r="AI315" s="504"/>
      <c r="AJ315" s="504"/>
      <c r="AK315" s="504"/>
      <c r="AL315" s="504"/>
      <c r="AM315" s="504"/>
      <c r="AN315" s="504"/>
    </row>
    <row r="316" spans="1:40" ht="15.75" customHeight="1">
      <c r="A316" s="493" t="s">
        <v>422</v>
      </c>
      <c r="B316" s="499" t="s">
        <v>104</v>
      </c>
      <c r="C316" s="80" t="s">
        <v>31</v>
      </c>
      <c r="D316" s="504"/>
      <c r="E316" s="504"/>
      <c r="F316" s="545"/>
      <c r="G316" s="525"/>
      <c r="H316" s="504"/>
      <c r="I316" s="545"/>
      <c r="J316" s="525"/>
      <c r="K316" s="504"/>
      <c r="L316" s="524"/>
      <c r="M316" s="525"/>
      <c r="N316" s="524"/>
      <c r="O316" s="525"/>
      <c r="P316" s="504"/>
      <c r="Q316" s="524"/>
      <c r="R316" s="525"/>
      <c r="S316" s="547"/>
      <c r="T316" s="504"/>
      <c r="U316" s="504"/>
      <c r="V316" s="504"/>
      <c r="W316" s="504"/>
      <c r="X316" s="504"/>
      <c r="Y316" s="504"/>
      <c r="Z316" s="504"/>
      <c r="AA316" s="504"/>
      <c r="AB316" s="504"/>
      <c r="AC316" s="504"/>
      <c r="AD316" s="504"/>
      <c r="AE316" s="504"/>
      <c r="AF316" s="504"/>
      <c r="AG316" s="504"/>
      <c r="AH316" s="504"/>
      <c r="AI316" s="504"/>
      <c r="AJ316" s="504"/>
      <c r="AK316" s="504"/>
      <c r="AL316" s="504"/>
      <c r="AM316" s="504"/>
      <c r="AN316" s="504"/>
    </row>
    <row r="317" spans="1:40" ht="15.75" customHeight="1">
      <c r="A317" s="493" t="s">
        <v>423</v>
      </c>
      <c r="B317" s="499" t="s">
        <v>104</v>
      </c>
      <c r="C317" s="585" t="s">
        <v>42</v>
      </c>
      <c r="D317" s="504"/>
      <c r="E317" s="504"/>
      <c r="F317" s="514">
        <v>2606.4352490421456</v>
      </c>
      <c r="G317" s="525"/>
      <c r="H317" s="504"/>
      <c r="I317" s="514">
        <v>2606.4352490421456</v>
      </c>
      <c r="J317" s="525"/>
      <c r="K317" s="504"/>
      <c r="L317" s="517">
        <v>-6851</v>
      </c>
      <c r="M317" s="525"/>
      <c r="N317" s="545">
        <v>-9457.4352490421461</v>
      </c>
      <c r="O317" s="525"/>
      <c r="P317" s="504"/>
      <c r="Q317" s="517">
        <v>5861.34</v>
      </c>
      <c r="R317" s="525"/>
      <c r="S317" s="518">
        <v>-12712.34</v>
      </c>
      <c r="T317" s="504"/>
      <c r="U317" s="504"/>
      <c r="V317" s="504"/>
      <c r="W317" s="504"/>
      <c r="X317" s="504"/>
      <c r="Y317" s="504"/>
      <c r="Z317" s="504"/>
      <c r="AA317" s="504"/>
      <c r="AB317" s="504"/>
      <c r="AC317" s="504"/>
      <c r="AD317" s="504"/>
      <c r="AE317" s="504"/>
      <c r="AF317" s="504"/>
      <c r="AG317" s="504"/>
      <c r="AH317" s="504"/>
      <c r="AI317" s="504"/>
      <c r="AJ317" s="504"/>
      <c r="AK317" s="504"/>
      <c r="AL317" s="504"/>
      <c r="AM317" s="504"/>
      <c r="AN317" s="504"/>
    </row>
    <row r="318" spans="1:40" ht="15.75" customHeight="1">
      <c r="A318" s="493" t="s">
        <v>424</v>
      </c>
      <c r="B318" s="499" t="s">
        <v>104</v>
      </c>
      <c r="C318" s="586" t="s">
        <v>43</v>
      </c>
      <c r="D318" s="82"/>
      <c r="E318" s="504"/>
      <c r="F318" s="508">
        <v>4365.3456786819925</v>
      </c>
      <c r="G318" s="84"/>
      <c r="H318" s="504"/>
      <c r="I318" s="508">
        <v>4365.3456786819925</v>
      </c>
      <c r="J318" s="525"/>
      <c r="K318" s="504"/>
      <c r="L318" s="517">
        <v>3328.54</v>
      </c>
      <c r="M318" s="525"/>
      <c r="N318" s="545">
        <v>-1036.8056786819925</v>
      </c>
      <c r="O318" s="525"/>
      <c r="P318" s="504"/>
      <c r="Q318" s="517">
        <v>4362.93</v>
      </c>
      <c r="R318" s="525"/>
      <c r="S318" s="567">
        <v>-1034.3900000000003</v>
      </c>
      <c r="T318" s="504"/>
      <c r="U318" s="504"/>
      <c r="V318" s="504"/>
      <c r="W318" s="504"/>
      <c r="X318" s="504"/>
      <c r="Y318" s="504"/>
      <c r="Z318" s="504"/>
      <c r="AA318" s="504"/>
      <c r="AB318" s="504"/>
      <c r="AC318" s="504"/>
      <c r="AD318" s="504"/>
      <c r="AE318" s="504"/>
      <c r="AF318" s="504"/>
      <c r="AG318" s="504"/>
      <c r="AH318" s="504"/>
      <c r="AI318" s="504"/>
      <c r="AJ318" s="504"/>
      <c r="AK318" s="504"/>
      <c r="AL318" s="504"/>
      <c r="AM318" s="504"/>
      <c r="AN318" s="504"/>
    </row>
    <row r="319" spans="1:40" ht="15.75" customHeight="1">
      <c r="A319" s="493" t="s">
        <v>425</v>
      </c>
      <c r="B319" s="499" t="s">
        <v>104</v>
      </c>
      <c r="C319" s="585" t="s">
        <v>44</v>
      </c>
      <c r="D319" s="107"/>
      <c r="E319" s="587"/>
      <c r="F319" s="514">
        <v>24550.484569134096</v>
      </c>
      <c r="G319" s="109"/>
      <c r="H319" s="587"/>
      <c r="I319" s="514">
        <v>24550.484569134096</v>
      </c>
      <c r="J319" s="588"/>
      <c r="K319" s="587"/>
      <c r="L319" s="589">
        <v>28524.34</v>
      </c>
      <c r="M319" s="588"/>
      <c r="N319" s="590">
        <v>3973.8554308659041</v>
      </c>
      <c r="O319" s="588"/>
      <c r="P319" s="587"/>
      <c r="Q319" s="589">
        <v>23595.43</v>
      </c>
      <c r="R319" s="588"/>
      <c r="S319" s="591">
        <v>4928.91</v>
      </c>
      <c r="T319" s="504"/>
      <c r="U319" s="704"/>
      <c r="V319" s="704"/>
      <c r="W319" s="504"/>
      <c r="X319" s="504"/>
      <c r="Y319" s="504"/>
      <c r="Z319" s="504"/>
      <c r="AA319" s="504"/>
      <c r="AB319" s="504"/>
      <c r="AC319" s="504"/>
      <c r="AD319" s="504"/>
      <c r="AE319" s="504"/>
      <c r="AF319" s="504"/>
      <c r="AG319" s="504"/>
      <c r="AH319" s="504"/>
      <c r="AI319" s="504"/>
      <c r="AJ319" s="504"/>
      <c r="AK319" s="504"/>
      <c r="AL319" s="504"/>
      <c r="AM319" s="504"/>
      <c r="AN319" s="504"/>
    </row>
    <row r="320" spans="1:40" ht="15.75" customHeight="1">
      <c r="A320" s="493" t="s">
        <v>426</v>
      </c>
      <c r="B320" s="499" t="s">
        <v>104</v>
      </c>
      <c r="C320" s="585" t="s">
        <v>45</v>
      </c>
      <c r="D320" s="82"/>
      <c r="E320" s="504"/>
      <c r="F320" s="514">
        <v>0</v>
      </c>
      <c r="G320" s="84"/>
      <c r="H320" s="504"/>
      <c r="I320" s="514">
        <v>0</v>
      </c>
      <c r="J320" s="525"/>
      <c r="K320" s="504"/>
      <c r="L320" s="517">
        <v>0</v>
      </c>
      <c r="M320" s="525"/>
      <c r="N320" s="545">
        <v>0</v>
      </c>
      <c r="O320" s="525"/>
      <c r="P320" s="504"/>
      <c r="Q320" s="517">
        <v>0</v>
      </c>
      <c r="R320" s="525"/>
      <c r="S320" s="567">
        <v>0</v>
      </c>
      <c r="T320" s="504"/>
      <c r="U320" s="504"/>
      <c r="V320" s="504"/>
      <c r="W320" s="504"/>
      <c r="X320" s="504"/>
      <c r="Y320" s="504"/>
      <c r="Z320" s="504"/>
      <c r="AA320" s="504"/>
      <c r="AB320" s="504"/>
      <c r="AC320" s="504"/>
      <c r="AD320" s="504"/>
      <c r="AE320" s="504"/>
      <c r="AF320" s="504"/>
      <c r="AG320" s="504"/>
      <c r="AH320" s="504"/>
      <c r="AI320" s="504"/>
      <c r="AJ320" s="504"/>
      <c r="AK320" s="504"/>
      <c r="AL320" s="504"/>
      <c r="AM320" s="504"/>
      <c r="AN320" s="504"/>
    </row>
    <row r="321" spans="1:40" ht="15.75" hidden="1" customHeight="1">
      <c r="A321" s="493" t="s">
        <v>413</v>
      </c>
      <c r="B321" s="499" t="s">
        <v>104</v>
      </c>
      <c r="C321" s="705" t="s">
        <v>21</v>
      </c>
      <c r="D321" s="82"/>
      <c r="E321" s="504"/>
      <c r="F321" s="514">
        <v>0</v>
      </c>
      <c r="G321" s="84"/>
      <c r="H321" s="504"/>
      <c r="I321" s="514">
        <v>0</v>
      </c>
      <c r="J321" s="525"/>
      <c r="K321" s="504"/>
      <c r="L321" s="517">
        <v>0</v>
      </c>
      <c r="M321" s="525"/>
      <c r="N321" s="545">
        <v>0</v>
      </c>
      <c r="O321" s="525"/>
      <c r="P321" s="504"/>
      <c r="Q321" s="517">
        <v>0</v>
      </c>
      <c r="R321" s="525"/>
      <c r="S321" s="567">
        <v>0</v>
      </c>
      <c r="T321" s="504"/>
      <c r="U321" s="504"/>
      <c r="V321" s="504"/>
      <c r="W321" s="504"/>
      <c r="X321" s="504"/>
      <c r="Y321" s="504"/>
      <c r="Z321" s="504"/>
      <c r="AA321" s="504"/>
      <c r="AB321" s="504"/>
      <c r="AC321" s="504"/>
      <c r="AD321" s="504"/>
      <c r="AE321" s="504"/>
      <c r="AF321" s="504"/>
      <c r="AG321" s="504"/>
      <c r="AH321" s="504"/>
      <c r="AI321" s="504"/>
      <c r="AJ321" s="504"/>
      <c r="AK321" s="504"/>
      <c r="AL321" s="504"/>
      <c r="AM321" s="504"/>
      <c r="AN321" s="504"/>
    </row>
    <row r="322" spans="1:40" ht="15.75" hidden="1" customHeight="1">
      <c r="A322" s="493" t="s">
        <v>413</v>
      </c>
      <c r="B322" s="499" t="s">
        <v>104</v>
      </c>
      <c r="C322" s="705" t="s">
        <v>21</v>
      </c>
      <c r="D322" s="82"/>
      <c r="E322" s="504"/>
      <c r="F322" s="514">
        <v>0</v>
      </c>
      <c r="G322" s="84"/>
      <c r="H322" s="504"/>
      <c r="I322" s="514">
        <v>0</v>
      </c>
      <c r="J322" s="525"/>
      <c r="K322" s="504"/>
      <c r="L322" s="517">
        <v>0</v>
      </c>
      <c r="M322" s="525"/>
      <c r="N322" s="545">
        <v>0</v>
      </c>
      <c r="O322" s="525"/>
      <c r="P322" s="504"/>
      <c r="Q322" s="517">
        <v>0</v>
      </c>
      <c r="R322" s="525"/>
      <c r="S322" s="567">
        <v>0</v>
      </c>
      <c r="T322" s="504"/>
      <c r="U322" s="504"/>
      <c r="V322" s="504"/>
      <c r="W322" s="504"/>
      <c r="X322" s="504"/>
      <c r="Y322" s="504"/>
      <c r="Z322" s="504"/>
      <c r="AA322" s="504"/>
      <c r="AB322" s="504"/>
      <c r="AC322" s="504"/>
      <c r="AD322" s="504"/>
      <c r="AE322" s="504"/>
      <c r="AF322" s="504"/>
      <c r="AG322" s="504"/>
      <c r="AH322" s="504"/>
      <c r="AI322" s="504"/>
      <c r="AJ322" s="504"/>
      <c r="AK322" s="504"/>
      <c r="AL322" s="504"/>
      <c r="AM322" s="504"/>
      <c r="AN322" s="504"/>
    </row>
    <row r="323" spans="1:40" ht="15.75" hidden="1" customHeight="1">
      <c r="A323" s="493" t="s">
        <v>413</v>
      </c>
      <c r="B323" s="499" t="s">
        <v>104</v>
      </c>
      <c r="C323" s="705" t="s">
        <v>21</v>
      </c>
      <c r="D323" s="82"/>
      <c r="E323" s="504"/>
      <c r="F323" s="514">
        <v>0</v>
      </c>
      <c r="G323" s="84"/>
      <c r="H323" s="504"/>
      <c r="I323" s="514">
        <v>0</v>
      </c>
      <c r="J323" s="525"/>
      <c r="K323" s="504"/>
      <c r="L323" s="517">
        <v>0</v>
      </c>
      <c r="M323" s="525"/>
      <c r="N323" s="545">
        <v>0</v>
      </c>
      <c r="O323" s="525"/>
      <c r="P323" s="504"/>
      <c r="Q323" s="517">
        <v>0</v>
      </c>
      <c r="R323" s="525"/>
      <c r="S323" s="567">
        <v>0</v>
      </c>
      <c r="T323" s="504"/>
      <c r="U323" s="504"/>
      <c r="V323" s="504"/>
      <c r="W323" s="504"/>
      <c r="X323" s="504"/>
      <c r="Y323" s="504"/>
      <c r="Z323" s="504"/>
      <c r="AA323" s="504"/>
      <c r="AB323" s="504"/>
      <c r="AC323" s="504"/>
      <c r="AD323" s="504"/>
      <c r="AE323" s="504"/>
      <c r="AF323" s="504"/>
      <c r="AG323" s="504"/>
      <c r="AH323" s="504"/>
      <c r="AI323" s="504"/>
      <c r="AJ323" s="504"/>
      <c r="AK323" s="504"/>
      <c r="AL323" s="504"/>
      <c r="AM323" s="504"/>
      <c r="AN323" s="504"/>
    </row>
    <row r="324" spans="1:40" ht="15.75" customHeight="1">
      <c r="A324" s="493" t="s">
        <v>427</v>
      </c>
      <c r="B324" s="499" t="s">
        <v>104</v>
      </c>
      <c r="C324" s="586" t="s">
        <v>46</v>
      </c>
      <c r="D324" s="82"/>
      <c r="E324" s="504"/>
      <c r="F324" s="508">
        <v>3943.0674077405433</v>
      </c>
      <c r="G324" s="84"/>
      <c r="H324" s="504"/>
      <c r="I324" s="508">
        <v>3943.0674077405433</v>
      </c>
      <c r="J324" s="525"/>
      <c r="K324" s="504"/>
      <c r="L324" s="517">
        <v>3911.29</v>
      </c>
      <c r="M324" s="525"/>
      <c r="N324" s="545">
        <v>-31.777407740543367</v>
      </c>
      <c r="O324" s="525"/>
      <c r="P324" s="504"/>
      <c r="Q324" s="517">
        <v>3534.98</v>
      </c>
      <c r="R324" s="525"/>
      <c r="S324" s="567">
        <v>376.30999999999995</v>
      </c>
      <c r="T324" s="504"/>
      <c r="U324" s="504"/>
      <c r="V324" s="504"/>
      <c r="W324" s="504"/>
      <c r="X324" s="504"/>
      <c r="Y324" s="504"/>
      <c r="Z324" s="504"/>
      <c r="AA324" s="504"/>
      <c r="AB324" s="504"/>
      <c r="AC324" s="504"/>
      <c r="AD324" s="504"/>
      <c r="AE324" s="504"/>
      <c r="AF324" s="504"/>
      <c r="AG324" s="504"/>
      <c r="AH324" s="504"/>
      <c r="AI324" s="504"/>
      <c r="AJ324" s="504"/>
      <c r="AK324" s="504"/>
      <c r="AL324" s="504"/>
      <c r="AM324" s="504"/>
      <c r="AN324" s="504"/>
    </row>
    <row r="325" spans="1:40" ht="15.75" customHeight="1">
      <c r="A325" s="493" t="s">
        <v>428</v>
      </c>
      <c r="B325" s="499" t="s">
        <v>104</v>
      </c>
      <c r="C325" s="585" t="s">
        <v>47</v>
      </c>
      <c r="D325" s="107"/>
      <c r="E325" s="587"/>
      <c r="F325" s="514">
        <v>3531.4210506315403</v>
      </c>
      <c r="G325" s="109"/>
      <c r="H325" s="587"/>
      <c r="I325" s="514">
        <v>3531.4210506315403</v>
      </c>
      <c r="J325" s="588"/>
      <c r="K325" s="587"/>
      <c r="L325" s="589">
        <v>62.17</v>
      </c>
      <c r="M325" s="588"/>
      <c r="N325" s="590">
        <v>-3469.2510506315402</v>
      </c>
      <c r="O325" s="588"/>
      <c r="P325" s="587"/>
      <c r="Q325" s="589">
        <v>45.44</v>
      </c>
      <c r="R325" s="588"/>
      <c r="S325" s="591">
        <v>16.730000000000004</v>
      </c>
      <c r="T325" s="504"/>
      <c r="U325" s="504"/>
      <c r="V325" s="504"/>
      <c r="W325" s="504"/>
      <c r="X325" s="504"/>
      <c r="Y325" s="504"/>
      <c r="Z325" s="504"/>
      <c r="AA325" s="504"/>
      <c r="AB325" s="504"/>
      <c r="AC325" s="504"/>
      <c r="AD325" s="504"/>
      <c r="AE325" s="504"/>
      <c r="AF325" s="504"/>
      <c r="AG325" s="504"/>
      <c r="AH325" s="504"/>
      <c r="AI325" s="504"/>
      <c r="AJ325" s="504"/>
      <c r="AK325" s="504"/>
      <c r="AL325" s="504"/>
      <c r="AM325" s="504"/>
      <c r="AN325" s="504"/>
    </row>
    <row r="326" spans="1:40" ht="15.75" customHeight="1">
      <c r="A326" s="493" t="s">
        <v>429</v>
      </c>
      <c r="B326" s="499" t="s">
        <v>104</v>
      </c>
      <c r="C326" s="585" t="s">
        <v>48</v>
      </c>
      <c r="D326" s="82"/>
      <c r="E326" s="504"/>
      <c r="F326" s="514">
        <v>2804.3637755015175</v>
      </c>
      <c r="G326" s="84"/>
      <c r="H326" s="504"/>
      <c r="I326" s="514">
        <v>2804.3637755015175</v>
      </c>
      <c r="J326" s="525"/>
      <c r="K326" s="504"/>
      <c r="L326" s="517">
        <v>6946.48</v>
      </c>
      <c r="M326" s="525"/>
      <c r="N326" s="545">
        <v>4142.1162244984826</v>
      </c>
      <c r="O326" s="525"/>
      <c r="P326" s="504"/>
      <c r="Q326" s="517">
        <v>2652.84</v>
      </c>
      <c r="R326" s="525"/>
      <c r="S326" s="567">
        <v>4293.6399999999994</v>
      </c>
      <c r="T326" s="504"/>
      <c r="U326" s="504"/>
      <c r="V326" s="504"/>
      <c r="W326" s="504"/>
      <c r="X326" s="504"/>
      <c r="Y326" s="504"/>
      <c r="Z326" s="504"/>
      <c r="AA326" s="504"/>
      <c r="AB326" s="504"/>
      <c r="AC326" s="504"/>
      <c r="AD326" s="504"/>
      <c r="AE326" s="504"/>
      <c r="AF326" s="504"/>
      <c r="AG326" s="504"/>
      <c r="AH326" s="504"/>
      <c r="AI326" s="504"/>
      <c r="AJ326" s="504"/>
      <c r="AK326" s="504"/>
      <c r="AL326" s="504"/>
      <c r="AM326" s="504"/>
      <c r="AN326" s="504"/>
    </row>
    <row r="327" spans="1:40" ht="15.75" customHeight="1">
      <c r="A327" s="493" t="s">
        <v>430</v>
      </c>
      <c r="B327" s="499" t="s">
        <v>104</v>
      </c>
      <c r="C327" s="585" t="s">
        <v>49</v>
      </c>
      <c r="D327" s="82"/>
      <c r="E327" s="504"/>
      <c r="F327" s="514">
        <v>1142.5185752043219</v>
      </c>
      <c r="G327" s="84"/>
      <c r="H327" s="504"/>
      <c r="I327" s="514">
        <v>1142.5185752043219</v>
      </c>
      <c r="J327" s="525"/>
      <c r="K327" s="504"/>
      <c r="L327" s="517">
        <v>8711.9599999999991</v>
      </c>
      <c r="M327" s="525"/>
      <c r="N327" s="545">
        <v>7569.4414247956774</v>
      </c>
      <c r="O327" s="525"/>
      <c r="P327" s="504"/>
      <c r="Q327" s="517">
        <v>4273.130000000001</v>
      </c>
      <c r="R327" s="525"/>
      <c r="S327" s="567">
        <v>4438.8299999999981</v>
      </c>
      <c r="T327" s="504"/>
      <c r="U327" s="504"/>
      <c r="V327" s="504"/>
      <c r="W327" s="504"/>
      <c r="X327" s="504"/>
      <c r="Y327" s="504"/>
      <c r="Z327" s="504"/>
      <c r="AA327" s="504"/>
      <c r="AB327" s="504"/>
      <c r="AC327" s="504"/>
      <c r="AD327" s="504"/>
      <c r="AE327" s="504"/>
      <c r="AF327" s="504"/>
      <c r="AG327" s="504"/>
      <c r="AH327" s="504"/>
      <c r="AI327" s="504"/>
      <c r="AJ327" s="504"/>
      <c r="AK327" s="504"/>
      <c r="AL327" s="504"/>
      <c r="AM327" s="504"/>
      <c r="AN327" s="504"/>
    </row>
    <row r="328" spans="1:40" ht="15.75" hidden="1" customHeight="1">
      <c r="A328" s="493" t="s">
        <v>413</v>
      </c>
      <c r="B328" s="499" t="s">
        <v>104</v>
      </c>
      <c r="C328" s="513" t="s">
        <v>21</v>
      </c>
      <c r="D328" s="89"/>
      <c r="E328" s="592"/>
      <c r="F328" s="514">
        <v>0</v>
      </c>
      <c r="G328" s="91"/>
      <c r="H328" s="592"/>
      <c r="I328" s="514">
        <v>0</v>
      </c>
      <c r="J328" s="509"/>
      <c r="K328" s="592"/>
      <c r="L328" s="517">
        <v>0</v>
      </c>
      <c r="M328" s="509"/>
      <c r="N328" s="573">
        <v>0</v>
      </c>
      <c r="O328" s="509"/>
      <c r="P328" s="592"/>
      <c r="Q328" s="517">
        <v>0</v>
      </c>
      <c r="R328" s="509"/>
      <c r="S328" s="574">
        <v>0</v>
      </c>
      <c r="T328" s="504"/>
      <c r="U328" s="504"/>
      <c r="V328" s="504"/>
      <c r="W328" s="504"/>
      <c r="X328" s="504"/>
      <c r="Y328" s="504"/>
      <c r="Z328" s="504"/>
      <c r="AA328" s="504"/>
      <c r="AB328" s="504"/>
      <c r="AC328" s="504"/>
      <c r="AD328" s="504"/>
      <c r="AE328" s="504"/>
      <c r="AF328" s="504"/>
      <c r="AG328" s="504"/>
      <c r="AH328" s="504"/>
      <c r="AI328" s="504"/>
      <c r="AJ328" s="504"/>
      <c r="AK328" s="504"/>
      <c r="AL328" s="504"/>
      <c r="AM328" s="504"/>
      <c r="AN328" s="504"/>
    </row>
    <row r="329" spans="1:40" ht="15.75" customHeight="1">
      <c r="A329" s="493" t="s">
        <v>431</v>
      </c>
      <c r="B329" s="499" t="s">
        <v>104</v>
      </c>
      <c r="C329" s="578" t="s">
        <v>50</v>
      </c>
      <c r="D329" s="97" t="s">
        <v>40</v>
      </c>
      <c r="E329" s="579">
        <v>0.35800402556940442</v>
      </c>
      <c r="F329" s="580">
        <v>42943.636305936161</v>
      </c>
      <c r="G329" s="100" t="s">
        <v>40</v>
      </c>
      <c r="H329" s="579">
        <v>0.35800402556940442</v>
      </c>
      <c r="I329" s="580">
        <v>42943.636305936161</v>
      </c>
      <c r="J329" s="100" t="s">
        <v>40</v>
      </c>
      <c r="K329" s="579">
        <v>0.3521670602797719</v>
      </c>
      <c r="L329" s="580">
        <v>44633.78</v>
      </c>
      <c r="M329" s="621"/>
      <c r="N329" s="594">
        <v>1690.1436940638378</v>
      </c>
      <c r="O329" s="100" t="s">
        <v>40</v>
      </c>
      <c r="P329" s="579">
        <v>0.44955430056446216</v>
      </c>
      <c r="Q329" s="580">
        <v>44326.090000000011</v>
      </c>
      <c r="R329" s="621"/>
      <c r="S329" s="595">
        <v>307.68999999998778</v>
      </c>
      <c r="T329" s="504"/>
      <c r="U329" s="504"/>
      <c r="V329" s="504"/>
      <c r="W329" s="504"/>
      <c r="X329" s="504"/>
      <c r="Y329" s="504"/>
      <c r="Z329" s="504"/>
      <c r="AA329" s="504"/>
      <c r="AB329" s="504"/>
      <c r="AC329" s="504"/>
      <c r="AD329" s="504"/>
      <c r="AE329" s="504"/>
      <c r="AF329" s="504"/>
      <c r="AG329" s="504"/>
      <c r="AH329" s="504"/>
      <c r="AI329" s="504"/>
      <c r="AJ329" s="504"/>
      <c r="AK329" s="504"/>
      <c r="AL329" s="504"/>
      <c r="AM329" s="504"/>
      <c r="AN329" s="504"/>
    </row>
    <row r="330" spans="1:40" ht="15.75" customHeight="1">
      <c r="A330" s="493" t="s">
        <v>432</v>
      </c>
      <c r="B330" s="499" t="s">
        <v>104</v>
      </c>
      <c r="C330" s="686" t="s">
        <v>51</v>
      </c>
      <c r="D330" s="82"/>
      <c r="E330" s="504"/>
      <c r="F330" s="514">
        <v>3725.4874999999997</v>
      </c>
      <c r="G330" s="84"/>
      <c r="H330" s="504"/>
      <c r="I330" s="514">
        <v>3725.4874999999997</v>
      </c>
      <c r="J330" s="525"/>
      <c r="K330" s="504"/>
      <c r="L330" s="517">
        <v>2308.39</v>
      </c>
      <c r="M330" s="525"/>
      <c r="N330" s="545">
        <v>-1417.0974999999999</v>
      </c>
      <c r="O330" s="525"/>
      <c r="P330" s="504"/>
      <c r="Q330" s="517">
        <v>3940.17</v>
      </c>
      <c r="R330" s="525"/>
      <c r="S330" s="567">
        <v>-1631.7800000000002</v>
      </c>
      <c r="T330" s="504"/>
      <c r="U330" s="504"/>
      <c r="V330" s="504"/>
      <c r="W330" s="504"/>
      <c r="X330" s="504"/>
      <c r="Y330" s="504"/>
      <c r="Z330" s="504"/>
      <c r="AA330" s="504"/>
      <c r="AB330" s="504"/>
      <c r="AC330" s="504"/>
      <c r="AD330" s="504"/>
      <c r="AE330" s="504"/>
      <c r="AF330" s="504"/>
      <c r="AG330" s="504"/>
      <c r="AH330" s="504"/>
      <c r="AI330" s="504"/>
      <c r="AJ330" s="504"/>
      <c r="AK330" s="504"/>
      <c r="AL330" s="504"/>
      <c r="AM330" s="504"/>
      <c r="AN330" s="504"/>
    </row>
    <row r="331" spans="1:40" ht="15.75" customHeight="1">
      <c r="A331" s="493" t="s">
        <v>433</v>
      </c>
      <c r="B331" s="499" t="s">
        <v>104</v>
      </c>
      <c r="C331" s="585" t="s">
        <v>52</v>
      </c>
      <c r="D331" s="82"/>
      <c r="E331" s="504"/>
      <c r="F331" s="514">
        <v>615.56991667886973</v>
      </c>
      <c r="G331" s="84"/>
      <c r="H331" s="504"/>
      <c r="I331" s="514">
        <v>615.56991667886973</v>
      </c>
      <c r="J331" s="525"/>
      <c r="K331" s="504"/>
      <c r="L331" s="517">
        <v>478.93</v>
      </c>
      <c r="M331" s="525"/>
      <c r="N331" s="545">
        <v>-136.63991667886972</v>
      </c>
      <c r="O331" s="525"/>
      <c r="P331" s="504"/>
      <c r="Q331" s="517">
        <v>0</v>
      </c>
      <c r="R331" s="525"/>
      <c r="S331" s="567">
        <v>478.93</v>
      </c>
      <c r="T331" s="504"/>
      <c r="U331" s="504"/>
      <c r="V331" s="504"/>
      <c r="W331" s="504"/>
      <c r="X331" s="504"/>
      <c r="Y331" s="504"/>
      <c r="Z331" s="504"/>
      <c r="AA331" s="504"/>
      <c r="AB331" s="504"/>
      <c r="AC331" s="504"/>
      <c r="AD331" s="504"/>
      <c r="AE331" s="504"/>
      <c r="AF331" s="504"/>
      <c r="AG331" s="504"/>
      <c r="AH331" s="504"/>
      <c r="AI331" s="504"/>
      <c r="AJ331" s="504"/>
      <c r="AK331" s="504"/>
      <c r="AL331" s="504"/>
      <c r="AM331" s="504"/>
      <c r="AN331" s="504"/>
    </row>
    <row r="332" spans="1:40" ht="15.75" customHeight="1">
      <c r="A332" s="493" t="s">
        <v>434</v>
      </c>
      <c r="B332" s="499" t="s">
        <v>104</v>
      </c>
      <c r="C332" s="586" t="s">
        <v>53</v>
      </c>
      <c r="D332" s="89"/>
      <c r="E332" s="592"/>
      <c r="F332" s="508">
        <v>433.5</v>
      </c>
      <c r="G332" s="91"/>
      <c r="H332" s="592"/>
      <c r="I332" s="508">
        <v>433.5</v>
      </c>
      <c r="J332" s="509"/>
      <c r="K332" s="592"/>
      <c r="L332" s="517">
        <v>728.05</v>
      </c>
      <c r="M332" s="509"/>
      <c r="N332" s="573">
        <v>294.54999999999995</v>
      </c>
      <c r="O332" s="509"/>
      <c r="P332" s="592"/>
      <c r="Q332" s="517">
        <v>297.88</v>
      </c>
      <c r="R332" s="509"/>
      <c r="S332" s="574">
        <v>430.16999999999996</v>
      </c>
      <c r="T332" s="504"/>
      <c r="U332" s="504"/>
      <c r="V332" s="504"/>
      <c r="W332" s="504"/>
      <c r="X332" s="504"/>
      <c r="Y332" s="504"/>
      <c r="Z332" s="504"/>
      <c r="AA332" s="504"/>
      <c r="AB332" s="504"/>
      <c r="AC332" s="504"/>
      <c r="AD332" s="504"/>
      <c r="AE332" s="504"/>
      <c r="AF332" s="504"/>
      <c r="AG332" s="504"/>
      <c r="AH332" s="504"/>
      <c r="AI332" s="504"/>
      <c r="AJ332" s="504"/>
      <c r="AK332" s="504"/>
      <c r="AL332" s="504"/>
      <c r="AM332" s="504"/>
      <c r="AN332" s="504"/>
    </row>
    <row r="333" spans="1:40" ht="15.75" customHeight="1">
      <c r="A333" s="493" t="s">
        <v>435</v>
      </c>
      <c r="B333" s="499" t="s">
        <v>104</v>
      </c>
      <c r="C333" s="585" t="s">
        <v>54</v>
      </c>
      <c r="D333" s="82"/>
      <c r="E333" s="504"/>
      <c r="F333" s="514">
        <v>3489.4852291666666</v>
      </c>
      <c r="G333" s="84"/>
      <c r="H333" s="504"/>
      <c r="I333" s="514">
        <v>3489.4852291666666</v>
      </c>
      <c r="J333" s="525"/>
      <c r="K333" s="504"/>
      <c r="L333" s="589">
        <v>3814.92</v>
      </c>
      <c r="M333" s="525"/>
      <c r="N333" s="545">
        <v>325.43477083333346</v>
      </c>
      <c r="O333" s="525"/>
      <c r="P333" s="504"/>
      <c r="Q333" s="589">
        <v>3646.53</v>
      </c>
      <c r="R333" s="525"/>
      <c r="S333" s="567">
        <v>168.38999999999987</v>
      </c>
      <c r="T333" s="504"/>
      <c r="U333" s="504"/>
      <c r="V333" s="504"/>
      <c r="W333" s="504"/>
      <c r="X333" s="504"/>
      <c r="Y333" s="504"/>
      <c r="Z333" s="504"/>
      <c r="AA333" s="504"/>
      <c r="AB333" s="504"/>
      <c r="AC333" s="504"/>
      <c r="AD333" s="504"/>
      <c r="AE333" s="504"/>
      <c r="AF333" s="504"/>
      <c r="AG333" s="504"/>
      <c r="AH333" s="504"/>
      <c r="AI333" s="504"/>
      <c r="AJ333" s="504"/>
      <c r="AK333" s="504"/>
      <c r="AL333" s="504"/>
      <c r="AM333" s="504"/>
      <c r="AN333" s="504"/>
    </row>
    <row r="334" spans="1:40" ht="15.75" customHeight="1">
      <c r="A334" s="493" t="s">
        <v>436</v>
      </c>
      <c r="B334" s="499" t="s">
        <v>104</v>
      </c>
      <c r="C334" s="585" t="s">
        <v>55</v>
      </c>
      <c r="D334" s="82"/>
      <c r="E334" s="504"/>
      <c r="F334" s="514">
        <v>618.86078125000006</v>
      </c>
      <c r="G334" s="84"/>
      <c r="H334" s="504"/>
      <c r="I334" s="514">
        <v>618.86078125000006</v>
      </c>
      <c r="J334" s="525"/>
      <c r="K334" s="504"/>
      <c r="L334" s="517">
        <v>1752.54</v>
      </c>
      <c r="M334" s="525"/>
      <c r="N334" s="545">
        <v>1133.67921875</v>
      </c>
      <c r="O334" s="525"/>
      <c r="P334" s="504"/>
      <c r="Q334" s="517">
        <v>478.48</v>
      </c>
      <c r="R334" s="525"/>
      <c r="S334" s="567">
        <v>1274.06</v>
      </c>
      <c r="T334" s="504"/>
      <c r="U334" s="504"/>
      <c r="V334" s="504"/>
      <c r="W334" s="504"/>
      <c r="X334" s="504"/>
      <c r="Y334" s="504"/>
      <c r="Z334" s="504"/>
      <c r="AA334" s="504"/>
      <c r="AB334" s="504"/>
      <c r="AC334" s="504"/>
      <c r="AD334" s="504"/>
      <c r="AE334" s="504"/>
      <c r="AF334" s="504"/>
      <c r="AG334" s="504"/>
      <c r="AH334" s="504"/>
      <c r="AI334" s="504"/>
      <c r="AJ334" s="504"/>
      <c r="AK334" s="504"/>
      <c r="AL334" s="504"/>
      <c r="AM334" s="504"/>
      <c r="AN334" s="504"/>
    </row>
    <row r="335" spans="1:40" ht="15.75" customHeight="1">
      <c r="A335" s="493" t="s">
        <v>437</v>
      </c>
      <c r="B335" s="499" t="s">
        <v>104</v>
      </c>
      <c r="C335" s="706" t="s">
        <v>56</v>
      </c>
      <c r="D335" s="89"/>
      <c r="E335" s="592"/>
      <c r="F335" s="508">
        <v>8215.5508888888889</v>
      </c>
      <c r="G335" s="91"/>
      <c r="H335" s="592"/>
      <c r="I335" s="508">
        <v>8215.5508888888889</v>
      </c>
      <c r="J335" s="509"/>
      <c r="K335" s="592"/>
      <c r="L335" s="532">
        <v>10357.98</v>
      </c>
      <c r="M335" s="509"/>
      <c r="N335" s="573">
        <v>2142.4291111111106</v>
      </c>
      <c r="O335" s="509"/>
      <c r="P335" s="592"/>
      <c r="Q335" s="532">
        <v>5740.51</v>
      </c>
      <c r="R335" s="509"/>
      <c r="S335" s="574">
        <v>4617.4699999999993</v>
      </c>
      <c r="T335" s="504"/>
      <c r="U335" s="504" t="s">
        <v>503</v>
      </c>
      <c r="V335" s="504"/>
      <c r="W335" s="504"/>
      <c r="X335" s="504"/>
      <c r="Y335" s="504"/>
      <c r="Z335" s="504"/>
      <c r="AA335" s="504"/>
      <c r="AB335" s="504"/>
      <c r="AC335" s="504"/>
      <c r="AD335" s="504"/>
      <c r="AE335" s="504"/>
      <c r="AF335" s="504"/>
      <c r="AG335" s="504"/>
      <c r="AH335" s="504"/>
      <c r="AI335" s="504"/>
      <c r="AJ335" s="504"/>
      <c r="AK335" s="504"/>
      <c r="AL335" s="504"/>
      <c r="AM335" s="504"/>
      <c r="AN335" s="504"/>
    </row>
    <row r="336" spans="1:40" ht="15.75" customHeight="1">
      <c r="A336" s="493" t="s">
        <v>438</v>
      </c>
      <c r="B336" s="499" t="s">
        <v>104</v>
      </c>
      <c r="C336" s="585" t="s">
        <v>99</v>
      </c>
      <c r="D336" s="82"/>
      <c r="E336" s="504"/>
      <c r="F336" s="514"/>
      <c r="G336" s="84"/>
      <c r="H336" s="504"/>
      <c r="I336" s="514"/>
      <c r="J336" s="525"/>
      <c r="K336" s="504"/>
      <c r="L336" s="517">
        <v>0</v>
      </c>
      <c r="M336" s="525"/>
      <c r="N336" s="545">
        <v>0</v>
      </c>
      <c r="O336" s="525"/>
      <c r="P336" s="504"/>
      <c r="Q336" s="517">
        <v>0</v>
      </c>
      <c r="R336" s="525"/>
      <c r="S336" s="567">
        <v>0</v>
      </c>
      <c r="T336" s="504"/>
      <c r="U336" s="504"/>
      <c r="V336" s="504"/>
      <c r="W336" s="504"/>
      <c r="X336" s="504"/>
      <c r="Y336" s="504"/>
      <c r="Z336" s="504"/>
      <c r="AA336" s="504"/>
      <c r="AB336" s="504"/>
      <c r="AC336" s="504"/>
      <c r="AD336" s="504"/>
      <c r="AE336" s="504"/>
      <c r="AF336" s="504"/>
      <c r="AG336" s="504"/>
      <c r="AH336" s="504"/>
      <c r="AI336" s="504"/>
      <c r="AJ336" s="504"/>
      <c r="AK336" s="504"/>
      <c r="AL336" s="504"/>
      <c r="AM336" s="504"/>
      <c r="AN336" s="504"/>
    </row>
    <row r="337" spans="1:40" ht="15.75" customHeight="1">
      <c r="A337" s="493" t="s">
        <v>439</v>
      </c>
      <c r="B337" s="499" t="s">
        <v>104</v>
      </c>
      <c r="C337" s="585" t="s">
        <v>57</v>
      </c>
      <c r="D337" s="82"/>
      <c r="E337" s="504"/>
      <c r="F337" s="514">
        <v>92.79037772039085</v>
      </c>
      <c r="G337" s="84"/>
      <c r="H337" s="504"/>
      <c r="I337" s="514">
        <v>92.79037772039085</v>
      </c>
      <c r="J337" s="525"/>
      <c r="K337" s="504"/>
      <c r="L337" s="517">
        <v>0</v>
      </c>
      <c r="M337" s="525"/>
      <c r="N337" s="545">
        <v>-92.79037772039085</v>
      </c>
      <c r="O337" s="525"/>
      <c r="P337" s="504"/>
      <c r="Q337" s="517">
        <v>58.53</v>
      </c>
      <c r="R337" s="525"/>
      <c r="S337" s="567">
        <v>-58.53</v>
      </c>
      <c r="T337" s="504"/>
      <c r="U337" s="504"/>
      <c r="V337" s="504"/>
      <c r="W337" s="504"/>
      <c r="X337" s="504"/>
      <c r="Y337" s="504"/>
      <c r="Z337" s="504"/>
      <c r="AA337" s="504"/>
      <c r="AB337" s="504"/>
      <c r="AC337" s="504"/>
      <c r="AD337" s="504"/>
      <c r="AE337" s="504"/>
      <c r="AF337" s="504"/>
      <c r="AG337" s="504"/>
      <c r="AH337" s="504"/>
      <c r="AI337" s="504"/>
      <c r="AJ337" s="504"/>
      <c r="AK337" s="504"/>
      <c r="AL337" s="504"/>
      <c r="AM337" s="504"/>
      <c r="AN337" s="504"/>
    </row>
    <row r="338" spans="1:40" ht="15.75" customHeight="1">
      <c r="A338" s="493" t="s">
        <v>440</v>
      </c>
      <c r="B338" s="499" t="s">
        <v>104</v>
      </c>
      <c r="C338" s="585" t="s">
        <v>58</v>
      </c>
      <c r="D338" s="82"/>
      <c r="E338" s="504"/>
      <c r="F338" s="514">
        <v>49.306367467405586</v>
      </c>
      <c r="G338" s="84"/>
      <c r="H338" s="504"/>
      <c r="I338" s="514">
        <v>49.306367467405586</v>
      </c>
      <c r="J338" s="525"/>
      <c r="K338" s="504"/>
      <c r="L338" s="517">
        <v>0</v>
      </c>
      <c r="M338" s="525"/>
      <c r="N338" s="545">
        <v>-49.306367467405586</v>
      </c>
      <c r="O338" s="525"/>
      <c r="P338" s="504"/>
      <c r="Q338" s="517">
        <v>0</v>
      </c>
      <c r="R338" s="525"/>
      <c r="S338" s="567">
        <v>0</v>
      </c>
      <c r="T338" s="504"/>
      <c r="U338" s="504"/>
      <c r="V338" s="504"/>
      <c r="W338" s="504"/>
      <c r="X338" s="504"/>
      <c r="Y338" s="504"/>
      <c r="Z338" s="504"/>
      <c r="AA338" s="504"/>
      <c r="AB338" s="504"/>
      <c r="AC338" s="504"/>
      <c r="AD338" s="504"/>
      <c r="AE338" s="504"/>
      <c r="AF338" s="504"/>
      <c r="AG338" s="504"/>
      <c r="AH338" s="504"/>
      <c r="AI338" s="504"/>
      <c r="AJ338" s="504"/>
      <c r="AK338" s="504"/>
      <c r="AL338" s="504"/>
      <c r="AM338" s="504"/>
      <c r="AN338" s="504"/>
    </row>
    <row r="339" spans="1:40" ht="15.75" customHeight="1">
      <c r="A339" s="493" t="s">
        <v>441</v>
      </c>
      <c r="B339" s="499" t="s">
        <v>104</v>
      </c>
      <c r="C339" s="585" t="s">
        <v>59</v>
      </c>
      <c r="D339" s="82"/>
      <c r="E339" s="504"/>
      <c r="F339" s="514">
        <v>510.05025000000001</v>
      </c>
      <c r="G339" s="84"/>
      <c r="H339" s="504"/>
      <c r="I339" s="514">
        <v>510.05025000000001</v>
      </c>
      <c r="J339" s="525"/>
      <c r="K339" s="504"/>
      <c r="L339" s="516">
        <v>369.16</v>
      </c>
      <c r="M339" s="525"/>
      <c r="N339" s="545">
        <v>-140.89024999999998</v>
      </c>
      <c r="O339" s="525"/>
      <c r="P339" s="504"/>
      <c r="Q339" s="516">
        <v>1034.04</v>
      </c>
      <c r="R339" s="525"/>
      <c r="S339" s="567">
        <v>-664.87999999999988</v>
      </c>
      <c r="T339" s="504"/>
      <c r="U339" s="504"/>
      <c r="V339" s="504"/>
      <c r="W339" s="504"/>
      <c r="X339" s="504"/>
      <c r="Y339" s="504"/>
      <c r="Z339" s="504"/>
      <c r="AA339" s="504"/>
      <c r="AB339" s="504"/>
      <c r="AC339" s="504"/>
      <c r="AD339" s="504"/>
      <c r="AE339" s="504"/>
      <c r="AF339" s="504"/>
      <c r="AG339" s="504"/>
      <c r="AH339" s="504"/>
      <c r="AI339" s="504"/>
      <c r="AJ339" s="504"/>
      <c r="AK339" s="504"/>
      <c r="AL339" s="504"/>
      <c r="AM339" s="504"/>
      <c r="AN339" s="504"/>
    </row>
    <row r="340" spans="1:40" ht="15.75" customHeight="1">
      <c r="A340" s="493" t="s">
        <v>442</v>
      </c>
      <c r="B340" s="499" t="s">
        <v>104</v>
      </c>
      <c r="C340" s="585" t="s">
        <v>60</v>
      </c>
      <c r="D340" s="82"/>
      <c r="E340" s="504"/>
      <c r="F340" s="514">
        <v>235.51916145833334</v>
      </c>
      <c r="G340" s="84"/>
      <c r="H340" s="504"/>
      <c r="I340" s="514">
        <v>235.51916145833334</v>
      </c>
      <c r="J340" s="525"/>
      <c r="K340" s="504"/>
      <c r="L340" s="517">
        <v>146.4</v>
      </c>
      <c r="M340" s="525"/>
      <c r="N340" s="545">
        <v>-89.119161458333338</v>
      </c>
      <c r="O340" s="525"/>
      <c r="P340" s="504"/>
      <c r="Q340" s="517">
        <v>101.15</v>
      </c>
      <c r="R340" s="525"/>
      <c r="S340" s="567">
        <v>45.25</v>
      </c>
      <c r="T340" s="504"/>
      <c r="U340" s="504"/>
      <c r="V340" s="504"/>
      <c r="W340" s="504"/>
      <c r="X340" s="504"/>
      <c r="Y340" s="504"/>
      <c r="Z340" s="504"/>
      <c r="AA340" s="504"/>
      <c r="AB340" s="504"/>
      <c r="AC340" s="504"/>
      <c r="AD340" s="504"/>
      <c r="AE340" s="504"/>
      <c r="AF340" s="504"/>
      <c r="AG340" s="504"/>
      <c r="AH340" s="504"/>
      <c r="AI340" s="504"/>
      <c r="AJ340" s="504"/>
      <c r="AK340" s="504"/>
      <c r="AL340" s="504"/>
      <c r="AM340" s="504"/>
      <c r="AN340" s="504"/>
    </row>
    <row r="341" spans="1:40" ht="15.75" customHeight="1">
      <c r="A341" s="493" t="s">
        <v>443</v>
      </c>
      <c r="B341" s="499" t="s">
        <v>104</v>
      </c>
      <c r="C341" s="585" t="s">
        <v>61</v>
      </c>
      <c r="D341" s="82"/>
      <c r="E341" s="504"/>
      <c r="F341" s="514">
        <v>125.71646354166664</v>
      </c>
      <c r="G341" s="84"/>
      <c r="H341" s="504"/>
      <c r="I341" s="514">
        <v>125.71646354166664</v>
      </c>
      <c r="J341" s="525"/>
      <c r="K341" s="504"/>
      <c r="L341" s="517">
        <v>83.02</v>
      </c>
      <c r="M341" s="525"/>
      <c r="N341" s="545">
        <v>-42.696463541666645</v>
      </c>
      <c r="O341" s="525"/>
      <c r="P341" s="504"/>
      <c r="Q341" s="517">
        <v>-47.98</v>
      </c>
      <c r="R341" s="525"/>
      <c r="S341" s="567">
        <v>131</v>
      </c>
      <c r="T341" s="504"/>
      <c r="U341" s="504"/>
      <c r="V341" s="504"/>
      <c r="W341" s="504"/>
      <c r="X341" s="504"/>
      <c r="Y341" s="504"/>
      <c r="Z341" s="504"/>
      <c r="AA341" s="504"/>
      <c r="AB341" s="504"/>
      <c r="AC341" s="504"/>
      <c r="AD341" s="504"/>
      <c r="AE341" s="504"/>
      <c r="AF341" s="504"/>
      <c r="AG341" s="504"/>
      <c r="AH341" s="504"/>
      <c r="AI341" s="504"/>
      <c r="AJ341" s="504"/>
      <c r="AK341" s="504"/>
      <c r="AL341" s="504"/>
      <c r="AM341" s="504"/>
      <c r="AN341" s="504"/>
    </row>
    <row r="342" spans="1:40" ht="15.75" customHeight="1">
      <c r="A342" s="493" t="s">
        <v>444</v>
      </c>
      <c r="B342" s="499" t="s">
        <v>104</v>
      </c>
      <c r="C342" s="585" t="s">
        <v>62</v>
      </c>
      <c r="D342" s="82"/>
      <c r="E342" s="504"/>
      <c r="F342" s="514">
        <v>606.4324947916665</v>
      </c>
      <c r="G342" s="84"/>
      <c r="H342" s="504"/>
      <c r="I342" s="514">
        <v>606.4324947916665</v>
      </c>
      <c r="J342" s="525"/>
      <c r="K342" s="504"/>
      <c r="L342" s="517">
        <v>186.16</v>
      </c>
      <c r="M342" s="525"/>
      <c r="N342" s="545">
        <v>-420.27249479166653</v>
      </c>
      <c r="O342" s="525"/>
      <c r="P342" s="504"/>
      <c r="Q342" s="517">
        <v>936.25</v>
      </c>
      <c r="R342" s="525"/>
      <c r="S342" s="567">
        <v>-750.09</v>
      </c>
      <c r="T342" s="504"/>
      <c r="U342" s="504"/>
      <c r="V342" s="504"/>
      <c r="W342" s="504"/>
      <c r="X342" s="504"/>
      <c r="Y342" s="504"/>
      <c r="Z342" s="504"/>
      <c r="AA342" s="504"/>
      <c r="AB342" s="504"/>
      <c r="AC342" s="504"/>
      <c r="AD342" s="504"/>
      <c r="AE342" s="504"/>
      <c r="AF342" s="504"/>
      <c r="AG342" s="504"/>
      <c r="AH342" s="504"/>
      <c r="AI342" s="504"/>
      <c r="AJ342" s="504"/>
      <c r="AK342" s="504"/>
      <c r="AL342" s="504"/>
      <c r="AM342" s="504"/>
      <c r="AN342" s="504"/>
    </row>
    <row r="343" spans="1:40" ht="15.75" customHeight="1">
      <c r="A343" s="493" t="s">
        <v>445</v>
      </c>
      <c r="B343" s="499" t="s">
        <v>104</v>
      </c>
      <c r="C343" s="585" t="s">
        <v>63</v>
      </c>
      <c r="D343" s="82"/>
      <c r="E343" s="504"/>
      <c r="F343" s="514">
        <v>900.98145833333331</v>
      </c>
      <c r="G343" s="84"/>
      <c r="H343" s="504"/>
      <c r="I343" s="514">
        <v>900.98145833333331</v>
      </c>
      <c r="J343" s="525"/>
      <c r="K343" s="504"/>
      <c r="L343" s="517">
        <v>395.32</v>
      </c>
      <c r="M343" s="525"/>
      <c r="N343" s="545">
        <v>-505.66145833333331</v>
      </c>
      <c r="O343" s="525"/>
      <c r="P343" s="504"/>
      <c r="Q343" s="517">
        <v>272.14</v>
      </c>
      <c r="R343" s="525"/>
      <c r="S343" s="567">
        <v>123.18</v>
      </c>
      <c r="T343" s="504"/>
      <c r="U343" s="504"/>
      <c r="V343" s="504"/>
      <c r="W343" s="504"/>
      <c r="X343" s="504"/>
      <c r="Y343" s="504"/>
      <c r="Z343" s="504"/>
      <c r="AA343" s="504"/>
      <c r="AB343" s="504"/>
      <c r="AC343" s="504"/>
      <c r="AD343" s="504"/>
      <c r="AE343" s="504"/>
      <c r="AF343" s="504"/>
      <c r="AG343" s="504"/>
      <c r="AH343" s="504"/>
      <c r="AI343" s="504"/>
      <c r="AJ343" s="504"/>
      <c r="AK343" s="504"/>
      <c r="AL343" s="504"/>
      <c r="AM343" s="504"/>
      <c r="AN343" s="504"/>
    </row>
    <row r="344" spans="1:40" ht="15.75" customHeight="1">
      <c r="A344" s="493" t="s">
        <v>446</v>
      </c>
      <c r="B344" s="499" t="s">
        <v>104</v>
      </c>
      <c r="C344" s="585" t="s">
        <v>64</v>
      </c>
      <c r="D344" s="82"/>
      <c r="E344" s="504"/>
      <c r="F344" s="514">
        <v>1546.1820231195743</v>
      </c>
      <c r="G344" s="84"/>
      <c r="H344" s="504"/>
      <c r="I344" s="514">
        <v>1546.1820231195743</v>
      </c>
      <c r="J344" s="525"/>
      <c r="K344" s="504"/>
      <c r="L344" s="516">
        <v>1362.222</v>
      </c>
      <c r="M344" s="525"/>
      <c r="N344" s="545">
        <v>-183.96002311957432</v>
      </c>
      <c r="O344" s="525"/>
      <c r="P344" s="504"/>
      <c r="Q344" s="517">
        <v>1379.0420000000001</v>
      </c>
      <c r="R344" s="525"/>
      <c r="S344" s="567">
        <v>-16.820000000000164</v>
      </c>
      <c r="T344" s="504"/>
      <c r="U344" s="504"/>
      <c r="V344" s="504"/>
      <c r="W344" s="504"/>
      <c r="X344" s="504"/>
      <c r="Y344" s="504"/>
      <c r="Z344" s="504"/>
      <c r="AA344" s="504"/>
      <c r="AB344" s="504"/>
      <c r="AC344" s="504"/>
      <c r="AD344" s="504"/>
      <c r="AE344" s="504"/>
      <c r="AF344" s="504"/>
      <c r="AG344" s="504"/>
      <c r="AH344" s="504"/>
      <c r="AI344" s="504"/>
      <c r="AJ344" s="504"/>
      <c r="AK344" s="504"/>
      <c r="AL344" s="504"/>
      <c r="AM344" s="504"/>
      <c r="AN344" s="504"/>
    </row>
    <row r="345" spans="1:40" ht="15.75" hidden="1" customHeight="1">
      <c r="A345" s="493" t="s">
        <v>413</v>
      </c>
      <c r="B345" s="499" t="s">
        <v>104</v>
      </c>
      <c r="C345" s="585" t="s">
        <v>21</v>
      </c>
      <c r="D345" s="82"/>
      <c r="E345" s="504"/>
      <c r="F345" s="514">
        <v>0</v>
      </c>
      <c r="G345" s="84"/>
      <c r="H345" s="504"/>
      <c r="I345" s="514">
        <v>0</v>
      </c>
      <c r="J345" s="525"/>
      <c r="K345" s="504"/>
      <c r="L345" s="517">
        <v>0</v>
      </c>
      <c r="M345" s="525"/>
      <c r="N345" s="545">
        <v>0</v>
      </c>
      <c r="O345" s="525"/>
      <c r="P345" s="504"/>
      <c r="Q345" s="517">
        <v>0</v>
      </c>
      <c r="R345" s="525"/>
      <c r="S345" s="567">
        <v>0</v>
      </c>
      <c r="T345" s="504"/>
      <c r="U345" s="504"/>
      <c r="V345" s="504"/>
      <c r="W345" s="504"/>
      <c r="X345" s="504"/>
      <c r="Y345" s="504"/>
      <c r="Z345" s="504"/>
      <c r="AA345" s="504"/>
      <c r="AB345" s="504"/>
      <c r="AC345" s="504"/>
      <c r="AD345" s="504"/>
      <c r="AE345" s="504"/>
      <c r="AF345" s="504"/>
      <c r="AG345" s="504"/>
      <c r="AH345" s="504"/>
      <c r="AI345" s="504"/>
      <c r="AJ345" s="504"/>
      <c r="AK345" s="504"/>
      <c r="AL345" s="504"/>
      <c r="AM345" s="504"/>
      <c r="AN345" s="504"/>
    </row>
    <row r="346" spans="1:40" ht="15.75" hidden="1" customHeight="1">
      <c r="A346" s="493" t="s">
        <v>413</v>
      </c>
      <c r="B346" s="499" t="s">
        <v>104</v>
      </c>
      <c r="C346" s="585" t="s">
        <v>21</v>
      </c>
      <c r="D346" s="82"/>
      <c r="E346" s="504"/>
      <c r="F346" s="514">
        <v>0</v>
      </c>
      <c r="G346" s="84"/>
      <c r="H346" s="504"/>
      <c r="I346" s="514">
        <v>0</v>
      </c>
      <c r="J346" s="525"/>
      <c r="K346" s="504"/>
      <c r="L346" s="517">
        <v>0</v>
      </c>
      <c r="M346" s="525"/>
      <c r="N346" s="545">
        <v>0</v>
      </c>
      <c r="O346" s="525"/>
      <c r="P346" s="504"/>
      <c r="Q346" s="517">
        <v>0</v>
      </c>
      <c r="R346" s="525"/>
      <c r="S346" s="567">
        <v>0</v>
      </c>
      <c r="T346" s="504"/>
      <c r="U346" s="504"/>
      <c r="V346" s="504"/>
      <c r="W346" s="504"/>
      <c r="X346" s="504"/>
      <c r="Y346" s="504"/>
      <c r="Z346" s="504"/>
      <c r="AA346" s="504"/>
      <c r="AB346" s="504"/>
      <c r="AC346" s="504"/>
      <c r="AD346" s="504"/>
      <c r="AE346" s="504"/>
      <c r="AF346" s="504"/>
      <c r="AG346" s="504"/>
      <c r="AH346" s="504"/>
      <c r="AI346" s="504"/>
      <c r="AJ346" s="504"/>
      <c r="AK346" s="504"/>
      <c r="AL346" s="504"/>
      <c r="AM346" s="504"/>
      <c r="AN346" s="504"/>
    </row>
    <row r="347" spans="1:40" ht="15.75" hidden="1" customHeight="1">
      <c r="A347" s="493" t="s">
        <v>413</v>
      </c>
      <c r="B347" s="499" t="s">
        <v>104</v>
      </c>
      <c r="C347" s="585" t="s">
        <v>21</v>
      </c>
      <c r="D347" s="82"/>
      <c r="E347" s="504"/>
      <c r="F347" s="514">
        <v>0</v>
      </c>
      <c r="G347" s="84"/>
      <c r="H347" s="504"/>
      <c r="I347" s="514">
        <v>0</v>
      </c>
      <c r="J347" s="525"/>
      <c r="K347" s="504"/>
      <c r="L347" s="517">
        <v>0</v>
      </c>
      <c r="M347" s="525"/>
      <c r="N347" s="545">
        <v>0</v>
      </c>
      <c r="O347" s="525"/>
      <c r="P347" s="504"/>
      <c r="Q347" s="517">
        <v>0</v>
      </c>
      <c r="R347" s="525"/>
      <c r="S347" s="567">
        <v>0</v>
      </c>
      <c r="T347" s="504"/>
      <c r="U347" s="504"/>
      <c r="V347" s="504"/>
      <c r="W347" s="504"/>
      <c r="X347" s="504"/>
      <c r="Y347" s="504"/>
      <c r="Z347" s="504"/>
      <c r="AA347" s="504"/>
      <c r="AB347" s="504"/>
      <c r="AC347" s="504"/>
      <c r="AD347" s="504"/>
      <c r="AE347" s="504"/>
      <c r="AF347" s="504"/>
      <c r="AG347" s="504"/>
      <c r="AH347" s="504"/>
      <c r="AI347" s="504"/>
      <c r="AJ347" s="504"/>
      <c r="AK347" s="504"/>
      <c r="AL347" s="504"/>
      <c r="AM347" s="504"/>
      <c r="AN347" s="504"/>
    </row>
    <row r="348" spans="1:40" ht="15.75" customHeight="1">
      <c r="B348" s="497"/>
      <c r="C348" s="578" t="s">
        <v>65</v>
      </c>
      <c r="D348" s="97" t="s">
        <v>40</v>
      </c>
      <c r="E348" s="579">
        <v>0.17644780082391281</v>
      </c>
      <c r="F348" s="580">
        <v>21165.432912416793</v>
      </c>
      <c r="G348" s="100" t="s">
        <v>40</v>
      </c>
      <c r="H348" s="579">
        <v>0.17644780082391281</v>
      </c>
      <c r="I348" s="580">
        <v>21165.432912416793</v>
      </c>
      <c r="J348" s="100" t="s">
        <v>40</v>
      </c>
      <c r="K348" s="579">
        <v>0.17344981503918719</v>
      </c>
      <c r="L348" s="580">
        <v>21983.092000000001</v>
      </c>
      <c r="M348" s="583"/>
      <c r="N348" s="580">
        <v>817.65908758320393</v>
      </c>
      <c r="O348" s="100" t="s">
        <v>40</v>
      </c>
      <c r="P348" s="579">
        <v>0.18089987350923045</v>
      </c>
      <c r="Q348" s="580">
        <v>17836.742000000002</v>
      </c>
      <c r="R348" s="583"/>
      <c r="S348" s="584">
        <v>4146.3499999999985</v>
      </c>
      <c r="T348" s="504"/>
      <c r="U348" s="504"/>
      <c r="V348" s="504"/>
      <c r="W348" s="504"/>
      <c r="X348" s="504"/>
      <c r="Y348" s="504"/>
      <c r="Z348" s="504"/>
      <c r="AA348" s="504"/>
      <c r="AB348" s="504"/>
      <c r="AC348" s="504"/>
      <c r="AD348" s="504"/>
      <c r="AE348" s="504"/>
      <c r="AF348" s="504"/>
      <c r="AG348" s="504"/>
      <c r="AH348" s="504"/>
      <c r="AI348" s="504"/>
      <c r="AJ348" s="504"/>
      <c r="AK348" s="504"/>
      <c r="AL348" s="504"/>
      <c r="AM348" s="504"/>
      <c r="AN348" s="504"/>
    </row>
    <row r="349" spans="1:40" ht="15.75" customHeight="1">
      <c r="B349" s="497"/>
      <c r="C349" s="568"/>
      <c r="D349" s="89"/>
      <c r="E349" s="592"/>
      <c r="F349" s="545"/>
      <c r="G349" s="91"/>
      <c r="H349" s="592"/>
      <c r="I349" s="545"/>
      <c r="J349" s="509"/>
      <c r="K349" s="592"/>
      <c r="L349" s="573"/>
      <c r="M349" s="509"/>
      <c r="N349" s="573"/>
      <c r="O349" s="509"/>
      <c r="P349" s="592"/>
      <c r="Q349" s="573"/>
      <c r="R349" s="509"/>
      <c r="S349" s="574"/>
      <c r="T349" s="504"/>
      <c r="U349" s="504"/>
      <c r="V349" s="504"/>
      <c r="W349" s="504"/>
      <c r="X349" s="504"/>
      <c r="Y349" s="504"/>
      <c r="Z349" s="504"/>
      <c r="AA349" s="504"/>
      <c r="AB349" s="504"/>
      <c r="AC349" s="504"/>
      <c r="AD349" s="504"/>
      <c r="AE349" s="504"/>
      <c r="AF349" s="504"/>
      <c r="AG349" s="504"/>
      <c r="AH349" s="504"/>
      <c r="AI349" s="504"/>
      <c r="AJ349" s="504"/>
      <c r="AK349" s="504"/>
      <c r="AL349" s="504"/>
      <c r="AM349" s="504"/>
      <c r="AN349" s="504"/>
    </row>
    <row r="350" spans="1:40" ht="15.75" customHeight="1">
      <c r="B350" s="497"/>
      <c r="C350" s="578" t="s">
        <v>66</v>
      </c>
      <c r="D350" s="97" t="s">
        <v>40</v>
      </c>
      <c r="E350" s="579">
        <v>0.53445182639331723</v>
      </c>
      <c r="F350" s="580">
        <v>64109.069218352954</v>
      </c>
      <c r="G350" s="100" t="s">
        <v>40</v>
      </c>
      <c r="H350" s="579">
        <v>0.53445182639331723</v>
      </c>
      <c r="I350" s="580">
        <v>64109.069218352954</v>
      </c>
      <c r="J350" s="100" t="s">
        <v>40</v>
      </c>
      <c r="K350" s="579">
        <v>0.52561687531895918</v>
      </c>
      <c r="L350" s="580">
        <v>66616.872000000003</v>
      </c>
      <c r="M350" s="583"/>
      <c r="N350" s="594">
        <v>2507.8027816470494</v>
      </c>
      <c r="O350" s="100" t="s">
        <v>40</v>
      </c>
      <c r="P350" s="579">
        <v>0.63045417407369264</v>
      </c>
      <c r="Q350" s="580">
        <v>62162.832000000009</v>
      </c>
      <c r="R350" s="583"/>
      <c r="S350" s="595">
        <v>4454.0399999999936</v>
      </c>
      <c r="T350" s="504"/>
      <c r="U350" s="504"/>
      <c r="V350" s="504"/>
      <c r="W350" s="504"/>
      <c r="X350" s="504"/>
      <c r="Y350" s="504"/>
      <c r="Z350" s="504"/>
      <c r="AA350" s="504"/>
      <c r="AB350" s="504"/>
      <c r="AC350" s="504"/>
      <c r="AD350" s="504"/>
      <c r="AE350" s="504"/>
      <c r="AF350" s="504"/>
      <c r="AG350" s="504"/>
      <c r="AH350" s="504"/>
      <c r="AI350" s="504"/>
      <c r="AJ350" s="504"/>
      <c r="AK350" s="504"/>
      <c r="AL350" s="504"/>
      <c r="AM350" s="504"/>
      <c r="AN350" s="504"/>
    </row>
    <row r="351" spans="1:40" ht="15.75" customHeight="1">
      <c r="B351" s="497"/>
      <c r="C351" s="513"/>
      <c r="D351" s="82"/>
      <c r="E351" s="504"/>
      <c r="F351" s="545"/>
      <c r="G351" s="84"/>
      <c r="H351" s="504"/>
      <c r="I351" s="545"/>
      <c r="J351" s="525"/>
      <c r="K351" s="504"/>
      <c r="L351" s="545"/>
      <c r="M351" s="525"/>
      <c r="N351" s="545">
        <v>0</v>
      </c>
      <c r="O351" s="525"/>
      <c r="P351" s="504"/>
      <c r="Q351" s="545"/>
      <c r="R351" s="525"/>
      <c r="S351" s="567"/>
      <c r="T351" s="504"/>
      <c r="U351" s="504"/>
      <c r="V351" s="504"/>
      <c r="W351" s="504"/>
      <c r="X351" s="504"/>
      <c r="Y351" s="504"/>
      <c r="Z351" s="504"/>
      <c r="AA351" s="504"/>
      <c r="AB351" s="504"/>
      <c r="AC351" s="504"/>
      <c r="AD351" s="504"/>
      <c r="AE351" s="504"/>
      <c r="AF351" s="504"/>
      <c r="AG351" s="504"/>
      <c r="AH351" s="504"/>
      <c r="AI351" s="504"/>
      <c r="AJ351" s="504"/>
      <c r="AK351" s="504"/>
      <c r="AL351" s="504"/>
      <c r="AM351" s="504"/>
      <c r="AN351" s="504"/>
    </row>
    <row r="352" spans="1:40" ht="24" customHeight="1" thickBot="1">
      <c r="B352" s="497"/>
      <c r="C352" s="605" t="s">
        <v>73</v>
      </c>
      <c r="D352" s="156"/>
      <c r="E352" s="606"/>
      <c r="F352" s="608">
        <v>55843.873315280369</v>
      </c>
      <c r="G352" s="157"/>
      <c r="H352" s="606"/>
      <c r="I352" s="608">
        <v>55843.873315280369</v>
      </c>
      <c r="J352" s="625"/>
      <c r="K352" s="607"/>
      <c r="L352" s="608">
        <v>60123.488000000012</v>
      </c>
      <c r="M352" s="625"/>
      <c r="N352" s="608">
        <v>4279.6146847196433</v>
      </c>
      <c r="O352" s="625"/>
      <c r="P352" s="607"/>
      <c r="Q352" s="608">
        <v>36437.247999999978</v>
      </c>
      <c r="R352" s="625"/>
      <c r="S352" s="610">
        <v>23686.240000000034</v>
      </c>
      <c r="T352" s="504"/>
      <c r="U352" s="504"/>
      <c r="V352" s="504"/>
      <c r="W352" s="504"/>
      <c r="X352" s="504"/>
      <c r="Y352" s="504"/>
      <c r="Z352" s="504"/>
      <c r="AA352" s="504"/>
      <c r="AB352" s="504"/>
      <c r="AC352" s="504"/>
      <c r="AD352" s="504"/>
      <c r="AE352" s="504"/>
      <c r="AF352" s="504"/>
      <c r="AG352" s="504"/>
      <c r="AH352" s="504"/>
      <c r="AI352" s="504"/>
      <c r="AJ352" s="504"/>
      <c r="AK352" s="504"/>
      <c r="AL352" s="504"/>
      <c r="AM352" s="504"/>
      <c r="AN352" s="504"/>
    </row>
    <row r="353" spans="1:40" ht="15.75" customHeight="1" thickTop="1">
      <c r="B353" s="497"/>
      <c r="C353" s="562"/>
      <c r="D353" s="82"/>
      <c r="E353" s="504"/>
      <c r="F353" s="593"/>
      <c r="G353" s="82"/>
      <c r="H353" s="504"/>
      <c r="I353" s="593"/>
      <c r="J353" s="562"/>
      <c r="K353" s="562"/>
      <c r="L353" s="593"/>
      <c r="M353" s="562"/>
      <c r="N353" s="593"/>
      <c r="O353" s="562"/>
      <c r="P353" s="562"/>
      <c r="Q353" s="593"/>
      <c r="R353" s="562"/>
      <c r="S353" s="593"/>
      <c r="T353" s="504"/>
      <c r="U353" s="504"/>
      <c r="V353" s="504"/>
      <c r="W353" s="504"/>
      <c r="X353" s="504"/>
      <c r="Y353" s="504"/>
      <c r="Z353" s="504"/>
      <c r="AA353" s="504"/>
      <c r="AB353" s="504"/>
      <c r="AC353" s="504"/>
      <c r="AD353" s="504"/>
      <c r="AE353" s="504"/>
      <c r="AF353" s="504"/>
      <c r="AG353" s="504"/>
      <c r="AH353" s="504"/>
      <c r="AI353" s="504"/>
      <c r="AJ353" s="504"/>
      <c r="AK353" s="504"/>
      <c r="AL353" s="504"/>
      <c r="AM353" s="504"/>
      <c r="AN353" s="504"/>
    </row>
    <row r="354" spans="1:40" ht="15.75" customHeight="1">
      <c r="B354" s="497"/>
      <c r="C354" s="562"/>
      <c r="D354" s="82"/>
      <c r="E354" s="504"/>
      <c r="F354" s="593"/>
      <c r="G354" s="82"/>
      <c r="H354" s="504"/>
      <c r="I354" s="593"/>
      <c r="J354" s="562"/>
      <c r="K354" s="562"/>
      <c r="L354" s="593"/>
      <c r="M354" s="562"/>
      <c r="N354" s="593"/>
      <c r="O354" s="562"/>
      <c r="P354" s="562"/>
      <c r="Q354" s="593"/>
      <c r="R354" s="562"/>
      <c r="S354" s="593"/>
      <c r="T354" s="504"/>
      <c r="U354" s="504"/>
      <c r="V354" s="504"/>
      <c r="W354" s="504"/>
      <c r="X354" s="504"/>
      <c r="Y354" s="504"/>
      <c r="Z354" s="504"/>
      <c r="AA354" s="504"/>
      <c r="AB354" s="504"/>
      <c r="AC354" s="504"/>
      <c r="AD354" s="504"/>
      <c r="AE354" s="504"/>
      <c r="AF354" s="504"/>
      <c r="AG354" s="504"/>
      <c r="AH354" s="504"/>
      <c r="AI354" s="504"/>
      <c r="AJ354" s="504"/>
      <c r="AK354" s="504"/>
      <c r="AL354" s="504"/>
      <c r="AM354" s="504"/>
      <c r="AN354" s="504"/>
    </row>
    <row r="355" spans="1:40" ht="34.5" customHeight="1">
      <c r="B355" s="497"/>
      <c r="C355" s="496" t="s">
        <v>228</v>
      </c>
      <c r="D355" s="2"/>
      <c r="E355" s="2"/>
      <c r="F355" s="2"/>
      <c r="G355" s="2"/>
      <c r="H355" s="494"/>
      <c r="I355" s="494"/>
      <c r="J355" s="494"/>
      <c r="K355" s="3" t="s">
        <v>120</v>
      </c>
      <c r="L355" s="2"/>
      <c r="M355" s="2"/>
      <c r="N355" s="494"/>
      <c r="O355" s="494"/>
      <c r="P355" s="2"/>
      <c r="Q355" s="494"/>
      <c r="R355" s="2"/>
      <c r="S355" s="5" t="s">
        <v>499</v>
      </c>
      <c r="T355" s="498"/>
      <c r="U355" s="498"/>
      <c r="V355" s="504"/>
      <c r="W355" s="498"/>
      <c r="X355" s="498"/>
      <c r="Y355" s="498"/>
      <c r="Z355" s="498"/>
      <c r="AA355" s="498"/>
      <c r="AB355" s="498"/>
      <c r="AC355" s="498"/>
      <c r="AD355" s="498"/>
      <c r="AE355" s="498"/>
      <c r="AF355" s="498"/>
      <c r="AG355" s="498"/>
      <c r="AH355" s="498"/>
      <c r="AI355" s="498"/>
      <c r="AJ355" s="498"/>
      <c r="AK355" s="498"/>
      <c r="AL355" s="498"/>
      <c r="AM355" s="498"/>
      <c r="AN355" s="498"/>
    </row>
    <row r="356" spans="1:40" ht="15.75" customHeight="1" thickBot="1">
      <c r="B356" s="497"/>
      <c r="C356" s="8"/>
      <c r="D356" s="498"/>
      <c r="E356" s="498"/>
      <c r="F356" s="498"/>
      <c r="G356" s="498"/>
      <c r="H356" s="498"/>
      <c r="I356" s="498"/>
      <c r="J356" s="498"/>
      <c r="K356" s="498"/>
      <c r="L356" s="498"/>
      <c r="M356" s="498"/>
      <c r="N356" s="498"/>
      <c r="O356" s="498"/>
      <c r="P356" s="498"/>
      <c r="Q356" s="498"/>
      <c r="R356" s="498"/>
      <c r="S356" s="498"/>
      <c r="T356" s="498"/>
      <c r="U356" s="498"/>
      <c r="V356" s="504"/>
      <c r="W356" s="498"/>
      <c r="X356" s="498"/>
      <c r="Y356" s="498"/>
      <c r="Z356" s="498"/>
      <c r="AA356" s="498"/>
      <c r="AB356" s="498"/>
      <c r="AC356" s="498"/>
      <c r="AD356" s="498"/>
      <c r="AE356" s="498"/>
      <c r="AF356" s="498"/>
      <c r="AG356" s="498"/>
      <c r="AH356" s="498"/>
      <c r="AI356" s="498"/>
      <c r="AJ356" s="498"/>
      <c r="AK356" s="498"/>
      <c r="AL356" s="498"/>
      <c r="AM356" s="498"/>
      <c r="AN356" s="498"/>
    </row>
    <row r="357" spans="1:40" ht="15.75" customHeight="1" thickTop="1">
      <c r="B357" s="497"/>
      <c r="C357" s="500"/>
      <c r="D357" s="488" t="s">
        <v>5</v>
      </c>
      <c r="E357" s="501"/>
      <c r="F357" s="502"/>
      <c r="G357" s="489" t="s">
        <v>75</v>
      </c>
      <c r="H357" s="501"/>
      <c r="I357" s="502"/>
      <c r="J357" s="489" t="s">
        <v>7</v>
      </c>
      <c r="K357" s="501"/>
      <c r="L357" s="502"/>
      <c r="M357" s="489" t="s">
        <v>8</v>
      </c>
      <c r="N357" s="502"/>
      <c r="O357" s="488" t="s">
        <v>9</v>
      </c>
      <c r="P357" s="501"/>
      <c r="Q357" s="502"/>
      <c r="R357" s="489" t="s">
        <v>10</v>
      </c>
      <c r="S357" s="503"/>
      <c r="T357" s="498"/>
      <c r="U357" s="498"/>
      <c r="V357" s="504"/>
      <c r="W357" s="498"/>
      <c r="X357" s="498"/>
      <c r="Y357" s="498"/>
      <c r="Z357" s="498"/>
      <c r="AA357" s="498"/>
      <c r="AB357" s="498"/>
      <c r="AC357" s="498"/>
      <c r="AD357" s="498"/>
      <c r="AE357" s="498"/>
      <c r="AF357" s="498"/>
      <c r="AG357" s="498"/>
      <c r="AH357" s="498"/>
      <c r="AI357" s="498"/>
      <c r="AJ357" s="498"/>
      <c r="AK357" s="498"/>
      <c r="AL357" s="498"/>
      <c r="AM357" s="498"/>
      <c r="AN357" s="498"/>
    </row>
    <row r="358" spans="1:40" ht="15.75" customHeight="1" thickBot="1">
      <c r="A358" s="493" t="s">
        <v>120</v>
      </c>
      <c r="B358" s="499" t="s">
        <v>120</v>
      </c>
      <c r="C358" s="513"/>
      <c r="D358" s="235" t="s">
        <v>85</v>
      </c>
      <c r="E358" s="235" t="s">
        <v>105</v>
      </c>
      <c r="F358" s="236" t="s">
        <v>13</v>
      </c>
      <c r="G358" s="237" t="s">
        <v>85</v>
      </c>
      <c r="H358" s="235" t="s">
        <v>105</v>
      </c>
      <c r="I358" s="236" t="s">
        <v>13</v>
      </c>
      <c r="J358" s="138" t="s">
        <v>85</v>
      </c>
      <c r="K358" s="81" t="s">
        <v>105</v>
      </c>
      <c r="L358" s="137" t="s">
        <v>13</v>
      </c>
      <c r="M358" s="138" t="s">
        <v>41</v>
      </c>
      <c r="N358" s="137" t="s">
        <v>13</v>
      </c>
      <c r="O358" s="138" t="s">
        <v>85</v>
      </c>
      <c r="P358" s="81" t="s">
        <v>105</v>
      </c>
      <c r="Q358" s="137" t="s">
        <v>13</v>
      </c>
      <c r="R358" s="138" t="s">
        <v>86</v>
      </c>
      <c r="S358" s="139" t="s">
        <v>13</v>
      </c>
      <c r="T358" s="498"/>
      <c r="U358" s="498"/>
      <c r="V358" s="504"/>
      <c r="W358" s="498"/>
      <c r="X358" s="498"/>
      <c r="Y358" s="498"/>
      <c r="Z358" s="498"/>
      <c r="AA358" s="498"/>
      <c r="AB358" s="498"/>
      <c r="AC358" s="498"/>
      <c r="AD358" s="498"/>
      <c r="AE358" s="498"/>
      <c r="AF358" s="498"/>
      <c r="AG358" s="498"/>
      <c r="AH358" s="498"/>
      <c r="AI358" s="498"/>
      <c r="AJ358" s="498"/>
      <c r="AK358" s="498"/>
      <c r="AL358" s="498"/>
      <c r="AM358" s="498"/>
      <c r="AN358" s="498"/>
    </row>
    <row r="359" spans="1:40" ht="15.75" customHeight="1" thickTop="1">
      <c r="A359" s="493" t="s">
        <v>447</v>
      </c>
      <c r="B359" s="499" t="s">
        <v>120</v>
      </c>
      <c r="C359" s="548" t="s">
        <v>120</v>
      </c>
      <c r="D359" s="707">
        <v>0</v>
      </c>
      <c r="E359" s="708">
        <v>0</v>
      </c>
      <c r="F359" s="709">
        <v>0</v>
      </c>
      <c r="G359" s="707">
        <v>0</v>
      </c>
      <c r="H359" s="708">
        <v>0</v>
      </c>
      <c r="I359" s="707">
        <v>0</v>
      </c>
      <c r="J359" s="710">
        <v>0</v>
      </c>
      <c r="K359" s="694">
        <v>0</v>
      </c>
      <c r="L359" s="711">
        <v>0</v>
      </c>
      <c r="M359" s="695">
        <v>0</v>
      </c>
      <c r="N359" s="696">
        <v>0</v>
      </c>
      <c r="O359" s="710">
        <v>0</v>
      </c>
      <c r="P359" s="694">
        <v>0</v>
      </c>
      <c r="Q359" s="711">
        <v>0</v>
      </c>
      <c r="R359" s="695">
        <v>0</v>
      </c>
      <c r="S359" s="697">
        <v>0</v>
      </c>
      <c r="T359" s="498"/>
      <c r="U359" s="498"/>
      <c r="V359" s="712"/>
      <c r="W359" s="498"/>
      <c r="X359" s="498"/>
      <c r="Y359" s="498"/>
      <c r="Z359" s="498"/>
      <c r="AA359" s="498"/>
      <c r="AB359" s="498"/>
      <c r="AC359" s="498"/>
      <c r="AD359" s="498"/>
      <c r="AE359" s="498"/>
      <c r="AF359" s="498"/>
      <c r="AG359" s="498"/>
      <c r="AH359" s="498"/>
      <c r="AI359" s="498"/>
      <c r="AJ359" s="498"/>
      <c r="AK359" s="498"/>
      <c r="AL359" s="498"/>
      <c r="AM359" s="498"/>
      <c r="AN359" s="498"/>
    </row>
    <row r="360" spans="1:40" ht="15.75" customHeight="1" thickBot="1">
      <c r="A360" s="493" t="s">
        <v>120</v>
      </c>
      <c r="B360" s="499" t="s">
        <v>120</v>
      </c>
      <c r="C360" s="698"/>
      <c r="D360" s="699"/>
      <c r="E360" s="700"/>
      <c r="F360" s="701"/>
      <c r="G360" s="702"/>
      <c r="H360" s="700"/>
      <c r="I360" s="701"/>
      <c r="J360" s="702"/>
      <c r="K360" s="700"/>
      <c r="L360" s="701"/>
      <c r="M360" s="703"/>
      <c r="N360" s="560"/>
      <c r="O360" s="702"/>
      <c r="P360" s="700"/>
      <c r="Q360" s="701"/>
      <c r="R360" s="703"/>
      <c r="S360" s="561"/>
      <c r="T360" s="498"/>
      <c r="U360" s="498"/>
      <c r="V360" s="504"/>
      <c r="W360" s="498"/>
      <c r="X360" s="498"/>
      <c r="Y360" s="498"/>
      <c r="Z360" s="498"/>
      <c r="AA360" s="498"/>
      <c r="AB360" s="498"/>
      <c r="AC360" s="498"/>
      <c r="AD360" s="498"/>
      <c r="AE360" s="498"/>
      <c r="AF360" s="498"/>
      <c r="AG360" s="498"/>
      <c r="AH360" s="498"/>
      <c r="AI360" s="498"/>
      <c r="AJ360" s="498"/>
      <c r="AK360" s="498"/>
      <c r="AL360" s="498"/>
      <c r="AM360" s="498"/>
      <c r="AN360" s="498"/>
    </row>
    <row r="361" spans="1:40" ht="15.75" customHeight="1" thickTop="1">
      <c r="A361" s="493" t="s">
        <v>448</v>
      </c>
      <c r="B361" s="499" t="s">
        <v>120</v>
      </c>
      <c r="C361" s="538" t="s">
        <v>121</v>
      </c>
      <c r="D361" s="713">
        <v>0</v>
      </c>
      <c r="E361" s="647">
        <v>0</v>
      </c>
      <c r="F361" s="649">
        <v>0</v>
      </c>
      <c r="G361" s="648">
        <v>0</v>
      </c>
      <c r="H361" s="647">
        <v>0</v>
      </c>
      <c r="I361" s="649">
        <v>0</v>
      </c>
      <c r="J361" s="648">
        <v>0</v>
      </c>
      <c r="K361" s="647">
        <v>0</v>
      </c>
      <c r="L361" s="649">
        <v>0</v>
      </c>
      <c r="M361" s="714">
        <v>0</v>
      </c>
      <c r="N361" s="715">
        <v>0</v>
      </c>
      <c r="O361" s="648">
        <v>0</v>
      </c>
      <c r="P361" s="647">
        <v>0</v>
      </c>
      <c r="Q361" s="649">
        <v>0</v>
      </c>
      <c r="R361" s="525">
        <v>0</v>
      </c>
      <c r="S361" s="528">
        <v>0</v>
      </c>
      <c r="T361" s="498"/>
      <c r="U361" s="498"/>
      <c r="V361" s="504"/>
      <c r="W361" s="498"/>
      <c r="X361" s="498"/>
      <c r="Y361" s="498"/>
      <c r="Z361" s="498"/>
      <c r="AA361" s="498"/>
      <c r="AB361" s="498"/>
      <c r="AC361" s="498"/>
      <c r="AD361" s="498"/>
      <c r="AE361" s="498"/>
      <c r="AF361" s="498"/>
      <c r="AG361" s="498"/>
      <c r="AH361" s="498"/>
      <c r="AI361" s="498"/>
      <c r="AJ361" s="498"/>
      <c r="AK361" s="498"/>
      <c r="AL361" s="498"/>
      <c r="AM361" s="498"/>
      <c r="AN361" s="498"/>
    </row>
    <row r="362" spans="1:40" ht="15.75" customHeight="1">
      <c r="A362" s="493" t="s">
        <v>120</v>
      </c>
      <c r="B362" s="499" t="s">
        <v>120</v>
      </c>
      <c r="C362" s="80"/>
      <c r="D362" s="504"/>
      <c r="E362" s="504"/>
      <c r="F362" s="545"/>
      <c r="G362" s="525"/>
      <c r="H362" s="716"/>
      <c r="I362" s="545"/>
      <c r="J362" s="525"/>
      <c r="K362" s="504"/>
      <c r="L362" s="524"/>
      <c r="M362" s="525"/>
      <c r="N362" s="717">
        <v>0</v>
      </c>
      <c r="O362" s="525"/>
      <c r="P362" s="504"/>
      <c r="Q362" s="524"/>
      <c r="R362" s="525"/>
      <c r="S362" s="547">
        <v>0</v>
      </c>
      <c r="T362" s="498"/>
      <c r="U362" s="498"/>
      <c r="V362" s="504"/>
      <c r="W362" s="498"/>
      <c r="X362" s="498"/>
      <c r="Y362" s="498"/>
      <c r="Z362" s="498"/>
      <c r="AA362" s="498"/>
      <c r="AB362" s="498"/>
      <c r="AC362" s="498"/>
      <c r="AD362" s="498"/>
      <c r="AE362" s="498"/>
      <c r="AF362" s="498"/>
      <c r="AG362" s="498"/>
      <c r="AH362" s="498"/>
      <c r="AI362" s="498"/>
      <c r="AJ362" s="498"/>
      <c r="AK362" s="498"/>
      <c r="AL362" s="498"/>
      <c r="AM362" s="498"/>
      <c r="AN362" s="498"/>
    </row>
    <row r="363" spans="1:40" ht="15.75" customHeight="1">
      <c r="A363" s="493" t="s">
        <v>449</v>
      </c>
      <c r="B363" s="499" t="s">
        <v>120</v>
      </c>
      <c r="C363" s="80" t="s">
        <v>31</v>
      </c>
      <c r="D363" s="504"/>
      <c r="E363" s="504"/>
      <c r="F363" s="545"/>
      <c r="G363" s="525"/>
      <c r="H363" s="504"/>
      <c r="I363" s="545"/>
      <c r="J363" s="525"/>
      <c r="K363" s="504"/>
      <c r="L363" s="524"/>
      <c r="M363" s="525"/>
      <c r="N363" s="524"/>
      <c r="O363" s="525"/>
      <c r="P363" s="504"/>
      <c r="Q363" s="524"/>
      <c r="R363" s="525"/>
      <c r="S363" s="547"/>
      <c r="T363" s="498"/>
      <c r="U363" s="498"/>
      <c r="V363" s="504"/>
      <c r="W363" s="498"/>
      <c r="X363" s="498"/>
      <c r="Y363" s="498"/>
      <c r="Z363" s="498"/>
      <c r="AA363" s="498"/>
      <c r="AB363" s="498"/>
      <c r="AC363" s="498"/>
      <c r="AD363" s="498"/>
      <c r="AE363" s="498"/>
      <c r="AF363" s="498"/>
      <c r="AG363" s="498"/>
      <c r="AH363" s="498"/>
      <c r="AI363" s="498"/>
      <c r="AJ363" s="498"/>
      <c r="AK363" s="498"/>
      <c r="AL363" s="498"/>
      <c r="AM363" s="498"/>
      <c r="AN363" s="498"/>
    </row>
    <row r="364" spans="1:40" ht="15.75" customHeight="1">
      <c r="A364" s="493" t="s">
        <v>450</v>
      </c>
      <c r="B364" s="499" t="s">
        <v>120</v>
      </c>
      <c r="C364" s="585" t="s">
        <v>42</v>
      </c>
      <c r="D364" s="504"/>
      <c r="E364" s="504"/>
      <c r="F364" s="514">
        <v>0</v>
      </c>
      <c r="G364" s="525"/>
      <c r="H364" s="504"/>
      <c r="I364" s="514">
        <v>0</v>
      </c>
      <c r="J364" s="525"/>
      <c r="K364" s="504"/>
      <c r="L364" s="517">
        <v>0</v>
      </c>
      <c r="M364" s="525"/>
      <c r="N364" s="524"/>
      <c r="O364" s="525"/>
      <c r="P364" s="504"/>
      <c r="Q364" s="517">
        <v>0</v>
      </c>
      <c r="R364" s="525"/>
      <c r="S364" s="518">
        <v>0</v>
      </c>
      <c r="T364" s="498"/>
      <c r="U364" s="498"/>
      <c r="V364" s="504"/>
      <c r="W364" s="498"/>
      <c r="X364" s="498"/>
      <c r="Y364" s="498"/>
      <c r="Z364" s="498"/>
      <c r="AA364" s="498"/>
      <c r="AB364" s="498"/>
      <c r="AC364" s="498"/>
      <c r="AD364" s="498"/>
      <c r="AE364" s="498"/>
      <c r="AF364" s="498"/>
      <c r="AG364" s="498"/>
      <c r="AH364" s="498"/>
      <c r="AI364" s="498"/>
      <c r="AJ364" s="498"/>
      <c r="AK364" s="498"/>
      <c r="AL364" s="498"/>
      <c r="AM364" s="498"/>
      <c r="AN364" s="498"/>
    </row>
    <row r="365" spans="1:40" ht="15.75" customHeight="1">
      <c r="A365" s="493" t="s">
        <v>451</v>
      </c>
      <c r="B365" s="499" t="s">
        <v>120</v>
      </c>
      <c r="C365" s="586" t="s">
        <v>43</v>
      </c>
      <c r="D365" s="82"/>
      <c r="E365" s="504"/>
      <c r="F365" s="508">
        <v>0</v>
      </c>
      <c r="G365" s="84"/>
      <c r="H365" s="504"/>
      <c r="I365" s="508">
        <v>0</v>
      </c>
      <c r="J365" s="525"/>
      <c r="K365" s="504"/>
      <c r="L365" s="508">
        <v>0</v>
      </c>
      <c r="M365" s="525"/>
      <c r="N365" s="545">
        <v>0</v>
      </c>
      <c r="O365" s="525"/>
      <c r="P365" s="504"/>
      <c r="Q365" s="508">
        <v>0</v>
      </c>
      <c r="R365" s="525"/>
      <c r="S365" s="567">
        <v>0</v>
      </c>
      <c r="T365" s="498"/>
      <c r="U365" s="498"/>
      <c r="V365" s="504"/>
      <c r="W365" s="498"/>
      <c r="X365" s="498"/>
      <c r="Y365" s="498"/>
      <c r="Z365" s="498"/>
      <c r="AA365" s="498"/>
      <c r="AB365" s="498"/>
      <c r="AC365" s="498"/>
      <c r="AD365" s="498"/>
      <c r="AE365" s="498"/>
      <c r="AF365" s="498"/>
      <c r="AG365" s="498"/>
      <c r="AH365" s="498"/>
      <c r="AI365" s="498"/>
      <c r="AJ365" s="498"/>
      <c r="AK365" s="498"/>
      <c r="AL365" s="498"/>
      <c r="AM365" s="498"/>
      <c r="AN365" s="498"/>
    </row>
    <row r="366" spans="1:40" ht="15.75" customHeight="1">
      <c r="A366" s="493" t="s">
        <v>452</v>
      </c>
      <c r="B366" s="499" t="s">
        <v>120</v>
      </c>
      <c r="C366" s="585" t="s">
        <v>44</v>
      </c>
      <c r="D366" s="107"/>
      <c r="E366" s="587"/>
      <c r="F366" s="514">
        <v>0</v>
      </c>
      <c r="G366" s="109"/>
      <c r="H366" s="587"/>
      <c r="I366" s="514">
        <v>0</v>
      </c>
      <c r="J366" s="588"/>
      <c r="K366" s="587"/>
      <c r="L366" s="517">
        <v>0</v>
      </c>
      <c r="M366" s="588"/>
      <c r="N366" s="590">
        <v>0</v>
      </c>
      <c r="O366" s="588"/>
      <c r="P366" s="587"/>
      <c r="Q366" s="517">
        <v>0</v>
      </c>
      <c r="R366" s="588"/>
      <c r="S366" s="591">
        <v>0</v>
      </c>
      <c r="T366" s="498"/>
      <c r="U366" s="498"/>
      <c r="V366" s="504"/>
      <c r="W366" s="498"/>
      <c r="X366" s="498"/>
      <c r="Y366" s="498"/>
      <c r="Z366" s="498"/>
      <c r="AA366" s="498"/>
      <c r="AB366" s="498"/>
      <c r="AC366" s="498"/>
      <c r="AD366" s="498"/>
      <c r="AE366" s="498"/>
      <c r="AF366" s="498"/>
      <c r="AG366" s="498"/>
      <c r="AH366" s="498"/>
      <c r="AI366" s="498"/>
      <c r="AJ366" s="498"/>
      <c r="AK366" s="498"/>
      <c r="AL366" s="498"/>
      <c r="AM366" s="498"/>
      <c r="AN366" s="498"/>
    </row>
    <row r="367" spans="1:40" ht="15.75" customHeight="1">
      <c r="A367" s="493" t="s">
        <v>453</v>
      </c>
      <c r="B367" s="499" t="s">
        <v>120</v>
      </c>
      <c r="C367" s="585" t="s">
        <v>45</v>
      </c>
      <c r="D367" s="82"/>
      <c r="E367" s="504"/>
      <c r="F367" s="514">
        <v>0</v>
      </c>
      <c r="G367" s="84"/>
      <c r="H367" s="504"/>
      <c r="I367" s="514">
        <v>0</v>
      </c>
      <c r="J367" s="525"/>
      <c r="K367" s="504"/>
      <c r="L367" s="517">
        <v>0</v>
      </c>
      <c r="M367" s="525"/>
      <c r="N367" s="545">
        <v>0</v>
      </c>
      <c r="O367" s="525"/>
      <c r="P367" s="504"/>
      <c r="Q367" s="517">
        <v>0</v>
      </c>
      <c r="R367" s="525"/>
      <c r="S367" s="567">
        <v>0</v>
      </c>
      <c r="T367" s="498"/>
      <c r="U367" s="498"/>
      <c r="V367" s="504"/>
      <c r="W367" s="498"/>
      <c r="X367" s="498"/>
      <c r="Y367" s="498"/>
      <c r="Z367" s="498"/>
      <c r="AA367" s="498"/>
      <c r="AB367" s="498"/>
      <c r="AC367" s="498"/>
      <c r="AD367" s="498"/>
      <c r="AE367" s="498"/>
      <c r="AF367" s="498"/>
      <c r="AG367" s="498"/>
      <c r="AH367" s="498"/>
      <c r="AI367" s="498"/>
      <c r="AJ367" s="498"/>
      <c r="AK367" s="498"/>
      <c r="AL367" s="498"/>
      <c r="AM367" s="498"/>
      <c r="AN367" s="498"/>
    </row>
    <row r="368" spans="1:40" ht="15.75" hidden="1" customHeight="1">
      <c r="A368" s="493" t="s">
        <v>454</v>
      </c>
      <c r="B368" s="499" t="s">
        <v>120</v>
      </c>
      <c r="C368" s="513" t="s">
        <v>21</v>
      </c>
      <c r="D368" s="82"/>
      <c r="E368" s="504"/>
      <c r="F368" s="514">
        <v>0</v>
      </c>
      <c r="G368" s="84"/>
      <c r="H368" s="504"/>
      <c r="I368" s="514">
        <v>0</v>
      </c>
      <c r="J368" s="525"/>
      <c r="K368" s="504"/>
      <c r="L368" s="517">
        <v>0</v>
      </c>
      <c r="M368" s="525"/>
      <c r="N368" s="545">
        <v>0</v>
      </c>
      <c r="O368" s="525"/>
      <c r="P368" s="504"/>
      <c r="Q368" s="517">
        <v>0</v>
      </c>
      <c r="R368" s="525"/>
      <c r="S368" s="567">
        <v>0</v>
      </c>
      <c r="T368" s="498"/>
      <c r="U368" s="498"/>
      <c r="V368" s="504"/>
      <c r="W368" s="498"/>
      <c r="X368" s="498"/>
      <c r="Y368" s="498"/>
      <c r="Z368" s="498"/>
      <c r="AA368" s="498"/>
      <c r="AB368" s="498"/>
      <c r="AC368" s="498"/>
      <c r="AD368" s="498"/>
      <c r="AE368" s="498"/>
      <c r="AF368" s="498"/>
      <c r="AG368" s="498"/>
      <c r="AH368" s="498"/>
      <c r="AI368" s="498"/>
      <c r="AJ368" s="498"/>
      <c r="AK368" s="498"/>
      <c r="AL368" s="498"/>
      <c r="AM368" s="498"/>
      <c r="AN368" s="498"/>
    </row>
    <row r="369" spans="1:40" ht="15.75" hidden="1" customHeight="1">
      <c r="A369" s="493" t="s">
        <v>454</v>
      </c>
      <c r="B369" s="499" t="s">
        <v>120</v>
      </c>
      <c r="C369" s="513" t="s">
        <v>21</v>
      </c>
      <c r="D369" s="82"/>
      <c r="E369" s="504"/>
      <c r="F369" s="514">
        <v>0</v>
      </c>
      <c r="G369" s="84"/>
      <c r="H369" s="504"/>
      <c r="I369" s="514">
        <v>0</v>
      </c>
      <c r="J369" s="525"/>
      <c r="K369" s="504"/>
      <c r="L369" s="517">
        <v>0</v>
      </c>
      <c r="M369" s="525"/>
      <c r="N369" s="545">
        <v>0</v>
      </c>
      <c r="O369" s="525"/>
      <c r="P369" s="504"/>
      <c r="Q369" s="517">
        <v>0</v>
      </c>
      <c r="R369" s="525"/>
      <c r="S369" s="567">
        <v>0</v>
      </c>
      <c r="T369" s="498"/>
      <c r="U369" s="498"/>
      <c r="V369" s="504"/>
      <c r="W369" s="498"/>
      <c r="X369" s="498"/>
      <c r="Y369" s="498"/>
      <c r="Z369" s="498"/>
      <c r="AA369" s="498"/>
      <c r="AB369" s="498"/>
      <c r="AC369" s="498"/>
      <c r="AD369" s="498"/>
      <c r="AE369" s="498"/>
      <c r="AF369" s="498"/>
      <c r="AG369" s="498"/>
      <c r="AH369" s="498"/>
      <c r="AI369" s="498"/>
      <c r="AJ369" s="498"/>
      <c r="AK369" s="498"/>
      <c r="AL369" s="498"/>
      <c r="AM369" s="498"/>
      <c r="AN369" s="498"/>
    </row>
    <row r="370" spans="1:40" ht="15.75" hidden="1" customHeight="1">
      <c r="A370" s="493" t="s">
        <v>454</v>
      </c>
      <c r="B370" s="499" t="s">
        <v>120</v>
      </c>
      <c r="C370" s="513" t="s">
        <v>21</v>
      </c>
      <c r="D370" s="82"/>
      <c r="E370" s="504"/>
      <c r="F370" s="514">
        <v>0</v>
      </c>
      <c r="G370" s="84"/>
      <c r="H370" s="504"/>
      <c r="I370" s="514">
        <v>0</v>
      </c>
      <c r="J370" s="525"/>
      <c r="K370" s="504"/>
      <c r="L370" s="517">
        <v>0</v>
      </c>
      <c r="M370" s="525"/>
      <c r="N370" s="545">
        <v>0</v>
      </c>
      <c r="O370" s="525"/>
      <c r="P370" s="504"/>
      <c r="Q370" s="517">
        <v>0</v>
      </c>
      <c r="R370" s="525"/>
      <c r="S370" s="567">
        <v>0</v>
      </c>
      <c r="T370" s="498"/>
      <c r="U370" s="498"/>
      <c r="V370" s="504"/>
      <c r="W370" s="498"/>
      <c r="X370" s="498"/>
      <c r="Y370" s="498"/>
      <c r="Z370" s="498"/>
      <c r="AA370" s="498"/>
      <c r="AB370" s="498"/>
      <c r="AC370" s="498"/>
      <c r="AD370" s="498"/>
      <c r="AE370" s="498"/>
      <c r="AF370" s="498"/>
      <c r="AG370" s="498"/>
      <c r="AH370" s="498"/>
      <c r="AI370" s="498"/>
      <c r="AJ370" s="498"/>
      <c r="AK370" s="498"/>
      <c r="AL370" s="498"/>
      <c r="AM370" s="498"/>
      <c r="AN370" s="498"/>
    </row>
    <row r="371" spans="1:40" ht="15.75" customHeight="1">
      <c r="A371" s="493" t="s">
        <v>455</v>
      </c>
      <c r="B371" s="499" t="s">
        <v>120</v>
      </c>
      <c r="C371" s="586" t="s">
        <v>46</v>
      </c>
      <c r="D371" s="82"/>
      <c r="E371" s="504"/>
      <c r="F371" s="508">
        <v>0</v>
      </c>
      <c r="G371" s="84"/>
      <c r="H371" s="504"/>
      <c r="I371" s="508">
        <v>0</v>
      </c>
      <c r="J371" s="525"/>
      <c r="K371" s="504"/>
      <c r="L371" s="508">
        <v>0</v>
      </c>
      <c r="M371" s="525"/>
      <c r="N371" s="545">
        <v>0</v>
      </c>
      <c r="O371" s="525"/>
      <c r="P371" s="504"/>
      <c r="Q371" s="508">
        <v>0</v>
      </c>
      <c r="R371" s="525"/>
      <c r="S371" s="567">
        <v>0</v>
      </c>
      <c r="T371" s="498"/>
      <c r="U371" s="498"/>
      <c r="V371" s="504"/>
      <c r="W371" s="498"/>
      <c r="X371" s="498"/>
      <c r="Y371" s="498"/>
      <c r="Z371" s="498"/>
      <c r="AA371" s="498"/>
      <c r="AB371" s="498"/>
      <c r="AC371" s="498"/>
      <c r="AD371" s="498"/>
      <c r="AE371" s="498"/>
      <c r="AF371" s="498"/>
      <c r="AG371" s="498"/>
      <c r="AH371" s="498"/>
      <c r="AI371" s="498"/>
      <c r="AJ371" s="498"/>
      <c r="AK371" s="498"/>
      <c r="AL371" s="498"/>
      <c r="AM371" s="498"/>
      <c r="AN371" s="498"/>
    </row>
    <row r="372" spans="1:40" ht="15.75" customHeight="1">
      <c r="A372" s="493" t="s">
        <v>456</v>
      </c>
      <c r="B372" s="499" t="s">
        <v>120</v>
      </c>
      <c r="C372" s="585" t="s">
        <v>47</v>
      </c>
      <c r="D372" s="107"/>
      <c r="E372" s="587"/>
      <c r="F372" s="514">
        <v>0</v>
      </c>
      <c r="G372" s="109"/>
      <c r="H372" s="587"/>
      <c r="I372" s="514">
        <v>0</v>
      </c>
      <c r="J372" s="588"/>
      <c r="K372" s="587"/>
      <c r="L372" s="517">
        <v>0</v>
      </c>
      <c r="M372" s="588"/>
      <c r="N372" s="590">
        <v>0</v>
      </c>
      <c r="O372" s="588"/>
      <c r="P372" s="587"/>
      <c r="Q372" s="517">
        <v>0</v>
      </c>
      <c r="R372" s="588"/>
      <c r="S372" s="591">
        <v>0</v>
      </c>
      <c r="T372" s="498"/>
      <c r="U372" s="498"/>
      <c r="V372" s="504"/>
      <c r="W372" s="498"/>
      <c r="X372" s="498"/>
      <c r="Y372" s="498"/>
      <c r="Z372" s="498"/>
      <c r="AA372" s="498"/>
      <c r="AB372" s="498"/>
      <c r="AC372" s="498"/>
      <c r="AD372" s="498"/>
      <c r="AE372" s="498"/>
      <c r="AF372" s="498"/>
      <c r="AG372" s="498"/>
      <c r="AH372" s="498"/>
      <c r="AI372" s="498"/>
      <c r="AJ372" s="498"/>
      <c r="AK372" s="498"/>
      <c r="AL372" s="498"/>
      <c r="AM372" s="498"/>
      <c r="AN372" s="498"/>
    </row>
    <row r="373" spans="1:40" ht="15.75" customHeight="1">
      <c r="A373" s="493" t="s">
        <v>457</v>
      </c>
      <c r="B373" s="499" t="s">
        <v>120</v>
      </c>
      <c r="C373" s="585" t="s">
        <v>48</v>
      </c>
      <c r="D373" s="82"/>
      <c r="E373" s="504"/>
      <c r="F373" s="514">
        <v>0</v>
      </c>
      <c r="G373" s="84"/>
      <c r="H373" s="504"/>
      <c r="I373" s="514">
        <v>0</v>
      </c>
      <c r="J373" s="525"/>
      <c r="K373" s="504"/>
      <c r="L373" s="517">
        <v>0</v>
      </c>
      <c r="M373" s="525"/>
      <c r="N373" s="545">
        <v>0</v>
      </c>
      <c r="O373" s="525"/>
      <c r="P373" s="504"/>
      <c r="Q373" s="517">
        <v>0</v>
      </c>
      <c r="R373" s="525"/>
      <c r="S373" s="567">
        <v>0</v>
      </c>
      <c r="T373" s="498"/>
      <c r="U373" s="498"/>
      <c r="V373" s="504"/>
      <c r="W373" s="498"/>
      <c r="X373" s="498"/>
      <c r="Y373" s="498"/>
      <c r="Z373" s="498"/>
      <c r="AA373" s="498"/>
      <c r="AB373" s="498"/>
      <c r="AC373" s="498"/>
      <c r="AD373" s="498"/>
      <c r="AE373" s="498"/>
      <c r="AF373" s="498"/>
      <c r="AG373" s="498"/>
      <c r="AH373" s="498"/>
      <c r="AI373" s="498"/>
      <c r="AJ373" s="498"/>
      <c r="AK373" s="498"/>
      <c r="AL373" s="498"/>
      <c r="AM373" s="498"/>
      <c r="AN373" s="498"/>
    </row>
    <row r="374" spans="1:40" ht="15.75" customHeight="1">
      <c r="A374" s="493" t="s">
        <v>458</v>
      </c>
      <c r="B374" s="499" t="s">
        <v>120</v>
      </c>
      <c r="C374" s="585" t="s">
        <v>49</v>
      </c>
      <c r="D374" s="82"/>
      <c r="E374" s="504"/>
      <c r="F374" s="514">
        <v>0</v>
      </c>
      <c r="G374" s="84"/>
      <c r="H374" s="504"/>
      <c r="I374" s="514">
        <v>0</v>
      </c>
      <c r="J374" s="525"/>
      <c r="K374" s="504"/>
      <c r="L374" s="517">
        <v>0</v>
      </c>
      <c r="M374" s="525"/>
      <c r="N374" s="545">
        <v>0</v>
      </c>
      <c r="O374" s="525"/>
      <c r="P374" s="504"/>
      <c r="Q374" s="517">
        <v>0</v>
      </c>
      <c r="R374" s="525"/>
      <c r="S374" s="567">
        <v>0</v>
      </c>
      <c r="T374" s="498"/>
      <c r="U374" s="498"/>
      <c r="V374" s="504"/>
      <c r="W374" s="498"/>
      <c r="X374" s="498"/>
      <c r="Y374" s="498"/>
      <c r="Z374" s="498"/>
      <c r="AA374" s="498"/>
      <c r="AB374" s="498"/>
      <c r="AC374" s="498"/>
      <c r="AD374" s="498"/>
      <c r="AE374" s="498"/>
      <c r="AF374" s="498"/>
      <c r="AG374" s="498"/>
      <c r="AH374" s="498"/>
      <c r="AI374" s="498"/>
      <c r="AJ374" s="498"/>
      <c r="AK374" s="498"/>
      <c r="AL374" s="498"/>
      <c r="AM374" s="498"/>
      <c r="AN374" s="498"/>
    </row>
    <row r="375" spans="1:40" ht="15.75" hidden="1" customHeight="1">
      <c r="A375" s="493" t="s">
        <v>454</v>
      </c>
      <c r="B375" s="499" t="s">
        <v>120</v>
      </c>
      <c r="C375" s="513" t="s">
        <v>21</v>
      </c>
      <c r="D375" s="89"/>
      <c r="E375" s="592"/>
      <c r="F375" s="514">
        <v>0</v>
      </c>
      <c r="G375" s="91"/>
      <c r="H375" s="592"/>
      <c r="I375" s="514">
        <v>0</v>
      </c>
      <c r="J375" s="509"/>
      <c r="K375" s="592"/>
      <c r="L375" s="517">
        <v>0</v>
      </c>
      <c r="M375" s="509"/>
      <c r="N375" s="573">
        <v>0</v>
      </c>
      <c r="O375" s="509"/>
      <c r="P375" s="592"/>
      <c r="Q375" s="517">
        <v>0</v>
      </c>
      <c r="R375" s="509"/>
      <c r="S375" s="574">
        <v>0</v>
      </c>
      <c r="T375" s="498"/>
      <c r="U375" s="498"/>
      <c r="V375" s="504"/>
      <c r="W375" s="498"/>
      <c r="X375" s="498"/>
      <c r="Y375" s="498"/>
      <c r="Z375" s="498"/>
      <c r="AA375" s="498"/>
      <c r="AB375" s="498"/>
      <c r="AC375" s="498"/>
      <c r="AD375" s="498"/>
      <c r="AE375" s="498"/>
      <c r="AF375" s="498"/>
      <c r="AG375" s="498"/>
      <c r="AH375" s="498"/>
      <c r="AI375" s="498"/>
      <c r="AJ375" s="498"/>
      <c r="AK375" s="498"/>
      <c r="AL375" s="498"/>
      <c r="AM375" s="498"/>
      <c r="AN375" s="498"/>
    </row>
    <row r="376" spans="1:40" ht="15.75" customHeight="1">
      <c r="A376" s="493" t="s">
        <v>459</v>
      </c>
      <c r="B376" s="499" t="s">
        <v>120</v>
      </c>
      <c r="C376" s="578" t="s">
        <v>50</v>
      </c>
      <c r="D376" s="97" t="s">
        <v>40</v>
      </c>
      <c r="E376" s="579">
        <v>0</v>
      </c>
      <c r="F376" s="580">
        <v>0</v>
      </c>
      <c r="G376" s="100" t="s">
        <v>40</v>
      </c>
      <c r="H376" s="579">
        <v>0</v>
      </c>
      <c r="I376" s="580">
        <v>0</v>
      </c>
      <c r="J376" s="100" t="s">
        <v>40</v>
      </c>
      <c r="K376" s="579">
        <v>0</v>
      </c>
      <c r="L376" s="580">
        <v>0</v>
      </c>
      <c r="M376" s="621"/>
      <c r="N376" s="594">
        <v>0</v>
      </c>
      <c r="O376" s="100" t="s">
        <v>40</v>
      </c>
      <c r="P376" s="579">
        <v>0</v>
      </c>
      <c r="Q376" s="580">
        <v>0</v>
      </c>
      <c r="R376" s="621"/>
      <c r="S376" s="595">
        <v>0</v>
      </c>
      <c r="T376" s="498"/>
      <c r="U376" s="498"/>
      <c r="V376" s="504"/>
      <c r="W376" s="498"/>
      <c r="X376" s="498"/>
      <c r="Y376" s="498"/>
      <c r="Z376" s="498"/>
      <c r="AA376" s="498"/>
      <c r="AB376" s="498"/>
      <c r="AC376" s="498"/>
      <c r="AD376" s="498"/>
      <c r="AE376" s="498"/>
      <c r="AF376" s="498"/>
      <c r="AG376" s="498"/>
      <c r="AH376" s="498"/>
      <c r="AI376" s="498"/>
      <c r="AJ376" s="498"/>
      <c r="AK376" s="498"/>
      <c r="AL376" s="498"/>
      <c r="AM376" s="498"/>
      <c r="AN376" s="498"/>
    </row>
    <row r="377" spans="1:40" ht="15.75" customHeight="1">
      <c r="A377" s="493" t="s">
        <v>460</v>
      </c>
      <c r="B377" s="499" t="s">
        <v>120</v>
      </c>
      <c r="C377" s="686" t="s">
        <v>51</v>
      </c>
      <c r="D377" s="82"/>
      <c r="E377" s="504"/>
      <c r="F377" s="514">
        <v>0</v>
      </c>
      <c r="G377" s="84"/>
      <c r="H377" s="504"/>
      <c r="I377" s="514">
        <v>0</v>
      </c>
      <c r="J377" s="525"/>
      <c r="K377" s="504"/>
      <c r="L377" s="517">
        <v>0</v>
      </c>
      <c r="M377" s="525"/>
      <c r="N377" s="545">
        <v>0</v>
      </c>
      <c r="O377" s="525"/>
      <c r="P377" s="504"/>
      <c r="Q377" s="517">
        <v>0</v>
      </c>
      <c r="R377" s="525"/>
      <c r="S377" s="567">
        <v>0</v>
      </c>
      <c r="T377" s="498"/>
      <c r="U377" s="498"/>
      <c r="V377" s="504"/>
      <c r="W377" s="498"/>
      <c r="X377" s="498"/>
      <c r="Y377" s="498"/>
      <c r="Z377" s="498"/>
      <c r="AA377" s="498"/>
      <c r="AB377" s="498"/>
      <c r="AC377" s="498"/>
      <c r="AD377" s="498"/>
      <c r="AE377" s="498"/>
      <c r="AF377" s="498"/>
      <c r="AG377" s="498"/>
      <c r="AH377" s="498"/>
      <c r="AI377" s="498"/>
      <c r="AJ377" s="498"/>
      <c r="AK377" s="498"/>
      <c r="AL377" s="498"/>
      <c r="AM377" s="498"/>
      <c r="AN377" s="498"/>
    </row>
    <row r="378" spans="1:40" ht="15.75" customHeight="1">
      <c r="A378" s="493" t="s">
        <v>461</v>
      </c>
      <c r="B378" s="499" t="s">
        <v>120</v>
      </c>
      <c r="C378" s="585" t="s">
        <v>52</v>
      </c>
      <c r="D378" s="82"/>
      <c r="E378" s="504"/>
      <c r="F378" s="514">
        <v>0</v>
      </c>
      <c r="G378" s="84"/>
      <c r="H378" s="504"/>
      <c r="I378" s="514">
        <v>0</v>
      </c>
      <c r="J378" s="525"/>
      <c r="K378" s="504"/>
      <c r="L378" s="517">
        <v>0</v>
      </c>
      <c r="M378" s="525"/>
      <c r="N378" s="545">
        <v>0</v>
      </c>
      <c r="O378" s="525"/>
      <c r="P378" s="504"/>
      <c r="Q378" s="517">
        <v>0</v>
      </c>
      <c r="R378" s="525"/>
      <c r="S378" s="567">
        <v>0</v>
      </c>
      <c r="T378" s="498"/>
      <c r="U378" s="498"/>
      <c r="V378" s="504"/>
      <c r="W378" s="498"/>
      <c r="X378" s="498"/>
      <c r="Y378" s="498"/>
      <c r="Z378" s="498"/>
      <c r="AA378" s="498"/>
      <c r="AB378" s="498"/>
      <c r="AC378" s="498"/>
      <c r="AD378" s="498"/>
      <c r="AE378" s="498"/>
      <c r="AF378" s="498"/>
      <c r="AG378" s="498"/>
      <c r="AH378" s="498"/>
      <c r="AI378" s="498"/>
      <c r="AJ378" s="498"/>
      <c r="AK378" s="498"/>
      <c r="AL378" s="498"/>
      <c r="AM378" s="498"/>
      <c r="AN378" s="498"/>
    </row>
    <row r="379" spans="1:40" ht="15.75" customHeight="1">
      <c r="A379" s="493" t="s">
        <v>462</v>
      </c>
      <c r="B379" s="499" t="s">
        <v>120</v>
      </c>
      <c r="C379" s="586" t="s">
        <v>53</v>
      </c>
      <c r="D379" s="89"/>
      <c r="E379" s="592"/>
      <c r="F379" s="508">
        <v>0</v>
      </c>
      <c r="G379" s="91"/>
      <c r="H379" s="592"/>
      <c r="I379" s="508">
        <v>0</v>
      </c>
      <c r="J379" s="509"/>
      <c r="K379" s="592"/>
      <c r="L379" s="508">
        <v>0</v>
      </c>
      <c r="M379" s="509"/>
      <c r="N379" s="573">
        <v>0</v>
      </c>
      <c r="O379" s="509"/>
      <c r="P379" s="592"/>
      <c r="Q379" s="508">
        <v>0</v>
      </c>
      <c r="R379" s="509"/>
      <c r="S379" s="574">
        <v>0</v>
      </c>
      <c r="T379" s="498"/>
      <c r="U379" s="498"/>
      <c r="V379" s="504"/>
      <c r="W379" s="498"/>
      <c r="X379" s="498"/>
      <c r="Y379" s="498"/>
      <c r="Z379" s="498"/>
      <c r="AA379" s="498"/>
      <c r="AB379" s="498"/>
      <c r="AC379" s="498"/>
      <c r="AD379" s="498"/>
      <c r="AE379" s="498"/>
      <c r="AF379" s="498"/>
      <c r="AG379" s="498"/>
      <c r="AH379" s="498"/>
      <c r="AI379" s="498"/>
      <c r="AJ379" s="498"/>
      <c r="AK379" s="498"/>
      <c r="AL379" s="498"/>
      <c r="AM379" s="498"/>
      <c r="AN379" s="498"/>
    </row>
    <row r="380" spans="1:40" ht="15.75" customHeight="1">
      <c r="A380" s="493" t="s">
        <v>463</v>
      </c>
      <c r="B380" s="499" t="s">
        <v>120</v>
      </c>
      <c r="C380" s="585" t="s">
        <v>54</v>
      </c>
      <c r="D380" s="82"/>
      <c r="E380" s="504"/>
      <c r="F380" s="514">
        <v>0</v>
      </c>
      <c r="G380" s="84"/>
      <c r="H380" s="504"/>
      <c r="I380" s="514">
        <v>0</v>
      </c>
      <c r="J380" s="525"/>
      <c r="K380" s="504"/>
      <c r="L380" s="517">
        <v>0</v>
      </c>
      <c r="M380" s="525"/>
      <c r="N380" s="545">
        <v>0</v>
      </c>
      <c r="O380" s="525"/>
      <c r="P380" s="504"/>
      <c r="Q380" s="517">
        <v>0</v>
      </c>
      <c r="R380" s="525"/>
      <c r="S380" s="567">
        <v>0</v>
      </c>
      <c r="T380" s="498"/>
      <c r="U380" s="498"/>
      <c r="V380" s="504"/>
      <c r="W380" s="498"/>
      <c r="X380" s="498"/>
      <c r="Y380" s="498"/>
      <c r="Z380" s="498"/>
      <c r="AA380" s="498"/>
      <c r="AB380" s="498"/>
      <c r="AC380" s="498"/>
      <c r="AD380" s="498"/>
      <c r="AE380" s="498"/>
      <c r="AF380" s="498"/>
      <c r="AG380" s="498"/>
      <c r="AH380" s="498"/>
      <c r="AI380" s="498"/>
      <c r="AJ380" s="498"/>
      <c r="AK380" s="498"/>
      <c r="AL380" s="498"/>
      <c r="AM380" s="498"/>
      <c r="AN380" s="498"/>
    </row>
    <row r="381" spans="1:40" ht="15.75" customHeight="1">
      <c r="A381" s="493" t="s">
        <v>464</v>
      </c>
      <c r="B381" s="499" t="s">
        <v>120</v>
      </c>
      <c r="C381" s="585" t="s">
        <v>55</v>
      </c>
      <c r="D381" s="82"/>
      <c r="E381" s="504"/>
      <c r="F381" s="514">
        <v>0</v>
      </c>
      <c r="G381" s="84"/>
      <c r="H381" s="504"/>
      <c r="I381" s="514">
        <v>0</v>
      </c>
      <c r="J381" s="525"/>
      <c r="K381" s="504"/>
      <c r="L381" s="517">
        <v>0</v>
      </c>
      <c r="M381" s="525"/>
      <c r="N381" s="545">
        <v>0</v>
      </c>
      <c r="O381" s="525"/>
      <c r="P381" s="504"/>
      <c r="Q381" s="517">
        <v>0</v>
      </c>
      <c r="R381" s="525"/>
      <c r="S381" s="567">
        <v>0</v>
      </c>
      <c r="T381" s="498"/>
      <c r="U381" s="498"/>
      <c r="V381" s="504"/>
      <c r="W381" s="498"/>
      <c r="X381" s="498"/>
      <c r="Y381" s="498"/>
      <c r="Z381" s="498"/>
      <c r="AA381" s="498"/>
      <c r="AB381" s="498"/>
      <c r="AC381" s="498"/>
      <c r="AD381" s="498"/>
      <c r="AE381" s="498"/>
      <c r="AF381" s="498"/>
      <c r="AG381" s="498"/>
      <c r="AH381" s="498"/>
      <c r="AI381" s="498"/>
      <c r="AJ381" s="498"/>
      <c r="AK381" s="498"/>
      <c r="AL381" s="498"/>
      <c r="AM381" s="498"/>
      <c r="AN381" s="498"/>
    </row>
    <row r="382" spans="1:40" ht="15.75" customHeight="1">
      <c r="A382" s="493" t="s">
        <v>465</v>
      </c>
      <c r="B382" s="499" t="s">
        <v>120</v>
      </c>
      <c r="C382" s="585" t="s">
        <v>56</v>
      </c>
      <c r="D382" s="89"/>
      <c r="E382" s="592"/>
      <c r="F382" s="508">
        <v>0</v>
      </c>
      <c r="G382" s="91"/>
      <c r="H382" s="592"/>
      <c r="I382" s="508">
        <v>0</v>
      </c>
      <c r="J382" s="509"/>
      <c r="K382" s="592"/>
      <c r="L382" s="508">
        <v>0</v>
      </c>
      <c r="M382" s="509"/>
      <c r="N382" s="573">
        <v>0</v>
      </c>
      <c r="O382" s="509"/>
      <c r="P382" s="592"/>
      <c r="Q382" s="508">
        <v>0</v>
      </c>
      <c r="R382" s="509"/>
      <c r="S382" s="574">
        <v>0</v>
      </c>
      <c r="T382" s="498"/>
      <c r="U382" s="498"/>
      <c r="V382" s="504"/>
      <c r="W382" s="498"/>
      <c r="X382" s="498"/>
      <c r="Y382" s="498"/>
      <c r="Z382" s="498"/>
      <c r="AA382" s="498"/>
      <c r="AB382" s="498"/>
      <c r="AC382" s="498"/>
      <c r="AD382" s="498"/>
      <c r="AE382" s="498"/>
      <c r="AF382" s="498"/>
      <c r="AG382" s="498"/>
      <c r="AH382" s="498"/>
      <c r="AI382" s="498"/>
      <c r="AJ382" s="498"/>
      <c r="AK382" s="498"/>
      <c r="AL382" s="498"/>
      <c r="AM382" s="498"/>
      <c r="AN382" s="498"/>
    </row>
    <row r="383" spans="1:40" ht="20.25" customHeight="1">
      <c r="A383" s="493" t="s">
        <v>466</v>
      </c>
      <c r="B383" s="499" t="s">
        <v>120</v>
      </c>
      <c r="C383" s="686" t="s">
        <v>57</v>
      </c>
      <c r="D383" s="82"/>
      <c r="E383" s="504"/>
      <c r="F383" s="514">
        <v>0</v>
      </c>
      <c r="G383" s="84"/>
      <c r="H383" s="504"/>
      <c r="I383" s="514">
        <v>0</v>
      </c>
      <c r="J383" s="525"/>
      <c r="K383" s="504"/>
      <c r="L383" s="517">
        <v>0</v>
      </c>
      <c r="M383" s="525"/>
      <c r="N383" s="545">
        <v>0</v>
      </c>
      <c r="O383" s="525"/>
      <c r="P383" s="504"/>
      <c r="Q383" s="517">
        <v>0</v>
      </c>
      <c r="R383" s="525"/>
      <c r="S383" s="567">
        <v>0</v>
      </c>
      <c r="T383" s="498"/>
      <c r="U383" s="498"/>
      <c r="V383" s="504"/>
      <c r="W383" s="498"/>
      <c r="X383" s="498"/>
      <c r="Y383" s="498"/>
      <c r="Z383" s="498"/>
      <c r="AA383" s="498"/>
      <c r="AB383" s="498"/>
      <c r="AC383" s="498"/>
      <c r="AD383" s="498"/>
      <c r="AE383" s="498"/>
      <c r="AF383" s="498"/>
      <c r="AG383" s="498"/>
      <c r="AH383" s="498"/>
      <c r="AI383" s="498"/>
      <c r="AJ383" s="498"/>
      <c r="AK383" s="498"/>
      <c r="AL383" s="498"/>
      <c r="AM383" s="498"/>
      <c r="AN383" s="498"/>
    </row>
    <row r="384" spans="1:40" ht="20.25" customHeight="1">
      <c r="A384" s="493" t="s">
        <v>467</v>
      </c>
      <c r="B384" s="499" t="s">
        <v>120</v>
      </c>
      <c r="C384" s="585" t="s">
        <v>58</v>
      </c>
      <c r="D384" s="82"/>
      <c r="E384" s="504"/>
      <c r="F384" s="514">
        <v>0</v>
      </c>
      <c r="G384" s="84"/>
      <c r="H384" s="504"/>
      <c r="I384" s="514">
        <v>0</v>
      </c>
      <c r="J384" s="525"/>
      <c r="K384" s="504"/>
      <c r="L384" s="517">
        <v>0</v>
      </c>
      <c r="M384" s="525"/>
      <c r="N384" s="545">
        <v>0</v>
      </c>
      <c r="O384" s="525"/>
      <c r="P384" s="504"/>
      <c r="Q384" s="517">
        <v>0</v>
      </c>
      <c r="R384" s="525"/>
      <c r="S384" s="567">
        <v>0</v>
      </c>
      <c r="T384" s="498"/>
      <c r="U384" s="498"/>
      <c r="V384" s="504"/>
      <c r="W384" s="498"/>
      <c r="X384" s="498"/>
      <c r="Y384" s="498"/>
      <c r="Z384" s="498"/>
      <c r="AA384" s="498"/>
      <c r="AB384" s="498"/>
      <c r="AC384" s="498"/>
      <c r="AD384" s="498"/>
      <c r="AE384" s="498"/>
      <c r="AF384" s="498"/>
      <c r="AG384" s="498"/>
      <c r="AH384" s="498"/>
      <c r="AI384" s="498"/>
      <c r="AJ384" s="498"/>
      <c r="AK384" s="498"/>
      <c r="AL384" s="498"/>
      <c r="AM384" s="498"/>
      <c r="AN384" s="498"/>
    </row>
    <row r="385" spans="1:40" ht="20.25" customHeight="1">
      <c r="A385" s="493" t="s">
        <v>468</v>
      </c>
      <c r="B385" s="499" t="s">
        <v>120</v>
      </c>
      <c r="C385" s="585" t="s">
        <v>59</v>
      </c>
      <c r="D385" s="82"/>
      <c r="E385" s="504"/>
      <c r="F385" s="514">
        <v>0</v>
      </c>
      <c r="G385" s="84"/>
      <c r="H385" s="504"/>
      <c r="I385" s="514">
        <v>0</v>
      </c>
      <c r="J385" s="525"/>
      <c r="K385" s="504"/>
      <c r="L385" s="517">
        <v>0</v>
      </c>
      <c r="M385" s="525"/>
      <c r="N385" s="545">
        <v>0</v>
      </c>
      <c r="O385" s="525"/>
      <c r="P385" s="504"/>
      <c r="Q385" s="517">
        <v>0</v>
      </c>
      <c r="R385" s="525"/>
      <c r="S385" s="567">
        <v>0</v>
      </c>
      <c r="T385" s="498"/>
      <c r="U385" s="498"/>
      <c r="V385" s="504"/>
      <c r="W385" s="498"/>
      <c r="X385" s="498"/>
      <c r="Y385" s="498"/>
      <c r="Z385" s="498"/>
      <c r="AA385" s="498"/>
      <c r="AB385" s="498"/>
      <c r="AC385" s="498"/>
      <c r="AD385" s="498"/>
      <c r="AE385" s="498"/>
      <c r="AF385" s="498"/>
      <c r="AG385" s="498"/>
      <c r="AH385" s="498"/>
      <c r="AI385" s="498"/>
      <c r="AJ385" s="498"/>
      <c r="AK385" s="498"/>
      <c r="AL385" s="498"/>
      <c r="AM385" s="498"/>
      <c r="AN385" s="498"/>
    </row>
    <row r="386" spans="1:40" ht="20.25" customHeight="1">
      <c r="A386" s="493" t="s">
        <v>469</v>
      </c>
      <c r="B386" s="499" t="s">
        <v>120</v>
      </c>
      <c r="C386" s="585" t="s">
        <v>60</v>
      </c>
      <c r="D386" s="82"/>
      <c r="E386" s="504"/>
      <c r="F386" s="514">
        <v>0</v>
      </c>
      <c r="G386" s="84"/>
      <c r="H386" s="504"/>
      <c r="I386" s="514">
        <v>0</v>
      </c>
      <c r="J386" s="525"/>
      <c r="K386" s="504"/>
      <c r="L386" s="517">
        <v>0</v>
      </c>
      <c r="M386" s="525"/>
      <c r="N386" s="545">
        <v>0</v>
      </c>
      <c r="O386" s="525"/>
      <c r="P386" s="504"/>
      <c r="Q386" s="517">
        <v>0</v>
      </c>
      <c r="R386" s="525"/>
      <c r="S386" s="567">
        <v>0</v>
      </c>
      <c r="T386" s="498"/>
      <c r="U386" s="498"/>
      <c r="V386" s="504"/>
      <c r="W386" s="498"/>
      <c r="X386" s="498"/>
      <c r="Y386" s="498"/>
      <c r="Z386" s="498"/>
      <c r="AA386" s="498"/>
      <c r="AB386" s="498"/>
      <c r="AC386" s="498"/>
      <c r="AD386" s="498"/>
      <c r="AE386" s="498"/>
      <c r="AF386" s="498"/>
      <c r="AG386" s="498"/>
      <c r="AH386" s="498"/>
      <c r="AI386" s="498"/>
      <c r="AJ386" s="498"/>
      <c r="AK386" s="498"/>
      <c r="AL386" s="498"/>
      <c r="AM386" s="498"/>
      <c r="AN386" s="498"/>
    </row>
    <row r="387" spans="1:40" ht="20.25" customHeight="1">
      <c r="A387" s="493" t="s">
        <v>470</v>
      </c>
      <c r="B387" s="499" t="s">
        <v>120</v>
      </c>
      <c r="C387" s="585" t="s">
        <v>61</v>
      </c>
      <c r="D387" s="82"/>
      <c r="E387" s="504"/>
      <c r="F387" s="514">
        <v>0</v>
      </c>
      <c r="G387" s="84"/>
      <c r="H387" s="504"/>
      <c r="I387" s="514">
        <v>0</v>
      </c>
      <c r="J387" s="525"/>
      <c r="K387" s="504"/>
      <c r="L387" s="517">
        <v>0</v>
      </c>
      <c r="M387" s="525"/>
      <c r="N387" s="545">
        <v>0</v>
      </c>
      <c r="O387" s="525"/>
      <c r="P387" s="504"/>
      <c r="Q387" s="517">
        <v>0</v>
      </c>
      <c r="R387" s="525"/>
      <c r="S387" s="567">
        <v>0</v>
      </c>
      <c r="T387" s="498"/>
      <c r="U387" s="498"/>
      <c r="V387" s="504"/>
      <c r="W387" s="498"/>
      <c r="X387" s="498"/>
      <c r="Y387" s="498"/>
      <c r="Z387" s="498"/>
      <c r="AA387" s="498"/>
      <c r="AB387" s="498"/>
      <c r="AC387" s="498"/>
      <c r="AD387" s="498"/>
      <c r="AE387" s="498"/>
      <c r="AF387" s="498"/>
      <c r="AG387" s="498"/>
      <c r="AH387" s="498"/>
      <c r="AI387" s="498"/>
      <c r="AJ387" s="498"/>
      <c r="AK387" s="498"/>
      <c r="AL387" s="498"/>
      <c r="AM387" s="498"/>
      <c r="AN387" s="498"/>
    </row>
    <row r="388" spans="1:40" ht="20.25" customHeight="1">
      <c r="A388" s="493" t="s">
        <v>471</v>
      </c>
      <c r="B388" s="499" t="s">
        <v>120</v>
      </c>
      <c r="C388" s="585" t="s">
        <v>62</v>
      </c>
      <c r="D388" s="82"/>
      <c r="E388" s="504"/>
      <c r="F388" s="514">
        <v>0</v>
      </c>
      <c r="G388" s="84"/>
      <c r="H388" s="504"/>
      <c r="I388" s="514">
        <v>0</v>
      </c>
      <c r="J388" s="525"/>
      <c r="K388" s="504"/>
      <c r="L388" s="517">
        <v>0</v>
      </c>
      <c r="M388" s="525"/>
      <c r="N388" s="545">
        <v>0</v>
      </c>
      <c r="O388" s="525"/>
      <c r="P388" s="504"/>
      <c r="Q388" s="517">
        <v>0</v>
      </c>
      <c r="R388" s="525"/>
      <c r="S388" s="567">
        <v>0</v>
      </c>
      <c r="T388" s="498"/>
      <c r="U388" s="498"/>
      <c r="V388" s="504"/>
      <c r="W388" s="498"/>
      <c r="X388" s="498"/>
      <c r="Y388" s="498"/>
      <c r="Z388" s="498"/>
      <c r="AA388" s="498"/>
      <c r="AB388" s="498"/>
      <c r="AC388" s="498"/>
      <c r="AD388" s="498"/>
      <c r="AE388" s="498"/>
      <c r="AF388" s="498"/>
      <c r="AG388" s="498"/>
      <c r="AH388" s="498"/>
      <c r="AI388" s="498"/>
      <c r="AJ388" s="498"/>
      <c r="AK388" s="498"/>
      <c r="AL388" s="498"/>
      <c r="AM388" s="498"/>
      <c r="AN388" s="498"/>
    </row>
    <row r="389" spans="1:40" ht="20.25" customHeight="1">
      <c r="A389" s="493" t="s">
        <v>472</v>
      </c>
      <c r="B389" s="499" t="s">
        <v>120</v>
      </c>
      <c r="C389" s="585" t="s">
        <v>63</v>
      </c>
      <c r="D389" s="82"/>
      <c r="E389" s="504"/>
      <c r="F389" s="514">
        <v>0</v>
      </c>
      <c r="G389" s="84"/>
      <c r="H389" s="504"/>
      <c r="I389" s="514">
        <v>0</v>
      </c>
      <c r="J389" s="525"/>
      <c r="K389" s="504"/>
      <c r="L389" s="517">
        <v>0</v>
      </c>
      <c r="M389" s="525"/>
      <c r="N389" s="545">
        <v>0</v>
      </c>
      <c r="O389" s="525"/>
      <c r="P389" s="504"/>
      <c r="Q389" s="517">
        <v>0</v>
      </c>
      <c r="R389" s="525"/>
      <c r="S389" s="567">
        <v>0</v>
      </c>
      <c r="T389" s="498"/>
      <c r="U389" s="498"/>
      <c r="V389" s="504"/>
      <c r="W389" s="498"/>
      <c r="X389" s="498"/>
      <c r="Y389" s="498"/>
      <c r="Z389" s="498"/>
      <c r="AA389" s="498"/>
      <c r="AB389" s="498"/>
      <c r="AC389" s="498"/>
      <c r="AD389" s="498"/>
      <c r="AE389" s="498"/>
      <c r="AF389" s="498"/>
      <c r="AG389" s="498"/>
      <c r="AH389" s="498"/>
      <c r="AI389" s="498"/>
      <c r="AJ389" s="498"/>
      <c r="AK389" s="498"/>
      <c r="AL389" s="498"/>
      <c r="AM389" s="498"/>
      <c r="AN389" s="498"/>
    </row>
    <row r="390" spans="1:40" ht="20.25" customHeight="1">
      <c r="A390" s="493" t="s">
        <v>473</v>
      </c>
      <c r="B390" s="499" t="s">
        <v>120</v>
      </c>
      <c r="C390" s="585" t="s">
        <v>64</v>
      </c>
      <c r="D390" s="82"/>
      <c r="E390" s="504"/>
      <c r="F390" s="514">
        <v>0</v>
      </c>
      <c r="G390" s="84"/>
      <c r="H390" s="504"/>
      <c r="I390" s="514">
        <v>0</v>
      </c>
      <c r="J390" s="525"/>
      <c r="K390" s="504"/>
      <c r="L390" s="517">
        <v>0</v>
      </c>
      <c r="M390" s="525"/>
      <c r="N390" s="545">
        <v>0</v>
      </c>
      <c r="O390" s="525"/>
      <c r="P390" s="504"/>
      <c r="Q390" s="517">
        <v>0</v>
      </c>
      <c r="R390" s="525"/>
      <c r="S390" s="567">
        <v>0</v>
      </c>
      <c r="T390" s="498"/>
      <c r="U390" s="498"/>
      <c r="V390" s="504"/>
      <c r="W390" s="498"/>
      <c r="X390" s="498"/>
      <c r="Y390" s="498"/>
      <c r="Z390" s="498"/>
      <c r="AA390" s="498"/>
      <c r="AB390" s="498"/>
      <c r="AC390" s="498"/>
      <c r="AD390" s="498"/>
      <c r="AE390" s="498"/>
      <c r="AF390" s="498"/>
      <c r="AG390" s="498"/>
      <c r="AH390" s="498"/>
      <c r="AI390" s="498"/>
      <c r="AJ390" s="498"/>
      <c r="AK390" s="498"/>
      <c r="AL390" s="498"/>
      <c r="AM390" s="498"/>
      <c r="AN390" s="498"/>
    </row>
    <row r="391" spans="1:40" ht="15.75" hidden="1" customHeight="1">
      <c r="A391" s="493" t="s">
        <v>454</v>
      </c>
      <c r="B391" s="499" t="s">
        <v>120</v>
      </c>
      <c r="C391" s="585" t="s">
        <v>21</v>
      </c>
      <c r="D391" s="82"/>
      <c r="E391" s="504"/>
      <c r="F391" s="514">
        <v>0</v>
      </c>
      <c r="G391" s="84"/>
      <c r="H391" s="504"/>
      <c r="I391" s="514">
        <v>0</v>
      </c>
      <c r="J391" s="525"/>
      <c r="K391" s="504"/>
      <c r="L391" s="517">
        <v>0</v>
      </c>
      <c r="M391" s="525"/>
      <c r="N391" s="545">
        <v>0</v>
      </c>
      <c r="O391" s="525"/>
      <c r="P391" s="504"/>
      <c r="Q391" s="517">
        <v>0</v>
      </c>
      <c r="R391" s="525"/>
      <c r="S391" s="567">
        <v>0</v>
      </c>
      <c r="T391" s="498"/>
      <c r="U391" s="498"/>
      <c r="V391" s="504"/>
      <c r="W391" s="498"/>
      <c r="X391" s="498"/>
      <c r="Y391" s="498"/>
      <c r="Z391" s="498"/>
      <c r="AA391" s="498"/>
      <c r="AB391" s="498"/>
      <c r="AC391" s="498"/>
      <c r="AD391" s="498"/>
      <c r="AE391" s="498"/>
      <c r="AF391" s="498"/>
      <c r="AG391" s="498"/>
      <c r="AH391" s="498"/>
      <c r="AI391" s="498"/>
      <c r="AJ391" s="498"/>
      <c r="AK391" s="498"/>
      <c r="AL391" s="498"/>
      <c r="AM391" s="498"/>
      <c r="AN391" s="498"/>
    </row>
    <row r="392" spans="1:40" ht="15.75" hidden="1" customHeight="1">
      <c r="A392" s="493" t="s">
        <v>454</v>
      </c>
      <c r="B392" s="499" t="s">
        <v>120</v>
      </c>
      <c r="C392" s="585" t="s">
        <v>21</v>
      </c>
      <c r="D392" s="82"/>
      <c r="E392" s="504"/>
      <c r="F392" s="514">
        <v>0</v>
      </c>
      <c r="G392" s="84"/>
      <c r="H392" s="504"/>
      <c r="I392" s="514">
        <v>0</v>
      </c>
      <c r="J392" s="525"/>
      <c r="K392" s="504"/>
      <c r="L392" s="517">
        <v>0</v>
      </c>
      <c r="M392" s="525"/>
      <c r="N392" s="545">
        <v>0</v>
      </c>
      <c r="O392" s="525"/>
      <c r="P392" s="504"/>
      <c r="Q392" s="517">
        <v>0</v>
      </c>
      <c r="R392" s="525"/>
      <c r="S392" s="567">
        <v>0</v>
      </c>
      <c r="T392" s="498"/>
      <c r="U392" s="498"/>
      <c r="V392" s="504"/>
      <c r="W392" s="498"/>
      <c r="X392" s="498"/>
      <c r="Y392" s="498"/>
      <c r="Z392" s="498"/>
      <c r="AA392" s="498"/>
      <c r="AB392" s="498"/>
      <c r="AC392" s="498"/>
      <c r="AD392" s="498"/>
      <c r="AE392" s="498"/>
      <c r="AF392" s="498"/>
      <c r="AG392" s="498"/>
      <c r="AH392" s="498"/>
      <c r="AI392" s="498"/>
      <c r="AJ392" s="498"/>
      <c r="AK392" s="498"/>
      <c r="AL392" s="498"/>
      <c r="AM392" s="498"/>
      <c r="AN392" s="498"/>
    </row>
    <row r="393" spans="1:40" ht="15.75" hidden="1" customHeight="1">
      <c r="A393" s="493" t="s">
        <v>454</v>
      </c>
      <c r="B393" s="499" t="s">
        <v>120</v>
      </c>
      <c r="C393" s="585" t="s">
        <v>21</v>
      </c>
      <c r="D393" s="89"/>
      <c r="E393" s="592"/>
      <c r="F393" s="514">
        <v>0</v>
      </c>
      <c r="G393" s="91"/>
      <c r="H393" s="592"/>
      <c r="I393" s="514">
        <v>0</v>
      </c>
      <c r="J393" s="509"/>
      <c r="K393" s="592"/>
      <c r="L393" s="517">
        <v>0</v>
      </c>
      <c r="M393" s="509"/>
      <c r="N393" s="573">
        <v>0</v>
      </c>
      <c r="O393" s="509"/>
      <c r="P393" s="592"/>
      <c r="Q393" s="517">
        <v>0</v>
      </c>
      <c r="R393" s="509"/>
      <c r="S393" s="574">
        <v>0</v>
      </c>
      <c r="T393" s="498"/>
      <c r="U393" s="498"/>
      <c r="V393" s="504"/>
      <c r="W393" s="498"/>
      <c r="X393" s="498"/>
      <c r="Y393" s="498"/>
      <c r="Z393" s="498"/>
      <c r="AA393" s="498"/>
      <c r="AB393" s="498"/>
      <c r="AC393" s="498"/>
      <c r="AD393" s="498"/>
      <c r="AE393" s="498"/>
      <c r="AF393" s="498"/>
      <c r="AG393" s="498"/>
      <c r="AH393" s="498"/>
      <c r="AI393" s="498"/>
      <c r="AJ393" s="498"/>
      <c r="AK393" s="498"/>
      <c r="AL393" s="498"/>
      <c r="AM393" s="498"/>
      <c r="AN393" s="498"/>
    </row>
    <row r="394" spans="1:40" ht="15.75" customHeight="1">
      <c r="B394" s="497"/>
      <c r="C394" s="578" t="s">
        <v>65</v>
      </c>
      <c r="D394" s="97" t="s">
        <v>40</v>
      </c>
      <c r="E394" s="579">
        <v>0</v>
      </c>
      <c r="F394" s="580">
        <v>0</v>
      </c>
      <c r="G394" s="100" t="s">
        <v>40</v>
      </c>
      <c r="H394" s="579">
        <v>0</v>
      </c>
      <c r="I394" s="580">
        <v>0</v>
      </c>
      <c r="J394" s="100" t="s">
        <v>40</v>
      </c>
      <c r="K394" s="579">
        <v>0</v>
      </c>
      <c r="L394" s="580">
        <v>0</v>
      </c>
      <c r="M394" s="621"/>
      <c r="N394" s="580">
        <v>0</v>
      </c>
      <c r="O394" s="100" t="s">
        <v>40</v>
      </c>
      <c r="P394" s="579">
        <v>0</v>
      </c>
      <c r="Q394" s="580">
        <v>0</v>
      </c>
      <c r="R394" s="621"/>
      <c r="S394" s="595">
        <v>0</v>
      </c>
      <c r="T394" s="498"/>
      <c r="U394" s="498"/>
      <c r="V394" s="504"/>
      <c r="W394" s="498"/>
      <c r="X394" s="498"/>
      <c r="Y394" s="498"/>
      <c r="Z394" s="498"/>
      <c r="AA394" s="498"/>
      <c r="AB394" s="498"/>
      <c r="AC394" s="498"/>
      <c r="AD394" s="498"/>
      <c r="AE394" s="498"/>
      <c r="AF394" s="498"/>
      <c r="AG394" s="498"/>
      <c r="AH394" s="498"/>
      <c r="AI394" s="498"/>
      <c r="AJ394" s="498"/>
      <c r="AK394" s="498"/>
      <c r="AL394" s="498"/>
      <c r="AM394" s="498"/>
      <c r="AN394" s="498"/>
    </row>
    <row r="395" spans="1:40" ht="15.75" customHeight="1">
      <c r="B395" s="497"/>
      <c r="C395" s="513"/>
      <c r="D395" s="504"/>
      <c r="E395" s="504"/>
      <c r="F395" s="524"/>
      <c r="G395" s="525"/>
      <c r="H395" s="504"/>
      <c r="I395" s="524"/>
      <c r="J395" s="525"/>
      <c r="K395" s="504"/>
      <c r="L395" s="524"/>
      <c r="M395" s="564"/>
      <c r="N395" s="563"/>
      <c r="O395" s="525"/>
      <c r="P395" s="504"/>
      <c r="Q395" s="524"/>
      <c r="R395" s="525"/>
      <c r="S395" s="718"/>
      <c r="T395" s="719"/>
      <c r="U395" s="719"/>
      <c r="V395" s="504"/>
      <c r="W395" s="498"/>
      <c r="X395" s="498"/>
      <c r="Y395" s="498"/>
      <c r="Z395" s="498"/>
      <c r="AA395" s="498"/>
      <c r="AB395" s="498"/>
      <c r="AC395" s="498"/>
      <c r="AD395" s="498"/>
      <c r="AE395" s="498"/>
      <c r="AF395" s="498"/>
      <c r="AG395" s="498"/>
      <c r="AH395" s="498"/>
      <c r="AI395" s="498"/>
      <c r="AJ395" s="498"/>
      <c r="AK395" s="498"/>
      <c r="AL395" s="498"/>
      <c r="AM395" s="498"/>
      <c r="AN395" s="498"/>
    </row>
    <row r="396" spans="1:40" ht="15.75" customHeight="1">
      <c r="B396" s="497"/>
      <c r="C396" s="578" t="s">
        <v>66</v>
      </c>
      <c r="D396" s="97" t="s">
        <v>40</v>
      </c>
      <c r="E396" s="579">
        <v>0</v>
      </c>
      <c r="F396" s="580">
        <v>0</v>
      </c>
      <c r="G396" s="100" t="s">
        <v>40</v>
      </c>
      <c r="H396" s="579">
        <v>0</v>
      </c>
      <c r="I396" s="580">
        <v>0</v>
      </c>
      <c r="J396" s="100" t="s">
        <v>40</v>
      </c>
      <c r="K396" s="579">
        <v>0</v>
      </c>
      <c r="L396" s="580">
        <v>0</v>
      </c>
      <c r="M396" s="720"/>
      <c r="N396" s="580">
        <v>0</v>
      </c>
      <c r="O396" s="100" t="s">
        <v>40</v>
      </c>
      <c r="P396" s="579">
        <v>0</v>
      </c>
      <c r="Q396" s="580">
        <v>0</v>
      </c>
      <c r="R396" s="583"/>
      <c r="S396" s="584">
        <v>0</v>
      </c>
      <c r="T396" s="719"/>
      <c r="U396" s="719"/>
      <c r="V396" s="504"/>
      <c r="W396" s="498"/>
      <c r="X396" s="498"/>
      <c r="Y396" s="498"/>
      <c r="Z396" s="498"/>
      <c r="AA396" s="498"/>
      <c r="AB396" s="498"/>
      <c r="AC396" s="498"/>
      <c r="AD396" s="498"/>
      <c r="AE396" s="498"/>
      <c r="AF396" s="498"/>
      <c r="AG396" s="498"/>
      <c r="AH396" s="498"/>
      <c r="AI396" s="498"/>
      <c r="AJ396" s="498"/>
      <c r="AK396" s="498"/>
      <c r="AL396" s="498"/>
      <c r="AM396" s="498"/>
      <c r="AN396" s="498"/>
    </row>
    <row r="397" spans="1:40" ht="15.75" customHeight="1" thickBot="1">
      <c r="B397" s="497"/>
      <c r="C397" s="513"/>
      <c r="D397" s="504"/>
      <c r="E397" s="504"/>
      <c r="F397" s="545"/>
      <c r="G397" s="525"/>
      <c r="H397" s="504"/>
      <c r="I397" s="545"/>
      <c r="J397" s="525"/>
      <c r="K397" s="504"/>
      <c r="L397" s="545"/>
      <c r="M397" s="564"/>
      <c r="N397" s="563"/>
      <c r="O397" s="525"/>
      <c r="P397" s="504"/>
      <c r="Q397" s="545"/>
      <c r="R397" s="525"/>
      <c r="S397" s="718"/>
      <c r="T397" s="498"/>
      <c r="U397" s="498"/>
      <c r="V397" s="504"/>
      <c r="W397" s="498"/>
      <c r="X397" s="498"/>
      <c r="Y397" s="498"/>
      <c r="Z397" s="498"/>
      <c r="AA397" s="498"/>
      <c r="AB397" s="498"/>
      <c r="AC397" s="498"/>
      <c r="AD397" s="498"/>
      <c r="AE397" s="498"/>
      <c r="AF397" s="498"/>
      <c r="AG397" s="498"/>
      <c r="AH397" s="498"/>
      <c r="AI397" s="498"/>
      <c r="AJ397" s="498"/>
      <c r="AK397" s="498"/>
      <c r="AL397" s="498"/>
      <c r="AM397" s="498"/>
      <c r="AN397" s="498"/>
    </row>
    <row r="398" spans="1:40" ht="15.75" customHeight="1" thickTop="1" thickBot="1">
      <c r="B398" s="497"/>
      <c r="C398" s="721" t="s">
        <v>73</v>
      </c>
      <c r="D398" s="722"/>
      <c r="E398" s="722"/>
      <c r="F398" s="723">
        <v>0</v>
      </c>
      <c r="G398" s="724"/>
      <c r="H398" s="722"/>
      <c r="I398" s="723">
        <v>0</v>
      </c>
      <c r="J398" s="725"/>
      <c r="K398" s="726"/>
      <c r="L398" s="723">
        <v>0</v>
      </c>
      <c r="M398" s="724"/>
      <c r="N398" s="723">
        <v>0</v>
      </c>
      <c r="O398" s="725"/>
      <c r="P398" s="726"/>
      <c r="Q398" s="723">
        <v>0</v>
      </c>
      <c r="R398" s="725"/>
      <c r="S398" s="727">
        <v>0</v>
      </c>
      <c r="T398" s="498"/>
      <c r="U398" s="498"/>
      <c r="V398" s="504"/>
      <c r="W398" s="498"/>
      <c r="X398" s="498"/>
      <c r="Y398" s="498"/>
      <c r="Z398" s="498"/>
      <c r="AA398" s="498"/>
      <c r="AB398" s="498"/>
      <c r="AC398" s="498"/>
      <c r="AD398" s="498"/>
      <c r="AE398" s="498"/>
      <c r="AF398" s="498"/>
      <c r="AG398" s="498"/>
      <c r="AH398" s="498"/>
      <c r="AI398" s="498"/>
      <c r="AJ398" s="498"/>
      <c r="AK398" s="498"/>
      <c r="AL398" s="498"/>
      <c r="AM398" s="498"/>
      <c r="AN398" s="498"/>
    </row>
    <row r="399" spans="1:40" ht="15.75" customHeight="1" thickTop="1">
      <c r="B399" s="497"/>
      <c r="C399" s="562"/>
      <c r="D399" s="82"/>
      <c r="E399" s="504"/>
      <c r="F399" s="593"/>
      <c r="G399" s="82"/>
      <c r="H399" s="504"/>
      <c r="I399" s="593"/>
      <c r="J399" s="562"/>
      <c r="K399" s="562"/>
      <c r="L399" s="593"/>
      <c r="M399" s="562"/>
      <c r="N399" s="593"/>
      <c r="O399" s="562"/>
      <c r="P399" s="562"/>
      <c r="Q399" s="593"/>
      <c r="R399" s="562"/>
      <c r="S399" s="593"/>
      <c r="T399" s="504"/>
      <c r="U399" s="504"/>
      <c r="V399" s="504"/>
      <c r="W399" s="504"/>
      <c r="X399" s="504"/>
      <c r="Y399" s="504"/>
      <c r="Z399" s="504"/>
      <c r="AA399" s="504"/>
      <c r="AB399" s="504"/>
      <c r="AC399" s="504"/>
      <c r="AD399" s="504"/>
      <c r="AE399" s="504"/>
      <c r="AF399" s="504"/>
      <c r="AG399" s="504"/>
      <c r="AH399" s="504"/>
      <c r="AI399" s="504"/>
      <c r="AJ399" s="504"/>
      <c r="AK399" s="504"/>
      <c r="AL399" s="504"/>
      <c r="AM399" s="504"/>
      <c r="AN399" s="504"/>
    </row>
    <row r="400" spans="1:40" ht="15.75" customHeight="1">
      <c r="B400" s="497"/>
      <c r="C400" s="504"/>
      <c r="D400" s="504"/>
      <c r="E400" s="504"/>
      <c r="F400" s="504"/>
      <c r="G400" s="504"/>
      <c r="H400" s="504"/>
      <c r="I400" s="504"/>
      <c r="J400" s="565"/>
      <c r="K400" s="504"/>
      <c r="L400" s="498"/>
      <c r="M400" s="504"/>
      <c r="N400" s="504"/>
      <c r="O400" s="504"/>
      <c r="P400" s="504"/>
      <c r="Q400" s="504"/>
      <c r="R400" s="498"/>
      <c r="S400" s="728"/>
      <c r="T400" s="498"/>
      <c r="U400" s="498"/>
      <c r="V400" s="504"/>
      <c r="W400" s="498"/>
      <c r="X400" s="498"/>
      <c r="Y400" s="498"/>
      <c r="Z400" s="498"/>
      <c r="AA400" s="498"/>
      <c r="AB400" s="498"/>
      <c r="AC400" s="498"/>
      <c r="AD400" s="498"/>
      <c r="AE400" s="498"/>
      <c r="AF400" s="498"/>
      <c r="AG400" s="498"/>
      <c r="AH400" s="498"/>
      <c r="AI400" s="498"/>
      <c r="AJ400" s="498"/>
      <c r="AK400" s="498"/>
      <c r="AL400" s="498"/>
      <c r="AM400" s="498"/>
      <c r="AN400" s="498"/>
    </row>
    <row r="401" spans="1:61" ht="44.25" customHeight="1">
      <c r="B401" s="497"/>
      <c r="C401" s="498" t="s">
        <v>474</v>
      </c>
      <c r="D401" s="498"/>
      <c r="E401" s="498" t="s">
        <v>475</v>
      </c>
      <c r="F401" s="498"/>
      <c r="G401" s="498"/>
      <c r="H401" s="498"/>
      <c r="I401" s="498"/>
      <c r="J401" s="498"/>
      <c r="K401" s="498"/>
      <c r="L401" s="498"/>
      <c r="M401" s="729"/>
      <c r="N401" s="730"/>
      <c r="O401" s="729"/>
      <c r="P401" s="498"/>
      <c r="Q401" s="729"/>
      <c r="R401" s="498"/>
      <c r="S401" s="731"/>
      <c r="T401" s="498"/>
      <c r="U401" s="498"/>
      <c r="V401" s="496" t="s">
        <v>228</v>
      </c>
      <c r="W401" s="496"/>
      <c r="X401" s="496"/>
      <c r="Y401" s="496"/>
      <c r="Z401" s="494"/>
      <c r="AA401" s="494"/>
      <c r="AB401" s="496"/>
      <c r="AC401" s="496"/>
      <c r="AD401" s="494"/>
      <c r="AE401" s="3" t="s">
        <v>122</v>
      </c>
      <c r="AF401" s="496"/>
      <c r="AG401" s="496"/>
      <c r="AH401" s="494"/>
      <c r="AI401" s="494"/>
      <c r="AJ401" s="259"/>
      <c r="AK401" s="2"/>
      <c r="AL401" s="494"/>
      <c r="AM401" s="496"/>
      <c r="AN401" s="496"/>
      <c r="AO401" s="5" t="s">
        <v>499</v>
      </c>
      <c r="AP401" s="719"/>
      <c r="AQ401" s="719"/>
      <c r="AR401" s="719"/>
      <c r="AS401" s="719"/>
      <c r="AT401" s="719"/>
      <c r="AU401" s="719"/>
      <c r="AV401" s="719"/>
      <c r="AW401" s="719"/>
      <c r="AX401" s="719"/>
      <c r="AY401" s="719"/>
      <c r="AZ401" s="719"/>
      <c r="BA401" s="719"/>
      <c r="BB401" s="719"/>
      <c r="BC401" s="719"/>
      <c r="BD401" s="719"/>
      <c r="BE401" s="719"/>
      <c r="BF401" s="719"/>
      <c r="BG401" s="719"/>
      <c r="BH401" s="719"/>
      <c r="BI401" s="719"/>
    </row>
    <row r="402" spans="1:61" ht="15.75" customHeight="1" thickBot="1">
      <c r="B402" s="497"/>
      <c r="C402" s="498" t="s">
        <v>474</v>
      </c>
      <c r="D402" s="498"/>
      <c r="E402" s="498"/>
      <c r="F402" s="498"/>
      <c r="G402" s="498"/>
      <c r="H402" s="498"/>
      <c r="I402" s="498"/>
      <c r="J402" s="498"/>
      <c r="K402" s="498"/>
      <c r="L402" s="498"/>
      <c r="M402" s="729"/>
      <c r="N402" s="730"/>
      <c r="O402" s="729"/>
      <c r="P402" s="732"/>
      <c r="Q402" s="729"/>
      <c r="R402" s="498"/>
      <c r="S402" s="731"/>
      <c r="T402" s="498"/>
      <c r="U402" s="498"/>
      <c r="V402" s="260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498"/>
      <c r="AM402" s="498"/>
      <c r="AN402" s="498"/>
      <c r="AO402" s="498"/>
      <c r="AP402" s="719"/>
      <c r="AQ402" s="719"/>
      <c r="AR402" s="719"/>
      <c r="AS402" s="719"/>
      <c r="AT402" s="719"/>
      <c r="AU402" s="719"/>
      <c r="AV402" s="719"/>
      <c r="AW402" s="719"/>
      <c r="AX402" s="719"/>
      <c r="AY402" s="719"/>
      <c r="AZ402" s="719"/>
      <c r="BA402" s="719"/>
      <c r="BB402" s="719"/>
      <c r="BC402" s="719"/>
      <c r="BD402" s="719"/>
      <c r="BE402" s="719"/>
      <c r="BF402" s="719"/>
      <c r="BG402" s="719"/>
      <c r="BH402" s="719"/>
      <c r="BI402" s="719"/>
    </row>
    <row r="403" spans="1:61" ht="15.75" customHeight="1" thickTop="1" thickBot="1">
      <c r="A403" s="493" t="s">
        <v>476</v>
      </c>
      <c r="B403" s="497"/>
      <c r="C403" s="498" t="s">
        <v>474</v>
      </c>
      <c r="D403" s="498"/>
      <c r="E403" s="498"/>
      <c r="F403" s="498"/>
      <c r="G403" s="498"/>
      <c r="H403" s="498"/>
      <c r="I403" s="498"/>
      <c r="J403" s="498"/>
      <c r="K403" s="498"/>
      <c r="L403" s="498"/>
      <c r="M403" s="729"/>
      <c r="N403" s="730"/>
      <c r="O403" s="729"/>
      <c r="P403" s="732"/>
      <c r="Q403" s="729"/>
      <c r="R403" s="498"/>
      <c r="S403" s="731"/>
      <c r="T403" s="498"/>
      <c r="U403" s="498"/>
      <c r="V403" s="261"/>
      <c r="W403" s="490"/>
      <c r="X403" s="490" t="s">
        <v>123</v>
      </c>
      <c r="Y403" s="733"/>
      <c r="Z403" s="734"/>
      <c r="AA403" s="487" t="s">
        <v>75</v>
      </c>
      <c r="AB403" s="733"/>
      <c r="AC403" s="734"/>
      <c r="AD403" s="487" t="s">
        <v>7</v>
      </c>
      <c r="AE403" s="733"/>
      <c r="AF403" s="734"/>
      <c r="AG403" s="487" t="s">
        <v>124</v>
      </c>
      <c r="AH403" s="733"/>
      <c r="AI403" s="734"/>
      <c r="AJ403" s="487" t="s">
        <v>125</v>
      </c>
      <c r="AK403" s="733"/>
      <c r="AL403" s="733"/>
      <c r="AM403" s="487" t="s">
        <v>126</v>
      </c>
      <c r="AN403" s="733"/>
      <c r="AO403" s="735"/>
      <c r="AP403" s="719"/>
      <c r="AQ403" s="719"/>
      <c r="AR403" s="719"/>
      <c r="AS403" s="719"/>
      <c r="AT403" s="719"/>
      <c r="AU403" s="719"/>
      <c r="AV403" s="719"/>
      <c r="AW403" s="719"/>
      <c r="AX403" s="719"/>
      <c r="AY403" s="719"/>
      <c r="AZ403" s="719"/>
      <c r="BA403" s="719"/>
      <c r="BB403" s="719"/>
      <c r="BC403" s="719"/>
      <c r="BD403" s="719"/>
      <c r="BE403" s="719"/>
      <c r="BF403" s="719"/>
      <c r="BG403" s="719"/>
      <c r="BH403" s="719"/>
      <c r="BI403" s="719"/>
    </row>
    <row r="404" spans="1:61" ht="15.75" customHeight="1">
      <c r="A404" s="493" t="s">
        <v>476</v>
      </c>
      <c r="B404" s="497"/>
      <c r="C404" s="498" t="s">
        <v>474</v>
      </c>
      <c r="D404" s="498"/>
      <c r="E404" s="498"/>
      <c r="F404" s="498"/>
      <c r="G404" s="498"/>
      <c r="H404" s="498"/>
      <c r="I404" s="498"/>
      <c r="J404" s="498"/>
      <c r="M404" s="736"/>
      <c r="N404" s="737"/>
      <c r="O404" s="729"/>
      <c r="P404" s="732"/>
      <c r="Q404" s="738"/>
      <c r="R404" s="498"/>
      <c r="S404" s="731"/>
      <c r="T404" s="498"/>
      <c r="U404" s="498"/>
      <c r="V404" s="568"/>
      <c r="W404" s="263" t="s">
        <v>127</v>
      </c>
      <c r="X404" s="263" t="s">
        <v>128</v>
      </c>
      <c r="Y404" s="263" t="s">
        <v>129</v>
      </c>
      <c r="Z404" s="264" t="s">
        <v>130</v>
      </c>
      <c r="AA404" s="263" t="s">
        <v>128</v>
      </c>
      <c r="AB404" s="263" t="s">
        <v>129</v>
      </c>
      <c r="AC404" s="264" t="s">
        <v>130</v>
      </c>
      <c r="AD404" s="265" t="s">
        <v>128</v>
      </c>
      <c r="AE404" s="263" t="s">
        <v>129</v>
      </c>
      <c r="AF404" s="263" t="s">
        <v>130</v>
      </c>
      <c r="AG404" s="265" t="s">
        <v>131</v>
      </c>
      <c r="AH404" s="263" t="s">
        <v>132</v>
      </c>
      <c r="AI404" s="263" t="s">
        <v>133</v>
      </c>
      <c r="AJ404" s="265" t="s">
        <v>128</v>
      </c>
      <c r="AK404" s="263" t="s">
        <v>129</v>
      </c>
      <c r="AL404" s="263" t="s">
        <v>130</v>
      </c>
      <c r="AM404" s="266" t="s">
        <v>131</v>
      </c>
      <c r="AN404" s="263" t="s">
        <v>132</v>
      </c>
      <c r="AO404" s="142" t="s">
        <v>133</v>
      </c>
      <c r="AP404" s="719"/>
      <c r="AQ404" s="719"/>
      <c r="AR404" s="719"/>
      <c r="AS404" s="719"/>
      <c r="AT404" s="719"/>
      <c r="AU404" s="719"/>
      <c r="AV404" s="719"/>
      <c r="AW404" s="719"/>
      <c r="AX404" s="719"/>
      <c r="AY404" s="719"/>
      <c r="AZ404" s="719"/>
      <c r="BA404" s="719"/>
      <c r="BB404" s="719"/>
      <c r="BC404" s="719"/>
      <c r="BD404" s="719"/>
      <c r="BE404" s="719"/>
      <c r="BF404" s="719"/>
      <c r="BG404" s="719"/>
      <c r="BH404" s="719"/>
      <c r="BI404" s="719"/>
    </row>
    <row r="405" spans="1:61" ht="15.75" customHeight="1">
      <c r="A405" s="493" t="s">
        <v>16</v>
      </c>
      <c r="B405" s="497"/>
      <c r="C405" s="498" t="s">
        <v>474</v>
      </c>
      <c r="D405" s="498"/>
      <c r="E405" s="498"/>
      <c r="F405" s="498"/>
      <c r="G405" s="498"/>
      <c r="H405" s="498"/>
      <c r="I405" s="729"/>
      <c r="J405" s="739"/>
      <c r="L405" s="498"/>
      <c r="M405" s="729"/>
      <c r="N405" s="730"/>
      <c r="O405" s="730"/>
      <c r="P405" s="732"/>
      <c r="Q405" s="740"/>
      <c r="R405" s="719"/>
      <c r="S405" s="731"/>
      <c r="T405" s="719"/>
      <c r="U405" s="719"/>
      <c r="V405" s="586" t="s">
        <v>16</v>
      </c>
      <c r="W405" s="741"/>
      <c r="X405" s="741"/>
      <c r="Y405" s="741"/>
      <c r="Z405" s="742">
        <v>5215482.7763500381</v>
      </c>
      <c r="AA405" s="741"/>
      <c r="AB405" s="741"/>
      <c r="AC405" s="742">
        <v>5215482.7763500381</v>
      </c>
      <c r="AD405" s="743"/>
      <c r="AE405" s="744"/>
      <c r="AF405" s="744">
        <v>5523213.8900000006</v>
      </c>
      <c r="AG405" s="743"/>
      <c r="AH405" s="744"/>
      <c r="AI405" s="745"/>
      <c r="AJ405" s="743"/>
      <c r="AK405" s="744"/>
      <c r="AL405" s="744">
        <v>5900774.6799999988</v>
      </c>
      <c r="AM405" s="746"/>
      <c r="AN405" s="744"/>
      <c r="AO405" s="747"/>
      <c r="AP405" s="719"/>
      <c r="AQ405" s="719"/>
      <c r="AR405" s="719"/>
      <c r="AS405" s="719"/>
      <c r="AT405" s="719"/>
      <c r="AU405" s="719"/>
      <c r="AV405" s="719"/>
      <c r="AW405" s="719"/>
      <c r="AX405" s="719"/>
      <c r="AY405" s="719"/>
      <c r="AZ405" s="719"/>
      <c r="BA405" s="719"/>
      <c r="BB405" s="719"/>
      <c r="BC405" s="719"/>
      <c r="BD405" s="719"/>
      <c r="BE405" s="719"/>
      <c r="BF405" s="719"/>
      <c r="BG405" s="719"/>
      <c r="BH405" s="719"/>
      <c r="BI405" s="719"/>
    </row>
    <row r="406" spans="1:61" ht="15.75" customHeight="1">
      <c r="A406" s="493" t="s">
        <v>134</v>
      </c>
      <c r="B406" s="497"/>
      <c r="C406" s="498" t="s">
        <v>474</v>
      </c>
      <c r="D406" s="498"/>
      <c r="E406" s="498"/>
      <c r="F406" s="498"/>
      <c r="G406" s="498"/>
      <c r="H406" s="498"/>
      <c r="I406" s="729"/>
      <c r="J406" s="739"/>
      <c r="L406" s="498"/>
      <c r="M406" s="729"/>
      <c r="N406" s="730"/>
      <c r="O406" s="729"/>
      <c r="P406" s="732"/>
      <c r="Q406" s="729"/>
      <c r="R406" s="719"/>
      <c r="S406" s="731"/>
      <c r="T406" s="719"/>
      <c r="U406" s="719"/>
      <c r="V406" s="748" t="s">
        <v>134</v>
      </c>
      <c r="W406" s="749"/>
      <c r="X406" s="749"/>
      <c r="Y406" s="749"/>
      <c r="Z406" s="750">
        <v>694233.42505536077</v>
      </c>
      <c r="AA406" s="749"/>
      <c r="AB406" s="749"/>
      <c r="AC406" s="750">
        <v>694233.42505536077</v>
      </c>
      <c r="AD406" s="751"/>
      <c r="AE406" s="752"/>
      <c r="AF406" s="752">
        <v>797861.77000000014</v>
      </c>
      <c r="AG406" s="751"/>
      <c r="AH406" s="752">
        <v>103628.34494463936</v>
      </c>
      <c r="AI406" s="753">
        <v>0.14927017513795976</v>
      </c>
      <c r="AJ406" s="751"/>
      <c r="AK406" s="752"/>
      <c r="AL406" s="752">
        <v>685728.85000000009</v>
      </c>
      <c r="AM406" s="754"/>
      <c r="AN406" s="752">
        <v>112132.92000000004</v>
      </c>
      <c r="AO406" s="755">
        <v>0.16352370182470816</v>
      </c>
      <c r="AP406" s="719"/>
      <c r="AQ406" s="719"/>
      <c r="AR406" s="719"/>
      <c r="AS406" s="719"/>
      <c r="AT406" s="719"/>
      <c r="AU406" s="719"/>
      <c r="AV406" s="719"/>
      <c r="AW406" s="719"/>
      <c r="AX406" s="719"/>
      <c r="AY406" s="719"/>
      <c r="AZ406" s="719"/>
      <c r="BA406" s="719"/>
      <c r="BB406" s="719"/>
      <c r="BC406" s="719"/>
      <c r="BD406" s="719"/>
      <c r="BE406" s="719"/>
      <c r="BF406" s="719"/>
      <c r="BG406" s="719"/>
      <c r="BH406" s="719"/>
      <c r="BI406" s="719"/>
    </row>
    <row r="407" spans="1:61" ht="15.75" customHeight="1">
      <c r="A407" s="493" t="s">
        <v>135</v>
      </c>
      <c r="B407" s="497"/>
      <c r="C407" s="498" t="s">
        <v>474</v>
      </c>
      <c r="D407" s="498"/>
      <c r="E407" s="498"/>
      <c r="F407" s="498"/>
      <c r="G407" s="498"/>
      <c r="H407" s="498"/>
      <c r="I407" s="626"/>
      <c r="J407" s="739"/>
      <c r="L407" s="498"/>
      <c r="M407" s="729"/>
      <c r="N407" s="730"/>
      <c r="O407" s="729"/>
      <c r="P407" s="732"/>
      <c r="Q407" s="729"/>
      <c r="R407" s="719"/>
      <c r="S407" s="731"/>
      <c r="T407" s="719"/>
      <c r="U407" s="719"/>
      <c r="V407" s="756" t="s">
        <v>135</v>
      </c>
      <c r="W407" s="757"/>
      <c r="X407" s="757"/>
      <c r="Y407" s="757"/>
      <c r="Z407" s="758"/>
      <c r="AA407" s="757"/>
      <c r="AB407" s="757"/>
      <c r="AC407" s="758"/>
      <c r="AD407" s="759"/>
      <c r="AE407" s="757"/>
      <c r="AF407" s="760"/>
      <c r="AG407" s="759"/>
      <c r="AH407" s="760"/>
      <c r="AI407" s="761"/>
      <c r="AJ407" s="759"/>
      <c r="AK407" s="757"/>
      <c r="AL407" s="760"/>
      <c r="AM407" s="762"/>
      <c r="AN407" s="760"/>
      <c r="AO407" s="763"/>
      <c r="AP407" s="719"/>
      <c r="AQ407" s="719"/>
      <c r="AR407" s="719"/>
      <c r="AS407" s="719"/>
      <c r="AT407" s="719"/>
      <c r="AU407" s="719"/>
      <c r="AV407" s="719"/>
      <c r="AW407" s="719"/>
      <c r="AX407" s="719"/>
      <c r="AY407" s="719"/>
      <c r="AZ407" s="719"/>
      <c r="BA407" s="719"/>
      <c r="BB407" s="719"/>
      <c r="BC407" s="719"/>
      <c r="BD407" s="719"/>
      <c r="BE407" s="719"/>
      <c r="BF407" s="719"/>
      <c r="BG407" s="719"/>
      <c r="BH407" s="719"/>
      <c r="BI407" s="719"/>
    </row>
    <row r="408" spans="1:61" ht="15.75" customHeight="1">
      <c r="A408" s="493" t="s">
        <v>32</v>
      </c>
      <c r="B408" s="497"/>
      <c r="C408" s="498" t="s">
        <v>474</v>
      </c>
      <c r="D408" s="498"/>
      <c r="E408" s="498"/>
      <c r="F408" s="498"/>
      <c r="G408" s="498"/>
      <c r="H408" s="498"/>
      <c r="I408" s="729"/>
      <c r="J408" s="739"/>
      <c r="L408" s="498"/>
      <c r="M408" s="729"/>
      <c r="N408" s="730"/>
      <c r="O408" s="729"/>
      <c r="P408" s="732"/>
      <c r="Q408" s="729"/>
      <c r="R408" s="719"/>
      <c r="S408" s="731"/>
      <c r="T408" s="719"/>
      <c r="U408" s="719"/>
      <c r="V408" s="585" t="s">
        <v>32</v>
      </c>
      <c r="W408" s="290" t="s">
        <v>136</v>
      </c>
      <c r="X408" s="757"/>
      <c r="Y408" s="764">
        <v>596.91497446734923</v>
      </c>
      <c r="Z408" s="758">
        <v>68407.517380264457</v>
      </c>
      <c r="AA408" s="757"/>
      <c r="AB408" s="764">
        <v>596.91497446734923</v>
      </c>
      <c r="AC408" s="758">
        <v>68407.517380264457</v>
      </c>
      <c r="AD408" s="765"/>
      <c r="AE408" s="764">
        <v>932.84636363636355</v>
      </c>
      <c r="AF408" s="758">
        <v>82090.48</v>
      </c>
      <c r="AG408" s="759">
        <v>335.93138916901432</v>
      </c>
      <c r="AH408" s="760">
        <v>13682.962619735539</v>
      </c>
      <c r="AI408" s="761">
        <v>0.20002133016572632</v>
      </c>
      <c r="AJ408" s="765"/>
      <c r="AK408" s="760">
        <v>590.54139344262296</v>
      </c>
      <c r="AL408" s="758">
        <v>72046.05</v>
      </c>
      <c r="AM408" s="762">
        <v>335.93138916901432</v>
      </c>
      <c r="AN408" s="760">
        <v>10044.429999999993</v>
      </c>
      <c r="AO408" s="766">
        <v>0.13941680355827962</v>
      </c>
      <c r="AP408" s="719"/>
      <c r="AQ408" s="719"/>
      <c r="AR408" s="497"/>
      <c r="AS408" s="719"/>
      <c r="AT408" s="719"/>
      <c r="AU408" s="719"/>
      <c r="AV408" s="719"/>
      <c r="AW408" s="719"/>
      <c r="AX408" s="719"/>
      <c r="AY408" s="719"/>
      <c r="AZ408" s="719"/>
      <c r="BA408" s="719"/>
      <c r="BB408" s="719"/>
      <c r="BC408" s="719"/>
      <c r="BD408" s="719"/>
      <c r="BE408" s="719"/>
      <c r="BF408" s="719"/>
      <c r="BG408" s="719"/>
      <c r="BH408" s="719"/>
      <c r="BI408" s="719"/>
    </row>
    <row r="409" spans="1:61" ht="15.75" customHeight="1">
      <c r="A409" s="493" t="s">
        <v>33</v>
      </c>
      <c r="B409" s="497"/>
      <c r="C409" s="498" t="s">
        <v>474</v>
      </c>
      <c r="D409" s="498"/>
      <c r="E409" s="498"/>
      <c r="F409" s="498"/>
      <c r="G409" s="498"/>
      <c r="H409" s="498"/>
      <c r="I409" s="729"/>
      <c r="J409" s="739"/>
      <c r="M409" s="736"/>
      <c r="N409" s="730"/>
      <c r="O409" s="736"/>
      <c r="Q409" s="738"/>
      <c r="R409" s="719"/>
      <c r="S409" s="731"/>
      <c r="T409" s="719"/>
      <c r="U409" s="719"/>
      <c r="V409" s="586" t="s">
        <v>33</v>
      </c>
      <c r="W409" s="294" t="s">
        <v>137</v>
      </c>
      <c r="X409" s="741"/>
      <c r="Y409" s="767">
        <v>394.78195325142599</v>
      </c>
      <c r="Z409" s="742">
        <v>45242.713759292499</v>
      </c>
      <c r="AA409" s="741"/>
      <c r="AB409" s="767">
        <v>394.78195325142599</v>
      </c>
      <c r="AC409" s="742">
        <v>45242.713759292499</v>
      </c>
      <c r="AD409" s="768"/>
      <c r="AE409" s="767">
        <v>562.55465909090901</v>
      </c>
      <c r="AF409" s="742">
        <v>49504.81</v>
      </c>
      <c r="AG409" s="743">
        <v>167.77270583948302</v>
      </c>
      <c r="AH409" s="744">
        <v>4262.0962407074985</v>
      </c>
      <c r="AI409" s="769">
        <v>9.4205141260610109E-2</v>
      </c>
      <c r="AJ409" s="768"/>
      <c r="AK409" s="744">
        <v>370.44098360655738</v>
      </c>
      <c r="AL409" s="742">
        <v>45193.8</v>
      </c>
      <c r="AM409" s="746">
        <v>167.77270583948302</v>
      </c>
      <c r="AN409" s="744">
        <v>4311.0099999999948</v>
      </c>
      <c r="AO409" s="770">
        <v>9.5389411821975453E-2</v>
      </c>
      <c r="AP409" s="719"/>
      <c r="AQ409" s="719"/>
      <c r="AR409" s="504"/>
      <c r="AS409" s="719"/>
      <c r="AT409" s="719"/>
      <c r="AU409" s="719"/>
      <c r="AV409" s="719"/>
      <c r="AW409" s="719"/>
      <c r="AX409" s="719"/>
      <c r="AY409" s="719"/>
      <c r="AZ409" s="719"/>
      <c r="BA409" s="719"/>
      <c r="BB409" s="719"/>
      <c r="BC409" s="719"/>
      <c r="BD409" s="719"/>
      <c r="BE409" s="719"/>
      <c r="BF409" s="719"/>
      <c r="BG409" s="719"/>
      <c r="BH409" s="719"/>
      <c r="BI409" s="719"/>
    </row>
    <row r="410" spans="1:61" ht="15.75" customHeight="1">
      <c r="A410" s="493" t="s">
        <v>34</v>
      </c>
      <c r="B410" s="497"/>
      <c r="C410" s="498" t="s">
        <v>474</v>
      </c>
      <c r="D410" s="498"/>
      <c r="E410" s="498"/>
      <c r="F410" s="498"/>
      <c r="G410" s="498"/>
      <c r="H410" s="498"/>
      <c r="I410" s="729"/>
      <c r="J410" s="498"/>
      <c r="L410" s="498"/>
      <c r="M410" s="736"/>
      <c r="N410" s="730"/>
      <c r="O410" s="730"/>
      <c r="P410" s="732"/>
      <c r="Q410" s="740"/>
      <c r="R410" s="719"/>
      <c r="S410" s="731"/>
      <c r="T410" s="719"/>
      <c r="U410" s="719"/>
      <c r="V410" s="585" t="s">
        <v>34</v>
      </c>
      <c r="W410" s="290" t="s">
        <v>138</v>
      </c>
      <c r="X410" s="757"/>
      <c r="Y410" s="764">
        <v>136.00154572624527</v>
      </c>
      <c r="Z410" s="758">
        <v>15586.018949035179</v>
      </c>
      <c r="AA410" s="757"/>
      <c r="AB410" s="764">
        <v>136.00154572624527</v>
      </c>
      <c r="AC410" s="758">
        <v>15586.018949035179</v>
      </c>
      <c r="AD410" s="765"/>
      <c r="AE410" s="764">
        <v>54.646363636363638</v>
      </c>
      <c r="AF410" s="758">
        <v>4808.88</v>
      </c>
      <c r="AG410" s="759">
        <v>-81.355182089881623</v>
      </c>
      <c r="AH410" s="760">
        <v>-10777.138949035179</v>
      </c>
      <c r="AI410" s="761">
        <v>-0.69146194318609611</v>
      </c>
      <c r="AJ410" s="765"/>
      <c r="AK410" s="760">
        <v>73.45926229508197</v>
      </c>
      <c r="AL410" s="758">
        <v>8962.0300000000007</v>
      </c>
      <c r="AM410" s="762">
        <v>-81.355182089881623</v>
      </c>
      <c r="AN410" s="760">
        <v>-4153.1500000000005</v>
      </c>
      <c r="AO410" s="766">
        <v>-0.46341621262147081</v>
      </c>
      <c r="AP410" s="719"/>
      <c r="AQ410" s="719"/>
      <c r="AR410" s="504"/>
      <c r="AS410" s="719"/>
      <c r="AT410" s="719"/>
      <c r="AU410" s="719"/>
      <c r="AV410" s="719"/>
      <c r="AW410" s="719"/>
      <c r="AX410" s="719"/>
      <c r="AY410" s="719"/>
      <c r="AZ410" s="719"/>
      <c r="BA410" s="719"/>
      <c r="BB410" s="719"/>
      <c r="BC410" s="719"/>
      <c r="BD410" s="719"/>
      <c r="BE410" s="719"/>
      <c r="BF410" s="719"/>
      <c r="BG410" s="719"/>
      <c r="BH410" s="719"/>
      <c r="BI410" s="719"/>
    </row>
    <row r="411" spans="1:61" ht="15.75" customHeight="1">
      <c r="A411" s="493" t="s">
        <v>35</v>
      </c>
      <c r="B411" s="497"/>
      <c r="C411" s="498" t="s">
        <v>474</v>
      </c>
      <c r="D411" s="498"/>
      <c r="E411" s="498"/>
      <c r="F411" s="498"/>
      <c r="G411" s="498"/>
      <c r="H411" s="498"/>
      <c r="I411" s="498"/>
      <c r="J411" s="498"/>
      <c r="L411" s="498"/>
      <c r="M411" s="729"/>
      <c r="N411" s="730"/>
      <c r="O411" s="729"/>
      <c r="P411" s="732"/>
      <c r="Q411" s="729"/>
      <c r="R411" s="719"/>
      <c r="S411" s="731"/>
      <c r="T411" s="719"/>
      <c r="U411" s="719"/>
      <c r="V411" s="585" t="s">
        <v>35</v>
      </c>
      <c r="W411" s="290" t="s">
        <v>139</v>
      </c>
      <c r="X411" s="757"/>
      <c r="Y411" s="764">
        <v>18.690701104059087</v>
      </c>
      <c r="Z411" s="758">
        <v>2141.9875783250059</v>
      </c>
      <c r="AA411" s="757"/>
      <c r="AB411" s="764">
        <v>18.690701104059087</v>
      </c>
      <c r="AC411" s="758">
        <v>2141.9875783250059</v>
      </c>
      <c r="AD411" s="765"/>
      <c r="AE411" s="764">
        <v>6.5939772727272725</v>
      </c>
      <c r="AF411" s="758">
        <v>580.27</v>
      </c>
      <c r="AG411" s="759">
        <v>-12.096723831331815</v>
      </c>
      <c r="AH411" s="760">
        <v>-1561.7175783250059</v>
      </c>
      <c r="AI411" s="761">
        <v>-0.72909740193089245</v>
      </c>
      <c r="AJ411" s="765"/>
      <c r="AK411" s="760">
        <v>5.8828688524590165</v>
      </c>
      <c r="AL411" s="758">
        <v>717.71</v>
      </c>
      <c r="AM411" s="762">
        <v>-12.096723831331815</v>
      </c>
      <c r="AN411" s="760">
        <v>-137.44000000000005</v>
      </c>
      <c r="AO411" s="771">
        <v>-0.19149795878558198</v>
      </c>
      <c r="AP411" s="719"/>
      <c r="AQ411" s="719"/>
      <c r="AR411" s="504"/>
      <c r="AS411" s="719"/>
      <c r="AT411" s="719"/>
      <c r="AU411" s="719"/>
      <c r="AV411" s="719"/>
      <c r="AW411" s="719"/>
      <c r="AX411" s="719"/>
      <c r="AY411" s="719"/>
      <c r="AZ411" s="719"/>
      <c r="BA411" s="719"/>
      <c r="BB411" s="719"/>
      <c r="BC411" s="719"/>
      <c r="BD411" s="719"/>
      <c r="BE411" s="719"/>
      <c r="BF411" s="719"/>
      <c r="BG411" s="719"/>
      <c r="BH411" s="719"/>
      <c r="BI411" s="719"/>
    </row>
    <row r="412" spans="1:61" ht="15.75" customHeight="1">
      <c r="A412" s="493" t="s">
        <v>36</v>
      </c>
      <c r="B412" s="497"/>
      <c r="C412" s="498" t="s">
        <v>474</v>
      </c>
      <c r="D412" s="498"/>
      <c r="E412" s="498"/>
      <c r="F412" s="498"/>
      <c r="G412" s="498"/>
      <c r="H412" s="498"/>
      <c r="I412" s="498"/>
      <c r="J412" s="498"/>
      <c r="L412" s="498"/>
      <c r="M412" s="729"/>
      <c r="N412" s="730"/>
      <c r="O412" s="729"/>
      <c r="P412" s="732"/>
      <c r="Q412" s="729"/>
      <c r="R412" s="719"/>
      <c r="S412" s="731"/>
      <c r="T412" s="719"/>
      <c r="U412" s="719"/>
      <c r="V412" s="586" t="s">
        <v>36</v>
      </c>
      <c r="W412" s="294"/>
      <c r="X412" s="741"/>
      <c r="Y412" s="767">
        <v>48.305871919155102</v>
      </c>
      <c r="Z412" s="742">
        <v>5535.9388090860903</v>
      </c>
      <c r="AA412" s="741"/>
      <c r="AB412" s="767">
        <v>48.305871919155102</v>
      </c>
      <c r="AC412" s="742">
        <v>5535.9388090860903</v>
      </c>
      <c r="AD412" s="768"/>
      <c r="AE412" s="767">
        <v>104.83363636363637</v>
      </c>
      <c r="AF412" s="742">
        <v>9225.36</v>
      </c>
      <c r="AG412" s="743">
        <v>56.527764444481271</v>
      </c>
      <c r="AH412" s="744">
        <v>3689.4211909139103</v>
      </c>
      <c r="AI412" s="769">
        <v>0.66644905555287104</v>
      </c>
      <c r="AJ412" s="768"/>
      <c r="AK412" s="744">
        <v>46.078934426229509</v>
      </c>
      <c r="AL412" s="742">
        <v>5621.63</v>
      </c>
      <c r="AM412" s="746">
        <v>56.527764444481271</v>
      </c>
      <c r="AN412" s="744">
        <v>3603.7300000000005</v>
      </c>
      <c r="AO412" s="770">
        <v>0.64104716959316077</v>
      </c>
      <c r="AP412" s="719"/>
      <c r="AQ412" s="719"/>
      <c r="AR412" s="504"/>
      <c r="AS412" s="719"/>
      <c r="AT412" s="719"/>
      <c r="AU412" s="719"/>
      <c r="AV412" s="719"/>
      <c r="AW412" s="719"/>
      <c r="AX412" s="719"/>
      <c r="AY412" s="719"/>
      <c r="AZ412" s="719"/>
      <c r="BA412" s="719"/>
      <c r="BB412" s="719"/>
      <c r="BC412" s="719"/>
      <c r="BD412" s="719"/>
      <c r="BE412" s="719"/>
      <c r="BF412" s="719"/>
      <c r="BG412" s="719"/>
      <c r="BH412" s="719"/>
      <c r="BI412" s="719"/>
    </row>
    <row r="413" spans="1:61" ht="15.75" customHeight="1">
      <c r="A413" s="493" t="s">
        <v>37</v>
      </c>
      <c r="B413" s="497"/>
      <c r="C413" s="498" t="s">
        <v>474</v>
      </c>
      <c r="D413" s="498"/>
      <c r="E413" s="498"/>
      <c r="F413" s="498"/>
      <c r="G413" s="498"/>
      <c r="H413" s="498"/>
      <c r="I413" s="498"/>
      <c r="J413" s="498"/>
      <c r="L413" s="498"/>
      <c r="M413" s="729"/>
      <c r="N413" s="730"/>
      <c r="O413" s="729"/>
      <c r="P413" s="732"/>
      <c r="Q413" s="729"/>
      <c r="R413" s="719"/>
      <c r="S413" s="731"/>
      <c r="T413" s="719"/>
      <c r="U413" s="719"/>
      <c r="V413" s="585" t="s">
        <v>37</v>
      </c>
      <c r="W413" s="290" t="s">
        <v>140</v>
      </c>
      <c r="X413" s="761"/>
      <c r="Y413" s="764">
        <v>142.5656419223815</v>
      </c>
      <c r="Z413" s="758">
        <v>16338.276043981754</v>
      </c>
      <c r="AA413" s="761"/>
      <c r="AB413" s="764">
        <v>142.5656419223815</v>
      </c>
      <c r="AC413" s="758">
        <v>16338.276043981754</v>
      </c>
      <c r="AD413" s="765"/>
      <c r="AE413" s="764">
        <v>156.64750000000001</v>
      </c>
      <c r="AF413" s="758">
        <v>13784.98</v>
      </c>
      <c r="AG413" s="759">
        <v>14.081858077618506</v>
      </c>
      <c r="AH413" s="760">
        <v>-2553.2960439817543</v>
      </c>
      <c r="AI413" s="761">
        <v>-0.15627695584946782</v>
      </c>
      <c r="AJ413" s="765"/>
      <c r="AK413" s="760">
        <v>91.212622950819679</v>
      </c>
      <c r="AL413" s="758">
        <v>11127.94</v>
      </c>
      <c r="AM413" s="762">
        <v>14.081858077618506</v>
      </c>
      <c r="AN413" s="760">
        <v>2657.0399999999991</v>
      </c>
      <c r="AO413" s="766">
        <v>0.2387719559954492</v>
      </c>
      <c r="AP413" s="719"/>
      <c r="AQ413" s="719"/>
      <c r="AR413" s="504"/>
      <c r="AS413" s="719"/>
      <c r="AT413" s="719"/>
      <c r="AU413" s="719"/>
      <c r="AV413" s="719"/>
      <c r="AW413" s="719"/>
      <c r="AX413" s="719"/>
      <c r="AY413" s="719"/>
      <c r="AZ413" s="719"/>
      <c r="BA413" s="719"/>
      <c r="BB413" s="719"/>
      <c r="BC413" s="719"/>
      <c r="BD413" s="719"/>
      <c r="BE413" s="719"/>
      <c r="BF413" s="719"/>
      <c r="BG413" s="719"/>
      <c r="BH413" s="719"/>
      <c r="BI413" s="719"/>
    </row>
    <row r="414" spans="1:61" ht="15.75" customHeight="1">
      <c r="A414" s="493" t="s">
        <v>38</v>
      </c>
      <c r="B414" s="497"/>
      <c r="C414" s="498" t="s">
        <v>474</v>
      </c>
      <c r="D414" s="498"/>
      <c r="E414" s="498"/>
      <c r="F414" s="498"/>
      <c r="G414" s="498"/>
      <c r="H414" s="498"/>
      <c r="I414" s="498"/>
      <c r="J414" s="498"/>
      <c r="L414" s="498"/>
      <c r="M414" s="729"/>
      <c r="N414" s="729"/>
      <c r="O414" s="729"/>
      <c r="Q414" s="729"/>
      <c r="R414" s="719"/>
      <c r="S414" s="731"/>
      <c r="T414" s="719"/>
      <c r="U414" s="719"/>
      <c r="V414" s="585" t="s">
        <v>38</v>
      </c>
      <c r="W414" s="290" t="s">
        <v>141</v>
      </c>
      <c r="X414" s="757"/>
      <c r="Y414" s="764">
        <v>69.000053298476843</v>
      </c>
      <c r="Z414" s="758">
        <v>7907.5287891155349</v>
      </c>
      <c r="AA414" s="757"/>
      <c r="AB414" s="764">
        <v>69.000053298476843</v>
      </c>
      <c r="AC414" s="758">
        <v>7907.5287891155349</v>
      </c>
      <c r="AD414" s="765"/>
      <c r="AE414" s="764">
        <v>37.729326923076925</v>
      </c>
      <c r="AF414" s="758">
        <v>3923.85</v>
      </c>
      <c r="AG414" s="759">
        <v>-31.270726375399917</v>
      </c>
      <c r="AH414" s="760">
        <v>-3983.678789115535</v>
      </c>
      <c r="AI414" s="761">
        <v>-0.50378302695513977</v>
      </c>
      <c r="AJ414" s="765"/>
      <c r="AK414" s="760">
        <v>119.43352459016393</v>
      </c>
      <c r="AL414" s="758">
        <v>14570.89</v>
      </c>
      <c r="AM414" s="762">
        <v>-31.270726375399917</v>
      </c>
      <c r="AN414" s="760">
        <v>-10647.039999999999</v>
      </c>
      <c r="AO414" s="766">
        <v>-0.73070622316138545</v>
      </c>
      <c r="AP414" s="719"/>
      <c r="AQ414" s="719"/>
      <c r="AR414" s="504"/>
      <c r="AS414" s="719"/>
      <c r="AT414" s="719"/>
      <c r="AU414" s="719"/>
      <c r="AV414" s="719"/>
      <c r="AW414" s="719"/>
      <c r="AX414" s="719"/>
      <c r="AY414" s="719"/>
      <c r="AZ414" s="719"/>
      <c r="BA414" s="719"/>
      <c r="BB414" s="719"/>
      <c r="BC414" s="719"/>
      <c r="BD414" s="719"/>
      <c r="BE414" s="719"/>
      <c r="BF414" s="719"/>
      <c r="BG414" s="719"/>
      <c r="BH414" s="719"/>
      <c r="BI414" s="719"/>
    </row>
    <row r="415" spans="1:61" ht="15.75" hidden="1" customHeight="1">
      <c r="A415" s="493" t="s">
        <v>21</v>
      </c>
      <c r="B415" s="497"/>
      <c r="C415" s="498" t="s">
        <v>474</v>
      </c>
      <c r="D415" s="498"/>
      <c r="E415" s="498"/>
      <c r="F415" s="498"/>
      <c r="G415" s="498"/>
      <c r="H415" s="498"/>
      <c r="I415" s="498"/>
      <c r="J415" s="498"/>
      <c r="L415" s="498"/>
      <c r="M415" s="498"/>
      <c r="N415" s="498"/>
      <c r="O415" s="730"/>
      <c r="P415" s="732"/>
      <c r="Q415" s="729"/>
      <c r="R415" s="719"/>
      <c r="S415" s="731"/>
      <c r="T415" s="719"/>
      <c r="U415" s="719"/>
      <c r="V415" s="585" t="s">
        <v>21</v>
      </c>
      <c r="W415" s="290"/>
      <c r="X415" s="761"/>
      <c r="Y415" s="764">
        <v>0</v>
      </c>
      <c r="Z415" s="758">
        <v>0</v>
      </c>
      <c r="AA415" s="757"/>
      <c r="AB415" s="764">
        <v>0</v>
      </c>
      <c r="AC415" s="758">
        <v>0</v>
      </c>
      <c r="AD415" s="765"/>
      <c r="AE415" s="764">
        <v>0</v>
      </c>
      <c r="AF415" s="758">
        <v>0</v>
      </c>
      <c r="AG415" s="759">
        <v>0</v>
      </c>
      <c r="AH415" s="760">
        <v>0</v>
      </c>
      <c r="AI415" s="761">
        <v>0</v>
      </c>
      <c r="AJ415" s="765"/>
      <c r="AK415" s="760">
        <v>0</v>
      </c>
      <c r="AL415" s="758">
        <v>0</v>
      </c>
      <c r="AM415" s="762">
        <v>0</v>
      </c>
      <c r="AN415" s="760">
        <v>0</v>
      </c>
      <c r="AO415" s="766">
        <v>0</v>
      </c>
      <c r="AP415" s="719"/>
      <c r="AQ415" s="719"/>
      <c r="AR415" s="504"/>
      <c r="AS415" s="719"/>
      <c r="AT415" s="719"/>
      <c r="AU415" s="719"/>
      <c r="AV415" s="719"/>
      <c r="AW415" s="719"/>
      <c r="AX415" s="719"/>
      <c r="AY415" s="719"/>
      <c r="AZ415" s="719"/>
      <c r="BA415" s="719"/>
      <c r="BB415" s="719"/>
      <c r="BC415" s="719"/>
      <c r="BD415" s="719"/>
      <c r="BE415" s="719"/>
      <c r="BF415" s="719"/>
      <c r="BG415" s="719"/>
      <c r="BH415" s="719"/>
      <c r="BI415" s="719"/>
    </row>
    <row r="416" spans="1:61" ht="15.75" hidden="1" customHeight="1">
      <c r="A416" s="493" t="s">
        <v>21</v>
      </c>
      <c r="B416" s="497"/>
      <c r="C416" s="498" t="s">
        <v>474</v>
      </c>
      <c r="D416" s="498"/>
      <c r="E416" s="498"/>
      <c r="F416" s="498"/>
      <c r="G416" s="498"/>
      <c r="H416" s="498"/>
      <c r="I416" s="498"/>
      <c r="J416" s="498"/>
      <c r="L416" s="498"/>
      <c r="M416" s="498"/>
      <c r="N416" s="498"/>
      <c r="O416" s="730"/>
      <c r="P416" s="732"/>
      <c r="Q416" s="729"/>
      <c r="R416" s="719"/>
      <c r="S416" s="731"/>
      <c r="T416" s="719"/>
      <c r="U416" s="719"/>
      <c r="V416" s="585" t="s">
        <v>21</v>
      </c>
      <c r="W416" s="290"/>
      <c r="X416" s="761"/>
      <c r="Y416" s="764">
        <v>0</v>
      </c>
      <c r="Z416" s="758">
        <v>0</v>
      </c>
      <c r="AA416" s="757"/>
      <c r="AB416" s="764">
        <v>0</v>
      </c>
      <c r="AC416" s="758">
        <v>0</v>
      </c>
      <c r="AD416" s="765"/>
      <c r="AE416" s="764">
        <v>0</v>
      </c>
      <c r="AF416" s="758">
        <v>0</v>
      </c>
      <c r="AG416" s="759">
        <v>0</v>
      </c>
      <c r="AH416" s="760">
        <v>0</v>
      </c>
      <c r="AI416" s="761">
        <v>0</v>
      </c>
      <c r="AJ416" s="765"/>
      <c r="AK416" s="760">
        <v>0</v>
      </c>
      <c r="AL416" s="758">
        <v>0</v>
      </c>
      <c r="AM416" s="762">
        <v>0</v>
      </c>
      <c r="AN416" s="760">
        <v>0</v>
      </c>
      <c r="AO416" s="766">
        <v>0</v>
      </c>
      <c r="AP416" s="719"/>
      <c r="AQ416" s="719"/>
      <c r="AR416" s="504"/>
      <c r="AS416" s="719"/>
      <c r="AT416" s="719"/>
      <c r="AU416" s="719"/>
      <c r="AV416" s="719"/>
      <c r="AW416" s="719"/>
      <c r="AX416" s="719"/>
      <c r="AY416" s="719"/>
      <c r="AZ416" s="719"/>
      <c r="BA416" s="719"/>
      <c r="BB416" s="719"/>
      <c r="BC416" s="719"/>
      <c r="BD416" s="719"/>
      <c r="BE416" s="719"/>
      <c r="BF416" s="719"/>
      <c r="BG416" s="719"/>
      <c r="BH416" s="719"/>
      <c r="BI416" s="719"/>
    </row>
    <row r="417" spans="1:61" ht="15.75" hidden="1" customHeight="1">
      <c r="A417" s="493" t="s">
        <v>21</v>
      </c>
      <c r="B417" s="497"/>
      <c r="C417" s="498" t="s">
        <v>474</v>
      </c>
      <c r="D417" s="498"/>
      <c r="E417" s="498"/>
      <c r="F417" s="498"/>
      <c r="G417" s="498"/>
      <c r="H417" s="498"/>
      <c r="I417" s="498"/>
      <c r="J417" s="498"/>
      <c r="L417" s="498"/>
      <c r="M417" s="498"/>
      <c r="N417" s="498"/>
      <c r="O417" s="730"/>
      <c r="P417" s="732"/>
      <c r="Q417" s="498"/>
      <c r="R417" s="719"/>
      <c r="S417" s="731"/>
      <c r="T417" s="719"/>
      <c r="U417" s="719"/>
      <c r="V417" s="585" t="s">
        <v>21</v>
      </c>
      <c r="W417" s="290" t="s">
        <v>141</v>
      </c>
      <c r="X417" s="757"/>
      <c r="Y417" s="764">
        <v>0</v>
      </c>
      <c r="Z417" s="758">
        <v>0</v>
      </c>
      <c r="AA417" s="757"/>
      <c r="AB417" s="764">
        <v>0</v>
      </c>
      <c r="AC417" s="758">
        <v>0</v>
      </c>
      <c r="AD417" s="765"/>
      <c r="AE417" s="764">
        <v>0</v>
      </c>
      <c r="AF417" s="758">
        <v>0</v>
      </c>
      <c r="AG417" s="759">
        <v>0</v>
      </c>
      <c r="AH417" s="760">
        <v>0</v>
      </c>
      <c r="AI417" s="761">
        <v>0</v>
      </c>
      <c r="AJ417" s="765"/>
      <c r="AK417" s="760">
        <v>0</v>
      </c>
      <c r="AL417" s="758">
        <v>0</v>
      </c>
      <c r="AM417" s="762">
        <v>0</v>
      </c>
      <c r="AN417" s="760">
        <v>0</v>
      </c>
      <c r="AO417" s="766">
        <v>0</v>
      </c>
      <c r="AP417" s="719"/>
      <c r="AQ417" s="719"/>
      <c r="AR417" s="504"/>
      <c r="AS417" s="719"/>
      <c r="AT417" s="719"/>
      <c r="AU417" s="719"/>
      <c r="AV417" s="719"/>
      <c r="AW417" s="719"/>
      <c r="AX417" s="719"/>
      <c r="AY417" s="719"/>
      <c r="AZ417" s="719"/>
      <c r="BA417" s="719"/>
      <c r="BB417" s="719"/>
      <c r="BC417" s="719"/>
      <c r="BD417" s="719"/>
      <c r="BE417" s="719"/>
      <c r="BF417" s="719"/>
      <c r="BG417" s="719"/>
      <c r="BH417" s="719"/>
      <c r="BI417" s="719"/>
    </row>
    <row r="418" spans="1:61" ht="15.75" customHeight="1">
      <c r="A418" s="493" t="s">
        <v>39</v>
      </c>
      <c r="B418" s="497"/>
      <c r="C418" s="498" t="s">
        <v>474</v>
      </c>
      <c r="D418" s="498"/>
      <c r="E418" s="498"/>
      <c r="F418" s="498"/>
      <c r="G418" s="498"/>
      <c r="H418" s="498"/>
      <c r="I418" s="498"/>
      <c r="J418" s="498"/>
      <c r="L418" s="498"/>
      <c r="M418" s="729"/>
      <c r="N418" s="730"/>
      <c r="O418" s="730"/>
      <c r="P418" s="732"/>
      <c r="Q418" s="740"/>
      <c r="R418" s="719"/>
      <c r="S418" s="731"/>
      <c r="T418" s="719"/>
      <c r="U418" s="719"/>
      <c r="V418" s="772" t="s">
        <v>39</v>
      </c>
      <c r="W418" s="773"/>
      <c r="X418" s="774">
        <v>0.23214091326162961</v>
      </c>
      <c r="Y418" s="773"/>
      <c r="Z418" s="775">
        <v>161159.98130910055</v>
      </c>
      <c r="AA418" s="774">
        <v>0.23214091326162961</v>
      </c>
      <c r="AB418" s="773"/>
      <c r="AC418" s="775">
        <v>161159.98130910055</v>
      </c>
      <c r="AD418" s="776">
        <v>0.20544740475533749</v>
      </c>
      <c r="AE418" s="773"/>
      <c r="AF418" s="775">
        <v>163918.63</v>
      </c>
      <c r="AG418" s="777"/>
      <c r="AH418" s="778">
        <v>2758.6486908994557</v>
      </c>
      <c r="AI418" s="774">
        <v>1.7117454770663201E-2</v>
      </c>
      <c r="AJ418" s="776">
        <v>0.23076183829803859</v>
      </c>
      <c r="AK418" s="773"/>
      <c r="AL418" s="775">
        <v>158240.04999999999</v>
      </c>
      <c r="AM418" s="779"/>
      <c r="AN418" s="778">
        <v>5678.5800000000163</v>
      </c>
      <c r="AO418" s="755">
        <v>3.5885858226157134E-2</v>
      </c>
      <c r="AP418" s="719"/>
      <c r="AQ418" s="719"/>
      <c r="AR418" s="504"/>
      <c r="AS418" s="719"/>
      <c r="AT418" s="719"/>
      <c r="AU418" s="719"/>
      <c r="AV418" s="719"/>
      <c r="AW418" s="719"/>
      <c r="AX418" s="719"/>
      <c r="AY418" s="719"/>
      <c r="AZ418" s="719"/>
      <c r="BA418" s="719"/>
      <c r="BB418" s="719"/>
      <c r="BC418" s="719"/>
      <c r="BD418" s="719"/>
      <c r="BE418" s="719"/>
      <c r="BF418" s="719"/>
      <c r="BG418" s="719"/>
      <c r="BH418" s="719"/>
      <c r="BI418" s="719"/>
    </row>
    <row r="419" spans="1:61" ht="15.75" customHeight="1">
      <c r="A419" s="493" t="s">
        <v>142</v>
      </c>
      <c r="B419" s="497"/>
      <c r="C419" s="498" t="s">
        <v>474</v>
      </c>
      <c r="D419" s="498"/>
      <c r="E419" s="498"/>
      <c r="F419" s="498"/>
      <c r="G419" s="498"/>
      <c r="H419" s="498"/>
      <c r="I419" s="498"/>
      <c r="J419" s="498"/>
      <c r="L419" s="498"/>
      <c r="M419" s="740"/>
      <c r="N419" s="730"/>
      <c r="O419" s="740"/>
      <c r="P419" s="732"/>
      <c r="Q419" s="729"/>
      <c r="R419" s="719"/>
      <c r="S419" s="731"/>
      <c r="T419" s="719"/>
      <c r="U419" s="719"/>
      <c r="V419" s="585" t="s">
        <v>142</v>
      </c>
      <c r="W419" s="290" t="s">
        <v>143</v>
      </c>
      <c r="X419" s="757"/>
      <c r="Y419" s="757"/>
      <c r="Z419" s="758">
        <v>15497.547546666668</v>
      </c>
      <c r="AA419" s="757"/>
      <c r="AB419" s="757"/>
      <c r="AC419" s="758">
        <v>15497.547546666668</v>
      </c>
      <c r="AD419" s="765"/>
      <c r="AE419" s="764"/>
      <c r="AF419" s="758">
        <v>17488.079999999998</v>
      </c>
      <c r="AG419" s="759"/>
      <c r="AH419" s="760">
        <v>1990.5324533333296</v>
      </c>
      <c r="AI419" s="761">
        <v>0.1284417710182453</v>
      </c>
      <c r="AJ419" s="765"/>
      <c r="AK419" s="757"/>
      <c r="AL419" s="758">
        <v>2336.25</v>
      </c>
      <c r="AM419" s="762"/>
      <c r="AN419" s="760">
        <v>15151.829999999998</v>
      </c>
      <c r="AO419" s="766">
        <v>6.4855345104333857</v>
      </c>
      <c r="AP419" s="719"/>
      <c r="AQ419" s="719"/>
      <c r="AR419" s="719"/>
      <c r="AS419" s="719"/>
      <c r="AT419" s="719"/>
      <c r="AU419" s="719"/>
      <c r="AV419" s="719"/>
      <c r="AW419" s="719"/>
      <c r="AX419" s="719"/>
      <c r="AY419" s="719"/>
      <c r="AZ419" s="719"/>
      <c r="BA419" s="719"/>
      <c r="BB419" s="719"/>
      <c r="BC419" s="719"/>
      <c r="BD419" s="719"/>
      <c r="BE419" s="719"/>
      <c r="BF419" s="719"/>
      <c r="BG419" s="719"/>
      <c r="BH419" s="719"/>
      <c r="BI419" s="719"/>
    </row>
    <row r="420" spans="1:61" ht="15.75" customHeight="1">
      <c r="A420" s="493" t="s">
        <v>42</v>
      </c>
      <c r="B420" s="497"/>
      <c r="C420" s="498" t="s">
        <v>474</v>
      </c>
      <c r="D420" s="498"/>
      <c r="E420" s="498"/>
      <c r="F420" s="498"/>
      <c r="G420" s="498"/>
      <c r="H420" s="498"/>
      <c r="I420" s="498"/>
      <c r="J420" s="498"/>
      <c r="K420" s="498"/>
      <c r="L420" s="498"/>
      <c r="M420" s="740"/>
      <c r="N420" s="730"/>
      <c r="O420" s="740"/>
      <c r="P420" s="732"/>
      <c r="Q420" s="729"/>
      <c r="R420" s="719"/>
      <c r="S420" s="731"/>
      <c r="T420" s="719"/>
      <c r="U420" s="719"/>
      <c r="V420" s="585" t="s">
        <v>42</v>
      </c>
      <c r="W420" s="290" t="s">
        <v>144</v>
      </c>
      <c r="X420" s="757"/>
      <c r="Y420" s="757"/>
      <c r="Z420" s="758">
        <v>38467.750957854405</v>
      </c>
      <c r="AA420" s="757"/>
      <c r="AB420" s="757"/>
      <c r="AC420" s="758">
        <v>38467.750957854405</v>
      </c>
      <c r="AD420" s="765"/>
      <c r="AE420" s="764"/>
      <c r="AF420" s="758">
        <v>28740.82</v>
      </c>
      <c r="AG420" s="759"/>
      <c r="AH420" s="760">
        <v>-9726.9309578544053</v>
      </c>
      <c r="AI420" s="761">
        <v>-0.25285936182001684</v>
      </c>
      <c r="AJ420" s="765"/>
      <c r="AK420" s="757"/>
      <c r="AL420" s="758">
        <v>45947.850000000006</v>
      </c>
      <c r="AM420" s="762"/>
      <c r="AN420" s="760">
        <v>-17207.030000000006</v>
      </c>
      <c r="AO420" s="766">
        <v>-0.37449042773492131</v>
      </c>
      <c r="AP420" s="719"/>
      <c r="AQ420" s="719"/>
      <c r="AR420" s="719"/>
      <c r="AS420" s="719"/>
      <c r="AT420" s="719"/>
      <c r="AU420" s="719"/>
      <c r="AV420" s="719"/>
      <c r="AW420" s="719"/>
      <c r="AX420" s="719"/>
      <c r="AY420" s="719"/>
      <c r="AZ420" s="719"/>
      <c r="BA420" s="719"/>
      <c r="BB420" s="719"/>
      <c r="BC420" s="719"/>
      <c r="BD420" s="719"/>
      <c r="BE420" s="719"/>
      <c r="BF420" s="719"/>
      <c r="BG420" s="719"/>
      <c r="BH420" s="719"/>
      <c r="BI420" s="719"/>
    </row>
    <row r="421" spans="1:61" ht="15.75" customHeight="1">
      <c r="A421" s="493" t="s">
        <v>43</v>
      </c>
      <c r="B421" s="497"/>
      <c r="C421" s="719" t="s">
        <v>474</v>
      </c>
      <c r="D421" s="719"/>
      <c r="E421" s="719"/>
      <c r="F421" s="719"/>
      <c r="G421" s="719"/>
      <c r="H421" s="719"/>
      <c r="I421" s="719"/>
      <c r="J421" s="719"/>
      <c r="K421" s="719"/>
      <c r="L421" s="498"/>
      <c r="M421" s="740"/>
      <c r="N421" s="730"/>
      <c r="O421" s="740"/>
      <c r="P421" s="780"/>
      <c r="Q421" s="729"/>
      <c r="R421" s="719"/>
      <c r="S421" s="731"/>
      <c r="T421" s="719"/>
      <c r="U421" s="719"/>
      <c r="V421" s="586" t="s">
        <v>43</v>
      </c>
      <c r="W421" s="294" t="s">
        <v>145</v>
      </c>
      <c r="X421" s="741"/>
      <c r="Y421" s="741"/>
      <c r="Z421" s="742">
        <v>26732.282612567054</v>
      </c>
      <c r="AA421" s="741"/>
      <c r="AB421" s="741"/>
      <c r="AC421" s="742">
        <v>26732.282612567054</v>
      </c>
      <c r="AD421" s="768"/>
      <c r="AE421" s="767"/>
      <c r="AF421" s="742">
        <v>21426.81</v>
      </c>
      <c r="AG421" s="743"/>
      <c r="AH421" s="744">
        <v>-5305.4726125670531</v>
      </c>
      <c r="AI421" s="769">
        <v>-0.19846687577935859</v>
      </c>
      <c r="AJ421" s="768"/>
      <c r="AK421" s="741"/>
      <c r="AL421" s="742">
        <v>25571.14</v>
      </c>
      <c r="AM421" s="746"/>
      <c r="AN421" s="744">
        <v>-4144.3299999999981</v>
      </c>
      <c r="AO421" s="747">
        <v>-0.16207059990285916</v>
      </c>
      <c r="AP421" s="719"/>
      <c r="AQ421" s="719"/>
      <c r="AR421" s="719"/>
      <c r="AS421" s="719"/>
      <c r="AT421" s="719"/>
      <c r="AU421" s="719"/>
      <c r="AV421" s="719"/>
      <c r="AW421" s="719"/>
      <c r="AX421" s="719"/>
      <c r="AY421" s="719"/>
      <c r="AZ421" s="719"/>
      <c r="BA421" s="719"/>
      <c r="BB421" s="719"/>
      <c r="BC421" s="719"/>
      <c r="BD421" s="719"/>
      <c r="BE421" s="719"/>
      <c r="BF421" s="719"/>
      <c r="BG421" s="719"/>
      <c r="BH421" s="719"/>
      <c r="BI421" s="719"/>
    </row>
    <row r="422" spans="1:61" ht="15.75" customHeight="1">
      <c r="A422" s="493" t="s">
        <v>44</v>
      </c>
      <c r="B422" s="497"/>
      <c r="C422" s="719" t="s">
        <v>474</v>
      </c>
      <c r="D422" s="719"/>
      <c r="E422" s="719"/>
      <c r="F422" s="719"/>
      <c r="G422" s="719"/>
      <c r="H422" s="719"/>
      <c r="I422" s="719"/>
      <c r="J422" s="719"/>
      <c r="K422" s="719"/>
      <c r="L422" s="719"/>
      <c r="M422" s="781"/>
      <c r="N422" s="781"/>
      <c r="O422" s="781"/>
      <c r="Q422" s="738"/>
      <c r="R422" s="719"/>
      <c r="S422" s="731"/>
      <c r="T422" s="719"/>
      <c r="U422" s="719"/>
      <c r="V422" s="585" t="s">
        <v>44</v>
      </c>
      <c r="W422" s="290" t="s">
        <v>146</v>
      </c>
      <c r="X422" s="757"/>
      <c r="Y422" s="757"/>
      <c r="Z422" s="758">
        <v>56911.548926896547</v>
      </c>
      <c r="AA422" s="757"/>
      <c r="AB422" s="757"/>
      <c r="AC422" s="758">
        <v>56911.548926896547</v>
      </c>
      <c r="AD422" s="765"/>
      <c r="AE422" s="764"/>
      <c r="AF422" s="758">
        <v>61159.64</v>
      </c>
      <c r="AG422" s="759"/>
      <c r="AH422" s="760">
        <v>4248.0910731034528</v>
      </c>
      <c r="AI422" s="761">
        <v>7.4643743725200107E-2</v>
      </c>
      <c r="AJ422" s="765"/>
      <c r="AK422" s="757"/>
      <c r="AL422" s="758">
        <v>51344.81</v>
      </c>
      <c r="AM422" s="762"/>
      <c r="AN422" s="760">
        <v>9814.8300000000017</v>
      </c>
      <c r="AO422" s="766">
        <v>0.1911552501606297</v>
      </c>
      <c r="AP422" s="719"/>
      <c r="AQ422" s="719"/>
      <c r="AR422" s="719"/>
      <c r="AS422" s="719"/>
      <c r="AT422" s="719"/>
      <c r="AU422" s="719"/>
      <c r="AV422" s="719"/>
      <c r="AW422" s="719"/>
      <c r="AX422" s="719"/>
      <c r="AY422" s="719"/>
      <c r="AZ422" s="719"/>
      <c r="BA422" s="719"/>
      <c r="BB422" s="719"/>
      <c r="BC422" s="719"/>
      <c r="BD422" s="719"/>
      <c r="BE422" s="719"/>
      <c r="BF422" s="719"/>
      <c r="BG422" s="719"/>
      <c r="BH422" s="719"/>
      <c r="BI422" s="719"/>
    </row>
    <row r="423" spans="1:61" ht="15.75" customHeight="1">
      <c r="A423" s="493" t="s">
        <v>45</v>
      </c>
      <c r="B423" s="497"/>
      <c r="C423" s="719" t="s">
        <v>474</v>
      </c>
      <c r="D423" s="719"/>
      <c r="E423" s="719"/>
      <c r="F423" s="719"/>
      <c r="G423" s="719"/>
      <c r="H423" s="719"/>
      <c r="I423" s="719"/>
      <c r="J423" s="719"/>
      <c r="K423" s="719"/>
      <c r="L423" s="719"/>
      <c r="M423" s="781"/>
      <c r="N423" s="730"/>
      <c r="O423" s="782"/>
      <c r="P423" s="732"/>
      <c r="Q423" s="740"/>
      <c r="R423" s="719"/>
      <c r="S423" s="731"/>
      <c r="T423" s="719"/>
      <c r="U423" s="719"/>
      <c r="V423" s="585" t="s">
        <v>45</v>
      </c>
      <c r="W423" s="290" t="s">
        <v>147</v>
      </c>
      <c r="X423" s="757"/>
      <c r="Y423" s="757"/>
      <c r="Z423" s="758">
        <v>32276.157801321722</v>
      </c>
      <c r="AA423" s="757"/>
      <c r="AB423" s="757"/>
      <c r="AC423" s="758">
        <v>32276.157801321722</v>
      </c>
      <c r="AD423" s="765"/>
      <c r="AE423" s="764"/>
      <c r="AF423" s="758">
        <v>50855.94</v>
      </c>
      <c r="AG423" s="759"/>
      <c r="AH423" s="760">
        <v>18579.78219867828</v>
      </c>
      <c r="AI423" s="761">
        <v>0.57565037056292467</v>
      </c>
      <c r="AJ423" s="765"/>
      <c r="AK423" s="757"/>
      <c r="AL423" s="758">
        <v>26515.010000000002</v>
      </c>
      <c r="AM423" s="762"/>
      <c r="AN423" s="760">
        <v>24340.93</v>
      </c>
      <c r="AO423" s="766">
        <v>0.91800568809892957</v>
      </c>
      <c r="AP423" s="719"/>
      <c r="AQ423" s="719"/>
      <c r="AR423" s="719"/>
      <c r="AS423" s="719"/>
      <c r="AT423" s="719"/>
      <c r="AU423" s="719"/>
      <c r="AV423" s="719"/>
      <c r="AW423" s="719"/>
      <c r="AX423" s="719"/>
      <c r="AY423" s="719"/>
      <c r="AZ423" s="719"/>
      <c r="BA423" s="719"/>
      <c r="BB423" s="719"/>
      <c r="BC423" s="719"/>
      <c r="BD423" s="719"/>
      <c r="BE423" s="719"/>
      <c r="BF423" s="719"/>
      <c r="BG423" s="719"/>
      <c r="BH423" s="719"/>
      <c r="BI423" s="719"/>
    </row>
    <row r="424" spans="1:61" ht="15.75" hidden="1" customHeight="1">
      <c r="A424" s="493" t="s">
        <v>21</v>
      </c>
      <c r="B424" s="497"/>
      <c r="C424" s="719" t="s">
        <v>474</v>
      </c>
      <c r="D424" s="719"/>
      <c r="E424" s="719"/>
      <c r="F424" s="719"/>
      <c r="G424" s="719"/>
      <c r="H424" s="719"/>
      <c r="I424" s="719"/>
      <c r="J424" s="719"/>
      <c r="K424" s="719"/>
      <c r="L424" s="719"/>
      <c r="M424" s="781"/>
      <c r="N424" s="626"/>
      <c r="O424" s="782"/>
      <c r="P424" s="780"/>
      <c r="Q424" s="719"/>
      <c r="R424" s="719"/>
      <c r="S424" s="731"/>
      <c r="T424" s="719"/>
      <c r="U424" s="719"/>
      <c r="V424" s="585" t="s">
        <v>21</v>
      </c>
      <c r="W424" s="290"/>
      <c r="X424" s="757"/>
      <c r="Y424" s="757"/>
      <c r="Z424" s="758">
        <v>0</v>
      </c>
      <c r="AA424" s="757"/>
      <c r="AB424" s="757"/>
      <c r="AC424" s="758">
        <v>0</v>
      </c>
      <c r="AD424" s="765"/>
      <c r="AE424" s="764"/>
      <c r="AF424" s="758">
        <v>0</v>
      </c>
      <c r="AG424" s="759"/>
      <c r="AH424" s="760">
        <v>0</v>
      </c>
      <c r="AI424" s="761">
        <v>0</v>
      </c>
      <c r="AJ424" s="765"/>
      <c r="AK424" s="757"/>
      <c r="AL424" s="758">
        <v>0</v>
      </c>
      <c r="AM424" s="762"/>
      <c r="AN424" s="760">
        <v>0</v>
      </c>
      <c r="AO424" s="766">
        <v>0</v>
      </c>
      <c r="AP424" s="719"/>
      <c r="AQ424" s="719"/>
      <c r="AR424" s="719"/>
      <c r="AS424" s="719"/>
      <c r="AT424" s="719"/>
      <c r="AU424" s="719"/>
      <c r="AV424" s="719"/>
      <c r="AW424" s="719"/>
      <c r="AX424" s="719"/>
      <c r="AY424" s="719"/>
      <c r="AZ424" s="719"/>
      <c r="BA424" s="719"/>
      <c r="BB424" s="719"/>
      <c r="BC424" s="719"/>
      <c r="BD424" s="719"/>
      <c r="BE424" s="719"/>
      <c r="BF424" s="719"/>
      <c r="BG424" s="719"/>
      <c r="BH424" s="719"/>
      <c r="BI424" s="719"/>
    </row>
    <row r="425" spans="1:61" ht="15.75" hidden="1" customHeight="1">
      <c r="A425" s="493" t="s">
        <v>21</v>
      </c>
      <c r="B425" s="497"/>
      <c r="C425" s="719" t="s">
        <v>474</v>
      </c>
      <c r="D425" s="719"/>
      <c r="E425" s="719"/>
      <c r="F425" s="719"/>
      <c r="G425" s="719"/>
      <c r="H425" s="719"/>
      <c r="I425" s="719"/>
      <c r="J425" s="719"/>
      <c r="K425" s="719"/>
      <c r="L425" s="719"/>
      <c r="M425" s="781"/>
      <c r="N425" s="626"/>
      <c r="O425" s="782"/>
      <c r="P425" s="780"/>
      <c r="Q425" s="719"/>
      <c r="R425" s="719"/>
      <c r="S425" s="731"/>
      <c r="T425" s="719"/>
      <c r="U425" s="719"/>
      <c r="V425" s="585" t="s">
        <v>21</v>
      </c>
      <c r="W425" s="290"/>
      <c r="X425" s="757"/>
      <c r="Y425" s="757"/>
      <c r="Z425" s="758">
        <v>0</v>
      </c>
      <c r="AA425" s="757"/>
      <c r="AB425" s="757"/>
      <c r="AC425" s="758">
        <v>0</v>
      </c>
      <c r="AD425" s="765"/>
      <c r="AE425" s="764"/>
      <c r="AF425" s="758">
        <v>0</v>
      </c>
      <c r="AG425" s="759"/>
      <c r="AH425" s="760">
        <v>0</v>
      </c>
      <c r="AI425" s="761">
        <v>0</v>
      </c>
      <c r="AJ425" s="765"/>
      <c r="AK425" s="757"/>
      <c r="AL425" s="758">
        <v>0</v>
      </c>
      <c r="AM425" s="762"/>
      <c r="AN425" s="760">
        <v>0</v>
      </c>
      <c r="AO425" s="766">
        <v>0</v>
      </c>
      <c r="AP425" s="719"/>
      <c r="AQ425" s="719"/>
      <c r="AR425" s="719"/>
      <c r="AS425" s="719"/>
      <c r="AT425" s="719"/>
      <c r="AU425" s="719"/>
      <c r="AV425" s="719"/>
      <c r="AW425" s="719"/>
      <c r="AX425" s="719"/>
      <c r="AY425" s="719"/>
      <c r="AZ425" s="719"/>
      <c r="BA425" s="719"/>
      <c r="BB425" s="719"/>
      <c r="BC425" s="719"/>
      <c r="BD425" s="719"/>
      <c r="BE425" s="719"/>
      <c r="BF425" s="719"/>
      <c r="BG425" s="719"/>
      <c r="BH425" s="719"/>
      <c r="BI425" s="719"/>
    </row>
    <row r="426" spans="1:61" ht="15.75" hidden="1" customHeight="1">
      <c r="A426" s="493" t="s">
        <v>21</v>
      </c>
      <c r="B426" s="497"/>
      <c r="C426" s="719" t="s">
        <v>474</v>
      </c>
      <c r="D426" s="719"/>
      <c r="E426" s="719"/>
      <c r="F426" s="719"/>
      <c r="G426" s="719"/>
      <c r="H426" s="719"/>
      <c r="I426" s="719"/>
      <c r="J426" s="719"/>
      <c r="K426" s="719"/>
      <c r="L426" s="719"/>
      <c r="M426" s="781"/>
      <c r="N426" s="626"/>
      <c r="O426" s="782"/>
      <c r="P426" s="780"/>
      <c r="Q426" s="719"/>
      <c r="R426" s="719"/>
      <c r="S426" s="731"/>
      <c r="T426" s="719"/>
      <c r="U426" s="719"/>
      <c r="V426" s="585" t="s">
        <v>21</v>
      </c>
      <c r="W426" s="290"/>
      <c r="X426" s="757"/>
      <c r="Y426" s="757"/>
      <c r="Z426" s="758">
        <v>0</v>
      </c>
      <c r="AA426" s="757"/>
      <c r="AB426" s="757"/>
      <c r="AC426" s="758">
        <v>0</v>
      </c>
      <c r="AD426" s="765"/>
      <c r="AE426" s="764"/>
      <c r="AF426" s="758">
        <v>0</v>
      </c>
      <c r="AG426" s="759"/>
      <c r="AH426" s="760">
        <v>0</v>
      </c>
      <c r="AI426" s="761">
        <v>0</v>
      </c>
      <c r="AJ426" s="765"/>
      <c r="AK426" s="757"/>
      <c r="AL426" s="758">
        <v>0</v>
      </c>
      <c r="AM426" s="762"/>
      <c r="AN426" s="760">
        <v>0</v>
      </c>
      <c r="AO426" s="766">
        <v>0</v>
      </c>
      <c r="AP426" s="719"/>
      <c r="AQ426" s="719"/>
      <c r="AR426" s="719"/>
      <c r="AS426" s="719"/>
      <c r="AT426" s="719"/>
      <c r="AU426" s="719"/>
      <c r="AV426" s="719"/>
      <c r="AW426" s="719"/>
      <c r="AX426" s="719"/>
      <c r="AY426" s="719"/>
      <c r="AZ426" s="719"/>
      <c r="BA426" s="719"/>
      <c r="BB426" s="719"/>
      <c r="BC426" s="719"/>
      <c r="BD426" s="719"/>
      <c r="BE426" s="719"/>
      <c r="BF426" s="719"/>
      <c r="BG426" s="719"/>
      <c r="BH426" s="719"/>
      <c r="BI426" s="719"/>
    </row>
    <row r="427" spans="1:61" ht="15.75" customHeight="1">
      <c r="A427" s="493" t="s">
        <v>46</v>
      </c>
      <c r="B427" s="497"/>
      <c r="C427" s="719" t="s">
        <v>474</v>
      </c>
      <c r="D427" s="719"/>
      <c r="E427" s="719"/>
      <c r="F427" s="719"/>
      <c r="G427" s="719"/>
      <c r="H427" s="719"/>
      <c r="I427" s="719"/>
      <c r="J427" s="719"/>
      <c r="K427" s="719"/>
      <c r="L427" s="498"/>
      <c r="M427" s="781"/>
      <c r="N427" s="626"/>
      <c r="O427" s="782"/>
      <c r="P427" s="780"/>
      <c r="Q427" s="719"/>
      <c r="R427" s="719"/>
      <c r="S427" s="731"/>
      <c r="T427" s="719"/>
      <c r="U427" s="719"/>
      <c r="V427" s="586" t="s">
        <v>46</v>
      </c>
      <c r="W427" s="294" t="s">
        <v>148</v>
      </c>
      <c r="X427" s="741"/>
      <c r="Y427" s="741"/>
      <c r="Z427" s="742">
        <v>40828.51854315016</v>
      </c>
      <c r="AA427" s="741"/>
      <c r="AB427" s="741"/>
      <c r="AC427" s="742">
        <v>40828.51854315016</v>
      </c>
      <c r="AD427" s="768"/>
      <c r="AE427" s="767"/>
      <c r="AF427" s="742">
        <v>46794.73</v>
      </c>
      <c r="AG427" s="743"/>
      <c r="AH427" s="744">
        <v>5966.2114568498437</v>
      </c>
      <c r="AI427" s="769">
        <v>0.14612853147106902</v>
      </c>
      <c r="AJ427" s="768"/>
      <c r="AK427" s="741"/>
      <c r="AL427" s="742">
        <v>36353.65</v>
      </c>
      <c r="AM427" s="746"/>
      <c r="AN427" s="744">
        <v>10441.080000000002</v>
      </c>
      <c r="AO427" s="770">
        <v>0.28720857465481464</v>
      </c>
      <c r="AP427" s="719"/>
      <c r="AQ427" s="719"/>
      <c r="AR427" s="719"/>
      <c r="AS427" s="719"/>
      <c r="AT427" s="719"/>
      <c r="AU427" s="719"/>
      <c r="AV427" s="719"/>
      <c r="AW427" s="719"/>
      <c r="AX427" s="719"/>
      <c r="AY427" s="719"/>
      <c r="AZ427" s="719"/>
      <c r="BA427" s="719"/>
      <c r="BB427" s="719"/>
      <c r="BC427" s="719"/>
      <c r="BD427" s="719"/>
      <c r="BE427" s="719"/>
      <c r="BF427" s="719"/>
      <c r="BG427" s="719"/>
      <c r="BH427" s="719"/>
      <c r="BI427" s="719"/>
    </row>
    <row r="428" spans="1:61" ht="15.75" customHeight="1">
      <c r="A428" s="493" t="s">
        <v>47</v>
      </c>
      <c r="B428" s="497"/>
      <c r="C428" s="719" t="s">
        <v>474</v>
      </c>
      <c r="D428" s="719"/>
      <c r="E428" s="719"/>
      <c r="F428" s="719"/>
      <c r="G428" s="719"/>
      <c r="H428" s="719"/>
      <c r="I428" s="719"/>
      <c r="J428" s="719"/>
      <c r="K428" s="719"/>
      <c r="L428" s="498"/>
      <c r="M428" s="781"/>
      <c r="N428" s="730"/>
      <c r="O428" s="781"/>
      <c r="P428" s="780"/>
      <c r="Q428" s="729"/>
      <c r="R428" s="719"/>
      <c r="S428" s="731"/>
      <c r="T428" s="719"/>
      <c r="U428" s="719"/>
      <c r="V428" s="585" t="s">
        <v>47</v>
      </c>
      <c r="W428" s="290" t="s">
        <v>149</v>
      </c>
      <c r="X428" s="757"/>
      <c r="Y428" s="757"/>
      <c r="Z428" s="758">
        <v>36566.123512456063</v>
      </c>
      <c r="AA428" s="757"/>
      <c r="AB428" s="757"/>
      <c r="AC428" s="758">
        <v>36566.123512456063</v>
      </c>
      <c r="AD428" s="765"/>
      <c r="AE428" s="764"/>
      <c r="AF428" s="758">
        <v>45582.61</v>
      </c>
      <c r="AG428" s="759"/>
      <c r="AH428" s="760">
        <v>9016.486487543938</v>
      </c>
      <c r="AI428" s="761">
        <v>0.24658032138606428</v>
      </c>
      <c r="AJ428" s="765"/>
      <c r="AK428" s="757"/>
      <c r="AL428" s="758">
        <v>35128.960000000006</v>
      </c>
      <c r="AM428" s="762"/>
      <c r="AN428" s="760">
        <v>10453.649999999994</v>
      </c>
      <c r="AO428" s="766">
        <v>0.29757926223833531</v>
      </c>
      <c r="AP428" s="719"/>
      <c r="AQ428" s="719"/>
      <c r="AR428" s="719"/>
      <c r="AS428" s="719"/>
      <c r="AT428" s="719"/>
      <c r="AU428" s="719"/>
      <c r="AV428" s="719"/>
      <c r="AW428" s="719"/>
      <c r="AX428" s="719"/>
      <c r="AY428" s="719"/>
      <c r="AZ428" s="719"/>
      <c r="BA428" s="719"/>
      <c r="BB428" s="719"/>
      <c r="BC428" s="719"/>
      <c r="BD428" s="719"/>
      <c r="BE428" s="719"/>
      <c r="BF428" s="719"/>
      <c r="BG428" s="719"/>
      <c r="BH428" s="719"/>
      <c r="BI428" s="719"/>
    </row>
    <row r="429" spans="1:61" ht="15.75" customHeight="1">
      <c r="A429" s="493" t="s">
        <v>48</v>
      </c>
      <c r="B429" s="497"/>
      <c r="C429" s="719" t="s">
        <v>474</v>
      </c>
      <c r="D429" s="719"/>
      <c r="E429" s="719"/>
      <c r="F429" s="719"/>
      <c r="G429" s="719"/>
      <c r="H429" s="719"/>
      <c r="I429" s="719"/>
      <c r="J429" s="719"/>
      <c r="K429" s="719"/>
      <c r="L429" s="498"/>
      <c r="M429" s="781"/>
      <c r="N429" s="730"/>
      <c r="O429" s="781"/>
      <c r="P429" s="780"/>
      <c r="Q429" s="729"/>
      <c r="R429" s="719"/>
      <c r="S429" s="731"/>
      <c r="T429" s="719"/>
      <c r="U429" s="719"/>
      <c r="V429" s="585" t="s">
        <v>48</v>
      </c>
      <c r="W429" s="290" t="s">
        <v>150</v>
      </c>
      <c r="X429" s="757"/>
      <c r="Y429" s="757"/>
      <c r="Z429" s="758">
        <v>29037.803965773935</v>
      </c>
      <c r="AA429" s="757"/>
      <c r="AB429" s="757"/>
      <c r="AC429" s="758">
        <v>29037.803965773935</v>
      </c>
      <c r="AD429" s="765"/>
      <c r="AE429" s="764"/>
      <c r="AF429" s="758">
        <v>28138.219999999998</v>
      </c>
      <c r="AG429" s="759"/>
      <c r="AH429" s="760">
        <v>-899.58396577393796</v>
      </c>
      <c r="AI429" s="761">
        <v>-3.0979752009974753E-2</v>
      </c>
      <c r="AJ429" s="765"/>
      <c r="AK429" s="757"/>
      <c r="AL429" s="758">
        <v>27796.020000000004</v>
      </c>
      <c r="AM429" s="762"/>
      <c r="AN429" s="760">
        <v>342.19999999999345</v>
      </c>
      <c r="AO429" s="766">
        <v>1.2311115044527721E-2</v>
      </c>
      <c r="AP429" s="719"/>
      <c r="AQ429" s="719"/>
      <c r="AR429" s="719"/>
      <c r="AS429" s="719"/>
      <c r="AT429" s="719"/>
      <c r="AU429" s="719"/>
      <c r="AV429" s="719"/>
      <c r="AW429" s="719"/>
      <c r="AX429" s="719"/>
      <c r="AY429" s="719"/>
      <c r="AZ429" s="719"/>
      <c r="BA429" s="719"/>
      <c r="BB429" s="719"/>
      <c r="BC429" s="719"/>
      <c r="BD429" s="719"/>
      <c r="BE429" s="719"/>
      <c r="BF429" s="719"/>
      <c r="BG429" s="719"/>
      <c r="BH429" s="719"/>
      <c r="BI429" s="719"/>
    </row>
    <row r="430" spans="1:61" ht="15.75" customHeight="1">
      <c r="A430" s="493" t="s">
        <v>49</v>
      </c>
      <c r="B430" s="497"/>
      <c r="C430" s="719" t="s">
        <v>474</v>
      </c>
      <c r="D430" s="719"/>
      <c r="E430" s="719"/>
      <c r="F430" s="719"/>
      <c r="G430" s="719"/>
      <c r="H430" s="719"/>
      <c r="I430" s="719"/>
      <c r="J430" s="719"/>
      <c r="K430" s="719"/>
      <c r="L430" s="498"/>
      <c r="M430" s="781"/>
      <c r="N430" s="730"/>
      <c r="O430" s="781"/>
      <c r="P430" s="780"/>
      <c r="Q430" s="729"/>
      <c r="R430" s="719"/>
      <c r="S430" s="731"/>
      <c r="T430" s="719"/>
      <c r="U430" s="719"/>
      <c r="V430" s="585" t="s">
        <v>49</v>
      </c>
      <c r="W430" s="290"/>
      <c r="X430" s="757"/>
      <c r="Y430" s="757"/>
      <c r="Z430" s="758">
        <v>11830.216430500494</v>
      </c>
      <c r="AA430" s="757"/>
      <c r="AB430" s="757"/>
      <c r="AC430" s="758">
        <v>11830.216430500494</v>
      </c>
      <c r="AD430" s="765"/>
      <c r="AE430" s="764"/>
      <c r="AF430" s="758">
        <v>26430.5</v>
      </c>
      <c r="AG430" s="759"/>
      <c r="AH430" s="760">
        <v>14600.283569499506</v>
      </c>
      <c r="AI430" s="783">
        <v>1.2341518564155145</v>
      </c>
      <c r="AJ430" s="765"/>
      <c r="AK430" s="757"/>
      <c r="AL430" s="758">
        <v>10120.39</v>
      </c>
      <c r="AM430" s="762"/>
      <c r="AN430" s="760">
        <v>16310.11</v>
      </c>
      <c r="AO430" s="766">
        <v>1.6116088411612597</v>
      </c>
      <c r="AP430" s="719"/>
      <c r="AQ430" s="719"/>
      <c r="AR430" s="719"/>
      <c r="AS430" s="719"/>
      <c r="AT430" s="719"/>
      <c r="AU430" s="719"/>
      <c r="AV430" s="719"/>
      <c r="AW430" s="719"/>
      <c r="AX430" s="719"/>
      <c r="AY430" s="719"/>
      <c r="AZ430" s="719"/>
      <c r="BA430" s="719"/>
      <c r="BB430" s="719"/>
      <c r="BC430" s="719"/>
      <c r="BD430" s="719"/>
      <c r="BE430" s="719"/>
      <c r="BF430" s="719"/>
      <c r="BG430" s="719"/>
      <c r="BH430" s="719"/>
      <c r="BI430" s="719"/>
    </row>
    <row r="431" spans="1:61" ht="15.75" hidden="1" customHeight="1">
      <c r="A431" s="493" t="s">
        <v>21</v>
      </c>
      <c r="B431" s="497"/>
      <c r="C431" s="498" t="s">
        <v>474</v>
      </c>
      <c r="D431" s="498"/>
      <c r="E431" s="498"/>
      <c r="F431" s="498"/>
      <c r="G431" s="498"/>
      <c r="H431" s="498"/>
      <c r="I431" s="498"/>
      <c r="J431" s="498"/>
      <c r="K431" s="498"/>
      <c r="L431" s="498"/>
      <c r="M431" s="498"/>
      <c r="N431" s="498"/>
      <c r="O431" s="498"/>
      <c r="P431" s="732"/>
      <c r="Q431" s="738"/>
      <c r="R431" s="719"/>
      <c r="T431" s="719"/>
      <c r="U431" s="719"/>
      <c r="V431" s="513" t="s">
        <v>21</v>
      </c>
      <c r="W431" s="290"/>
      <c r="X431" s="757"/>
      <c r="Y431" s="764"/>
      <c r="Z431" s="758">
        <v>0</v>
      </c>
      <c r="AA431" s="757"/>
      <c r="AB431" s="757"/>
      <c r="AC431" s="758">
        <v>0</v>
      </c>
      <c r="AD431" s="765"/>
      <c r="AE431" s="764"/>
      <c r="AF431" s="758">
        <v>0</v>
      </c>
      <c r="AG431" s="759"/>
      <c r="AH431" s="760">
        <v>0</v>
      </c>
      <c r="AI431" s="761">
        <v>0</v>
      </c>
      <c r="AJ431" s="765"/>
      <c r="AK431" s="757"/>
      <c r="AL431" s="758">
        <v>0</v>
      </c>
      <c r="AM431" s="762"/>
      <c r="AN431" s="760"/>
      <c r="AO431" s="770"/>
      <c r="AP431" s="719"/>
      <c r="AQ431" s="719"/>
      <c r="AR431" s="719"/>
      <c r="AS431" s="719"/>
      <c r="AT431" s="719"/>
      <c r="AU431" s="719"/>
      <c r="AV431" s="719"/>
      <c r="AW431" s="719"/>
      <c r="AX431" s="719"/>
      <c r="AY431" s="719"/>
      <c r="AZ431" s="719"/>
      <c r="BA431" s="719"/>
      <c r="BB431" s="719"/>
      <c r="BC431" s="719"/>
      <c r="BD431" s="719"/>
      <c r="BE431" s="719"/>
      <c r="BF431" s="719"/>
      <c r="BG431" s="719"/>
      <c r="BH431" s="719"/>
      <c r="BI431" s="719"/>
    </row>
    <row r="432" spans="1:61" ht="15.75" customHeight="1">
      <c r="A432" s="493" t="s">
        <v>50</v>
      </c>
      <c r="B432" s="497"/>
      <c r="C432" s="719" t="s">
        <v>474</v>
      </c>
      <c r="D432" s="719"/>
      <c r="E432" s="719"/>
      <c r="F432" s="719"/>
      <c r="G432" s="719"/>
      <c r="H432" s="719"/>
      <c r="I432" s="719"/>
      <c r="J432" s="719"/>
      <c r="K432" s="719"/>
      <c r="O432" s="784"/>
      <c r="Q432" s="736"/>
      <c r="R432" s="719"/>
      <c r="T432" s="719"/>
      <c r="U432" s="719"/>
      <c r="V432" s="772" t="s">
        <v>50</v>
      </c>
      <c r="W432" s="773"/>
      <c r="X432" s="774">
        <v>0.41505917159521538</v>
      </c>
      <c r="Y432" s="773"/>
      <c r="Z432" s="775">
        <v>288147.95029718708</v>
      </c>
      <c r="AA432" s="774">
        <v>0.41505917159521538</v>
      </c>
      <c r="AB432" s="773"/>
      <c r="AC432" s="775">
        <v>288147.95029718708</v>
      </c>
      <c r="AD432" s="776">
        <v>0.40936583538775134</v>
      </c>
      <c r="AE432" s="785"/>
      <c r="AF432" s="775">
        <v>326617.34999999998</v>
      </c>
      <c r="AG432" s="786"/>
      <c r="AH432" s="778">
        <v>38469.399702812894</v>
      </c>
      <c r="AI432" s="774">
        <v>0.13350572045762157</v>
      </c>
      <c r="AJ432" s="776">
        <v>0.38078327898848063</v>
      </c>
      <c r="AK432" s="773"/>
      <c r="AL432" s="775">
        <v>261114.08000000002</v>
      </c>
      <c r="AM432" s="787"/>
      <c r="AN432" s="778">
        <v>65503.26999999996</v>
      </c>
      <c r="AO432" s="755">
        <v>0.25086073489411204</v>
      </c>
      <c r="AP432" s="719"/>
      <c r="AQ432" s="719"/>
      <c r="AR432" s="719"/>
      <c r="AS432" s="719"/>
      <c r="AT432" s="719"/>
      <c r="AU432" s="719"/>
      <c r="AV432" s="719"/>
      <c r="AW432" s="719"/>
      <c r="AX432" s="719"/>
      <c r="AY432" s="719"/>
      <c r="AZ432" s="719"/>
      <c r="BA432" s="719"/>
      <c r="BB432" s="719"/>
      <c r="BC432" s="719"/>
      <c r="BD432" s="719"/>
      <c r="BE432" s="719"/>
      <c r="BF432" s="719"/>
      <c r="BG432" s="719"/>
      <c r="BH432" s="719"/>
      <c r="BI432" s="719"/>
    </row>
    <row r="433" spans="1:62" ht="15.75" customHeight="1">
      <c r="A433" s="493" t="s">
        <v>51</v>
      </c>
      <c r="B433" s="497"/>
      <c r="C433" s="719" t="s">
        <v>474</v>
      </c>
      <c r="D433" s="719"/>
      <c r="E433" s="719"/>
      <c r="F433" s="719"/>
      <c r="G433" s="719"/>
      <c r="H433" s="719"/>
      <c r="I433" s="719"/>
      <c r="J433" s="719"/>
      <c r="K433" s="719"/>
      <c r="L433" s="719"/>
      <c r="M433" s="784"/>
      <c r="N433" s="730"/>
      <c r="O433" s="483"/>
      <c r="P433" s="732"/>
      <c r="Q433" s="740"/>
      <c r="R433" s="719"/>
      <c r="T433" s="719"/>
      <c r="U433" s="719"/>
      <c r="V433" s="686" t="s">
        <v>51</v>
      </c>
      <c r="W433" s="315" t="s">
        <v>140</v>
      </c>
      <c r="X433" s="788"/>
      <c r="Y433" s="788"/>
      <c r="Z433" s="789">
        <v>10644.25</v>
      </c>
      <c r="AA433" s="788"/>
      <c r="AB433" s="788"/>
      <c r="AC433" s="789">
        <v>10644.25</v>
      </c>
      <c r="AD433" s="790"/>
      <c r="AE433" s="791"/>
      <c r="AF433" s="789">
        <v>12737.25</v>
      </c>
      <c r="AG433" s="790"/>
      <c r="AH433" s="792">
        <v>2093</v>
      </c>
      <c r="AI433" s="793">
        <v>0.19663198440472557</v>
      </c>
      <c r="AJ433" s="790"/>
      <c r="AK433" s="788"/>
      <c r="AL433" s="789">
        <v>10809.64</v>
      </c>
      <c r="AM433" s="794"/>
      <c r="AN433" s="792">
        <v>1927.6100000000006</v>
      </c>
      <c r="AO433" s="763">
        <v>0.17832323740661121</v>
      </c>
      <c r="AP433" s="719"/>
      <c r="AQ433" s="719"/>
      <c r="AR433" s="719"/>
      <c r="AS433" s="719"/>
      <c r="AT433" s="719"/>
      <c r="AU433" s="719"/>
      <c r="AV433" s="719"/>
      <c r="AW433" s="719"/>
      <c r="AX433" s="719"/>
      <c r="AY433" s="719"/>
      <c r="AZ433" s="719"/>
      <c r="BA433" s="719"/>
      <c r="BB433" s="719"/>
      <c r="BC433" s="719"/>
      <c r="BD433" s="719"/>
      <c r="BE433" s="719"/>
      <c r="BF433" s="719"/>
      <c r="BG433" s="719"/>
      <c r="BH433" s="719"/>
      <c r="BI433" s="719"/>
    </row>
    <row r="434" spans="1:62" ht="15.75" customHeight="1">
      <c r="A434" s="493" t="s">
        <v>52</v>
      </c>
      <c r="B434" s="497"/>
      <c r="C434" s="719" t="s">
        <v>474</v>
      </c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O434" s="782"/>
      <c r="P434" s="484"/>
      <c r="Q434" s="719"/>
      <c r="R434" s="719"/>
      <c r="T434" s="719"/>
      <c r="U434" s="719"/>
      <c r="V434" s="585" t="s">
        <v>52</v>
      </c>
      <c r="W434" s="290" t="s">
        <v>151</v>
      </c>
      <c r="X434" s="757"/>
      <c r="Y434" s="757"/>
      <c r="Z434" s="758">
        <v>3454.4294301290929</v>
      </c>
      <c r="AA434" s="757"/>
      <c r="AB434" s="757"/>
      <c r="AC434" s="758">
        <v>3454.4294301290929</v>
      </c>
      <c r="AD434" s="765"/>
      <c r="AE434" s="764"/>
      <c r="AF434" s="758">
        <v>5971.58</v>
      </c>
      <c r="AG434" s="759"/>
      <c r="AH434" s="760">
        <v>2517.150569870907</v>
      </c>
      <c r="AI434" s="761">
        <v>0.72867332240648508</v>
      </c>
      <c r="AJ434" s="765"/>
      <c r="AK434" s="757"/>
      <c r="AL434" s="758">
        <v>5057.96</v>
      </c>
      <c r="AM434" s="762"/>
      <c r="AN434" s="760">
        <v>913.61999999999989</v>
      </c>
      <c r="AO434" s="766">
        <v>0.18063013546963597</v>
      </c>
      <c r="AP434" s="719"/>
      <c r="AQ434" s="719"/>
      <c r="AR434" s="719"/>
      <c r="AS434" s="719"/>
      <c r="AT434" s="719"/>
      <c r="AU434" s="719"/>
      <c r="AV434" s="719"/>
      <c r="AW434" s="719"/>
      <c r="AX434" s="719"/>
      <c r="AY434" s="719"/>
      <c r="AZ434" s="719"/>
      <c r="BA434" s="719"/>
      <c r="BB434" s="719"/>
      <c r="BC434" s="719"/>
      <c r="BD434" s="719"/>
      <c r="BE434" s="719"/>
      <c r="BF434" s="719"/>
      <c r="BG434" s="719"/>
      <c r="BH434" s="719"/>
      <c r="BI434" s="719"/>
    </row>
    <row r="435" spans="1:62" ht="15.75" customHeight="1">
      <c r="A435" s="493" t="s">
        <v>53</v>
      </c>
      <c r="B435" s="497"/>
      <c r="C435" s="719" t="s">
        <v>474</v>
      </c>
      <c r="D435" s="719"/>
      <c r="E435" s="719"/>
      <c r="F435" s="719"/>
      <c r="G435" s="719"/>
      <c r="H435" s="719"/>
      <c r="I435" s="719"/>
      <c r="J435" s="719"/>
      <c r="K435" s="719"/>
      <c r="L435" s="498"/>
      <c r="M435" s="781"/>
      <c r="N435" s="730"/>
      <c r="O435" s="781"/>
      <c r="P435" s="484"/>
      <c r="Q435" s="781"/>
      <c r="R435" s="719"/>
      <c r="T435" s="719"/>
      <c r="U435" s="719">
        <v>0</v>
      </c>
      <c r="V435" s="586" t="s">
        <v>53</v>
      </c>
      <c r="W435" s="294" t="s">
        <v>152</v>
      </c>
      <c r="X435" s="741"/>
      <c r="Y435" s="741"/>
      <c r="Z435" s="742">
        <v>23831.824444444443</v>
      </c>
      <c r="AA435" s="741"/>
      <c r="AB435" s="741"/>
      <c r="AC435" s="742">
        <v>23831.824444444443</v>
      </c>
      <c r="AD435" s="768"/>
      <c r="AE435" s="767"/>
      <c r="AF435" s="742">
        <v>27469.190000000002</v>
      </c>
      <c r="AG435" s="743"/>
      <c r="AH435" s="744">
        <v>3637.3655555555597</v>
      </c>
      <c r="AI435" s="769">
        <v>0.15262639937763911</v>
      </c>
      <c r="AJ435" s="768"/>
      <c r="AK435" s="741"/>
      <c r="AL435" s="742">
        <v>24875.559999999998</v>
      </c>
      <c r="AM435" s="746"/>
      <c r="AN435" s="744">
        <v>2593.6300000000047</v>
      </c>
      <c r="AO435" s="747">
        <v>0.1042641854092935</v>
      </c>
      <c r="AP435" s="719"/>
      <c r="AQ435" s="719"/>
      <c r="AR435" s="719"/>
      <c r="AS435" s="719"/>
      <c r="AT435" s="719"/>
      <c r="AU435" s="719"/>
      <c r="AV435" s="719"/>
      <c r="AW435" s="719"/>
      <c r="AX435" s="719"/>
      <c r="AY435" s="719"/>
      <c r="AZ435" s="719"/>
      <c r="BA435" s="719"/>
      <c r="BB435" s="719"/>
      <c r="BC435" s="719"/>
      <c r="BD435" s="719"/>
      <c r="BE435" s="719"/>
      <c r="BF435" s="719"/>
      <c r="BG435" s="719"/>
      <c r="BH435" s="719"/>
      <c r="BI435" s="719"/>
      <c r="BJ435" s="719"/>
    </row>
    <row r="436" spans="1:62" ht="15.75" customHeight="1">
      <c r="A436" s="493" t="s">
        <v>54</v>
      </c>
      <c r="B436" s="497"/>
      <c r="C436" s="719" t="s">
        <v>474</v>
      </c>
      <c r="D436" s="719"/>
      <c r="E436" s="719"/>
      <c r="F436" s="719"/>
      <c r="G436" s="719"/>
      <c r="H436" s="719"/>
      <c r="I436" s="719"/>
      <c r="J436" s="719"/>
      <c r="K436" s="719"/>
      <c r="L436" s="498"/>
      <c r="M436" s="781"/>
      <c r="N436" s="730"/>
      <c r="O436" s="781"/>
      <c r="P436" s="484"/>
      <c r="Q436" s="781"/>
      <c r="R436" s="719"/>
      <c r="T436" s="719"/>
      <c r="U436" s="719">
        <v>0</v>
      </c>
      <c r="V436" s="585" t="s">
        <v>54</v>
      </c>
      <c r="W436" s="290" t="s">
        <v>153</v>
      </c>
      <c r="X436" s="757"/>
      <c r="Y436" s="757"/>
      <c r="Z436" s="758">
        <v>20034.212666666666</v>
      </c>
      <c r="AA436" s="757"/>
      <c r="AB436" s="757"/>
      <c r="AC436" s="758">
        <v>20034.212666666666</v>
      </c>
      <c r="AD436" s="765"/>
      <c r="AE436" s="764"/>
      <c r="AF436" s="758">
        <v>18976.449999999997</v>
      </c>
      <c r="AG436" s="759"/>
      <c r="AH436" s="760">
        <v>-1057.7626666666692</v>
      </c>
      <c r="AI436" s="761">
        <v>-5.2797815629989614E-2</v>
      </c>
      <c r="AJ436" s="765"/>
      <c r="AK436" s="757"/>
      <c r="AL436" s="758">
        <v>17024.350000000002</v>
      </c>
      <c r="AM436" s="762"/>
      <c r="AN436" s="760">
        <v>1952.0999999999949</v>
      </c>
      <c r="AO436" s="766">
        <v>0.11466517077010251</v>
      </c>
      <c r="AP436" s="719"/>
      <c r="AQ436" s="719"/>
      <c r="AR436" s="719"/>
      <c r="AS436" s="719"/>
      <c r="AT436" s="719"/>
      <c r="AU436" s="719"/>
      <c r="AV436" s="719"/>
      <c r="AW436" s="719"/>
      <c r="AX436" s="719"/>
      <c r="AY436" s="719"/>
      <c r="AZ436" s="719"/>
      <c r="BA436" s="719"/>
      <c r="BB436" s="719"/>
      <c r="BC436" s="719"/>
      <c r="BD436" s="719"/>
      <c r="BE436" s="719"/>
      <c r="BF436" s="719"/>
      <c r="BG436" s="719"/>
      <c r="BH436" s="719"/>
      <c r="BI436" s="719"/>
      <c r="BJ436" s="719"/>
    </row>
    <row r="437" spans="1:62" ht="15.75" customHeight="1">
      <c r="A437" s="493" t="s">
        <v>55</v>
      </c>
      <c r="B437" s="497"/>
      <c r="C437" s="719" t="s">
        <v>474</v>
      </c>
      <c r="D437" s="719"/>
      <c r="E437" s="719"/>
      <c r="F437" s="719"/>
      <c r="G437" s="719"/>
      <c r="H437" s="719"/>
      <c r="I437" s="719"/>
      <c r="J437" s="719"/>
      <c r="K437" s="719"/>
      <c r="L437" s="498"/>
      <c r="M437" s="781"/>
      <c r="N437" s="730"/>
      <c r="O437" s="781"/>
      <c r="P437" s="484"/>
      <c r="Q437" s="781"/>
      <c r="R437" s="719"/>
      <c r="T437" s="719"/>
      <c r="U437" s="719">
        <v>0</v>
      </c>
      <c r="V437" s="585" t="s">
        <v>55</v>
      </c>
      <c r="W437" s="290" t="s">
        <v>154</v>
      </c>
      <c r="X437" s="757"/>
      <c r="Y437" s="757"/>
      <c r="Z437" s="758">
        <v>2475.4431250000002</v>
      </c>
      <c r="AA437" s="757"/>
      <c r="AB437" s="757"/>
      <c r="AC437" s="758">
        <v>2475.4431250000002</v>
      </c>
      <c r="AD437" s="765"/>
      <c r="AE437" s="764"/>
      <c r="AF437" s="758">
        <v>7680.53</v>
      </c>
      <c r="AG437" s="759"/>
      <c r="AH437" s="760">
        <v>5205.0868749999991</v>
      </c>
      <c r="AI437" s="761">
        <v>2.102688937763415</v>
      </c>
      <c r="AJ437" s="765"/>
      <c r="AK437" s="757"/>
      <c r="AL437" s="758">
        <v>2142.3500000000004</v>
      </c>
      <c r="AM437" s="762"/>
      <c r="AN437" s="760">
        <v>5538.1799999999994</v>
      </c>
      <c r="AO437" s="766">
        <v>2.5850958060074212</v>
      </c>
      <c r="AP437" s="719"/>
      <c r="AQ437" s="719"/>
      <c r="AR437" s="719"/>
      <c r="AS437" s="719"/>
      <c r="AT437" s="719"/>
      <c r="AU437" s="719"/>
      <c r="AV437" s="719"/>
      <c r="AW437" s="719"/>
      <c r="AX437" s="719"/>
      <c r="AY437" s="719"/>
      <c r="AZ437" s="719"/>
      <c r="BA437" s="719"/>
      <c r="BB437" s="719"/>
      <c r="BC437" s="719"/>
      <c r="BD437" s="719"/>
      <c r="BE437" s="719"/>
      <c r="BF437" s="719"/>
      <c r="BG437" s="719"/>
      <c r="BH437" s="719"/>
      <c r="BI437" s="719"/>
      <c r="BJ437" s="719"/>
    </row>
    <row r="438" spans="1:62" ht="15.75" customHeight="1">
      <c r="A438" s="493" t="s">
        <v>56</v>
      </c>
      <c r="B438" s="497"/>
      <c r="C438" s="719" t="s">
        <v>474</v>
      </c>
      <c r="D438" s="719"/>
      <c r="E438" s="719"/>
      <c r="F438" s="719"/>
      <c r="G438" s="719"/>
      <c r="H438" s="719"/>
      <c r="I438" s="719"/>
      <c r="J438" s="719"/>
      <c r="K438" s="719"/>
      <c r="L438" s="498"/>
      <c r="M438" s="498"/>
      <c r="N438" s="498"/>
      <c r="O438" s="740"/>
      <c r="P438" s="484"/>
      <c r="Q438" s="740"/>
      <c r="R438" s="719"/>
      <c r="T438" s="719"/>
      <c r="U438" s="719"/>
      <c r="V438" s="585" t="s">
        <v>56</v>
      </c>
      <c r="W438" s="290" t="s">
        <v>155</v>
      </c>
      <c r="X438" s="757"/>
      <c r="Y438" s="757"/>
      <c r="Z438" s="758">
        <v>20630.700055555557</v>
      </c>
      <c r="AA438" s="757"/>
      <c r="AB438" s="757"/>
      <c r="AC438" s="758">
        <v>20630.700055555557</v>
      </c>
      <c r="AD438" s="765"/>
      <c r="AE438" s="764"/>
      <c r="AF438" s="758">
        <v>22178.86</v>
      </c>
      <c r="AG438" s="759"/>
      <c r="AH438" s="760">
        <v>1548.1599444444437</v>
      </c>
      <c r="AI438" s="761">
        <v>7.5041561375787921E-2</v>
      </c>
      <c r="AJ438" s="765"/>
      <c r="AK438" s="757"/>
      <c r="AL438" s="758">
        <v>17483.2</v>
      </c>
      <c r="AM438" s="762"/>
      <c r="AN438" s="760">
        <v>4695.66</v>
      </c>
      <c r="AO438" s="766">
        <v>0.26858126658735243</v>
      </c>
      <c r="AP438" s="719"/>
      <c r="AQ438" s="719"/>
      <c r="AR438" s="719"/>
      <c r="AS438" s="719"/>
      <c r="AT438" s="719"/>
      <c r="AU438" s="719"/>
      <c r="AV438" s="719"/>
      <c r="AW438" s="719"/>
      <c r="AX438" s="719"/>
      <c r="AY438" s="719"/>
      <c r="AZ438" s="719"/>
      <c r="BA438" s="719"/>
      <c r="BB438" s="719"/>
      <c r="BC438" s="719"/>
      <c r="BD438" s="719"/>
      <c r="BE438" s="719"/>
      <c r="BF438" s="719"/>
      <c r="BG438" s="719"/>
      <c r="BH438" s="719"/>
      <c r="BI438" s="719"/>
      <c r="BJ438" s="719"/>
    </row>
    <row r="439" spans="1:62" ht="15.75" customHeight="1">
      <c r="B439" s="497"/>
      <c r="C439" s="719" t="s">
        <v>474</v>
      </c>
      <c r="D439" s="719"/>
      <c r="E439" s="719"/>
      <c r="F439" s="719"/>
      <c r="G439" s="719"/>
      <c r="H439" s="719"/>
      <c r="I439" s="719"/>
      <c r="J439" s="719"/>
      <c r="K439" s="719"/>
      <c r="M439" s="784"/>
      <c r="N439" s="730"/>
      <c r="O439" s="782"/>
      <c r="P439" s="484"/>
      <c r="Q439" s="719"/>
      <c r="R439" s="719"/>
      <c r="T439" s="719"/>
      <c r="U439" s="719"/>
      <c r="V439" s="687" t="s">
        <v>99</v>
      </c>
      <c r="W439" s="323"/>
      <c r="X439" s="795"/>
      <c r="Y439" s="795"/>
      <c r="Z439" s="796">
        <v>0</v>
      </c>
      <c r="AA439" s="795"/>
      <c r="AB439" s="795"/>
      <c r="AC439" s="796">
        <v>0</v>
      </c>
      <c r="AD439" s="797"/>
      <c r="AE439" s="798"/>
      <c r="AF439" s="796">
        <v>0</v>
      </c>
      <c r="AG439" s="799"/>
      <c r="AH439" s="800">
        <v>0</v>
      </c>
      <c r="AI439" s="801">
        <v>0</v>
      </c>
      <c r="AJ439" s="797"/>
      <c r="AK439" s="795"/>
      <c r="AL439" s="796">
        <v>0</v>
      </c>
      <c r="AM439" s="802"/>
      <c r="AN439" s="800">
        <v>0</v>
      </c>
      <c r="AO439" s="803">
        <v>0</v>
      </c>
      <c r="AP439" s="719"/>
      <c r="AQ439" s="719"/>
      <c r="AR439" s="719"/>
      <c r="AS439" s="719"/>
      <c r="AT439" s="719"/>
      <c r="AU439" s="719"/>
      <c r="AV439" s="719"/>
      <c r="AW439" s="719"/>
      <c r="AX439" s="719"/>
      <c r="AY439" s="719"/>
      <c r="AZ439" s="719"/>
      <c r="BA439" s="719"/>
      <c r="BB439" s="719"/>
      <c r="BC439" s="719"/>
      <c r="BD439" s="719"/>
      <c r="BE439" s="719"/>
      <c r="BF439" s="719"/>
      <c r="BG439" s="719"/>
      <c r="BH439" s="719"/>
      <c r="BI439" s="719"/>
      <c r="BJ439" s="719"/>
    </row>
    <row r="440" spans="1:62" ht="15.75" customHeight="1">
      <c r="A440" s="493" t="s">
        <v>57</v>
      </c>
      <c r="B440" s="497"/>
      <c r="C440" s="719" t="s">
        <v>474</v>
      </c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19"/>
      <c r="P440" s="804"/>
      <c r="Q440" s="805"/>
      <c r="R440" s="719"/>
      <c r="S440" s="719"/>
      <c r="T440" s="719"/>
      <c r="U440" s="719"/>
      <c r="V440" s="585" t="s">
        <v>57</v>
      </c>
      <c r="W440" s="290" t="s">
        <v>156</v>
      </c>
      <c r="X440" s="757"/>
      <c r="Y440" s="764"/>
      <c r="Z440" s="758">
        <v>1613.7456994850584</v>
      </c>
      <c r="AA440" s="757"/>
      <c r="AB440" s="764"/>
      <c r="AC440" s="758">
        <v>1613.7456994850584</v>
      </c>
      <c r="AD440" s="765"/>
      <c r="AE440" s="764"/>
      <c r="AF440" s="758">
        <v>1317.58</v>
      </c>
      <c r="AG440" s="759"/>
      <c r="AH440" s="760">
        <v>-296.16569948505844</v>
      </c>
      <c r="AI440" s="761">
        <v>-0.18352687141447632</v>
      </c>
      <c r="AJ440" s="765"/>
      <c r="AK440" s="757"/>
      <c r="AL440" s="758">
        <v>1555.18</v>
      </c>
      <c r="AM440" s="762"/>
      <c r="AN440" s="760">
        <v>-237.60000000000014</v>
      </c>
      <c r="AO440" s="766">
        <v>-0.15277974253784135</v>
      </c>
      <c r="AP440" s="719"/>
      <c r="AQ440" s="719"/>
      <c r="AR440" s="719"/>
      <c r="AS440" s="719"/>
      <c r="AT440" s="719"/>
      <c r="AU440" s="719"/>
      <c r="AV440" s="719"/>
      <c r="AW440" s="719"/>
      <c r="AX440" s="719"/>
      <c r="AY440" s="719"/>
      <c r="AZ440" s="719"/>
      <c r="BA440" s="719"/>
      <c r="BB440" s="719"/>
      <c r="BC440" s="719"/>
      <c r="BD440" s="719"/>
      <c r="BE440" s="719"/>
      <c r="BF440" s="719"/>
      <c r="BG440" s="719"/>
      <c r="BH440" s="719"/>
      <c r="BI440" s="719"/>
      <c r="BJ440" s="719"/>
    </row>
    <row r="441" spans="1:62" ht="15.75" customHeight="1">
      <c r="A441" s="493" t="s">
        <v>58</v>
      </c>
      <c r="B441" s="497"/>
      <c r="C441" s="719" t="s">
        <v>474</v>
      </c>
      <c r="D441" s="719"/>
      <c r="E441" s="719"/>
      <c r="F441" s="719"/>
      <c r="G441" s="719"/>
      <c r="H441" s="719"/>
      <c r="I441" s="719"/>
      <c r="J441" s="719"/>
      <c r="K441" s="719"/>
      <c r="L441" s="719"/>
      <c r="M441" s="719"/>
      <c r="N441" s="719"/>
      <c r="O441" s="719"/>
      <c r="Q441" s="805"/>
      <c r="S441" s="719"/>
      <c r="T441" s="719"/>
      <c r="U441" s="719"/>
      <c r="V441" s="585" t="s">
        <v>58</v>
      </c>
      <c r="W441" s="290" t="s">
        <v>157</v>
      </c>
      <c r="X441" s="757"/>
      <c r="Y441" s="757"/>
      <c r="Z441" s="758">
        <v>857.50204291140165</v>
      </c>
      <c r="AA441" s="757"/>
      <c r="AB441" s="757"/>
      <c r="AC441" s="758">
        <v>857.50204291140165</v>
      </c>
      <c r="AD441" s="765"/>
      <c r="AE441" s="764"/>
      <c r="AF441" s="758">
        <v>512.22</v>
      </c>
      <c r="AG441" s="759"/>
      <c r="AH441" s="760">
        <v>-345.28204291140162</v>
      </c>
      <c r="AI441" s="783">
        <v>-0.40266031523271445</v>
      </c>
      <c r="AJ441" s="765"/>
      <c r="AK441" s="757"/>
      <c r="AL441" s="758">
        <v>423.83</v>
      </c>
      <c r="AM441" s="762"/>
      <c r="AN441" s="760">
        <v>88.390000000000043</v>
      </c>
      <c r="AO441" s="766">
        <v>0.20855059811716972</v>
      </c>
      <c r="AP441" s="719"/>
      <c r="AQ441" s="719"/>
      <c r="AR441" s="719"/>
      <c r="AS441" s="719"/>
      <c r="AT441" s="719"/>
      <c r="AU441" s="719"/>
      <c r="AV441" s="719"/>
      <c r="AW441" s="719"/>
      <c r="AX441" s="719"/>
      <c r="AY441" s="719"/>
      <c r="AZ441" s="719"/>
      <c r="BA441" s="719"/>
      <c r="BB441" s="719"/>
      <c r="BC441" s="719"/>
      <c r="BD441" s="719"/>
      <c r="BE441" s="719"/>
      <c r="BF441" s="719"/>
      <c r="BG441" s="719"/>
      <c r="BH441" s="719"/>
      <c r="BI441" s="719"/>
      <c r="BJ441" s="719"/>
    </row>
    <row r="442" spans="1:62" ht="15.75" customHeight="1">
      <c r="A442" s="493" t="s">
        <v>59</v>
      </c>
      <c r="B442" s="497"/>
      <c r="C442" s="719" t="s">
        <v>474</v>
      </c>
      <c r="D442" s="719"/>
      <c r="E442" s="719"/>
      <c r="F442" s="719"/>
      <c r="G442" s="719"/>
      <c r="H442" s="719"/>
      <c r="I442" s="719"/>
      <c r="J442" s="719"/>
      <c r="K442" s="719"/>
      <c r="L442" s="719"/>
      <c r="M442" s="719"/>
      <c r="N442" s="719"/>
      <c r="O442" s="719"/>
      <c r="P442" s="804"/>
      <c r="Q442" s="805"/>
      <c r="R442" s="719"/>
      <c r="S442" s="719"/>
      <c r="T442" s="719"/>
      <c r="U442" s="719"/>
      <c r="V442" s="585" t="s">
        <v>59</v>
      </c>
      <c r="W442" s="290" t="s">
        <v>158</v>
      </c>
      <c r="X442" s="757"/>
      <c r="Y442" s="757"/>
      <c r="Z442" s="758">
        <v>2040.2009999999998</v>
      </c>
      <c r="AA442" s="757"/>
      <c r="AB442" s="757"/>
      <c r="AC442" s="758">
        <v>2040.2009999999998</v>
      </c>
      <c r="AD442" s="765"/>
      <c r="AE442" s="764"/>
      <c r="AF442" s="758">
        <v>2195.4899999999998</v>
      </c>
      <c r="AG442" s="759"/>
      <c r="AH442" s="760">
        <v>155.28899999999999</v>
      </c>
      <c r="AI442" s="761">
        <v>7.6114559300774778E-2</v>
      </c>
      <c r="AJ442" s="765"/>
      <c r="AK442" s="757"/>
      <c r="AL442" s="758">
        <v>2648.2200000000003</v>
      </c>
      <c r="AM442" s="762"/>
      <c r="AN442" s="760">
        <v>-452.73000000000047</v>
      </c>
      <c r="AO442" s="766">
        <v>-0.17095634048530728</v>
      </c>
      <c r="AP442" s="719"/>
      <c r="AQ442" s="719"/>
      <c r="AR442" s="719"/>
      <c r="AS442" s="719"/>
      <c r="AT442" s="719"/>
      <c r="AU442" s="719"/>
      <c r="AV442" s="719"/>
      <c r="AW442" s="719"/>
      <c r="AX442" s="719"/>
      <c r="AY442" s="719"/>
      <c r="AZ442" s="719"/>
      <c r="BA442" s="719"/>
      <c r="BB442" s="719"/>
      <c r="BC442" s="719"/>
      <c r="BD442" s="719"/>
      <c r="BE442" s="719"/>
      <c r="BF442" s="719"/>
      <c r="BG442" s="719"/>
      <c r="BH442" s="719"/>
      <c r="BI442" s="719"/>
      <c r="BJ442" s="719"/>
    </row>
    <row r="443" spans="1:62" ht="15.75" customHeight="1">
      <c r="A443" s="493" t="s">
        <v>60</v>
      </c>
      <c r="B443" s="497"/>
      <c r="C443" s="719" t="s">
        <v>474</v>
      </c>
      <c r="D443" s="719"/>
      <c r="E443" s="719"/>
      <c r="F443" s="719"/>
      <c r="G443" s="719"/>
      <c r="H443" s="719"/>
      <c r="I443" s="719"/>
      <c r="J443" s="719"/>
      <c r="K443" s="719"/>
      <c r="L443" s="719"/>
      <c r="M443" s="719"/>
      <c r="N443" s="719"/>
      <c r="O443" s="719"/>
      <c r="P443" s="719"/>
      <c r="Q443" s="805"/>
      <c r="S443" s="719"/>
      <c r="T443" s="719"/>
      <c r="U443" s="719"/>
      <c r="V443" s="585" t="s">
        <v>60</v>
      </c>
      <c r="W443" s="290" t="s">
        <v>159</v>
      </c>
      <c r="X443" s="757"/>
      <c r="Y443" s="757"/>
      <c r="Z443" s="758">
        <v>942.07664583333337</v>
      </c>
      <c r="AA443" s="757"/>
      <c r="AB443" s="757"/>
      <c r="AC443" s="758">
        <v>942.07664583333337</v>
      </c>
      <c r="AD443" s="765"/>
      <c r="AE443" s="764"/>
      <c r="AF443" s="758">
        <v>1004.16</v>
      </c>
      <c r="AG443" s="759"/>
      <c r="AH443" s="760">
        <v>62.083354166666595</v>
      </c>
      <c r="AI443" s="783">
        <v>6.5900534145764203E-2</v>
      </c>
      <c r="AJ443" s="765"/>
      <c r="AK443" s="757"/>
      <c r="AL443" s="758">
        <v>673.23</v>
      </c>
      <c r="AM443" s="762"/>
      <c r="AN443" s="760">
        <v>330.92999999999995</v>
      </c>
      <c r="AO443" s="766">
        <v>0.4915556347756338</v>
      </c>
      <c r="AP443" s="719"/>
      <c r="AQ443" s="719"/>
      <c r="AR443" s="719"/>
      <c r="AS443" s="719"/>
      <c r="AT443" s="719"/>
      <c r="AU443" s="719"/>
      <c r="AV443" s="719"/>
      <c r="AW443" s="719"/>
      <c r="AX443" s="719"/>
      <c r="AY443" s="719"/>
      <c r="AZ443" s="719"/>
      <c r="BA443" s="719"/>
      <c r="BB443" s="719"/>
      <c r="BC443" s="719"/>
      <c r="BD443" s="719"/>
      <c r="BE443" s="719"/>
      <c r="BF443" s="719"/>
      <c r="BG443" s="719"/>
      <c r="BH443" s="719"/>
      <c r="BI443" s="719"/>
      <c r="BJ443" s="719"/>
    </row>
    <row r="444" spans="1:62" ht="15.75" customHeight="1">
      <c r="A444" s="493" t="s">
        <v>61</v>
      </c>
      <c r="B444" s="497"/>
      <c r="C444" s="719" t="s">
        <v>474</v>
      </c>
      <c r="D444" s="719"/>
      <c r="E444" s="719"/>
      <c r="F444" s="719"/>
      <c r="G444" s="719"/>
      <c r="H444" s="719"/>
      <c r="I444" s="719"/>
      <c r="J444" s="719"/>
      <c r="K444" s="719"/>
      <c r="L444" s="719"/>
      <c r="M444" s="719"/>
      <c r="N444" s="719"/>
      <c r="O444" s="719"/>
      <c r="P444" s="719"/>
      <c r="Q444" s="805"/>
      <c r="S444" s="719"/>
      <c r="T444" s="719"/>
      <c r="U444" s="719"/>
      <c r="V444" s="585" t="s">
        <v>61</v>
      </c>
      <c r="W444" s="290" t="s">
        <v>160</v>
      </c>
      <c r="X444" s="757"/>
      <c r="Y444" s="757"/>
      <c r="Z444" s="758">
        <v>502.86585416666657</v>
      </c>
      <c r="AA444" s="757"/>
      <c r="AB444" s="757"/>
      <c r="AC444" s="758">
        <v>502.86585416666657</v>
      </c>
      <c r="AD444" s="765"/>
      <c r="AE444" s="764"/>
      <c r="AF444" s="758">
        <v>345.58</v>
      </c>
      <c r="AG444" s="759"/>
      <c r="AH444" s="760">
        <v>-157.28585416666658</v>
      </c>
      <c r="AI444" s="761">
        <v>-0.31277895061559857</v>
      </c>
      <c r="AJ444" s="765"/>
      <c r="AK444" s="757"/>
      <c r="AL444" s="758">
        <v>320.27</v>
      </c>
      <c r="AM444" s="762"/>
      <c r="AN444" s="760">
        <v>25.310000000000002</v>
      </c>
      <c r="AO444" s="766">
        <v>7.902707090892061E-2</v>
      </c>
      <c r="AP444" s="719"/>
      <c r="AQ444" s="719"/>
      <c r="AR444" s="719"/>
      <c r="AS444" s="719"/>
      <c r="AT444" s="719"/>
      <c r="AU444" s="719"/>
      <c r="AV444" s="719"/>
      <c r="AW444" s="719"/>
      <c r="AX444" s="719"/>
      <c r="AY444" s="719"/>
      <c r="AZ444" s="719"/>
      <c r="BA444" s="719"/>
      <c r="BB444" s="719"/>
      <c r="BC444" s="719"/>
      <c r="BD444" s="719"/>
      <c r="BE444" s="719"/>
      <c r="BF444" s="719"/>
      <c r="BG444" s="719"/>
      <c r="BH444" s="719"/>
      <c r="BI444" s="719"/>
      <c r="BJ444" s="719"/>
    </row>
    <row r="445" spans="1:62" ht="15.75" customHeight="1">
      <c r="A445" s="493" t="s">
        <v>62</v>
      </c>
      <c r="B445" s="497"/>
      <c r="C445" s="719" t="s">
        <v>474</v>
      </c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19"/>
      <c r="P445" s="719"/>
      <c r="Q445" s="805"/>
      <c r="R445" s="719"/>
      <c r="S445" s="719"/>
      <c r="T445" s="719"/>
      <c r="U445" s="719"/>
      <c r="V445" s="585" t="s">
        <v>62</v>
      </c>
      <c r="W445" s="290" t="s">
        <v>161</v>
      </c>
      <c r="X445" s="757"/>
      <c r="Y445" s="764"/>
      <c r="Z445" s="758">
        <v>2425.729979166666</v>
      </c>
      <c r="AA445" s="757"/>
      <c r="AB445" s="764"/>
      <c r="AC445" s="758">
        <v>2425.729979166666</v>
      </c>
      <c r="AD445" s="765"/>
      <c r="AE445" s="764"/>
      <c r="AF445" s="758">
        <v>744.67</v>
      </c>
      <c r="AG445" s="759"/>
      <c r="AH445" s="760">
        <v>-1681.0599791666659</v>
      </c>
      <c r="AI445" s="783">
        <v>-0.69301199787462597</v>
      </c>
      <c r="AJ445" s="765"/>
      <c r="AK445" s="757"/>
      <c r="AL445" s="758">
        <v>3745.05</v>
      </c>
      <c r="AM445" s="762"/>
      <c r="AN445" s="760">
        <v>-3000.38</v>
      </c>
      <c r="AO445" s="766">
        <v>-0.80115886303253625</v>
      </c>
      <c r="AP445" s="719"/>
      <c r="AQ445" s="719"/>
      <c r="AR445" s="719"/>
      <c r="AS445" s="719"/>
      <c r="AT445" s="719"/>
      <c r="AU445" s="719"/>
      <c r="AV445" s="719"/>
      <c r="AW445" s="719"/>
      <c r="AX445" s="719"/>
      <c r="AY445" s="719"/>
      <c r="AZ445" s="719"/>
      <c r="BA445" s="719"/>
      <c r="BB445" s="719"/>
      <c r="BC445" s="719"/>
      <c r="BD445" s="719"/>
      <c r="BE445" s="719"/>
      <c r="BF445" s="719"/>
      <c r="BG445" s="719"/>
      <c r="BH445" s="719"/>
      <c r="BI445" s="719"/>
      <c r="BJ445" s="719"/>
    </row>
    <row r="446" spans="1:62" ht="15.75" customHeight="1">
      <c r="A446" s="493" t="s">
        <v>63</v>
      </c>
      <c r="B446" s="497"/>
      <c r="C446" s="719" t="s">
        <v>474</v>
      </c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19"/>
      <c r="P446" s="719"/>
      <c r="Q446" s="805"/>
      <c r="R446" s="719"/>
      <c r="S446" s="719"/>
      <c r="T446" s="719"/>
      <c r="U446" s="719"/>
      <c r="V446" s="585" t="s">
        <v>63</v>
      </c>
      <c r="W446" s="290" t="s">
        <v>162</v>
      </c>
      <c r="X446" s="757"/>
      <c r="Y446" s="764"/>
      <c r="Z446" s="758">
        <v>3603.9258333333332</v>
      </c>
      <c r="AA446" s="757"/>
      <c r="AB446" s="764"/>
      <c r="AC446" s="758">
        <v>3603.9258333333332</v>
      </c>
      <c r="AD446" s="765"/>
      <c r="AE446" s="764"/>
      <c r="AF446" s="758">
        <v>4225.72</v>
      </c>
      <c r="AG446" s="759"/>
      <c r="AH446" s="760">
        <v>621.79416666666702</v>
      </c>
      <c r="AI446" s="761">
        <v>0.17253245361366354</v>
      </c>
      <c r="AJ446" s="765"/>
      <c r="AK446" s="757"/>
      <c r="AL446" s="758">
        <v>3621.0399999999995</v>
      </c>
      <c r="AM446" s="762"/>
      <c r="AN446" s="760">
        <v>604.68000000000075</v>
      </c>
      <c r="AO446" s="766">
        <v>0.1669906988047635</v>
      </c>
      <c r="AP446" s="719"/>
      <c r="AQ446" s="719"/>
      <c r="AR446" s="719"/>
      <c r="AS446" s="719"/>
      <c r="AT446" s="719"/>
      <c r="AU446" s="719"/>
      <c r="AV446" s="719"/>
      <c r="AW446" s="719"/>
      <c r="AX446" s="719"/>
      <c r="AY446" s="719"/>
      <c r="AZ446" s="719"/>
      <c r="BA446" s="719"/>
      <c r="BB446" s="719"/>
      <c r="BC446" s="719"/>
      <c r="BD446" s="719"/>
      <c r="BE446" s="719"/>
      <c r="BF446" s="719"/>
      <c r="BG446" s="719"/>
      <c r="BH446" s="719"/>
      <c r="BI446" s="719"/>
      <c r="BJ446" s="719"/>
    </row>
    <row r="447" spans="1:62" ht="15.75" customHeight="1">
      <c r="A447" s="493" t="s">
        <v>64</v>
      </c>
      <c r="B447" s="497"/>
      <c r="C447" s="719" t="s">
        <v>474</v>
      </c>
      <c r="D447" s="719"/>
      <c r="E447" s="719"/>
      <c r="F447" s="719"/>
      <c r="G447" s="719"/>
      <c r="H447" s="719"/>
      <c r="I447" s="719"/>
      <c r="J447" s="719"/>
      <c r="K447" s="719"/>
      <c r="L447" s="719"/>
      <c r="M447" s="719"/>
      <c r="N447" s="719"/>
      <c r="O447" s="719"/>
      <c r="P447" s="719"/>
      <c r="Q447" s="805"/>
      <c r="R447" s="719"/>
      <c r="S447" s="719"/>
      <c r="T447" s="719"/>
      <c r="U447" s="719"/>
      <c r="V447" s="585" t="s">
        <v>64</v>
      </c>
      <c r="W447" s="290" t="s">
        <v>163</v>
      </c>
      <c r="X447" s="757"/>
      <c r="Y447" s="764"/>
      <c r="Z447" s="758">
        <v>6184.7280924782972</v>
      </c>
      <c r="AA447" s="757"/>
      <c r="AB447" s="764"/>
      <c r="AC447" s="758">
        <v>6184.7280924782972</v>
      </c>
      <c r="AD447" s="765"/>
      <c r="AE447" s="764"/>
      <c r="AF447" s="742">
        <v>6811.11</v>
      </c>
      <c r="AG447" s="759"/>
      <c r="AH447" s="760">
        <v>626.38190752170249</v>
      </c>
      <c r="AI447" s="761">
        <v>0.10127881099308013</v>
      </c>
      <c r="AJ447" s="765"/>
      <c r="AK447" s="757"/>
      <c r="AL447" s="758">
        <v>6895.21</v>
      </c>
      <c r="AM447" s="762"/>
      <c r="AN447" s="760">
        <v>-84.100000000000364</v>
      </c>
      <c r="AO447" s="766">
        <v>-1.2196872901623064E-2</v>
      </c>
      <c r="AP447" s="719"/>
      <c r="AQ447" s="719"/>
      <c r="AR447" s="719"/>
      <c r="AS447" s="719"/>
      <c r="AT447" s="719"/>
      <c r="AU447" s="719"/>
      <c r="AV447" s="719"/>
      <c r="AW447" s="719"/>
      <c r="AX447" s="719"/>
      <c r="AY447" s="719"/>
      <c r="AZ447" s="719"/>
      <c r="BA447" s="719"/>
      <c r="BB447" s="719"/>
      <c r="BC447" s="719"/>
      <c r="BD447" s="719"/>
      <c r="BE447" s="719"/>
      <c r="BF447" s="719"/>
      <c r="BG447" s="719"/>
      <c r="BH447" s="719"/>
      <c r="BI447" s="719"/>
      <c r="BJ447" s="719"/>
    </row>
    <row r="448" spans="1:62" ht="15.75" hidden="1" customHeight="1">
      <c r="A448" s="493" t="s">
        <v>21</v>
      </c>
      <c r="B448" s="497"/>
      <c r="C448" s="719" t="s">
        <v>474</v>
      </c>
      <c r="D448" s="719"/>
      <c r="E448" s="719"/>
      <c r="F448" s="719"/>
      <c r="G448" s="719"/>
      <c r="H448" s="719"/>
      <c r="I448" s="719"/>
      <c r="J448" s="719"/>
      <c r="K448" s="719"/>
      <c r="L448" s="719"/>
      <c r="M448" s="719"/>
      <c r="N448" s="719"/>
      <c r="O448" s="719"/>
      <c r="P448" s="719"/>
      <c r="Q448" s="805"/>
      <c r="R448" s="719"/>
      <c r="S448" s="719"/>
      <c r="T448" s="719"/>
      <c r="U448" s="719"/>
      <c r="V448" s="585" t="s">
        <v>21</v>
      </c>
      <c r="W448" s="290"/>
      <c r="X448" s="757"/>
      <c r="Y448" s="764"/>
      <c r="Z448" s="758">
        <v>0</v>
      </c>
      <c r="AA448" s="757"/>
      <c r="AB448" s="757"/>
      <c r="AC448" s="758">
        <v>0</v>
      </c>
      <c r="AD448" s="765"/>
      <c r="AE448" s="764"/>
      <c r="AF448" s="758">
        <v>0</v>
      </c>
      <c r="AG448" s="759"/>
      <c r="AH448" s="760">
        <v>0</v>
      </c>
      <c r="AI448" s="761">
        <v>0</v>
      </c>
      <c r="AJ448" s="765"/>
      <c r="AK448" s="757"/>
      <c r="AL448" s="758">
        <v>0</v>
      </c>
      <c r="AM448" s="762"/>
      <c r="AN448" s="760">
        <v>0</v>
      </c>
      <c r="AO448" s="766">
        <v>0</v>
      </c>
      <c r="AP448" s="719"/>
      <c r="AQ448" s="719"/>
      <c r="AR448" s="719"/>
      <c r="AS448" s="719"/>
      <c r="AT448" s="719"/>
      <c r="AU448" s="719"/>
      <c r="AV448" s="719"/>
      <c r="AW448" s="719"/>
      <c r="AX448" s="719"/>
      <c r="AY448" s="719"/>
      <c r="AZ448" s="719"/>
      <c r="BA448" s="719"/>
      <c r="BB448" s="719"/>
      <c r="BC448" s="719"/>
      <c r="BD448" s="719"/>
      <c r="BE448" s="719"/>
      <c r="BF448" s="719"/>
      <c r="BG448" s="719"/>
      <c r="BH448" s="719"/>
      <c r="BI448" s="719"/>
      <c r="BJ448" s="719"/>
    </row>
    <row r="449" spans="1:62" ht="15.75" hidden="1" customHeight="1">
      <c r="A449" s="493" t="s">
        <v>21</v>
      </c>
      <c r="B449" s="497"/>
      <c r="C449" s="719" t="s">
        <v>474</v>
      </c>
      <c r="D449" s="719"/>
      <c r="E449" s="719"/>
      <c r="F449" s="719"/>
      <c r="G449" s="719"/>
      <c r="H449" s="719"/>
      <c r="I449" s="719"/>
      <c r="J449" s="719"/>
      <c r="K449" s="719"/>
      <c r="L449" s="719"/>
      <c r="M449" s="719"/>
      <c r="N449" s="719"/>
      <c r="O449" s="719"/>
      <c r="P449" s="719"/>
      <c r="Q449" s="805"/>
      <c r="R449" s="719"/>
      <c r="S449" s="719"/>
      <c r="T449" s="719"/>
      <c r="U449" s="719"/>
      <c r="V449" s="585" t="s">
        <v>21</v>
      </c>
      <c r="W449" s="290"/>
      <c r="X449" s="757"/>
      <c r="Y449" s="764"/>
      <c r="Z449" s="758">
        <v>0</v>
      </c>
      <c r="AA449" s="757"/>
      <c r="AB449" s="757"/>
      <c r="AC449" s="758">
        <v>0</v>
      </c>
      <c r="AD449" s="765"/>
      <c r="AE449" s="764"/>
      <c r="AF449" s="758">
        <v>0</v>
      </c>
      <c r="AG449" s="759"/>
      <c r="AH449" s="760">
        <v>0</v>
      </c>
      <c r="AI449" s="761">
        <v>0</v>
      </c>
      <c r="AJ449" s="765"/>
      <c r="AK449" s="757"/>
      <c r="AL449" s="758">
        <v>0</v>
      </c>
      <c r="AM449" s="762"/>
      <c r="AN449" s="760">
        <v>0</v>
      </c>
      <c r="AO449" s="766">
        <v>0</v>
      </c>
      <c r="AP449" s="719"/>
      <c r="AQ449" s="719"/>
      <c r="AR449" s="719"/>
      <c r="AS449" s="719"/>
      <c r="AT449" s="719"/>
      <c r="AU449" s="719"/>
      <c r="AV449" s="719"/>
      <c r="AW449" s="719"/>
      <c r="AX449" s="719"/>
      <c r="AY449" s="719"/>
      <c r="AZ449" s="719"/>
      <c r="BA449" s="719"/>
      <c r="BB449" s="719"/>
      <c r="BC449" s="719"/>
      <c r="BD449" s="719"/>
      <c r="BE449" s="719"/>
      <c r="BF449" s="719"/>
      <c r="BG449" s="719"/>
      <c r="BH449" s="719"/>
      <c r="BI449" s="719"/>
      <c r="BJ449" s="719"/>
    </row>
    <row r="450" spans="1:62" ht="15.75" hidden="1" customHeight="1">
      <c r="A450" s="493" t="s">
        <v>21</v>
      </c>
      <c r="B450" s="497"/>
      <c r="C450" s="719" t="s">
        <v>474</v>
      </c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19"/>
      <c r="P450" s="804"/>
      <c r="Q450" s="805"/>
      <c r="R450" s="719"/>
      <c r="S450" s="719"/>
      <c r="T450" s="719"/>
      <c r="U450" s="719"/>
      <c r="V450" s="585" t="s">
        <v>21</v>
      </c>
      <c r="W450" s="290"/>
      <c r="X450" s="757"/>
      <c r="Y450" s="764"/>
      <c r="Z450" s="758">
        <v>0</v>
      </c>
      <c r="AA450" s="757"/>
      <c r="AB450" s="757"/>
      <c r="AC450" s="758">
        <v>0</v>
      </c>
      <c r="AD450" s="765"/>
      <c r="AE450" s="764"/>
      <c r="AF450" s="758">
        <v>0</v>
      </c>
      <c r="AG450" s="759"/>
      <c r="AH450" s="760">
        <v>0</v>
      </c>
      <c r="AI450" s="761">
        <v>0</v>
      </c>
      <c r="AJ450" s="765"/>
      <c r="AK450" s="757"/>
      <c r="AL450" s="758">
        <v>0</v>
      </c>
      <c r="AM450" s="762"/>
      <c r="AN450" s="760">
        <v>0</v>
      </c>
      <c r="AO450" s="766">
        <v>0</v>
      </c>
      <c r="AP450" s="719"/>
      <c r="AQ450" s="719"/>
      <c r="AR450" s="719"/>
      <c r="AS450" s="719"/>
      <c r="AT450" s="719"/>
      <c r="AU450" s="719"/>
      <c r="AV450" s="719"/>
      <c r="AW450" s="719"/>
      <c r="AX450" s="719"/>
      <c r="AY450" s="719"/>
      <c r="AZ450" s="719"/>
      <c r="BA450" s="719"/>
      <c r="BB450" s="719"/>
      <c r="BC450" s="719"/>
      <c r="BD450" s="719"/>
      <c r="BE450" s="719"/>
      <c r="BF450" s="719"/>
      <c r="BG450" s="719"/>
      <c r="BH450" s="719"/>
      <c r="BI450" s="719"/>
      <c r="BJ450" s="719"/>
    </row>
    <row r="451" spans="1:62" ht="15.75" customHeight="1">
      <c r="A451" s="493" t="s">
        <v>65</v>
      </c>
      <c r="B451" s="497"/>
      <c r="C451" s="719" t="s">
        <v>474</v>
      </c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19"/>
      <c r="P451" s="719"/>
      <c r="Q451" s="805"/>
      <c r="R451" s="719"/>
      <c r="S451" s="719"/>
      <c r="T451" s="719"/>
      <c r="U451" s="719"/>
      <c r="V451" s="772" t="s">
        <v>65</v>
      </c>
      <c r="W451" s="806"/>
      <c r="X451" s="774">
        <v>0.14295139255396211</v>
      </c>
      <c r="Y451" s="773"/>
      <c r="Z451" s="775">
        <v>99241.634869170521</v>
      </c>
      <c r="AA451" s="774">
        <v>0.14295139255396211</v>
      </c>
      <c r="AB451" s="773"/>
      <c r="AC451" s="775">
        <v>99241.634869170521</v>
      </c>
      <c r="AD451" s="776">
        <v>0.14058875135726831</v>
      </c>
      <c r="AE451" s="773"/>
      <c r="AF451" s="775">
        <v>112170.39000000001</v>
      </c>
      <c r="AG451" s="786"/>
      <c r="AH451" s="335">
        <v>12928.755130829486</v>
      </c>
      <c r="AI451" s="774">
        <v>0.1302755153910288</v>
      </c>
      <c r="AJ451" s="776">
        <v>0.14185649327718963</v>
      </c>
      <c r="AK451" s="774"/>
      <c r="AL451" s="775">
        <v>97275.09</v>
      </c>
      <c r="AM451" s="787"/>
      <c r="AN451" s="778">
        <v>14895.300000000001</v>
      </c>
      <c r="AO451" s="807">
        <v>0.15312553296018541</v>
      </c>
      <c r="AP451" s="719"/>
      <c r="AQ451" s="719"/>
      <c r="AR451" s="719"/>
      <c r="AS451" s="719"/>
      <c r="AT451" s="719"/>
      <c r="AU451" s="719"/>
      <c r="AV451" s="719"/>
      <c r="AW451" s="719"/>
      <c r="AX451" s="719"/>
      <c r="AY451" s="719"/>
      <c r="AZ451" s="719"/>
      <c r="BA451" s="719"/>
      <c r="BB451" s="719"/>
      <c r="BC451" s="719"/>
      <c r="BD451" s="719"/>
      <c r="BE451" s="719"/>
      <c r="BF451" s="719"/>
      <c r="BG451" s="719"/>
      <c r="BH451" s="719"/>
      <c r="BI451" s="719"/>
      <c r="BJ451" s="719"/>
    </row>
    <row r="452" spans="1:62" ht="15.75" customHeight="1">
      <c r="A452" s="493" t="s">
        <v>164</v>
      </c>
      <c r="B452" s="497"/>
      <c r="C452" s="719" t="s">
        <v>474</v>
      </c>
      <c r="D452" s="719"/>
      <c r="E452" s="719"/>
      <c r="F452" s="719"/>
      <c r="G452" s="719"/>
      <c r="H452" s="719"/>
      <c r="I452" s="719"/>
      <c r="J452" s="719"/>
      <c r="K452" s="719"/>
      <c r="L452" s="719"/>
      <c r="M452" s="719"/>
      <c r="N452" s="719"/>
      <c r="O452" s="719"/>
      <c r="P452" s="719"/>
      <c r="Q452" s="719"/>
      <c r="R452" s="719"/>
      <c r="S452" s="719"/>
      <c r="T452" s="719"/>
      <c r="U452" s="719"/>
      <c r="V452" s="585" t="s">
        <v>164</v>
      </c>
      <c r="W452" s="290" t="s">
        <v>165</v>
      </c>
      <c r="X452" s="757"/>
      <c r="Y452" s="764"/>
      <c r="Z452" s="758">
        <v>26000</v>
      </c>
      <c r="AA452" s="757"/>
      <c r="AB452" s="764"/>
      <c r="AC452" s="758">
        <v>26000</v>
      </c>
      <c r="AD452" s="765"/>
      <c r="AE452" s="764"/>
      <c r="AF452" s="758">
        <v>26000</v>
      </c>
      <c r="AG452" s="759"/>
      <c r="AH452" s="760">
        <v>0</v>
      </c>
      <c r="AI452" s="761">
        <v>0</v>
      </c>
      <c r="AJ452" s="765"/>
      <c r="AK452" s="757"/>
      <c r="AL452" s="758">
        <v>26000</v>
      </c>
      <c r="AM452" s="762"/>
      <c r="AN452" s="760">
        <v>0</v>
      </c>
      <c r="AO452" s="766">
        <v>0</v>
      </c>
      <c r="AP452" s="719"/>
      <c r="AQ452" s="719"/>
      <c r="AR452" s="719"/>
      <c r="AS452" s="719"/>
      <c r="AT452" s="719"/>
      <c r="AU452" s="719"/>
      <c r="AV452" s="719"/>
      <c r="AW452" s="719"/>
      <c r="AX452" s="719"/>
      <c r="AY452" s="719"/>
      <c r="AZ452" s="719"/>
      <c r="BA452" s="719"/>
      <c r="BB452" s="719"/>
      <c r="BC452" s="719"/>
      <c r="BD452" s="719"/>
      <c r="BE452" s="719"/>
      <c r="BF452" s="719"/>
      <c r="BG452" s="719"/>
      <c r="BH452" s="719"/>
      <c r="BI452" s="719"/>
      <c r="BJ452" s="719"/>
    </row>
    <row r="453" spans="1:62" ht="15.75" customHeight="1">
      <c r="A453" s="493" t="s">
        <v>166</v>
      </c>
      <c r="B453" s="497"/>
      <c r="C453" s="719" t="s">
        <v>474</v>
      </c>
      <c r="D453" s="719"/>
      <c r="E453" s="719"/>
      <c r="F453" s="719"/>
      <c r="G453" s="719"/>
      <c r="H453" s="719"/>
      <c r="I453" s="719"/>
      <c r="J453" s="719"/>
      <c r="K453" s="719"/>
      <c r="L453" s="719"/>
      <c r="M453" s="719"/>
      <c r="N453" s="719"/>
      <c r="O453" s="719"/>
      <c r="P453" s="719"/>
      <c r="Q453" s="719"/>
      <c r="R453" s="719"/>
      <c r="S453" s="719"/>
      <c r="T453" s="719"/>
      <c r="U453" s="719"/>
      <c r="V453" s="585" t="s">
        <v>166</v>
      </c>
      <c r="W453" s="290" t="s">
        <v>167</v>
      </c>
      <c r="X453" s="757"/>
      <c r="Y453" s="764"/>
      <c r="Z453" s="758">
        <v>4930.2499999999991</v>
      </c>
      <c r="AA453" s="757"/>
      <c r="AB453" s="764"/>
      <c r="AC453" s="758">
        <v>4930.2499999999991</v>
      </c>
      <c r="AD453" s="765"/>
      <c r="AE453" s="764"/>
      <c r="AF453" s="758">
        <v>4930</v>
      </c>
      <c r="AG453" s="759"/>
      <c r="AH453" s="760">
        <v>-0.24999999999909051</v>
      </c>
      <c r="AI453" s="761">
        <v>-5.0707367780354051E-5</v>
      </c>
      <c r="AJ453" s="765"/>
      <c r="AK453" s="757"/>
      <c r="AL453" s="758">
        <v>4810</v>
      </c>
      <c r="AM453" s="762"/>
      <c r="AN453" s="760">
        <v>120</v>
      </c>
      <c r="AO453" s="766">
        <v>2.4948024948024949E-2</v>
      </c>
      <c r="AP453" s="719"/>
      <c r="AQ453" s="719"/>
      <c r="AR453" s="719"/>
      <c r="AS453" s="719"/>
      <c r="AT453" s="719"/>
      <c r="AU453" s="719"/>
      <c r="AV453" s="719"/>
      <c r="AW453" s="719"/>
      <c r="AX453" s="719"/>
      <c r="AY453" s="719"/>
      <c r="AZ453" s="719"/>
      <c r="BA453" s="719"/>
      <c r="BB453" s="719"/>
      <c r="BC453" s="719"/>
      <c r="BD453" s="719"/>
      <c r="BE453" s="719"/>
      <c r="BF453" s="719"/>
      <c r="BG453" s="719"/>
      <c r="BH453" s="719"/>
      <c r="BI453" s="719"/>
      <c r="BJ453" s="719"/>
    </row>
    <row r="454" spans="1:62" ht="15.75" customHeight="1">
      <c r="A454" s="493" t="s">
        <v>168</v>
      </c>
      <c r="B454" s="497"/>
      <c r="C454" s="719" t="s">
        <v>474</v>
      </c>
      <c r="D454" s="719"/>
      <c r="E454" s="719"/>
      <c r="F454" s="719"/>
      <c r="G454" s="719"/>
      <c r="H454" s="719"/>
      <c r="I454" s="719"/>
      <c r="J454" s="719"/>
      <c r="K454" s="719"/>
      <c r="L454" s="719"/>
      <c r="M454" s="719"/>
      <c r="N454" s="719"/>
      <c r="O454" s="719"/>
      <c r="P454" s="719"/>
      <c r="Q454" s="719"/>
      <c r="R454" s="719"/>
      <c r="S454" s="719"/>
      <c r="T454" s="719"/>
      <c r="U454" s="719"/>
      <c r="V454" s="586" t="s">
        <v>168</v>
      </c>
      <c r="W454" s="294" t="s">
        <v>169</v>
      </c>
      <c r="X454" s="741"/>
      <c r="Y454" s="767"/>
      <c r="Z454" s="742">
        <v>3279.9999999999995</v>
      </c>
      <c r="AA454" s="741"/>
      <c r="AB454" s="767"/>
      <c r="AC454" s="742">
        <v>3279.9999999999995</v>
      </c>
      <c r="AD454" s="768"/>
      <c r="AE454" s="767"/>
      <c r="AF454" s="742">
        <v>3279.9999999999995</v>
      </c>
      <c r="AG454" s="743"/>
      <c r="AH454" s="744">
        <v>0</v>
      </c>
      <c r="AI454" s="769">
        <v>0</v>
      </c>
      <c r="AJ454" s="768"/>
      <c r="AK454" s="741"/>
      <c r="AL454" s="742">
        <v>3200</v>
      </c>
      <c r="AM454" s="746"/>
      <c r="AN454" s="744">
        <v>79.999999999999545</v>
      </c>
      <c r="AO454" s="747">
        <v>2.4999999999999859E-2</v>
      </c>
      <c r="AP454" s="719"/>
      <c r="AQ454" s="719"/>
      <c r="AR454" s="719"/>
      <c r="AS454" s="719"/>
      <c r="AT454" s="719"/>
      <c r="AU454" s="719"/>
      <c r="AV454" s="719"/>
      <c r="AW454" s="719"/>
      <c r="AX454" s="719"/>
      <c r="AY454" s="719"/>
      <c r="AZ454" s="719"/>
      <c r="BA454" s="719"/>
      <c r="BB454" s="719"/>
      <c r="BC454" s="719"/>
      <c r="BD454" s="719"/>
      <c r="BE454" s="719"/>
      <c r="BF454" s="719"/>
      <c r="BG454" s="719"/>
      <c r="BH454" s="719"/>
      <c r="BI454" s="719"/>
      <c r="BJ454" s="719"/>
    </row>
    <row r="455" spans="1:62" ht="15.75" customHeight="1">
      <c r="A455" s="493" t="s">
        <v>170</v>
      </c>
      <c r="B455" s="497"/>
      <c r="C455" s="719" t="s">
        <v>474</v>
      </c>
      <c r="D455" s="719"/>
      <c r="E455" s="719"/>
      <c r="F455" s="719"/>
      <c r="G455" s="719"/>
      <c r="H455" s="719"/>
      <c r="I455" s="719"/>
      <c r="J455" s="719"/>
      <c r="K455" s="719"/>
      <c r="L455" s="719"/>
      <c r="M455" s="719"/>
      <c r="N455" s="719"/>
      <c r="O455" s="719"/>
      <c r="P455" s="719"/>
      <c r="Q455" s="719"/>
      <c r="R455" s="719"/>
      <c r="S455" s="719"/>
      <c r="T455" s="719"/>
      <c r="U455" s="719"/>
      <c r="V455" s="585" t="s">
        <v>170</v>
      </c>
      <c r="W455" s="290"/>
      <c r="X455" s="757"/>
      <c r="Y455" s="764"/>
      <c r="Z455" s="758">
        <v>0</v>
      </c>
      <c r="AA455" s="757"/>
      <c r="AB455" s="764"/>
      <c r="AC455" s="758">
        <v>0</v>
      </c>
      <c r="AD455" s="765"/>
      <c r="AE455" s="764"/>
      <c r="AF455" s="758">
        <v>0</v>
      </c>
      <c r="AG455" s="759"/>
      <c r="AH455" s="760">
        <v>0</v>
      </c>
      <c r="AI455" s="761">
        <v>0</v>
      </c>
      <c r="AJ455" s="765"/>
      <c r="AK455" s="757"/>
      <c r="AL455" s="758">
        <v>0</v>
      </c>
      <c r="AM455" s="762"/>
      <c r="AN455" s="760">
        <v>0</v>
      </c>
      <c r="AO455" s="766">
        <v>0</v>
      </c>
      <c r="AP455" s="719"/>
      <c r="AQ455" s="719"/>
      <c r="AR455" s="719"/>
      <c r="AS455" s="719"/>
      <c r="AT455" s="719"/>
      <c r="AU455" s="719"/>
      <c r="AV455" s="719"/>
      <c r="AW455" s="719"/>
      <c r="AX455" s="719"/>
      <c r="AY455" s="719"/>
      <c r="AZ455" s="719"/>
      <c r="BA455" s="719"/>
      <c r="BB455" s="719"/>
      <c r="BC455" s="719"/>
      <c r="BD455" s="719"/>
      <c r="BE455" s="719"/>
      <c r="BF455" s="719"/>
      <c r="BG455" s="719"/>
      <c r="BH455" s="719"/>
      <c r="BI455" s="719"/>
      <c r="BJ455" s="719"/>
    </row>
    <row r="456" spans="1:62" ht="15.75" customHeight="1">
      <c r="A456" s="493" t="s">
        <v>171</v>
      </c>
      <c r="B456" s="497"/>
      <c r="C456" s="719" t="s">
        <v>474</v>
      </c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19"/>
      <c r="P456" s="719"/>
      <c r="Q456" s="719"/>
      <c r="R456" s="719"/>
      <c r="S456" s="719"/>
      <c r="T456" s="719"/>
      <c r="U456" s="719"/>
      <c r="V456" s="586" t="s">
        <v>171</v>
      </c>
      <c r="W456" s="294" t="s">
        <v>172</v>
      </c>
      <c r="X456" s="741"/>
      <c r="Y456" s="767"/>
      <c r="Z456" s="742">
        <v>4270.5833333333321</v>
      </c>
      <c r="AA456" s="741"/>
      <c r="AB456" s="767"/>
      <c r="AC456" s="742">
        <v>4270.5833333333321</v>
      </c>
      <c r="AD456" s="768"/>
      <c r="AE456" s="767"/>
      <c r="AF456" s="742">
        <v>4271</v>
      </c>
      <c r="AG456" s="743"/>
      <c r="AH456" s="744">
        <v>0.41666666666787933</v>
      </c>
      <c r="AI456" s="769">
        <v>9.7566686830732595E-5</v>
      </c>
      <c r="AJ456" s="768"/>
      <c r="AK456" s="741"/>
      <c r="AL456" s="742">
        <v>3708.11</v>
      </c>
      <c r="AM456" s="746"/>
      <c r="AN456" s="744">
        <v>562.88999999999987</v>
      </c>
      <c r="AO456" s="747">
        <v>0.15179970389227931</v>
      </c>
      <c r="AP456" s="719"/>
      <c r="AQ456" s="719"/>
      <c r="AR456" s="719"/>
      <c r="AS456" s="719"/>
      <c r="AT456" s="719"/>
      <c r="AU456" s="719"/>
      <c r="AV456" s="719"/>
      <c r="AW456" s="719"/>
      <c r="AX456" s="719"/>
      <c r="AY456" s="719"/>
      <c r="AZ456" s="719"/>
      <c r="BA456" s="719"/>
      <c r="BB456" s="719"/>
      <c r="BC456" s="719"/>
      <c r="BD456" s="719"/>
      <c r="BE456" s="719"/>
      <c r="BF456" s="719"/>
      <c r="BG456" s="719"/>
      <c r="BH456" s="719"/>
      <c r="BI456" s="719"/>
      <c r="BJ456" s="719"/>
    </row>
    <row r="457" spans="1:62" ht="15.75" customHeight="1">
      <c r="A457" s="493" t="s">
        <v>173</v>
      </c>
      <c r="B457" s="497"/>
      <c r="C457" s="719" t="s">
        <v>474</v>
      </c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19"/>
      <c r="P457" s="719"/>
      <c r="Q457" s="719"/>
      <c r="R457" s="719"/>
      <c r="S457" s="719"/>
      <c r="T457" s="719"/>
      <c r="U457" s="719"/>
      <c r="V457" s="585" t="s">
        <v>173</v>
      </c>
      <c r="W457" s="290" t="s">
        <v>174</v>
      </c>
      <c r="X457" s="808"/>
      <c r="Y457" s="809"/>
      <c r="Z457" s="758">
        <v>2838.4863750000004</v>
      </c>
      <c r="AA457" s="808"/>
      <c r="AB457" s="809"/>
      <c r="AC457" s="758">
        <v>2838.4863750000004</v>
      </c>
      <c r="AD457" s="765"/>
      <c r="AE457" s="764"/>
      <c r="AF457" s="810">
        <v>0</v>
      </c>
      <c r="AG457" s="759"/>
      <c r="AH457" s="760">
        <v>-2838.4863750000004</v>
      </c>
      <c r="AI457" s="761">
        <v>-1</v>
      </c>
      <c r="AJ457" s="765"/>
      <c r="AK457" s="757"/>
      <c r="AL457" s="758">
        <v>3411.05</v>
      </c>
      <c r="AM457" s="762"/>
      <c r="AN457" s="760">
        <v>-3411.05</v>
      </c>
      <c r="AO457" s="766">
        <v>-1</v>
      </c>
      <c r="AP457" s="719"/>
      <c r="AQ457" s="719"/>
      <c r="AR457" s="719"/>
      <c r="AS457" s="719"/>
      <c r="AT457" s="719"/>
      <c r="AU457" s="719"/>
      <c r="AV457" s="719"/>
      <c r="AW457" s="719"/>
      <c r="AX457" s="719"/>
      <c r="AY457" s="719"/>
      <c r="AZ457" s="719"/>
      <c r="BA457" s="719"/>
      <c r="BB457" s="719"/>
      <c r="BC457" s="719"/>
      <c r="BD457" s="719"/>
      <c r="BE457" s="719"/>
      <c r="BF457" s="719"/>
      <c r="BG457" s="719"/>
      <c r="BH457" s="719"/>
      <c r="BI457" s="719"/>
      <c r="BJ457" s="719"/>
    </row>
    <row r="458" spans="1:62" ht="15.75" customHeight="1">
      <c r="A458" s="493" t="s">
        <v>175</v>
      </c>
      <c r="B458" s="497"/>
      <c r="C458" s="719" t="s">
        <v>474</v>
      </c>
      <c r="D458" s="719"/>
      <c r="E458" s="719"/>
      <c r="F458" s="719"/>
      <c r="G458" s="719"/>
      <c r="H458" s="719"/>
      <c r="I458" s="719"/>
      <c r="J458" s="719"/>
      <c r="K458" s="719"/>
      <c r="L458" s="719"/>
      <c r="M458" s="719"/>
      <c r="N458" s="719"/>
      <c r="O458" s="719"/>
      <c r="P458" s="719"/>
      <c r="Q458" s="719"/>
      <c r="R458" s="719"/>
      <c r="S458" s="719"/>
      <c r="T458" s="719"/>
      <c r="U458" s="719"/>
      <c r="V458" s="585" t="s">
        <v>175</v>
      </c>
      <c r="W458" s="290" t="s">
        <v>176</v>
      </c>
      <c r="X458" s="757"/>
      <c r="Y458" s="764"/>
      <c r="Z458" s="758">
        <v>6122.833333333333</v>
      </c>
      <c r="AA458" s="757"/>
      <c r="AB458" s="764"/>
      <c r="AC458" s="758">
        <v>6122.833333333333</v>
      </c>
      <c r="AD458" s="765"/>
      <c r="AE458" s="764"/>
      <c r="AF458" s="758">
        <v>6123.33</v>
      </c>
      <c r="AG458" s="759"/>
      <c r="AH458" s="760">
        <v>0.49666666666689707</v>
      </c>
      <c r="AI458" s="761">
        <v>8.1117129869106967E-5</v>
      </c>
      <c r="AJ458" s="765"/>
      <c r="AK458" s="757"/>
      <c r="AL458" s="758">
        <v>7136.19</v>
      </c>
      <c r="AM458" s="762"/>
      <c r="AN458" s="760">
        <v>-1012.8599999999997</v>
      </c>
      <c r="AO458" s="766">
        <v>-0.14193288015033229</v>
      </c>
      <c r="AP458" s="719"/>
      <c r="AQ458" s="719"/>
      <c r="AR458" s="719"/>
      <c r="AS458" s="719"/>
      <c r="AT458" s="719"/>
      <c r="AU458" s="719"/>
      <c r="AV458" s="719"/>
      <c r="AW458" s="719"/>
      <c r="AX458" s="719"/>
      <c r="AY458" s="719"/>
      <c r="AZ458" s="719"/>
      <c r="BA458" s="719"/>
      <c r="BB458" s="719"/>
      <c r="BC458" s="719"/>
      <c r="BD458" s="719"/>
      <c r="BE458" s="719"/>
      <c r="BF458" s="719"/>
      <c r="BG458" s="719"/>
      <c r="BH458" s="719"/>
      <c r="BI458" s="719"/>
      <c r="BJ458" s="719"/>
    </row>
    <row r="459" spans="1:62" ht="15.75" customHeight="1">
      <c r="A459" s="493" t="s">
        <v>177</v>
      </c>
      <c r="B459" s="497"/>
      <c r="C459" s="719" t="s">
        <v>474</v>
      </c>
      <c r="D459" s="719"/>
      <c r="E459" s="719"/>
      <c r="F459" s="719"/>
      <c r="G459" s="719"/>
      <c r="H459" s="719"/>
      <c r="I459" s="719"/>
      <c r="J459" s="719"/>
      <c r="K459" s="719"/>
      <c r="L459" s="719"/>
      <c r="M459" s="719"/>
      <c r="N459" s="719"/>
      <c r="O459" s="719"/>
      <c r="P459" s="719"/>
      <c r="Q459" s="719"/>
      <c r="R459" s="719"/>
      <c r="S459" s="719"/>
      <c r="T459" s="719"/>
      <c r="U459" s="719"/>
      <c r="V459" s="586" t="s">
        <v>177</v>
      </c>
      <c r="W459" s="294" t="s">
        <v>178</v>
      </c>
      <c r="X459" s="741"/>
      <c r="Y459" s="767"/>
      <c r="Z459" s="742">
        <v>1188.8599166666665</v>
      </c>
      <c r="AA459" s="741"/>
      <c r="AB459" s="767"/>
      <c r="AC459" s="742">
        <v>1188.8599166666665</v>
      </c>
      <c r="AD459" s="768"/>
      <c r="AE459" s="767"/>
      <c r="AF459" s="742">
        <v>1544.4</v>
      </c>
      <c r="AG459" s="743"/>
      <c r="AH459" s="744">
        <v>355.54008333333354</v>
      </c>
      <c r="AI459" s="769">
        <v>0.29905969437526264</v>
      </c>
      <c r="AJ459" s="768"/>
      <c r="AK459" s="741"/>
      <c r="AL459" s="742">
        <v>856.63</v>
      </c>
      <c r="AM459" s="746"/>
      <c r="AN459" s="744">
        <v>687.7700000000001</v>
      </c>
      <c r="AO459" s="747">
        <v>0.80287872243559077</v>
      </c>
      <c r="AP459" s="719"/>
      <c r="AQ459" s="719"/>
      <c r="AR459" s="719"/>
      <c r="AS459" s="719"/>
      <c r="AT459" s="719"/>
      <c r="AU459" s="719"/>
      <c r="AV459" s="719"/>
      <c r="AW459" s="719"/>
      <c r="AX459" s="719"/>
      <c r="AY459" s="719"/>
      <c r="AZ459" s="719"/>
      <c r="BA459" s="719"/>
      <c r="BB459" s="719"/>
      <c r="BC459" s="719"/>
      <c r="BD459" s="719"/>
      <c r="BE459" s="719"/>
      <c r="BF459" s="719"/>
      <c r="BG459" s="719"/>
      <c r="BH459" s="719"/>
      <c r="BI459" s="719"/>
      <c r="BJ459" s="719"/>
    </row>
    <row r="460" spans="1:62" ht="15.75" customHeight="1">
      <c r="A460" s="493" t="s">
        <v>179</v>
      </c>
      <c r="B460" s="497"/>
      <c r="C460" s="719" t="s">
        <v>474</v>
      </c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19"/>
      <c r="P460" s="719"/>
      <c r="Q460" s="719"/>
      <c r="R460" s="719"/>
      <c r="S460" s="719"/>
      <c r="T460" s="719"/>
      <c r="U460" s="811"/>
      <c r="V460" s="585" t="s">
        <v>179</v>
      </c>
      <c r="W460" s="290" t="s">
        <v>180</v>
      </c>
      <c r="X460" s="757"/>
      <c r="Y460" s="764"/>
      <c r="Z460" s="758">
        <v>230.625</v>
      </c>
      <c r="AA460" s="757"/>
      <c r="AB460" s="764"/>
      <c r="AC460" s="758">
        <v>230.625</v>
      </c>
      <c r="AD460" s="765"/>
      <c r="AE460" s="764"/>
      <c r="AF460" s="758">
        <v>0</v>
      </c>
      <c r="AG460" s="759"/>
      <c r="AH460" s="760">
        <v>-230.625</v>
      </c>
      <c r="AI460" s="812">
        <v>-1</v>
      </c>
      <c r="AJ460" s="757"/>
      <c r="AK460" s="757"/>
      <c r="AL460" s="758">
        <v>0</v>
      </c>
      <c r="AM460" s="762"/>
      <c r="AN460" s="760">
        <v>0</v>
      </c>
      <c r="AO460" s="766">
        <v>0</v>
      </c>
      <c r="AP460" s="719"/>
      <c r="AQ460" s="719"/>
      <c r="AR460" s="719"/>
      <c r="AS460" s="719"/>
      <c r="AT460" s="719"/>
      <c r="AU460" s="719"/>
      <c r="AV460" s="719"/>
      <c r="AW460" s="719"/>
      <c r="AX460" s="719"/>
      <c r="AY460" s="719"/>
      <c r="AZ460" s="719"/>
      <c r="BA460" s="719"/>
      <c r="BB460" s="719"/>
      <c r="BC460" s="719"/>
      <c r="BD460" s="719"/>
      <c r="BE460" s="719"/>
      <c r="BF460" s="719"/>
      <c r="BG460" s="719"/>
      <c r="BH460" s="719"/>
      <c r="BI460" s="719"/>
      <c r="BJ460" s="719"/>
    </row>
    <row r="461" spans="1:62" ht="15.75" customHeight="1">
      <c r="A461" s="493" t="s">
        <v>181</v>
      </c>
      <c r="B461" s="497"/>
      <c r="C461" s="719" t="s">
        <v>474</v>
      </c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19"/>
      <c r="P461" s="719"/>
      <c r="Q461" s="719"/>
      <c r="R461" s="719"/>
      <c r="S461" s="719"/>
      <c r="T461" s="719"/>
      <c r="U461" s="811"/>
      <c r="V461" s="585" t="s">
        <v>181</v>
      </c>
      <c r="W461" s="290" t="s">
        <v>182</v>
      </c>
      <c r="X461" s="757"/>
      <c r="Y461" s="764"/>
      <c r="Z461" s="758">
        <v>0</v>
      </c>
      <c r="AA461" s="757"/>
      <c r="AB461" s="764"/>
      <c r="AC461" s="758">
        <v>0</v>
      </c>
      <c r="AD461" s="765"/>
      <c r="AE461" s="764"/>
      <c r="AF461" s="758">
        <v>0</v>
      </c>
      <c r="AG461" s="759"/>
      <c r="AH461" s="760">
        <v>0</v>
      </c>
      <c r="AI461" s="783">
        <v>0</v>
      </c>
      <c r="AJ461" s="757"/>
      <c r="AK461" s="757"/>
      <c r="AL461" s="758">
        <v>0</v>
      </c>
      <c r="AM461" s="762"/>
      <c r="AN461" s="760">
        <v>0</v>
      </c>
      <c r="AO461" s="766">
        <v>0</v>
      </c>
      <c r="AP461" s="719"/>
      <c r="AQ461" s="719"/>
      <c r="AR461" s="719"/>
      <c r="AS461" s="719"/>
      <c r="AT461" s="719"/>
      <c r="AU461" s="719"/>
      <c r="AV461" s="719"/>
      <c r="AW461" s="719"/>
      <c r="AX461" s="719"/>
      <c r="AY461" s="719"/>
      <c r="AZ461" s="719"/>
      <c r="BA461" s="719"/>
      <c r="BB461" s="719"/>
      <c r="BC461" s="719"/>
      <c r="BD461" s="719"/>
      <c r="BE461" s="719"/>
      <c r="BF461" s="719"/>
      <c r="BG461" s="719"/>
      <c r="BH461" s="719"/>
      <c r="BI461" s="719"/>
      <c r="BJ461" s="719"/>
    </row>
    <row r="462" spans="1:62" ht="15.75" hidden="1" customHeight="1">
      <c r="A462" s="493" t="s">
        <v>21</v>
      </c>
      <c r="B462" s="497"/>
      <c r="C462" s="719" t="s">
        <v>474</v>
      </c>
      <c r="D462" s="719"/>
      <c r="E462" s="719"/>
      <c r="F462" s="719"/>
      <c r="G462" s="719"/>
      <c r="H462" s="719"/>
      <c r="I462" s="719"/>
      <c r="J462" s="719"/>
      <c r="K462" s="719"/>
      <c r="L462" s="719"/>
      <c r="M462" s="719"/>
      <c r="N462" s="719"/>
      <c r="O462" s="719"/>
      <c r="P462" s="719"/>
      <c r="Q462" s="719"/>
      <c r="R462" s="719"/>
      <c r="S462" s="719"/>
      <c r="T462" s="719"/>
      <c r="U462" s="811"/>
      <c r="V462" s="585" t="s">
        <v>21</v>
      </c>
      <c r="W462" s="290"/>
      <c r="X462" s="757"/>
      <c r="Y462" s="764"/>
      <c r="Z462" s="758">
        <v>0</v>
      </c>
      <c r="AA462" s="757"/>
      <c r="AB462" s="757"/>
      <c r="AC462" s="758">
        <v>0</v>
      </c>
      <c r="AD462" s="765"/>
      <c r="AE462" s="764"/>
      <c r="AF462" s="758">
        <v>0</v>
      </c>
      <c r="AG462" s="759"/>
      <c r="AH462" s="760">
        <v>0</v>
      </c>
      <c r="AI462" s="761">
        <v>0</v>
      </c>
      <c r="AJ462" s="765"/>
      <c r="AK462" s="757"/>
      <c r="AL462" s="758">
        <v>0</v>
      </c>
      <c r="AM462" s="762"/>
      <c r="AN462" s="760">
        <v>0</v>
      </c>
      <c r="AO462" s="766">
        <v>1</v>
      </c>
      <c r="AP462" s="719"/>
      <c r="AQ462" s="719"/>
      <c r="AR462" s="719"/>
      <c r="AS462" s="719"/>
      <c r="AT462" s="719"/>
      <c r="AU462" s="719"/>
      <c r="AV462" s="719"/>
      <c r="AW462" s="719"/>
      <c r="AX462" s="719"/>
      <c r="AY462" s="719"/>
      <c r="AZ462" s="719"/>
      <c r="BA462" s="719"/>
      <c r="BB462" s="719"/>
      <c r="BC462" s="719"/>
      <c r="BD462" s="719"/>
      <c r="BE462" s="719"/>
      <c r="BF462" s="719"/>
      <c r="BG462" s="719"/>
      <c r="BH462" s="719"/>
      <c r="BI462" s="719"/>
      <c r="BJ462" s="719"/>
    </row>
    <row r="463" spans="1:62" ht="15.75" hidden="1" customHeight="1">
      <c r="A463" s="493" t="s">
        <v>21</v>
      </c>
      <c r="B463" s="497"/>
      <c r="C463" s="719" t="s">
        <v>474</v>
      </c>
      <c r="D463" s="719"/>
      <c r="E463" s="719"/>
      <c r="F463" s="719"/>
      <c r="G463" s="719"/>
      <c r="H463" s="719"/>
      <c r="I463" s="719"/>
      <c r="J463" s="719"/>
      <c r="K463" s="719"/>
      <c r="L463" s="719"/>
      <c r="M463" s="719"/>
      <c r="N463" s="719"/>
      <c r="O463" s="719"/>
      <c r="P463" s="719"/>
      <c r="Q463" s="719"/>
      <c r="R463" s="719"/>
      <c r="S463" s="719"/>
      <c r="T463" s="719"/>
      <c r="U463" s="811"/>
      <c r="V463" s="585" t="s">
        <v>21</v>
      </c>
      <c r="W463" s="290"/>
      <c r="X463" s="757"/>
      <c r="Y463" s="764"/>
      <c r="Z463" s="758">
        <v>0</v>
      </c>
      <c r="AA463" s="757"/>
      <c r="AB463" s="757"/>
      <c r="AC463" s="758">
        <v>0</v>
      </c>
      <c r="AD463" s="765"/>
      <c r="AE463" s="764"/>
      <c r="AF463" s="758">
        <v>0</v>
      </c>
      <c r="AG463" s="759"/>
      <c r="AH463" s="760">
        <v>0</v>
      </c>
      <c r="AI463" s="761">
        <v>0</v>
      </c>
      <c r="AJ463" s="765"/>
      <c r="AK463" s="757"/>
      <c r="AL463" s="758">
        <v>0</v>
      </c>
      <c r="AM463" s="762"/>
      <c r="AN463" s="760">
        <v>0</v>
      </c>
      <c r="AO463" s="766">
        <v>2</v>
      </c>
      <c r="AP463" s="719"/>
      <c r="AQ463" s="719"/>
      <c r="AR463" s="719"/>
      <c r="AS463" s="719"/>
      <c r="AT463" s="719"/>
      <c r="AU463" s="719"/>
      <c r="AV463" s="719"/>
      <c r="AW463" s="719"/>
      <c r="AX463" s="719"/>
      <c r="AY463" s="719"/>
      <c r="AZ463" s="719"/>
      <c r="BA463" s="719"/>
      <c r="BB463" s="719"/>
      <c r="BC463" s="719"/>
      <c r="BD463" s="719"/>
      <c r="BE463" s="719"/>
      <c r="BF463" s="719"/>
      <c r="BG463" s="719"/>
      <c r="BH463" s="719"/>
      <c r="BI463" s="719"/>
      <c r="BJ463" s="719"/>
    </row>
    <row r="464" spans="1:62" ht="15.75" hidden="1" customHeight="1">
      <c r="A464" s="493" t="s">
        <v>21</v>
      </c>
      <c r="B464" s="497"/>
      <c r="C464" s="719" t="s">
        <v>474</v>
      </c>
      <c r="D464" s="719"/>
      <c r="E464" s="719"/>
      <c r="F464" s="719"/>
      <c r="G464" s="719"/>
      <c r="H464" s="719"/>
      <c r="I464" s="719"/>
      <c r="J464" s="719"/>
      <c r="K464" s="719"/>
      <c r="L464" s="719"/>
      <c r="M464" s="719"/>
      <c r="N464" s="719"/>
      <c r="O464" s="719"/>
      <c r="P464" s="719"/>
      <c r="Q464" s="719"/>
      <c r="R464" s="719"/>
      <c r="S464" s="719"/>
      <c r="T464" s="719"/>
      <c r="U464" s="719"/>
      <c r="V464" s="585" t="s">
        <v>21</v>
      </c>
      <c r="W464" s="290"/>
      <c r="X464" s="757"/>
      <c r="Y464" s="764"/>
      <c r="Z464" s="758">
        <v>0</v>
      </c>
      <c r="AA464" s="757"/>
      <c r="AB464" s="757"/>
      <c r="AC464" s="758">
        <v>0</v>
      </c>
      <c r="AD464" s="765"/>
      <c r="AE464" s="764"/>
      <c r="AF464" s="758">
        <v>0</v>
      </c>
      <c r="AG464" s="759"/>
      <c r="AH464" s="760">
        <v>0</v>
      </c>
      <c r="AI464" s="761">
        <v>0</v>
      </c>
      <c r="AJ464" s="765"/>
      <c r="AK464" s="757"/>
      <c r="AL464" s="758">
        <v>0</v>
      </c>
      <c r="AM464" s="762"/>
      <c r="AN464" s="760">
        <v>0</v>
      </c>
      <c r="AO464" s="766">
        <v>3</v>
      </c>
      <c r="AP464" s="719"/>
      <c r="AQ464" s="719"/>
      <c r="AR464" s="719"/>
      <c r="AS464" s="719"/>
      <c r="AT464" s="719"/>
      <c r="AU464" s="719"/>
      <c r="AV464" s="719"/>
      <c r="AW464" s="719"/>
      <c r="AX464" s="719"/>
      <c r="AY464" s="719"/>
      <c r="AZ464" s="719"/>
      <c r="BA464" s="719"/>
      <c r="BB464" s="719"/>
      <c r="BC464" s="719"/>
      <c r="BD464" s="719"/>
      <c r="BE464" s="719"/>
      <c r="BF464" s="719"/>
      <c r="BG464" s="719"/>
      <c r="BH464" s="719"/>
      <c r="BI464" s="719"/>
      <c r="BJ464" s="719"/>
    </row>
    <row r="465" spans="1:62" ht="15.75" customHeight="1">
      <c r="A465" s="493" t="s">
        <v>183</v>
      </c>
      <c r="B465" s="497"/>
      <c r="C465" s="719" t="s">
        <v>474</v>
      </c>
      <c r="D465" s="719"/>
      <c r="E465" s="719"/>
      <c r="F465" s="719"/>
      <c r="G465" s="719"/>
      <c r="H465" s="719"/>
      <c r="I465" s="719"/>
      <c r="J465" s="719"/>
      <c r="K465" s="719"/>
      <c r="L465" s="719"/>
      <c r="M465" s="719"/>
      <c r="N465" s="719"/>
      <c r="O465" s="719"/>
      <c r="P465" s="719"/>
      <c r="Q465" s="719"/>
      <c r="R465" s="719"/>
      <c r="S465" s="719"/>
      <c r="T465" s="719"/>
      <c r="U465" s="719"/>
      <c r="V465" s="772" t="s">
        <v>183</v>
      </c>
      <c r="W465" s="773"/>
      <c r="X465" s="774">
        <v>7.0382145536188961E-2</v>
      </c>
      <c r="Y465" s="773"/>
      <c r="Z465" s="775">
        <v>48861.637958333333</v>
      </c>
      <c r="AA465" s="774">
        <v>7.0382145536188961E-2</v>
      </c>
      <c r="AB465" s="773"/>
      <c r="AC465" s="775">
        <v>48861.637958333333</v>
      </c>
      <c r="AD465" s="776">
        <v>5.784050788647261E-2</v>
      </c>
      <c r="AE465" s="773"/>
      <c r="AF465" s="775">
        <v>46148.73</v>
      </c>
      <c r="AG465" s="786"/>
      <c r="AH465" s="813">
        <v>-2712.9079583333314</v>
      </c>
      <c r="AI465" s="774">
        <v>-5.5522247548204555E-2</v>
      </c>
      <c r="AJ465" s="776">
        <v>7.1634699342167096E-2</v>
      </c>
      <c r="AK465" s="774"/>
      <c r="AL465" s="775">
        <v>49121.98</v>
      </c>
      <c r="AM465" s="787"/>
      <c r="AN465" s="778">
        <v>-2973.2500000000005</v>
      </c>
      <c r="AO465" s="807">
        <v>-6.0527894030330216E-2</v>
      </c>
      <c r="AP465" s="719"/>
      <c r="AQ465" s="719"/>
      <c r="AR465" s="719"/>
      <c r="AS465" s="719"/>
      <c r="AT465" s="719"/>
      <c r="AU465" s="719"/>
      <c r="AV465" s="719"/>
      <c r="AW465" s="719"/>
      <c r="AX465" s="719"/>
      <c r="AY465" s="719"/>
      <c r="AZ465" s="719"/>
      <c r="BA465" s="719"/>
      <c r="BB465" s="719"/>
      <c r="BC465" s="719"/>
      <c r="BD465" s="719"/>
      <c r="BE465" s="719"/>
      <c r="BF465" s="719"/>
      <c r="BG465" s="719"/>
      <c r="BH465" s="719"/>
      <c r="BI465" s="719"/>
      <c r="BJ465" s="719"/>
    </row>
    <row r="466" spans="1:62" ht="15.75" customHeight="1">
      <c r="A466" s="493" t="s">
        <v>476</v>
      </c>
      <c r="B466" s="497"/>
      <c r="C466" s="719" t="s">
        <v>474</v>
      </c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19"/>
      <c r="P466" s="719"/>
      <c r="Q466" s="719"/>
      <c r="R466" s="719"/>
      <c r="S466" s="719"/>
      <c r="T466" s="719"/>
      <c r="U466" s="719"/>
      <c r="V466" s="585"/>
      <c r="W466" s="757"/>
      <c r="X466" s="757"/>
      <c r="Y466" s="757"/>
      <c r="Z466" s="814"/>
      <c r="AA466" s="757"/>
      <c r="AB466" s="757"/>
      <c r="AC466" s="814"/>
      <c r="AD466" s="765"/>
      <c r="AE466" s="757"/>
      <c r="AF466" s="814"/>
      <c r="AG466" s="765"/>
      <c r="AH466" s="760">
        <v>0</v>
      </c>
      <c r="AI466" s="761"/>
      <c r="AJ466" s="765"/>
      <c r="AK466" s="757"/>
      <c r="AL466" s="814"/>
      <c r="AM466" s="815"/>
      <c r="AN466" s="760">
        <v>0</v>
      </c>
      <c r="AO466" s="816">
        <v>0</v>
      </c>
      <c r="AP466" s="719"/>
      <c r="AQ466" s="719"/>
      <c r="AR466" s="719"/>
      <c r="AS466" s="719"/>
      <c r="AT466" s="719"/>
      <c r="AU466" s="719"/>
      <c r="AV466" s="719"/>
      <c r="AW466" s="719"/>
      <c r="AX466" s="719"/>
      <c r="AY466" s="719"/>
      <c r="AZ466" s="719"/>
      <c r="BA466" s="719"/>
      <c r="BB466" s="719"/>
      <c r="BC466" s="719"/>
      <c r="BD466" s="719"/>
      <c r="BE466" s="719"/>
      <c r="BF466" s="719"/>
      <c r="BG466" s="719"/>
      <c r="BH466" s="719"/>
      <c r="BI466" s="719"/>
      <c r="BJ466" s="719"/>
    </row>
    <row r="467" spans="1:62" ht="15.75" customHeight="1">
      <c r="A467" s="493" t="s">
        <v>66</v>
      </c>
      <c r="B467" s="497"/>
      <c r="C467" s="719" t="s">
        <v>474</v>
      </c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19"/>
      <c r="P467" s="719"/>
      <c r="Q467" s="719"/>
      <c r="R467" s="719"/>
      <c r="S467" s="719"/>
      <c r="T467" s="719"/>
      <c r="U467" s="719"/>
      <c r="V467" s="772" t="s">
        <v>66</v>
      </c>
      <c r="W467" s="773"/>
      <c r="X467" s="774">
        <v>0.86053362294699609</v>
      </c>
      <c r="Y467" s="773"/>
      <c r="Z467" s="775">
        <v>597411.20443379146</v>
      </c>
      <c r="AA467" s="774">
        <v>0.86053362294699609</v>
      </c>
      <c r="AB467" s="773"/>
      <c r="AC467" s="775">
        <v>597411.20443379146</v>
      </c>
      <c r="AD467" s="776">
        <v>0.81324249938682969</v>
      </c>
      <c r="AE467" s="773"/>
      <c r="AF467" s="775">
        <v>648855.1</v>
      </c>
      <c r="AG467" s="786"/>
      <c r="AH467" s="778">
        <v>51443.895566208521</v>
      </c>
      <c r="AI467" s="774">
        <v>8.6111367152823179E-2</v>
      </c>
      <c r="AJ467" s="776">
        <v>0.82503630990587584</v>
      </c>
      <c r="AK467" s="774"/>
      <c r="AL467" s="775">
        <v>565751.19999999995</v>
      </c>
      <c r="AM467" s="787"/>
      <c r="AN467" s="778">
        <v>83103.900000000023</v>
      </c>
      <c r="AO467" s="755">
        <v>0.14689124830844377</v>
      </c>
      <c r="AP467" s="719"/>
      <c r="AQ467" s="719"/>
      <c r="AR467" s="719"/>
      <c r="AS467" s="719"/>
      <c r="AT467" s="719"/>
      <c r="AU467" s="719"/>
      <c r="AV467" s="719"/>
      <c r="AW467" s="719"/>
      <c r="AX467" s="719"/>
      <c r="AY467" s="719"/>
      <c r="AZ467" s="719"/>
      <c r="BA467" s="719"/>
      <c r="BB467" s="719"/>
      <c r="BC467" s="719"/>
      <c r="BD467" s="719"/>
      <c r="BE467" s="719"/>
      <c r="BF467" s="719"/>
      <c r="BG467" s="719"/>
      <c r="BH467" s="719"/>
      <c r="BI467" s="719"/>
      <c r="BJ467" s="719"/>
    </row>
    <row r="468" spans="1:62" ht="15.75" customHeight="1">
      <c r="A468" s="493" t="s">
        <v>184</v>
      </c>
      <c r="B468" s="497"/>
      <c r="C468" s="719" t="s">
        <v>474</v>
      </c>
      <c r="D468" s="719"/>
      <c r="E468" s="719"/>
      <c r="F468" s="719"/>
      <c r="G468" s="719"/>
      <c r="H468" s="719"/>
      <c r="I468" s="719"/>
      <c r="J468" s="719"/>
      <c r="K468" s="719"/>
      <c r="L468" s="719"/>
      <c r="M468" s="719"/>
      <c r="N468" s="719"/>
      <c r="O468" s="719"/>
      <c r="P468" s="719"/>
      <c r="Q468" s="719"/>
      <c r="R468" s="719"/>
      <c r="S468" s="719"/>
      <c r="T468" s="719"/>
      <c r="U468" s="719"/>
      <c r="V468" s="585" t="s">
        <v>184</v>
      </c>
      <c r="W468" s="809"/>
      <c r="X468" s="809"/>
      <c r="Y468" s="757"/>
      <c r="Z468" s="789">
        <v>1758.03</v>
      </c>
      <c r="AA468" s="817"/>
      <c r="AB468" s="818"/>
      <c r="AC468" s="789">
        <v>1758.03</v>
      </c>
      <c r="AD468" s="819"/>
      <c r="AE468" s="818"/>
      <c r="AF468" s="758">
        <v>16.47</v>
      </c>
      <c r="AG468" s="820"/>
      <c r="AH468" s="760">
        <v>-1741.56</v>
      </c>
      <c r="AI468" s="812">
        <v>-0.99063155918840973</v>
      </c>
      <c r="AJ468" s="819"/>
      <c r="AK468" s="817"/>
      <c r="AL468" s="821">
        <v>6192.67</v>
      </c>
      <c r="AM468" s="822"/>
      <c r="AN468" s="760">
        <v>-6176.2</v>
      </c>
      <c r="AO468" s="766">
        <v>-0.99734040405834634</v>
      </c>
      <c r="AP468" s="719"/>
      <c r="AQ468" s="719"/>
      <c r="AR468" s="719"/>
      <c r="AS468" s="719"/>
      <c r="AT468" s="719"/>
      <c r="AU468" s="719"/>
      <c r="AV468" s="719"/>
      <c r="AW468" s="719"/>
      <c r="AX468" s="719"/>
      <c r="AY468" s="719"/>
      <c r="AZ468" s="719"/>
      <c r="BA468" s="719"/>
      <c r="BB468" s="719"/>
      <c r="BC468" s="719"/>
      <c r="BD468" s="719"/>
      <c r="BE468" s="719"/>
      <c r="BF468" s="719"/>
      <c r="BG468" s="719"/>
      <c r="BH468" s="719"/>
      <c r="BI468" s="719"/>
      <c r="BJ468" s="719"/>
    </row>
    <row r="469" spans="1:62" ht="30" customHeight="1">
      <c r="A469" s="493" t="s">
        <v>70</v>
      </c>
      <c r="B469" s="497"/>
      <c r="C469" s="719" t="s">
        <v>474</v>
      </c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585" t="s">
        <v>70</v>
      </c>
      <c r="W469" s="757"/>
      <c r="X469" s="757"/>
      <c r="Y469" s="757"/>
      <c r="Z469" s="758">
        <v>77407.490927710824</v>
      </c>
      <c r="AA469" s="808"/>
      <c r="AB469" s="809"/>
      <c r="AC469" s="758">
        <v>77407.490927710824</v>
      </c>
      <c r="AD469" s="823"/>
      <c r="AE469" s="809"/>
      <c r="AF469" s="758">
        <v>66097</v>
      </c>
      <c r="AG469" s="824"/>
      <c r="AH469" s="760">
        <v>-11310.490927710824</v>
      </c>
      <c r="AI469" s="783">
        <v>-0.14611623232011803</v>
      </c>
      <c r="AJ469" s="823"/>
      <c r="AK469" s="808"/>
      <c r="AL469" s="825">
        <v>102678</v>
      </c>
      <c r="AM469" s="826"/>
      <c r="AN469" s="760">
        <v>-36581</v>
      </c>
      <c r="AO469" s="766">
        <v>-0.35626911314984711</v>
      </c>
      <c r="AP469" s="719"/>
      <c r="AQ469" s="719"/>
      <c r="AR469" s="719"/>
      <c r="AS469" s="719"/>
      <c r="AT469" s="719"/>
      <c r="AU469" s="719"/>
      <c r="AV469" s="719"/>
      <c r="AW469" s="719"/>
      <c r="AX469" s="719"/>
      <c r="AY469" s="719"/>
      <c r="AZ469" s="719"/>
      <c r="BA469" s="719"/>
      <c r="BB469" s="719"/>
      <c r="BC469" s="719"/>
      <c r="BD469" s="719"/>
      <c r="BE469" s="719"/>
      <c r="BF469" s="719"/>
      <c r="BG469" s="719"/>
      <c r="BH469" s="719"/>
      <c r="BI469" s="719"/>
      <c r="BJ469" s="719"/>
    </row>
    <row r="470" spans="1:62" ht="15.75" customHeight="1">
      <c r="A470" s="493" t="s">
        <v>200</v>
      </c>
      <c r="B470" s="497"/>
      <c r="C470" s="719" t="s">
        <v>474</v>
      </c>
      <c r="D470" s="719"/>
      <c r="E470" s="719"/>
      <c r="F470" s="719"/>
      <c r="G470" s="719"/>
      <c r="H470" s="719"/>
      <c r="I470" s="719"/>
      <c r="J470" s="719"/>
      <c r="K470" s="719"/>
      <c r="L470" s="719"/>
      <c r="M470" s="719"/>
      <c r="N470" s="719"/>
      <c r="O470" s="719"/>
      <c r="P470" s="719"/>
      <c r="Q470" s="719"/>
      <c r="R470" s="719"/>
      <c r="S470" s="719"/>
      <c r="T470" s="719"/>
      <c r="U470" s="719"/>
      <c r="V470" s="585" t="s">
        <v>200</v>
      </c>
      <c r="W470" s="757"/>
      <c r="X470" s="757"/>
      <c r="Y470" s="757"/>
      <c r="Z470" s="758">
        <v>20185.2</v>
      </c>
      <c r="AA470" s="808"/>
      <c r="AB470" s="809"/>
      <c r="AC470" s="758">
        <v>20185.2</v>
      </c>
      <c r="AD470" s="823"/>
      <c r="AE470" s="809"/>
      <c r="AF470" s="758">
        <v>22000</v>
      </c>
      <c r="AG470" s="824"/>
      <c r="AH470" s="760">
        <v>1814.7999999999993</v>
      </c>
      <c r="AI470" s="783">
        <v>8.9907456948655415E-2</v>
      </c>
      <c r="AJ470" s="823"/>
      <c r="AK470" s="808"/>
      <c r="AL470" s="825">
        <v>0</v>
      </c>
      <c r="AM470" s="826"/>
      <c r="AN470" s="760">
        <v>22000</v>
      </c>
      <c r="AO470" s="766">
        <v>0</v>
      </c>
      <c r="AP470" s="719"/>
      <c r="AQ470" s="719"/>
      <c r="AR470" s="719"/>
      <c r="AS470" s="719"/>
      <c r="AT470" s="719"/>
      <c r="AU470" s="719"/>
      <c r="AV470" s="719"/>
      <c r="AW470" s="719"/>
      <c r="AX470" s="719"/>
      <c r="AY470" s="719"/>
      <c r="AZ470" s="719"/>
      <c r="BA470" s="719"/>
      <c r="BB470" s="719"/>
      <c r="BC470" s="719"/>
      <c r="BD470" s="719"/>
      <c r="BE470" s="719"/>
      <c r="BF470" s="719"/>
      <c r="BG470" s="719"/>
      <c r="BH470" s="719"/>
      <c r="BI470" s="719"/>
      <c r="BJ470" s="719"/>
    </row>
    <row r="471" spans="1:62" ht="15.75" customHeight="1">
      <c r="A471" s="493" t="s">
        <v>197</v>
      </c>
      <c r="B471" s="497"/>
      <c r="C471" s="719" t="s">
        <v>474</v>
      </c>
      <c r="D471" s="719"/>
      <c r="E471" s="719"/>
      <c r="F471" s="719"/>
      <c r="G471" s="719"/>
      <c r="H471" s="719"/>
      <c r="I471" s="719"/>
      <c r="J471" s="719"/>
      <c r="K471" s="719"/>
      <c r="L471" s="719"/>
      <c r="M471" s="719"/>
      <c r="N471" s="719"/>
      <c r="O471" s="719"/>
      <c r="P471" s="719"/>
      <c r="Q471" s="719"/>
      <c r="R471" s="719"/>
      <c r="S471" s="719"/>
      <c r="T471" s="719"/>
      <c r="U471" s="719"/>
      <c r="V471" s="585" t="s">
        <v>197</v>
      </c>
      <c r="W471" s="757"/>
      <c r="X471" s="757"/>
      <c r="Y471" s="757"/>
      <c r="Z471" s="758">
        <v>0</v>
      </c>
      <c r="AA471" s="808"/>
      <c r="AB471" s="809"/>
      <c r="AC471" s="758">
        <v>0</v>
      </c>
      <c r="AD471" s="823"/>
      <c r="AE471" s="809"/>
      <c r="AF471" s="758">
        <v>0</v>
      </c>
      <c r="AG471" s="824"/>
      <c r="AH471" s="760">
        <v>0</v>
      </c>
      <c r="AI471" s="783">
        <v>0</v>
      </c>
      <c r="AJ471" s="823"/>
      <c r="AK471" s="808"/>
      <c r="AL471" s="825">
        <v>0</v>
      </c>
      <c r="AM471" s="826"/>
      <c r="AN471" s="760">
        <v>0</v>
      </c>
      <c r="AO471" s="766">
        <v>0</v>
      </c>
      <c r="AP471" s="719"/>
      <c r="AQ471" s="719"/>
      <c r="AR471" s="719"/>
      <c r="AS471" s="719"/>
      <c r="AT471" s="719"/>
      <c r="AU471" s="719"/>
      <c r="AV471" s="719"/>
      <c r="AW471" s="719"/>
      <c r="AX471" s="719"/>
      <c r="AY471" s="719"/>
      <c r="AZ471" s="719"/>
      <c r="BA471" s="719"/>
      <c r="BB471" s="719"/>
      <c r="BC471" s="719"/>
      <c r="BD471" s="719"/>
      <c r="BE471" s="719"/>
      <c r="BF471" s="719"/>
      <c r="BG471" s="719"/>
      <c r="BH471" s="719"/>
      <c r="BI471" s="719"/>
      <c r="BJ471" s="719"/>
    </row>
    <row r="472" spans="1:62" ht="15.75" customHeight="1">
      <c r="A472" s="493" t="s">
        <v>69</v>
      </c>
      <c r="B472" s="497"/>
      <c r="C472" s="719" t="s">
        <v>474</v>
      </c>
      <c r="D472" s="719"/>
      <c r="E472" s="719"/>
      <c r="F472" s="719"/>
      <c r="G472" s="719"/>
      <c r="H472" s="719"/>
      <c r="I472" s="719"/>
      <c r="J472" s="719"/>
      <c r="K472" s="719"/>
      <c r="L472" s="719"/>
      <c r="M472" s="719"/>
      <c r="N472" s="719"/>
      <c r="O472" s="719"/>
      <c r="P472" s="719"/>
      <c r="Q472" s="719"/>
      <c r="R472" s="719"/>
      <c r="S472" s="719"/>
      <c r="T472" s="719"/>
      <c r="U472" s="719"/>
      <c r="V472" s="585" t="s">
        <v>69</v>
      </c>
      <c r="W472" s="757"/>
      <c r="X472" s="757"/>
      <c r="Y472" s="757"/>
      <c r="Z472" s="758">
        <v>0</v>
      </c>
      <c r="AA472" s="808"/>
      <c r="AB472" s="809"/>
      <c r="AC472" s="758">
        <v>0</v>
      </c>
      <c r="AD472" s="823"/>
      <c r="AE472" s="809"/>
      <c r="AF472" s="758">
        <v>0</v>
      </c>
      <c r="AG472" s="824"/>
      <c r="AH472" s="760">
        <v>0</v>
      </c>
      <c r="AI472" s="783">
        <v>0</v>
      </c>
      <c r="AJ472" s="823"/>
      <c r="AK472" s="808"/>
      <c r="AL472" s="825">
        <v>0</v>
      </c>
      <c r="AM472" s="826"/>
      <c r="AN472" s="760">
        <v>0</v>
      </c>
      <c r="AO472" s="766">
        <v>0</v>
      </c>
      <c r="AP472" s="719"/>
      <c r="AQ472" s="719"/>
      <c r="AR472" s="719"/>
      <c r="AS472" s="719"/>
      <c r="AT472" s="719"/>
      <c r="AU472" s="719"/>
      <c r="AV472" s="719"/>
      <c r="AW472" s="719"/>
      <c r="AX472" s="719"/>
      <c r="AY472" s="719"/>
      <c r="AZ472" s="719"/>
      <c r="BA472" s="719"/>
      <c r="BB472" s="719"/>
      <c r="BC472" s="719"/>
      <c r="BD472" s="719"/>
      <c r="BE472" s="719"/>
      <c r="BF472" s="719"/>
      <c r="BG472" s="719"/>
      <c r="BH472" s="719"/>
      <c r="BI472" s="719"/>
      <c r="BJ472" s="719"/>
    </row>
    <row r="473" spans="1:62" ht="15.75" customHeight="1">
      <c r="A473" s="493" t="s">
        <v>215</v>
      </c>
      <c r="B473" s="497"/>
      <c r="C473" s="719" t="s">
        <v>474</v>
      </c>
      <c r="D473" s="719"/>
      <c r="E473" s="719"/>
      <c r="F473" s="719"/>
      <c r="G473" s="719"/>
      <c r="H473" s="719"/>
      <c r="I473" s="719"/>
      <c r="J473" s="719"/>
      <c r="K473" s="719"/>
      <c r="L473" s="719"/>
      <c r="M473" s="719"/>
      <c r="N473" s="719"/>
      <c r="O473" s="719"/>
      <c r="P473" s="719"/>
      <c r="Q473" s="719"/>
      <c r="R473" s="719"/>
      <c r="S473" s="719"/>
      <c r="T473" s="719"/>
      <c r="U473" s="719"/>
      <c r="V473" s="585" t="s">
        <v>215</v>
      </c>
      <c r="W473" s="757"/>
      <c r="X473" s="757"/>
      <c r="Y473" s="757"/>
      <c r="Z473" s="758">
        <v>0</v>
      </c>
      <c r="AA473" s="808"/>
      <c r="AB473" s="809"/>
      <c r="AC473" s="758">
        <v>0</v>
      </c>
      <c r="AD473" s="823"/>
      <c r="AE473" s="809"/>
      <c r="AF473" s="758">
        <v>0</v>
      </c>
      <c r="AG473" s="824"/>
      <c r="AH473" s="760">
        <v>0</v>
      </c>
      <c r="AI473" s="783">
        <v>0</v>
      </c>
      <c r="AJ473" s="823"/>
      <c r="AK473" s="808"/>
      <c r="AL473" s="825">
        <v>0</v>
      </c>
      <c r="AM473" s="826"/>
      <c r="AN473" s="760">
        <v>0</v>
      </c>
      <c r="AO473" s="766">
        <v>0</v>
      </c>
      <c r="AP473" s="719"/>
      <c r="AQ473" s="719"/>
      <c r="AR473" s="719"/>
      <c r="AS473" s="719"/>
      <c r="AT473" s="719"/>
      <c r="AU473" s="719"/>
      <c r="AV473" s="719"/>
      <c r="AW473" s="719"/>
      <c r="AX473" s="719"/>
      <c r="AY473" s="719"/>
      <c r="AZ473" s="719"/>
      <c r="BA473" s="719"/>
      <c r="BB473" s="719"/>
      <c r="BC473" s="719"/>
      <c r="BD473" s="719"/>
      <c r="BE473" s="719"/>
      <c r="BF473" s="719"/>
      <c r="BG473" s="719"/>
      <c r="BH473" s="719"/>
      <c r="BI473" s="719"/>
      <c r="BJ473" s="719"/>
    </row>
    <row r="474" spans="1:62" ht="15.75" customHeight="1">
      <c r="A474" s="493" t="s">
        <v>82</v>
      </c>
      <c r="B474" s="497"/>
      <c r="C474" s="719" t="s">
        <v>474</v>
      </c>
      <c r="D474" s="719"/>
      <c r="E474" s="719"/>
      <c r="F474" s="719"/>
      <c r="G474" s="719"/>
      <c r="H474" s="719"/>
      <c r="I474" s="719"/>
      <c r="J474" s="719"/>
      <c r="K474" s="719"/>
      <c r="L474" s="719"/>
      <c r="M474" s="719"/>
      <c r="N474" s="719"/>
      <c r="O474" s="719"/>
      <c r="P474" s="719"/>
      <c r="Q474" s="719"/>
      <c r="R474" s="719"/>
      <c r="S474" s="719"/>
      <c r="T474" s="719"/>
      <c r="U474" s="719"/>
      <c r="V474" s="585" t="s">
        <v>82</v>
      </c>
      <c r="W474" s="757"/>
      <c r="X474" s="757"/>
      <c r="Y474" s="757"/>
      <c r="Z474" s="758">
        <v>0</v>
      </c>
      <c r="AA474" s="808"/>
      <c r="AB474" s="809"/>
      <c r="AC474" s="758">
        <v>0</v>
      </c>
      <c r="AD474" s="823"/>
      <c r="AE474" s="809"/>
      <c r="AF474" s="758">
        <v>0</v>
      </c>
      <c r="AG474" s="824"/>
      <c r="AH474" s="760">
        <v>0</v>
      </c>
      <c r="AI474" s="783">
        <v>0</v>
      </c>
      <c r="AJ474" s="823"/>
      <c r="AK474" s="808"/>
      <c r="AL474" s="825">
        <v>0</v>
      </c>
      <c r="AM474" s="826"/>
      <c r="AN474" s="760">
        <v>0</v>
      </c>
      <c r="AO474" s="766">
        <v>0</v>
      </c>
      <c r="AP474" s="719"/>
      <c r="AQ474" s="719"/>
      <c r="AR474" s="719"/>
      <c r="AS474" s="719"/>
      <c r="AT474" s="719"/>
      <c r="AU474" s="719"/>
      <c r="AV474" s="719"/>
      <c r="AW474" s="719"/>
      <c r="AX474" s="719"/>
      <c r="AY474" s="719"/>
      <c r="AZ474" s="719"/>
      <c r="BA474" s="719"/>
      <c r="BB474" s="719"/>
      <c r="BC474" s="719"/>
      <c r="BD474" s="719"/>
      <c r="BE474" s="719"/>
      <c r="BF474" s="719"/>
      <c r="BG474" s="719"/>
      <c r="BH474" s="719"/>
      <c r="BI474" s="719"/>
      <c r="BJ474" s="719"/>
    </row>
    <row r="475" spans="1:62" ht="15.75" customHeight="1">
      <c r="A475" s="493" t="s">
        <v>83</v>
      </c>
      <c r="B475" s="497"/>
      <c r="C475" s="719" t="s">
        <v>474</v>
      </c>
      <c r="D475" s="719"/>
      <c r="E475" s="719"/>
      <c r="F475" s="719"/>
      <c r="G475" s="719"/>
      <c r="H475" s="719"/>
      <c r="I475" s="719"/>
      <c r="J475" s="719"/>
      <c r="K475" s="719"/>
      <c r="L475" s="719"/>
      <c r="M475" s="719"/>
      <c r="N475" s="719"/>
      <c r="O475" s="719"/>
      <c r="P475" s="719"/>
      <c r="Q475" s="719"/>
      <c r="R475" s="719"/>
      <c r="S475" s="719"/>
      <c r="T475" s="719"/>
      <c r="U475" s="719"/>
      <c r="V475" s="585" t="s">
        <v>83</v>
      </c>
      <c r="W475" s="757"/>
      <c r="X475" s="757"/>
      <c r="Y475" s="757"/>
      <c r="Z475" s="758">
        <v>0</v>
      </c>
      <c r="AA475" s="808"/>
      <c r="AB475" s="809"/>
      <c r="AC475" s="758">
        <v>0</v>
      </c>
      <c r="AD475" s="823"/>
      <c r="AE475" s="809"/>
      <c r="AF475" s="758">
        <v>0</v>
      </c>
      <c r="AG475" s="824"/>
      <c r="AH475" s="760">
        <v>0</v>
      </c>
      <c r="AI475" s="783">
        <v>0</v>
      </c>
      <c r="AJ475" s="823"/>
      <c r="AK475" s="808"/>
      <c r="AL475" s="825">
        <v>0</v>
      </c>
      <c r="AM475" s="826"/>
      <c r="AN475" s="760">
        <v>0</v>
      </c>
      <c r="AO475" s="766">
        <v>0</v>
      </c>
      <c r="AP475" s="719"/>
      <c r="AQ475" s="719"/>
      <c r="AR475" s="719"/>
      <c r="AS475" s="719"/>
      <c r="AT475" s="719"/>
      <c r="AU475" s="719"/>
      <c r="AV475" s="719"/>
      <c r="AW475" s="719"/>
      <c r="AX475" s="719"/>
      <c r="AY475" s="719"/>
      <c r="AZ475" s="719"/>
      <c r="BA475" s="719"/>
      <c r="BB475" s="719"/>
      <c r="BC475" s="719"/>
      <c r="BD475" s="719"/>
      <c r="BE475" s="719"/>
      <c r="BF475" s="719"/>
      <c r="BG475" s="719"/>
      <c r="BH475" s="719"/>
      <c r="BI475" s="719"/>
      <c r="BJ475" s="719"/>
    </row>
    <row r="476" spans="1:62" ht="15.75" hidden="1" customHeight="1">
      <c r="A476" s="493" t="s">
        <v>21</v>
      </c>
      <c r="B476" s="497"/>
      <c r="C476" s="719" t="s">
        <v>474</v>
      </c>
      <c r="D476" s="719"/>
      <c r="E476" s="719"/>
      <c r="F476" s="719"/>
      <c r="G476" s="719"/>
      <c r="H476" s="719"/>
      <c r="I476" s="719"/>
      <c r="J476" s="719"/>
      <c r="K476" s="719"/>
      <c r="L476" s="719"/>
      <c r="M476" s="719"/>
      <c r="N476" s="719"/>
      <c r="O476" s="719"/>
      <c r="P476" s="719"/>
      <c r="Q476" s="719"/>
      <c r="R476" s="719"/>
      <c r="S476" s="719"/>
      <c r="T476" s="719"/>
      <c r="U476" s="719"/>
      <c r="V476" s="585" t="s">
        <v>21</v>
      </c>
      <c r="W476" s="757"/>
      <c r="X476" s="757"/>
      <c r="Y476" s="757"/>
      <c r="Z476" s="758">
        <v>0</v>
      </c>
      <c r="AA476" s="757"/>
      <c r="AB476" s="757"/>
      <c r="AC476" s="758">
        <v>0</v>
      </c>
      <c r="AD476" s="765"/>
      <c r="AE476" s="764"/>
      <c r="AF476" s="758">
        <v>0</v>
      </c>
      <c r="AG476" s="759"/>
      <c r="AH476" s="760">
        <v>0</v>
      </c>
      <c r="AI476" s="761">
        <v>0</v>
      </c>
      <c r="AJ476" s="765"/>
      <c r="AK476" s="757"/>
      <c r="AL476" s="758">
        <v>0</v>
      </c>
      <c r="AM476" s="826"/>
      <c r="AN476" s="760">
        <v>0</v>
      </c>
      <c r="AO476" s="766">
        <v>0</v>
      </c>
      <c r="AP476" s="719"/>
      <c r="AQ476" s="719"/>
      <c r="AR476" s="719"/>
      <c r="AS476" s="719"/>
      <c r="AT476" s="719"/>
      <c r="AU476" s="719"/>
      <c r="AV476" s="719"/>
      <c r="AW476" s="719"/>
      <c r="AX476" s="719"/>
      <c r="AY476" s="719"/>
      <c r="AZ476" s="719"/>
      <c r="BA476" s="719"/>
      <c r="BB476" s="719"/>
      <c r="BC476" s="719"/>
      <c r="BD476" s="719"/>
      <c r="BE476" s="719"/>
      <c r="BF476" s="719"/>
      <c r="BG476" s="719"/>
      <c r="BH476" s="719"/>
      <c r="BI476" s="719"/>
      <c r="BJ476" s="719"/>
    </row>
    <row r="477" spans="1:62" ht="15.75" hidden="1" customHeight="1">
      <c r="A477" s="493" t="s">
        <v>21</v>
      </c>
      <c r="B477" s="497"/>
      <c r="C477" s="719" t="s">
        <v>474</v>
      </c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19"/>
      <c r="P477" s="719"/>
      <c r="Q477" s="719"/>
      <c r="R477" s="719"/>
      <c r="S477" s="719"/>
      <c r="T477" s="719"/>
      <c r="U477" s="719"/>
      <c r="V477" s="585" t="s">
        <v>21</v>
      </c>
      <c r="W477" s="757"/>
      <c r="X477" s="757"/>
      <c r="Y477" s="757"/>
      <c r="Z477" s="758">
        <v>0</v>
      </c>
      <c r="AA477" s="757"/>
      <c r="AB477" s="757"/>
      <c r="AC477" s="758">
        <v>0</v>
      </c>
      <c r="AD477" s="765"/>
      <c r="AE477" s="764"/>
      <c r="AF477" s="758">
        <v>0</v>
      </c>
      <c r="AG477" s="759"/>
      <c r="AH477" s="760">
        <v>0</v>
      </c>
      <c r="AI477" s="761">
        <v>0</v>
      </c>
      <c r="AJ477" s="765"/>
      <c r="AK477" s="757"/>
      <c r="AL477" s="758">
        <v>0</v>
      </c>
      <c r="AM477" s="826"/>
      <c r="AN477" s="760">
        <v>0</v>
      </c>
      <c r="AO477" s="766">
        <v>0</v>
      </c>
      <c r="AP477" s="719"/>
      <c r="AQ477" s="719"/>
      <c r="AR477" s="719"/>
      <c r="AS477" s="719"/>
      <c r="AT477" s="719"/>
      <c r="AU477" s="719"/>
      <c r="AV477" s="719"/>
      <c r="AW477" s="719"/>
      <c r="AX477" s="719"/>
      <c r="AY477" s="719"/>
      <c r="AZ477" s="719"/>
      <c r="BA477" s="719"/>
      <c r="BB477" s="719"/>
      <c r="BC477" s="719"/>
      <c r="BD477" s="719"/>
      <c r="BE477" s="719"/>
      <c r="BF477" s="719"/>
      <c r="BG477" s="719"/>
      <c r="BH477" s="719"/>
      <c r="BI477" s="719"/>
      <c r="BJ477" s="719"/>
    </row>
    <row r="478" spans="1:62" ht="15.75" hidden="1" customHeight="1">
      <c r="A478" s="493" t="s">
        <v>21</v>
      </c>
      <c r="B478" s="497"/>
      <c r="C478" s="719" t="s">
        <v>474</v>
      </c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19"/>
      <c r="P478" s="719"/>
      <c r="Q478" s="719"/>
      <c r="R478" s="719"/>
      <c r="S478" s="719"/>
      <c r="T478" s="719"/>
      <c r="U478" s="719"/>
      <c r="V478" s="585" t="s">
        <v>21</v>
      </c>
      <c r="W478" s="757"/>
      <c r="X478" s="757"/>
      <c r="Y478" s="757"/>
      <c r="Z478" s="758">
        <v>0</v>
      </c>
      <c r="AA478" s="757"/>
      <c r="AB478" s="757"/>
      <c r="AC478" s="758">
        <v>0</v>
      </c>
      <c r="AD478" s="765"/>
      <c r="AE478" s="764"/>
      <c r="AF478" s="758">
        <v>0</v>
      </c>
      <c r="AG478" s="759"/>
      <c r="AH478" s="760">
        <v>0</v>
      </c>
      <c r="AI478" s="761">
        <v>0</v>
      </c>
      <c r="AJ478" s="765"/>
      <c r="AK478" s="757"/>
      <c r="AL478" s="758">
        <v>0</v>
      </c>
      <c r="AM478" s="826"/>
      <c r="AN478" s="760">
        <v>0</v>
      </c>
      <c r="AO478" s="766">
        <v>0</v>
      </c>
      <c r="AP478" s="719"/>
      <c r="AQ478" s="719"/>
      <c r="AR478" s="719"/>
      <c r="AS478" s="719"/>
      <c r="AT478" s="719"/>
      <c r="AU478" s="719"/>
      <c r="AV478" s="719"/>
      <c r="AW478" s="719"/>
      <c r="AX478" s="719"/>
      <c r="AY478" s="719"/>
      <c r="AZ478" s="719"/>
      <c r="BA478" s="719"/>
      <c r="BB478" s="719"/>
      <c r="BC478" s="719"/>
      <c r="BD478" s="719"/>
      <c r="BE478" s="719"/>
      <c r="BF478" s="719"/>
      <c r="BG478" s="719"/>
      <c r="BH478" s="719"/>
      <c r="BI478" s="719"/>
      <c r="BJ478" s="719"/>
    </row>
    <row r="479" spans="1:62" ht="15.75" customHeight="1">
      <c r="A479" s="493" t="s">
        <v>71</v>
      </c>
      <c r="B479" s="497"/>
      <c r="C479" s="719" t="s">
        <v>474</v>
      </c>
      <c r="D479" s="719"/>
      <c r="E479" s="719"/>
      <c r="F479" s="719"/>
      <c r="G479" s="719"/>
      <c r="H479" s="719"/>
      <c r="I479" s="719"/>
      <c r="J479" s="719"/>
      <c r="K479" s="719"/>
      <c r="L479" s="719"/>
      <c r="M479" s="719"/>
      <c r="N479" s="719"/>
      <c r="O479" s="719"/>
      <c r="P479" s="719"/>
      <c r="Q479" s="719"/>
      <c r="R479" s="719"/>
      <c r="S479" s="719"/>
      <c r="T479" s="719"/>
      <c r="U479" s="719"/>
      <c r="V479" s="586" t="s">
        <v>71</v>
      </c>
      <c r="W479" s="757"/>
      <c r="X479" s="757"/>
      <c r="Y479" s="757"/>
      <c r="Z479" s="758">
        <v>43797.764878343165</v>
      </c>
      <c r="AA479" s="808"/>
      <c r="AB479" s="809"/>
      <c r="AC479" s="758">
        <v>43797.764878343165</v>
      </c>
      <c r="AD479" s="823">
        <v>77.793208020050116</v>
      </c>
      <c r="AE479" s="809">
        <v>0.84557834804402299</v>
      </c>
      <c r="AF479" s="758">
        <v>31039.489999999998</v>
      </c>
      <c r="AG479" s="824"/>
      <c r="AH479" s="760">
        <v>-12758.274878343167</v>
      </c>
      <c r="AI479" s="783">
        <v>-0.29129967964762049</v>
      </c>
      <c r="AJ479" s="823"/>
      <c r="AK479" s="808"/>
      <c r="AL479" s="825">
        <v>38988</v>
      </c>
      <c r="AM479" s="826"/>
      <c r="AN479" s="760">
        <v>-7948.510000000002</v>
      </c>
      <c r="AO479" s="766">
        <v>-0.2038706781573818</v>
      </c>
      <c r="AP479" s="719"/>
      <c r="AQ479" s="719"/>
      <c r="AR479" s="719"/>
      <c r="AS479" s="719"/>
      <c r="AT479" s="719"/>
      <c r="AU479" s="719"/>
      <c r="AV479" s="719"/>
      <c r="AW479" s="719"/>
      <c r="AX479" s="719"/>
      <c r="AY479" s="719"/>
      <c r="AZ479" s="719"/>
      <c r="BA479" s="719"/>
      <c r="BB479" s="719"/>
      <c r="BC479" s="719"/>
      <c r="BD479" s="719"/>
      <c r="BE479" s="719"/>
      <c r="BF479" s="719"/>
      <c r="BG479" s="719"/>
      <c r="BH479" s="719"/>
      <c r="BI479" s="719"/>
      <c r="BJ479" s="719"/>
    </row>
    <row r="480" spans="1:62" ht="15.75" customHeight="1">
      <c r="A480" s="493" t="s">
        <v>185</v>
      </c>
      <c r="B480" s="497"/>
      <c r="C480" s="719" t="s">
        <v>474</v>
      </c>
      <c r="D480" s="719"/>
      <c r="E480" s="719"/>
      <c r="F480" s="719"/>
      <c r="G480" s="719"/>
      <c r="H480" s="719"/>
      <c r="I480" s="719"/>
      <c r="J480" s="719"/>
      <c r="K480" s="719"/>
      <c r="L480" s="719"/>
      <c r="M480" s="719"/>
      <c r="N480" s="719"/>
      <c r="O480" s="719"/>
      <c r="P480" s="719"/>
      <c r="Q480" s="719"/>
      <c r="R480" s="719"/>
      <c r="S480" s="719"/>
      <c r="T480" s="719"/>
      <c r="U480" s="719"/>
      <c r="V480" s="772" t="s">
        <v>185</v>
      </c>
      <c r="W480" s="773"/>
      <c r="X480" s="774">
        <v>0.20619647605506575</v>
      </c>
      <c r="Y480" s="806"/>
      <c r="Z480" s="775">
        <v>143148.48580605397</v>
      </c>
      <c r="AA480" s="774">
        <v>0.20619647605506575</v>
      </c>
      <c r="AB480" s="806"/>
      <c r="AC480" s="775">
        <v>143148.48580605397</v>
      </c>
      <c r="AD480" s="774">
        <v>0.14934035503418089</v>
      </c>
      <c r="AE480" s="806"/>
      <c r="AF480" s="775">
        <v>119152.95999999999</v>
      </c>
      <c r="AG480" s="786"/>
      <c r="AH480" s="778">
        <v>-23995.525806053978</v>
      </c>
      <c r="AI480" s="774">
        <v>-0.16762682239310958</v>
      </c>
      <c r="AJ480" s="827"/>
      <c r="AK480" s="828"/>
      <c r="AL480" s="775">
        <v>147858.66999999998</v>
      </c>
      <c r="AM480" s="829"/>
      <c r="AN480" s="778">
        <v>-28705.709999999992</v>
      </c>
      <c r="AO480" s="807">
        <v>-0.19414289334538173</v>
      </c>
      <c r="AP480" s="719"/>
      <c r="AQ480" s="719"/>
      <c r="AR480" s="719"/>
      <c r="AS480" s="719"/>
      <c r="AT480" s="719"/>
      <c r="AU480" s="719"/>
      <c r="AV480" s="719"/>
      <c r="AW480" s="719"/>
      <c r="AX480" s="719"/>
      <c r="AY480" s="719"/>
      <c r="AZ480" s="719"/>
      <c r="BA480" s="719"/>
      <c r="BB480" s="719"/>
      <c r="BC480" s="719"/>
      <c r="BD480" s="719"/>
      <c r="BE480" s="719"/>
      <c r="BF480" s="719"/>
      <c r="BG480" s="719"/>
      <c r="BH480" s="719"/>
      <c r="BI480" s="719"/>
      <c r="BJ480" s="719"/>
    </row>
    <row r="481" spans="1:62" ht="15.75" customHeight="1" thickBot="1">
      <c r="A481" s="493" t="s">
        <v>476</v>
      </c>
      <c r="B481" s="497"/>
      <c r="C481" s="719" t="s">
        <v>474</v>
      </c>
      <c r="D481" s="719"/>
      <c r="E481" s="719"/>
      <c r="F481" s="719"/>
      <c r="G481" s="719"/>
      <c r="H481" s="719"/>
      <c r="I481" s="719"/>
      <c r="J481" s="719"/>
      <c r="K481" s="719"/>
      <c r="L481" s="719"/>
      <c r="M481" s="719"/>
      <c r="N481" s="719"/>
      <c r="O481" s="719"/>
      <c r="P481" s="719"/>
      <c r="Q481" s="719"/>
      <c r="R481" s="719"/>
      <c r="S481" s="719"/>
      <c r="T481" s="719"/>
      <c r="U481" s="719"/>
      <c r="V481" s="830"/>
      <c r="W481" s="831"/>
      <c r="X481" s="831"/>
      <c r="Y481" s="832"/>
      <c r="Z481" s="833"/>
      <c r="AA481" s="831"/>
      <c r="AB481" s="834"/>
      <c r="AC481" s="833"/>
      <c r="AD481" s="831"/>
      <c r="AE481" s="834"/>
      <c r="AF481" s="835"/>
      <c r="AG481" s="836"/>
      <c r="AH481" s="837"/>
      <c r="AI481" s="838"/>
      <c r="AJ481" s="839"/>
      <c r="AK481" s="840"/>
      <c r="AL481" s="835"/>
      <c r="AM481" s="841"/>
      <c r="AN481" s="837">
        <v>0</v>
      </c>
      <c r="AO481" s="842">
        <v>0</v>
      </c>
      <c r="AP481" s="719"/>
      <c r="AQ481" s="719"/>
      <c r="AR481" s="719"/>
      <c r="AS481" s="719"/>
      <c r="AT481" s="719"/>
      <c r="AU481" s="719"/>
      <c r="AV481" s="719"/>
      <c r="AW481" s="719"/>
      <c r="AX481" s="719"/>
      <c r="AY481" s="719"/>
      <c r="AZ481" s="719"/>
      <c r="BA481" s="719"/>
      <c r="BB481" s="719"/>
      <c r="BC481" s="719"/>
      <c r="BD481" s="719"/>
      <c r="BE481" s="719"/>
      <c r="BF481" s="719"/>
      <c r="BG481" s="719"/>
      <c r="BH481" s="719"/>
      <c r="BI481" s="719"/>
      <c r="BJ481" s="719"/>
    </row>
    <row r="482" spans="1:62" ht="15.75" customHeight="1" thickTop="1" thickBot="1">
      <c r="A482" s="493" t="s">
        <v>186</v>
      </c>
      <c r="B482" s="497"/>
      <c r="C482" s="719" t="s">
        <v>474</v>
      </c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19"/>
      <c r="P482" s="719"/>
      <c r="Q482" s="719"/>
      <c r="R482" s="719"/>
      <c r="S482" s="719"/>
      <c r="T482" s="719"/>
      <c r="U482" s="719"/>
      <c r="V482" s="843" t="s">
        <v>186</v>
      </c>
      <c r="W482" s="844"/>
      <c r="X482" s="374" t="s">
        <v>187</v>
      </c>
      <c r="Y482" s="845">
        <v>4.6011216356765056E-2</v>
      </c>
      <c r="Z482" s="846">
        <v>239970.70642762328</v>
      </c>
      <c r="AA482" s="374" t="s">
        <v>187</v>
      </c>
      <c r="AB482" s="845">
        <v>4.6011216356765056E-2</v>
      </c>
      <c r="AC482" s="846">
        <v>239970.70642762328</v>
      </c>
      <c r="AD482" s="374" t="s">
        <v>187</v>
      </c>
      <c r="AE482" s="845">
        <v>4.8551375221139607E-2</v>
      </c>
      <c r="AF482" s="847">
        <v>268159.63000000012</v>
      </c>
      <c r="AG482" s="848"/>
      <c r="AH482" s="848">
        <v>28188.923572376836</v>
      </c>
      <c r="AI482" s="849">
        <v>0.11746818597993668</v>
      </c>
      <c r="AJ482" s="380" t="s">
        <v>187</v>
      </c>
      <c r="AK482" s="845">
        <v>4.5390026653246179E-2</v>
      </c>
      <c r="AL482" s="847">
        <v>267836.32000000012</v>
      </c>
      <c r="AM482" s="850"/>
      <c r="AN482" s="847">
        <v>323.30999999999767</v>
      </c>
      <c r="AO482" s="851">
        <v>1.207117839731361E-3</v>
      </c>
      <c r="AP482" s="719"/>
      <c r="AQ482" s="719"/>
      <c r="AR482" s="719"/>
      <c r="AS482" s="719"/>
      <c r="AT482" s="719"/>
      <c r="AU482" s="719"/>
      <c r="AV482" s="719"/>
      <c r="AW482" s="719"/>
      <c r="AX482" s="719"/>
      <c r="AY482" s="719"/>
      <c r="AZ482" s="719"/>
      <c r="BA482" s="719"/>
      <c r="BB482" s="719"/>
      <c r="BC482" s="719"/>
      <c r="BD482" s="719"/>
      <c r="BE482" s="719"/>
      <c r="BF482" s="719"/>
      <c r="BG482" s="719"/>
      <c r="BH482" s="719"/>
      <c r="BI482" s="719"/>
      <c r="BJ482" s="719"/>
    </row>
    <row r="483" spans="1:62" ht="15.75" customHeight="1" thickTop="1">
      <c r="A483" s="493" t="s">
        <v>476</v>
      </c>
      <c r="B483" s="497"/>
      <c r="C483" s="719" t="s">
        <v>474</v>
      </c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19"/>
      <c r="P483" s="719"/>
      <c r="Q483" s="719"/>
      <c r="R483" s="719"/>
      <c r="S483" s="719"/>
      <c r="T483" s="719"/>
      <c r="U483" s="719"/>
      <c r="V483" s="496"/>
      <c r="W483" s="496"/>
      <c r="X483" s="496"/>
      <c r="Y483" s="496"/>
      <c r="Z483" s="565"/>
      <c r="AA483" s="504"/>
      <c r="AB483" s="504"/>
      <c r="AC483" s="565"/>
      <c r="AD483" s="504"/>
      <c r="AE483" s="504"/>
      <c r="AF483" s="852"/>
      <c r="AG483" s="504"/>
      <c r="AH483" s="504"/>
      <c r="AI483" s="504"/>
      <c r="AJ483" s="504"/>
      <c r="AK483" s="504"/>
      <c r="AL483" s="565"/>
      <c r="AM483" s="504"/>
      <c r="AN483" s="504"/>
      <c r="AO483" s="504"/>
      <c r="AP483" s="719"/>
      <c r="AQ483" s="719"/>
      <c r="AR483" s="719"/>
      <c r="AS483" s="719"/>
      <c r="AT483" s="719"/>
      <c r="AU483" s="719"/>
      <c r="AV483" s="719"/>
      <c r="AW483" s="719"/>
      <c r="AX483" s="719"/>
      <c r="AY483" s="719"/>
      <c r="AZ483" s="719"/>
      <c r="BA483" s="719"/>
      <c r="BB483" s="719"/>
      <c r="BC483" s="719"/>
      <c r="BD483" s="719"/>
      <c r="BE483" s="719"/>
      <c r="BF483" s="719"/>
      <c r="BG483" s="719"/>
      <c r="BH483" s="719"/>
      <c r="BI483" s="719"/>
      <c r="BJ483" s="719"/>
    </row>
    <row r="484" spans="1:62" ht="35.25" customHeight="1">
      <c r="A484" s="493" t="s">
        <v>228</v>
      </c>
      <c r="B484" s="497"/>
      <c r="C484" s="719" t="s">
        <v>474</v>
      </c>
      <c r="D484" s="719"/>
      <c r="E484" s="719"/>
      <c r="F484" s="719"/>
      <c r="G484" s="719"/>
      <c r="H484" s="719"/>
      <c r="I484" s="719"/>
      <c r="J484" s="719"/>
      <c r="K484" s="719"/>
      <c r="L484" s="719"/>
      <c r="M484" s="719"/>
      <c r="N484" s="719"/>
      <c r="O484" s="719"/>
      <c r="P484" s="719"/>
      <c r="Q484" s="719"/>
      <c r="R484" s="719"/>
      <c r="S484" s="719"/>
      <c r="T484" s="719"/>
      <c r="U484" s="719"/>
      <c r="V484" s="496" t="s">
        <v>228</v>
      </c>
      <c r="W484" s="496"/>
      <c r="X484" s="496"/>
      <c r="Y484" s="496"/>
      <c r="Z484" s="494"/>
      <c r="AA484" s="494"/>
      <c r="AB484" s="496"/>
      <c r="AC484" s="496"/>
      <c r="AD484" s="494"/>
      <c r="AE484" s="3" t="s">
        <v>188</v>
      </c>
      <c r="AF484" s="496"/>
      <c r="AG484" s="496"/>
      <c r="AH484" s="494"/>
      <c r="AI484" s="494"/>
      <c r="AJ484" s="259"/>
      <c r="AK484" s="2"/>
      <c r="AL484" s="494"/>
      <c r="AM484" s="496"/>
      <c r="AN484" s="496"/>
      <c r="AO484" s="5" t="s">
        <v>499</v>
      </c>
      <c r="AP484" s="719"/>
      <c r="AQ484" s="719"/>
      <c r="AR484" s="719"/>
      <c r="AS484" s="719"/>
      <c r="AT484" s="719"/>
      <c r="AU484" s="719"/>
      <c r="AV484" s="719"/>
      <c r="AW484" s="719"/>
      <c r="AX484" s="719"/>
      <c r="AY484" s="719"/>
      <c r="AZ484" s="719"/>
      <c r="BA484" s="719"/>
      <c r="BB484" s="719"/>
      <c r="BC484" s="719"/>
      <c r="BD484" s="719"/>
      <c r="BE484" s="719"/>
      <c r="BF484" s="719"/>
      <c r="BG484" s="719"/>
      <c r="BH484" s="719"/>
      <c r="BI484" s="719"/>
      <c r="BJ484" s="719"/>
    </row>
    <row r="485" spans="1:62" ht="15.75" customHeight="1">
      <c r="A485" s="493" t="s">
        <v>476</v>
      </c>
      <c r="B485" s="497"/>
      <c r="C485" s="719" t="s">
        <v>474</v>
      </c>
      <c r="D485" s="719"/>
      <c r="E485" s="719"/>
      <c r="F485" s="719"/>
      <c r="G485" s="719"/>
      <c r="H485" s="719"/>
      <c r="I485" s="719"/>
      <c r="J485" s="719"/>
      <c r="K485" s="719"/>
      <c r="L485" s="719"/>
      <c r="M485" s="719"/>
      <c r="N485" s="719"/>
      <c r="O485" s="719"/>
      <c r="P485" s="719"/>
      <c r="Q485" s="719"/>
      <c r="R485" s="719"/>
      <c r="S485" s="719"/>
      <c r="T485" s="719"/>
      <c r="U485" s="719"/>
      <c r="V485" s="496"/>
      <c r="W485" s="496"/>
      <c r="X485" s="496"/>
      <c r="Y485" s="496"/>
      <c r="Z485" s="565"/>
      <c r="AA485" s="504"/>
      <c r="AB485" s="504"/>
      <c r="AC485" s="565"/>
      <c r="AD485" s="504"/>
      <c r="AE485" s="504"/>
      <c r="AF485" s="852"/>
      <c r="AG485" s="504"/>
      <c r="AH485" s="504"/>
      <c r="AI485" s="504"/>
      <c r="AJ485" s="504"/>
      <c r="AK485" s="504"/>
      <c r="AL485" s="565"/>
      <c r="AM485" s="504"/>
      <c r="AN485" s="504"/>
      <c r="AO485" s="504"/>
      <c r="AP485" s="719"/>
      <c r="AQ485" s="719"/>
      <c r="AR485" s="719"/>
      <c r="AS485" s="719"/>
      <c r="AT485" s="719"/>
      <c r="AU485" s="719"/>
      <c r="AV485" s="719"/>
      <c r="AW485" s="719"/>
      <c r="AX485" s="719"/>
      <c r="AY485" s="719"/>
      <c r="AZ485" s="719"/>
      <c r="BA485" s="719"/>
      <c r="BB485" s="719"/>
      <c r="BC485" s="719"/>
      <c r="BD485" s="719"/>
      <c r="BE485" s="719"/>
      <c r="BF485" s="719"/>
      <c r="BG485" s="719"/>
      <c r="BH485" s="719"/>
      <c r="BI485" s="719"/>
      <c r="BJ485" s="719"/>
    </row>
    <row r="486" spans="1:62" ht="15.75" customHeight="1">
      <c r="A486" s="493" t="s">
        <v>476</v>
      </c>
      <c r="B486" s="497"/>
      <c r="C486" s="719" t="s">
        <v>474</v>
      </c>
      <c r="D486" s="719"/>
      <c r="E486" s="719"/>
      <c r="F486" s="719"/>
      <c r="G486" s="719"/>
      <c r="H486" s="719"/>
      <c r="I486" s="719"/>
      <c r="J486" s="719"/>
      <c r="K486" s="719"/>
      <c r="L486" s="719"/>
      <c r="M486" s="719"/>
      <c r="N486" s="719"/>
      <c r="O486" s="719"/>
      <c r="P486" s="719"/>
      <c r="Q486" s="719"/>
      <c r="R486" s="719"/>
      <c r="S486" s="719"/>
      <c r="T486" s="719"/>
      <c r="U486" s="719"/>
      <c r="V486" s="496"/>
      <c r="W486" s="496"/>
      <c r="X486" s="496"/>
      <c r="Y486" s="496"/>
      <c r="Z486" s="565"/>
      <c r="AA486" s="504"/>
      <c r="AB486" s="504"/>
      <c r="AC486" s="565"/>
      <c r="AD486" s="504"/>
      <c r="AE486" s="504"/>
      <c r="AF486" s="852"/>
      <c r="AG486" s="504"/>
      <c r="AH486" s="504"/>
      <c r="AI486" s="504"/>
      <c r="AJ486" s="504"/>
      <c r="AK486" s="504"/>
      <c r="AL486" s="565"/>
      <c r="AM486" s="504"/>
      <c r="AN486" s="504"/>
      <c r="AO486" s="504"/>
      <c r="AP486" s="719"/>
      <c r="AQ486" s="719"/>
      <c r="AR486" s="719"/>
      <c r="AS486" s="719"/>
      <c r="AT486" s="719"/>
      <c r="AU486" s="719"/>
      <c r="AV486" s="719"/>
      <c r="AW486" s="719"/>
      <c r="AX486" s="719"/>
      <c r="AY486" s="719"/>
      <c r="AZ486" s="719"/>
      <c r="BA486" s="719"/>
      <c r="BB486" s="719"/>
      <c r="BC486" s="719"/>
      <c r="BD486" s="719"/>
      <c r="BE486" s="719"/>
      <c r="BF486" s="719"/>
      <c r="BG486" s="719"/>
      <c r="BH486" s="719"/>
      <c r="BI486" s="719"/>
      <c r="BJ486" s="719"/>
    </row>
    <row r="487" spans="1:62" ht="15.75" customHeight="1" thickBot="1">
      <c r="A487" s="493" t="s">
        <v>476</v>
      </c>
      <c r="B487" s="497"/>
      <c r="C487" s="719" t="s">
        <v>474</v>
      </c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19"/>
      <c r="P487" s="719"/>
      <c r="Q487" s="719"/>
      <c r="R487" s="719"/>
      <c r="S487" s="719"/>
      <c r="T487" s="719"/>
      <c r="U487" s="719"/>
      <c r="V487" s="496"/>
      <c r="W487" s="496"/>
      <c r="X487" s="496"/>
      <c r="Y487" s="496"/>
      <c r="Z487" s="565"/>
      <c r="AA487" s="504"/>
      <c r="AB487" s="504"/>
      <c r="AC487" s="565"/>
      <c r="AD487" s="504"/>
      <c r="AE487" s="504"/>
      <c r="AF487" s="852"/>
      <c r="AG487" s="504"/>
      <c r="AH487" s="504"/>
      <c r="AI487" s="504"/>
      <c r="AJ487" s="504"/>
      <c r="AK487" s="504"/>
      <c r="AL487" s="565"/>
      <c r="AM487" s="504"/>
      <c r="AN487" s="504"/>
      <c r="AO487" s="504"/>
      <c r="AP487" s="719"/>
      <c r="AQ487" s="719"/>
      <c r="AR487" s="719"/>
      <c r="AS487" s="719"/>
      <c r="AT487" s="719"/>
      <c r="AU487" s="719"/>
      <c r="AV487" s="719"/>
      <c r="AW487" s="719"/>
      <c r="AX487" s="719"/>
      <c r="AY487" s="719"/>
      <c r="AZ487" s="719"/>
      <c r="BA487" s="719"/>
      <c r="BB487" s="719"/>
      <c r="BC487" s="719"/>
      <c r="BD487" s="719"/>
      <c r="BE487" s="719"/>
      <c r="BF487" s="719"/>
      <c r="BG487" s="719"/>
      <c r="BH487" s="719"/>
      <c r="BI487" s="719"/>
      <c r="BJ487" s="719"/>
    </row>
    <row r="488" spans="1:62" ht="15.75" customHeight="1" thickTop="1" thickBot="1">
      <c r="A488" s="493" t="s">
        <v>186</v>
      </c>
      <c r="B488" s="497"/>
      <c r="C488" s="719" t="s">
        <v>474</v>
      </c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19"/>
      <c r="P488" s="719"/>
      <c r="Q488" s="719"/>
      <c r="R488" s="719"/>
      <c r="S488" s="719"/>
      <c r="T488" s="719"/>
      <c r="U488" s="719"/>
      <c r="V488" s="853" t="s">
        <v>186</v>
      </c>
      <c r="W488" s="854"/>
      <c r="X488" s="386" t="s">
        <v>187</v>
      </c>
      <c r="Y488" s="855">
        <v>4.6011216356765056E-2</v>
      </c>
      <c r="Z488" s="856">
        <v>239970.70642762328</v>
      </c>
      <c r="AA488" s="386" t="s">
        <v>187</v>
      </c>
      <c r="AB488" s="855">
        <v>4.6011216356765056E-2</v>
      </c>
      <c r="AC488" s="856">
        <v>239970.70642762328</v>
      </c>
      <c r="AD488" s="386" t="s">
        <v>187</v>
      </c>
      <c r="AE488" s="855">
        <v>4.8551375221139607E-2</v>
      </c>
      <c r="AF488" s="856">
        <v>268159.63000000012</v>
      </c>
      <c r="AG488" s="857"/>
      <c r="AH488" s="848">
        <v>28188.923572376836</v>
      </c>
      <c r="AI488" s="849">
        <v>0.11746818597993668</v>
      </c>
      <c r="AJ488" s="386" t="s">
        <v>187</v>
      </c>
      <c r="AK488" s="855">
        <v>4.5390026653246179E-2</v>
      </c>
      <c r="AL488" s="858">
        <v>267836.32000000012</v>
      </c>
      <c r="AM488" s="859"/>
      <c r="AN488" s="860">
        <v>323.30999999999767</v>
      </c>
      <c r="AO488" s="861">
        <v>1.207117839731361E-3</v>
      </c>
      <c r="AP488" s="719"/>
      <c r="AQ488" s="719"/>
      <c r="AR488" s="719"/>
      <c r="AS488" s="719"/>
      <c r="AT488" s="719"/>
      <c r="AU488" s="719"/>
      <c r="AV488" s="719"/>
      <c r="AW488" s="719"/>
      <c r="AX488" s="719"/>
      <c r="AY488" s="719"/>
      <c r="AZ488" s="719"/>
      <c r="BA488" s="719"/>
      <c r="BB488" s="719"/>
      <c r="BC488" s="719"/>
      <c r="BD488" s="719"/>
      <c r="BE488" s="719"/>
      <c r="BF488" s="719"/>
      <c r="BG488" s="719"/>
      <c r="BH488" s="719"/>
      <c r="BI488" s="719"/>
      <c r="BJ488" s="719"/>
    </row>
    <row r="489" spans="1:62" ht="15.75" customHeight="1" thickTop="1">
      <c r="A489" s="493" t="s">
        <v>476</v>
      </c>
      <c r="B489" s="497"/>
      <c r="C489" s="719" t="s">
        <v>474</v>
      </c>
      <c r="D489" s="719"/>
      <c r="E489" s="719"/>
      <c r="F489" s="805"/>
      <c r="G489" s="719"/>
      <c r="H489" s="719"/>
      <c r="I489" s="805"/>
      <c r="J489" s="719"/>
      <c r="K489" s="719"/>
      <c r="L489" s="719"/>
      <c r="M489" s="805"/>
      <c r="N489" s="719"/>
      <c r="O489" s="719"/>
      <c r="P489" s="719"/>
      <c r="Q489" s="805"/>
      <c r="R489" s="805"/>
      <c r="S489" s="805"/>
      <c r="T489" s="811"/>
      <c r="U489" s="811"/>
      <c r="V489" s="862"/>
      <c r="W489" s="719"/>
      <c r="X489" s="719"/>
      <c r="Y489" s="719"/>
      <c r="Z489" s="863"/>
      <c r="AA489" s="719"/>
      <c r="AB489" s="719"/>
      <c r="AC489" s="864"/>
      <c r="AD489" s="719"/>
      <c r="AE489" s="719"/>
      <c r="AF489" s="864"/>
      <c r="AG489" s="719"/>
      <c r="AH489" s="719"/>
      <c r="AI489" s="864"/>
      <c r="AJ489" s="719"/>
      <c r="AK489" s="719"/>
      <c r="AL489" s="865"/>
      <c r="AM489" s="866"/>
      <c r="AN489" s="719"/>
      <c r="AO489" s="867"/>
      <c r="AP489" s="719"/>
      <c r="AQ489" s="719"/>
      <c r="AR489" s="719"/>
      <c r="AS489" s="719"/>
      <c r="AT489" s="719"/>
      <c r="AU489" s="719"/>
      <c r="AV489" s="719"/>
      <c r="AW489" s="719"/>
      <c r="AX489" s="719"/>
      <c r="AY489" s="719"/>
      <c r="AZ489" s="719"/>
      <c r="BA489" s="719"/>
      <c r="BB489" s="719"/>
      <c r="BC489" s="719"/>
      <c r="BD489" s="719"/>
      <c r="BE489" s="719"/>
      <c r="BF489" s="719"/>
      <c r="BG489" s="719"/>
      <c r="BH489" s="719"/>
      <c r="BI489" s="719"/>
      <c r="BJ489" s="719"/>
    </row>
    <row r="490" spans="1:62" ht="15.75" customHeight="1">
      <c r="A490" s="493" t="s">
        <v>189</v>
      </c>
      <c r="B490" s="497"/>
      <c r="C490" s="719" t="s">
        <v>474</v>
      </c>
      <c r="D490" s="719"/>
      <c r="E490" s="719"/>
      <c r="F490" s="719"/>
      <c r="G490" s="719"/>
      <c r="H490" s="719"/>
      <c r="I490" s="719"/>
      <c r="J490" s="719"/>
      <c r="K490" s="719"/>
      <c r="L490" s="719"/>
      <c r="M490" s="719"/>
      <c r="N490" s="719"/>
      <c r="O490" s="719"/>
      <c r="P490" s="719"/>
      <c r="Q490" s="719"/>
      <c r="R490" s="719"/>
      <c r="S490" s="719"/>
      <c r="T490" s="719"/>
      <c r="U490" s="719"/>
      <c r="V490" s="585" t="s">
        <v>189</v>
      </c>
      <c r="W490" s="290"/>
      <c r="X490" s="757"/>
      <c r="Y490" s="764"/>
      <c r="Z490" s="758">
        <v>7468.25</v>
      </c>
      <c r="AA490" s="757"/>
      <c r="AB490" s="764"/>
      <c r="AC490" s="758">
        <v>7468.25</v>
      </c>
      <c r="AD490" s="757"/>
      <c r="AE490" s="764"/>
      <c r="AF490" s="758">
        <v>4314.5</v>
      </c>
      <c r="AG490" s="757"/>
      <c r="AH490" s="760">
        <v>-3153.75</v>
      </c>
      <c r="AI490" s="783">
        <v>-0.42228768453118198</v>
      </c>
      <c r="AJ490" s="757"/>
      <c r="AK490" s="757"/>
      <c r="AL490" s="758">
        <v>-14301</v>
      </c>
      <c r="AM490" s="762"/>
      <c r="AN490" s="760">
        <v>18615.5</v>
      </c>
      <c r="AO490" s="766">
        <v>-1.3016921893573876</v>
      </c>
      <c r="AP490" s="719"/>
      <c r="AQ490" s="719"/>
      <c r="AR490" s="719"/>
      <c r="AS490" s="719"/>
      <c r="AT490" s="719"/>
      <c r="AU490" s="719"/>
      <c r="AV490" s="719"/>
      <c r="AW490" s="719"/>
      <c r="AX490" s="719"/>
      <c r="AY490" s="719"/>
      <c r="AZ490" s="719"/>
      <c r="BA490" s="719"/>
      <c r="BB490" s="719"/>
      <c r="BC490" s="719"/>
      <c r="BD490" s="719"/>
      <c r="BE490" s="719"/>
      <c r="BF490" s="719"/>
      <c r="BG490" s="719"/>
      <c r="BH490" s="719"/>
      <c r="BI490" s="719"/>
      <c r="BJ490" s="719"/>
    </row>
    <row r="491" spans="1:62" ht="15.75" customHeight="1">
      <c r="A491" s="493" t="s">
        <v>190</v>
      </c>
      <c r="B491" s="497"/>
      <c r="C491" s="719" t="s">
        <v>474</v>
      </c>
      <c r="D491" s="719"/>
      <c r="E491" s="719"/>
      <c r="F491" s="805"/>
      <c r="G491" s="719"/>
      <c r="H491" s="719"/>
      <c r="I491" s="805"/>
      <c r="J491" s="719"/>
      <c r="K491" s="719"/>
      <c r="L491" s="719"/>
      <c r="M491" s="805"/>
      <c r="N491" s="719"/>
      <c r="O491" s="719"/>
      <c r="P491" s="719"/>
      <c r="Q491" s="805"/>
      <c r="R491" s="805"/>
      <c r="S491" s="805"/>
      <c r="T491" s="719"/>
      <c r="U491" s="719"/>
      <c r="V491" s="585" t="s">
        <v>190</v>
      </c>
      <c r="W491" s="498"/>
      <c r="X491" s="498"/>
      <c r="Y491" s="498"/>
      <c r="Z491" s="758">
        <v>0</v>
      </c>
      <c r="AA491" s="498"/>
      <c r="AB491" s="498"/>
      <c r="AC491" s="758">
        <v>0</v>
      </c>
      <c r="AD491" s="498"/>
      <c r="AE491" s="504"/>
      <c r="AF491" s="758">
        <v>0</v>
      </c>
      <c r="AG491" s="498"/>
      <c r="AH491" s="760">
        <v>0</v>
      </c>
      <c r="AI491" s="783">
        <v>0</v>
      </c>
      <c r="AJ491" s="498"/>
      <c r="AK491" s="498"/>
      <c r="AL491" s="758">
        <v>268.04000000000002</v>
      </c>
      <c r="AM491" s="868"/>
      <c r="AN491" s="760">
        <v>-268.04000000000002</v>
      </c>
      <c r="AO491" s="766">
        <v>-1</v>
      </c>
      <c r="AP491" s="719"/>
      <c r="AQ491" s="719"/>
      <c r="AR491" s="719"/>
      <c r="AS491" s="719"/>
      <c r="AT491" s="719"/>
      <c r="AU491" s="719"/>
      <c r="AV491" s="719"/>
      <c r="AW491" s="719"/>
      <c r="AX491" s="719"/>
      <c r="AY491" s="719"/>
      <c r="AZ491" s="719"/>
      <c r="BA491" s="719"/>
      <c r="BB491" s="719"/>
      <c r="BC491" s="719"/>
      <c r="BD491" s="719"/>
      <c r="BE491" s="719"/>
      <c r="BF491" s="719"/>
      <c r="BG491" s="719"/>
      <c r="BH491" s="719"/>
      <c r="BI491" s="719"/>
      <c r="BJ491" s="719"/>
    </row>
    <row r="492" spans="1:62" ht="15.75" customHeight="1">
      <c r="A492" s="493" t="s">
        <v>191</v>
      </c>
      <c r="B492" s="497"/>
      <c r="C492" s="719" t="s">
        <v>474</v>
      </c>
      <c r="D492" s="719"/>
      <c r="E492" s="719"/>
      <c r="F492" s="805"/>
      <c r="G492" s="719"/>
      <c r="H492" s="719"/>
      <c r="I492" s="805"/>
      <c r="J492" s="719"/>
      <c r="K492" s="719"/>
      <c r="L492" s="719"/>
      <c r="M492" s="805"/>
      <c r="N492" s="719"/>
      <c r="O492" s="719"/>
      <c r="P492" s="719"/>
      <c r="Q492" s="805"/>
      <c r="R492" s="805"/>
      <c r="S492" s="805"/>
      <c r="T492" s="719"/>
      <c r="U492" s="719"/>
      <c r="V492" s="585" t="s">
        <v>191</v>
      </c>
      <c r="W492" s="504"/>
      <c r="X492" s="504"/>
      <c r="Y492" s="504"/>
      <c r="Z492" s="758">
        <v>427.02</v>
      </c>
      <c r="AA492" s="498"/>
      <c r="AB492" s="498"/>
      <c r="AC492" s="758">
        <v>427.02</v>
      </c>
      <c r="AD492" s="498"/>
      <c r="AE492" s="504"/>
      <c r="AF492" s="758">
        <v>426.79</v>
      </c>
      <c r="AG492" s="498"/>
      <c r="AH492" s="760">
        <v>-0.22999999999996135</v>
      </c>
      <c r="AI492" s="783">
        <v>-5.386164582454249E-4</v>
      </c>
      <c r="AJ492" s="498"/>
      <c r="AK492" s="498"/>
      <c r="AL492" s="758">
        <v>570.58999999999992</v>
      </c>
      <c r="AM492" s="868"/>
      <c r="AN492" s="760">
        <v>-143.7999999999999</v>
      </c>
      <c r="AO492" s="766">
        <v>-0.25201983911389952</v>
      </c>
      <c r="AP492" s="719"/>
      <c r="AQ492" s="719"/>
      <c r="AR492" s="719"/>
      <c r="AS492" s="719"/>
      <c r="AT492" s="719"/>
      <c r="AU492" s="719"/>
      <c r="AV492" s="719"/>
      <c r="AW492" s="719"/>
      <c r="AX492" s="719"/>
      <c r="AY492" s="719"/>
      <c r="AZ492" s="719"/>
      <c r="BA492" s="719"/>
      <c r="BB492" s="719"/>
      <c r="BC492" s="719"/>
      <c r="BD492" s="719"/>
      <c r="BE492" s="719"/>
      <c r="BF492" s="719"/>
      <c r="BG492" s="719"/>
      <c r="BH492" s="719"/>
      <c r="BI492" s="719"/>
      <c r="BJ492" s="719"/>
    </row>
    <row r="493" spans="1:62" ht="15.75" customHeight="1" thickBot="1">
      <c r="A493" s="493" t="s">
        <v>192</v>
      </c>
      <c r="B493" s="497"/>
      <c r="C493" s="719" t="s">
        <v>474</v>
      </c>
      <c r="D493" s="719"/>
      <c r="E493" s="719"/>
      <c r="F493" s="805"/>
      <c r="G493" s="719"/>
      <c r="H493" s="719"/>
      <c r="I493" s="805"/>
      <c r="J493" s="719"/>
      <c r="K493" s="719"/>
      <c r="L493" s="719"/>
      <c r="M493" s="805"/>
      <c r="N493" s="719"/>
      <c r="O493" s="719"/>
      <c r="P493" s="719"/>
      <c r="Q493" s="805"/>
      <c r="R493" s="805"/>
      <c r="S493" s="805"/>
      <c r="T493" s="719"/>
      <c r="U493" s="719"/>
      <c r="V493" s="585" t="s">
        <v>192</v>
      </c>
      <c r="W493" s="504"/>
      <c r="X493" s="504"/>
      <c r="Y493" s="504"/>
      <c r="Z493" s="758">
        <v>0</v>
      </c>
      <c r="AA493" s="498"/>
      <c r="AB493" s="498"/>
      <c r="AC493" s="758">
        <v>0</v>
      </c>
      <c r="AD493" s="498"/>
      <c r="AE493" s="504"/>
      <c r="AF493" s="758">
        <v>0</v>
      </c>
      <c r="AG493" s="498"/>
      <c r="AH493" s="760">
        <v>0</v>
      </c>
      <c r="AI493" s="783">
        <v>0</v>
      </c>
      <c r="AJ493" s="498"/>
      <c r="AK493" s="498"/>
      <c r="AL493" s="758">
        <v>0</v>
      </c>
      <c r="AM493" s="868"/>
      <c r="AN493" s="760">
        <v>0</v>
      </c>
      <c r="AO493" s="766">
        <v>0</v>
      </c>
      <c r="AP493" s="719"/>
      <c r="AQ493" s="719"/>
      <c r="AR493" s="719"/>
      <c r="AS493" s="719"/>
      <c r="AT493" s="719"/>
      <c r="AU493" s="719"/>
      <c r="AV493" s="719"/>
      <c r="AW493" s="719"/>
      <c r="AX493" s="719"/>
      <c r="AY493" s="719"/>
      <c r="AZ493" s="719"/>
      <c r="BA493" s="719"/>
      <c r="BB493" s="719"/>
      <c r="BC493" s="719"/>
      <c r="BD493" s="719"/>
      <c r="BE493" s="719"/>
      <c r="BF493" s="719"/>
      <c r="BG493" s="719"/>
      <c r="BH493" s="719"/>
      <c r="BI493" s="719"/>
      <c r="BJ493" s="719"/>
    </row>
    <row r="494" spans="1:62" ht="15.75" hidden="1" customHeight="1">
      <c r="A494" s="493" t="s">
        <v>21</v>
      </c>
      <c r="B494" s="497"/>
      <c r="C494" s="719" t="s">
        <v>474</v>
      </c>
      <c r="D494" s="719"/>
      <c r="E494" s="719"/>
      <c r="F494" s="805"/>
      <c r="G494" s="719"/>
      <c r="H494" s="719"/>
      <c r="I494" s="805"/>
      <c r="J494" s="719"/>
      <c r="K494" s="719"/>
      <c r="L494" s="719"/>
      <c r="M494" s="805"/>
      <c r="N494" s="719"/>
      <c r="O494" s="719"/>
      <c r="P494" s="719"/>
      <c r="Q494" s="805"/>
      <c r="R494" s="805"/>
      <c r="S494" s="805"/>
      <c r="T494" s="719"/>
      <c r="U494" s="719"/>
      <c r="V494" s="585" t="s">
        <v>21</v>
      </c>
      <c r="W494" s="504"/>
      <c r="X494" s="504"/>
      <c r="Y494" s="504"/>
      <c r="Z494" s="758">
        <v>0</v>
      </c>
      <c r="AA494" s="757"/>
      <c r="AB494" s="757"/>
      <c r="AC494" s="758">
        <v>0</v>
      </c>
      <c r="AD494" s="765"/>
      <c r="AE494" s="764"/>
      <c r="AF494" s="758">
        <v>0</v>
      </c>
      <c r="AG494" s="759"/>
      <c r="AH494" s="760">
        <v>0</v>
      </c>
      <c r="AI494" s="761">
        <v>0</v>
      </c>
      <c r="AJ494" s="765"/>
      <c r="AK494" s="757"/>
      <c r="AL494" s="758">
        <v>0</v>
      </c>
      <c r="AM494" s="868"/>
      <c r="AN494" s="760">
        <v>0</v>
      </c>
      <c r="AO494" s="766">
        <v>0</v>
      </c>
      <c r="AP494" s="719"/>
      <c r="AQ494" s="719"/>
      <c r="AR494" s="719"/>
      <c r="AS494" s="719"/>
      <c r="AT494" s="719"/>
      <c r="AU494" s="719"/>
      <c r="AV494" s="719"/>
      <c r="AW494" s="719"/>
      <c r="AX494" s="719"/>
      <c r="AY494" s="719"/>
      <c r="AZ494" s="719"/>
      <c r="BA494" s="719"/>
      <c r="BB494" s="719"/>
      <c r="BC494" s="719"/>
      <c r="BD494" s="719"/>
      <c r="BE494" s="719"/>
      <c r="BF494" s="719"/>
      <c r="BG494" s="719"/>
      <c r="BH494" s="719"/>
      <c r="BI494" s="719"/>
      <c r="BJ494" s="719"/>
    </row>
    <row r="495" spans="1:62" ht="15.75" hidden="1" customHeight="1" thickBot="1">
      <c r="A495" s="493" t="s">
        <v>21</v>
      </c>
      <c r="B495" s="497"/>
      <c r="C495" s="719" t="s">
        <v>474</v>
      </c>
      <c r="D495" s="719"/>
      <c r="E495" s="719"/>
      <c r="F495" s="805"/>
      <c r="G495" s="719"/>
      <c r="H495" s="719"/>
      <c r="I495" s="805"/>
      <c r="J495" s="719"/>
      <c r="K495" s="719"/>
      <c r="L495" s="719"/>
      <c r="M495" s="805"/>
      <c r="N495" s="719"/>
      <c r="O495" s="719"/>
      <c r="P495" s="719"/>
      <c r="Q495" s="805"/>
      <c r="R495" s="805"/>
      <c r="S495" s="805"/>
      <c r="T495" s="719"/>
      <c r="U495" s="719"/>
      <c r="V495" s="585" t="s">
        <v>21</v>
      </c>
      <c r="W495" s="504"/>
      <c r="X495" s="504"/>
      <c r="Y495" s="504"/>
      <c r="Z495" s="758">
        <v>0</v>
      </c>
      <c r="AA495" s="757"/>
      <c r="AB495" s="757"/>
      <c r="AC495" s="758">
        <v>0</v>
      </c>
      <c r="AD495" s="765"/>
      <c r="AE495" s="764"/>
      <c r="AF495" s="758">
        <v>0</v>
      </c>
      <c r="AG495" s="759"/>
      <c r="AH495" s="760">
        <v>0</v>
      </c>
      <c r="AI495" s="761">
        <v>0</v>
      </c>
      <c r="AJ495" s="765"/>
      <c r="AK495" s="757"/>
      <c r="AL495" s="758">
        <v>0</v>
      </c>
      <c r="AM495" s="868"/>
      <c r="AN495" s="760">
        <v>0</v>
      </c>
      <c r="AO495" s="766">
        <v>0</v>
      </c>
      <c r="AP495" s="719"/>
      <c r="AQ495" s="719"/>
      <c r="AR495" s="719"/>
      <c r="AS495" s="719"/>
      <c r="AT495" s="719"/>
      <c r="AU495" s="719"/>
      <c r="AV495" s="719"/>
      <c r="AW495" s="719"/>
      <c r="AX495" s="719"/>
      <c r="AY495" s="719"/>
      <c r="AZ495" s="719"/>
      <c r="BA495" s="719"/>
      <c r="BB495" s="719"/>
      <c r="BC495" s="719"/>
      <c r="BD495" s="719"/>
      <c r="BE495" s="719"/>
      <c r="BF495" s="719"/>
      <c r="BG495" s="719"/>
      <c r="BH495" s="719"/>
      <c r="BI495" s="719"/>
      <c r="BJ495" s="719"/>
    </row>
    <row r="496" spans="1:62" ht="15.75" hidden="1" customHeight="1" thickTop="1" thickBot="1">
      <c r="A496" s="493" t="s">
        <v>21</v>
      </c>
      <c r="B496" s="497"/>
      <c r="C496" s="719" t="s">
        <v>474</v>
      </c>
      <c r="D496" s="719"/>
      <c r="E496" s="719"/>
      <c r="F496" s="805"/>
      <c r="G496" s="719"/>
      <c r="H496" s="719"/>
      <c r="I496" s="805"/>
      <c r="J496" s="719"/>
      <c r="K496" s="719"/>
      <c r="L496" s="719"/>
      <c r="M496" s="805"/>
      <c r="N496" s="719"/>
      <c r="O496" s="719"/>
      <c r="P496" s="719"/>
      <c r="Q496" s="805"/>
      <c r="R496" s="805"/>
      <c r="S496" s="805"/>
      <c r="T496" s="719"/>
      <c r="U496" s="719"/>
      <c r="V496" s="585" t="s">
        <v>21</v>
      </c>
      <c r="W496" s="504"/>
      <c r="X496" s="719"/>
      <c r="Y496" s="504"/>
      <c r="Z496" s="758">
        <v>0</v>
      </c>
      <c r="AA496" s="757"/>
      <c r="AB496" s="757"/>
      <c r="AC496" s="758">
        <v>0</v>
      </c>
      <c r="AD496" s="765"/>
      <c r="AE496" s="764"/>
      <c r="AF496" s="758">
        <v>0</v>
      </c>
      <c r="AG496" s="759"/>
      <c r="AH496" s="760">
        <v>0</v>
      </c>
      <c r="AI496" s="761">
        <v>0</v>
      </c>
      <c r="AJ496" s="765"/>
      <c r="AK496" s="757"/>
      <c r="AL496" s="758">
        <v>0</v>
      </c>
      <c r="AM496" s="868"/>
      <c r="AN496" s="760">
        <v>0</v>
      </c>
      <c r="AO496" s="766">
        <v>0</v>
      </c>
      <c r="AP496" s="719"/>
      <c r="AQ496" s="719"/>
      <c r="AR496" s="719"/>
      <c r="AS496" s="719"/>
      <c r="AT496" s="719"/>
      <c r="AU496" s="719"/>
      <c r="AV496" s="719"/>
      <c r="AW496" s="719"/>
      <c r="AX496" s="719"/>
      <c r="AY496" s="719"/>
      <c r="AZ496" s="719"/>
      <c r="BA496" s="719"/>
      <c r="BB496" s="719"/>
      <c r="BC496" s="719"/>
      <c r="BD496" s="719"/>
      <c r="BE496" s="719"/>
      <c r="BF496" s="719"/>
      <c r="BG496" s="719"/>
      <c r="BH496" s="719"/>
      <c r="BI496" s="719"/>
      <c r="BJ496" s="719"/>
    </row>
    <row r="497" spans="1:62" ht="15.75" customHeight="1" thickTop="1" thickBot="1">
      <c r="A497" s="493" t="s">
        <v>194</v>
      </c>
      <c r="B497" s="497"/>
      <c r="C497" s="719" t="s">
        <v>474</v>
      </c>
      <c r="D497" s="719"/>
      <c r="E497" s="719"/>
      <c r="F497" s="805"/>
      <c r="G497" s="719"/>
      <c r="H497" s="719"/>
      <c r="I497" s="805"/>
      <c r="J497" s="719"/>
      <c r="K497" s="719"/>
      <c r="L497" s="719"/>
      <c r="M497" s="805"/>
      <c r="N497" s="719"/>
      <c r="O497" s="719"/>
      <c r="P497" s="719"/>
      <c r="Q497" s="805"/>
      <c r="R497" s="805"/>
      <c r="S497" s="805"/>
      <c r="T497" s="719"/>
      <c r="U497" s="719"/>
      <c r="V497" s="843" t="s">
        <v>194</v>
      </c>
      <c r="W497" s="844"/>
      <c r="X497" s="374" t="s">
        <v>187</v>
      </c>
      <c r="Y497" s="845">
        <v>4.4497402518513751E-2</v>
      </c>
      <c r="Z497" s="846">
        <v>232075.4364276233</v>
      </c>
      <c r="AA497" s="374" t="s">
        <v>187</v>
      </c>
      <c r="AB497" s="845">
        <v>4.4497402518513751E-2</v>
      </c>
      <c r="AC497" s="846">
        <v>232075.4364276233</v>
      </c>
      <c r="AD497" s="374" t="s">
        <v>187</v>
      </c>
      <c r="AE497" s="845">
        <v>4.769294567370088E-2</v>
      </c>
      <c r="AF497" s="847">
        <v>263418.34000000014</v>
      </c>
      <c r="AG497" s="848"/>
      <c r="AH497" s="848">
        <v>31342.903572376847</v>
      </c>
      <c r="AI497" s="849">
        <v>0.13505480827632385</v>
      </c>
      <c r="AJ497" s="380" t="s">
        <v>187</v>
      </c>
      <c r="AK497" s="845">
        <v>4.767148472105364E-2</v>
      </c>
      <c r="AL497" s="847">
        <v>281298.69000000012</v>
      </c>
      <c r="AM497" s="850"/>
      <c r="AN497" s="847">
        <v>-17880.349999999977</v>
      </c>
      <c r="AO497" s="869">
        <v>-6.3563573651907054E-2</v>
      </c>
      <c r="AP497" s="719"/>
      <c r="AQ497" s="719"/>
      <c r="AR497" s="719"/>
      <c r="AS497" s="719"/>
      <c r="AT497" s="719"/>
      <c r="AU497" s="719"/>
      <c r="AV497" s="719"/>
      <c r="AW497" s="719"/>
      <c r="AX497" s="719"/>
      <c r="AY497" s="719"/>
      <c r="AZ497" s="719"/>
      <c r="BA497" s="719"/>
      <c r="BB497" s="719"/>
      <c r="BC497" s="719"/>
      <c r="BD497" s="719"/>
      <c r="BE497" s="719"/>
      <c r="BF497" s="719"/>
      <c r="BG497" s="719"/>
      <c r="BH497" s="719"/>
      <c r="BI497" s="719"/>
      <c r="BJ497" s="719"/>
    </row>
    <row r="498" spans="1:62" ht="15.75" customHeight="1" thickTop="1">
      <c r="A498" s="493" t="s">
        <v>476</v>
      </c>
      <c r="B498" s="497"/>
      <c r="C498" s="719"/>
      <c r="D498" s="719"/>
      <c r="E498" s="719"/>
      <c r="F498" s="805"/>
      <c r="G498" s="719"/>
      <c r="H498" s="719"/>
      <c r="I498" s="805"/>
      <c r="J498" s="719"/>
      <c r="K498" s="719"/>
      <c r="L498" s="719"/>
      <c r="M498" s="805"/>
      <c r="N498" s="719"/>
      <c r="O498" s="719"/>
      <c r="P498" s="719"/>
      <c r="Q498" s="805"/>
      <c r="R498" s="805"/>
      <c r="S498" s="805"/>
      <c r="T498" s="719"/>
      <c r="U498" s="719"/>
      <c r="V498" s="719"/>
      <c r="W498" s="719"/>
      <c r="X498" s="719"/>
      <c r="Y498" s="719"/>
      <c r="Z498" s="719"/>
      <c r="AA498" s="719"/>
      <c r="AB498" s="719"/>
      <c r="AC498" s="719"/>
      <c r="AD498" s="719"/>
      <c r="AE498" s="870"/>
      <c r="AF498" s="871"/>
      <c r="AG498" s="719"/>
      <c r="AH498" s="719"/>
      <c r="AI498" s="719"/>
      <c r="AJ498" s="719"/>
      <c r="AK498" s="719"/>
      <c r="AL498" s="719"/>
      <c r="AM498" s="719"/>
      <c r="AN498" s="719"/>
      <c r="AO498" s="719"/>
      <c r="AP498" s="719"/>
      <c r="AQ498" s="719"/>
      <c r="AR498" s="719"/>
      <c r="AS498" s="719"/>
      <c r="AT498" s="719"/>
      <c r="AU498" s="719"/>
      <c r="AV498" s="719"/>
      <c r="AW498" s="719"/>
      <c r="AX498" s="719"/>
      <c r="AY498" s="719"/>
      <c r="AZ498" s="719"/>
      <c r="BA498" s="719"/>
      <c r="BB498" s="719"/>
      <c r="BC498" s="719"/>
      <c r="BD498" s="719"/>
      <c r="BE498" s="719"/>
      <c r="BF498" s="719"/>
      <c r="BG498" s="719"/>
      <c r="BH498" s="719"/>
      <c r="BI498" s="719"/>
      <c r="BJ498" s="719"/>
    </row>
    <row r="499" spans="1:62" ht="15.75" customHeight="1">
      <c r="B499" s="497"/>
      <c r="C499" s="719"/>
      <c r="D499" s="719"/>
      <c r="E499" s="719"/>
      <c r="F499" s="805"/>
      <c r="G499" s="719"/>
      <c r="H499" s="719"/>
      <c r="I499" s="805"/>
      <c r="J499" s="719"/>
      <c r="K499" s="719"/>
      <c r="L499" s="719"/>
      <c r="M499" s="805"/>
      <c r="N499" s="719"/>
      <c r="O499" s="719"/>
      <c r="P499" s="719"/>
      <c r="Q499" s="805"/>
      <c r="R499" s="805"/>
      <c r="S499" s="805"/>
      <c r="T499" s="719"/>
      <c r="U499" s="719"/>
      <c r="V499" s="719"/>
      <c r="W499" s="719"/>
      <c r="X499" s="719"/>
      <c r="Y499" s="719"/>
      <c r="Z499" s="805">
        <v>232075.4364276233</v>
      </c>
      <c r="AA499" s="719"/>
      <c r="AB499" s="719"/>
      <c r="AC499" s="719">
        <v>232075.4364276233</v>
      </c>
      <c r="AD499" s="719"/>
      <c r="AE499" s="719"/>
      <c r="AF499" s="826">
        <v>263418.34000000014</v>
      </c>
      <c r="AG499" s="719"/>
      <c r="AH499" s="719"/>
      <c r="AI499" s="719"/>
      <c r="AJ499" s="719"/>
      <c r="AK499" s="719"/>
      <c r="AL499" s="719">
        <v>281299</v>
      </c>
      <c r="AM499" s="719"/>
      <c r="AN499" s="719"/>
      <c r="AO499" s="719"/>
      <c r="AP499" s="719"/>
      <c r="AQ499" s="719"/>
      <c r="AR499" s="719"/>
      <c r="AS499" s="719"/>
      <c r="AT499" s="719"/>
      <c r="AU499" s="719"/>
      <c r="AV499" s="719"/>
      <c r="AW499" s="719"/>
      <c r="AX499" s="719"/>
      <c r="AY499" s="719"/>
      <c r="AZ499" s="719"/>
      <c r="BA499" s="719"/>
      <c r="BB499" s="719"/>
      <c r="BC499" s="719"/>
      <c r="BD499" s="719"/>
      <c r="BE499" s="719"/>
      <c r="BF499" s="719"/>
      <c r="BG499" s="719"/>
      <c r="BH499" s="719"/>
      <c r="BI499" s="719"/>
      <c r="BJ499" s="719"/>
    </row>
    <row r="500" spans="1:62" ht="15.75" customHeight="1">
      <c r="B500" s="497"/>
      <c r="C500" s="719"/>
      <c r="D500" s="719" t="s">
        <v>477</v>
      </c>
      <c r="E500" s="719"/>
      <c r="F500" s="805"/>
      <c r="G500" s="719"/>
      <c r="H500" s="719"/>
      <c r="I500" s="805"/>
      <c r="J500" s="719" t="s">
        <v>478</v>
      </c>
      <c r="K500" s="719"/>
      <c r="L500" s="719"/>
      <c r="M500" s="805"/>
      <c r="N500" s="719"/>
      <c r="O500" s="719" t="s">
        <v>479</v>
      </c>
      <c r="P500" s="719"/>
      <c r="Q500" s="805"/>
      <c r="R500" s="805"/>
      <c r="S500" s="805"/>
      <c r="T500" s="811"/>
      <c r="U500" s="811"/>
      <c r="V500" s="719"/>
      <c r="W500" s="719"/>
      <c r="X500" s="719"/>
      <c r="Y500" s="719"/>
      <c r="Z500" s="805">
        <v>0</v>
      </c>
      <c r="AA500" s="719"/>
      <c r="AB500" s="719"/>
      <c r="AC500" s="805">
        <v>0</v>
      </c>
      <c r="AD500" s="719"/>
      <c r="AE500" s="719"/>
      <c r="AF500" s="780">
        <v>0</v>
      </c>
      <c r="AG500" s="719"/>
      <c r="AH500" s="719"/>
      <c r="AI500" s="719"/>
      <c r="AJ500" s="719"/>
      <c r="AK500" s="719"/>
      <c r="AL500" s="719">
        <v>-0.30999999988125637</v>
      </c>
      <c r="AM500" s="719"/>
      <c r="AN500" s="719"/>
      <c r="AO500" s="719"/>
      <c r="AP500" s="719"/>
      <c r="AQ500" s="719"/>
      <c r="AR500" s="719"/>
      <c r="AS500" s="719"/>
      <c r="AT500" s="719"/>
      <c r="AU500" s="719"/>
      <c r="AV500" s="719"/>
      <c r="AW500" s="719"/>
      <c r="AX500" s="719"/>
      <c r="AY500" s="719"/>
      <c r="AZ500" s="719"/>
      <c r="BA500" s="719"/>
      <c r="BB500" s="719"/>
      <c r="BC500" s="719"/>
      <c r="BD500" s="719"/>
      <c r="BE500" s="719"/>
      <c r="BF500" s="719"/>
      <c r="BG500" s="719"/>
      <c r="BH500" s="719"/>
      <c r="BI500" s="719"/>
      <c r="BJ500" s="719"/>
    </row>
    <row r="501" spans="1:62" ht="15.75" customHeight="1">
      <c r="B501" s="497"/>
      <c r="C501" s="719"/>
      <c r="D501" s="719" t="s">
        <v>480</v>
      </c>
      <c r="E501" s="719"/>
      <c r="F501" s="805"/>
      <c r="G501" s="719"/>
      <c r="H501" s="719"/>
      <c r="I501" s="805"/>
      <c r="J501" s="719"/>
      <c r="K501" s="719"/>
      <c r="L501" s="719"/>
      <c r="M501" s="805"/>
      <c r="N501" s="719"/>
      <c r="O501" s="719"/>
      <c r="P501" s="719"/>
      <c r="Q501" s="805"/>
      <c r="R501" s="805"/>
      <c r="S501" s="805"/>
      <c r="T501" s="811"/>
      <c r="U501" s="811"/>
      <c r="V501" s="719"/>
      <c r="W501" s="719"/>
      <c r="X501" s="719"/>
      <c r="Y501" s="719"/>
      <c r="Z501" s="805"/>
      <c r="AA501" s="719"/>
      <c r="AB501" s="719"/>
      <c r="AC501" s="805"/>
      <c r="AD501" s="719"/>
      <c r="AE501" s="719"/>
      <c r="AF501" s="872"/>
      <c r="AG501" s="719"/>
      <c r="AH501" s="719"/>
      <c r="AI501" s="719"/>
      <c r="AJ501" s="719"/>
      <c r="AK501" s="719"/>
      <c r="AL501" s="872"/>
      <c r="AM501" s="719"/>
      <c r="AN501" s="719"/>
      <c r="AO501" s="719"/>
      <c r="AP501" s="719"/>
      <c r="AQ501" s="719"/>
      <c r="AR501" s="719"/>
      <c r="AS501" s="719"/>
      <c r="AT501" s="719"/>
      <c r="AU501" s="719"/>
      <c r="AV501" s="719"/>
      <c r="AW501" s="719"/>
      <c r="AX501" s="719"/>
      <c r="AY501" s="719"/>
      <c r="AZ501" s="719"/>
      <c r="BA501" s="719"/>
      <c r="BB501" s="719"/>
      <c r="BC501" s="719"/>
      <c r="BD501" s="719"/>
      <c r="BE501" s="719"/>
      <c r="BF501" s="719"/>
      <c r="BG501" s="719"/>
      <c r="BH501" s="719"/>
      <c r="BI501" s="719"/>
      <c r="BJ501" s="719"/>
    </row>
    <row r="502" spans="1:62" ht="15.75" customHeight="1">
      <c r="B502" s="497"/>
      <c r="C502" s="719"/>
      <c r="D502" s="719">
        <v>4423</v>
      </c>
      <c r="E502" s="719" t="e">
        <v>#N/A</v>
      </c>
      <c r="F502" s="805"/>
      <c r="G502" s="719"/>
      <c r="H502" s="719"/>
      <c r="I502" s="805"/>
      <c r="J502" s="719" t="e">
        <v>#N/A</v>
      </c>
      <c r="K502" s="719"/>
      <c r="L502" s="719"/>
      <c r="M502" s="805"/>
      <c r="N502" s="719"/>
      <c r="O502" s="719" t="e">
        <v>#N/A</v>
      </c>
      <c r="P502" s="719"/>
      <c r="Q502" s="805"/>
      <c r="R502" s="805"/>
      <c r="S502" s="805"/>
      <c r="T502" s="811"/>
      <c r="U502" s="811"/>
      <c r="V502" s="719"/>
      <c r="W502" s="719"/>
      <c r="X502" s="719"/>
      <c r="Y502" s="719"/>
      <c r="Z502" s="719"/>
      <c r="AA502" s="719"/>
      <c r="AB502" s="719"/>
      <c r="AC502" s="719"/>
      <c r="AD502" s="719"/>
      <c r="AE502" s="719"/>
      <c r="AF502" s="719"/>
      <c r="AG502" s="719"/>
      <c r="AH502" s="719"/>
      <c r="AI502" s="719"/>
      <c r="AJ502" s="719"/>
      <c r="AK502" s="719"/>
      <c r="AL502" s="719"/>
      <c r="AM502" s="719"/>
      <c r="AN502" s="719"/>
      <c r="AO502" s="719"/>
      <c r="AP502" s="719"/>
      <c r="AQ502" s="719"/>
      <c r="AR502" s="719"/>
      <c r="AS502" s="719"/>
      <c r="AT502" s="719"/>
      <c r="AU502" s="719"/>
      <c r="AV502" s="719"/>
      <c r="AW502" s="719"/>
      <c r="AX502" s="719"/>
      <c r="AY502" s="719"/>
      <c r="AZ502" s="719"/>
      <c r="BA502" s="719"/>
      <c r="BB502" s="719"/>
      <c r="BC502" s="719"/>
      <c r="BD502" s="719"/>
      <c r="BE502" s="719"/>
      <c r="BF502" s="719"/>
      <c r="BG502" s="719"/>
      <c r="BH502" s="719"/>
      <c r="BI502" s="719"/>
      <c r="BJ502" s="719"/>
    </row>
    <row r="503" spans="1:62" ht="15.75" customHeight="1">
      <c r="B503" s="497"/>
      <c r="C503" s="719"/>
      <c r="D503" s="719">
        <v>5423</v>
      </c>
      <c r="E503" s="719" t="e">
        <v>#N/A</v>
      </c>
      <c r="F503" s="805"/>
      <c r="G503" s="719"/>
      <c r="H503" s="719"/>
      <c r="I503" s="805"/>
      <c r="J503" s="719" t="e">
        <v>#N/A</v>
      </c>
      <c r="K503" s="719" t="e">
        <v>#N/A</v>
      </c>
      <c r="L503" s="719"/>
      <c r="M503" s="805"/>
      <c r="N503" s="719"/>
      <c r="O503" s="719" t="e">
        <v>#N/A</v>
      </c>
      <c r="P503" s="719" t="e">
        <v>#N/A</v>
      </c>
      <c r="Q503" s="805"/>
      <c r="R503" s="805"/>
      <c r="S503" s="805"/>
      <c r="T503" s="811"/>
      <c r="U503" s="811"/>
      <c r="V503" s="719"/>
      <c r="W503" s="719"/>
      <c r="X503" s="719"/>
      <c r="Y503" s="719"/>
      <c r="Z503" s="719"/>
      <c r="AA503" s="719"/>
      <c r="AB503" s="719"/>
      <c r="AC503" s="719"/>
      <c r="AD503" s="719"/>
      <c r="AE503" s="719"/>
      <c r="AF503" s="719"/>
      <c r="AG503" s="719"/>
      <c r="AH503" s="719"/>
      <c r="AI503" s="719"/>
      <c r="AJ503" s="719"/>
      <c r="AK503" s="719"/>
      <c r="AL503" s="719"/>
      <c r="AM503" s="719"/>
      <c r="AN503" s="719"/>
      <c r="AO503" s="719"/>
      <c r="AP503" s="719"/>
      <c r="AQ503" s="719"/>
      <c r="AR503" s="719"/>
      <c r="AS503" s="719"/>
      <c r="AT503" s="719"/>
      <c r="AU503" s="719"/>
      <c r="AV503" s="719"/>
      <c r="AW503" s="719"/>
      <c r="AX503" s="719"/>
      <c r="AY503" s="719"/>
      <c r="AZ503" s="719"/>
      <c r="BA503" s="719"/>
      <c r="BB503" s="719"/>
      <c r="BC503" s="719"/>
      <c r="BD503" s="719"/>
      <c r="BE503" s="719"/>
      <c r="BF503" s="719"/>
      <c r="BG503" s="719"/>
      <c r="BH503" s="719"/>
      <c r="BI503" s="719"/>
      <c r="BJ503" s="719"/>
    </row>
    <row r="504" spans="1:62" ht="15.75" customHeight="1">
      <c r="B504" s="497"/>
      <c r="C504" s="719"/>
      <c r="D504" s="719"/>
      <c r="E504" s="719" t="s">
        <v>481</v>
      </c>
      <c r="F504" s="805"/>
      <c r="G504" s="719"/>
      <c r="H504" s="719"/>
      <c r="I504" s="805"/>
      <c r="J504" s="719" t="e">
        <v>#N/A</v>
      </c>
      <c r="K504" s="719" t="e">
        <v>#N/A</v>
      </c>
      <c r="L504" s="719"/>
      <c r="M504" s="805"/>
      <c r="N504" s="719"/>
      <c r="O504" s="719" t="e">
        <v>#N/A</v>
      </c>
      <c r="P504" s="719" t="e">
        <v>#N/A</v>
      </c>
      <c r="Q504" s="805"/>
      <c r="R504" s="805"/>
      <c r="S504" s="805"/>
      <c r="T504" s="811"/>
      <c r="U504" s="811"/>
      <c r="V504" s="719"/>
      <c r="W504" s="719"/>
      <c r="X504" s="719"/>
      <c r="Y504" s="719"/>
      <c r="Z504" s="719"/>
      <c r="AA504" s="719"/>
      <c r="AB504" s="719"/>
      <c r="AC504" s="719"/>
      <c r="AD504" s="719"/>
      <c r="AE504" s="719"/>
      <c r="AF504" s="719"/>
      <c r="AG504" s="719"/>
      <c r="AH504" s="719"/>
      <c r="AI504" s="719"/>
      <c r="AJ504" s="719"/>
      <c r="AK504" s="719"/>
      <c r="AL504" s="719"/>
      <c r="AM504" s="719"/>
      <c r="AN504" s="719"/>
      <c r="AO504" s="719"/>
      <c r="AP504" s="719"/>
      <c r="AQ504" s="719"/>
      <c r="AR504" s="719"/>
      <c r="AS504" s="719"/>
      <c r="AT504" s="719"/>
      <c r="AU504" s="719"/>
      <c r="AV504" s="719"/>
      <c r="AW504" s="719"/>
      <c r="AX504" s="719"/>
      <c r="AY504" s="719"/>
      <c r="AZ504" s="719"/>
      <c r="BA504" s="719"/>
      <c r="BB504" s="719"/>
      <c r="BC504" s="719"/>
      <c r="BD504" s="719"/>
      <c r="BE504" s="719"/>
      <c r="BF504" s="719"/>
      <c r="BG504" s="719"/>
      <c r="BH504" s="719"/>
      <c r="BI504" s="719"/>
      <c r="BJ504" s="719"/>
    </row>
    <row r="505" spans="1:62" ht="15.75" customHeight="1">
      <c r="B505" s="497"/>
      <c r="C505" s="719"/>
      <c r="D505" s="719"/>
      <c r="E505" s="719"/>
      <c r="F505" s="805"/>
      <c r="G505" s="719"/>
      <c r="H505" s="719"/>
      <c r="I505" s="805"/>
      <c r="J505" s="719"/>
      <c r="K505" s="719"/>
      <c r="L505" s="719"/>
      <c r="M505" s="805"/>
      <c r="N505" s="719"/>
      <c r="O505" s="719"/>
      <c r="P505" s="719"/>
      <c r="Q505" s="805"/>
      <c r="R505" s="805"/>
      <c r="S505" s="805"/>
      <c r="T505" s="811"/>
      <c r="U505" s="811"/>
      <c r="V505" s="719"/>
      <c r="W505" s="719"/>
      <c r="X505" s="719"/>
      <c r="Y505" s="719"/>
      <c r="Z505" s="719"/>
      <c r="AA505" s="719"/>
      <c r="AB505" s="719"/>
      <c r="AC505" s="719"/>
      <c r="AD505" s="719"/>
      <c r="AE505" s="719"/>
      <c r="AF505" s="719"/>
      <c r="AG505" s="719"/>
      <c r="AH505" s="719"/>
      <c r="AI505" s="719"/>
      <c r="AJ505" s="719"/>
      <c r="AK505" s="719"/>
      <c r="AL505" s="719"/>
      <c r="AM505" s="719"/>
      <c r="AN505" s="719"/>
      <c r="AO505" s="719"/>
      <c r="AP505" s="719"/>
      <c r="AQ505" s="719"/>
      <c r="AR505" s="719"/>
      <c r="AS505" s="719"/>
      <c r="AT505" s="719"/>
      <c r="AU505" s="719"/>
      <c r="AV505" s="719"/>
      <c r="AW505" s="719"/>
      <c r="AX505" s="719"/>
      <c r="AY505" s="719"/>
      <c r="AZ505" s="719"/>
      <c r="BA505" s="719"/>
      <c r="BB505" s="719"/>
      <c r="BC505" s="719"/>
      <c r="BD505" s="719"/>
      <c r="BE505" s="719"/>
      <c r="BF505" s="719"/>
      <c r="BG505" s="719"/>
      <c r="BH505" s="719"/>
      <c r="BI505" s="719"/>
      <c r="BJ505" s="719"/>
    </row>
    <row r="506" spans="1:62" ht="15.75" customHeight="1">
      <c r="B506" s="497"/>
      <c r="C506" s="719"/>
      <c r="D506" s="719">
        <v>4425</v>
      </c>
      <c r="E506" s="719" t="e">
        <v>#N/A</v>
      </c>
      <c r="F506" s="805"/>
      <c r="G506" s="719"/>
      <c r="H506" s="719"/>
      <c r="I506" s="805"/>
      <c r="J506" s="719" t="e">
        <v>#N/A</v>
      </c>
      <c r="K506" s="719"/>
      <c r="L506" s="719"/>
      <c r="M506" s="805"/>
      <c r="N506" s="719"/>
      <c r="O506" s="719" t="e">
        <v>#N/A</v>
      </c>
      <c r="P506" s="719"/>
      <c r="Q506" s="805"/>
      <c r="R506" s="805"/>
      <c r="S506" s="805"/>
      <c r="T506" s="811"/>
      <c r="U506" s="811"/>
      <c r="V506" s="719"/>
      <c r="W506" s="719"/>
      <c r="X506" s="719"/>
      <c r="Y506" s="719"/>
      <c r="Z506" s="719"/>
      <c r="AA506" s="719"/>
      <c r="AB506" s="719"/>
      <c r="AC506" s="719"/>
      <c r="AD506" s="719"/>
      <c r="AE506" s="719"/>
      <c r="AF506" s="719"/>
      <c r="AG506" s="719"/>
      <c r="AH506" s="719"/>
      <c r="AI506" s="719"/>
      <c r="AJ506" s="719"/>
      <c r="AK506" s="719"/>
      <c r="AL506" s="719"/>
      <c r="AM506" s="719"/>
      <c r="AN506" s="719"/>
      <c r="AO506" s="719"/>
      <c r="AP506" s="719"/>
      <c r="AQ506" s="719"/>
      <c r="AR506" s="719"/>
      <c r="AS506" s="719"/>
      <c r="AT506" s="719"/>
      <c r="AU506" s="719"/>
      <c r="AV506" s="719"/>
      <c r="AW506" s="719"/>
      <c r="AX506" s="719"/>
      <c r="AY506" s="719"/>
      <c r="AZ506" s="719"/>
      <c r="BA506" s="719"/>
      <c r="BB506" s="719"/>
      <c r="BC506" s="719"/>
      <c r="BD506" s="719"/>
      <c r="BE506" s="719"/>
      <c r="BF506" s="719"/>
      <c r="BG506" s="719"/>
      <c r="BH506" s="719"/>
      <c r="BI506" s="719"/>
      <c r="BJ506" s="719"/>
    </row>
    <row r="507" spans="1:62" ht="15.75" customHeight="1">
      <c r="B507" s="497"/>
      <c r="C507" s="719"/>
      <c r="D507" s="719"/>
      <c r="E507" s="719"/>
      <c r="F507" s="805"/>
      <c r="G507" s="719"/>
      <c r="H507" s="719"/>
      <c r="I507" s="805"/>
      <c r="J507" s="719"/>
      <c r="K507" s="719"/>
      <c r="L507" s="719"/>
      <c r="M507" s="805"/>
      <c r="N507" s="719"/>
      <c r="O507" s="719"/>
      <c r="P507" s="719"/>
      <c r="Q507" s="805"/>
      <c r="R507" s="805"/>
      <c r="S507" s="805"/>
      <c r="T507" s="811"/>
      <c r="U507" s="811"/>
      <c r="V507" s="719"/>
      <c r="W507" s="811"/>
      <c r="X507" s="811"/>
      <c r="Y507" s="719"/>
      <c r="Z507" s="719"/>
      <c r="AA507" s="719"/>
      <c r="AB507" s="719"/>
      <c r="AC507" s="719"/>
      <c r="AD507" s="719"/>
      <c r="AE507" s="719"/>
      <c r="AF507" s="719"/>
      <c r="AG507" s="719"/>
      <c r="AH507" s="719"/>
      <c r="AI507" s="719"/>
      <c r="AJ507" s="719"/>
      <c r="AK507" s="719"/>
      <c r="AL507" s="719"/>
      <c r="AM507" s="719"/>
      <c r="AN507" s="719"/>
      <c r="AO507" s="719"/>
      <c r="AP507" s="719"/>
      <c r="AQ507" s="719"/>
      <c r="AR507" s="719"/>
      <c r="AS507" s="719"/>
      <c r="AT507" s="719"/>
      <c r="AU507" s="719"/>
      <c r="AV507" s="719"/>
      <c r="AW507" s="719"/>
      <c r="AX507" s="719"/>
      <c r="AY507" s="719"/>
      <c r="AZ507" s="719"/>
      <c r="BA507" s="719"/>
      <c r="BB507" s="719"/>
      <c r="BC507" s="719"/>
      <c r="BD507" s="719"/>
      <c r="BE507" s="719"/>
      <c r="BF507" s="719"/>
      <c r="BG507" s="719"/>
      <c r="BH507" s="719"/>
      <c r="BI507" s="719"/>
      <c r="BJ507" s="719"/>
    </row>
    <row r="508" spans="1:62" ht="15.75" customHeight="1">
      <c r="B508" s="497"/>
      <c r="C508" s="719"/>
      <c r="D508" s="719"/>
      <c r="E508" s="719"/>
      <c r="F508" s="805"/>
      <c r="G508" s="719"/>
      <c r="H508" s="719"/>
      <c r="I508" s="805"/>
      <c r="J508" s="719"/>
      <c r="K508" s="719"/>
      <c r="L508" s="719"/>
      <c r="M508" s="805"/>
      <c r="N508" s="719"/>
      <c r="O508" s="719"/>
      <c r="P508" s="719"/>
      <c r="Q508" s="805"/>
      <c r="R508" s="805"/>
      <c r="S508" s="805"/>
      <c r="T508" s="811"/>
      <c r="U508" s="811"/>
      <c r="V508" s="719"/>
      <c r="W508" s="811"/>
      <c r="X508" s="811"/>
      <c r="Y508" s="719"/>
      <c r="Z508" s="719"/>
      <c r="AA508" s="719"/>
      <c r="AB508" s="719"/>
      <c r="AC508" s="719"/>
      <c r="AD508" s="719"/>
      <c r="AE508" s="719"/>
      <c r="AF508" s="719"/>
      <c r="AG508" s="719"/>
      <c r="AH508" s="719"/>
      <c r="AI508" s="719"/>
      <c r="AJ508" s="719"/>
      <c r="AK508" s="719"/>
      <c r="AL508" s="719"/>
      <c r="AM508" s="719"/>
      <c r="AN508" s="719"/>
      <c r="AO508" s="719"/>
      <c r="AP508" s="719"/>
      <c r="AQ508" s="719"/>
      <c r="AR508" s="719"/>
      <c r="AS508" s="719"/>
      <c r="AT508" s="719"/>
      <c r="AU508" s="719"/>
      <c r="AV508" s="719"/>
      <c r="AW508" s="719"/>
      <c r="AX508" s="719"/>
      <c r="AY508" s="719"/>
      <c r="AZ508" s="719"/>
      <c r="BA508" s="719"/>
      <c r="BB508" s="719"/>
      <c r="BC508" s="719"/>
      <c r="BD508" s="719"/>
      <c r="BE508" s="719"/>
      <c r="BF508" s="719"/>
      <c r="BG508" s="719"/>
      <c r="BH508" s="719"/>
      <c r="BI508" s="719"/>
      <c r="BJ508" s="719"/>
    </row>
    <row r="509" spans="1:62" ht="15.75" customHeight="1">
      <c r="B509" s="497"/>
      <c r="C509" s="719"/>
      <c r="D509" s="719">
        <v>4727</v>
      </c>
      <c r="E509" s="719" t="e">
        <v>#N/A</v>
      </c>
      <c r="F509" s="805"/>
      <c r="G509" s="719"/>
      <c r="H509" s="719"/>
      <c r="I509" s="805"/>
      <c r="J509" s="719" t="e">
        <v>#N/A</v>
      </c>
      <c r="K509" s="719"/>
      <c r="L509" s="719"/>
      <c r="M509" s="805"/>
      <c r="N509" s="719"/>
      <c r="O509" s="719" t="e">
        <v>#N/A</v>
      </c>
      <c r="P509" s="719"/>
      <c r="Q509" s="805"/>
      <c r="R509" s="805"/>
      <c r="S509" s="805"/>
      <c r="T509" s="811"/>
      <c r="U509" s="811"/>
      <c r="V509" s="719"/>
      <c r="W509" s="811"/>
      <c r="X509" s="811"/>
      <c r="Y509" s="719"/>
      <c r="Z509" s="719"/>
      <c r="AA509" s="719"/>
      <c r="AB509" s="719"/>
      <c r="AC509" s="719"/>
      <c r="AD509" s="719"/>
      <c r="AE509" s="719"/>
      <c r="AF509" s="719"/>
      <c r="AG509" s="719"/>
      <c r="AH509" s="719"/>
      <c r="AI509" s="719"/>
      <c r="AJ509" s="719"/>
      <c r="AK509" s="719"/>
      <c r="AL509" s="719"/>
      <c r="AM509" s="719"/>
      <c r="AN509" s="719"/>
      <c r="AO509" s="719"/>
      <c r="AP509" s="719"/>
      <c r="AQ509" s="719"/>
      <c r="AR509" s="719"/>
      <c r="AS509" s="719"/>
      <c r="AT509" s="719"/>
      <c r="AU509" s="719"/>
      <c r="AV509" s="719"/>
      <c r="AW509" s="719"/>
      <c r="AX509" s="719"/>
      <c r="AY509" s="719"/>
      <c r="AZ509" s="719"/>
      <c r="BA509" s="719"/>
      <c r="BB509" s="719"/>
      <c r="BC509" s="719"/>
      <c r="BD509" s="719"/>
      <c r="BE509" s="719"/>
      <c r="BF509" s="719"/>
      <c r="BG509" s="719"/>
      <c r="BH509" s="719"/>
      <c r="BI509" s="719"/>
      <c r="BJ509" s="719"/>
    </row>
    <row r="510" spans="1:62" ht="15.75" customHeight="1">
      <c r="B510" s="497"/>
      <c r="C510" s="719"/>
      <c r="D510" s="719">
        <v>5727</v>
      </c>
      <c r="E510" s="719" t="e">
        <v>#N/A</v>
      </c>
      <c r="F510" s="805"/>
      <c r="G510" s="719"/>
      <c r="H510" s="719"/>
      <c r="I510" s="805"/>
      <c r="J510" s="719" t="e">
        <v>#N/A</v>
      </c>
      <c r="K510" s="719" t="e">
        <v>#N/A</v>
      </c>
      <c r="L510" s="719"/>
      <c r="M510" s="805"/>
      <c r="N510" s="719"/>
      <c r="O510" s="719" t="e">
        <v>#N/A</v>
      </c>
      <c r="P510" s="719" t="e">
        <v>#N/A</v>
      </c>
      <c r="Q510" s="805"/>
      <c r="R510" s="805"/>
      <c r="S510" s="805"/>
      <c r="T510" s="811"/>
      <c r="U510" s="811"/>
      <c r="V510" s="719"/>
      <c r="W510" s="811"/>
      <c r="X510" s="811"/>
      <c r="Y510" s="719"/>
      <c r="Z510" s="719"/>
      <c r="AA510" s="719"/>
      <c r="AB510" s="719"/>
      <c r="AC510" s="719"/>
      <c r="AD510" s="719"/>
      <c r="AE510" s="719"/>
      <c r="AF510" s="719"/>
      <c r="AG510" s="719"/>
      <c r="AH510" s="719"/>
      <c r="AI510" s="719"/>
      <c r="AJ510" s="719"/>
      <c r="AK510" s="719"/>
      <c r="AL510" s="719"/>
      <c r="AM510" s="719"/>
      <c r="AN510" s="719"/>
      <c r="AO510" s="719"/>
      <c r="AP510" s="719"/>
      <c r="AQ510" s="719"/>
      <c r="AR510" s="719"/>
      <c r="AS510" s="719"/>
      <c r="AT510" s="719"/>
      <c r="AU510" s="719"/>
      <c r="AV510" s="719"/>
      <c r="AW510" s="719"/>
      <c r="AX510" s="719"/>
      <c r="AY510" s="719"/>
      <c r="AZ510" s="719"/>
      <c r="BA510" s="719"/>
      <c r="BB510" s="719"/>
      <c r="BC510" s="719"/>
      <c r="BD510" s="719"/>
      <c r="BE510" s="719"/>
      <c r="BF510" s="719"/>
      <c r="BG510" s="719"/>
      <c r="BH510" s="719"/>
      <c r="BI510" s="719"/>
      <c r="BJ510" s="719"/>
    </row>
    <row r="511" spans="1:62" ht="15.75" customHeight="1">
      <c r="B511" s="497"/>
      <c r="C511" s="719"/>
      <c r="D511" s="719"/>
      <c r="E511" s="719" t="s">
        <v>482</v>
      </c>
      <c r="F511" s="805"/>
      <c r="G511" s="719"/>
      <c r="H511" s="719"/>
      <c r="I511" s="805"/>
      <c r="J511" s="719" t="e">
        <v>#N/A</v>
      </c>
      <c r="K511" s="719" t="e">
        <v>#N/A</v>
      </c>
      <c r="L511" s="719"/>
      <c r="M511" s="805"/>
      <c r="N511" s="719"/>
      <c r="O511" s="719" t="e">
        <v>#N/A</v>
      </c>
      <c r="P511" s="719" t="e">
        <v>#N/A</v>
      </c>
      <c r="Q511" s="805"/>
      <c r="R511" s="805"/>
      <c r="S511" s="805"/>
      <c r="T511" s="811"/>
      <c r="U511" s="811"/>
      <c r="V511" s="719"/>
      <c r="W511" s="811"/>
      <c r="X511" s="811"/>
      <c r="Y511" s="719"/>
      <c r="Z511" s="719"/>
      <c r="AA511" s="719"/>
      <c r="AB511" s="719"/>
      <c r="AC511" s="719"/>
      <c r="AD511" s="719"/>
      <c r="AE511" s="719"/>
      <c r="AF511" s="719"/>
      <c r="AG511" s="719"/>
      <c r="AH511" s="719"/>
      <c r="AI511" s="719"/>
      <c r="AJ511" s="719"/>
      <c r="AK511" s="719"/>
      <c r="AL511" s="719"/>
      <c r="AM511" s="719"/>
      <c r="AN511" s="719"/>
      <c r="AO511" s="719"/>
      <c r="AP511" s="719"/>
      <c r="AQ511" s="719"/>
      <c r="AR511" s="719"/>
      <c r="AS511" s="719"/>
      <c r="AT511" s="719"/>
      <c r="AU511" s="719"/>
      <c r="AV511" s="719"/>
      <c r="AW511" s="719"/>
      <c r="AX511" s="719"/>
      <c r="AY511" s="719"/>
      <c r="AZ511" s="719"/>
      <c r="BA511" s="719"/>
      <c r="BB511" s="719"/>
      <c r="BC511" s="719"/>
      <c r="BD511" s="719"/>
      <c r="BE511" s="719"/>
      <c r="BF511" s="719"/>
      <c r="BG511" s="719"/>
      <c r="BH511" s="719"/>
      <c r="BI511" s="719"/>
      <c r="BJ511" s="719"/>
    </row>
    <row r="512" spans="1:62" ht="15.75" customHeight="1">
      <c r="B512" s="497"/>
      <c r="C512" s="719"/>
      <c r="D512" s="719"/>
      <c r="E512" s="719"/>
      <c r="F512" s="805"/>
      <c r="G512" s="719"/>
      <c r="H512" s="719"/>
      <c r="I512" s="805"/>
      <c r="J512" s="719"/>
      <c r="K512" s="719"/>
      <c r="L512" s="719"/>
      <c r="M512" s="805"/>
      <c r="N512" s="719"/>
      <c r="O512" s="719"/>
      <c r="P512" s="719"/>
      <c r="Q512" s="805"/>
      <c r="R512" s="805"/>
      <c r="S512" s="805"/>
      <c r="T512" s="811"/>
      <c r="U512" s="811"/>
      <c r="V512" s="811"/>
      <c r="W512" s="811"/>
      <c r="X512" s="811"/>
      <c r="Y512" s="719"/>
      <c r="Z512" s="719"/>
      <c r="AA512" s="719"/>
      <c r="AB512" s="719"/>
      <c r="AC512" s="719"/>
      <c r="AD512" s="719"/>
      <c r="AE512" s="719"/>
      <c r="AF512" s="719"/>
      <c r="AG512" s="719"/>
      <c r="AH512" s="719"/>
      <c r="AI512" s="719"/>
      <c r="AJ512" s="719"/>
      <c r="AK512" s="719"/>
      <c r="AL512" s="719"/>
      <c r="AM512" s="719"/>
      <c r="AN512" s="719"/>
      <c r="AO512" s="719"/>
      <c r="AP512" s="719"/>
      <c r="AQ512" s="719"/>
      <c r="AR512" s="719"/>
      <c r="AS512" s="719"/>
      <c r="AT512" s="719"/>
      <c r="AU512" s="719"/>
      <c r="AV512" s="719"/>
      <c r="AW512" s="719"/>
      <c r="AX512" s="719"/>
      <c r="AY512" s="719"/>
      <c r="AZ512" s="719"/>
      <c r="BA512" s="719"/>
      <c r="BB512" s="719"/>
      <c r="BC512" s="719"/>
      <c r="BD512" s="719"/>
      <c r="BE512" s="719"/>
      <c r="BF512" s="719"/>
      <c r="BG512" s="719"/>
      <c r="BH512" s="719"/>
      <c r="BI512" s="719"/>
      <c r="BJ512" s="719"/>
    </row>
    <row r="513" spans="2:62" ht="15.75" customHeight="1">
      <c r="B513" s="497"/>
      <c r="C513" s="873"/>
      <c r="D513" s="811">
        <v>4729</v>
      </c>
      <c r="E513" s="811" t="e">
        <v>#N/A</v>
      </c>
      <c r="F513" s="874"/>
      <c r="G513" s="811"/>
      <c r="H513" s="811"/>
      <c r="I513" s="874"/>
      <c r="J513" s="811" t="e">
        <v>#N/A</v>
      </c>
      <c r="K513" s="811"/>
      <c r="L513" s="811"/>
      <c r="M513" s="874"/>
      <c r="N513" s="811"/>
      <c r="O513" s="811" t="e">
        <v>#N/A</v>
      </c>
      <c r="P513" s="811"/>
      <c r="Q513" s="874"/>
      <c r="R513" s="874"/>
      <c r="S513" s="874"/>
      <c r="T513" s="811"/>
      <c r="U513" s="811"/>
      <c r="V513" s="811"/>
      <c r="W513" s="811"/>
      <c r="X513" s="811"/>
      <c r="Y513" s="719"/>
      <c r="Z513" s="719"/>
      <c r="AA513" s="719"/>
      <c r="AB513" s="719"/>
      <c r="AC513" s="719"/>
      <c r="AD513" s="719"/>
      <c r="AE513" s="719"/>
      <c r="AF513" s="719"/>
      <c r="AG513" s="719"/>
      <c r="AH513" s="719"/>
      <c r="AI513" s="719"/>
      <c r="AJ513" s="719"/>
      <c r="AK513" s="719"/>
      <c r="AL513" s="719"/>
      <c r="AM513" s="719"/>
      <c r="AN513" s="719"/>
      <c r="AO513" s="719"/>
      <c r="AP513" s="719"/>
      <c r="AQ513" s="719"/>
      <c r="AR513" s="719"/>
      <c r="AS513" s="719"/>
      <c r="AT513" s="719"/>
      <c r="AU513" s="719"/>
      <c r="AV513" s="719"/>
      <c r="AW513" s="719"/>
      <c r="AX513" s="719"/>
      <c r="AY513" s="719"/>
      <c r="AZ513" s="719"/>
      <c r="BA513" s="719"/>
      <c r="BB513" s="719"/>
      <c r="BC513" s="719"/>
      <c r="BD513" s="719"/>
      <c r="BE513" s="719"/>
      <c r="BF513" s="719"/>
      <c r="BG513" s="719"/>
      <c r="BH513" s="719"/>
      <c r="BI513" s="719"/>
      <c r="BJ513" s="719"/>
    </row>
    <row r="514" spans="2:62" ht="15.75" customHeight="1">
      <c r="B514" s="497"/>
      <c r="C514" s="875"/>
      <c r="D514" s="811"/>
      <c r="E514" s="811"/>
      <c r="F514" s="874"/>
      <c r="G514" s="811"/>
      <c r="H514" s="811"/>
      <c r="I514" s="874"/>
      <c r="J514" s="811"/>
      <c r="K514" s="811"/>
      <c r="L514" s="811"/>
      <c r="M514" s="874"/>
      <c r="N514" s="811"/>
      <c r="O514" s="811"/>
      <c r="P514" s="811"/>
      <c r="Q514" s="874"/>
      <c r="R514" s="874"/>
      <c r="S514" s="874"/>
      <c r="T514" s="811"/>
      <c r="U514" s="811"/>
      <c r="V514" s="811"/>
      <c r="W514" s="811"/>
      <c r="X514" s="811"/>
      <c r="Y514" s="719"/>
      <c r="Z514" s="719"/>
      <c r="AA514" s="719"/>
      <c r="AB514" s="719"/>
      <c r="AC514" s="719"/>
      <c r="AD514" s="719"/>
      <c r="AE514" s="719"/>
      <c r="AF514" s="719"/>
      <c r="AG514" s="719"/>
      <c r="AH514" s="719"/>
      <c r="AI514" s="719"/>
      <c r="AJ514" s="719"/>
      <c r="AK514" s="719"/>
      <c r="AL514" s="719"/>
      <c r="AM514" s="719"/>
      <c r="AN514" s="719"/>
      <c r="AO514" s="719"/>
      <c r="AP514" s="719"/>
      <c r="AQ514" s="719"/>
      <c r="AR514" s="719"/>
      <c r="AS514" s="719"/>
      <c r="AT514" s="719"/>
      <c r="AU514" s="719"/>
      <c r="AV514" s="719"/>
      <c r="AW514" s="719"/>
      <c r="AX514" s="719"/>
      <c r="AY514" s="719"/>
      <c r="AZ514" s="719"/>
      <c r="BA514" s="719"/>
      <c r="BB514" s="719"/>
      <c r="BC514" s="719"/>
      <c r="BD514" s="719"/>
      <c r="BE514" s="719"/>
      <c r="BF514" s="719"/>
      <c r="BG514" s="719"/>
      <c r="BH514" s="719"/>
      <c r="BI514" s="719"/>
      <c r="BJ514" s="719"/>
    </row>
    <row r="515" spans="2:62" ht="15.75" customHeight="1">
      <c r="B515" s="497"/>
      <c r="C515" s="811"/>
      <c r="D515" s="811" t="s">
        <v>483</v>
      </c>
      <c r="E515" s="811"/>
      <c r="F515" s="874"/>
      <c r="G515" s="811"/>
      <c r="H515" s="811"/>
      <c r="I515" s="874"/>
      <c r="J515" s="811"/>
      <c r="K515" s="811"/>
      <c r="L515" s="811"/>
      <c r="M515" s="874"/>
      <c r="N515" s="811"/>
      <c r="O515" s="811"/>
      <c r="P515" s="811"/>
      <c r="Q515" s="874"/>
      <c r="R515" s="874"/>
      <c r="S515" s="874"/>
      <c r="T515" s="811"/>
      <c r="U515" s="811"/>
      <c r="V515" s="811"/>
      <c r="W515" s="811"/>
      <c r="X515" s="811"/>
      <c r="Y515" s="719"/>
      <c r="Z515" s="719"/>
      <c r="AA515" s="719"/>
      <c r="AB515" s="719"/>
      <c r="AC515" s="719"/>
      <c r="AD515" s="719"/>
      <c r="AE515" s="719"/>
      <c r="AF515" s="719"/>
      <c r="AG515" s="719"/>
      <c r="AH515" s="719"/>
      <c r="AI515" s="719"/>
      <c r="AJ515" s="719"/>
      <c r="AK515" s="719"/>
      <c r="AL515" s="719"/>
      <c r="AM515" s="719"/>
      <c r="AN515" s="719"/>
      <c r="AO515" s="719"/>
      <c r="AP515" s="719"/>
      <c r="AQ515" s="719"/>
      <c r="AR515" s="719"/>
      <c r="AS515" s="719"/>
      <c r="AT515" s="719"/>
      <c r="AU515" s="719"/>
      <c r="AV515" s="719"/>
      <c r="AW515" s="719"/>
      <c r="AX515" s="719"/>
      <c r="AY515" s="719"/>
      <c r="AZ515" s="719"/>
      <c r="BA515" s="719"/>
      <c r="BB515" s="719"/>
      <c r="BC515" s="719"/>
      <c r="BD515" s="719"/>
      <c r="BE515" s="719"/>
      <c r="BF515" s="719"/>
      <c r="BG515" s="719"/>
      <c r="BH515" s="719"/>
      <c r="BI515" s="719"/>
      <c r="BJ515" s="719"/>
    </row>
    <row r="516" spans="2:62" ht="15.75" customHeight="1">
      <c r="B516" s="497"/>
      <c r="C516" s="811"/>
      <c r="D516" s="811"/>
      <c r="E516" s="811" t="s">
        <v>484</v>
      </c>
      <c r="F516" s="811"/>
      <c r="G516" s="811"/>
      <c r="H516" s="811"/>
      <c r="I516" s="811"/>
      <c r="J516" s="873" t="e">
        <v>#N/A</v>
      </c>
      <c r="K516" s="873"/>
      <c r="L516" s="873"/>
      <c r="M516" s="874"/>
      <c r="N516" s="811"/>
      <c r="O516" s="811" t="e">
        <v>#N/A</v>
      </c>
      <c r="P516" s="811"/>
      <c r="Q516" s="811"/>
      <c r="R516" s="811"/>
      <c r="S516" s="874"/>
      <c r="T516" s="811"/>
      <c r="U516" s="811"/>
      <c r="V516" s="811"/>
      <c r="W516" s="811"/>
      <c r="X516" s="811"/>
      <c r="Y516" s="719"/>
      <c r="Z516" s="719"/>
      <c r="AA516" s="719"/>
      <c r="AB516" s="719"/>
      <c r="AC516" s="719"/>
      <c r="AD516" s="719"/>
      <c r="AE516" s="719"/>
      <c r="AF516" s="719"/>
      <c r="AG516" s="719"/>
      <c r="AH516" s="719"/>
      <c r="AI516" s="719"/>
      <c r="AJ516" s="719"/>
      <c r="AK516" s="719"/>
      <c r="AL516" s="719"/>
      <c r="AM516" s="719"/>
      <c r="AN516" s="719"/>
      <c r="AO516" s="719"/>
      <c r="AP516" s="719"/>
      <c r="AQ516" s="719"/>
      <c r="AR516" s="719"/>
      <c r="AS516" s="719"/>
      <c r="AT516" s="719"/>
      <c r="AU516" s="719"/>
      <c r="AV516" s="719"/>
      <c r="AW516" s="719"/>
      <c r="AX516" s="719"/>
      <c r="AY516" s="719"/>
      <c r="AZ516" s="719"/>
      <c r="BA516" s="719"/>
      <c r="BB516" s="719"/>
      <c r="BC516" s="719"/>
      <c r="BD516" s="719"/>
      <c r="BE516" s="719"/>
      <c r="BF516" s="719"/>
      <c r="BG516" s="719"/>
      <c r="BH516" s="719"/>
      <c r="BI516" s="719"/>
      <c r="BJ516" s="719"/>
    </row>
    <row r="517" spans="2:62" ht="15.75" customHeight="1">
      <c r="B517" s="497"/>
      <c r="C517" s="811"/>
      <c r="D517" s="811"/>
      <c r="E517" s="811" t="s">
        <v>485</v>
      </c>
      <c r="F517" s="811"/>
      <c r="G517" s="811"/>
      <c r="H517" s="811"/>
      <c r="I517" s="811"/>
      <c r="J517" s="811" t="e">
        <v>#N/A</v>
      </c>
      <c r="K517" s="811" t="e">
        <v>#N/A</v>
      </c>
      <c r="L517" s="811"/>
      <c r="M517" s="874"/>
      <c r="N517" s="811"/>
      <c r="O517" s="811" t="e">
        <v>#N/A</v>
      </c>
      <c r="P517" s="811" t="e">
        <v>#N/A</v>
      </c>
      <c r="Q517" s="811"/>
      <c r="R517" s="811"/>
      <c r="S517" s="874"/>
      <c r="T517" s="811"/>
      <c r="U517" s="811"/>
      <c r="V517" s="811"/>
      <c r="W517" s="811"/>
      <c r="X517" s="811"/>
      <c r="Y517" s="719"/>
      <c r="Z517" s="719"/>
      <c r="AA517" s="719"/>
      <c r="AB517" s="719"/>
      <c r="AC517" s="719"/>
      <c r="AD517" s="719"/>
      <c r="AE517" s="719"/>
      <c r="AF517" s="719"/>
      <c r="AG517" s="719"/>
      <c r="AH517" s="719"/>
      <c r="AI517" s="719"/>
      <c r="AJ517" s="719"/>
      <c r="AK517" s="719"/>
      <c r="AL517" s="719"/>
      <c r="AM517" s="719"/>
      <c r="AN517" s="719"/>
      <c r="AO517" s="719"/>
      <c r="AP517" s="719"/>
      <c r="AQ517" s="719"/>
      <c r="AR517" s="719"/>
      <c r="AS517" s="719"/>
      <c r="AT517" s="719"/>
      <c r="AU517" s="719"/>
      <c r="AV517" s="719"/>
      <c r="AW517" s="719"/>
      <c r="AX517" s="719"/>
      <c r="AY517" s="719"/>
      <c r="AZ517" s="719"/>
      <c r="BA517" s="719"/>
      <c r="BB517" s="719"/>
      <c r="BC517" s="719"/>
      <c r="BD517" s="719"/>
      <c r="BE517" s="719"/>
      <c r="BF517" s="719"/>
      <c r="BG517" s="719"/>
      <c r="BH517" s="719"/>
      <c r="BI517" s="719"/>
      <c r="BJ517" s="719"/>
    </row>
    <row r="518" spans="2:62" ht="15.75" customHeight="1">
      <c r="B518" s="497"/>
      <c r="C518" s="811"/>
      <c r="D518" s="811"/>
      <c r="E518" s="811"/>
      <c r="F518" s="811"/>
      <c r="G518" s="811"/>
      <c r="H518" s="811"/>
      <c r="I518" s="811"/>
      <c r="J518" s="811" t="e">
        <v>#N/A</v>
      </c>
      <c r="K518" s="811" t="e">
        <v>#N/A</v>
      </c>
      <c r="L518" s="811"/>
      <c r="M518" s="874"/>
      <c r="N518" s="811"/>
      <c r="O518" s="811" t="e">
        <v>#N/A</v>
      </c>
      <c r="P518" s="811" t="e">
        <v>#N/A</v>
      </c>
      <c r="Q518" s="811"/>
      <c r="R518" s="811"/>
      <c r="S518" s="874"/>
      <c r="T518" s="811"/>
      <c r="U518" s="811"/>
      <c r="V518" s="811"/>
      <c r="W518" s="811"/>
      <c r="X518" s="811"/>
      <c r="Y518" s="719"/>
      <c r="Z518" s="719"/>
      <c r="AA518" s="719"/>
      <c r="AB518" s="719"/>
      <c r="AC518" s="719"/>
      <c r="AD518" s="719"/>
      <c r="AE518" s="719"/>
      <c r="AF518" s="719"/>
      <c r="AG518" s="719"/>
      <c r="AH518" s="719"/>
      <c r="AI518" s="719"/>
      <c r="AJ518" s="719"/>
      <c r="AK518" s="719"/>
      <c r="AL518" s="719"/>
      <c r="AM518" s="719"/>
      <c r="AN518" s="719"/>
      <c r="AO518" s="719"/>
      <c r="AP518" s="719"/>
      <c r="AQ518" s="719"/>
      <c r="AR518" s="719"/>
      <c r="AS518" s="719"/>
      <c r="AT518" s="719"/>
      <c r="AU518" s="719"/>
      <c r="AV518" s="719"/>
      <c r="AW518" s="719"/>
      <c r="AX518" s="719"/>
      <c r="AY518" s="719"/>
      <c r="AZ518" s="719"/>
      <c r="BA518" s="719"/>
      <c r="BB518" s="719"/>
      <c r="BC518" s="719"/>
      <c r="BD518" s="719"/>
      <c r="BE518" s="719"/>
      <c r="BF518" s="719"/>
      <c r="BG518" s="719"/>
      <c r="BH518" s="719"/>
      <c r="BI518" s="719"/>
      <c r="BJ518" s="719"/>
    </row>
    <row r="519" spans="2:62" ht="15.75" customHeight="1">
      <c r="B519" s="497"/>
      <c r="C519" s="811"/>
      <c r="D519" s="811"/>
      <c r="E519" s="811"/>
      <c r="F519" s="811"/>
      <c r="G519" s="811"/>
      <c r="H519" s="811"/>
      <c r="I519" s="811"/>
      <c r="J519" s="811"/>
      <c r="K519" s="811"/>
      <c r="L519" s="811"/>
      <c r="M519" s="874"/>
      <c r="N519" s="811"/>
      <c r="O519" s="811"/>
      <c r="P519" s="811"/>
      <c r="Q519" s="811"/>
      <c r="R519" s="811"/>
      <c r="S519" s="874"/>
      <c r="T519" s="811"/>
      <c r="U519" s="811"/>
      <c r="V519" s="811"/>
      <c r="W519" s="811"/>
      <c r="X519" s="811"/>
      <c r="Y519" s="719"/>
      <c r="Z519" s="719"/>
      <c r="AA519" s="719"/>
      <c r="AB519" s="719"/>
      <c r="AC519" s="719"/>
      <c r="AD519" s="719"/>
      <c r="AE519" s="719"/>
      <c r="AF519" s="719"/>
      <c r="AG519" s="719"/>
      <c r="AH519" s="719"/>
      <c r="AI519" s="719"/>
      <c r="AJ519" s="719"/>
      <c r="AK519" s="719"/>
      <c r="AL519" s="719"/>
      <c r="AM519" s="719"/>
      <c r="AN519" s="719"/>
      <c r="AO519" s="719"/>
      <c r="AP519" s="719"/>
      <c r="AQ519" s="719"/>
      <c r="AR519" s="719"/>
      <c r="AS519" s="719"/>
      <c r="AT519" s="719"/>
      <c r="AU519" s="719"/>
      <c r="AV519" s="719"/>
      <c r="AW519" s="719"/>
      <c r="AX519" s="719"/>
      <c r="AY519" s="719"/>
      <c r="AZ519" s="719"/>
      <c r="BA519" s="719"/>
      <c r="BB519" s="719"/>
      <c r="BC519" s="719"/>
      <c r="BD519" s="719"/>
      <c r="BE519" s="719"/>
      <c r="BF519" s="719"/>
      <c r="BG519" s="719"/>
      <c r="BH519" s="719"/>
      <c r="BI519" s="719"/>
      <c r="BJ519" s="719"/>
    </row>
    <row r="520" spans="2:62" ht="15.75" customHeight="1">
      <c r="B520" s="497"/>
      <c r="C520" s="811"/>
      <c r="D520" s="811"/>
      <c r="E520" s="811" t="s">
        <v>486</v>
      </c>
      <c r="F520" s="811"/>
      <c r="G520" s="811"/>
      <c r="H520" s="811"/>
      <c r="I520" s="811"/>
      <c r="J520" s="811" t="e">
        <v>#N/A</v>
      </c>
      <c r="K520" s="811"/>
      <c r="L520" s="811"/>
      <c r="M520" s="874"/>
      <c r="N520" s="811"/>
      <c r="O520" s="811" t="e">
        <v>#N/A</v>
      </c>
      <c r="P520" s="811"/>
      <c r="Q520" s="811"/>
      <c r="R520" s="811"/>
      <c r="S520" s="811"/>
      <c r="T520" s="811"/>
      <c r="U520" s="811"/>
      <c r="V520" s="811"/>
      <c r="W520" s="811"/>
      <c r="X520" s="811"/>
      <c r="Y520" s="719"/>
      <c r="Z520" s="719"/>
      <c r="AA520" s="719"/>
      <c r="AB520" s="719"/>
      <c r="AC520" s="719"/>
      <c r="AD520" s="719"/>
      <c r="AE520" s="719"/>
      <c r="AF520" s="719"/>
      <c r="AG520" s="719"/>
      <c r="AH520" s="719"/>
      <c r="AI520" s="719"/>
      <c r="AJ520" s="719"/>
      <c r="AK520" s="719"/>
      <c r="AL520" s="719"/>
      <c r="AM520" s="719"/>
      <c r="AN520" s="719"/>
      <c r="AO520" s="719"/>
      <c r="AP520" s="719"/>
      <c r="AQ520" s="719"/>
      <c r="AR520" s="719"/>
      <c r="AS520" s="719"/>
      <c r="AT520" s="719"/>
      <c r="AU520" s="719"/>
      <c r="AV520" s="719"/>
      <c r="AW520" s="719"/>
      <c r="AX520" s="719"/>
      <c r="AY520" s="719"/>
      <c r="AZ520" s="719"/>
      <c r="BA520" s="719"/>
      <c r="BB520" s="719"/>
      <c r="BC520" s="719"/>
      <c r="BD520" s="719"/>
      <c r="BE520" s="719"/>
      <c r="BF520" s="719"/>
      <c r="BG520" s="719"/>
      <c r="BH520" s="719"/>
      <c r="BI520" s="719"/>
      <c r="BJ520" s="719"/>
    </row>
    <row r="521" spans="2:62" ht="15.75" customHeight="1">
      <c r="B521" s="497"/>
      <c r="C521" s="811"/>
      <c r="D521" s="811"/>
      <c r="E521" s="811"/>
      <c r="F521" s="811"/>
      <c r="G521" s="811"/>
      <c r="H521" s="811"/>
      <c r="I521" s="811"/>
      <c r="J521" s="873"/>
      <c r="K521" s="873"/>
      <c r="L521" s="873"/>
      <c r="M521" s="876"/>
      <c r="N521" s="873"/>
      <c r="O521" s="873"/>
      <c r="P521" s="873"/>
      <c r="Q521" s="811"/>
      <c r="R521" s="811"/>
      <c r="S521" s="873"/>
      <c r="T521" s="811"/>
      <c r="U521" s="811"/>
      <c r="V521" s="811"/>
      <c r="W521" s="811"/>
      <c r="X521" s="811"/>
      <c r="Y521" s="719"/>
      <c r="Z521" s="719"/>
      <c r="AA521" s="719"/>
      <c r="AB521" s="719"/>
      <c r="AC521" s="719"/>
      <c r="AD521" s="719"/>
      <c r="AE521" s="719"/>
      <c r="AF521" s="719"/>
      <c r="AG521" s="719"/>
      <c r="AH521" s="719"/>
      <c r="AI521" s="719"/>
      <c r="AJ521" s="719"/>
      <c r="AK521" s="719"/>
      <c r="AL521" s="719"/>
      <c r="AM521" s="719"/>
      <c r="AN521" s="719"/>
      <c r="AO521" s="719"/>
      <c r="AP521" s="719"/>
      <c r="AQ521" s="719"/>
      <c r="AR521" s="719"/>
      <c r="AS521" s="719"/>
      <c r="AT521" s="719"/>
      <c r="AU521" s="719"/>
      <c r="AV521" s="719"/>
      <c r="AW521" s="719"/>
      <c r="AX521" s="719"/>
      <c r="AY521" s="719"/>
      <c r="AZ521" s="719"/>
      <c r="BA521" s="719"/>
      <c r="BB521" s="719"/>
      <c r="BC521" s="719"/>
      <c r="BD521" s="719"/>
      <c r="BE521" s="719"/>
      <c r="BF521" s="719"/>
      <c r="BG521" s="719"/>
      <c r="BH521" s="719"/>
      <c r="BI521" s="719"/>
      <c r="BJ521" s="719"/>
    </row>
    <row r="522" spans="2:62" ht="15.75" customHeight="1">
      <c r="B522" s="497"/>
      <c r="C522" s="811"/>
      <c r="D522" s="811"/>
      <c r="E522" s="811"/>
      <c r="F522" s="811"/>
      <c r="G522" s="811"/>
      <c r="H522" s="811"/>
      <c r="I522" s="811"/>
      <c r="J522" s="811"/>
      <c r="K522" s="811"/>
      <c r="L522" s="811"/>
      <c r="M522" s="811"/>
      <c r="N522" s="811"/>
      <c r="O522" s="811"/>
      <c r="P522" s="811"/>
      <c r="Q522" s="811"/>
      <c r="R522" s="811"/>
      <c r="S522" s="811"/>
      <c r="T522" s="811"/>
      <c r="U522" s="811"/>
      <c r="V522" s="811"/>
      <c r="W522" s="811"/>
      <c r="X522" s="811"/>
      <c r="Y522" s="719"/>
      <c r="Z522" s="719"/>
      <c r="AA522" s="719"/>
      <c r="AB522" s="719"/>
      <c r="AC522" s="719"/>
      <c r="AD522" s="719"/>
      <c r="AE522" s="719"/>
      <c r="AF522" s="719"/>
      <c r="AG522" s="719"/>
      <c r="AH522" s="719"/>
      <c r="AI522" s="719"/>
      <c r="AJ522" s="719"/>
      <c r="AK522" s="719"/>
      <c r="AL522" s="719"/>
      <c r="AM522" s="719"/>
      <c r="AN522" s="719"/>
      <c r="AO522" s="719"/>
      <c r="AP522" s="719"/>
      <c r="AQ522" s="719"/>
      <c r="AR522" s="719"/>
      <c r="AS522" s="719"/>
      <c r="AT522" s="719"/>
      <c r="AU522" s="719"/>
      <c r="AV522" s="719"/>
      <c r="AW522" s="719"/>
      <c r="AX522" s="719"/>
      <c r="AY522" s="719"/>
      <c r="AZ522" s="719"/>
      <c r="BA522" s="719"/>
      <c r="BB522" s="719"/>
      <c r="BC522" s="719"/>
      <c r="BD522" s="719"/>
      <c r="BE522" s="719"/>
      <c r="BF522" s="719"/>
      <c r="BG522" s="719"/>
      <c r="BH522" s="719"/>
      <c r="BI522" s="719"/>
      <c r="BJ522" s="719"/>
    </row>
    <row r="523" spans="2:62" ht="15.75" customHeight="1">
      <c r="B523" s="497"/>
      <c r="C523" s="811"/>
      <c r="D523" s="811" t="s">
        <v>487</v>
      </c>
      <c r="E523" s="811"/>
      <c r="F523" s="811"/>
      <c r="G523" s="811"/>
      <c r="H523" s="811"/>
      <c r="I523" s="811"/>
      <c r="J523" s="811" t="s">
        <v>478</v>
      </c>
      <c r="K523" s="811"/>
      <c r="L523" s="811"/>
      <c r="M523" s="811"/>
      <c r="N523" s="811"/>
      <c r="O523" s="811" t="s">
        <v>479</v>
      </c>
      <c r="P523" s="811"/>
      <c r="Q523" s="811"/>
      <c r="R523" s="811"/>
      <c r="S523" s="811"/>
      <c r="T523" s="811"/>
      <c r="U523" s="811"/>
      <c r="V523" s="811"/>
      <c r="W523" s="811"/>
      <c r="X523" s="811"/>
      <c r="Y523" s="719"/>
      <c r="Z523" s="719"/>
      <c r="AA523" s="719"/>
      <c r="AB523" s="719"/>
      <c r="AC523" s="719"/>
      <c r="AD523" s="719"/>
      <c r="AE523" s="719"/>
      <c r="AF523" s="719"/>
      <c r="AG523" s="719"/>
      <c r="AH523" s="719"/>
      <c r="AI523" s="719"/>
      <c r="AJ523" s="719"/>
      <c r="AK523" s="719"/>
      <c r="AL523" s="719"/>
      <c r="AM523" s="719"/>
      <c r="AN523" s="719"/>
      <c r="AO523" s="719"/>
      <c r="AP523" s="719"/>
      <c r="AQ523" s="719"/>
      <c r="AR523" s="719"/>
      <c r="AS523" s="719"/>
      <c r="AT523" s="719"/>
      <c r="AU523" s="719"/>
      <c r="AV523" s="719"/>
      <c r="AW523" s="719"/>
      <c r="AX523" s="719"/>
      <c r="AY523" s="719"/>
      <c r="AZ523" s="719"/>
      <c r="BA523" s="719"/>
      <c r="BB523" s="719"/>
      <c r="BC523" s="719"/>
      <c r="BD523" s="719"/>
      <c r="BE523" s="719"/>
      <c r="BF523" s="719"/>
      <c r="BG523" s="719"/>
      <c r="BH523" s="719"/>
      <c r="BI523" s="719"/>
      <c r="BJ523" s="719"/>
    </row>
    <row r="524" spans="2:62" ht="15.75" customHeight="1">
      <c r="B524" s="497"/>
      <c r="C524" s="811"/>
      <c r="D524" s="811" t="s">
        <v>480</v>
      </c>
      <c r="E524" s="811"/>
      <c r="F524" s="811"/>
      <c r="G524" s="811"/>
      <c r="H524" s="811"/>
      <c r="I524" s="811"/>
      <c r="J524" s="811"/>
      <c r="K524" s="811"/>
      <c r="L524" s="811"/>
      <c r="M524" s="811"/>
      <c r="N524" s="811"/>
      <c r="O524" s="811"/>
      <c r="P524" s="811"/>
      <c r="Q524" s="811"/>
      <c r="R524" s="811"/>
      <c r="S524" s="811"/>
      <c r="T524" s="811"/>
      <c r="U524" s="811"/>
      <c r="V524" s="811"/>
      <c r="W524" s="811"/>
      <c r="X524" s="811"/>
      <c r="Y524" s="719"/>
      <c r="Z524" s="719"/>
      <c r="AA524" s="719"/>
      <c r="AB524" s="719"/>
      <c r="AC524" s="719"/>
      <c r="AD524" s="719"/>
      <c r="AE524" s="719"/>
      <c r="AF524" s="719"/>
      <c r="AG524" s="719"/>
      <c r="AH524" s="719"/>
      <c r="AI524" s="719"/>
      <c r="AJ524" s="719"/>
      <c r="AK524" s="719"/>
      <c r="AL524" s="719"/>
      <c r="AM524" s="719"/>
      <c r="AN524" s="719"/>
      <c r="AO524" s="719"/>
      <c r="AP524" s="719"/>
      <c r="AQ524" s="719"/>
      <c r="AR524" s="719"/>
      <c r="AS524" s="719"/>
      <c r="AT524" s="719"/>
      <c r="AU524" s="719"/>
      <c r="AV524" s="719"/>
      <c r="AW524" s="719"/>
      <c r="AX524" s="719"/>
      <c r="AY524" s="719"/>
      <c r="AZ524" s="719"/>
      <c r="BA524" s="719"/>
      <c r="BB524" s="719"/>
      <c r="BC524" s="719"/>
      <c r="BD524" s="719"/>
      <c r="BE524" s="719"/>
      <c r="BF524" s="719"/>
      <c r="BG524" s="719"/>
      <c r="BH524" s="719"/>
      <c r="BI524" s="719"/>
      <c r="BJ524" s="719"/>
    </row>
    <row r="525" spans="2:62" ht="15.75" customHeight="1">
      <c r="B525" s="497"/>
      <c r="C525" s="409"/>
      <c r="D525" s="410">
        <v>4405</v>
      </c>
      <c r="E525" s="410" t="s">
        <v>488</v>
      </c>
      <c r="F525" s="410"/>
      <c r="G525" s="410"/>
      <c r="H525" s="410"/>
      <c r="I525" s="410"/>
      <c r="J525" s="410">
        <v>69410.94</v>
      </c>
      <c r="K525" s="410"/>
      <c r="L525" s="410"/>
      <c r="M525" s="410"/>
      <c r="N525" s="410"/>
      <c r="O525" s="410">
        <v>272816.23</v>
      </c>
      <c r="P525" s="410"/>
      <c r="Q525" s="410"/>
      <c r="R525" s="410"/>
      <c r="S525" s="410"/>
      <c r="T525" s="811"/>
      <c r="U525" s="811"/>
      <c r="V525" s="811"/>
      <c r="W525" s="811"/>
      <c r="X525" s="811"/>
      <c r="Y525" s="719"/>
      <c r="Z525" s="719"/>
      <c r="AA525" s="719"/>
      <c r="AB525" s="719"/>
      <c r="AC525" s="719"/>
      <c r="AD525" s="719"/>
      <c r="AE525" s="719"/>
      <c r="AF525" s="719"/>
      <c r="AG525" s="719"/>
      <c r="AH525" s="719"/>
      <c r="AI525" s="719"/>
      <c r="AJ525" s="719"/>
      <c r="AK525" s="719"/>
      <c r="AL525" s="719"/>
      <c r="AM525" s="719"/>
      <c r="AN525" s="719"/>
      <c r="AO525" s="719"/>
      <c r="AP525" s="719"/>
      <c r="AQ525" s="719"/>
      <c r="AR525" s="719"/>
      <c r="AS525" s="719"/>
      <c r="AT525" s="719"/>
      <c r="AU525" s="719"/>
      <c r="AV525" s="719"/>
      <c r="AW525" s="719"/>
      <c r="AX525" s="719"/>
      <c r="AY525" s="719"/>
      <c r="AZ525" s="719"/>
      <c r="BA525" s="719"/>
      <c r="BB525" s="719"/>
      <c r="BC525" s="719"/>
      <c r="BD525" s="719"/>
      <c r="BE525" s="719"/>
      <c r="BF525" s="719"/>
      <c r="BG525" s="719"/>
      <c r="BH525" s="719"/>
      <c r="BI525" s="719"/>
      <c r="BJ525" s="719"/>
    </row>
    <row r="526" spans="2:62" ht="15.75" customHeight="1">
      <c r="B526" s="497"/>
      <c r="C526" s="811"/>
      <c r="D526" s="811">
        <v>5405</v>
      </c>
      <c r="E526" s="811" t="s">
        <v>489</v>
      </c>
      <c r="F526" s="811"/>
      <c r="G526" s="811"/>
      <c r="H526" s="811"/>
      <c r="I526" s="811"/>
      <c r="J526" s="811">
        <v>-18198.82</v>
      </c>
      <c r="K526" s="811">
        <v>0.26218950499733901</v>
      </c>
      <c r="L526" s="811"/>
      <c r="M526" s="811"/>
      <c r="N526" s="811"/>
      <c r="O526" s="811">
        <v>-78195.460000000006</v>
      </c>
      <c r="P526" s="811">
        <v>0.28662319686772303</v>
      </c>
      <c r="Q526" s="411"/>
      <c r="R526" s="811"/>
      <c r="S526" s="811"/>
      <c r="T526" s="811"/>
      <c r="U526" s="811"/>
      <c r="V526" s="811"/>
      <c r="W526" s="811"/>
      <c r="X526" s="811"/>
      <c r="Y526" s="719"/>
      <c r="Z526" s="719"/>
      <c r="AA526" s="719"/>
      <c r="AB526" s="719"/>
      <c r="AC526" s="719"/>
      <c r="AD526" s="719"/>
      <c r="AE526" s="719"/>
      <c r="AF526" s="719"/>
      <c r="AG526" s="719"/>
      <c r="AH526" s="719"/>
      <c r="AI526" s="719"/>
      <c r="AJ526" s="719"/>
      <c r="AK526" s="719"/>
      <c r="AL526" s="719"/>
      <c r="AM526" s="719"/>
      <c r="AN526" s="719"/>
      <c r="AO526" s="719"/>
      <c r="AP526" s="719"/>
      <c r="AQ526" s="719"/>
      <c r="AR526" s="719"/>
      <c r="AS526" s="719"/>
      <c r="AT526" s="719"/>
      <c r="AU526" s="719"/>
      <c r="AV526" s="719"/>
      <c r="AW526" s="719"/>
      <c r="AX526" s="719"/>
      <c r="AY526" s="719"/>
      <c r="AZ526" s="719"/>
      <c r="BA526" s="719"/>
      <c r="BB526" s="719"/>
      <c r="BC526" s="719"/>
      <c r="BD526" s="719"/>
      <c r="BE526" s="719"/>
      <c r="BF526" s="719"/>
      <c r="BG526" s="719"/>
      <c r="BH526" s="719"/>
      <c r="BI526" s="719"/>
      <c r="BJ526" s="719"/>
    </row>
    <row r="527" spans="2:62" ht="15.75" customHeight="1">
      <c r="B527" s="497"/>
      <c r="C527" s="811"/>
      <c r="D527" s="811"/>
      <c r="E527" s="811" t="s">
        <v>490</v>
      </c>
      <c r="F527" s="811"/>
      <c r="G527" s="811"/>
      <c r="H527" s="811"/>
      <c r="I527" s="811"/>
      <c r="J527" s="811">
        <v>51212.12</v>
      </c>
      <c r="K527" s="811">
        <v>0.73781049500266094</v>
      </c>
      <c r="L527" s="412"/>
      <c r="M527" s="413"/>
      <c r="N527" s="413"/>
      <c r="O527" s="811">
        <v>194620.76999999996</v>
      </c>
      <c r="P527" s="412">
        <v>0.71337680313227692</v>
      </c>
      <c r="Q527" s="413"/>
      <c r="R527" s="413"/>
      <c r="S527" s="412"/>
      <c r="T527" s="811"/>
      <c r="U527" s="811"/>
      <c r="V527" s="811"/>
      <c r="W527" s="811"/>
      <c r="X527" s="811"/>
      <c r="Y527" s="719"/>
      <c r="Z527" s="719"/>
      <c r="AA527" s="719"/>
      <c r="AB527" s="719"/>
      <c r="AC527" s="719"/>
      <c r="AD527" s="719"/>
      <c r="AE527" s="719"/>
      <c r="AF527" s="719"/>
      <c r="AG527" s="719"/>
      <c r="AH527" s="719"/>
      <c r="AI527" s="719"/>
      <c r="AJ527" s="719"/>
      <c r="AK527" s="719"/>
      <c r="AL527" s="719"/>
      <c r="AM527" s="719"/>
      <c r="AN527" s="719"/>
      <c r="AO527" s="719"/>
      <c r="AP527" s="719"/>
      <c r="AQ527" s="719"/>
      <c r="AR527" s="719"/>
      <c r="AS527" s="719"/>
      <c r="AT527" s="719"/>
      <c r="AU527" s="719"/>
      <c r="AV527" s="719"/>
      <c r="AW527" s="719"/>
      <c r="AX527" s="719"/>
      <c r="AY527" s="719"/>
      <c r="AZ527" s="719"/>
      <c r="BA527" s="719"/>
      <c r="BB527" s="719"/>
      <c r="BC527" s="719"/>
      <c r="BD527" s="719"/>
      <c r="BE527" s="719"/>
      <c r="BF527" s="719"/>
      <c r="BG527" s="719"/>
      <c r="BH527" s="719"/>
      <c r="BI527" s="719"/>
      <c r="BJ527" s="719"/>
    </row>
    <row r="528" spans="2:62" ht="15.75" customHeight="1">
      <c r="B528" s="497"/>
      <c r="C528" s="811"/>
      <c r="D528" s="811"/>
      <c r="E528" s="412"/>
      <c r="F528" s="414"/>
      <c r="G528" s="811"/>
      <c r="H528" s="412"/>
      <c r="I528" s="414"/>
      <c r="J528" s="413"/>
      <c r="K528" s="873"/>
      <c r="L528" s="412"/>
      <c r="M528" s="413"/>
      <c r="N528" s="413"/>
      <c r="O528" s="873"/>
      <c r="P528" s="412"/>
      <c r="Q528" s="413"/>
      <c r="R528" s="413"/>
      <c r="S528" s="412"/>
      <c r="T528" s="811"/>
      <c r="U528" s="811"/>
      <c r="V528" s="811"/>
      <c r="W528" s="811"/>
      <c r="X528" s="811"/>
      <c r="Y528" s="719"/>
      <c r="Z528" s="719"/>
      <c r="AA528" s="719"/>
      <c r="AB528" s="719"/>
      <c r="AC528" s="719"/>
      <c r="AD528" s="719"/>
      <c r="AE528" s="719"/>
      <c r="AF528" s="719"/>
      <c r="AG528" s="719"/>
      <c r="AH528" s="719"/>
      <c r="AI528" s="719"/>
      <c r="AJ528" s="719"/>
      <c r="AK528" s="719"/>
      <c r="AL528" s="719"/>
      <c r="AM528" s="719"/>
      <c r="AN528" s="719"/>
      <c r="AO528" s="719"/>
      <c r="AP528" s="719"/>
      <c r="AQ528" s="719"/>
      <c r="AR528" s="719"/>
      <c r="AS528" s="719"/>
      <c r="AT528" s="719"/>
      <c r="AU528" s="719"/>
      <c r="AV528" s="719"/>
      <c r="AW528" s="719"/>
      <c r="AX528" s="719"/>
      <c r="AY528" s="719"/>
      <c r="AZ528" s="719"/>
      <c r="BA528" s="719"/>
      <c r="BB528" s="719"/>
      <c r="BC528" s="719"/>
      <c r="BD528" s="719"/>
      <c r="BE528" s="719"/>
      <c r="BF528" s="719"/>
      <c r="BG528" s="719"/>
      <c r="BH528" s="719"/>
      <c r="BI528" s="719"/>
      <c r="BJ528" s="719"/>
    </row>
    <row r="529" spans="2:62" ht="15.75" customHeight="1">
      <c r="B529" s="497"/>
      <c r="C529" s="811"/>
      <c r="D529" s="877"/>
      <c r="E529" s="414"/>
      <c r="F529" s="414"/>
      <c r="G529" s="877"/>
      <c r="H529" s="414"/>
      <c r="I529" s="414"/>
      <c r="J529" s="414"/>
      <c r="K529" s="414"/>
      <c r="L529" s="414"/>
      <c r="M529" s="414"/>
      <c r="N529" s="414"/>
      <c r="O529" s="414"/>
      <c r="P529" s="414"/>
      <c r="Q529" s="414"/>
      <c r="R529" s="414"/>
      <c r="S529" s="414"/>
      <c r="T529" s="811"/>
      <c r="U529" s="811"/>
      <c r="V529" s="811"/>
      <c r="W529" s="811"/>
      <c r="X529" s="811"/>
      <c r="Y529" s="719"/>
      <c r="Z529" s="719"/>
      <c r="AA529" s="719"/>
      <c r="AB529" s="719"/>
      <c r="AC529" s="719"/>
      <c r="AD529" s="719"/>
      <c r="AE529" s="719"/>
      <c r="AF529" s="719"/>
      <c r="AG529" s="719"/>
      <c r="AH529" s="719"/>
      <c r="AI529" s="719"/>
      <c r="AJ529" s="719"/>
      <c r="AK529" s="719"/>
      <c r="AL529" s="719"/>
      <c r="AM529" s="719"/>
      <c r="AN529" s="719"/>
      <c r="AO529" s="719"/>
      <c r="AP529" s="719"/>
      <c r="AQ529" s="719"/>
      <c r="AR529" s="719"/>
      <c r="AS529" s="719"/>
      <c r="AT529" s="719"/>
      <c r="AU529" s="719"/>
      <c r="AV529" s="719"/>
      <c r="AW529" s="719"/>
      <c r="AX529" s="719"/>
      <c r="AY529" s="719"/>
      <c r="AZ529" s="719"/>
      <c r="BA529" s="719"/>
      <c r="BB529" s="719"/>
      <c r="BC529" s="719"/>
      <c r="BD529" s="719"/>
      <c r="BE529" s="719"/>
      <c r="BF529" s="719"/>
      <c r="BG529" s="719"/>
      <c r="BH529" s="719"/>
      <c r="BI529" s="719"/>
      <c r="BJ529" s="719"/>
    </row>
    <row r="530" spans="2:62" ht="15.75" customHeight="1">
      <c r="B530" s="497"/>
      <c r="C530" s="873"/>
      <c r="D530" s="811">
        <v>4705</v>
      </c>
      <c r="E530" s="811" t="s">
        <v>491</v>
      </c>
      <c r="F530" s="811"/>
      <c r="G530" s="811"/>
      <c r="H530" s="811"/>
      <c r="I530" s="811"/>
      <c r="J530" s="811">
        <v>56782.559999999998</v>
      </c>
      <c r="K530" s="811"/>
      <c r="L530" s="811"/>
      <c r="M530" s="811"/>
      <c r="N530" s="811"/>
      <c r="O530" s="811">
        <v>257161.62</v>
      </c>
      <c r="P530" s="811"/>
      <c r="Q530" s="811"/>
      <c r="R530" s="811"/>
      <c r="S530" s="811"/>
      <c r="T530" s="811"/>
      <c r="U530" s="811"/>
      <c r="V530" s="811"/>
      <c r="W530" s="811"/>
      <c r="X530" s="811"/>
      <c r="Y530" s="719"/>
      <c r="Z530" s="719"/>
      <c r="AA530" s="719"/>
      <c r="AB530" s="719"/>
      <c r="AC530" s="719"/>
      <c r="AD530" s="719"/>
      <c r="AE530" s="719"/>
      <c r="AF530" s="719"/>
      <c r="AG530" s="719"/>
      <c r="AH530" s="719"/>
      <c r="AI530" s="719"/>
      <c r="AJ530" s="719"/>
      <c r="AK530" s="719"/>
      <c r="AL530" s="719"/>
      <c r="AM530" s="719"/>
      <c r="AN530" s="719"/>
      <c r="AO530" s="719"/>
      <c r="AP530" s="719"/>
      <c r="AQ530" s="719"/>
      <c r="AR530" s="719"/>
      <c r="AS530" s="719"/>
      <c r="AT530" s="719"/>
      <c r="AU530" s="719"/>
      <c r="AV530" s="719"/>
      <c r="AW530" s="719"/>
      <c r="AX530" s="719"/>
      <c r="AY530" s="719"/>
      <c r="AZ530" s="719"/>
      <c r="BA530" s="719"/>
      <c r="BB530" s="719"/>
      <c r="BC530" s="719"/>
      <c r="BD530" s="719"/>
      <c r="BE530" s="719"/>
      <c r="BF530" s="719"/>
      <c r="BG530" s="719"/>
      <c r="BH530" s="719"/>
      <c r="BI530" s="719"/>
      <c r="BJ530" s="719"/>
    </row>
    <row r="531" spans="2:62" ht="15.75" customHeight="1">
      <c r="B531" s="497"/>
      <c r="C531" s="811"/>
      <c r="D531" s="811">
        <v>5705</v>
      </c>
      <c r="E531" s="811" t="s">
        <v>492</v>
      </c>
      <c r="F531" s="811"/>
      <c r="G531" s="811"/>
      <c r="H531" s="811"/>
      <c r="I531" s="811"/>
      <c r="J531" s="811">
        <v>-37343.879999999997</v>
      </c>
      <c r="K531" s="811">
        <v>0.65766460687929529</v>
      </c>
      <c r="L531" s="811"/>
      <c r="M531" s="811"/>
      <c r="N531" s="811"/>
      <c r="O531" s="811">
        <v>-174406.08</v>
      </c>
      <c r="P531" s="811">
        <v>0.6781963809374042</v>
      </c>
      <c r="Q531" s="811"/>
      <c r="R531" s="811"/>
      <c r="S531" s="811"/>
      <c r="T531" s="811"/>
      <c r="U531" s="811"/>
      <c r="V531" s="811"/>
      <c r="W531" s="811"/>
      <c r="X531" s="811"/>
      <c r="Y531" s="719"/>
      <c r="Z531" s="719"/>
      <c r="AA531" s="719"/>
      <c r="AB531" s="719"/>
      <c r="AC531" s="719"/>
      <c r="AD531" s="719"/>
      <c r="AE531" s="719"/>
      <c r="AF531" s="719"/>
      <c r="AG531" s="719"/>
      <c r="AH531" s="719"/>
      <c r="AI531" s="719"/>
      <c r="AJ531" s="719"/>
      <c r="AK531" s="719"/>
      <c r="AL531" s="719"/>
      <c r="AM531" s="719"/>
      <c r="AN531" s="719"/>
      <c r="AO531" s="719"/>
      <c r="AP531" s="719"/>
      <c r="AQ531" s="719"/>
      <c r="AR531" s="719"/>
      <c r="AS531" s="719"/>
      <c r="AT531" s="719"/>
      <c r="AU531" s="719"/>
      <c r="AV531" s="719"/>
      <c r="AW531" s="719"/>
      <c r="AX531" s="719"/>
      <c r="AY531" s="719"/>
      <c r="AZ531" s="719"/>
      <c r="BA531" s="719"/>
      <c r="BB531" s="719"/>
      <c r="BC531" s="719"/>
      <c r="BD531" s="719"/>
      <c r="BE531" s="719"/>
      <c r="BF531" s="719"/>
      <c r="BG531" s="719"/>
      <c r="BH531" s="719"/>
      <c r="BI531" s="719"/>
      <c r="BJ531" s="719"/>
    </row>
    <row r="532" spans="2:62" ht="15.75" customHeight="1">
      <c r="B532" s="497"/>
      <c r="C532" s="811"/>
      <c r="D532" s="811"/>
      <c r="E532" s="874" t="s">
        <v>493</v>
      </c>
      <c r="F532" s="878"/>
      <c r="G532" s="811"/>
      <c r="H532" s="874"/>
      <c r="I532" s="878"/>
      <c r="J532" s="878">
        <v>19438.68</v>
      </c>
      <c r="K532" s="874">
        <v>0.34233539312070471</v>
      </c>
      <c r="L532" s="878"/>
      <c r="M532" s="874"/>
      <c r="N532" s="878"/>
      <c r="O532" s="874">
        <v>82755.540000000008</v>
      </c>
      <c r="P532" s="878">
        <v>0.32180361906259575</v>
      </c>
      <c r="Q532" s="874"/>
      <c r="R532" s="874"/>
      <c r="S532" s="874"/>
      <c r="T532" s="811"/>
      <c r="U532" s="811"/>
      <c r="V532" s="811"/>
      <c r="W532" s="811"/>
      <c r="X532" s="811"/>
      <c r="Y532" s="719"/>
      <c r="Z532" s="719"/>
      <c r="AA532" s="719"/>
      <c r="AB532" s="719"/>
      <c r="AC532" s="719"/>
      <c r="AD532" s="719"/>
      <c r="AE532" s="719"/>
      <c r="AF532" s="719"/>
      <c r="AG532" s="719"/>
      <c r="AH532" s="719"/>
      <c r="AI532" s="719"/>
      <c r="AJ532" s="719"/>
      <c r="AK532" s="719"/>
      <c r="AL532" s="719"/>
      <c r="AM532" s="719"/>
      <c r="AN532" s="719"/>
      <c r="AO532" s="719"/>
      <c r="AP532" s="719"/>
      <c r="AQ532" s="719"/>
      <c r="AR532" s="719"/>
      <c r="AS532" s="719"/>
      <c r="AT532" s="719"/>
      <c r="AU532" s="719"/>
      <c r="AV532" s="719"/>
      <c r="AW532" s="719"/>
      <c r="AX532" s="719"/>
      <c r="AY532" s="719"/>
      <c r="AZ532" s="719"/>
      <c r="BA532" s="719"/>
      <c r="BB532" s="719"/>
      <c r="BC532" s="719"/>
      <c r="BD532" s="719"/>
      <c r="BE532" s="719"/>
      <c r="BF532" s="719"/>
      <c r="BG532" s="719"/>
      <c r="BH532" s="719"/>
      <c r="BI532" s="719"/>
      <c r="BJ532" s="719"/>
    </row>
    <row r="533" spans="2:62" ht="15.75" customHeight="1">
      <c r="B533" s="497"/>
      <c r="C533" s="811"/>
      <c r="D533" s="811"/>
      <c r="E533" s="874"/>
      <c r="F533" s="878"/>
      <c r="G533" s="811"/>
      <c r="H533" s="874"/>
      <c r="I533" s="878"/>
      <c r="J533" s="878"/>
      <c r="K533" s="874"/>
      <c r="L533" s="878"/>
      <c r="M533" s="874"/>
      <c r="N533" s="878"/>
      <c r="O533" s="874"/>
      <c r="P533" s="878"/>
      <c r="Q533" s="874"/>
      <c r="R533" s="874"/>
      <c r="S533" s="874"/>
      <c r="T533" s="811"/>
      <c r="U533" s="811"/>
      <c r="V533" s="811"/>
      <c r="W533" s="811"/>
      <c r="X533" s="811"/>
      <c r="Y533" s="719"/>
      <c r="Z533" s="719"/>
      <c r="AA533" s="719"/>
      <c r="AB533" s="719"/>
      <c r="AC533" s="719"/>
      <c r="AD533" s="719"/>
      <c r="AE533" s="719"/>
      <c r="AF533" s="719"/>
      <c r="AG533" s="719"/>
      <c r="AH533" s="719"/>
      <c r="AI533" s="719"/>
      <c r="AJ533" s="719"/>
      <c r="AK533" s="719"/>
      <c r="AL533" s="719"/>
      <c r="AM533" s="719"/>
      <c r="AN533" s="719"/>
      <c r="AO533" s="719"/>
      <c r="AP533" s="719"/>
      <c r="AQ533" s="719"/>
      <c r="AR533" s="719"/>
      <c r="AS533" s="719"/>
      <c r="AT533" s="719"/>
      <c r="AU533" s="719"/>
      <c r="AV533" s="719"/>
      <c r="AW533" s="719"/>
      <c r="AX533" s="719"/>
      <c r="AY533" s="719"/>
      <c r="AZ533" s="719"/>
      <c r="BA533" s="719"/>
      <c r="BB533" s="719"/>
      <c r="BC533" s="719"/>
      <c r="BD533" s="719"/>
      <c r="BE533" s="719"/>
      <c r="BF533" s="719"/>
      <c r="BG533" s="719"/>
      <c r="BH533" s="719"/>
      <c r="BI533" s="719"/>
      <c r="BJ533" s="719"/>
    </row>
    <row r="534" spans="2:62" ht="15.75" customHeight="1">
      <c r="B534" s="497"/>
      <c r="C534" s="811"/>
      <c r="D534" s="811" t="s">
        <v>483</v>
      </c>
      <c r="E534" s="874"/>
      <c r="F534" s="878"/>
      <c r="G534" s="811"/>
      <c r="H534" s="874"/>
      <c r="I534" s="878"/>
      <c r="J534" s="878"/>
      <c r="K534" s="874"/>
      <c r="L534" s="878"/>
      <c r="M534" s="874"/>
      <c r="N534" s="878"/>
      <c r="O534" s="874"/>
      <c r="P534" s="878"/>
      <c r="Q534" s="874"/>
      <c r="R534" s="874"/>
      <c r="S534" s="874"/>
      <c r="T534" s="811"/>
      <c r="U534" s="811"/>
      <c r="V534" s="811"/>
      <c r="W534" s="811"/>
      <c r="X534" s="811"/>
      <c r="Y534" s="719"/>
      <c r="Z534" s="719"/>
      <c r="AA534" s="719"/>
      <c r="AB534" s="719"/>
      <c r="AC534" s="719"/>
      <c r="AD534" s="719"/>
      <c r="AE534" s="719"/>
      <c r="AF534" s="719"/>
      <c r="AG534" s="719"/>
      <c r="AH534" s="719"/>
      <c r="AI534" s="719"/>
      <c r="AJ534" s="719"/>
      <c r="AK534" s="719"/>
      <c r="AL534" s="719"/>
      <c r="AM534" s="719"/>
      <c r="AN534" s="719"/>
      <c r="AO534" s="719"/>
      <c r="AP534" s="719"/>
      <c r="AQ534" s="719"/>
      <c r="AR534" s="719"/>
      <c r="AS534" s="719"/>
      <c r="AT534" s="719"/>
      <c r="AU534" s="719"/>
      <c r="AV534" s="719"/>
      <c r="AW534" s="719"/>
      <c r="AX534" s="719"/>
      <c r="AY534" s="719"/>
      <c r="AZ534" s="719"/>
      <c r="BA534" s="719"/>
      <c r="BB534" s="719"/>
      <c r="BC534" s="719"/>
      <c r="BD534" s="719"/>
      <c r="BE534" s="719"/>
      <c r="BF534" s="719"/>
      <c r="BG534" s="719"/>
      <c r="BH534" s="719"/>
      <c r="BI534" s="719"/>
      <c r="BJ534" s="719"/>
    </row>
    <row r="535" spans="2:62" ht="15.75" customHeight="1">
      <c r="B535" s="497"/>
      <c r="C535" s="811"/>
      <c r="D535" s="811"/>
      <c r="E535" s="874" t="s">
        <v>494</v>
      </c>
      <c r="F535" s="878"/>
      <c r="G535" s="811"/>
      <c r="H535" s="874"/>
      <c r="I535" s="878"/>
      <c r="J535" s="878">
        <v>69410.94</v>
      </c>
      <c r="K535" s="874"/>
      <c r="L535" s="878"/>
      <c r="M535" s="874"/>
      <c r="N535" s="878"/>
      <c r="O535" s="874">
        <v>272816.23</v>
      </c>
      <c r="P535" s="878"/>
      <c r="Q535" s="874"/>
      <c r="R535" s="874"/>
      <c r="S535" s="874"/>
      <c r="T535" s="811"/>
      <c r="U535" s="811"/>
      <c r="V535" s="811"/>
      <c r="W535" s="811"/>
      <c r="X535" s="811"/>
      <c r="Y535" s="719"/>
      <c r="Z535" s="719"/>
      <c r="AA535" s="719"/>
      <c r="AB535" s="719"/>
      <c r="AC535" s="719"/>
      <c r="AD535" s="719"/>
      <c r="AE535" s="719"/>
      <c r="AF535" s="719"/>
      <c r="AG535" s="719"/>
      <c r="AH535" s="719"/>
      <c r="AI535" s="719"/>
      <c r="AJ535" s="719"/>
      <c r="AK535" s="719"/>
      <c r="AL535" s="719"/>
      <c r="AM535" s="719"/>
      <c r="AN535" s="719"/>
      <c r="AO535" s="719"/>
      <c r="AP535" s="719"/>
      <c r="AQ535" s="719"/>
      <c r="AR535" s="719"/>
      <c r="AS535" s="719"/>
      <c r="AT535" s="719"/>
      <c r="AU535" s="719"/>
      <c r="AV535" s="719"/>
      <c r="AW535" s="719"/>
      <c r="AX535" s="719"/>
      <c r="AY535" s="719"/>
      <c r="AZ535" s="719"/>
      <c r="BA535" s="719"/>
      <c r="BB535" s="719"/>
      <c r="BC535" s="719"/>
      <c r="BD535" s="719"/>
      <c r="BE535" s="719"/>
      <c r="BF535" s="719"/>
      <c r="BG535" s="719"/>
      <c r="BH535" s="719"/>
      <c r="BI535" s="719"/>
      <c r="BJ535" s="719"/>
    </row>
    <row r="536" spans="2:62" ht="15.75" customHeight="1">
      <c r="B536" s="497"/>
      <c r="C536" s="811"/>
      <c r="D536" s="811"/>
      <c r="E536" s="874" t="s">
        <v>495</v>
      </c>
      <c r="F536" s="878"/>
      <c r="G536" s="811"/>
      <c r="H536" s="874"/>
      <c r="I536" s="878"/>
      <c r="J536" s="878">
        <v>-18198.82</v>
      </c>
      <c r="K536" s="874">
        <v>0.26218950499733901</v>
      </c>
      <c r="L536" s="878"/>
      <c r="M536" s="874"/>
      <c r="N536" s="878"/>
      <c r="O536" s="874">
        <v>-78195.460000000006</v>
      </c>
      <c r="P536" s="878">
        <v>0.28662319686772303</v>
      </c>
      <c r="Q536" s="874"/>
      <c r="R536" s="874"/>
      <c r="S536" s="811"/>
      <c r="T536" s="811"/>
      <c r="U536" s="811"/>
      <c r="V536" s="811"/>
      <c r="W536" s="811"/>
      <c r="X536" s="811"/>
      <c r="Y536" s="719"/>
      <c r="Z536" s="719"/>
      <c r="AA536" s="719"/>
      <c r="AB536" s="719"/>
      <c r="AC536" s="719"/>
      <c r="AD536" s="719"/>
      <c r="AE536" s="719"/>
      <c r="AF536" s="719"/>
      <c r="AG536" s="719"/>
      <c r="AH536" s="719"/>
      <c r="AI536" s="719"/>
      <c r="AJ536" s="719"/>
      <c r="AK536" s="719"/>
      <c r="AL536" s="719"/>
      <c r="AM536" s="719"/>
      <c r="AN536" s="719"/>
      <c r="AO536" s="719"/>
      <c r="AP536" s="719"/>
      <c r="AQ536" s="719"/>
      <c r="AR536" s="719"/>
      <c r="AS536" s="719"/>
      <c r="AT536" s="719"/>
      <c r="AU536" s="719"/>
      <c r="AV536" s="719"/>
      <c r="AW536" s="719"/>
      <c r="AX536" s="719"/>
      <c r="AY536" s="719"/>
      <c r="AZ536" s="719"/>
      <c r="BA536" s="719"/>
      <c r="BB536" s="719"/>
      <c r="BC536" s="719"/>
      <c r="BD536" s="719"/>
      <c r="BE536" s="719"/>
      <c r="BF536" s="719"/>
      <c r="BG536" s="719"/>
      <c r="BH536" s="719"/>
      <c r="BI536" s="719"/>
      <c r="BJ536" s="719"/>
    </row>
    <row r="537" spans="2:62" ht="15.75" customHeight="1">
      <c r="B537" s="497"/>
      <c r="C537" s="811"/>
      <c r="D537" s="811"/>
      <c r="E537" s="874"/>
      <c r="F537" s="878"/>
      <c r="G537" s="811"/>
      <c r="H537" s="874"/>
      <c r="I537" s="878"/>
      <c r="J537" s="878">
        <v>51212.12</v>
      </c>
      <c r="K537" s="874">
        <v>0.73781049500266094</v>
      </c>
      <c r="L537" s="878"/>
      <c r="M537" s="874"/>
      <c r="N537" s="878"/>
      <c r="O537" s="874">
        <v>194620.76999999996</v>
      </c>
      <c r="P537" s="878">
        <v>0.71337680313227692</v>
      </c>
      <c r="Q537" s="874"/>
      <c r="R537" s="874"/>
      <c r="S537" s="874"/>
      <c r="T537" s="811"/>
      <c r="U537" s="811"/>
      <c r="V537" s="811"/>
      <c r="W537" s="811"/>
      <c r="X537" s="811"/>
      <c r="Y537" s="719"/>
      <c r="Z537" s="719"/>
      <c r="AA537" s="719"/>
      <c r="AB537" s="719"/>
      <c r="AC537" s="719"/>
      <c r="AD537" s="719"/>
      <c r="AE537" s="719"/>
      <c r="AF537" s="719"/>
      <c r="AG537" s="719"/>
      <c r="AH537" s="719"/>
      <c r="AI537" s="719"/>
      <c r="AJ537" s="719"/>
      <c r="AK537" s="719"/>
      <c r="AL537" s="719"/>
      <c r="AM537" s="719"/>
      <c r="AN537" s="719"/>
      <c r="AO537" s="719"/>
      <c r="AP537" s="719"/>
      <c r="AQ537" s="719"/>
      <c r="AR537" s="719"/>
      <c r="AS537" s="719"/>
      <c r="AT537" s="719"/>
      <c r="AU537" s="719"/>
      <c r="AV537" s="719"/>
      <c r="AW537" s="719"/>
      <c r="AX537" s="719"/>
      <c r="AY537" s="719"/>
      <c r="AZ537" s="719"/>
      <c r="BA537" s="719"/>
      <c r="BB537" s="719"/>
      <c r="BC537" s="719"/>
      <c r="BD537" s="719"/>
      <c r="BE537" s="719"/>
      <c r="BF537" s="719"/>
      <c r="BG537" s="719"/>
      <c r="BH537" s="719"/>
      <c r="BI537" s="719"/>
      <c r="BJ537" s="719"/>
    </row>
    <row r="538" spans="2:62" ht="15.75" customHeight="1">
      <c r="B538" s="497"/>
      <c r="C538" s="811"/>
      <c r="D538" s="811"/>
      <c r="E538" s="874"/>
      <c r="F538" s="879"/>
      <c r="G538" s="811"/>
      <c r="H538" s="874"/>
      <c r="I538" s="879"/>
      <c r="J538" s="878"/>
      <c r="K538" s="874"/>
      <c r="L538" s="878"/>
      <c r="M538" s="874"/>
      <c r="N538" s="878"/>
      <c r="O538" s="874"/>
      <c r="P538" s="811"/>
      <c r="Q538" s="811"/>
      <c r="R538" s="874"/>
      <c r="S538" s="874"/>
      <c r="T538" s="811"/>
      <c r="U538" s="811"/>
      <c r="V538" s="811"/>
      <c r="W538" s="811"/>
      <c r="X538" s="811"/>
      <c r="Y538" s="719"/>
      <c r="Z538" s="719"/>
      <c r="AA538" s="719"/>
      <c r="AB538" s="719"/>
      <c r="AC538" s="719"/>
      <c r="AD538" s="719"/>
      <c r="AE538" s="719"/>
      <c r="AF538" s="719"/>
      <c r="AG538" s="719"/>
      <c r="AH538" s="719"/>
      <c r="AI538" s="719"/>
      <c r="AJ538" s="719"/>
      <c r="AK538" s="719"/>
      <c r="AL538" s="719"/>
      <c r="AM538" s="719"/>
      <c r="AN538" s="719"/>
      <c r="AO538" s="719"/>
      <c r="AP538" s="719"/>
      <c r="AQ538" s="719"/>
      <c r="AR538" s="719"/>
      <c r="AS538" s="719"/>
      <c r="AT538" s="719"/>
      <c r="AU538" s="719"/>
      <c r="AV538" s="719"/>
      <c r="AW538" s="719"/>
      <c r="AX538" s="719"/>
      <c r="AY538" s="719"/>
      <c r="AZ538" s="719"/>
      <c r="BA538" s="719"/>
      <c r="BB538" s="719"/>
      <c r="BC538" s="719"/>
      <c r="BD538" s="719"/>
      <c r="BE538" s="719"/>
      <c r="BF538" s="719"/>
      <c r="BG538" s="719"/>
      <c r="BH538" s="719"/>
      <c r="BI538" s="719"/>
      <c r="BJ538" s="719"/>
    </row>
    <row r="539" spans="2:62" ht="15.75" customHeight="1">
      <c r="B539" s="497"/>
      <c r="C539" s="873"/>
      <c r="D539" s="873"/>
      <c r="E539" s="876"/>
      <c r="F539" s="880"/>
      <c r="G539" s="873"/>
      <c r="H539" s="876"/>
      <c r="I539" s="880"/>
      <c r="J539" s="880"/>
      <c r="K539" s="876"/>
      <c r="L539" s="880"/>
      <c r="M539" s="876"/>
      <c r="N539" s="880"/>
      <c r="O539" s="876"/>
      <c r="P539" s="880"/>
      <c r="Q539" s="876"/>
      <c r="R539" s="876"/>
      <c r="S539" s="873"/>
      <c r="T539" s="811"/>
      <c r="U539" s="811"/>
      <c r="V539" s="811"/>
      <c r="W539" s="811"/>
      <c r="X539" s="811"/>
      <c r="Y539" s="719"/>
      <c r="Z539" s="719"/>
      <c r="AA539" s="719"/>
      <c r="AB539" s="719"/>
      <c r="AC539" s="719"/>
      <c r="AD539" s="719"/>
      <c r="AE539" s="719"/>
      <c r="AF539" s="719"/>
      <c r="AG539" s="719"/>
      <c r="AH539" s="719"/>
      <c r="AI539" s="719"/>
      <c r="AJ539" s="719"/>
      <c r="AK539" s="719"/>
      <c r="AL539" s="719"/>
      <c r="AM539" s="719"/>
      <c r="AN539" s="719"/>
      <c r="AO539" s="719"/>
      <c r="AP539" s="719"/>
      <c r="AQ539" s="719"/>
      <c r="AR539" s="719"/>
      <c r="AS539" s="719"/>
      <c r="AT539" s="719"/>
      <c r="AU539" s="719"/>
      <c r="AV539" s="719"/>
      <c r="AW539" s="719"/>
      <c r="AX539" s="719"/>
      <c r="AY539" s="719"/>
      <c r="AZ539" s="719"/>
      <c r="BA539" s="719"/>
      <c r="BB539" s="719"/>
      <c r="BC539" s="719"/>
      <c r="BD539" s="719"/>
      <c r="BE539" s="719"/>
      <c r="BF539" s="719"/>
      <c r="BG539" s="719"/>
      <c r="BH539" s="719"/>
      <c r="BI539" s="719"/>
      <c r="BJ539" s="719"/>
    </row>
    <row r="540" spans="2:62" ht="15.75" customHeight="1">
      <c r="B540" s="497"/>
      <c r="C540" s="811"/>
      <c r="D540" s="811"/>
      <c r="E540" s="874"/>
      <c r="F540" s="811"/>
      <c r="G540" s="811"/>
      <c r="H540" s="874"/>
      <c r="I540" s="811"/>
      <c r="J540" s="878"/>
      <c r="K540" s="874"/>
      <c r="L540" s="878"/>
      <c r="M540" s="874"/>
      <c r="N540" s="878"/>
      <c r="O540" s="874"/>
      <c r="P540" s="873"/>
      <c r="Q540" s="880"/>
      <c r="R540" s="880"/>
      <c r="S540" s="811"/>
      <c r="T540" s="811"/>
      <c r="U540" s="811"/>
      <c r="V540" s="811"/>
      <c r="W540" s="811"/>
      <c r="X540" s="811"/>
      <c r="Y540" s="719"/>
      <c r="Z540" s="719"/>
      <c r="AA540" s="719"/>
      <c r="AB540" s="719"/>
      <c r="AC540" s="719"/>
      <c r="AD540" s="719"/>
      <c r="AE540" s="719"/>
      <c r="AF540" s="719"/>
      <c r="AG540" s="719"/>
      <c r="AH540" s="719"/>
      <c r="AI540" s="719"/>
      <c r="AJ540" s="719"/>
      <c r="AK540" s="719"/>
      <c r="AL540" s="719"/>
      <c r="AM540" s="719"/>
      <c r="AN540" s="719"/>
      <c r="AO540" s="719"/>
      <c r="AP540" s="719"/>
      <c r="AQ540" s="719"/>
      <c r="AR540" s="719"/>
      <c r="AS540" s="719"/>
      <c r="AT540" s="719"/>
      <c r="AU540" s="719"/>
      <c r="AV540" s="719"/>
      <c r="AW540" s="719"/>
      <c r="AX540" s="719"/>
      <c r="AY540" s="719"/>
      <c r="AZ540" s="719"/>
      <c r="BA540" s="719"/>
      <c r="BB540" s="719"/>
      <c r="BC540" s="719"/>
      <c r="BD540" s="719"/>
      <c r="BE540" s="719"/>
      <c r="BF540" s="719"/>
      <c r="BG540" s="719"/>
      <c r="BH540" s="719"/>
      <c r="BI540" s="719"/>
      <c r="BJ540" s="719"/>
    </row>
    <row r="541" spans="2:62" ht="15.75" customHeight="1">
      <c r="B541" s="497"/>
      <c r="C541" s="811"/>
      <c r="D541" s="811"/>
      <c r="E541" s="874"/>
      <c r="F541" s="811"/>
      <c r="G541" s="811"/>
      <c r="H541" s="874"/>
      <c r="I541" s="811"/>
      <c r="J541" s="878"/>
      <c r="K541" s="874"/>
      <c r="L541" s="878"/>
      <c r="M541" s="874"/>
      <c r="N541" s="878"/>
      <c r="O541" s="874"/>
      <c r="P541" s="811"/>
      <c r="Q541" s="811"/>
      <c r="R541" s="874"/>
      <c r="S541" s="811"/>
      <c r="T541" s="811"/>
      <c r="U541" s="811"/>
      <c r="V541" s="811"/>
      <c r="W541" s="811"/>
      <c r="X541" s="811"/>
      <c r="Y541" s="719"/>
      <c r="Z541" s="719"/>
      <c r="AA541" s="719"/>
      <c r="AB541" s="719"/>
      <c r="AC541" s="719"/>
      <c r="AD541" s="719"/>
      <c r="AE541" s="719"/>
      <c r="AF541" s="719"/>
      <c r="AG541" s="719"/>
      <c r="AH541" s="719"/>
      <c r="AI541" s="719"/>
      <c r="AJ541" s="719"/>
      <c r="AK541" s="719"/>
      <c r="AL541" s="719"/>
      <c r="AM541" s="719"/>
      <c r="AN541" s="719"/>
      <c r="AO541" s="719"/>
      <c r="AP541" s="719"/>
      <c r="AQ541" s="719"/>
      <c r="AR541" s="719"/>
      <c r="AS541" s="719"/>
      <c r="AT541" s="719"/>
      <c r="AU541" s="719"/>
      <c r="AV541" s="719"/>
      <c r="AW541" s="719"/>
      <c r="AX541" s="719"/>
      <c r="AY541" s="719"/>
      <c r="AZ541" s="719"/>
      <c r="BA541" s="719"/>
      <c r="BB541" s="719"/>
      <c r="BC541" s="719"/>
      <c r="BD541" s="719"/>
      <c r="BE541" s="719"/>
      <c r="BF541" s="719"/>
      <c r="BG541" s="719"/>
      <c r="BH541" s="719"/>
      <c r="BI541" s="719"/>
      <c r="BJ541" s="719"/>
    </row>
    <row r="542" spans="2:62" ht="15.75" customHeight="1">
      <c r="B542" s="497"/>
      <c r="C542" s="873"/>
      <c r="D542" s="811"/>
      <c r="E542" s="874"/>
      <c r="F542" s="811"/>
      <c r="G542" s="811"/>
      <c r="H542" s="874"/>
      <c r="I542" s="811"/>
      <c r="J542" s="878"/>
      <c r="K542" s="874"/>
      <c r="L542" s="878"/>
      <c r="M542" s="874"/>
      <c r="N542" s="878"/>
      <c r="O542" s="874"/>
      <c r="P542" s="811"/>
      <c r="Q542" s="811"/>
      <c r="R542" s="874"/>
      <c r="S542" s="811"/>
      <c r="T542" s="811"/>
      <c r="U542" s="811"/>
      <c r="V542" s="811"/>
      <c r="W542" s="811"/>
      <c r="X542" s="811"/>
      <c r="Y542" s="719"/>
      <c r="Z542" s="719"/>
      <c r="AA542" s="719"/>
      <c r="AB542" s="719"/>
      <c r="AC542" s="719"/>
      <c r="AD542" s="719"/>
      <c r="AE542" s="719"/>
      <c r="AF542" s="719"/>
      <c r="AG542" s="719"/>
      <c r="AH542" s="719"/>
      <c r="AI542" s="719"/>
      <c r="AJ542" s="719"/>
      <c r="AK542" s="719"/>
      <c r="AL542" s="719"/>
      <c r="AM542" s="719"/>
      <c r="AN542" s="719"/>
      <c r="AO542" s="719"/>
      <c r="AP542" s="719"/>
      <c r="AQ542" s="719"/>
      <c r="AR542" s="719"/>
      <c r="AS542" s="719"/>
      <c r="AT542" s="719"/>
      <c r="AU542" s="719"/>
      <c r="AV542" s="719"/>
      <c r="AW542" s="719"/>
      <c r="AX542" s="719"/>
      <c r="AY542" s="719"/>
      <c r="AZ542" s="719"/>
      <c r="BA542" s="719"/>
      <c r="BB542" s="719"/>
      <c r="BC542" s="719"/>
      <c r="BD542" s="719"/>
      <c r="BE542" s="719"/>
      <c r="BF542" s="719"/>
      <c r="BG542" s="719"/>
      <c r="BH542" s="719"/>
      <c r="BI542" s="719"/>
      <c r="BJ542" s="719"/>
    </row>
    <row r="543" spans="2:62" ht="15.75" customHeight="1">
      <c r="B543" s="497"/>
      <c r="C543" s="811"/>
      <c r="D543" s="811"/>
      <c r="E543" s="811"/>
      <c r="F543" s="811"/>
      <c r="G543" s="811"/>
      <c r="H543" s="811"/>
      <c r="I543" s="811"/>
      <c r="J543" s="811"/>
      <c r="K543" s="811"/>
      <c r="L543" s="811"/>
      <c r="M543" s="811"/>
      <c r="N543" s="811"/>
      <c r="O543" s="811"/>
      <c r="P543" s="811"/>
      <c r="Q543" s="811"/>
      <c r="R543" s="811"/>
      <c r="S543" s="811"/>
      <c r="T543" s="811"/>
      <c r="U543" s="811"/>
      <c r="V543" s="811"/>
      <c r="W543" s="811"/>
      <c r="X543" s="811"/>
      <c r="Y543" s="719"/>
      <c r="Z543" s="719"/>
      <c r="AA543" s="719"/>
      <c r="AB543" s="719"/>
      <c r="AC543" s="719"/>
      <c r="AD543" s="719"/>
      <c r="AE543" s="719"/>
      <c r="AF543" s="719"/>
      <c r="AG543" s="719"/>
      <c r="AH543" s="719"/>
      <c r="AI543" s="719"/>
      <c r="AJ543" s="719"/>
      <c r="AK543" s="719"/>
      <c r="AL543" s="719"/>
      <c r="AM543" s="719"/>
      <c r="AN543" s="719"/>
      <c r="AO543" s="719"/>
      <c r="AP543" s="719"/>
      <c r="AQ543" s="719"/>
      <c r="AR543" s="719"/>
      <c r="AS543" s="719"/>
      <c r="AT543" s="719"/>
      <c r="AU543" s="719"/>
      <c r="AV543" s="719"/>
      <c r="AW543" s="719"/>
      <c r="AX543" s="719"/>
      <c r="AY543" s="719"/>
      <c r="AZ543" s="719"/>
      <c r="BA543" s="719"/>
      <c r="BB543" s="719"/>
      <c r="BC543" s="719"/>
      <c r="BD543" s="719"/>
      <c r="BE543" s="719"/>
      <c r="BF543" s="719"/>
      <c r="BG543" s="719"/>
      <c r="BH543" s="719"/>
      <c r="BI543" s="719"/>
      <c r="BJ543" s="719"/>
    </row>
    <row r="544" spans="2:62" ht="15.75" customHeight="1">
      <c r="B544" s="497"/>
      <c r="C544" s="811"/>
      <c r="D544" s="811"/>
      <c r="E544" s="874"/>
      <c r="F544" s="878"/>
      <c r="G544" s="811"/>
      <c r="H544" s="874"/>
      <c r="I544" s="878"/>
      <c r="J544" s="878"/>
      <c r="K544" s="811"/>
      <c r="L544" s="878"/>
      <c r="M544" s="811"/>
      <c r="N544" s="878"/>
      <c r="O544" s="811"/>
      <c r="P544" s="878"/>
      <c r="Q544" s="874"/>
      <c r="R544" s="874"/>
      <c r="S544" s="811"/>
      <c r="T544" s="811"/>
      <c r="U544" s="811"/>
      <c r="V544" s="811"/>
      <c r="W544" s="811"/>
      <c r="X544" s="811"/>
      <c r="Y544" s="719"/>
      <c r="Z544" s="719"/>
      <c r="AA544" s="719"/>
      <c r="AB544" s="719"/>
      <c r="AC544" s="719"/>
      <c r="AD544" s="719"/>
      <c r="AE544" s="719"/>
      <c r="AF544" s="719"/>
      <c r="AG544" s="719"/>
      <c r="AH544" s="719"/>
      <c r="AI544" s="719"/>
      <c r="AJ544" s="719"/>
      <c r="AK544" s="719"/>
      <c r="AL544" s="719"/>
      <c r="AM544" s="719"/>
      <c r="AN544" s="719"/>
      <c r="AO544" s="719"/>
      <c r="AP544" s="719"/>
      <c r="AQ544" s="719"/>
      <c r="AR544" s="719"/>
      <c r="AS544" s="719"/>
      <c r="AT544" s="719"/>
      <c r="AU544" s="719"/>
      <c r="AV544" s="719"/>
      <c r="AW544" s="719"/>
      <c r="AX544" s="719"/>
      <c r="AY544" s="719"/>
      <c r="AZ544" s="719"/>
      <c r="BA544" s="719"/>
      <c r="BB544" s="719"/>
      <c r="BC544" s="719"/>
      <c r="BD544" s="719"/>
      <c r="BE544" s="719"/>
      <c r="BF544" s="719"/>
      <c r="BG544" s="719"/>
      <c r="BH544" s="719"/>
      <c r="BI544" s="719"/>
      <c r="BJ544" s="719"/>
    </row>
    <row r="545" spans="2:62" ht="15.75" customHeight="1">
      <c r="B545" s="497"/>
      <c r="C545" s="811"/>
      <c r="D545" s="811"/>
      <c r="E545" s="874"/>
      <c r="F545" s="879"/>
      <c r="G545" s="811"/>
      <c r="H545" s="874"/>
      <c r="I545" s="879"/>
      <c r="J545" s="878"/>
      <c r="K545" s="874"/>
      <c r="L545" s="878"/>
      <c r="M545" s="874"/>
      <c r="N545" s="878"/>
      <c r="O545" s="874"/>
      <c r="P545" s="811"/>
      <c r="Q545" s="878"/>
      <c r="R545" s="878"/>
      <c r="S545" s="874"/>
      <c r="T545" s="811"/>
      <c r="U545" s="811"/>
      <c r="V545" s="811"/>
      <c r="W545" s="811"/>
      <c r="X545" s="811"/>
      <c r="Y545" s="719"/>
      <c r="Z545" s="719"/>
      <c r="AA545" s="719"/>
      <c r="AB545" s="719"/>
      <c r="AC545" s="719"/>
      <c r="AD545" s="719"/>
      <c r="AE545" s="719"/>
      <c r="AF545" s="719"/>
      <c r="AG545" s="719"/>
      <c r="AH545" s="719"/>
      <c r="AI545" s="719"/>
      <c r="AJ545" s="719"/>
      <c r="AK545" s="719"/>
      <c r="AL545" s="719"/>
      <c r="AM545" s="719"/>
      <c r="AN545" s="719"/>
      <c r="AO545" s="719"/>
      <c r="AP545" s="719"/>
      <c r="AQ545" s="719"/>
      <c r="AR545" s="719"/>
      <c r="AS545" s="719"/>
      <c r="AT545" s="719"/>
      <c r="AU545" s="719"/>
      <c r="AV545" s="719"/>
      <c r="AW545" s="719"/>
      <c r="AX545" s="719"/>
      <c r="AY545" s="719"/>
      <c r="AZ545" s="719"/>
      <c r="BA545" s="719"/>
      <c r="BB545" s="719"/>
      <c r="BC545" s="719"/>
      <c r="BD545" s="719"/>
      <c r="BE545" s="719"/>
      <c r="BF545" s="719"/>
      <c r="BG545" s="719"/>
      <c r="BH545" s="719"/>
      <c r="BI545" s="719"/>
      <c r="BJ545" s="719"/>
    </row>
    <row r="546" spans="2:62" ht="15.75" customHeight="1">
      <c r="B546" s="497"/>
      <c r="C546" s="811"/>
      <c r="D546" s="811"/>
      <c r="E546" s="874"/>
      <c r="F546" s="879"/>
      <c r="G546" s="811"/>
      <c r="H546" s="874"/>
      <c r="I546" s="879"/>
      <c r="J546" s="878"/>
      <c r="K546" s="874"/>
      <c r="L546" s="878"/>
      <c r="M546" s="874"/>
      <c r="N546" s="878"/>
      <c r="O546" s="874"/>
      <c r="P546" s="811"/>
      <c r="Q546" s="811"/>
      <c r="R546" s="874"/>
      <c r="S546" s="874"/>
      <c r="T546" s="811"/>
      <c r="U546" s="811"/>
      <c r="V546" s="811"/>
      <c r="W546" s="811"/>
      <c r="X546" s="811"/>
      <c r="Y546" s="719"/>
      <c r="Z546" s="719"/>
      <c r="AA546" s="719"/>
      <c r="AB546" s="719"/>
      <c r="AC546" s="719"/>
      <c r="AD546" s="719"/>
      <c r="AE546" s="719"/>
      <c r="AF546" s="719"/>
      <c r="AG546" s="719"/>
      <c r="AH546" s="719"/>
      <c r="AI546" s="719"/>
      <c r="AJ546" s="719"/>
      <c r="AK546" s="719"/>
      <c r="AL546" s="719"/>
      <c r="AM546" s="719"/>
      <c r="AN546" s="719"/>
      <c r="AO546" s="719"/>
      <c r="AP546" s="719"/>
      <c r="AQ546" s="719"/>
      <c r="AR546" s="719"/>
      <c r="AS546" s="719"/>
      <c r="AT546" s="719"/>
      <c r="AU546" s="719"/>
      <c r="AV546" s="719"/>
      <c r="AW546" s="719"/>
      <c r="AX546" s="719"/>
      <c r="AY546" s="719"/>
      <c r="AZ546" s="719"/>
      <c r="BA546" s="719"/>
      <c r="BB546" s="719"/>
      <c r="BC546" s="719"/>
      <c r="BD546" s="719"/>
      <c r="BE546" s="719"/>
      <c r="BF546" s="719"/>
      <c r="BG546" s="719"/>
      <c r="BH546" s="719"/>
      <c r="BI546" s="719"/>
      <c r="BJ546" s="719"/>
    </row>
    <row r="547" spans="2:62" ht="15.75" customHeight="1">
      <c r="B547" s="497"/>
      <c r="C547" s="811"/>
      <c r="D547" s="811"/>
      <c r="E547" s="874"/>
      <c r="F547" s="878"/>
      <c r="G547" s="811"/>
      <c r="H547" s="874"/>
      <c r="I547" s="878"/>
      <c r="J547" s="878"/>
      <c r="K547" s="874"/>
      <c r="L547" s="878"/>
      <c r="M547" s="874"/>
      <c r="N547" s="878"/>
      <c r="O547" s="874"/>
      <c r="P547" s="811"/>
      <c r="Q547" s="811"/>
      <c r="R547" s="874"/>
      <c r="S547" s="811"/>
      <c r="T547" s="811"/>
      <c r="U547" s="811"/>
      <c r="V547" s="811"/>
      <c r="W547" s="811"/>
      <c r="X547" s="811"/>
      <c r="Y547" s="719"/>
      <c r="Z547" s="719"/>
      <c r="AA547" s="719"/>
      <c r="AB547" s="719"/>
      <c r="AC547" s="719"/>
      <c r="AD547" s="719"/>
      <c r="AE547" s="719"/>
      <c r="AF547" s="719"/>
      <c r="AG547" s="719"/>
      <c r="AH547" s="719"/>
      <c r="AI547" s="719"/>
      <c r="AJ547" s="719"/>
      <c r="AK547" s="719"/>
      <c r="AL547" s="719"/>
      <c r="AM547" s="719"/>
      <c r="AN547" s="719"/>
      <c r="AO547" s="719"/>
      <c r="AP547" s="719"/>
      <c r="AQ547" s="719"/>
      <c r="AR547" s="719"/>
      <c r="AS547" s="719"/>
      <c r="AT547" s="719"/>
      <c r="AU547" s="719"/>
      <c r="AV547" s="719"/>
      <c r="AW547" s="719"/>
      <c r="AX547" s="719"/>
      <c r="AY547" s="719"/>
      <c r="AZ547" s="719"/>
      <c r="BA547" s="719"/>
      <c r="BB547" s="719"/>
      <c r="BC547" s="719"/>
      <c r="BD547" s="719"/>
      <c r="BE547" s="719"/>
      <c r="BF547" s="719"/>
      <c r="BG547" s="719"/>
      <c r="BH547" s="719"/>
      <c r="BI547" s="719"/>
      <c r="BJ547" s="719"/>
    </row>
    <row r="548" spans="2:62" ht="15.75" customHeight="1">
      <c r="B548" s="497"/>
      <c r="C548" s="873"/>
      <c r="D548" s="873"/>
      <c r="E548" s="876"/>
      <c r="F548" s="880"/>
      <c r="G548" s="873"/>
      <c r="H548" s="876"/>
      <c r="I548" s="880"/>
      <c r="J548" s="880"/>
      <c r="K548" s="876"/>
      <c r="L548" s="880"/>
      <c r="M548" s="876"/>
      <c r="N548" s="880"/>
      <c r="O548" s="876"/>
      <c r="P548" s="880"/>
      <c r="Q548" s="873"/>
      <c r="R548" s="876"/>
      <c r="S548" s="873"/>
      <c r="T548" s="811"/>
      <c r="U548" s="811"/>
      <c r="V548" s="811"/>
      <c r="W548" s="811"/>
      <c r="X548" s="811"/>
      <c r="Y548" s="719"/>
      <c r="Z548" s="719"/>
      <c r="AA548" s="719"/>
      <c r="AB548" s="719"/>
      <c r="AC548" s="719"/>
      <c r="AD548" s="719"/>
      <c r="AE548" s="719"/>
      <c r="AF548" s="719"/>
      <c r="AG548" s="719"/>
      <c r="AH548" s="719"/>
      <c r="AI548" s="719"/>
      <c r="AJ548" s="719"/>
      <c r="AK548" s="719"/>
      <c r="AL548" s="719"/>
      <c r="AM548" s="719"/>
      <c r="AN548" s="719"/>
      <c r="AO548" s="719"/>
      <c r="AP548" s="719"/>
      <c r="AQ548" s="719"/>
      <c r="AR548" s="719"/>
      <c r="AS548" s="719"/>
      <c r="AT548" s="719"/>
      <c r="AU548" s="719"/>
      <c r="AV548" s="719"/>
      <c r="AW548" s="719"/>
      <c r="AX548" s="719"/>
      <c r="AY548" s="719"/>
      <c r="AZ548" s="719"/>
      <c r="BA548" s="719"/>
      <c r="BB548" s="719"/>
      <c r="BC548" s="719"/>
      <c r="BD548" s="719"/>
      <c r="BE548" s="719"/>
      <c r="BF548" s="719"/>
      <c r="BG548" s="719"/>
      <c r="BH548" s="719"/>
      <c r="BI548" s="719"/>
      <c r="BJ548" s="719"/>
    </row>
    <row r="549" spans="2:62" ht="15.75" customHeight="1">
      <c r="B549" s="497"/>
      <c r="C549" s="811"/>
      <c r="D549" s="811"/>
      <c r="E549" s="811"/>
      <c r="F549" s="811"/>
      <c r="G549" s="811"/>
      <c r="H549" s="811"/>
      <c r="I549" s="811"/>
      <c r="J549" s="811"/>
      <c r="K549" s="811"/>
      <c r="L549" s="811"/>
      <c r="M549" s="811"/>
      <c r="N549" s="811"/>
      <c r="O549" s="811"/>
      <c r="P549" s="873"/>
      <c r="Q549" s="880"/>
      <c r="R549" s="880"/>
      <c r="S549" s="811"/>
      <c r="T549" s="811"/>
      <c r="U549" s="811"/>
      <c r="V549" s="811"/>
      <c r="W549" s="811"/>
      <c r="X549" s="811"/>
      <c r="Y549" s="719"/>
      <c r="Z549" s="719"/>
      <c r="AA549" s="719"/>
      <c r="AB549" s="719"/>
      <c r="AC549" s="719"/>
      <c r="AD549" s="719"/>
      <c r="AE549" s="719"/>
      <c r="AF549" s="719"/>
      <c r="AG549" s="719"/>
      <c r="AH549" s="719"/>
      <c r="AI549" s="719"/>
      <c r="AJ549" s="719"/>
      <c r="AK549" s="719"/>
      <c r="AL549" s="719"/>
      <c r="AM549" s="719"/>
      <c r="AN549" s="719"/>
      <c r="AO549" s="719"/>
      <c r="AP549" s="719"/>
      <c r="AQ549" s="719"/>
      <c r="AR549" s="719"/>
      <c r="AS549" s="719"/>
      <c r="AT549" s="719"/>
      <c r="AU549" s="719"/>
      <c r="AV549" s="719"/>
      <c r="AW549" s="719"/>
      <c r="AX549" s="719"/>
      <c r="AY549" s="719"/>
      <c r="AZ549" s="719"/>
      <c r="BA549" s="719"/>
      <c r="BB549" s="719"/>
      <c r="BC549" s="719"/>
      <c r="BD549" s="719"/>
      <c r="BE549" s="719"/>
      <c r="BF549" s="719"/>
      <c r="BG549" s="719"/>
      <c r="BH549" s="719"/>
      <c r="BI549" s="719"/>
      <c r="BJ549" s="719"/>
    </row>
    <row r="550" spans="2:62" ht="15.75" customHeight="1">
      <c r="B550" s="497"/>
      <c r="C550" s="811"/>
      <c r="D550" s="811"/>
      <c r="E550" s="874"/>
      <c r="F550" s="878"/>
      <c r="G550" s="811"/>
      <c r="H550" s="874"/>
      <c r="I550" s="878"/>
      <c r="J550" s="878"/>
      <c r="K550" s="874"/>
      <c r="L550" s="878"/>
      <c r="M550" s="874"/>
      <c r="N550" s="878"/>
      <c r="O550" s="874"/>
      <c r="P550" s="811"/>
      <c r="Q550" s="811"/>
      <c r="R550" s="874"/>
      <c r="S550" s="811"/>
      <c r="T550" s="811"/>
      <c r="U550" s="811"/>
      <c r="V550" s="811"/>
      <c r="W550" s="811"/>
      <c r="X550" s="811"/>
      <c r="Y550" s="719"/>
      <c r="Z550" s="719"/>
      <c r="AA550" s="719"/>
      <c r="AB550" s="719"/>
      <c r="AC550" s="719"/>
      <c r="AD550" s="719"/>
      <c r="AE550" s="719"/>
      <c r="AF550" s="719"/>
      <c r="AG550" s="719"/>
      <c r="AH550" s="719"/>
      <c r="AI550" s="719"/>
      <c r="AJ550" s="719"/>
      <c r="AK550" s="719"/>
      <c r="AL550" s="719"/>
      <c r="AM550" s="719"/>
      <c r="AN550" s="719"/>
      <c r="AO550" s="719"/>
      <c r="AP550" s="719"/>
      <c r="AQ550" s="719"/>
      <c r="AR550" s="719"/>
      <c r="AS550" s="719"/>
      <c r="AT550" s="719"/>
      <c r="AU550" s="719"/>
      <c r="AV550" s="719"/>
      <c r="AW550" s="719"/>
      <c r="AX550" s="719"/>
      <c r="AY550" s="719"/>
      <c r="AZ550" s="719"/>
      <c r="BA550" s="719"/>
      <c r="BB550" s="719"/>
      <c r="BC550" s="719"/>
      <c r="BD550" s="719"/>
      <c r="BE550" s="719"/>
      <c r="BF550" s="719"/>
      <c r="BG550" s="719"/>
      <c r="BH550" s="719"/>
      <c r="BI550" s="719"/>
      <c r="BJ550" s="719"/>
    </row>
    <row r="551" spans="2:62" ht="15.75" customHeight="1">
      <c r="B551" s="497"/>
      <c r="C551" s="873"/>
      <c r="D551" s="811"/>
      <c r="E551" s="874"/>
      <c r="F551" s="878"/>
      <c r="G551" s="811"/>
      <c r="H551" s="874"/>
      <c r="I551" s="878"/>
      <c r="J551" s="878"/>
      <c r="K551" s="874"/>
      <c r="L551" s="878"/>
      <c r="M551" s="874"/>
      <c r="N551" s="878"/>
      <c r="O551" s="874"/>
      <c r="P551" s="811"/>
      <c r="Q551" s="811"/>
      <c r="R551" s="874"/>
      <c r="S551" s="811"/>
      <c r="T551" s="811"/>
      <c r="U551" s="811"/>
      <c r="V551" s="811"/>
      <c r="W551" s="811"/>
      <c r="X551" s="811"/>
      <c r="Y551" s="719"/>
      <c r="Z551" s="719"/>
      <c r="AA551" s="719"/>
      <c r="AB551" s="719"/>
      <c r="AC551" s="719"/>
      <c r="AD551" s="719"/>
      <c r="AE551" s="719"/>
      <c r="AF551" s="719"/>
      <c r="AG551" s="719"/>
      <c r="AH551" s="719"/>
      <c r="AI551" s="719"/>
      <c r="AJ551" s="719"/>
      <c r="AK551" s="719"/>
      <c r="AL551" s="719"/>
      <c r="AM551" s="719"/>
      <c r="AN551" s="719"/>
      <c r="AO551" s="719"/>
      <c r="AP551" s="719"/>
      <c r="AQ551" s="719"/>
      <c r="AR551" s="719"/>
      <c r="AS551" s="719"/>
      <c r="AT551" s="719"/>
      <c r="AU551" s="719"/>
      <c r="AV551" s="719"/>
      <c r="AW551" s="719"/>
      <c r="AX551" s="719"/>
      <c r="AY551" s="719"/>
      <c r="AZ551" s="719"/>
      <c r="BA551" s="719"/>
      <c r="BB551" s="719"/>
      <c r="BC551" s="719"/>
      <c r="BD551" s="719"/>
      <c r="BE551" s="719"/>
      <c r="BF551" s="719"/>
      <c r="BG551" s="719"/>
      <c r="BH551" s="719"/>
      <c r="BI551" s="719"/>
      <c r="BJ551" s="719"/>
    </row>
    <row r="552" spans="2:62" ht="15.75" customHeight="1">
      <c r="B552" s="497"/>
      <c r="C552" s="811"/>
      <c r="D552" s="811"/>
      <c r="E552" s="874"/>
      <c r="F552" s="878"/>
      <c r="G552" s="811"/>
      <c r="H552" s="874"/>
      <c r="I552" s="878"/>
      <c r="J552" s="878"/>
      <c r="K552" s="874"/>
      <c r="L552" s="878"/>
      <c r="M552" s="874"/>
      <c r="N552" s="878"/>
      <c r="O552" s="874"/>
      <c r="P552" s="811"/>
      <c r="Q552" s="811"/>
      <c r="R552" s="874"/>
      <c r="S552" s="811"/>
      <c r="T552" s="811"/>
      <c r="U552" s="811"/>
      <c r="V552" s="811"/>
      <c r="W552" s="811"/>
      <c r="X552" s="811"/>
      <c r="Y552" s="719"/>
      <c r="Z552" s="719"/>
      <c r="AA552" s="719"/>
      <c r="AB552" s="719"/>
      <c r="AC552" s="719"/>
      <c r="AD552" s="719"/>
      <c r="AE552" s="719"/>
      <c r="AF552" s="719"/>
      <c r="AG552" s="719"/>
      <c r="AH552" s="719"/>
      <c r="AI552" s="719"/>
      <c r="AJ552" s="719"/>
      <c r="AK552" s="719"/>
      <c r="AL552" s="719"/>
      <c r="AM552" s="719"/>
      <c r="AN552" s="719"/>
      <c r="AO552" s="719"/>
      <c r="AP552" s="719"/>
      <c r="AQ552" s="719"/>
      <c r="AR552" s="719"/>
      <c r="AS552" s="719"/>
      <c r="AT552" s="719"/>
      <c r="AU552" s="719"/>
      <c r="AV552" s="719"/>
      <c r="AW552" s="719"/>
      <c r="AX552" s="719"/>
      <c r="AY552" s="719"/>
      <c r="AZ552" s="719"/>
      <c r="BA552" s="719"/>
      <c r="BB552" s="719"/>
      <c r="BC552" s="719"/>
      <c r="BD552" s="719"/>
      <c r="BE552" s="719"/>
      <c r="BF552" s="719"/>
      <c r="BG552" s="719"/>
      <c r="BH552" s="719"/>
      <c r="BI552" s="719"/>
      <c r="BJ552" s="719"/>
    </row>
    <row r="553" spans="2:62" ht="15.75" customHeight="1">
      <c r="B553" s="497"/>
      <c r="C553" s="811"/>
      <c r="D553" s="811"/>
      <c r="E553" s="811"/>
      <c r="F553" s="811"/>
      <c r="G553" s="811"/>
      <c r="H553" s="811"/>
      <c r="I553" s="811"/>
      <c r="J553" s="811"/>
      <c r="K553" s="811"/>
      <c r="L553" s="811"/>
      <c r="M553" s="811"/>
      <c r="N553" s="811"/>
      <c r="O553" s="811"/>
      <c r="P553" s="878"/>
      <c r="Q553" s="874"/>
      <c r="R553" s="811"/>
      <c r="S553" s="874"/>
      <c r="T553" s="811"/>
      <c r="U553" s="811"/>
      <c r="V553" s="811"/>
      <c r="W553" s="811"/>
      <c r="X553" s="811"/>
      <c r="Y553" s="719"/>
      <c r="Z553" s="719"/>
      <c r="AA553" s="719"/>
      <c r="AB553" s="719"/>
      <c r="AC553" s="719"/>
      <c r="AD553" s="719"/>
      <c r="AE553" s="719"/>
      <c r="AF553" s="719"/>
      <c r="AG553" s="719"/>
      <c r="AH553" s="719"/>
      <c r="AI553" s="719"/>
      <c r="AJ553" s="719"/>
      <c r="AK553" s="719"/>
      <c r="AL553" s="719"/>
      <c r="AM553" s="719"/>
      <c r="AN553" s="719"/>
      <c r="AO553" s="719"/>
      <c r="AP553" s="719"/>
      <c r="AQ553" s="719"/>
      <c r="AR553" s="719"/>
      <c r="AS553" s="719"/>
      <c r="AT553" s="719"/>
      <c r="AU553" s="719"/>
      <c r="AV553" s="719"/>
      <c r="AW553" s="719"/>
      <c r="AX553" s="719"/>
      <c r="AY553" s="719"/>
      <c r="AZ553" s="719"/>
      <c r="BA553" s="719"/>
      <c r="BB553" s="719"/>
      <c r="BC553" s="719"/>
      <c r="BD553" s="719"/>
      <c r="BE553" s="719"/>
      <c r="BF553" s="719"/>
      <c r="BG553" s="719"/>
      <c r="BH553" s="719"/>
      <c r="BI553" s="719"/>
      <c r="BJ553" s="719"/>
    </row>
    <row r="554" spans="2:62" ht="15.75" customHeight="1">
      <c r="B554" s="497"/>
      <c r="C554" s="811"/>
      <c r="D554" s="811"/>
      <c r="E554" s="811"/>
      <c r="F554" s="811"/>
      <c r="G554" s="811"/>
      <c r="H554" s="811"/>
      <c r="I554" s="811"/>
      <c r="J554" s="811"/>
      <c r="K554" s="811"/>
      <c r="L554" s="811"/>
      <c r="M554" s="811"/>
      <c r="N554" s="811"/>
      <c r="O554" s="811"/>
      <c r="P554" s="878"/>
      <c r="Q554" s="874"/>
      <c r="R554" s="811"/>
      <c r="S554" s="874"/>
      <c r="T554" s="811"/>
      <c r="U554" s="811"/>
      <c r="V554" s="811"/>
      <c r="W554" s="811"/>
      <c r="X554" s="811"/>
      <c r="Y554" s="719"/>
      <c r="Z554" s="719"/>
      <c r="AA554" s="719"/>
      <c r="AB554" s="719"/>
      <c r="AC554" s="719"/>
      <c r="AD554" s="719"/>
      <c r="AE554" s="719"/>
      <c r="AF554" s="719"/>
      <c r="AG554" s="719"/>
      <c r="AH554" s="719"/>
      <c r="AI554" s="719"/>
      <c r="AJ554" s="719"/>
      <c r="AK554" s="719"/>
      <c r="AL554" s="719"/>
      <c r="AM554" s="719"/>
      <c r="AN554" s="719"/>
      <c r="AO554" s="719"/>
      <c r="AP554" s="719"/>
      <c r="AQ554" s="719"/>
      <c r="AR554" s="719"/>
      <c r="AS554" s="719"/>
      <c r="AT554" s="719"/>
      <c r="AU554" s="719"/>
      <c r="AV554" s="719"/>
      <c r="AW554" s="719"/>
      <c r="AX554" s="719"/>
      <c r="AY554" s="719"/>
      <c r="AZ554" s="719"/>
      <c r="BA554" s="719"/>
      <c r="BB554" s="719"/>
      <c r="BC554" s="719"/>
      <c r="BD554" s="719"/>
      <c r="BE554" s="719"/>
      <c r="BF554" s="719"/>
      <c r="BG554" s="719"/>
      <c r="BH554" s="719"/>
      <c r="BI554" s="719"/>
      <c r="BJ554" s="719"/>
    </row>
    <row r="555" spans="2:62" ht="15.75" customHeight="1">
      <c r="B555" s="497"/>
      <c r="C555" s="811"/>
      <c r="D555" s="811"/>
      <c r="E555" s="811"/>
      <c r="F555" s="811"/>
      <c r="G555" s="811"/>
      <c r="H555" s="811"/>
      <c r="I555" s="811"/>
      <c r="J555" s="811"/>
      <c r="K555" s="811"/>
      <c r="L555" s="811"/>
      <c r="M555" s="811"/>
      <c r="N555" s="811"/>
      <c r="O555" s="811"/>
      <c r="P555" s="878"/>
      <c r="Q555" s="874"/>
      <c r="R555" s="811"/>
      <c r="S555" s="874"/>
      <c r="T555" s="811"/>
      <c r="U555" s="811"/>
      <c r="V555" s="811"/>
      <c r="W555" s="811"/>
      <c r="X555" s="811"/>
      <c r="Y555" s="719"/>
      <c r="Z555" s="719"/>
      <c r="AA555" s="719"/>
      <c r="AB555" s="719"/>
      <c r="AC555" s="719"/>
      <c r="AD555" s="719"/>
      <c r="AE555" s="719"/>
      <c r="AF555" s="719"/>
      <c r="AG555" s="719"/>
      <c r="AH555" s="719"/>
      <c r="AI555" s="719"/>
      <c r="AJ555" s="719"/>
      <c r="AK555" s="719"/>
      <c r="AL555" s="719"/>
      <c r="AM555" s="719"/>
      <c r="AN555" s="719"/>
      <c r="AO555" s="719"/>
      <c r="AP555" s="719"/>
      <c r="AQ555" s="719"/>
      <c r="AR555" s="719"/>
      <c r="AS555" s="719"/>
      <c r="AT555" s="719"/>
      <c r="AU555" s="719"/>
      <c r="AV555" s="719"/>
      <c r="AW555" s="719"/>
      <c r="AX555" s="719"/>
      <c r="AY555" s="719"/>
      <c r="AZ555" s="719"/>
      <c r="BA555" s="719"/>
      <c r="BB555" s="719"/>
      <c r="BC555" s="719"/>
      <c r="BD555" s="719"/>
      <c r="BE555" s="719"/>
      <c r="BF555" s="719"/>
      <c r="BG555" s="719"/>
      <c r="BH555" s="719"/>
      <c r="BI555" s="719"/>
      <c r="BJ555" s="719"/>
    </row>
    <row r="556" spans="2:62" ht="15.75" customHeight="1">
      <c r="B556" s="497"/>
      <c r="C556" s="811"/>
      <c r="D556" s="811"/>
      <c r="E556" s="811"/>
      <c r="F556" s="811"/>
      <c r="G556" s="811"/>
      <c r="H556" s="811"/>
      <c r="I556" s="811"/>
      <c r="J556" s="811"/>
      <c r="K556" s="811"/>
      <c r="L556" s="811"/>
      <c r="M556" s="811"/>
      <c r="N556" s="811"/>
      <c r="O556" s="811"/>
      <c r="P556" s="878"/>
      <c r="Q556" s="874"/>
      <c r="R556" s="811"/>
      <c r="S556" s="874"/>
      <c r="T556" s="811"/>
      <c r="U556" s="811"/>
      <c r="V556" s="811"/>
      <c r="W556" s="811"/>
      <c r="X556" s="811"/>
      <c r="Y556" s="719"/>
      <c r="Z556" s="719"/>
      <c r="AA556" s="719"/>
      <c r="AB556" s="719"/>
      <c r="AC556" s="719"/>
      <c r="AD556" s="719"/>
      <c r="AE556" s="719"/>
      <c r="AF556" s="719"/>
      <c r="AG556" s="719"/>
      <c r="AH556" s="719"/>
      <c r="AI556" s="719"/>
      <c r="AJ556" s="719"/>
      <c r="AK556" s="719"/>
      <c r="AL556" s="719"/>
      <c r="AM556" s="719"/>
      <c r="AN556" s="719"/>
      <c r="AO556" s="719"/>
      <c r="AP556" s="719"/>
      <c r="AQ556" s="719"/>
      <c r="AR556" s="719"/>
      <c r="AS556" s="719"/>
      <c r="AT556" s="719"/>
      <c r="AU556" s="719"/>
      <c r="AV556" s="719"/>
      <c r="AW556" s="719"/>
      <c r="AX556" s="719"/>
      <c r="AY556" s="719"/>
      <c r="AZ556" s="719"/>
      <c r="BA556" s="719"/>
      <c r="BB556" s="719"/>
      <c r="BC556" s="719"/>
      <c r="BD556" s="719"/>
      <c r="BE556" s="719"/>
      <c r="BF556" s="719"/>
      <c r="BG556" s="719"/>
      <c r="BH556" s="719"/>
      <c r="BI556" s="719"/>
      <c r="BJ556" s="719"/>
    </row>
    <row r="557" spans="2:62" ht="15.75" customHeight="1">
      <c r="B557" s="497"/>
      <c r="C557" s="811"/>
      <c r="D557" s="811"/>
      <c r="E557" s="811"/>
      <c r="F557" s="811"/>
      <c r="G557" s="811"/>
      <c r="H557" s="811"/>
      <c r="I557" s="811"/>
      <c r="J557" s="811"/>
      <c r="K557" s="811"/>
      <c r="L557" s="811"/>
      <c r="M557" s="811"/>
      <c r="N557" s="811"/>
      <c r="O557" s="811"/>
      <c r="P557" s="878"/>
      <c r="Q557" s="874"/>
      <c r="R557" s="811"/>
      <c r="S557" s="874"/>
      <c r="T557" s="811"/>
      <c r="U557" s="811"/>
      <c r="V557" s="811"/>
      <c r="W557" s="811"/>
      <c r="X557" s="811"/>
      <c r="Y557" s="719"/>
      <c r="Z557" s="719"/>
      <c r="AA557" s="719"/>
      <c r="AB557" s="719"/>
      <c r="AC557" s="719"/>
      <c r="AD557" s="719"/>
      <c r="AE557" s="719"/>
      <c r="AF557" s="719"/>
      <c r="AG557" s="719"/>
      <c r="AH557" s="719"/>
      <c r="AI557" s="719"/>
      <c r="AJ557" s="719"/>
      <c r="AK557" s="719"/>
      <c r="AL557" s="719"/>
      <c r="AM557" s="719"/>
      <c r="AN557" s="719"/>
      <c r="AO557" s="719"/>
      <c r="AP557" s="719"/>
      <c r="AQ557" s="719"/>
      <c r="AR557" s="719"/>
      <c r="AS557" s="719"/>
      <c r="AT557" s="719"/>
      <c r="AU557" s="719"/>
      <c r="AV557" s="719"/>
      <c r="AW557" s="719"/>
      <c r="AX557" s="719"/>
      <c r="AY557" s="719"/>
      <c r="AZ557" s="719"/>
      <c r="BA557" s="719"/>
      <c r="BB557" s="719"/>
      <c r="BC557" s="719"/>
      <c r="BD557" s="719"/>
      <c r="BE557" s="719"/>
      <c r="BF557" s="719"/>
      <c r="BG557" s="719"/>
      <c r="BH557" s="719"/>
      <c r="BI557" s="719"/>
      <c r="BJ557" s="719"/>
    </row>
    <row r="558" spans="2:62" ht="15.75" customHeight="1">
      <c r="B558" s="497"/>
      <c r="C558" s="811"/>
      <c r="D558" s="811"/>
      <c r="E558" s="811"/>
      <c r="F558" s="811"/>
      <c r="G558" s="811"/>
      <c r="H558" s="811"/>
      <c r="I558" s="811"/>
      <c r="J558" s="811"/>
      <c r="K558" s="811"/>
      <c r="L558" s="811"/>
      <c r="M558" s="811"/>
      <c r="N558" s="811"/>
      <c r="O558" s="811"/>
      <c r="P558" s="878"/>
      <c r="Q558" s="874"/>
      <c r="R558" s="811"/>
      <c r="S558" s="874"/>
      <c r="T558" s="811"/>
      <c r="U558" s="811"/>
      <c r="V558" s="811"/>
      <c r="W558" s="811"/>
      <c r="X558" s="811"/>
      <c r="Y558" s="719"/>
      <c r="Z558" s="719"/>
      <c r="AA558" s="719"/>
      <c r="AB558" s="719"/>
      <c r="AC558" s="719"/>
      <c r="AD558" s="719"/>
      <c r="AE558" s="719"/>
      <c r="AF558" s="719"/>
      <c r="AG558" s="719"/>
      <c r="AH558" s="719"/>
      <c r="AI558" s="719"/>
      <c r="AJ558" s="719"/>
      <c r="AK558" s="719"/>
      <c r="AL558" s="719"/>
      <c r="AM558" s="719"/>
      <c r="AN558" s="719"/>
      <c r="AO558" s="719"/>
      <c r="AP558" s="719"/>
      <c r="AQ558" s="719"/>
      <c r="AR558" s="719"/>
      <c r="AS558" s="719"/>
      <c r="AT558" s="719"/>
      <c r="AU558" s="719"/>
      <c r="AV558" s="719"/>
      <c r="AW558" s="719"/>
      <c r="AX558" s="719"/>
      <c r="AY558" s="719"/>
      <c r="AZ558" s="719"/>
      <c r="BA558" s="719"/>
      <c r="BB558" s="719"/>
      <c r="BC558" s="719"/>
      <c r="BD558" s="719"/>
      <c r="BE558" s="719"/>
      <c r="BF558" s="719"/>
      <c r="BG558" s="719"/>
      <c r="BH558" s="719"/>
      <c r="BI558" s="719"/>
      <c r="BJ558" s="719"/>
    </row>
    <row r="559" spans="2:62" ht="15.75" customHeight="1">
      <c r="B559" s="497"/>
      <c r="C559" s="811"/>
      <c r="D559" s="811"/>
      <c r="E559" s="811"/>
      <c r="F559" s="811"/>
      <c r="G559" s="811"/>
      <c r="H559" s="811"/>
      <c r="I559" s="811"/>
      <c r="J559" s="811"/>
      <c r="K559" s="811"/>
      <c r="L559" s="811"/>
      <c r="M559" s="811"/>
      <c r="N559" s="811"/>
      <c r="O559" s="811"/>
      <c r="P559" s="878"/>
      <c r="Q559" s="874"/>
      <c r="R559" s="811"/>
      <c r="S559" s="874"/>
      <c r="T559" s="811"/>
      <c r="U559" s="811"/>
      <c r="V559" s="811"/>
      <c r="W559" s="811"/>
      <c r="X559" s="811"/>
      <c r="Y559" s="719"/>
      <c r="Z559" s="719"/>
      <c r="AA559" s="719"/>
      <c r="AB559" s="719"/>
      <c r="AC559" s="719"/>
      <c r="AD559" s="719"/>
      <c r="AE559" s="719"/>
      <c r="AF559" s="719"/>
      <c r="AG559" s="719"/>
      <c r="AH559" s="719"/>
      <c r="AI559" s="719"/>
      <c r="AJ559" s="719"/>
      <c r="AK559" s="719"/>
      <c r="AL559" s="719"/>
      <c r="AM559" s="719"/>
      <c r="AN559" s="719"/>
      <c r="AO559" s="719"/>
      <c r="AP559" s="719"/>
      <c r="AQ559" s="719"/>
      <c r="AR559" s="719"/>
      <c r="AS559" s="719"/>
      <c r="AT559" s="719"/>
      <c r="AU559" s="719"/>
      <c r="AV559" s="719"/>
      <c r="AW559" s="719"/>
      <c r="AX559" s="719"/>
      <c r="AY559" s="719"/>
      <c r="AZ559" s="719"/>
      <c r="BA559" s="719"/>
      <c r="BB559" s="719"/>
      <c r="BC559" s="719"/>
      <c r="BD559" s="719"/>
      <c r="BE559" s="719"/>
      <c r="BF559" s="719"/>
      <c r="BG559" s="719"/>
      <c r="BH559" s="719"/>
      <c r="BI559" s="719"/>
      <c r="BJ559" s="719"/>
    </row>
    <row r="560" spans="2:62" ht="15.75" customHeight="1">
      <c r="B560" s="497"/>
      <c r="C560" s="811"/>
      <c r="D560" s="811"/>
      <c r="E560" s="811"/>
      <c r="F560" s="811"/>
      <c r="G560" s="811"/>
      <c r="H560" s="811"/>
      <c r="I560" s="811"/>
      <c r="J560" s="811"/>
      <c r="K560" s="811"/>
      <c r="L560" s="811"/>
      <c r="M560" s="811"/>
      <c r="N560" s="811"/>
      <c r="O560" s="811"/>
      <c r="P560" s="878"/>
      <c r="Q560" s="874"/>
      <c r="R560" s="811"/>
      <c r="S560" s="874"/>
      <c r="T560" s="811"/>
      <c r="U560" s="811"/>
      <c r="V560" s="811"/>
      <c r="W560" s="811"/>
      <c r="X560" s="811"/>
      <c r="Y560" s="719"/>
      <c r="Z560" s="719"/>
      <c r="AA560" s="719"/>
      <c r="AB560" s="719"/>
      <c r="AC560" s="719"/>
      <c r="AD560" s="719"/>
      <c r="AE560" s="719"/>
      <c r="AF560" s="719"/>
      <c r="AG560" s="719"/>
      <c r="AH560" s="719"/>
      <c r="AI560" s="719"/>
      <c r="AJ560" s="719"/>
      <c r="AK560" s="719"/>
      <c r="AL560" s="719"/>
      <c r="AM560" s="719"/>
      <c r="AN560" s="719"/>
      <c r="AO560" s="719"/>
      <c r="AP560" s="719"/>
      <c r="AQ560" s="719"/>
      <c r="AR560" s="719"/>
      <c r="AS560" s="719"/>
      <c r="AT560" s="719"/>
      <c r="AU560" s="719"/>
      <c r="AV560" s="719"/>
      <c r="AW560" s="719"/>
      <c r="AX560" s="719"/>
      <c r="AY560" s="719"/>
      <c r="AZ560" s="719"/>
      <c r="BA560" s="719"/>
      <c r="BB560" s="719"/>
      <c r="BC560" s="719"/>
      <c r="BD560" s="719"/>
      <c r="BE560" s="719"/>
      <c r="BF560" s="719"/>
      <c r="BG560" s="719"/>
      <c r="BH560" s="719"/>
      <c r="BI560" s="719"/>
      <c r="BJ560" s="719"/>
    </row>
    <row r="561" spans="2:62" ht="15.75" customHeight="1">
      <c r="B561" s="497"/>
      <c r="C561" s="873"/>
      <c r="D561" s="873"/>
      <c r="E561" s="811"/>
      <c r="F561" s="811"/>
      <c r="G561" s="873"/>
      <c r="H561" s="811"/>
      <c r="I561" s="811"/>
      <c r="J561" s="811"/>
      <c r="K561" s="811"/>
      <c r="L561" s="811"/>
      <c r="M561" s="811"/>
      <c r="N561" s="811"/>
      <c r="O561" s="811"/>
      <c r="P561" s="880"/>
      <c r="Q561" s="876"/>
      <c r="R561" s="811"/>
      <c r="S561" s="876"/>
      <c r="T561" s="811"/>
      <c r="U561" s="811"/>
      <c r="V561" s="811"/>
      <c r="W561" s="811"/>
      <c r="X561" s="811"/>
      <c r="Y561" s="719"/>
      <c r="Z561" s="719"/>
      <c r="AA561" s="719"/>
      <c r="AB561" s="719"/>
      <c r="AC561" s="719"/>
      <c r="AD561" s="719"/>
      <c r="AE561" s="719"/>
      <c r="AF561" s="719"/>
      <c r="AG561" s="719"/>
      <c r="AH561" s="719"/>
      <c r="AI561" s="719"/>
      <c r="AJ561" s="719"/>
      <c r="AK561" s="719"/>
      <c r="AL561" s="719"/>
      <c r="AM561" s="719"/>
      <c r="AN561" s="719"/>
      <c r="AO561" s="719"/>
      <c r="AP561" s="719"/>
      <c r="AQ561" s="719"/>
      <c r="AR561" s="719"/>
      <c r="AS561" s="719"/>
      <c r="AT561" s="719"/>
      <c r="AU561" s="719"/>
      <c r="AV561" s="719"/>
      <c r="AW561" s="719"/>
      <c r="AX561" s="719"/>
      <c r="AY561" s="719"/>
      <c r="AZ561" s="719"/>
      <c r="BA561" s="719"/>
      <c r="BB561" s="719"/>
      <c r="BC561" s="719"/>
      <c r="BD561" s="719"/>
      <c r="BE561" s="719"/>
      <c r="BF561" s="719"/>
      <c r="BG561" s="719"/>
      <c r="BH561" s="719"/>
      <c r="BI561" s="719"/>
      <c r="BJ561" s="719"/>
    </row>
    <row r="562" spans="2:62" ht="15.75" customHeight="1">
      <c r="B562" s="497"/>
      <c r="C562" s="811"/>
      <c r="D562" s="811"/>
      <c r="E562" s="811"/>
      <c r="F562" s="811"/>
      <c r="G562" s="811"/>
      <c r="H562" s="811"/>
      <c r="I562" s="811"/>
      <c r="J562" s="811"/>
      <c r="K562" s="811"/>
      <c r="L562" s="811"/>
      <c r="M562" s="811"/>
      <c r="N562" s="811"/>
      <c r="O562" s="811"/>
      <c r="P562" s="880"/>
      <c r="Q562" s="880"/>
      <c r="R562" s="811"/>
      <c r="S562" s="811"/>
      <c r="T562" s="811"/>
      <c r="U562" s="811"/>
      <c r="V562" s="811"/>
      <c r="W562" s="811"/>
      <c r="X562" s="811"/>
      <c r="Y562" s="719"/>
      <c r="Z562" s="719"/>
      <c r="AA562" s="719"/>
      <c r="AB562" s="719"/>
      <c r="AC562" s="719"/>
      <c r="AD562" s="719"/>
      <c r="AE562" s="719"/>
      <c r="AF562" s="719"/>
      <c r="AG562" s="719"/>
      <c r="AH562" s="719"/>
      <c r="AI562" s="719"/>
      <c r="AJ562" s="719"/>
      <c r="AK562" s="719"/>
      <c r="AL562" s="719"/>
      <c r="AM562" s="719"/>
      <c r="AN562" s="719"/>
      <c r="AO562" s="719"/>
      <c r="AP562" s="719"/>
      <c r="AQ562" s="719"/>
      <c r="AR562" s="719"/>
      <c r="AS562" s="719"/>
      <c r="AT562" s="719"/>
      <c r="AU562" s="719"/>
      <c r="AV562" s="719"/>
      <c r="AW562" s="719"/>
      <c r="AX562" s="719"/>
      <c r="AY562" s="719"/>
      <c r="AZ562" s="719"/>
      <c r="BA562" s="719"/>
      <c r="BB562" s="719"/>
      <c r="BC562" s="719"/>
      <c r="BD562" s="719"/>
      <c r="BE562" s="719"/>
      <c r="BF562" s="719"/>
      <c r="BG562" s="719"/>
      <c r="BH562" s="719"/>
      <c r="BI562" s="719"/>
      <c r="BJ562" s="719"/>
    </row>
    <row r="563" spans="2:62" ht="15.75" customHeight="1">
      <c r="B563" s="497"/>
      <c r="C563" s="811"/>
      <c r="D563" s="811"/>
      <c r="E563" s="811"/>
      <c r="F563" s="811"/>
      <c r="G563" s="811"/>
      <c r="H563" s="811"/>
      <c r="I563" s="811"/>
      <c r="J563" s="811"/>
      <c r="K563" s="811"/>
      <c r="L563" s="811"/>
      <c r="M563" s="811"/>
      <c r="N563" s="811"/>
      <c r="O563" s="811"/>
      <c r="P563" s="878"/>
      <c r="Q563" s="874"/>
      <c r="R563" s="811"/>
      <c r="S563" s="874"/>
      <c r="T563" s="811"/>
      <c r="U563" s="811"/>
      <c r="V563" s="811"/>
      <c r="W563" s="811"/>
      <c r="X563" s="811"/>
      <c r="Y563" s="719"/>
      <c r="Z563" s="719"/>
      <c r="AA563" s="719"/>
      <c r="AB563" s="719"/>
      <c r="AC563" s="719"/>
      <c r="AD563" s="719"/>
      <c r="AE563" s="719"/>
      <c r="AF563" s="719"/>
      <c r="AG563" s="719"/>
      <c r="AH563" s="719"/>
      <c r="AI563" s="719"/>
      <c r="AJ563" s="719"/>
      <c r="AK563" s="719"/>
      <c r="AL563" s="719"/>
      <c r="AM563" s="719"/>
      <c r="AN563" s="719"/>
      <c r="AO563" s="719"/>
      <c r="AP563" s="719"/>
      <c r="AQ563" s="719"/>
      <c r="AR563" s="719"/>
      <c r="AS563" s="719"/>
      <c r="AT563" s="719"/>
      <c r="AU563" s="719"/>
      <c r="AV563" s="719"/>
      <c r="AW563" s="719"/>
      <c r="AX563" s="719"/>
      <c r="AY563" s="719"/>
      <c r="AZ563" s="719"/>
      <c r="BA563" s="719"/>
      <c r="BB563" s="719"/>
      <c r="BC563" s="719"/>
      <c r="BD563" s="719"/>
      <c r="BE563" s="719"/>
      <c r="BF563" s="719"/>
      <c r="BG563" s="719"/>
      <c r="BH563" s="719"/>
      <c r="BI563" s="719"/>
      <c r="BJ563" s="719"/>
    </row>
    <row r="564" spans="2:62" ht="15.75" customHeight="1">
      <c r="B564" s="497"/>
      <c r="C564" s="811"/>
      <c r="D564" s="811"/>
      <c r="E564" s="811"/>
      <c r="F564" s="811"/>
      <c r="G564" s="811"/>
      <c r="H564" s="811"/>
      <c r="I564" s="811"/>
      <c r="J564" s="811"/>
      <c r="K564" s="811"/>
      <c r="L564" s="811"/>
      <c r="M564" s="811"/>
      <c r="N564" s="811"/>
      <c r="O564" s="811"/>
      <c r="P564" s="878"/>
      <c r="Q564" s="874"/>
      <c r="R564" s="811"/>
      <c r="S564" s="874"/>
      <c r="T564" s="811"/>
      <c r="U564" s="811"/>
      <c r="V564" s="811"/>
      <c r="W564" s="811"/>
      <c r="X564" s="811"/>
      <c r="Y564" s="719"/>
      <c r="Z564" s="719"/>
      <c r="AA564" s="719"/>
      <c r="AB564" s="719"/>
      <c r="AC564" s="719"/>
      <c r="AD564" s="719"/>
      <c r="AE564" s="719"/>
      <c r="AF564" s="719"/>
      <c r="AG564" s="719"/>
      <c r="AH564" s="719"/>
      <c r="AI564" s="719"/>
      <c r="AJ564" s="719"/>
      <c r="AK564" s="719"/>
      <c r="AL564" s="719"/>
      <c r="AM564" s="719"/>
      <c r="AN564" s="719"/>
      <c r="AO564" s="719"/>
      <c r="AP564" s="719"/>
      <c r="AQ564" s="719"/>
      <c r="AR564" s="719"/>
      <c r="AS564" s="719"/>
      <c r="AT564" s="719"/>
      <c r="AU564" s="719"/>
      <c r="AV564" s="719"/>
      <c r="AW564" s="719"/>
      <c r="AX564" s="719"/>
      <c r="AY564" s="719"/>
      <c r="AZ564" s="719"/>
      <c r="BA564" s="719"/>
      <c r="BB564" s="719"/>
      <c r="BC564" s="719"/>
      <c r="BD564" s="719"/>
      <c r="BE564" s="719"/>
      <c r="BF564" s="719"/>
      <c r="BG564" s="719"/>
      <c r="BH564" s="719"/>
      <c r="BI564" s="719"/>
      <c r="BJ564" s="719"/>
    </row>
    <row r="565" spans="2:62" ht="15.75" customHeight="1">
      <c r="B565" s="497"/>
      <c r="C565" s="873"/>
      <c r="D565" s="811"/>
      <c r="E565" s="811"/>
      <c r="F565" s="811"/>
      <c r="G565" s="811"/>
      <c r="H565" s="811"/>
      <c r="I565" s="811"/>
      <c r="J565" s="811"/>
      <c r="K565" s="811"/>
      <c r="L565" s="811"/>
      <c r="M565" s="811"/>
      <c r="N565" s="811"/>
      <c r="O565" s="811"/>
      <c r="P565" s="880"/>
      <c r="Q565" s="876"/>
      <c r="R565" s="811"/>
      <c r="S565" s="876"/>
      <c r="T565" s="811"/>
      <c r="U565" s="811"/>
      <c r="V565" s="811"/>
      <c r="W565" s="811"/>
      <c r="X565" s="811"/>
      <c r="Y565" s="719"/>
      <c r="Z565" s="719"/>
      <c r="AA565" s="719"/>
      <c r="AB565" s="719"/>
      <c r="AC565" s="719"/>
      <c r="AD565" s="719"/>
      <c r="AE565" s="719"/>
      <c r="AF565" s="719"/>
      <c r="AG565" s="719"/>
      <c r="AH565" s="719"/>
      <c r="AI565" s="719"/>
      <c r="AJ565" s="719"/>
      <c r="AK565" s="719"/>
      <c r="AL565" s="719"/>
      <c r="AM565" s="719"/>
      <c r="AN565" s="719"/>
      <c r="AO565" s="719"/>
      <c r="AP565" s="719"/>
      <c r="AQ565" s="719"/>
      <c r="AR565" s="719"/>
      <c r="AS565" s="719"/>
      <c r="AT565" s="719"/>
      <c r="AU565" s="719"/>
      <c r="AV565" s="719"/>
      <c r="AW565" s="719"/>
      <c r="AX565" s="719"/>
      <c r="AY565" s="719"/>
      <c r="AZ565" s="719"/>
      <c r="BA565" s="719"/>
      <c r="BB565" s="719"/>
      <c r="BC565" s="719"/>
      <c r="BD565" s="719"/>
      <c r="BE565" s="719"/>
      <c r="BF565" s="719"/>
      <c r="BG565" s="719"/>
      <c r="BH565" s="719"/>
      <c r="BI565" s="719"/>
      <c r="BJ565" s="719"/>
    </row>
    <row r="566" spans="2:62" ht="15.75" customHeight="1">
      <c r="B566" s="497"/>
      <c r="C566" s="811"/>
      <c r="D566" s="811"/>
      <c r="E566" s="811"/>
      <c r="F566" s="811"/>
      <c r="G566" s="811"/>
      <c r="H566" s="811"/>
      <c r="I566" s="811"/>
      <c r="J566" s="811"/>
      <c r="K566" s="811"/>
      <c r="L566" s="811"/>
      <c r="M566" s="811"/>
      <c r="N566" s="811"/>
      <c r="O566" s="811"/>
      <c r="P566" s="880"/>
      <c r="Q566" s="880"/>
      <c r="R566" s="811"/>
      <c r="S566" s="811"/>
      <c r="T566" s="811"/>
      <c r="U566" s="811"/>
      <c r="V566" s="811"/>
      <c r="W566" s="811"/>
      <c r="X566" s="811"/>
      <c r="Y566" s="719"/>
      <c r="Z566" s="719"/>
      <c r="AA566" s="719"/>
      <c r="AB566" s="719"/>
      <c r="AC566" s="719"/>
      <c r="AD566" s="719"/>
      <c r="AE566" s="719"/>
      <c r="AF566" s="719"/>
      <c r="AG566" s="719"/>
      <c r="AH566" s="719"/>
      <c r="AI566" s="719"/>
      <c r="AJ566" s="719"/>
      <c r="AK566" s="719"/>
      <c r="AL566" s="719"/>
      <c r="AM566" s="719"/>
      <c r="AN566" s="719"/>
      <c r="AO566" s="719"/>
      <c r="AP566" s="719"/>
      <c r="AQ566" s="719"/>
      <c r="AR566" s="719"/>
      <c r="AS566" s="719"/>
      <c r="AT566" s="719"/>
      <c r="AU566" s="719"/>
      <c r="AV566" s="719"/>
      <c r="AW566" s="719"/>
      <c r="AX566" s="719"/>
      <c r="AY566" s="719"/>
      <c r="AZ566" s="719"/>
      <c r="BA566" s="719"/>
      <c r="BB566" s="719"/>
      <c r="BC566" s="719"/>
      <c r="BD566" s="719"/>
      <c r="BE566" s="719"/>
      <c r="BF566" s="719"/>
      <c r="BG566" s="719"/>
      <c r="BH566" s="719"/>
      <c r="BI566" s="719"/>
      <c r="BJ566" s="719"/>
    </row>
    <row r="567" spans="2:62" ht="15.75" customHeight="1">
      <c r="B567" s="497"/>
      <c r="C567" s="811"/>
      <c r="D567" s="811"/>
      <c r="E567" s="811"/>
      <c r="F567" s="811"/>
      <c r="G567" s="811"/>
      <c r="H567" s="811"/>
      <c r="I567" s="811"/>
      <c r="J567" s="811"/>
      <c r="K567" s="811"/>
      <c r="L567" s="811"/>
      <c r="M567" s="811"/>
      <c r="N567" s="811"/>
      <c r="O567" s="811"/>
      <c r="P567" s="878"/>
      <c r="Q567" s="874"/>
      <c r="R567" s="811"/>
      <c r="S567" s="874"/>
      <c r="T567" s="811"/>
      <c r="U567" s="811"/>
      <c r="V567" s="811"/>
      <c r="W567" s="811"/>
      <c r="X567" s="811"/>
      <c r="Y567" s="719"/>
      <c r="Z567" s="719"/>
      <c r="AA567" s="719"/>
      <c r="AB567" s="719"/>
      <c r="AC567" s="719"/>
      <c r="AD567" s="719"/>
      <c r="AE567" s="719"/>
      <c r="AF567" s="719"/>
      <c r="AG567" s="719"/>
      <c r="AH567" s="719"/>
      <c r="AI567" s="719"/>
      <c r="AJ567" s="719"/>
      <c r="AK567" s="719"/>
      <c r="AL567" s="719"/>
      <c r="AM567" s="719"/>
      <c r="AN567" s="719"/>
      <c r="AO567" s="719"/>
      <c r="AP567" s="719"/>
      <c r="AQ567" s="719"/>
      <c r="AR567" s="719"/>
      <c r="AS567" s="719"/>
      <c r="AT567" s="719"/>
      <c r="AU567" s="719"/>
      <c r="AV567" s="719"/>
      <c r="AW567" s="719"/>
      <c r="AX567" s="719"/>
      <c r="AY567" s="719"/>
      <c r="AZ567" s="719"/>
      <c r="BA567" s="719"/>
      <c r="BB567" s="719"/>
      <c r="BC567" s="719"/>
      <c r="BD567" s="719"/>
      <c r="BE567" s="719"/>
      <c r="BF567" s="719"/>
      <c r="BG567" s="719"/>
      <c r="BH567" s="719"/>
      <c r="BI567" s="719"/>
      <c r="BJ567" s="719"/>
    </row>
    <row r="568" spans="2:62" ht="15.75" customHeight="1">
      <c r="B568" s="497"/>
      <c r="C568" s="873"/>
      <c r="D568" s="873"/>
      <c r="E568" s="811"/>
      <c r="F568" s="811"/>
      <c r="G568" s="873"/>
      <c r="H568" s="811"/>
      <c r="I568" s="811"/>
      <c r="J568" s="811"/>
      <c r="K568" s="811"/>
      <c r="L568" s="811"/>
      <c r="M568" s="811"/>
      <c r="N568" s="811"/>
      <c r="O568" s="811"/>
      <c r="P568" s="880"/>
      <c r="Q568" s="876"/>
      <c r="R568" s="811"/>
      <c r="S568" s="876"/>
      <c r="T568" s="811"/>
      <c r="U568" s="811"/>
      <c r="V568" s="811"/>
      <c r="W568" s="811"/>
      <c r="X568" s="811"/>
      <c r="Y568" s="719"/>
      <c r="Z568" s="719"/>
      <c r="AA568" s="719"/>
      <c r="AB568" s="719"/>
      <c r="AC568" s="719"/>
      <c r="AD568" s="719"/>
      <c r="AE568" s="719"/>
      <c r="AF568" s="719"/>
      <c r="AG568" s="719"/>
      <c r="AH568" s="719"/>
      <c r="AI568" s="719"/>
      <c r="AJ568" s="719"/>
      <c r="AK568" s="719"/>
      <c r="AL568" s="719"/>
      <c r="AM568" s="719"/>
      <c r="AN568" s="719"/>
      <c r="AO568" s="719"/>
      <c r="AP568" s="719"/>
      <c r="AQ568" s="719"/>
      <c r="AR568" s="719"/>
      <c r="AS568" s="719"/>
      <c r="AT568" s="719"/>
      <c r="AU568" s="719"/>
      <c r="AV568" s="719"/>
      <c r="AW568" s="719"/>
      <c r="AX568" s="719"/>
      <c r="AY568" s="719"/>
      <c r="AZ568" s="719"/>
      <c r="BA568" s="719"/>
      <c r="BB568" s="719"/>
      <c r="BC568" s="719"/>
      <c r="BD568" s="719"/>
      <c r="BE568" s="719"/>
      <c r="BF568" s="719"/>
      <c r="BG568" s="719"/>
      <c r="BH568" s="719"/>
      <c r="BI568" s="719"/>
      <c r="BJ568" s="719"/>
    </row>
    <row r="569" spans="2:62" ht="15.75" customHeight="1">
      <c r="B569" s="497"/>
      <c r="C569" s="811"/>
      <c r="D569" s="811"/>
      <c r="E569" s="811"/>
      <c r="F569" s="811"/>
      <c r="G569" s="811"/>
      <c r="H569" s="811"/>
      <c r="I569" s="811"/>
      <c r="J569" s="811"/>
      <c r="K569" s="811"/>
      <c r="L569" s="811"/>
      <c r="M569" s="811"/>
      <c r="N569" s="811"/>
      <c r="O569" s="811"/>
      <c r="P569" s="880"/>
      <c r="Q569" s="880"/>
      <c r="R569" s="811"/>
      <c r="S569" s="811"/>
      <c r="T569" s="811"/>
      <c r="U569" s="811"/>
      <c r="V569" s="811"/>
      <c r="W569" s="811"/>
      <c r="X569" s="811"/>
      <c r="Y569" s="719"/>
      <c r="Z569" s="719"/>
      <c r="AA569" s="719"/>
      <c r="AB569" s="719"/>
      <c r="AC569" s="719"/>
      <c r="AD569" s="719"/>
      <c r="AE569" s="719"/>
      <c r="AF569" s="719"/>
      <c r="AG569" s="719"/>
      <c r="AH569" s="719"/>
      <c r="AI569" s="719"/>
      <c r="AJ569" s="719"/>
      <c r="AK569" s="719"/>
      <c r="AL569" s="719"/>
      <c r="AM569" s="719"/>
      <c r="AN569" s="719"/>
      <c r="AO569" s="719"/>
      <c r="AP569" s="719"/>
      <c r="AQ569" s="719"/>
      <c r="AR569" s="719"/>
      <c r="AS569" s="719"/>
      <c r="AT569" s="719"/>
      <c r="AU569" s="719"/>
      <c r="AV569" s="719"/>
      <c r="AW569" s="719"/>
      <c r="AX569" s="719"/>
      <c r="AY569" s="719"/>
      <c r="AZ569" s="719"/>
      <c r="BA569" s="719"/>
      <c r="BB569" s="719"/>
      <c r="BC569" s="719"/>
      <c r="BD569" s="719"/>
      <c r="BE569" s="719"/>
      <c r="BF569" s="719"/>
      <c r="BG569" s="719"/>
      <c r="BH569" s="719"/>
      <c r="BI569" s="719"/>
      <c r="BJ569" s="719"/>
    </row>
    <row r="570" spans="2:62" ht="15.75" customHeight="1">
      <c r="B570" s="497"/>
      <c r="C570" s="811"/>
      <c r="D570" s="811"/>
      <c r="E570" s="874"/>
      <c r="F570" s="878"/>
      <c r="G570" s="811"/>
      <c r="H570" s="874"/>
      <c r="I570" s="878"/>
      <c r="J570" s="878"/>
      <c r="K570" s="874"/>
      <c r="L570" s="878"/>
      <c r="M570" s="874"/>
      <c r="N570" s="878"/>
      <c r="O570" s="874"/>
      <c r="P570" s="878"/>
      <c r="Q570" s="874"/>
      <c r="R570" s="874"/>
      <c r="S570" s="811"/>
      <c r="T570" s="811"/>
      <c r="U570" s="811"/>
      <c r="V570" s="811"/>
      <c r="W570" s="811"/>
      <c r="X570" s="811"/>
      <c r="Y570" s="719"/>
      <c r="Z570" s="719"/>
      <c r="AA570" s="719"/>
      <c r="AB570" s="719"/>
      <c r="AC570" s="719"/>
      <c r="AD570" s="719"/>
      <c r="AE570" s="719"/>
      <c r="AF570" s="719"/>
      <c r="AG570" s="719"/>
      <c r="AH570" s="719"/>
      <c r="AI570" s="719"/>
      <c r="AJ570" s="719"/>
      <c r="AK570" s="719"/>
      <c r="AL570" s="719"/>
      <c r="AM570" s="719"/>
      <c r="AN570" s="719"/>
      <c r="AO570" s="719"/>
      <c r="AP570" s="719"/>
      <c r="AQ570" s="719"/>
      <c r="AR570" s="719"/>
      <c r="AS570" s="719"/>
      <c r="AT570" s="719"/>
      <c r="AU570" s="719"/>
      <c r="AV570" s="719"/>
      <c r="AW570" s="719"/>
      <c r="AX570" s="719"/>
      <c r="AY570" s="719"/>
      <c r="AZ570" s="719"/>
      <c r="BA570" s="719"/>
      <c r="BB570" s="719"/>
      <c r="BC570" s="719"/>
      <c r="BD570" s="719"/>
      <c r="BE570" s="719"/>
      <c r="BF570" s="719"/>
      <c r="BG570" s="719"/>
      <c r="BH570" s="719"/>
      <c r="BI570" s="719"/>
      <c r="BJ570" s="719"/>
    </row>
    <row r="571" spans="2:62" ht="15.75" customHeight="1">
      <c r="B571" s="497"/>
      <c r="C571" s="873"/>
      <c r="D571" s="873"/>
      <c r="E571" s="876"/>
      <c r="F571" s="880"/>
      <c r="G571" s="873"/>
      <c r="H571" s="876"/>
      <c r="I571" s="880"/>
      <c r="J571" s="880"/>
      <c r="K571" s="876"/>
      <c r="L571" s="880"/>
      <c r="M571" s="876"/>
      <c r="N571" s="880"/>
      <c r="O571" s="876"/>
      <c r="P571" s="880"/>
      <c r="Q571" s="876"/>
      <c r="R571" s="876"/>
      <c r="S571" s="876"/>
      <c r="T571" s="811"/>
      <c r="U571" s="811"/>
      <c r="V571" s="811"/>
      <c r="W571" s="811"/>
      <c r="X571" s="811"/>
      <c r="Y571" s="719"/>
      <c r="Z571" s="719"/>
      <c r="AA571" s="719"/>
      <c r="AB571" s="719"/>
      <c r="AC571" s="719"/>
      <c r="AD571" s="719"/>
      <c r="AE571" s="719"/>
      <c r="AF571" s="719"/>
      <c r="AG571" s="719"/>
      <c r="AH571" s="719"/>
      <c r="AI571" s="719"/>
      <c r="AJ571" s="719"/>
      <c r="AK571" s="719"/>
      <c r="AL571" s="719"/>
      <c r="AM571" s="719"/>
      <c r="AN571" s="719"/>
      <c r="AO571" s="719"/>
      <c r="AP571" s="719"/>
      <c r="AQ571" s="719"/>
      <c r="AR571" s="719"/>
      <c r="AS571" s="719"/>
      <c r="AT571" s="719"/>
      <c r="AU571" s="719"/>
      <c r="AV571" s="719"/>
      <c r="AW571" s="719"/>
      <c r="AX571" s="719"/>
      <c r="AY571" s="719"/>
      <c r="AZ571" s="719"/>
      <c r="BA571" s="719"/>
      <c r="BB571" s="719"/>
      <c r="BC571" s="719"/>
      <c r="BD571" s="719"/>
      <c r="BE571" s="719"/>
      <c r="BF571" s="719"/>
      <c r="BG571" s="719"/>
      <c r="BH571" s="719"/>
      <c r="BI571" s="719"/>
      <c r="BJ571" s="719"/>
    </row>
    <row r="572" spans="2:62" ht="15.75" customHeight="1">
      <c r="B572" s="497"/>
      <c r="C572" s="811"/>
      <c r="D572" s="811"/>
      <c r="E572" s="874"/>
      <c r="F572" s="878"/>
      <c r="G572" s="811"/>
      <c r="H572" s="874"/>
      <c r="I572" s="878"/>
      <c r="J572" s="874"/>
      <c r="K572" s="878"/>
      <c r="L572" s="874"/>
      <c r="M572" s="811"/>
      <c r="N572" s="874"/>
      <c r="O572" s="878"/>
      <c r="P572" s="876"/>
      <c r="Q572" s="880"/>
      <c r="R572" s="880"/>
      <c r="S572" s="874"/>
      <c r="T572" s="811"/>
      <c r="U572" s="811"/>
      <c r="V572" s="811"/>
      <c r="W572" s="811"/>
      <c r="X572" s="811"/>
      <c r="Y572" s="719"/>
      <c r="Z572" s="719"/>
      <c r="AA572" s="719"/>
      <c r="AB572" s="719"/>
      <c r="AC572" s="719"/>
      <c r="AD572" s="719"/>
      <c r="AE572" s="719"/>
      <c r="AF572" s="719"/>
      <c r="AG572" s="719"/>
      <c r="AH572" s="719"/>
      <c r="AI572" s="719"/>
      <c r="AJ572" s="719"/>
      <c r="AK572" s="719"/>
      <c r="AL572" s="719"/>
      <c r="AM572" s="719"/>
      <c r="AN572" s="719"/>
      <c r="AO572" s="719"/>
      <c r="AP572" s="719"/>
      <c r="AQ572" s="719"/>
      <c r="AR572" s="719"/>
      <c r="AS572" s="719"/>
      <c r="AT572" s="719"/>
      <c r="AU572" s="719"/>
      <c r="AV572" s="719"/>
      <c r="AW572" s="719"/>
      <c r="AX572" s="719"/>
      <c r="AY572" s="719"/>
      <c r="AZ572" s="719"/>
      <c r="BA572" s="719"/>
      <c r="BB572" s="719"/>
      <c r="BC572" s="719"/>
      <c r="BD572" s="719"/>
      <c r="BE572" s="719"/>
      <c r="BF572" s="719"/>
      <c r="BG572" s="719"/>
      <c r="BH572" s="719"/>
      <c r="BI572" s="719"/>
      <c r="BJ572" s="719"/>
    </row>
    <row r="573" spans="2:62" ht="15.75" customHeight="1">
      <c r="B573" s="497"/>
      <c r="C573" s="811"/>
      <c r="D573" s="811"/>
      <c r="E573" s="874"/>
      <c r="F573" s="878"/>
      <c r="G573" s="811"/>
      <c r="H573" s="874"/>
      <c r="I573" s="878"/>
      <c r="J573" s="874"/>
      <c r="K573" s="878"/>
      <c r="L573" s="874"/>
      <c r="M573" s="811"/>
      <c r="N573" s="874"/>
      <c r="O573" s="878"/>
      <c r="P573" s="874"/>
      <c r="Q573" s="811"/>
      <c r="R573" s="878"/>
      <c r="S573" s="874"/>
      <c r="T573" s="811"/>
      <c r="U573" s="811"/>
      <c r="V573" s="811"/>
      <c r="W573" s="811"/>
      <c r="X573" s="811"/>
      <c r="Y573" s="719"/>
      <c r="Z573" s="719"/>
      <c r="AA573" s="719"/>
      <c r="AB573" s="719"/>
      <c r="AC573" s="719"/>
      <c r="AD573" s="719"/>
      <c r="AE573" s="719"/>
      <c r="AF573" s="719"/>
      <c r="AG573" s="719"/>
      <c r="AH573" s="719"/>
      <c r="AI573" s="719"/>
      <c r="AJ573" s="719"/>
      <c r="AK573" s="719"/>
      <c r="AL573" s="719"/>
      <c r="AM573" s="719"/>
      <c r="AN573" s="719"/>
      <c r="AO573" s="719"/>
      <c r="AP573" s="719"/>
      <c r="AQ573" s="719"/>
      <c r="AR573" s="719"/>
      <c r="AS573" s="719"/>
      <c r="AT573" s="719"/>
      <c r="AU573" s="719"/>
      <c r="AV573" s="719"/>
      <c r="AW573" s="719"/>
      <c r="AX573" s="719"/>
      <c r="AY573" s="719"/>
      <c r="AZ573" s="719"/>
      <c r="BA573" s="719"/>
      <c r="BB573" s="719"/>
      <c r="BC573" s="719"/>
      <c r="BD573" s="719"/>
      <c r="BE573" s="719"/>
      <c r="BF573" s="719"/>
      <c r="BG573" s="719"/>
      <c r="BH573" s="719"/>
      <c r="BI573" s="719"/>
      <c r="BJ573" s="719"/>
    </row>
    <row r="574" spans="2:62" ht="15.75" customHeight="1">
      <c r="B574" s="497"/>
      <c r="C574" s="811"/>
      <c r="D574" s="811"/>
      <c r="E574" s="811"/>
      <c r="F574" s="811"/>
      <c r="G574" s="811"/>
      <c r="H574" s="811"/>
      <c r="I574" s="811"/>
      <c r="J574" s="811"/>
      <c r="K574" s="811"/>
      <c r="L574" s="811"/>
      <c r="M574" s="811"/>
      <c r="N574" s="811"/>
      <c r="O574" s="811"/>
      <c r="P574" s="811"/>
      <c r="Q574" s="811"/>
      <c r="R574" s="878"/>
      <c r="S574" s="874"/>
      <c r="T574" s="811"/>
      <c r="U574" s="811"/>
      <c r="V574" s="811"/>
      <c r="W574" s="811"/>
      <c r="X574" s="811"/>
      <c r="Y574" s="719"/>
      <c r="Z574" s="719"/>
      <c r="AA574" s="719"/>
      <c r="AB574" s="719"/>
      <c r="AC574" s="719"/>
      <c r="AD574" s="719"/>
      <c r="AE574" s="719"/>
      <c r="AF574" s="719"/>
      <c r="AG574" s="719"/>
      <c r="AH574" s="719"/>
      <c r="AI574" s="719"/>
      <c r="AJ574" s="719"/>
      <c r="AK574" s="719"/>
      <c r="AL574" s="719"/>
      <c r="AM574" s="719"/>
      <c r="AN574" s="719"/>
      <c r="AO574" s="719"/>
      <c r="AP574" s="719"/>
      <c r="AQ574" s="719"/>
      <c r="AR574" s="719"/>
      <c r="AS574" s="719"/>
      <c r="AT574" s="719"/>
      <c r="AU574" s="719"/>
      <c r="AV574" s="719"/>
      <c r="AW574" s="719"/>
      <c r="AX574" s="719"/>
      <c r="AY574" s="719"/>
      <c r="AZ574" s="719"/>
      <c r="BA574" s="719"/>
      <c r="BB574" s="719"/>
      <c r="BC574" s="719"/>
      <c r="BD574" s="719"/>
      <c r="BE574" s="719"/>
      <c r="BF574" s="719"/>
      <c r="BG574" s="719"/>
      <c r="BH574" s="719"/>
      <c r="BI574" s="719"/>
      <c r="BJ574" s="719"/>
    </row>
    <row r="575" spans="2:62" ht="15.75" customHeight="1">
      <c r="B575" s="497"/>
      <c r="C575" s="811"/>
      <c r="D575" s="811"/>
      <c r="E575" s="874"/>
      <c r="F575" s="878"/>
      <c r="G575" s="811"/>
      <c r="H575" s="874"/>
      <c r="I575" s="878"/>
      <c r="J575" s="874"/>
      <c r="K575" s="878"/>
      <c r="L575" s="874"/>
      <c r="M575" s="811"/>
      <c r="N575" s="874"/>
      <c r="O575" s="878"/>
      <c r="P575" s="874"/>
      <c r="Q575" s="811"/>
      <c r="R575" s="878"/>
      <c r="S575" s="874"/>
      <c r="T575" s="811"/>
      <c r="U575" s="811"/>
      <c r="V575" s="811"/>
      <c r="W575" s="811"/>
      <c r="X575" s="811"/>
      <c r="Y575" s="719"/>
      <c r="Z575" s="719"/>
      <c r="AA575" s="719"/>
      <c r="AB575" s="719"/>
      <c r="AC575" s="719"/>
      <c r="AD575" s="719"/>
      <c r="AE575" s="719"/>
      <c r="AF575" s="719"/>
      <c r="AG575" s="719"/>
      <c r="AH575" s="719"/>
      <c r="AI575" s="719"/>
      <c r="AJ575" s="719"/>
      <c r="AK575" s="719"/>
      <c r="AL575" s="719"/>
      <c r="AM575" s="719"/>
      <c r="AN575" s="719"/>
      <c r="AO575" s="719"/>
      <c r="AP575" s="719"/>
      <c r="AQ575" s="719"/>
      <c r="AR575" s="719"/>
      <c r="AS575" s="719"/>
      <c r="AT575" s="719"/>
      <c r="AU575" s="719"/>
      <c r="AV575" s="719"/>
      <c r="AW575" s="719"/>
      <c r="AX575" s="719"/>
      <c r="AY575" s="719"/>
      <c r="AZ575" s="719"/>
      <c r="BA575" s="719"/>
      <c r="BB575" s="719"/>
      <c r="BC575" s="719"/>
      <c r="BD575" s="719"/>
      <c r="BE575" s="719"/>
      <c r="BF575" s="719"/>
      <c r="BG575" s="719"/>
      <c r="BH575" s="719"/>
      <c r="BI575" s="719"/>
      <c r="BJ575" s="719"/>
    </row>
    <row r="576" spans="2:62" ht="15.75" customHeight="1">
      <c r="B576" s="497"/>
      <c r="C576" s="811"/>
      <c r="D576" s="811"/>
      <c r="E576" s="874"/>
      <c r="F576" s="878"/>
      <c r="G576" s="811"/>
      <c r="H576" s="874"/>
      <c r="I576" s="878"/>
      <c r="J576" s="874"/>
      <c r="K576" s="878"/>
      <c r="L576" s="874"/>
      <c r="M576" s="811"/>
      <c r="N576" s="874"/>
      <c r="O576" s="878"/>
      <c r="P576" s="874"/>
      <c r="Q576" s="811"/>
      <c r="R576" s="878"/>
      <c r="S576" s="874"/>
      <c r="T576" s="811"/>
      <c r="U576" s="811"/>
      <c r="V576" s="811"/>
      <c r="W576" s="811"/>
      <c r="X576" s="811"/>
      <c r="Y576" s="719"/>
      <c r="Z576" s="719"/>
      <c r="AA576" s="719"/>
      <c r="AB576" s="719"/>
      <c r="AC576" s="719"/>
      <c r="AD576" s="719"/>
      <c r="AE576" s="719"/>
      <c r="AF576" s="719"/>
      <c r="AG576" s="719"/>
      <c r="AH576" s="719"/>
      <c r="AI576" s="719"/>
      <c r="AJ576" s="719"/>
      <c r="AK576" s="719"/>
      <c r="AL576" s="719"/>
      <c r="AM576" s="719"/>
      <c r="AN576" s="719"/>
      <c r="AO576" s="719"/>
      <c r="AP576" s="719"/>
      <c r="AQ576" s="719"/>
      <c r="AR576" s="719"/>
      <c r="AS576" s="719"/>
      <c r="AT576" s="719"/>
      <c r="AU576" s="719"/>
      <c r="AV576" s="719"/>
      <c r="AW576" s="719"/>
      <c r="AX576" s="719"/>
      <c r="AY576" s="719"/>
      <c r="AZ576" s="719"/>
      <c r="BA576" s="719"/>
      <c r="BB576" s="719"/>
      <c r="BC576" s="719"/>
      <c r="BD576" s="719"/>
      <c r="BE576" s="719"/>
      <c r="BF576" s="719"/>
      <c r="BG576" s="719"/>
      <c r="BH576" s="719"/>
      <c r="BI576" s="719"/>
      <c r="BJ576" s="719"/>
    </row>
    <row r="577" spans="2:62" ht="15.75" customHeight="1">
      <c r="B577" s="497"/>
      <c r="C577" s="811"/>
      <c r="D577" s="811"/>
      <c r="E577" s="874"/>
      <c r="F577" s="878"/>
      <c r="G577" s="811"/>
      <c r="H577" s="874"/>
      <c r="I577" s="878"/>
      <c r="J577" s="874"/>
      <c r="K577" s="878"/>
      <c r="L577" s="874"/>
      <c r="M577" s="811"/>
      <c r="N577" s="874"/>
      <c r="O577" s="878"/>
      <c r="P577" s="874"/>
      <c r="Q577" s="811"/>
      <c r="R577" s="878"/>
      <c r="S577" s="874"/>
      <c r="T577" s="811"/>
      <c r="U577" s="811"/>
      <c r="V577" s="811"/>
      <c r="W577" s="811"/>
      <c r="X577" s="811"/>
      <c r="Y577" s="719"/>
      <c r="Z577" s="719"/>
      <c r="AA577" s="719"/>
      <c r="AB577" s="719"/>
      <c r="AC577" s="719"/>
      <c r="AD577" s="719"/>
      <c r="AE577" s="719"/>
      <c r="AF577" s="719"/>
      <c r="AG577" s="719"/>
      <c r="AH577" s="719"/>
      <c r="AI577" s="719"/>
      <c r="AJ577" s="719"/>
      <c r="AK577" s="719"/>
      <c r="AL577" s="719"/>
      <c r="AM577" s="719"/>
      <c r="AN577" s="719"/>
      <c r="AO577" s="719"/>
      <c r="AP577" s="719"/>
      <c r="AQ577" s="719"/>
      <c r="AR577" s="719"/>
      <c r="AS577" s="719"/>
      <c r="AT577" s="719"/>
      <c r="AU577" s="719"/>
      <c r="AV577" s="719"/>
      <c r="AW577" s="719"/>
      <c r="AX577" s="719"/>
      <c r="AY577" s="719"/>
      <c r="AZ577" s="719"/>
      <c r="BA577" s="719"/>
      <c r="BB577" s="719"/>
      <c r="BC577" s="719"/>
      <c r="BD577" s="719"/>
      <c r="BE577" s="719"/>
      <c r="BF577" s="719"/>
      <c r="BG577" s="719"/>
      <c r="BH577" s="719"/>
      <c r="BI577" s="719"/>
      <c r="BJ577" s="719"/>
    </row>
    <row r="578" spans="2:62" ht="15.75" customHeight="1">
      <c r="B578" s="497"/>
      <c r="C578" s="811"/>
      <c r="D578" s="811"/>
      <c r="E578" s="874"/>
      <c r="F578" s="878"/>
      <c r="G578" s="811"/>
      <c r="H578" s="874"/>
      <c r="I578" s="878"/>
      <c r="J578" s="874"/>
      <c r="K578" s="878"/>
      <c r="L578" s="874"/>
      <c r="M578" s="811"/>
      <c r="N578" s="874"/>
      <c r="O578" s="878"/>
      <c r="P578" s="874"/>
      <c r="Q578" s="811"/>
      <c r="R578" s="878"/>
      <c r="S578" s="874"/>
      <c r="T578" s="811"/>
      <c r="U578" s="811"/>
      <c r="V578" s="811"/>
      <c r="W578" s="811"/>
      <c r="X578" s="811"/>
      <c r="Y578" s="719"/>
      <c r="Z578" s="719"/>
      <c r="AA578" s="719"/>
      <c r="AB578" s="719"/>
      <c r="AC578" s="719"/>
      <c r="AD578" s="719"/>
      <c r="AE578" s="719"/>
      <c r="AF578" s="719"/>
      <c r="AG578" s="719"/>
      <c r="AH578" s="719"/>
      <c r="AI578" s="719"/>
      <c r="AJ578" s="719"/>
      <c r="AK578" s="719"/>
      <c r="AL578" s="719"/>
      <c r="AM578" s="719"/>
      <c r="AN578" s="719"/>
      <c r="AO578" s="719"/>
      <c r="AP578" s="719"/>
      <c r="AQ578" s="719"/>
      <c r="AR578" s="719"/>
      <c r="AS578" s="719"/>
      <c r="AT578" s="719"/>
      <c r="AU578" s="719"/>
      <c r="AV578" s="719"/>
      <c r="AW578" s="719"/>
      <c r="AX578" s="719"/>
      <c r="AY578" s="719"/>
      <c r="AZ578" s="719"/>
      <c r="BA578" s="719"/>
      <c r="BB578" s="719"/>
      <c r="BC578" s="719"/>
      <c r="BD578" s="719"/>
      <c r="BE578" s="719"/>
      <c r="BF578" s="719"/>
      <c r="BG578" s="719"/>
      <c r="BH578" s="719"/>
      <c r="BI578" s="719"/>
      <c r="BJ578" s="719"/>
    </row>
    <row r="579" spans="2:62" ht="15.75" customHeight="1">
      <c r="B579" s="497"/>
      <c r="C579" s="811"/>
      <c r="D579" s="811"/>
      <c r="E579" s="874"/>
      <c r="F579" s="878"/>
      <c r="G579" s="811"/>
      <c r="H579" s="874"/>
      <c r="I579" s="878"/>
      <c r="J579" s="874"/>
      <c r="K579" s="878"/>
      <c r="L579" s="874"/>
      <c r="M579" s="811"/>
      <c r="N579" s="874"/>
      <c r="O579" s="878"/>
      <c r="P579" s="874"/>
      <c r="Q579" s="811"/>
      <c r="R579" s="878"/>
      <c r="S579" s="874"/>
      <c r="T579" s="811"/>
      <c r="U579" s="811"/>
      <c r="V579" s="811"/>
      <c r="W579" s="811"/>
      <c r="X579" s="811"/>
      <c r="Y579" s="719"/>
      <c r="Z579" s="719"/>
      <c r="AA579" s="719"/>
      <c r="AB579" s="719"/>
      <c r="AC579" s="719"/>
      <c r="AD579" s="719"/>
      <c r="AE579" s="719"/>
      <c r="AF579" s="719"/>
      <c r="AG579" s="719"/>
      <c r="AH579" s="719"/>
      <c r="AI579" s="719"/>
      <c r="AJ579" s="719"/>
      <c r="AK579" s="719"/>
      <c r="AL579" s="719"/>
      <c r="AM579" s="719"/>
      <c r="AN579" s="719"/>
      <c r="AO579" s="719"/>
      <c r="AP579" s="719"/>
      <c r="AQ579" s="719"/>
      <c r="AR579" s="719"/>
      <c r="AS579" s="719"/>
      <c r="AT579" s="719"/>
      <c r="AU579" s="719"/>
      <c r="AV579" s="719"/>
      <c r="AW579" s="719"/>
      <c r="AX579" s="719"/>
      <c r="AY579" s="719"/>
      <c r="AZ579" s="719"/>
      <c r="BA579" s="719"/>
      <c r="BB579" s="719"/>
      <c r="BC579" s="719"/>
      <c r="BD579" s="719"/>
      <c r="BE579" s="719"/>
      <c r="BF579" s="719"/>
      <c r="BG579" s="719"/>
      <c r="BH579" s="719"/>
      <c r="BI579" s="719"/>
      <c r="BJ579" s="719"/>
    </row>
    <row r="580" spans="2:62" ht="15.75" customHeight="1">
      <c r="B580" s="497"/>
      <c r="C580" s="811"/>
      <c r="D580" s="811"/>
      <c r="E580" s="874"/>
      <c r="F580" s="878"/>
      <c r="G580" s="811"/>
      <c r="H580" s="874"/>
      <c r="I580" s="878"/>
      <c r="J580" s="874"/>
      <c r="K580" s="878"/>
      <c r="L580" s="874"/>
      <c r="M580" s="811"/>
      <c r="N580" s="874"/>
      <c r="O580" s="878"/>
      <c r="P580" s="874"/>
      <c r="Q580" s="811"/>
      <c r="R580" s="878"/>
      <c r="S580" s="874"/>
      <c r="T580" s="811"/>
      <c r="U580" s="811"/>
      <c r="V580" s="811"/>
      <c r="W580" s="811"/>
      <c r="X580" s="811"/>
      <c r="Y580" s="719"/>
      <c r="Z580" s="719"/>
      <c r="AA580" s="719"/>
      <c r="AB580" s="719"/>
      <c r="AC580" s="719"/>
      <c r="AD580" s="719"/>
      <c r="AE580" s="719"/>
      <c r="AF580" s="719"/>
      <c r="AG580" s="719"/>
      <c r="AH580" s="719"/>
      <c r="AI580" s="719"/>
      <c r="AJ580" s="719"/>
      <c r="AK580" s="719"/>
      <c r="AL580" s="719"/>
      <c r="AM580" s="719"/>
      <c r="AN580" s="719"/>
      <c r="AO580" s="719"/>
      <c r="AP580" s="719"/>
      <c r="AQ580" s="719"/>
      <c r="AR580" s="719"/>
      <c r="AS580" s="719"/>
      <c r="AT580" s="719"/>
      <c r="AU580" s="719"/>
      <c r="AV580" s="719"/>
      <c r="AW580" s="719"/>
      <c r="AX580" s="719"/>
      <c r="AY580" s="719"/>
      <c r="AZ580" s="719"/>
      <c r="BA580" s="719"/>
      <c r="BB580" s="719"/>
      <c r="BC580" s="719"/>
      <c r="BD580" s="719"/>
      <c r="BE580" s="719"/>
      <c r="BF580" s="719"/>
      <c r="BG580" s="719"/>
      <c r="BH580" s="719"/>
      <c r="BI580" s="719"/>
      <c r="BJ580" s="719"/>
    </row>
    <row r="581" spans="2:62" ht="15.75" customHeight="1">
      <c r="B581" s="497"/>
      <c r="C581" s="811"/>
      <c r="D581" s="811"/>
      <c r="E581" s="874"/>
      <c r="F581" s="878"/>
      <c r="G581" s="811"/>
      <c r="H581" s="874"/>
      <c r="I581" s="878"/>
      <c r="J581" s="874"/>
      <c r="K581" s="878"/>
      <c r="L581" s="874"/>
      <c r="M581" s="811"/>
      <c r="N581" s="874"/>
      <c r="O581" s="878"/>
      <c r="P581" s="874"/>
      <c r="Q581" s="811"/>
      <c r="R581" s="878"/>
      <c r="S581" s="874"/>
      <c r="T581" s="811"/>
      <c r="U581" s="811"/>
      <c r="V581" s="811"/>
      <c r="W581" s="811"/>
      <c r="X581" s="811"/>
      <c r="Y581" s="719"/>
      <c r="Z581" s="719"/>
      <c r="AA581" s="719"/>
      <c r="AB581" s="719"/>
      <c r="AC581" s="719"/>
      <c r="AD581" s="719"/>
      <c r="AE581" s="719"/>
      <c r="AF581" s="719"/>
      <c r="AG581" s="719"/>
      <c r="AH581" s="719"/>
      <c r="AI581" s="719"/>
      <c r="AJ581" s="719"/>
      <c r="AK581" s="719"/>
      <c r="AL581" s="719"/>
      <c r="AM581" s="719"/>
      <c r="AN581" s="719"/>
      <c r="AO581" s="719"/>
      <c r="AP581" s="719"/>
      <c r="AQ581" s="719"/>
      <c r="AR581" s="719"/>
      <c r="AS581" s="719"/>
      <c r="AT581" s="719"/>
      <c r="AU581" s="719"/>
      <c r="AV581" s="719"/>
      <c r="AW581" s="719"/>
      <c r="AX581" s="719"/>
      <c r="AY581" s="719"/>
      <c r="AZ581" s="719"/>
      <c r="BA581" s="719"/>
      <c r="BB581" s="719"/>
      <c r="BC581" s="719"/>
      <c r="BD581" s="719"/>
      <c r="BE581" s="719"/>
      <c r="BF581" s="719"/>
      <c r="BG581" s="719"/>
      <c r="BH581" s="719"/>
      <c r="BI581" s="719"/>
      <c r="BJ581" s="719"/>
    </row>
    <row r="582" spans="2:62" ht="15.75" customHeight="1">
      <c r="B582" s="497"/>
      <c r="C582" s="811"/>
      <c r="D582" s="811"/>
      <c r="E582" s="811"/>
      <c r="F582" s="811"/>
      <c r="G582" s="811"/>
      <c r="H582" s="811"/>
      <c r="I582" s="811"/>
      <c r="J582" s="811"/>
      <c r="K582" s="811"/>
      <c r="L582" s="811"/>
      <c r="M582" s="811"/>
      <c r="N582" s="811"/>
      <c r="O582" s="811"/>
      <c r="P582" s="811"/>
      <c r="Q582" s="811"/>
      <c r="R582" s="811"/>
      <c r="S582" s="811"/>
      <c r="T582" s="811"/>
      <c r="U582" s="811"/>
      <c r="V582" s="811"/>
      <c r="W582" s="811"/>
      <c r="X582" s="811"/>
      <c r="Y582" s="719"/>
      <c r="Z582" s="719"/>
      <c r="AA582" s="719"/>
      <c r="AB582" s="719"/>
      <c r="AC582" s="719"/>
      <c r="AD582" s="719"/>
      <c r="AE582" s="719"/>
      <c r="AF582" s="719"/>
      <c r="AG582" s="719"/>
      <c r="AH582" s="719"/>
      <c r="AI582" s="719"/>
      <c r="AJ582" s="719"/>
      <c r="AK582" s="719"/>
      <c r="AL582" s="719"/>
      <c r="AM582" s="719"/>
      <c r="AN582" s="719"/>
      <c r="AO582" s="719"/>
      <c r="AP582" s="719"/>
      <c r="AQ582" s="719"/>
      <c r="AR582" s="719"/>
      <c r="AS582" s="719"/>
      <c r="AT582" s="719"/>
      <c r="AU582" s="719"/>
      <c r="AV582" s="719"/>
      <c r="AW582" s="719"/>
      <c r="AX582" s="719"/>
      <c r="AY582" s="719"/>
      <c r="AZ582" s="719"/>
      <c r="BA582" s="719"/>
      <c r="BB582" s="719"/>
      <c r="BC582" s="719"/>
      <c r="BD582" s="719"/>
      <c r="BE582" s="719"/>
      <c r="BF582" s="719"/>
      <c r="BG582" s="719"/>
      <c r="BH582" s="719"/>
      <c r="BI582" s="719"/>
      <c r="BJ582" s="719"/>
    </row>
    <row r="583" spans="2:62" ht="15.75" customHeight="1">
      <c r="B583" s="497"/>
      <c r="C583" s="811"/>
      <c r="D583" s="811"/>
      <c r="E583" s="811"/>
      <c r="F583" s="811"/>
      <c r="G583" s="811"/>
      <c r="H583" s="811"/>
      <c r="I583" s="811"/>
      <c r="J583" s="811"/>
      <c r="K583" s="811"/>
      <c r="L583" s="811"/>
      <c r="M583" s="811"/>
      <c r="N583" s="811"/>
      <c r="O583" s="811"/>
      <c r="P583" s="811"/>
      <c r="Q583" s="811"/>
      <c r="R583" s="811"/>
      <c r="S583" s="811"/>
      <c r="T583" s="811"/>
      <c r="U583" s="811"/>
      <c r="V583" s="811"/>
      <c r="W583" s="811"/>
      <c r="X583" s="811"/>
      <c r="Y583" s="719"/>
      <c r="Z583" s="719"/>
      <c r="AA583" s="719"/>
      <c r="AB583" s="719"/>
      <c r="AC583" s="719"/>
      <c r="AD583" s="719"/>
      <c r="AE583" s="719"/>
      <c r="AF583" s="719"/>
      <c r="AG583" s="719"/>
      <c r="AH583" s="719"/>
      <c r="AI583" s="719"/>
      <c r="AJ583" s="719"/>
      <c r="AK583" s="719"/>
      <c r="AL583" s="719"/>
      <c r="AM583" s="719"/>
      <c r="AN583" s="719"/>
      <c r="AO583" s="719"/>
      <c r="AP583" s="719"/>
      <c r="AQ583" s="719"/>
      <c r="AR583" s="719"/>
      <c r="AS583" s="719"/>
      <c r="AT583" s="719"/>
      <c r="AU583" s="719"/>
      <c r="AV583" s="719"/>
      <c r="AW583" s="719"/>
      <c r="AX583" s="719"/>
      <c r="AY583" s="719"/>
      <c r="AZ583" s="719"/>
      <c r="BA583" s="719"/>
      <c r="BB583" s="719"/>
      <c r="BC583" s="719"/>
      <c r="BD583" s="719"/>
      <c r="BE583" s="719"/>
      <c r="BF583" s="719"/>
      <c r="BG583" s="719"/>
      <c r="BH583" s="719"/>
      <c r="BI583" s="719"/>
      <c r="BJ583" s="719"/>
    </row>
    <row r="584" spans="2:62" ht="15.75" customHeight="1">
      <c r="B584" s="497"/>
      <c r="C584" s="811"/>
      <c r="D584" s="811"/>
      <c r="E584" s="811"/>
      <c r="F584" s="811"/>
      <c r="G584" s="811"/>
      <c r="H584" s="811"/>
      <c r="I584" s="811"/>
      <c r="J584" s="811"/>
      <c r="K584" s="811"/>
      <c r="L584" s="811"/>
      <c r="M584" s="811"/>
      <c r="N584" s="811"/>
      <c r="O584" s="811"/>
      <c r="P584" s="811"/>
      <c r="Q584" s="811"/>
      <c r="R584" s="811"/>
      <c r="S584" s="811"/>
      <c r="T584" s="811"/>
      <c r="U584" s="811"/>
      <c r="V584" s="811"/>
      <c r="W584" s="811"/>
      <c r="X584" s="811"/>
      <c r="Y584" s="719"/>
      <c r="Z584" s="719"/>
      <c r="AA584" s="719"/>
      <c r="AB584" s="719"/>
      <c r="AC584" s="719"/>
      <c r="AD584" s="719"/>
      <c r="AE584" s="719"/>
      <c r="AF584" s="719"/>
      <c r="AG584" s="719"/>
      <c r="AH584" s="719"/>
      <c r="AI584" s="719"/>
      <c r="AJ584" s="719"/>
      <c r="AK584" s="719"/>
      <c r="AL584" s="719"/>
      <c r="AM584" s="719"/>
      <c r="AN584" s="719"/>
      <c r="AO584" s="719"/>
      <c r="AP584" s="719"/>
      <c r="AQ584" s="719"/>
      <c r="AR584" s="719"/>
      <c r="AS584" s="719"/>
      <c r="AT584" s="719"/>
      <c r="AU584" s="719"/>
      <c r="AV584" s="719"/>
      <c r="AW584" s="719"/>
      <c r="AX584" s="719"/>
      <c r="AY584" s="719"/>
      <c r="AZ584" s="719"/>
      <c r="BA584" s="719"/>
      <c r="BB584" s="719"/>
      <c r="BC584" s="719"/>
      <c r="BD584" s="719"/>
      <c r="BE584" s="719"/>
      <c r="BF584" s="719"/>
      <c r="BG584" s="719"/>
      <c r="BH584" s="719"/>
      <c r="BI584" s="719"/>
      <c r="BJ584" s="719"/>
    </row>
    <row r="585" spans="2:62" ht="15.75" customHeight="1">
      <c r="B585" s="497"/>
      <c r="C585" s="811"/>
      <c r="D585" s="811"/>
      <c r="E585" s="811"/>
      <c r="F585" s="811"/>
      <c r="G585" s="811"/>
      <c r="H585" s="811"/>
      <c r="I585" s="811"/>
      <c r="J585" s="811"/>
      <c r="K585" s="811"/>
      <c r="L585" s="811"/>
      <c r="M585" s="811"/>
      <c r="N585" s="811"/>
      <c r="O585" s="811"/>
      <c r="P585" s="811"/>
      <c r="Q585" s="811"/>
      <c r="R585" s="811"/>
      <c r="S585" s="811"/>
      <c r="T585" s="811"/>
      <c r="U585" s="811"/>
      <c r="V585" s="811"/>
      <c r="W585" s="811"/>
      <c r="X585" s="811"/>
      <c r="Y585" s="719"/>
      <c r="Z585" s="719"/>
      <c r="AA585" s="719"/>
      <c r="AB585" s="719"/>
      <c r="AC585" s="719"/>
      <c r="AD585" s="719"/>
      <c r="AE585" s="719"/>
      <c r="AF585" s="719"/>
      <c r="AG585" s="719"/>
      <c r="AH585" s="719"/>
      <c r="AI585" s="719"/>
      <c r="AJ585" s="719"/>
      <c r="AK585" s="719"/>
      <c r="AL585" s="719"/>
      <c r="AM585" s="719"/>
      <c r="AN585" s="719"/>
      <c r="AO585" s="719"/>
      <c r="AP585" s="719"/>
      <c r="AQ585" s="719"/>
      <c r="AR585" s="719"/>
      <c r="AS585" s="719"/>
      <c r="AT585" s="719"/>
      <c r="AU585" s="719"/>
      <c r="AV585" s="719"/>
      <c r="AW585" s="719"/>
      <c r="AX585" s="719"/>
      <c r="AY585" s="719"/>
      <c r="AZ585" s="719"/>
      <c r="BA585" s="719"/>
      <c r="BB585" s="719"/>
      <c r="BC585" s="719"/>
      <c r="BD585" s="719"/>
      <c r="BE585" s="719"/>
      <c r="BF585" s="719"/>
      <c r="BG585" s="719"/>
      <c r="BH585" s="719"/>
      <c r="BI585" s="719"/>
      <c r="BJ585" s="719"/>
    </row>
    <row r="586" spans="2:62" ht="15.75" customHeight="1">
      <c r="B586" s="497"/>
      <c r="C586" s="811"/>
      <c r="D586" s="811"/>
      <c r="E586" s="811"/>
      <c r="F586" s="811"/>
      <c r="G586" s="811"/>
      <c r="H586" s="811"/>
      <c r="I586" s="811"/>
      <c r="J586" s="811"/>
      <c r="K586" s="811"/>
      <c r="L586" s="811"/>
      <c r="M586" s="811"/>
      <c r="N586" s="811"/>
      <c r="O586" s="811"/>
      <c r="P586" s="811"/>
      <c r="Q586" s="811"/>
      <c r="R586" s="811"/>
      <c r="S586" s="811"/>
      <c r="T586" s="811"/>
      <c r="U586" s="811"/>
      <c r="V586" s="811"/>
      <c r="W586" s="811"/>
      <c r="X586" s="811"/>
      <c r="Y586" s="719"/>
      <c r="Z586" s="719"/>
      <c r="AA586" s="719"/>
      <c r="AB586" s="719"/>
      <c r="AC586" s="719"/>
      <c r="AD586" s="719"/>
      <c r="AE586" s="719"/>
      <c r="AF586" s="719"/>
      <c r="AG586" s="719"/>
      <c r="AH586" s="719"/>
      <c r="AI586" s="719"/>
      <c r="AJ586" s="719"/>
      <c r="AK586" s="719"/>
      <c r="AL586" s="719"/>
      <c r="AM586" s="719"/>
      <c r="AN586" s="719"/>
      <c r="AO586" s="719"/>
      <c r="AP586" s="719"/>
      <c r="AQ586" s="719"/>
      <c r="AR586" s="719"/>
      <c r="AS586" s="719"/>
      <c r="AT586" s="719"/>
      <c r="AU586" s="719"/>
      <c r="AV586" s="719"/>
      <c r="AW586" s="719"/>
      <c r="AX586" s="719"/>
      <c r="AY586" s="719"/>
      <c r="AZ586" s="719"/>
      <c r="BA586" s="719"/>
      <c r="BB586" s="719"/>
      <c r="BC586" s="719"/>
      <c r="BD586" s="719"/>
      <c r="BE586" s="719"/>
      <c r="BF586" s="719"/>
      <c r="BG586" s="719"/>
      <c r="BH586" s="719"/>
      <c r="BI586" s="719"/>
      <c r="BJ586" s="719"/>
    </row>
    <row r="587" spans="2:62" ht="15.75" customHeight="1">
      <c r="B587" s="497"/>
      <c r="C587" s="811"/>
      <c r="D587" s="811"/>
      <c r="E587" s="811"/>
      <c r="F587" s="811"/>
      <c r="G587" s="811"/>
      <c r="H587" s="811"/>
      <c r="I587" s="811"/>
      <c r="J587" s="811"/>
      <c r="K587" s="811"/>
      <c r="L587" s="811"/>
      <c r="M587" s="811"/>
      <c r="N587" s="811"/>
      <c r="O587" s="811"/>
      <c r="P587" s="811"/>
      <c r="Q587" s="811"/>
      <c r="R587" s="811"/>
      <c r="S587" s="811"/>
      <c r="T587" s="811"/>
      <c r="U587" s="811"/>
      <c r="V587" s="811"/>
      <c r="W587" s="811"/>
      <c r="X587" s="811"/>
      <c r="Y587" s="719"/>
      <c r="Z587" s="719"/>
      <c r="AA587" s="719"/>
      <c r="AB587" s="719"/>
      <c r="AC587" s="719"/>
      <c r="AD587" s="719"/>
      <c r="AE587" s="719"/>
      <c r="AF587" s="719"/>
      <c r="AG587" s="719"/>
      <c r="AH587" s="719"/>
      <c r="AI587" s="719"/>
      <c r="AJ587" s="719"/>
      <c r="AK587" s="719"/>
      <c r="AL587" s="719"/>
      <c r="AM587" s="719"/>
      <c r="AN587" s="719"/>
      <c r="AO587" s="719"/>
      <c r="AP587" s="719"/>
      <c r="AQ587" s="719"/>
      <c r="AR587" s="719"/>
      <c r="AS587" s="719"/>
      <c r="AT587" s="719"/>
      <c r="AU587" s="719"/>
      <c r="AV587" s="719"/>
      <c r="AW587" s="719"/>
      <c r="AX587" s="719"/>
      <c r="AY587" s="719"/>
      <c r="AZ587" s="719"/>
      <c r="BA587" s="719"/>
      <c r="BB587" s="719"/>
      <c r="BC587" s="719"/>
      <c r="BD587" s="719"/>
      <c r="BE587" s="719"/>
      <c r="BF587" s="719"/>
      <c r="BG587" s="719"/>
      <c r="BH587" s="719"/>
      <c r="BI587" s="719"/>
      <c r="BJ587" s="719"/>
    </row>
    <row r="588" spans="2:62" ht="15.75" customHeight="1">
      <c r="B588" s="497"/>
      <c r="C588" s="811"/>
      <c r="D588" s="811"/>
      <c r="E588" s="811"/>
      <c r="F588" s="811"/>
      <c r="G588" s="811"/>
      <c r="H588" s="811"/>
      <c r="I588" s="811"/>
      <c r="J588" s="811"/>
      <c r="K588" s="811"/>
      <c r="L588" s="811"/>
      <c r="M588" s="811"/>
      <c r="N588" s="811"/>
      <c r="O588" s="811"/>
      <c r="P588" s="811"/>
      <c r="Q588" s="811"/>
      <c r="R588" s="811"/>
      <c r="S588" s="811"/>
      <c r="T588" s="811"/>
      <c r="U588" s="811"/>
      <c r="V588" s="811"/>
      <c r="W588" s="811"/>
      <c r="X588" s="811"/>
      <c r="Y588" s="719"/>
      <c r="Z588" s="719"/>
      <c r="AA588" s="719"/>
      <c r="AB588" s="719"/>
      <c r="AC588" s="719"/>
      <c r="AD588" s="719"/>
      <c r="AE588" s="719"/>
      <c r="AF588" s="719"/>
      <c r="AG588" s="719"/>
      <c r="AH588" s="719"/>
      <c r="AI588" s="719"/>
      <c r="AJ588" s="719"/>
      <c r="AK588" s="719"/>
      <c r="AL588" s="719"/>
      <c r="AM588" s="719"/>
      <c r="AN588" s="719"/>
      <c r="AO588" s="719"/>
      <c r="AP588" s="719"/>
      <c r="AQ588" s="719"/>
      <c r="AR588" s="719"/>
      <c r="AS588" s="719"/>
      <c r="AT588" s="719"/>
      <c r="AU588" s="719"/>
      <c r="AV588" s="719"/>
      <c r="AW588" s="719"/>
      <c r="AX588" s="719"/>
      <c r="AY588" s="719"/>
      <c r="AZ588" s="719"/>
      <c r="BA588" s="719"/>
      <c r="BB588" s="719"/>
      <c r="BC588" s="719"/>
      <c r="BD588" s="719"/>
      <c r="BE588" s="719"/>
      <c r="BF588" s="719"/>
      <c r="BG588" s="719"/>
      <c r="BH588" s="719"/>
      <c r="BI588" s="719"/>
      <c r="BJ588" s="719"/>
    </row>
    <row r="589" spans="2:62" ht="15.75" customHeight="1">
      <c r="B589" s="497"/>
      <c r="C589" s="811"/>
      <c r="D589" s="811"/>
      <c r="E589" s="811"/>
      <c r="F589" s="811"/>
      <c r="G589" s="811"/>
      <c r="H589" s="811"/>
      <c r="I589" s="811"/>
      <c r="J589" s="811"/>
      <c r="K589" s="811"/>
      <c r="L589" s="811"/>
      <c r="M589" s="811"/>
      <c r="N589" s="811"/>
      <c r="O589" s="811"/>
      <c r="P589" s="811"/>
      <c r="Q589" s="811"/>
      <c r="R589" s="811"/>
      <c r="S589" s="811"/>
      <c r="T589" s="811"/>
      <c r="U589" s="811"/>
      <c r="V589" s="811"/>
      <c r="W589" s="811"/>
      <c r="X589" s="811"/>
      <c r="Y589" s="719"/>
      <c r="Z589" s="719"/>
      <c r="AA589" s="719"/>
      <c r="AB589" s="719"/>
      <c r="AC589" s="719"/>
      <c r="AD589" s="719"/>
      <c r="AE589" s="719"/>
      <c r="AF589" s="719"/>
      <c r="AG589" s="719"/>
      <c r="AH589" s="719"/>
      <c r="AI589" s="719"/>
      <c r="AJ589" s="719"/>
      <c r="AK589" s="719"/>
      <c r="AL589" s="719"/>
      <c r="AM589" s="719"/>
      <c r="AN589" s="719"/>
      <c r="AO589" s="719"/>
      <c r="AP589" s="719"/>
      <c r="AQ589" s="719"/>
      <c r="AR589" s="719"/>
      <c r="AS589" s="719"/>
      <c r="AT589" s="719"/>
      <c r="AU589" s="719"/>
      <c r="AV589" s="719"/>
      <c r="AW589" s="719"/>
      <c r="AX589" s="719"/>
      <c r="AY589" s="719"/>
      <c r="AZ589" s="719"/>
      <c r="BA589" s="719"/>
      <c r="BB589" s="719"/>
      <c r="BC589" s="719"/>
      <c r="BD589" s="719"/>
      <c r="BE589" s="719"/>
      <c r="BF589" s="719"/>
      <c r="BG589" s="719"/>
      <c r="BH589" s="719"/>
      <c r="BI589" s="719"/>
      <c r="BJ589" s="719"/>
    </row>
    <row r="590" spans="2:62" ht="15.75" customHeight="1">
      <c r="B590" s="497"/>
      <c r="C590" s="811"/>
      <c r="D590" s="811"/>
      <c r="E590" s="811"/>
      <c r="F590" s="811"/>
      <c r="G590" s="811"/>
      <c r="H590" s="811"/>
      <c r="I590" s="811"/>
      <c r="J590" s="811"/>
      <c r="K590" s="811"/>
      <c r="L590" s="811"/>
      <c r="M590" s="811"/>
      <c r="N590" s="811"/>
      <c r="O590" s="811"/>
      <c r="P590" s="811"/>
      <c r="Q590" s="811"/>
      <c r="R590" s="811"/>
      <c r="S590" s="811"/>
      <c r="T590" s="811"/>
      <c r="U590" s="811"/>
      <c r="V590" s="811"/>
      <c r="W590" s="811"/>
      <c r="X590" s="811"/>
      <c r="Y590" s="719"/>
      <c r="Z590" s="719"/>
      <c r="AA590" s="719"/>
      <c r="AB590" s="719"/>
      <c r="AC590" s="719"/>
      <c r="AD590" s="719"/>
      <c r="AE590" s="719"/>
      <c r="AF590" s="719"/>
      <c r="AG590" s="719"/>
      <c r="AH590" s="719"/>
      <c r="AI590" s="719"/>
      <c r="AJ590" s="719"/>
      <c r="AK590" s="719"/>
      <c r="AL590" s="719"/>
      <c r="AM590" s="719"/>
      <c r="AN590" s="719"/>
      <c r="AO590" s="719"/>
      <c r="AP590" s="719"/>
      <c r="AQ590" s="719"/>
      <c r="AR590" s="719"/>
      <c r="AS590" s="719"/>
      <c r="AT590" s="719"/>
      <c r="AU590" s="719"/>
      <c r="AV590" s="719"/>
      <c r="AW590" s="719"/>
      <c r="AX590" s="719"/>
      <c r="AY590" s="719"/>
      <c r="AZ590" s="719"/>
      <c r="BA590" s="719"/>
      <c r="BB590" s="719"/>
      <c r="BC590" s="719"/>
      <c r="BD590" s="719"/>
      <c r="BE590" s="719"/>
      <c r="BF590" s="719"/>
      <c r="BG590" s="719"/>
      <c r="BH590" s="719"/>
      <c r="BI590" s="719"/>
      <c r="BJ590" s="719"/>
    </row>
    <row r="591" spans="2:62" ht="15.75" customHeight="1">
      <c r="B591" s="497"/>
      <c r="C591" s="811"/>
      <c r="D591" s="811"/>
      <c r="E591" s="811"/>
      <c r="F591" s="811"/>
      <c r="G591" s="811"/>
      <c r="H591" s="811"/>
      <c r="I591" s="811"/>
      <c r="J591" s="811"/>
      <c r="K591" s="811"/>
      <c r="L591" s="811"/>
      <c r="M591" s="811"/>
      <c r="N591" s="811"/>
      <c r="O591" s="811"/>
      <c r="P591" s="811"/>
      <c r="Q591" s="811"/>
      <c r="R591" s="811"/>
      <c r="S591" s="811"/>
      <c r="T591" s="811"/>
      <c r="U591" s="811"/>
      <c r="V591" s="811"/>
      <c r="W591" s="811"/>
      <c r="X591" s="811"/>
      <c r="Y591" s="719"/>
      <c r="Z591" s="719"/>
      <c r="AA591" s="719"/>
      <c r="AB591" s="719"/>
      <c r="AC591" s="719"/>
      <c r="AD591" s="719"/>
      <c r="AE591" s="719"/>
      <c r="AF591" s="719"/>
      <c r="AG591" s="719"/>
      <c r="AH591" s="719"/>
      <c r="AI591" s="719"/>
      <c r="AJ591" s="719"/>
      <c r="AK591" s="719"/>
      <c r="AL591" s="719"/>
      <c r="AM591" s="719"/>
      <c r="AN591" s="719"/>
      <c r="AO591" s="719"/>
      <c r="AP591" s="719"/>
      <c r="AQ591" s="719"/>
      <c r="AR591" s="719"/>
      <c r="AS591" s="719"/>
      <c r="AT591" s="719"/>
      <c r="AU591" s="719"/>
      <c r="AV591" s="719"/>
      <c r="AW591" s="719"/>
      <c r="AX591" s="719"/>
      <c r="AY591" s="719"/>
      <c r="AZ591" s="719"/>
      <c r="BA591" s="719"/>
      <c r="BB591" s="719"/>
      <c r="BC591" s="719"/>
      <c r="BD591" s="719"/>
      <c r="BE591" s="719"/>
      <c r="BF591" s="719"/>
      <c r="BG591" s="719"/>
      <c r="BH591" s="719"/>
      <c r="BI591" s="719"/>
      <c r="BJ591" s="719"/>
    </row>
    <row r="592" spans="2:62" ht="15.75" customHeight="1">
      <c r="B592" s="497"/>
      <c r="C592" s="811"/>
      <c r="D592" s="811"/>
      <c r="E592" s="811"/>
      <c r="F592" s="811"/>
      <c r="G592" s="811"/>
      <c r="H592" s="811"/>
      <c r="I592" s="811"/>
      <c r="J592" s="811"/>
      <c r="K592" s="811"/>
      <c r="L592" s="811"/>
      <c r="M592" s="811"/>
      <c r="N592" s="811"/>
      <c r="O592" s="811"/>
      <c r="P592" s="811"/>
      <c r="Q592" s="811"/>
      <c r="R592" s="811"/>
      <c r="S592" s="811"/>
      <c r="T592" s="811"/>
      <c r="U592" s="811"/>
      <c r="V592" s="811"/>
      <c r="W592" s="811"/>
      <c r="X592" s="811"/>
      <c r="Y592" s="719"/>
      <c r="Z592" s="719"/>
      <c r="AA592" s="719"/>
      <c r="AB592" s="719"/>
      <c r="AC592" s="719"/>
      <c r="AD592" s="719"/>
      <c r="AE592" s="719"/>
      <c r="AF592" s="719"/>
      <c r="AG592" s="719"/>
      <c r="AH592" s="719"/>
      <c r="AI592" s="719"/>
      <c r="AJ592" s="719"/>
      <c r="AK592" s="719"/>
      <c r="AL592" s="719"/>
      <c r="AM592" s="719"/>
      <c r="AN592" s="719"/>
      <c r="AO592" s="719"/>
      <c r="AP592" s="719"/>
      <c r="AQ592" s="719"/>
      <c r="AR592" s="719"/>
      <c r="AS592" s="719"/>
      <c r="AT592" s="719"/>
      <c r="AU592" s="719"/>
      <c r="AV592" s="719"/>
      <c r="AW592" s="719"/>
      <c r="AX592" s="719"/>
      <c r="AY592" s="719"/>
      <c r="AZ592" s="719"/>
      <c r="BA592" s="719"/>
      <c r="BB592" s="719"/>
      <c r="BC592" s="719"/>
      <c r="BD592" s="719"/>
      <c r="BE592" s="719"/>
      <c r="BF592" s="719"/>
      <c r="BG592" s="719"/>
      <c r="BH592" s="719"/>
      <c r="BI592" s="719"/>
      <c r="BJ592" s="719"/>
    </row>
    <row r="593" spans="2:62" ht="15.75" customHeight="1">
      <c r="B593" s="497"/>
      <c r="C593" s="811"/>
      <c r="D593" s="811"/>
      <c r="E593" s="811"/>
      <c r="F593" s="811"/>
      <c r="G593" s="811"/>
      <c r="H593" s="811"/>
      <c r="I593" s="811"/>
      <c r="J593" s="811"/>
      <c r="K593" s="811"/>
      <c r="L593" s="811"/>
      <c r="M593" s="811"/>
      <c r="N593" s="811"/>
      <c r="O593" s="811"/>
      <c r="P593" s="811"/>
      <c r="Q593" s="811"/>
      <c r="R593" s="811"/>
      <c r="S593" s="811"/>
      <c r="T593" s="811"/>
      <c r="U593" s="811"/>
      <c r="V593" s="811"/>
      <c r="W593" s="811"/>
      <c r="X593" s="811"/>
      <c r="Y593" s="719"/>
      <c r="Z593" s="719"/>
      <c r="AA593" s="719"/>
      <c r="AB593" s="719"/>
      <c r="AC593" s="719"/>
      <c r="AD593" s="719"/>
      <c r="AE593" s="719"/>
      <c r="AF593" s="719"/>
      <c r="AG593" s="719"/>
      <c r="AH593" s="719"/>
      <c r="AI593" s="719"/>
      <c r="AJ593" s="719"/>
      <c r="AK593" s="719"/>
      <c r="AL593" s="719"/>
      <c r="AM593" s="719"/>
      <c r="AN593" s="719"/>
      <c r="AO593" s="719"/>
      <c r="AP593" s="719"/>
      <c r="AQ593" s="719"/>
      <c r="AR593" s="719"/>
      <c r="AS593" s="719"/>
      <c r="AT593" s="719"/>
      <c r="AU593" s="719"/>
      <c r="AV593" s="719"/>
      <c r="AW593" s="719"/>
      <c r="AX593" s="719"/>
      <c r="AY593" s="719"/>
      <c r="AZ593" s="719"/>
      <c r="BA593" s="719"/>
      <c r="BB593" s="719"/>
      <c r="BC593" s="719"/>
      <c r="BD593" s="719"/>
      <c r="BE593" s="719"/>
      <c r="BF593" s="719"/>
      <c r="BG593" s="719"/>
      <c r="BH593" s="719"/>
      <c r="BI593" s="719"/>
      <c r="BJ593" s="719"/>
    </row>
    <row r="594" spans="2:62" ht="15.75" customHeight="1">
      <c r="B594" s="497"/>
      <c r="C594" s="811"/>
      <c r="D594" s="811"/>
      <c r="E594" s="811"/>
      <c r="F594" s="811"/>
      <c r="G594" s="811"/>
      <c r="H594" s="811"/>
      <c r="I594" s="811"/>
      <c r="J594" s="811"/>
      <c r="K594" s="811"/>
      <c r="L594" s="811"/>
      <c r="M594" s="811"/>
      <c r="N594" s="811"/>
      <c r="O594" s="811"/>
      <c r="P594" s="811"/>
      <c r="Q594" s="811"/>
      <c r="R594" s="811"/>
      <c r="S594" s="811"/>
      <c r="T594" s="811"/>
      <c r="U594" s="811"/>
      <c r="V594" s="811"/>
      <c r="W594" s="811"/>
      <c r="X594" s="811"/>
      <c r="Y594" s="719"/>
      <c r="Z594" s="719"/>
      <c r="AA594" s="719"/>
      <c r="AB594" s="719"/>
      <c r="AC594" s="719"/>
      <c r="AD594" s="719"/>
      <c r="AE594" s="719"/>
      <c r="AF594" s="719"/>
      <c r="AG594" s="719"/>
      <c r="AH594" s="719"/>
      <c r="AI594" s="719"/>
      <c r="AJ594" s="719"/>
      <c r="AK594" s="719"/>
      <c r="AL594" s="719"/>
      <c r="AM594" s="719"/>
      <c r="AN594" s="719"/>
      <c r="AO594" s="719"/>
      <c r="AP594" s="719"/>
      <c r="AQ594" s="719"/>
      <c r="AR594" s="719"/>
      <c r="AS594" s="719"/>
      <c r="AT594" s="719"/>
      <c r="AU594" s="719"/>
      <c r="AV594" s="719"/>
      <c r="AW594" s="719"/>
      <c r="AX594" s="719"/>
      <c r="AY594" s="719"/>
      <c r="AZ594" s="719"/>
      <c r="BA594" s="719"/>
      <c r="BB594" s="719"/>
      <c r="BC594" s="719"/>
      <c r="BD594" s="719"/>
      <c r="BE594" s="719"/>
      <c r="BF594" s="719"/>
      <c r="BG594" s="719"/>
      <c r="BH594" s="719"/>
      <c r="BI594" s="719"/>
      <c r="BJ594" s="719"/>
    </row>
    <row r="595" spans="2:62" ht="15.75" customHeight="1">
      <c r="B595" s="497"/>
      <c r="C595" s="811"/>
      <c r="D595" s="811"/>
      <c r="E595" s="811"/>
      <c r="F595" s="811"/>
      <c r="G595" s="811"/>
      <c r="H595" s="811"/>
      <c r="I595" s="811"/>
      <c r="J595" s="811"/>
      <c r="K595" s="811"/>
      <c r="L595" s="811"/>
      <c r="M595" s="811"/>
      <c r="N595" s="811"/>
      <c r="O595" s="811"/>
      <c r="P595" s="811"/>
      <c r="Q595" s="811"/>
      <c r="R595" s="811"/>
      <c r="S595" s="811"/>
      <c r="T595" s="811"/>
      <c r="U595" s="811"/>
      <c r="V595" s="811"/>
      <c r="W595" s="811"/>
      <c r="X595" s="811"/>
      <c r="Y595" s="719"/>
      <c r="Z595" s="719"/>
      <c r="AA595" s="719"/>
      <c r="AB595" s="719"/>
      <c r="AC595" s="719"/>
      <c r="AD595" s="719"/>
      <c r="AE595" s="719"/>
      <c r="AF595" s="719"/>
      <c r="AG595" s="719"/>
      <c r="AH595" s="719"/>
      <c r="AI595" s="719"/>
      <c r="AJ595" s="719"/>
      <c r="AK595" s="719"/>
      <c r="AL595" s="719"/>
      <c r="AM595" s="719"/>
      <c r="AN595" s="719"/>
      <c r="AO595" s="719"/>
      <c r="AP595" s="719"/>
      <c r="AQ595" s="719"/>
      <c r="AR595" s="719"/>
      <c r="AS595" s="719"/>
      <c r="AT595" s="719"/>
      <c r="AU595" s="719"/>
      <c r="AV595" s="719"/>
      <c r="AW595" s="719"/>
      <c r="AX595" s="719"/>
      <c r="AY595" s="719"/>
      <c r="AZ595" s="719"/>
      <c r="BA595" s="719"/>
      <c r="BB595" s="719"/>
      <c r="BC595" s="719"/>
      <c r="BD595" s="719"/>
      <c r="BE595" s="719"/>
      <c r="BF595" s="719"/>
      <c r="BG595" s="719"/>
      <c r="BH595" s="719"/>
      <c r="BI595" s="719"/>
      <c r="BJ595" s="719"/>
    </row>
    <row r="596" spans="2:62" ht="15.75" customHeight="1">
      <c r="B596" s="497"/>
      <c r="C596" s="811"/>
      <c r="D596" s="811"/>
      <c r="E596" s="811"/>
      <c r="F596" s="811"/>
      <c r="G596" s="811"/>
      <c r="H596" s="811"/>
      <c r="I596" s="811"/>
      <c r="J596" s="811"/>
      <c r="K596" s="811"/>
      <c r="L596" s="811"/>
      <c r="M596" s="811"/>
      <c r="N596" s="811"/>
      <c r="O596" s="811"/>
      <c r="P596" s="811"/>
      <c r="Q596" s="811"/>
      <c r="R596" s="811"/>
      <c r="S596" s="811"/>
      <c r="T596" s="811"/>
      <c r="U596" s="811"/>
      <c r="V596" s="811"/>
      <c r="W596" s="811"/>
      <c r="X596" s="811"/>
      <c r="Y596" s="719"/>
      <c r="Z596" s="719"/>
      <c r="AA596" s="719"/>
      <c r="AB596" s="719"/>
      <c r="AC596" s="719"/>
      <c r="AD596" s="719"/>
      <c r="AE596" s="719"/>
      <c r="AF596" s="719"/>
      <c r="AG596" s="719"/>
      <c r="AH596" s="719"/>
      <c r="AI596" s="719"/>
      <c r="AJ596" s="719"/>
      <c r="AK596" s="719"/>
      <c r="AL596" s="719"/>
      <c r="AM596" s="719"/>
      <c r="AN596" s="719"/>
      <c r="AO596" s="719"/>
      <c r="AP596" s="719"/>
      <c r="AQ596" s="719"/>
      <c r="AR596" s="719"/>
      <c r="AS596" s="719"/>
      <c r="AT596" s="719"/>
      <c r="AU596" s="719"/>
      <c r="AV596" s="719"/>
      <c r="AW596" s="719"/>
      <c r="AX596" s="719"/>
      <c r="AY596" s="719"/>
      <c r="AZ596" s="719"/>
      <c r="BA596" s="719"/>
      <c r="BB596" s="719"/>
      <c r="BC596" s="719"/>
      <c r="BD596" s="719"/>
      <c r="BE596" s="719"/>
      <c r="BF596" s="719"/>
      <c r="BG596" s="719"/>
      <c r="BH596" s="719"/>
      <c r="BI596" s="719"/>
      <c r="BJ596" s="719"/>
    </row>
    <row r="597" spans="2:62" ht="15.75" customHeight="1">
      <c r="B597" s="497"/>
      <c r="C597" s="811"/>
      <c r="D597" s="811"/>
      <c r="E597" s="811"/>
      <c r="F597" s="811"/>
      <c r="G597" s="811"/>
      <c r="H597" s="811"/>
      <c r="I597" s="811"/>
      <c r="J597" s="811"/>
      <c r="K597" s="811"/>
      <c r="L597" s="811"/>
      <c r="M597" s="811"/>
      <c r="N597" s="811"/>
      <c r="O597" s="811"/>
      <c r="P597" s="811"/>
      <c r="Q597" s="811"/>
      <c r="R597" s="811"/>
      <c r="S597" s="811"/>
      <c r="T597" s="811"/>
      <c r="U597" s="811"/>
      <c r="V597" s="811"/>
      <c r="W597" s="811"/>
      <c r="X597" s="811"/>
      <c r="Y597" s="719"/>
      <c r="Z597" s="719"/>
      <c r="AA597" s="719"/>
      <c r="AB597" s="719"/>
      <c r="AC597" s="719"/>
      <c r="AD597" s="719"/>
      <c r="AE597" s="719"/>
      <c r="AF597" s="719"/>
      <c r="AG597" s="719"/>
      <c r="AH597" s="719"/>
      <c r="AI597" s="719"/>
      <c r="AJ597" s="719"/>
      <c r="AK597" s="719"/>
      <c r="AL597" s="719"/>
      <c r="AM597" s="719"/>
      <c r="AN597" s="719"/>
      <c r="AO597" s="719"/>
      <c r="AP597" s="719"/>
      <c r="AQ597" s="719"/>
      <c r="AR597" s="719"/>
      <c r="AS597" s="719"/>
      <c r="AT597" s="719"/>
      <c r="AU597" s="719"/>
      <c r="AV597" s="719"/>
      <c r="AW597" s="719"/>
      <c r="AX597" s="719"/>
      <c r="AY597" s="719"/>
      <c r="AZ597" s="719"/>
      <c r="BA597" s="719"/>
      <c r="BB597" s="719"/>
      <c r="BC597" s="719"/>
      <c r="BD597" s="719"/>
      <c r="BE597" s="719"/>
      <c r="BF597" s="719"/>
      <c r="BG597" s="719"/>
      <c r="BH597" s="719"/>
      <c r="BI597" s="719"/>
      <c r="BJ597" s="719"/>
    </row>
    <row r="598" spans="2:62" ht="15.75" customHeight="1">
      <c r="B598" s="497"/>
      <c r="C598" s="811"/>
      <c r="D598" s="811"/>
      <c r="E598" s="811"/>
      <c r="F598" s="811"/>
      <c r="G598" s="811"/>
      <c r="H598" s="811"/>
      <c r="I598" s="811"/>
      <c r="J598" s="811"/>
      <c r="K598" s="811"/>
      <c r="L598" s="811"/>
      <c r="M598" s="811"/>
      <c r="N598" s="811"/>
      <c r="O598" s="811"/>
      <c r="P598" s="811"/>
      <c r="Q598" s="811"/>
      <c r="R598" s="811"/>
      <c r="S598" s="811"/>
      <c r="T598" s="811"/>
      <c r="U598" s="811"/>
      <c r="V598" s="811"/>
      <c r="W598" s="811"/>
      <c r="X598" s="811"/>
      <c r="Y598" s="719"/>
      <c r="Z598" s="719"/>
      <c r="AA598" s="719"/>
      <c r="AB598" s="719"/>
      <c r="AC598" s="719"/>
      <c r="AD598" s="719"/>
      <c r="AE598" s="719"/>
      <c r="AF598" s="719"/>
      <c r="AG598" s="719"/>
      <c r="AH598" s="719"/>
      <c r="AI598" s="719"/>
      <c r="AJ598" s="719"/>
      <c r="AK598" s="719"/>
      <c r="AL598" s="719"/>
      <c r="AM598" s="719"/>
      <c r="AN598" s="719"/>
      <c r="AO598" s="719"/>
      <c r="AP598" s="719"/>
      <c r="AQ598" s="719"/>
      <c r="AR598" s="719"/>
      <c r="AS598" s="719"/>
      <c r="AT598" s="719"/>
      <c r="AU598" s="719"/>
      <c r="AV598" s="719"/>
      <c r="AW598" s="719"/>
      <c r="AX598" s="719"/>
      <c r="AY598" s="719"/>
      <c r="AZ598" s="719"/>
      <c r="BA598" s="719"/>
      <c r="BB598" s="719"/>
      <c r="BC598" s="719"/>
      <c r="BD598" s="719"/>
      <c r="BE598" s="719"/>
      <c r="BF598" s="719"/>
      <c r="BG598" s="719"/>
      <c r="BH598" s="719"/>
      <c r="BI598" s="719"/>
      <c r="BJ598" s="719"/>
    </row>
    <row r="599" spans="2:62" ht="15.75" customHeight="1">
      <c r="B599" s="497"/>
      <c r="C599" s="811"/>
      <c r="D599" s="811"/>
      <c r="E599" s="811"/>
      <c r="F599" s="811"/>
      <c r="G599" s="811"/>
      <c r="H599" s="811"/>
      <c r="I599" s="811"/>
      <c r="J599" s="811"/>
      <c r="K599" s="811"/>
      <c r="L599" s="811"/>
      <c r="M599" s="811"/>
      <c r="N599" s="811"/>
      <c r="O599" s="811"/>
      <c r="P599" s="811"/>
      <c r="Q599" s="811"/>
      <c r="R599" s="811"/>
      <c r="S599" s="811"/>
      <c r="T599" s="811"/>
      <c r="U599" s="811"/>
      <c r="V599" s="811"/>
      <c r="W599" s="811"/>
      <c r="X599" s="811"/>
      <c r="Y599" s="719"/>
      <c r="Z599" s="719"/>
      <c r="AA599" s="719"/>
      <c r="AB599" s="719"/>
      <c r="AC599" s="719"/>
      <c r="AD599" s="719"/>
      <c r="AE599" s="719"/>
      <c r="AF599" s="719"/>
      <c r="AG599" s="719"/>
      <c r="AH599" s="719"/>
      <c r="AI599" s="719"/>
      <c r="AJ599" s="719"/>
      <c r="AK599" s="719"/>
      <c r="AL599" s="719"/>
      <c r="AM599" s="719"/>
      <c r="AN599" s="719"/>
      <c r="AO599" s="719"/>
      <c r="AP599" s="719"/>
      <c r="AQ599" s="719"/>
      <c r="AR599" s="719"/>
      <c r="AS599" s="719"/>
      <c r="AT599" s="719"/>
      <c r="AU599" s="719"/>
      <c r="AV599" s="719"/>
      <c r="AW599" s="719"/>
      <c r="AX599" s="719"/>
      <c r="AY599" s="719"/>
      <c r="AZ599" s="719"/>
      <c r="BA599" s="719"/>
      <c r="BB599" s="719"/>
      <c r="BC599" s="719"/>
      <c r="BD599" s="719"/>
      <c r="BE599" s="719"/>
      <c r="BF599" s="719"/>
      <c r="BG599" s="719"/>
      <c r="BH599" s="719"/>
      <c r="BI599" s="719"/>
      <c r="BJ599" s="719"/>
    </row>
    <row r="600" spans="2:62" ht="15.75" customHeight="1">
      <c r="B600" s="497"/>
      <c r="C600" s="811"/>
      <c r="D600" s="811"/>
      <c r="E600" s="811"/>
      <c r="F600" s="811"/>
      <c r="G600" s="811"/>
      <c r="H600" s="811"/>
      <c r="I600" s="811"/>
      <c r="J600" s="811"/>
      <c r="K600" s="811"/>
      <c r="L600" s="811"/>
      <c r="M600" s="811"/>
      <c r="N600" s="811"/>
      <c r="O600" s="811"/>
      <c r="P600" s="811"/>
      <c r="Q600" s="811"/>
      <c r="R600" s="811"/>
      <c r="S600" s="811"/>
      <c r="T600" s="811"/>
      <c r="U600" s="811"/>
      <c r="V600" s="811"/>
      <c r="W600" s="811"/>
      <c r="X600" s="811"/>
      <c r="Y600" s="719"/>
      <c r="Z600" s="719"/>
      <c r="AA600" s="719"/>
      <c r="AB600" s="719"/>
      <c r="AC600" s="719"/>
      <c r="AD600" s="719"/>
      <c r="AE600" s="719"/>
      <c r="AF600" s="719"/>
      <c r="AG600" s="719"/>
      <c r="AH600" s="719"/>
      <c r="AI600" s="719"/>
      <c r="AJ600" s="719"/>
      <c r="AK600" s="719"/>
      <c r="AL600" s="719"/>
      <c r="AM600" s="719"/>
      <c r="AN600" s="719"/>
      <c r="AO600" s="719"/>
      <c r="AP600" s="719"/>
      <c r="AQ600" s="719"/>
      <c r="AR600" s="719"/>
      <c r="AS600" s="719"/>
      <c r="AT600" s="719"/>
      <c r="AU600" s="719"/>
      <c r="AV600" s="719"/>
      <c r="AW600" s="719"/>
      <c r="AX600" s="719"/>
      <c r="AY600" s="719"/>
      <c r="AZ600" s="719"/>
      <c r="BA600" s="719"/>
      <c r="BB600" s="719"/>
      <c r="BC600" s="719"/>
      <c r="BD600" s="719"/>
      <c r="BE600" s="719"/>
      <c r="BF600" s="719"/>
      <c r="BG600" s="719"/>
      <c r="BH600" s="719"/>
      <c r="BI600" s="719"/>
      <c r="BJ600" s="719"/>
    </row>
    <row r="601" spans="2:62" ht="15.75" customHeight="1">
      <c r="B601" s="497"/>
      <c r="C601" s="811"/>
      <c r="D601" s="811"/>
      <c r="E601" s="811"/>
      <c r="F601" s="811"/>
      <c r="G601" s="811"/>
      <c r="H601" s="811"/>
      <c r="I601" s="811"/>
      <c r="J601" s="811"/>
      <c r="K601" s="811"/>
      <c r="L601" s="811"/>
      <c r="M601" s="811"/>
      <c r="N601" s="811"/>
      <c r="O601" s="811"/>
      <c r="P601" s="811"/>
      <c r="Q601" s="811"/>
      <c r="R601" s="811"/>
      <c r="S601" s="811"/>
      <c r="T601" s="811"/>
      <c r="U601" s="811"/>
      <c r="V601" s="811"/>
      <c r="W601" s="811"/>
      <c r="X601" s="811"/>
      <c r="Y601" s="719"/>
      <c r="Z601" s="719"/>
      <c r="AA601" s="719"/>
      <c r="AB601" s="719"/>
      <c r="AC601" s="719"/>
      <c r="AD601" s="719"/>
      <c r="AE601" s="719"/>
      <c r="AF601" s="719"/>
      <c r="AG601" s="719"/>
      <c r="AH601" s="719"/>
      <c r="AI601" s="719"/>
      <c r="AJ601" s="719"/>
      <c r="AK601" s="719"/>
      <c r="AL601" s="719"/>
      <c r="AM601" s="719"/>
      <c r="AN601" s="719"/>
      <c r="AO601" s="719"/>
      <c r="AP601" s="719"/>
      <c r="AQ601" s="719"/>
      <c r="AR601" s="719"/>
      <c r="AS601" s="719"/>
      <c r="AT601" s="719"/>
      <c r="AU601" s="719"/>
      <c r="AV601" s="719"/>
      <c r="AW601" s="719"/>
      <c r="AX601" s="719"/>
      <c r="AY601" s="719"/>
      <c r="AZ601" s="719"/>
      <c r="BA601" s="719"/>
      <c r="BB601" s="719"/>
      <c r="BC601" s="719"/>
      <c r="BD601" s="719"/>
      <c r="BE601" s="719"/>
      <c r="BF601" s="719"/>
      <c r="BG601" s="719"/>
      <c r="BH601" s="719"/>
      <c r="BI601" s="719"/>
      <c r="BJ601" s="719"/>
    </row>
    <row r="602" spans="2:62" ht="15.75" customHeight="1">
      <c r="B602" s="497"/>
      <c r="C602" s="811"/>
      <c r="D602" s="811"/>
      <c r="E602" s="811"/>
      <c r="F602" s="811"/>
      <c r="G602" s="811"/>
      <c r="H602" s="811"/>
      <c r="I602" s="811"/>
      <c r="J602" s="811"/>
      <c r="K602" s="811"/>
      <c r="L602" s="811"/>
      <c r="M602" s="811"/>
      <c r="N602" s="811"/>
      <c r="O602" s="811"/>
      <c r="P602" s="811"/>
      <c r="Q602" s="811"/>
      <c r="R602" s="811"/>
      <c r="S602" s="811"/>
      <c r="T602" s="811"/>
      <c r="U602" s="811"/>
      <c r="V602" s="811"/>
      <c r="W602" s="811"/>
      <c r="X602" s="811"/>
      <c r="Y602" s="719"/>
      <c r="Z602" s="719"/>
      <c r="AA602" s="719"/>
      <c r="AB602" s="719"/>
      <c r="AC602" s="719"/>
      <c r="AD602" s="719"/>
      <c r="AE602" s="719"/>
      <c r="AF602" s="719"/>
      <c r="AG602" s="719"/>
      <c r="AH602" s="719"/>
      <c r="AI602" s="719"/>
      <c r="AJ602" s="719"/>
      <c r="AK602" s="719"/>
      <c r="AL602" s="719"/>
      <c r="AM602" s="719"/>
      <c r="AN602" s="719"/>
      <c r="AO602" s="719"/>
      <c r="AP602" s="719"/>
      <c r="AQ602" s="719"/>
      <c r="AR602" s="719"/>
      <c r="AS602" s="719"/>
      <c r="AT602" s="719"/>
      <c r="AU602" s="719"/>
      <c r="AV602" s="719"/>
      <c r="AW602" s="719"/>
      <c r="AX602" s="719"/>
      <c r="AY602" s="719"/>
      <c r="AZ602" s="719"/>
      <c r="BA602" s="719"/>
      <c r="BB602" s="719"/>
      <c r="BC602" s="719"/>
      <c r="BD602" s="719"/>
      <c r="BE602" s="719"/>
      <c r="BF602" s="719"/>
      <c r="BG602" s="719"/>
      <c r="BH602" s="719"/>
      <c r="BI602" s="719"/>
      <c r="BJ602" s="719"/>
    </row>
    <row r="603" spans="2:62" ht="15.75" customHeight="1">
      <c r="B603" s="497"/>
      <c r="C603" s="811"/>
      <c r="D603" s="811"/>
      <c r="E603" s="811"/>
      <c r="F603" s="811"/>
      <c r="G603" s="811"/>
      <c r="H603" s="811"/>
      <c r="I603" s="811"/>
      <c r="J603" s="811"/>
      <c r="K603" s="811"/>
      <c r="L603" s="811"/>
      <c r="M603" s="811"/>
      <c r="N603" s="811"/>
      <c r="O603" s="811"/>
      <c r="P603" s="811"/>
      <c r="Q603" s="811"/>
      <c r="R603" s="811"/>
      <c r="S603" s="811"/>
      <c r="T603" s="811"/>
      <c r="U603" s="811"/>
      <c r="V603" s="811"/>
      <c r="W603" s="811"/>
      <c r="X603" s="811"/>
      <c r="Y603" s="719"/>
      <c r="Z603" s="719"/>
      <c r="AA603" s="719"/>
      <c r="AB603" s="719"/>
      <c r="AC603" s="719"/>
      <c r="AD603" s="719"/>
      <c r="AE603" s="719"/>
      <c r="AF603" s="719"/>
      <c r="AG603" s="719"/>
      <c r="AH603" s="719"/>
      <c r="AI603" s="719"/>
      <c r="AJ603" s="719"/>
      <c r="AK603" s="719"/>
      <c r="AL603" s="719"/>
      <c r="AM603" s="719"/>
      <c r="AN603" s="719"/>
      <c r="AO603" s="719"/>
      <c r="AP603" s="719"/>
      <c r="AQ603" s="719"/>
      <c r="AR603" s="719"/>
      <c r="AS603" s="719"/>
      <c r="AT603" s="719"/>
      <c r="AU603" s="719"/>
      <c r="AV603" s="719"/>
      <c r="AW603" s="719"/>
      <c r="AX603" s="719"/>
      <c r="AY603" s="719"/>
      <c r="AZ603" s="719"/>
      <c r="BA603" s="719"/>
      <c r="BB603" s="719"/>
      <c r="BC603" s="719"/>
      <c r="BD603" s="719"/>
      <c r="BE603" s="719"/>
      <c r="BF603" s="719"/>
      <c r="BG603" s="719"/>
      <c r="BH603" s="719"/>
      <c r="BI603" s="719"/>
      <c r="BJ603" s="719"/>
    </row>
    <row r="604" spans="2:62" ht="15.75" customHeight="1">
      <c r="B604" s="497"/>
      <c r="C604" s="811"/>
      <c r="D604" s="811"/>
      <c r="E604" s="811"/>
      <c r="F604" s="811"/>
      <c r="G604" s="811"/>
      <c r="H604" s="811"/>
      <c r="I604" s="811"/>
      <c r="J604" s="811"/>
      <c r="K604" s="811"/>
      <c r="L604" s="811"/>
      <c r="M604" s="811"/>
      <c r="N604" s="811"/>
      <c r="O604" s="811"/>
      <c r="P604" s="811"/>
      <c r="Q604" s="811"/>
      <c r="R604" s="811"/>
      <c r="S604" s="811"/>
      <c r="T604" s="811"/>
      <c r="U604" s="811"/>
      <c r="V604" s="811"/>
      <c r="W604" s="811"/>
      <c r="X604" s="811"/>
      <c r="Y604" s="719"/>
      <c r="Z604" s="719"/>
      <c r="AA604" s="719"/>
      <c r="AB604" s="719"/>
      <c r="AC604" s="719"/>
      <c r="AD604" s="719"/>
      <c r="AE604" s="719"/>
      <c r="AF604" s="719"/>
      <c r="AG604" s="719"/>
      <c r="AH604" s="719"/>
      <c r="AI604" s="719"/>
      <c r="AJ604" s="719"/>
      <c r="AK604" s="719"/>
      <c r="AL604" s="719"/>
      <c r="AM604" s="719"/>
      <c r="AN604" s="719"/>
      <c r="AO604" s="719"/>
      <c r="AP604" s="719"/>
      <c r="AQ604" s="719"/>
      <c r="AR604" s="719"/>
      <c r="AS604" s="719"/>
      <c r="AT604" s="719"/>
      <c r="AU604" s="719"/>
      <c r="AV604" s="719"/>
      <c r="AW604" s="719"/>
      <c r="AX604" s="719"/>
      <c r="AY604" s="719"/>
      <c r="AZ604" s="719"/>
      <c r="BA604" s="719"/>
      <c r="BB604" s="719"/>
      <c r="BC604" s="719"/>
      <c r="BD604" s="719"/>
      <c r="BE604" s="719"/>
      <c r="BF604" s="719"/>
      <c r="BG604" s="719"/>
      <c r="BH604" s="719"/>
      <c r="BI604" s="719"/>
      <c r="BJ604" s="719"/>
    </row>
    <row r="605" spans="2:62" ht="15.75" customHeight="1">
      <c r="B605" s="497"/>
      <c r="C605" s="811"/>
      <c r="D605" s="811"/>
      <c r="E605" s="811"/>
      <c r="F605" s="811"/>
      <c r="G605" s="811"/>
      <c r="H605" s="811"/>
      <c r="I605" s="811"/>
      <c r="J605" s="811"/>
      <c r="K605" s="811"/>
      <c r="L605" s="811"/>
      <c r="M605" s="811"/>
      <c r="N605" s="811"/>
      <c r="O605" s="811"/>
      <c r="P605" s="811"/>
      <c r="Q605" s="811"/>
      <c r="R605" s="811"/>
      <c r="S605" s="811"/>
      <c r="T605" s="811"/>
      <c r="U605" s="811"/>
      <c r="V605" s="811"/>
      <c r="W605" s="811"/>
      <c r="X605" s="811"/>
      <c r="Y605" s="719"/>
      <c r="Z605" s="719"/>
      <c r="AA605" s="719"/>
      <c r="AB605" s="719"/>
      <c r="AC605" s="719"/>
      <c r="AD605" s="719"/>
      <c r="AE605" s="719"/>
      <c r="AF605" s="719"/>
      <c r="AG605" s="719"/>
      <c r="AH605" s="719"/>
      <c r="AI605" s="719"/>
      <c r="AJ605" s="719"/>
      <c r="AK605" s="719"/>
      <c r="AL605" s="719"/>
      <c r="AM605" s="719"/>
      <c r="AN605" s="719"/>
      <c r="AO605" s="719"/>
      <c r="AP605" s="719"/>
      <c r="AQ605" s="719"/>
      <c r="AR605" s="719"/>
      <c r="AS605" s="719"/>
      <c r="AT605" s="719"/>
      <c r="AU605" s="719"/>
      <c r="AV605" s="719"/>
      <c r="AW605" s="719"/>
      <c r="AX605" s="719"/>
      <c r="AY605" s="719"/>
      <c r="AZ605" s="719"/>
      <c r="BA605" s="719"/>
      <c r="BB605" s="719"/>
      <c r="BC605" s="719"/>
      <c r="BD605" s="719"/>
      <c r="BE605" s="719"/>
      <c r="BF605" s="719"/>
      <c r="BG605" s="719"/>
      <c r="BH605" s="719"/>
      <c r="BI605" s="719"/>
      <c r="BJ605" s="719"/>
    </row>
    <row r="606" spans="2:62" ht="15.75" customHeight="1">
      <c r="B606" s="497"/>
      <c r="C606" s="811"/>
      <c r="D606" s="811"/>
      <c r="E606" s="811"/>
      <c r="F606" s="811"/>
      <c r="G606" s="811"/>
      <c r="H606" s="811"/>
      <c r="I606" s="811"/>
      <c r="J606" s="811"/>
      <c r="K606" s="811"/>
      <c r="L606" s="811"/>
      <c r="M606" s="811"/>
      <c r="N606" s="811"/>
      <c r="O606" s="811"/>
      <c r="P606" s="811"/>
      <c r="Q606" s="811"/>
      <c r="R606" s="811"/>
      <c r="S606" s="811"/>
      <c r="T606" s="811"/>
      <c r="U606" s="811"/>
      <c r="V606" s="811"/>
      <c r="W606" s="811"/>
      <c r="X606" s="811"/>
      <c r="Y606" s="719"/>
      <c r="Z606" s="719"/>
      <c r="AA606" s="719"/>
      <c r="AB606" s="719"/>
      <c r="AC606" s="719"/>
      <c r="AD606" s="719"/>
      <c r="AE606" s="719"/>
      <c r="AF606" s="719"/>
      <c r="AG606" s="719"/>
      <c r="AH606" s="719"/>
      <c r="AI606" s="719"/>
      <c r="AJ606" s="719"/>
      <c r="AK606" s="719"/>
      <c r="AL606" s="719"/>
      <c r="AM606" s="719"/>
      <c r="AN606" s="719"/>
      <c r="AO606" s="719"/>
      <c r="AP606" s="719"/>
      <c r="AQ606" s="719"/>
      <c r="AR606" s="719"/>
      <c r="AS606" s="719"/>
      <c r="AT606" s="719"/>
      <c r="AU606" s="719"/>
      <c r="AV606" s="719"/>
      <c r="AW606" s="719"/>
      <c r="AX606" s="719"/>
      <c r="AY606" s="719"/>
      <c r="AZ606" s="719"/>
      <c r="BA606" s="719"/>
      <c r="BB606" s="719"/>
      <c r="BC606" s="719"/>
      <c r="BD606" s="719"/>
      <c r="BE606" s="719"/>
      <c r="BF606" s="719"/>
      <c r="BG606" s="719"/>
      <c r="BH606" s="719"/>
      <c r="BI606" s="719"/>
      <c r="BJ606" s="719"/>
    </row>
    <row r="607" spans="2:62" ht="15.75" customHeight="1">
      <c r="B607" s="497"/>
      <c r="C607" s="811"/>
      <c r="D607" s="811"/>
      <c r="E607" s="811"/>
      <c r="F607" s="811"/>
      <c r="G607" s="811"/>
      <c r="H607" s="811"/>
      <c r="I607" s="811"/>
      <c r="J607" s="811"/>
      <c r="K607" s="811"/>
      <c r="L607" s="811"/>
      <c r="M607" s="811"/>
      <c r="N607" s="811"/>
      <c r="O607" s="811"/>
      <c r="P607" s="811"/>
      <c r="Q607" s="811"/>
      <c r="R607" s="811"/>
      <c r="S607" s="811"/>
      <c r="T607" s="811"/>
      <c r="U607" s="811"/>
      <c r="V607" s="811"/>
      <c r="W607" s="811"/>
      <c r="X607" s="811"/>
      <c r="Y607" s="719"/>
      <c r="Z607" s="719"/>
      <c r="AA607" s="719"/>
      <c r="AB607" s="719"/>
      <c r="AC607" s="719"/>
      <c r="AD607" s="719"/>
      <c r="AE607" s="719"/>
      <c r="AF607" s="719"/>
      <c r="AG607" s="719"/>
      <c r="AH607" s="719"/>
      <c r="AI607" s="719"/>
      <c r="AJ607" s="719"/>
      <c r="AK607" s="719"/>
      <c r="AL607" s="719"/>
      <c r="AM607" s="719"/>
      <c r="AN607" s="719"/>
      <c r="AO607" s="719"/>
      <c r="AP607" s="719"/>
      <c r="AQ607" s="719"/>
      <c r="AR607" s="719"/>
      <c r="AS607" s="719"/>
      <c r="AT607" s="719"/>
      <c r="AU607" s="719"/>
      <c r="AV607" s="719"/>
      <c r="AW607" s="719"/>
      <c r="AX607" s="719"/>
      <c r="AY607" s="719"/>
      <c r="AZ607" s="719"/>
      <c r="BA607" s="719"/>
      <c r="BB607" s="719"/>
      <c r="BC607" s="719"/>
      <c r="BD607" s="719"/>
      <c r="BE607" s="719"/>
      <c r="BF607" s="719"/>
      <c r="BG607" s="719"/>
      <c r="BH607" s="719"/>
      <c r="BI607" s="719"/>
      <c r="BJ607" s="719"/>
    </row>
    <row r="608" spans="2:62" ht="15.75" customHeight="1">
      <c r="B608" s="497"/>
      <c r="C608" s="811"/>
      <c r="D608" s="811"/>
      <c r="E608" s="811"/>
      <c r="F608" s="811"/>
      <c r="G608" s="811"/>
      <c r="H608" s="811"/>
      <c r="I608" s="811"/>
      <c r="J608" s="811"/>
      <c r="K608" s="811"/>
      <c r="L608" s="811"/>
      <c r="M608" s="811"/>
      <c r="N608" s="811"/>
      <c r="O608" s="811"/>
      <c r="P608" s="811"/>
      <c r="Q608" s="811"/>
      <c r="R608" s="811"/>
      <c r="S608" s="811"/>
      <c r="T608" s="811"/>
      <c r="U608" s="811"/>
      <c r="V608" s="811"/>
      <c r="W608" s="811"/>
      <c r="X608" s="811"/>
      <c r="Y608" s="719"/>
      <c r="Z608" s="719"/>
      <c r="AA608" s="719"/>
      <c r="AB608" s="719"/>
      <c r="AC608" s="719"/>
      <c r="AD608" s="719"/>
      <c r="AE608" s="719"/>
      <c r="AF608" s="719"/>
      <c r="AG608" s="719"/>
      <c r="AH608" s="719"/>
      <c r="AI608" s="719"/>
      <c r="AJ608" s="719"/>
      <c r="AK608" s="719"/>
      <c r="AL608" s="719"/>
      <c r="AM608" s="719"/>
      <c r="AN608" s="719"/>
      <c r="AO608" s="719"/>
      <c r="AP608" s="719"/>
      <c r="AQ608" s="719"/>
      <c r="AR608" s="719"/>
      <c r="AS608" s="719"/>
      <c r="AT608" s="719"/>
      <c r="AU608" s="719"/>
      <c r="AV608" s="719"/>
      <c r="AW608" s="719"/>
      <c r="AX608" s="719"/>
      <c r="AY608" s="719"/>
      <c r="AZ608" s="719"/>
      <c r="BA608" s="719"/>
      <c r="BB608" s="719"/>
      <c r="BC608" s="719"/>
      <c r="BD608" s="719"/>
      <c r="BE608" s="719"/>
      <c r="BF608" s="719"/>
      <c r="BG608" s="719"/>
      <c r="BH608" s="719"/>
      <c r="BI608" s="719"/>
      <c r="BJ608" s="719"/>
    </row>
    <row r="609" spans="2:62" ht="15.75" customHeight="1">
      <c r="B609" s="497"/>
      <c r="C609" s="811"/>
      <c r="D609" s="811"/>
      <c r="E609" s="811"/>
      <c r="F609" s="811"/>
      <c r="G609" s="811"/>
      <c r="H609" s="811"/>
      <c r="I609" s="811"/>
      <c r="J609" s="811"/>
      <c r="K609" s="811"/>
      <c r="L609" s="811"/>
      <c r="M609" s="811"/>
      <c r="N609" s="811"/>
      <c r="O609" s="811"/>
      <c r="P609" s="811"/>
      <c r="Q609" s="811"/>
      <c r="R609" s="811"/>
      <c r="S609" s="811"/>
      <c r="T609" s="811"/>
      <c r="U609" s="811"/>
      <c r="V609" s="811"/>
      <c r="W609" s="811"/>
      <c r="X609" s="811"/>
      <c r="Y609" s="719"/>
      <c r="Z609" s="719"/>
      <c r="AA609" s="719"/>
      <c r="AB609" s="719"/>
      <c r="AC609" s="719"/>
      <c r="AD609" s="719"/>
      <c r="AE609" s="719"/>
      <c r="AF609" s="719"/>
      <c r="AG609" s="719"/>
      <c r="AH609" s="719"/>
      <c r="AI609" s="719"/>
      <c r="AJ609" s="719"/>
      <c r="AK609" s="719"/>
      <c r="AL609" s="719"/>
      <c r="AM609" s="719"/>
      <c r="AN609" s="719"/>
      <c r="AO609" s="719"/>
      <c r="AP609" s="719"/>
      <c r="AQ609" s="719"/>
      <c r="AR609" s="719"/>
      <c r="AS609" s="719"/>
      <c r="AT609" s="719"/>
      <c r="AU609" s="719"/>
      <c r="AV609" s="719"/>
      <c r="AW609" s="719"/>
      <c r="AX609" s="719"/>
      <c r="AY609" s="719"/>
      <c r="AZ609" s="719"/>
      <c r="BA609" s="719"/>
      <c r="BB609" s="719"/>
      <c r="BC609" s="719"/>
      <c r="BD609" s="719"/>
      <c r="BE609" s="719"/>
      <c r="BF609" s="719"/>
      <c r="BG609" s="719"/>
      <c r="BH609" s="719"/>
      <c r="BI609" s="719"/>
      <c r="BJ609" s="719"/>
    </row>
    <row r="610" spans="2:62" ht="15.75" customHeight="1">
      <c r="B610" s="497"/>
      <c r="C610" s="811"/>
      <c r="D610" s="811"/>
      <c r="E610" s="811"/>
      <c r="F610" s="811"/>
      <c r="G610" s="811"/>
      <c r="H610" s="811"/>
      <c r="I610" s="811"/>
      <c r="J610" s="811"/>
      <c r="K610" s="811"/>
      <c r="L610" s="811"/>
      <c r="M610" s="811"/>
      <c r="N610" s="811"/>
      <c r="O610" s="811"/>
      <c r="P610" s="811"/>
      <c r="Q610" s="811"/>
      <c r="R610" s="811"/>
      <c r="S610" s="811"/>
      <c r="T610" s="811"/>
      <c r="U610" s="811"/>
      <c r="V610" s="811"/>
      <c r="W610" s="811"/>
      <c r="X610" s="811"/>
      <c r="Y610" s="719"/>
      <c r="Z610" s="719"/>
      <c r="AA610" s="719"/>
      <c r="AB610" s="719"/>
      <c r="AC610" s="719"/>
      <c r="AD610" s="719"/>
      <c r="AE610" s="719"/>
      <c r="AF610" s="719"/>
      <c r="AG610" s="719"/>
      <c r="AH610" s="719"/>
      <c r="AI610" s="719"/>
      <c r="AJ610" s="719"/>
      <c r="AK610" s="719"/>
      <c r="AL610" s="719"/>
      <c r="AM610" s="719"/>
      <c r="AN610" s="719"/>
      <c r="AO610" s="719"/>
      <c r="AP610" s="719"/>
      <c r="AQ610" s="719"/>
      <c r="AR610" s="719"/>
      <c r="AS610" s="719"/>
      <c r="AT610" s="719"/>
      <c r="AU610" s="719"/>
      <c r="AV610" s="719"/>
      <c r="AW610" s="719"/>
      <c r="AX610" s="719"/>
      <c r="AY610" s="719"/>
      <c r="AZ610" s="719"/>
      <c r="BA610" s="719"/>
      <c r="BB610" s="719"/>
      <c r="BC610" s="719"/>
      <c r="BD610" s="719"/>
      <c r="BE610" s="719"/>
      <c r="BF610" s="719"/>
      <c r="BG610" s="719"/>
      <c r="BH610" s="719"/>
      <c r="BI610" s="719"/>
      <c r="BJ610" s="719"/>
    </row>
    <row r="611" spans="2:62" ht="15.75" customHeight="1">
      <c r="B611" s="497"/>
      <c r="C611" s="811"/>
      <c r="D611" s="811"/>
      <c r="E611" s="811"/>
      <c r="F611" s="811"/>
      <c r="G611" s="811"/>
      <c r="H611" s="811"/>
      <c r="I611" s="811"/>
      <c r="J611" s="811"/>
      <c r="K611" s="811"/>
      <c r="L611" s="811"/>
      <c r="M611" s="811"/>
      <c r="N611" s="811"/>
      <c r="O611" s="811"/>
      <c r="P611" s="811"/>
      <c r="Q611" s="811"/>
      <c r="R611" s="811"/>
      <c r="S611" s="811"/>
      <c r="T611" s="811"/>
      <c r="U611" s="811"/>
      <c r="V611" s="811"/>
      <c r="W611" s="811"/>
      <c r="X611" s="811"/>
      <c r="Y611" s="719"/>
      <c r="Z611" s="719"/>
      <c r="AA611" s="719"/>
      <c r="AB611" s="719"/>
      <c r="AC611" s="719"/>
      <c r="AD611" s="719"/>
      <c r="AE611" s="719"/>
      <c r="AF611" s="719"/>
      <c r="AG611" s="719"/>
      <c r="AH611" s="719"/>
      <c r="AI611" s="719"/>
      <c r="AJ611" s="719"/>
      <c r="AK611" s="719"/>
      <c r="AL611" s="719"/>
      <c r="AM611" s="719"/>
      <c r="AN611" s="719"/>
      <c r="AO611" s="719"/>
      <c r="AP611" s="719"/>
      <c r="AQ611" s="719"/>
      <c r="AR611" s="719"/>
      <c r="AS611" s="719"/>
      <c r="AT611" s="719"/>
      <c r="AU611" s="719"/>
      <c r="AV611" s="719"/>
      <c r="AW611" s="719"/>
      <c r="AX611" s="719"/>
      <c r="AY611" s="719"/>
      <c r="AZ611" s="719"/>
      <c r="BA611" s="719"/>
      <c r="BB611" s="719"/>
      <c r="BC611" s="719"/>
      <c r="BD611" s="719"/>
      <c r="BE611" s="719"/>
      <c r="BF611" s="719"/>
      <c r="BG611" s="719"/>
      <c r="BH611" s="719"/>
      <c r="BI611" s="719"/>
      <c r="BJ611" s="719"/>
    </row>
    <row r="612" spans="2:62" ht="15.75" customHeight="1">
      <c r="B612" s="497"/>
      <c r="C612" s="811"/>
      <c r="D612" s="811"/>
      <c r="E612" s="811"/>
      <c r="F612" s="811"/>
      <c r="G612" s="811"/>
      <c r="H612" s="811"/>
      <c r="I612" s="811"/>
      <c r="J612" s="811"/>
      <c r="K612" s="811"/>
      <c r="L612" s="811"/>
      <c r="M612" s="811"/>
      <c r="N612" s="811"/>
      <c r="O612" s="811"/>
      <c r="P612" s="811"/>
      <c r="Q612" s="811"/>
      <c r="R612" s="811"/>
      <c r="S612" s="811"/>
      <c r="T612" s="811"/>
      <c r="U612" s="811"/>
      <c r="V612" s="811"/>
      <c r="W612" s="811"/>
      <c r="X612" s="811"/>
      <c r="Y612" s="719"/>
      <c r="Z612" s="719"/>
      <c r="AA612" s="719"/>
      <c r="AB612" s="719"/>
      <c r="AC612" s="719"/>
      <c r="AD612" s="719"/>
      <c r="AE612" s="719"/>
      <c r="AF612" s="719"/>
      <c r="AG612" s="719"/>
      <c r="AH612" s="719"/>
      <c r="AI612" s="719"/>
      <c r="AJ612" s="719"/>
      <c r="AK612" s="719"/>
      <c r="AL612" s="719"/>
      <c r="AM612" s="719"/>
      <c r="AN612" s="719"/>
      <c r="AO612" s="719"/>
      <c r="AP612" s="719"/>
      <c r="AQ612" s="719"/>
      <c r="AR612" s="719"/>
      <c r="AS612" s="719"/>
      <c r="AT612" s="719"/>
      <c r="AU612" s="719"/>
      <c r="AV612" s="719"/>
      <c r="AW612" s="719"/>
      <c r="AX612" s="719"/>
      <c r="AY612" s="719"/>
      <c r="AZ612" s="719"/>
      <c r="BA612" s="719"/>
      <c r="BB612" s="719"/>
      <c r="BC612" s="719"/>
      <c r="BD612" s="719"/>
      <c r="BE612" s="719"/>
      <c r="BF612" s="719"/>
      <c r="BG612" s="719"/>
      <c r="BH612" s="719"/>
      <c r="BI612" s="719"/>
      <c r="BJ612" s="719"/>
    </row>
    <row r="613" spans="2:62" ht="15.75" customHeight="1">
      <c r="B613" s="497"/>
      <c r="C613" s="811"/>
      <c r="D613" s="811"/>
      <c r="E613" s="811"/>
      <c r="F613" s="811"/>
      <c r="G613" s="811"/>
      <c r="H613" s="811"/>
      <c r="I613" s="811"/>
      <c r="J613" s="811"/>
      <c r="K613" s="811"/>
      <c r="L613" s="811"/>
      <c r="M613" s="811"/>
      <c r="N613" s="811"/>
      <c r="O613" s="811"/>
      <c r="P613" s="811"/>
      <c r="Q613" s="811"/>
      <c r="R613" s="811"/>
      <c r="S613" s="811"/>
      <c r="T613" s="811"/>
      <c r="U613" s="811"/>
      <c r="V613" s="811"/>
      <c r="W613" s="811"/>
      <c r="X613" s="811"/>
      <c r="Y613" s="719"/>
      <c r="Z613" s="719"/>
      <c r="AA613" s="719"/>
      <c r="AB613" s="719"/>
      <c r="AC613" s="719"/>
      <c r="AD613" s="719"/>
      <c r="AE613" s="719"/>
      <c r="AF613" s="719"/>
      <c r="AG613" s="719"/>
      <c r="AH613" s="719"/>
      <c r="AI613" s="719"/>
      <c r="AJ613" s="719"/>
      <c r="AK613" s="719"/>
      <c r="AL613" s="719"/>
      <c r="AM613" s="719"/>
      <c r="AN613" s="719"/>
      <c r="AO613" s="719"/>
      <c r="AP613" s="719"/>
      <c r="AQ613" s="719"/>
      <c r="AR613" s="719"/>
      <c r="AS613" s="719"/>
      <c r="AT613" s="719"/>
      <c r="AU613" s="719"/>
      <c r="AV613" s="719"/>
      <c r="AW613" s="719"/>
      <c r="AX613" s="719"/>
      <c r="AY613" s="719"/>
      <c r="AZ613" s="719"/>
      <c r="BA613" s="719"/>
      <c r="BB613" s="719"/>
      <c r="BC613" s="719"/>
      <c r="BD613" s="719"/>
      <c r="BE613" s="719"/>
      <c r="BF613" s="719"/>
      <c r="BG613" s="719"/>
      <c r="BH613" s="719"/>
      <c r="BI613" s="719"/>
      <c r="BJ613" s="719"/>
    </row>
    <row r="614" spans="2:62" ht="15.75" customHeight="1">
      <c r="B614" s="497"/>
      <c r="C614" s="811"/>
      <c r="D614" s="811"/>
      <c r="E614" s="811"/>
      <c r="F614" s="811"/>
      <c r="G614" s="811"/>
      <c r="H614" s="811"/>
      <c r="I614" s="811"/>
      <c r="J614" s="811"/>
      <c r="K614" s="811"/>
      <c r="L614" s="811"/>
      <c r="M614" s="811"/>
      <c r="N614" s="811"/>
      <c r="O614" s="811"/>
      <c r="P614" s="811"/>
      <c r="Q614" s="811"/>
      <c r="R614" s="811"/>
      <c r="S614" s="811"/>
      <c r="T614" s="811"/>
      <c r="U614" s="811"/>
      <c r="V614" s="811"/>
      <c r="W614" s="811"/>
      <c r="X614" s="811"/>
      <c r="Y614" s="719"/>
      <c r="Z614" s="719"/>
      <c r="AA614" s="719"/>
      <c r="AB614" s="719"/>
      <c r="AC614" s="719"/>
      <c r="AD614" s="719"/>
      <c r="AE614" s="719"/>
      <c r="AF614" s="719"/>
      <c r="AG614" s="719"/>
      <c r="AH614" s="719"/>
      <c r="AI614" s="719"/>
      <c r="AJ614" s="719"/>
      <c r="AK614" s="719"/>
      <c r="AL614" s="719"/>
      <c r="AM614" s="719"/>
      <c r="AN614" s="719"/>
      <c r="AO614" s="719"/>
      <c r="AP614" s="719"/>
      <c r="AQ614" s="719"/>
      <c r="AR614" s="719"/>
      <c r="AS614" s="719"/>
      <c r="AT614" s="719"/>
      <c r="AU614" s="719"/>
      <c r="AV614" s="719"/>
      <c r="AW614" s="719"/>
      <c r="AX614" s="719"/>
      <c r="AY614" s="719"/>
      <c r="AZ614" s="719"/>
      <c r="BA614" s="719"/>
      <c r="BB614" s="719"/>
      <c r="BC614" s="719"/>
      <c r="BD614" s="719"/>
      <c r="BE614" s="719"/>
      <c r="BF614" s="719"/>
      <c r="BG614" s="719"/>
      <c r="BH614" s="719"/>
      <c r="BI614" s="719"/>
      <c r="BJ614" s="719"/>
    </row>
    <row r="615" spans="2:62" ht="15.75" customHeight="1">
      <c r="B615" s="497"/>
      <c r="C615" s="811"/>
      <c r="D615" s="811"/>
      <c r="E615" s="811"/>
      <c r="F615" s="811"/>
      <c r="G615" s="811"/>
      <c r="H615" s="811"/>
      <c r="I615" s="811"/>
      <c r="J615" s="811"/>
      <c r="K615" s="811"/>
      <c r="L615" s="811"/>
      <c r="M615" s="811"/>
      <c r="N615" s="811"/>
      <c r="O615" s="811"/>
      <c r="P615" s="811"/>
      <c r="Q615" s="811"/>
      <c r="R615" s="811"/>
      <c r="S615" s="811"/>
      <c r="T615" s="811"/>
      <c r="U615" s="811"/>
      <c r="V615" s="811"/>
      <c r="W615" s="811"/>
      <c r="X615" s="811"/>
      <c r="Y615" s="719"/>
      <c r="Z615" s="719"/>
      <c r="AA615" s="719"/>
      <c r="AB615" s="719"/>
      <c r="AC615" s="719"/>
      <c r="AD615" s="719"/>
      <c r="AE615" s="719"/>
      <c r="AF615" s="719"/>
      <c r="AG615" s="719"/>
      <c r="AH615" s="719"/>
      <c r="AI615" s="719"/>
      <c r="AJ615" s="719"/>
      <c r="AK615" s="719"/>
      <c r="AL615" s="719"/>
      <c r="AM615" s="719"/>
      <c r="AN615" s="719"/>
      <c r="AO615" s="719"/>
      <c r="AP615" s="719"/>
      <c r="AQ615" s="719"/>
      <c r="AR615" s="719"/>
      <c r="AS615" s="719"/>
      <c r="AT615" s="719"/>
      <c r="AU615" s="719"/>
      <c r="AV615" s="719"/>
      <c r="AW615" s="719"/>
      <c r="AX615" s="719"/>
      <c r="AY615" s="719"/>
      <c r="AZ615" s="719"/>
      <c r="BA615" s="719"/>
      <c r="BB615" s="719"/>
      <c r="BC615" s="719"/>
      <c r="BD615" s="719"/>
      <c r="BE615" s="719"/>
      <c r="BF615" s="719"/>
      <c r="BG615" s="719"/>
      <c r="BH615" s="719"/>
      <c r="BI615" s="719"/>
      <c r="BJ615" s="719"/>
    </row>
    <row r="616" spans="2:62" ht="15.75" customHeight="1">
      <c r="B616" s="497"/>
      <c r="C616" s="811"/>
      <c r="D616" s="811"/>
      <c r="E616" s="811"/>
      <c r="F616" s="811"/>
      <c r="G616" s="811"/>
      <c r="H616" s="811"/>
      <c r="I616" s="811"/>
      <c r="J616" s="811"/>
      <c r="K616" s="811"/>
      <c r="L616" s="811"/>
      <c r="M616" s="811"/>
      <c r="N616" s="811"/>
      <c r="O616" s="811"/>
      <c r="P616" s="811"/>
      <c r="Q616" s="811"/>
      <c r="R616" s="811"/>
      <c r="S616" s="811"/>
      <c r="T616" s="811"/>
      <c r="U616" s="811"/>
      <c r="V616" s="811"/>
      <c r="W616" s="811"/>
      <c r="X616" s="811"/>
      <c r="Y616" s="719"/>
      <c r="Z616" s="719"/>
      <c r="AA616" s="719"/>
      <c r="AB616" s="719"/>
      <c r="AC616" s="719"/>
      <c r="AD616" s="719"/>
      <c r="AE616" s="719"/>
      <c r="AF616" s="719"/>
      <c r="AG616" s="719"/>
      <c r="AH616" s="719"/>
      <c r="AI616" s="719"/>
      <c r="AJ616" s="719"/>
      <c r="AK616" s="719"/>
      <c r="AL616" s="719"/>
      <c r="AM616" s="719"/>
      <c r="AN616" s="719"/>
      <c r="AO616" s="719"/>
      <c r="AP616" s="719"/>
      <c r="AQ616" s="719"/>
      <c r="AR616" s="719"/>
      <c r="AS616" s="719"/>
      <c r="AT616" s="719"/>
      <c r="AU616" s="719"/>
      <c r="AV616" s="719"/>
      <c r="AW616" s="719"/>
      <c r="AX616" s="719"/>
      <c r="AY616" s="719"/>
      <c r="AZ616" s="719"/>
      <c r="BA616" s="719"/>
      <c r="BB616" s="719"/>
      <c r="BC616" s="719"/>
      <c r="BD616" s="719"/>
      <c r="BE616" s="719"/>
      <c r="BF616" s="719"/>
      <c r="BG616" s="719"/>
      <c r="BH616" s="719"/>
      <c r="BI616" s="719"/>
      <c r="BJ616" s="719"/>
    </row>
    <row r="617" spans="2:62" ht="15.75" customHeight="1">
      <c r="B617" s="497"/>
      <c r="C617" s="811"/>
      <c r="D617" s="811"/>
      <c r="E617" s="811"/>
      <c r="F617" s="811"/>
      <c r="G617" s="811"/>
      <c r="H617" s="811"/>
      <c r="I617" s="811"/>
      <c r="J617" s="811"/>
      <c r="K617" s="811"/>
      <c r="L617" s="811"/>
      <c r="M617" s="811"/>
      <c r="N617" s="811"/>
      <c r="O617" s="811"/>
      <c r="P617" s="811"/>
      <c r="Q617" s="811"/>
      <c r="R617" s="811"/>
      <c r="S617" s="811"/>
      <c r="T617" s="811"/>
      <c r="U617" s="811"/>
      <c r="V617" s="811"/>
      <c r="W617" s="811"/>
      <c r="X617" s="811"/>
      <c r="Y617" s="719"/>
      <c r="Z617" s="719"/>
      <c r="AA617" s="719"/>
      <c r="AB617" s="719"/>
      <c r="AC617" s="719"/>
      <c r="AD617" s="719"/>
      <c r="AE617" s="719"/>
      <c r="AF617" s="719"/>
      <c r="AG617" s="719"/>
      <c r="AH617" s="719"/>
      <c r="AI617" s="719"/>
      <c r="AJ617" s="719"/>
      <c r="AK617" s="719"/>
      <c r="AL617" s="719"/>
      <c r="AM617" s="719"/>
      <c r="AN617" s="719"/>
      <c r="AO617" s="719"/>
      <c r="AP617" s="719"/>
      <c r="AQ617" s="719"/>
      <c r="AR617" s="719"/>
      <c r="AS617" s="719"/>
      <c r="AT617" s="719"/>
      <c r="AU617" s="719"/>
      <c r="AV617" s="719"/>
      <c r="AW617" s="719"/>
      <c r="AX617" s="719"/>
      <c r="AY617" s="719"/>
      <c r="AZ617" s="719"/>
      <c r="BA617" s="719"/>
      <c r="BB617" s="719"/>
      <c r="BC617" s="719"/>
      <c r="BD617" s="719"/>
      <c r="BE617" s="719"/>
      <c r="BF617" s="719"/>
      <c r="BG617" s="719"/>
      <c r="BH617" s="719"/>
      <c r="BI617" s="719"/>
      <c r="BJ617" s="719"/>
    </row>
    <row r="618" spans="2:62" ht="15.75" customHeight="1">
      <c r="B618" s="497"/>
      <c r="C618" s="811"/>
      <c r="D618" s="811"/>
      <c r="E618" s="811"/>
      <c r="F618" s="811"/>
      <c r="G618" s="811"/>
      <c r="H618" s="811"/>
      <c r="I618" s="811"/>
      <c r="J618" s="811"/>
      <c r="K618" s="811"/>
      <c r="L618" s="811"/>
      <c r="M618" s="811"/>
      <c r="N618" s="811"/>
      <c r="O618" s="811"/>
      <c r="P618" s="811"/>
      <c r="Q618" s="811"/>
      <c r="R618" s="811"/>
      <c r="S618" s="811"/>
      <c r="T618" s="811"/>
      <c r="U618" s="811"/>
      <c r="V618" s="811"/>
      <c r="W618" s="811"/>
      <c r="X618" s="811"/>
      <c r="Y618" s="719"/>
      <c r="Z618" s="719"/>
      <c r="AA618" s="719"/>
      <c r="AB618" s="719"/>
      <c r="AC618" s="719"/>
      <c r="AD618" s="719"/>
      <c r="AE618" s="719"/>
      <c r="AF618" s="719"/>
      <c r="AG618" s="719"/>
      <c r="AH618" s="719"/>
      <c r="AI618" s="719"/>
      <c r="AJ618" s="719"/>
      <c r="AK618" s="719"/>
      <c r="AL618" s="719"/>
      <c r="AM618" s="719"/>
      <c r="AN618" s="719"/>
      <c r="AO618" s="719"/>
      <c r="AP618" s="719"/>
      <c r="AQ618" s="719"/>
      <c r="AR618" s="719"/>
      <c r="AS618" s="719"/>
      <c r="AT618" s="719"/>
      <c r="AU618" s="719"/>
      <c r="AV618" s="719"/>
      <c r="AW618" s="719"/>
      <c r="AX618" s="719"/>
      <c r="AY618" s="719"/>
      <c r="AZ618" s="719"/>
      <c r="BA618" s="719"/>
      <c r="BB618" s="719"/>
      <c r="BC618" s="719"/>
      <c r="BD618" s="719"/>
      <c r="BE618" s="719"/>
      <c r="BF618" s="719"/>
      <c r="BG618" s="719"/>
      <c r="BH618" s="719"/>
      <c r="BI618" s="719"/>
      <c r="BJ618" s="719"/>
    </row>
    <row r="619" spans="2:62" ht="15.75" customHeight="1">
      <c r="B619" s="497"/>
      <c r="C619" s="811"/>
      <c r="D619" s="811"/>
      <c r="E619" s="811"/>
      <c r="F619" s="811"/>
      <c r="G619" s="811"/>
      <c r="H619" s="811"/>
      <c r="I619" s="811"/>
      <c r="J619" s="811"/>
      <c r="K619" s="811"/>
      <c r="L619" s="811"/>
      <c r="M619" s="811"/>
      <c r="N619" s="811"/>
      <c r="O619" s="811"/>
      <c r="P619" s="811"/>
      <c r="Q619" s="811"/>
      <c r="R619" s="811"/>
      <c r="S619" s="811"/>
      <c r="T619" s="811"/>
      <c r="U619" s="811"/>
      <c r="V619" s="811"/>
      <c r="W619" s="811"/>
      <c r="X619" s="811"/>
      <c r="Y619" s="719"/>
      <c r="Z619" s="719"/>
      <c r="AA619" s="719"/>
      <c r="AB619" s="719"/>
      <c r="AC619" s="719"/>
      <c r="AD619" s="719"/>
      <c r="AE619" s="719"/>
      <c r="AF619" s="719"/>
      <c r="AG619" s="719"/>
      <c r="AH619" s="719"/>
      <c r="AI619" s="719"/>
      <c r="AJ619" s="719"/>
      <c r="AK619" s="719"/>
      <c r="AL619" s="719"/>
      <c r="AM619" s="719"/>
      <c r="AN619" s="719"/>
      <c r="AO619" s="719"/>
      <c r="AP619" s="719"/>
      <c r="AQ619" s="719"/>
      <c r="AR619" s="719"/>
      <c r="AS619" s="719"/>
      <c r="AT619" s="719"/>
      <c r="AU619" s="719"/>
      <c r="AV619" s="719"/>
      <c r="AW619" s="719"/>
      <c r="AX619" s="719"/>
      <c r="AY619" s="719"/>
      <c r="AZ619" s="719"/>
      <c r="BA619" s="719"/>
      <c r="BB619" s="719"/>
      <c r="BC619" s="719"/>
      <c r="BD619" s="719"/>
      <c r="BE619" s="719"/>
      <c r="BF619" s="719"/>
      <c r="BG619" s="719"/>
      <c r="BH619" s="719"/>
      <c r="BI619" s="719"/>
      <c r="BJ619" s="719"/>
    </row>
    <row r="620" spans="2:62" ht="15.75" customHeight="1">
      <c r="B620" s="497"/>
      <c r="C620" s="811"/>
      <c r="D620" s="811"/>
      <c r="E620" s="811"/>
      <c r="F620" s="811"/>
      <c r="G620" s="811"/>
      <c r="H620" s="811"/>
      <c r="I620" s="811"/>
      <c r="J620" s="811"/>
      <c r="K620" s="811"/>
      <c r="L620" s="811"/>
      <c r="M620" s="811"/>
      <c r="N620" s="811"/>
      <c r="O620" s="811"/>
      <c r="P620" s="811"/>
      <c r="Q620" s="811"/>
      <c r="R620" s="811"/>
      <c r="S620" s="811"/>
      <c r="T620" s="811"/>
      <c r="U620" s="811"/>
      <c r="V620" s="811"/>
      <c r="W620" s="811"/>
      <c r="X620" s="811"/>
      <c r="Y620" s="719"/>
      <c r="Z620" s="719"/>
      <c r="AA620" s="719"/>
      <c r="AB620" s="719"/>
      <c r="AC620" s="719"/>
      <c r="AD620" s="719"/>
      <c r="AE620" s="719"/>
      <c r="AF620" s="719"/>
      <c r="AG620" s="719"/>
      <c r="AH620" s="719"/>
      <c r="AI620" s="719"/>
      <c r="AJ620" s="719"/>
      <c r="AK620" s="719"/>
      <c r="AL620" s="719"/>
      <c r="AM620" s="719"/>
      <c r="AN620" s="719"/>
      <c r="AO620" s="719"/>
      <c r="AP620" s="719"/>
      <c r="AQ620" s="719"/>
      <c r="AR620" s="719"/>
      <c r="AS620" s="719"/>
      <c r="AT620" s="719"/>
      <c r="AU620" s="719"/>
      <c r="AV620" s="719"/>
      <c r="AW620" s="719"/>
      <c r="AX620" s="719"/>
      <c r="AY620" s="719"/>
      <c r="AZ620" s="719"/>
      <c r="BA620" s="719"/>
      <c r="BB620" s="719"/>
      <c r="BC620" s="719"/>
      <c r="BD620" s="719"/>
      <c r="BE620" s="719"/>
      <c r="BF620" s="719"/>
      <c r="BG620" s="719"/>
      <c r="BH620" s="719"/>
      <c r="BI620" s="719"/>
      <c r="BJ620" s="719"/>
    </row>
    <row r="621" spans="2:62" ht="15.75" customHeight="1">
      <c r="B621" s="497"/>
      <c r="C621" s="811"/>
      <c r="D621" s="811"/>
      <c r="E621" s="811"/>
      <c r="F621" s="811"/>
      <c r="G621" s="811"/>
      <c r="H621" s="811"/>
      <c r="I621" s="811"/>
      <c r="J621" s="811"/>
      <c r="K621" s="811"/>
      <c r="L621" s="811"/>
      <c r="M621" s="811"/>
      <c r="N621" s="811"/>
      <c r="O621" s="811"/>
      <c r="P621" s="811"/>
      <c r="Q621" s="811"/>
      <c r="R621" s="811"/>
      <c r="S621" s="811"/>
      <c r="T621" s="811"/>
      <c r="U621" s="811"/>
      <c r="V621" s="811"/>
      <c r="W621" s="811"/>
      <c r="X621" s="811"/>
      <c r="Y621" s="719"/>
      <c r="Z621" s="719"/>
      <c r="AA621" s="719"/>
      <c r="AB621" s="719"/>
      <c r="AC621" s="719"/>
      <c r="AD621" s="719"/>
      <c r="AE621" s="719"/>
      <c r="AF621" s="719"/>
      <c r="AG621" s="719"/>
      <c r="AH621" s="719"/>
      <c r="AI621" s="719"/>
      <c r="AJ621" s="719"/>
      <c r="AK621" s="719"/>
      <c r="AL621" s="719"/>
      <c r="AM621" s="719"/>
      <c r="AN621" s="719"/>
      <c r="AO621" s="719"/>
      <c r="AP621" s="719"/>
      <c r="AQ621" s="719"/>
      <c r="AR621" s="719"/>
      <c r="AS621" s="719"/>
      <c r="AT621" s="719"/>
      <c r="AU621" s="719"/>
      <c r="AV621" s="719"/>
      <c r="AW621" s="719"/>
      <c r="AX621" s="719"/>
      <c r="AY621" s="719"/>
      <c r="AZ621" s="719"/>
      <c r="BA621" s="719"/>
      <c r="BB621" s="719"/>
      <c r="BC621" s="719"/>
      <c r="BD621" s="719"/>
      <c r="BE621" s="719"/>
      <c r="BF621" s="719"/>
      <c r="BG621" s="719"/>
      <c r="BH621" s="719"/>
      <c r="BI621" s="719"/>
      <c r="BJ621" s="719"/>
    </row>
    <row r="622" spans="2:62" ht="15.75" customHeight="1">
      <c r="B622" s="497"/>
      <c r="C622" s="811"/>
      <c r="D622" s="811"/>
      <c r="E622" s="811"/>
      <c r="F622" s="811"/>
      <c r="G622" s="811"/>
      <c r="H622" s="811"/>
      <c r="I622" s="811"/>
      <c r="J622" s="811"/>
      <c r="K622" s="811"/>
      <c r="L622" s="811"/>
      <c r="M622" s="811"/>
      <c r="N622" s="811"/>
      <c r="O622" s="811"/>
      <c r="P622" s="811"/>
      <c r="Q622" s="811"/>
      <c r="R622" s="811"/>
      <c r="S622" s="811"/>
      <c r="T622" s="811"/>
      <c r="U622" s="811"/>
      <c r="V622" s="811"/>
      <c r="W622" s="811"/>
      <c r="X622" s="811"/>
      <c r="Y622" s="719"/>
      <c r="Z622" s="719"/>
      <c r="AA622" s="719"/>
      <c r="AB622" s="719"/>
      <c r="AC622" s="719"/>
      <c r="AD622" s="719"/>
      <c r="AE622" s="719"/>
      <c r="AF622" s="719"/>
      <c r="AG622" s="719"/>
      <c r="AH622" s="719"/>
      <c r="AI622" s="719"/>
      <c r="AJ622" s="719"/>
      <c r="AK622" s="719"/>
      <c r="AL622" s="719"/>
      <c r="AM622" s="719"/>
      <c r="AN622" s="719"/>
      <c r="AO622" s="719"/>
      <c r="AP622" s="719"/>
      <c r="AQ622" s="719"/>
      <c r="AR622" s="719"/>
      <c r="AS622" s="719"/>
      <c r="AT622" s="719"/>
      <c r="AU622" s="719"/>
      <c r="AV622" s="719"/>
      <c r="AW622" s="719"/>
      <c r="AX622" s="719"/>
      <c r="AY622" s="719"/>
      <c r="AZ622" s="719"/>
      <c r="BA622" s="719"/>
      <c r="BB622" s="719"/>
      <c r="BC622" s="719"/>
      <c r="BD622" s="719"/>
      <c r="BE622" s="719"/>
      <c r="BF622" s="719"/>
      <c r="BG622" s="719"/>
      <c r="BH622" s="719"/>
      <c r="BI622" s="719"/>
      <c r="BJ622" s="719"/>
    </row>
    <row r="623" spans="2:62" ht="15.75" customHeight="1">
      <c r="B623" s="497"/>
      <c r="C623" s="811"/>
      <c r="D623" s="811"/>
      <c r="E623" s="811"/>
      <c r="F623" s="811"/>
      <c r="G623" s="811"/>
      <c r="H623" s="811"/>
      <c r="I623" s="811"/>
      <c r="J623" s="811"/>
      <c r="K623" s="811"/>
      <c r="L623" s="811"/>
      <c r="M623" s="811"/>
      <c r="N623" s="811"/>
      <c r="O623" s="811"/>
      <c r="P623" s="811"/>
      <c r="Q623" s="811"/>
      <c r="R623" s="811"/>
      <c r="S623" s="811"/>
      <c r="T623" s="811"/>
      <c r="U623" s="811"/>
      <c r="V623" s="811"/>
      <c r="W623" s="811"/>
      <c r="X623" s="811"/>
      <c r="Y623" s="719"/>
      <c r="Z623" s="719"/>
      <c r="AA623" s="719"/>
      <c r="AB623" s="719"/>
      <c r="AC623" s="719"/>
      <c r="AD623" s="719"/>
      <c r="AE623" s="719"/>
      <c r="AF623" s="719"/>
      <c r="AG623" s="719"/>
      <c r="AH623" s="719"/>
      <c r="AI623" s="719"/>
      <c r="AJ623" s="719"/>
      <c r="AK623" s="719"/>
      <c r="AL623" s="719"/>
      <c r="AM623" s="719"/>
      <c r="AN623" s="719"/>
      <c r="AO623" s="719"/>
      <c r="AP623" s="719"/>
      <c r="AQ623" s="719"/>
      <c r="AR623" s="719"/>
      <c r="AS623" s="719"/>
      <c r="AT623" s="719"/>
      <c r="AU623" s="719"/>
      <c r="AV623" s="719"/>
      <c r="AW623" s="719"/>
      <c r="AX623" s="719"/>
      <c r="AY623" s="719"/>
      <c r="AZ623" s="719"/>
      <c r="BA623" s="719"/>
      <c r="BB623" s="719"/>
      <c r="BC623" s="719"/>
      <c r="BD623" s="719"/>
      <c r="BE623" s="719"/>
      <c r="BF623" s="719"/>
      <c r="BG623" s="719"/>
      <c r="BH623" s="719"/>
      <c r="BI623" s="719"/>
      <c r="BJ623" s="719"/>
    </row>
    <row r="624" spans="2:62" ht="15.75" customHeight="1">
      <c r="B624" s="497"/>
      <c r="C624" s="811"/>
      <c r="D624" s="811"/>
      <c r="E624" s="811"/>
      <c r="F624" s="811"/>
      <c r="G624" s="811"/>
      <c r="H624" s="811"/>
      <c r="I624" s="811"/>
      <c r="J624" s="811"/>
      <c r="K624" s="811"/>
      <c r="L624" s="811"/>
      <c r="M624" s="811"/>
      <c r="N624" s="811"/>
      <c r="O624" s="811"/>
      <c r="P624" s="811"/>
      <c r="Q624" s="811"/>
      <c r="R624" s="811"/>
      <c r="S624" s="811"/>
      <c r="T624" s="811"/>
      <c r="U624" s="811"/>
      <c r="V624" s="811"/>
      <c r="W624" s="811"/>
      <c r="X624" s="811"/>
      <c r="Y624" s="719"/>
      <c r="Z624" s="719"/>
      <c r="AA624" s="719"/>
      <c r="AB624" s="719"/>
      <c r="AC624" s="719"/>
      <c r="AD624" s="719"/>
      <c r="AE624" s="719"/>
      <c r="AF624" s="719"/>
      <c r="AG624" s="719"/>
      <c r="AH624" s="719"/>
      <c r="AI624" s="719"/>
      <c r="AJ624" s="719"/>
      <c r="AK624" s="719"/>
      <c r="AL624" s="719"/>
      <c r="AM624" s="719"/>
      <c r="AN624" s="719"/>
      <c r="AO624" s="719"/>
      <c r="AP624" s="719"/>
      <c r="AQ624" s="719"/>
      <c r="AR624" s="719"/>
      <c r="AS624" s="719"/>
      <c r="AT624" s="719"/>
      <c r="AU624" s="719"/>
      <c r="AV624" s="719"/>
      <c r="AW624" s="719"/>
      <c r="AX624" s="719"/>
      <c r="AY624" s="719"/>
      <c r="AZ624" s="719"/>
      <c r="BA624" s="719"/>
      <c r="BB624" s="719"/>
      <c r="BC624" s="719"/>
      <c r="BD624" s="719"/>
      <c r="BE624" s="719"/>
      <c r="BF624" s="719"/>
      <c r="BG624" s="719"/>
      <c r="BH624" s="719"/>
      <c r="BI624" s="719"/>
      <c r="BJ624" s="719"/>
    </row>
    <row r="625" spans="2:62" ht="15.75" customHeight="1">
      <c r="B625" s="497"/>
      <c r="C625" s="811"/>
      <c r="D625" s="811"/>
      <c r="E625" s="811"/>
      <c r="F625" s="811"/>
      <c r="G625" s="811"/>
      <c r="H625" s="811"/>
      <c r="I625" s="811"/>
      <c r="J625" s="811"/>
      <c r="K625" s="811"/>
      <c r="L625" s="811"/>
      <c r="M625" s="811"/>
      <c r="N625" s="811"/>
      <c r="O625" s="811"/>
      <c r="P625" s="811"/>
      <c r="Q625" s="811"/>
      <c r="R625" s="811"/>
      <c r="S625" s="811"/>
      <c r="T625" s="811"/>
      <c r="U625" s="811"/>
      <c r="V625" s="811"/>
      <c r="W625" s="811"/>
      <c r="X625" s="811"/>
      <c r="Y625" s="719"/>
      <c r="Z625" s="719"/>
      <c r="AA625" s="719"/>
      <c r="AB625" s="719"/>
      <c r="AC625" s="719"/>
      <c r="AD625" s="719"/>
      <c r="AE625" s="719"/>
      <c r="AF625" s="719"/>
      <c r="AG625" s="719"/>
      <c r="AH625" s="719"/>
      <c r="AI625" s="719"/>
      <c r="AJ625" s="719"/>
      <c r="AK625" s="719"/>
      <c r="AL625" s="719"/>
      <c r="AM625" s="719"/>
      <c r="AN625" s="719"/>
      <c r="AO625" s="719"/>
      <c r="AP625" s="719"/>
      <c r="AQ625" s="719"/>
      <c r="AR625" s="719"/>
      <c r="AS625" s="719"/>
      <c r="AT625" s="719"/>
      <c r="AU625" s="719"/>
      <c r="AV625" s="719"/>
      <c r="AW625" s="719"/>
      <c r="AX625" s="719"/>
      <c r="AY625" s="719"/>
      <c r="AZ625" s="719"/>
      <c r="BA625" s="719"/>
      <c r="BB625" s="719"/>
      <c r="BC625" s="719"/>
      <c r="BD625" s="719"/>
      <c r="BE625" s="719"/>
      <c r="BF625" s="719"/>
      <c r="BG625" s="719"/>
      <c r="BH625" s="719"/>
      <c r="BI625" s="719"/>
      <c r="BJ625" s="719"/>
    </row>
    <row r="626" spans="2:62" ht="15.75" customHeight="1">
      <c r="B626" s="497"/>
      <c r="C626" s="811"/>
      <c r="D626" s="811"/>
      <c r="E626" s="811"/>
      <c r="F626" s="811"/>
      <c r="G626" s="811"/>
      <c r="H626" s="811"/>
      <c r="I626" s="811"/>
      <c r="J626" s="811"/>
      <c r="K626" s="811"/>
      <c r="L626" s="811"/>
      <c r="M626" s="811"/>
      <c r="N626" s="811"/>
      <c r="O626" s="811"/>
      <c r="P626" s="811"/>
      <c r="Q626" s="811"/>
      <c r="R626" s="811"/>
      <c r="S626" s="811"/>
      <c r="T626" s="811"/>
      <c r="U626" s="811"/>
      <c r="V626" s="811"/>
      <c r="W626" s="811"/>
      <c r="X626" s="811"/>
      <c r="Y626" s="719"/>
      <c r="Z626" s="719"/>
      <c r="AA626" s="719"/>
      <c r="AB626" s="719"/>
      <c r="AC626" s="719"/>
      <c r="AD626" s="719"/>
      <c r="AE626" s="719"/>
      <c r="AF626" s="719"/>
      <c r="AG626" s="719"/>
      <c r="AH626" s="719"/>
      <c r="AI626" s="719"/>
      <c r="AJ626" s="719"/>
      <c r="AK626" s="719"/>
      <c r="AL626" s="719"/>
      <c r="AM626" s="719"/>
      <c r="AN626" s="719"/>
      <c r="AO626" s="719"/>
      <c r="AP626" s="719"/>
      <c r="AQ626" s="719"/>
      <c r="AR626" s="719"/>
      <c r="AS626" s="719"/>
      <c r="AT626" s="719"/>
      <c r="AU626" s="719"/>
      <c r="AV626" s="719"/>
      <c r="AW626" s="719"/>
      <c r="AX626" s="719"/>
      <c r="AY626" s="719"/>
      <c r="AZ626" s="719"/>
      <c r="BA626" s="719"/>
      <c r="BB626" s="719"/>
      <c r="BC626" s="719"/>
      <c r="BD626" s="719"/>
      <c r="BE626" s="719"/>
      <c r="BF626" s="719"/>
      <c r="BG626" s="719"/>
      <c r="BH626" s="719"/>
      <c r="BI626" s="719"/>
      <c r="BJ626" s="719"/>
    </row>
    <row r="627" spans="2:62" ht="15.75" customHeight="1">
      <c r="B627" s="497"/>
      <c r="C627" s="811"/>
      <c r="D627" s="811"/>
      <c r="E627" s="811"/>
      <c r="F627" s="811"/>
      <c r="G627" s="811"/>
      <c r="H627" s="811"/>
      <c r="I627" s="811"/>
      <c r="J627" s="811"/>
      <c r="K627" s="811"/>
      <c r="L627" s="811"/>
      <c r="M627" s="811"/>
      <c r="N627" s="811"/>
      <c r="O627" s="811"/>
      <c r="P627" s="811"/>
      <c r="Q627" s="811"/>
      <c r="R627" s="811"/>
      <c r="S627" s="811"/>
      <c r="T627" s="811"/>
      <c r="U627" s="811"/>
      <c r="V627" s="811"/>
      <c r="W627" s="811"/>
      <c r="X627" s="811"/>
      <c r="Y627" s="719"/>
      <c r="Z627" s="719"/>
      <c r="AA627" s="719"/>
      <c r="AB627" s="719"/>
      <c r="AC627" s="719"/>
      <c r="AD627" s="719"/>
      <c r="AE627" s="719"/>
      <c r="AF627" s="719"/>
      <c r="AG627" s="719"/>
      <c r="AH627" s="719"/>
      <c r="AI627" s="719"/>
      <c r="AJ627" s="719"/>
      <c r="AK627" s="719"/>
      <c r="AL627" s="719"/>
      <c r="AM627" s="719"/>
      <c r="AN627" s="719"/>
      <c r="AO627" s="719"/>
      <c r="AP627" s="719"/>
      <c r="AQ627" s="719"/>
      <c r="AR627" s="719"/>
      <c r="AS627" s="719"/>
      <c r="AT627" s="719"/>
      <c r="AU627" s="719"/>
      <c r="AV627" s="719"/>
      <c r="AW627" s="719"/>
      <c r="AX627" s="719"/>
      <c r="AY627" s="719"/>
      <c r="AZ627" s="719"/>
      <c r="BA627" s="719"/>
      <c r="BB627" s="719"/>
      <c r="BC627" s="719"/>
      <c r="BD627" s="719"/>
      <c r="BE627" s="719"/>
      <c r="BF627" s="719"/>
      <c r="BG627" s="719"/>
      <c r="BH627" s="719"/>
      <c r="BI627" s="719"/>
      <c r="BJ627" s="719"/>
    </row>
    <row r="628" spans="2:62" ht="15.75" customHeight="1">
      <c r="B628" s="497"/>
      <c r="C628" s="811"/>
      <c r="D628" s="811"/>
      <c r="E628" s="811"/>
      <c r="F628" s="811"/>
      <c r="G628" s="811"/>
      <c r="H628" s="811"/>
      <c r="I628" s="811"/>
      <c r="J628" s="811"/>
      <c r="K628" s="811"/>
      <c r="L628" s="811"/>
      <c r="M628" s="811"/>
      <c r="N628" s="811"/>
      <c r="O628" s="811"/>
      <c r="P628" s="811"/>
      <c r="Q628" s="811"/>
      <c r="R628" s="811"/>
      <c r="S628" s="811"/>
      <c r="T628" s="811"/>
      <c r="U628" s="811"/>
      <c r="V628" s="811"/>
      <c r="W628" s="811"/>
      <c r="X628" s="811"/>
      <c r="Y628" s="719"/>
      <c r="Z628" s="719"/>
      <c r="AA628" s="719"/>
      <c r="AB628" s="719"/>
      <c r="AC628" s="719"/>
      <c r="AD628" s="719"/>
      <c r="AE628" s="719"/>
      <c r="AF628" s="719"/>
      <c r="AG628" s="719"/>
      <c r="AH628" s="719"/>
      <c r="AI628" s="719"/>
      <c r="AJ628" s="719"/>
      <c r="AK628" s="719"/>
      <c r="AL628" s="719"/>
      <c r="AM628" s="719"/>
      <c r="AN628" s="719"/>
      <c r="AO628" s="719"/>
      <c r="AP628" s="719"/>
      <c r="AQ628" s="719"/>
      <c r="AR628" s="719"/>
      <c r="AS628" s="719"/>
      <c r="AT628" s="719"/>
      <c r="AU628" s="719"/>
      <c r="AV628" s="719"/>
      <c r="AW628" s="719"/>
      <c r="AX628" s="719"/>
      <c r="AY628" s="719"/>
      <c r="AZ628" s="719"/>
      <c r="BA628" s="719"/>
      <c r="BB628" s="719"/>
      <c r="BC628" s="719"/>
      <c r="BD628" s="719"/>
      <c r="BE628" s="719"/>
      <c r="BF628" s="719"/>
      <c r="BG628" s="719"/>
      <c r="BH628" s="719"/>
      <c r="BI628" s="719"/>
      <c r="BJ628" s="719"/>
    </row>
    <row r="629" spans="2:62" ht="15.75" customHeight="1">
      <c r="B629" s="497"/>
      <c r="C629" s="811"/>
      <c r="D629" s="811"/>
      <c r="E629" s="811"/>
      <c r="F629" s="811"/>
      <c r="G629" s="811"/>
      <c r="H629" s="811"/>
      <c r="I629" s="811"/>
      <c r="J629" s="811"/>
      <c r="K629" s="811"/>
      <c r="L629" s="811"/>
      <c r="M629" s="811"/>
      <c r="N629" s="811"/>
      <c r="O629" s="811"/>
      <c r="P629" s="811"/>
      <c r="Q629" s="811"/>
      <c r="R629" s="811"/>
      <c r="S629" s="811"/>
      <c r="T629" s="811"/>
      <c r="U629" s="811"/>
      <c r="V629" s="811"/>
      <c r="W629" s="811"/>
      <c r="X629" s="811"/>
      <c r="Y629" s="719"/>
      <c r="Z629" s="719"/>
      <c r="AA629" s="719"/>
      <c r="AB629" s="719"/>
      <c r="AC629" s="719"/>
      <c r="AD629" s="719"/>
      <c r="AE629" s="719"/>
      <c r="AF629" s="719"/>
      <c r="AG629" s="719"/>
      <c r="AH629" s="719"/>
      <c r="AI629" s="719"/>
      <c r="AJ629" s="719"/>
      <c r="AK629" s="719"/>
      <c r="AL629" s="719"/>
      <c r="AM629" s="719"/>
      <c r="AN629" s="719"/>
      <c r="AO629" s="719"/>
      <c r="AP629" s="719"/>
      <c r="AQ629" s="719"/>
      <c r="AR629" s="719"/>
      <c r="AS629" s="719"/>
      <c r="AT629" s="719"/>
      <c r="AU629" s="719"/>
      <c r="AV629" s="719"/>
      <c r="AW629" s="719"/>
      <c r="AX629" s="719"/>
      <c r="AY629" s="719"/>
      <c r="AZ629" s="719"/>
      <c r="BA629" s="719"/>
      <c r="BB629" s="719"/>
      <c r="BC629" s="719"/>
      <c r="BD629" s="719"/>
      <c r="BE629" s="719"/>
      <c r="BF629" s="719"/>
      <c r="BG629" s="719"/>
      <c r="BH629" s="719"/>
      <c r="BI629" s="719"/>
      <c r="BJ629" s="719"/>
    </row>
    <row r="630" spans="2:62" ht="15.75" customHeight="1">
      <c r="B630" s="497"/>
      <c r="C630" s="811"/>
      <c r="D630" s="811"/>
      <c r="E630" s="811"/>
      <c r="F630" s="811"/>
      <c r="G630" s="811"/>
      <c r="H630" s="811"/>
      <c r="I630" s="811"/>
      <c r="J630" s="811"/>
      <c r="K630" s="811"/>
      <c r="L630" s="811"/>
      <c r="M630" s="811"/>
      <c r="N630" s="811"/>
      <c r="O630" s="811"/>
      <c r="P630" s="811"/>
      <c r="Q630" s="811"/>
      <c r="R630" s="811"/>
      <c r="S630" s="811"/>
      <c r="T630" s="811"/>
      <c r="U630" s="811"/>
      <c r="V630" s="811"/>
      <c r="W630" s="811"/>
      <c r="X630" s="811"/>
      <c r="Y630" s="719"/>
      <c r="Z630" s="719"/>
      <c r="AA630" s="719"/>
      <c r="AB630" s="719"/>
      <c r="AC630" s="719"/>
      <c r="AD630" s="719"/>
      <c r="AE630" s="719"/>
      <c r="AF630" s="719"/>
      <c r="AG630" s="719"/>
      <c r="AH630" s="719"/>
      <c r="AI630" s="719"/>
      <c r="AJ630" s="719"/>
      <c r="AK630" s="719"/>
      <c r="AL630" s="719"/>
      <c r="AM630" s="719"/>
      <c r="AN630" s="719"/>
      <c r="AO630" s="719"/>
      <c r="AP630" s="719"/>
      <c r="AQ630" s="719"/>
      <c r="AR630" s="719"/>
      <c r="AS630" s="719"/>
      <c r="AT630" s="719"/>
      <c r="AU630" s="719"/>
      <c r="AV630" s="719"/>
      <c r="AW630" s="719"/>
      <c r="AX630" s="719"/>
      <c r="AY630" s="719"/>
      <c r="AZ630" s="719"/>
      <c r="BA630" s="719"/>
      <c r="BB630" s="719"/>
      <c r="BC630" s="719"/>
      <c r="BD630" s="719"/>
      <c r="BE630" s="719"/>
      <c r="BF630" s="719"/>
      <c r="BG630" s="719"/>
      <c r="BH630" s="719"/>
      <c r="BI630" s="719"/>
      <c r="BJ630" s="719"/>
    </row>
    <row r="631" spans="2:62" ht="15.75" customHeight="1">
      <c r="B631" s="497"/>
      <c r="C631" s="811"/>
      <c r="D631" s="811"/>
      <c r="E631" s="811"/>
      <c r="F631" s="811"/>
      <c r="G631" s="811"/>
      <c r="H631" s="811"/>
      <c r="I631" s="811"/>
      <c r="J631" s="811"/>
      <c r="K631" s="811"/>
      <c r="L631" s="811"/>
      <c r="M631" s="811"/>
      <c r="N631" s="811"/>
      <c r="O631" s="811"/>
      <c r="P631" s="811"/>
      <c r="Q631" s="811"/>
      <c r="R631" s="811"/>
      <c r="S631" s="811"/>
      <c r="T631" s="811"/>
      <c r="U631" s="811"/>
      <c r="V631" s="811"/>
      <c r="W631" s="811"/>
      <c r="X631" s="811"/>
      <c r="Y631" s="719"/>
      <c r="Z631" s="719"/>
      <c r="AA631" s="719"/>
      <c r="AB631" s="719"/>
      <c r="AC631" s="719"/>
      <c r="AD631" s="719"/>
      <c r="AE631" s="719"/>
      <c r="AF631" s="719"/>
      <c r="AG631" s="719"/>
      <c r="AH631" s="719"/>
      <c r="AI631" s="719"/>
      <c r="AJ631" s="719"/>
      <c r="AK631" s="719"/>
      <c r="AL631" s="719"/>
      <c r="AM631" s="719"/>
      <c r="AN631" s="719"/>
      <c r="AO631" s="719"/>
      <c r="AP631" s="719"/>
      <c r="AQ631" s="719"/>
      <c r="AR631" s="719"/>
      <c r="AS631" s="719"/>
      <c r="AT631" s="719"/>
      <c r="AU631" s="719"/>
      <c r="AV631" s="719"/>
      <c r="AW631" s="719"/>
      <c r="AX631" s="719"/>
      <c r="AY631" s="719"/>
      <c r="AZ631" s="719"/>
      <c r="BA631" s="719"/>
      <c r="BB631" s="719"/>
      <c r="BC631" s="719"/>
      <c r="BD631" s="719"/>
      <c r="BE631" s="719"/>
      <c r="BF631" s="719"/>
      <c r="BG631" s="719"/>
      <c r="BH631" s="719"/>
      <c r="BI631" s="719"/>
      <c r="BJ631" s="719"/>
    </row>
    <row r="632" spans="2:62" ht="15.75" customHeight="1">
      <c r="B632" s="497"/>
      <c r="C632" s="811"/>
      <c r="D632" s="811"/>
      <c r="E632" s="811"/>
      <c r="F632" s="811"/>
      <c r="G632" s="811"/>
      <c r="H632" s="811"/>
      <c r="I632" s="811"/>
      <c r="J632" s="811"/>
      <c r="K632" s="811"/>
      <c r="L632" s="811"/>
      <c r="M632" s="811"/>
      <c r="N632" s="811"/>
      <c r="O632" s="811"/>
      <c r="P632" s="811"/>
      <c r="Q632" s="811"/>
      <c r="R632" s="811"/>
      <c r="S632" s="811"/>
      <c r="T632" s="811"/>
      <c r="U632" s="811"/>
      <c r="V632" s="811"/>
      <c r="W632" s="811"/>
      <c r="X632" s="811"/>
      <c r="Y632" s="719"/>
      <c r="Z632" s="719"/>
      <c r="AA632" s="719"/>
      <c r="AB632" s="719"/>
      <c r="AC632" s="719"/>
      <c r="AD632" s="719"/>
      <c r="AE632" s="719"/>
      <c r="AF632" s="719"/>
      <c r="AG632" s="719"/>
      <c r="AH632" s="719"/>
      <c r="AI632" s="719"/>
      <c r="AJ632" s="719"/>
      <c r="AK632" s="719"/>
      <c r="AL632" s="719"/>
      <c r="AM632" s="719"/>
      <c r="AN632" s="719"/>
      <c r="AO632" s="719"/>
      <c r="AP632" s="719"/>
      <c r="AQ632" s="719"/>
      <c r="AR632" s="719"/>
      <c r="AS632" s="719"/>
      <c r="AT632" s="719"/>
      <c r="AU632" s="719"/>
      <c r="AV632" s="719"/>
      <c r="AW632" s="719"/>
      <c r="AX632" s="719"/>
      <c r="AY632" s="719"/>
      <c r="AZ632" s="719"/>
      <c r="BA632" s="719"/>
      <c r="BB632" s="719"/>
      <c r="BC632" s="719"/>
      <c r="BD632" s="719"/>
      <c r="BE632" s="719"/>
      <c r="BF632" s="719"/>
      <c r="BG632" s="719"/>
      <c r="BH632" s="719"/>
      <c r="BI632" s="719"/>
      <c r="BJ632" s="719"/>
    </row>
    <row r="633" spans="2:62" ht="15.75" customHeight="1">
      <c r="B633" s="497"/>
      <c r="C633" s="811"/>
      <c r="D633" s="811"/>
      <c r="E633" s="811"/>
      <c r="F633" s="811"/>
      <c r="G633" s="811"/>
      <c r="H633" s="811"/>
      <c r="I633" s="811"/>
      <c r="J633" s="811"/>
      <c r="K633" s="811"/>
      <c r="L633" s="811"/>
      <c r="M633" s="811"/>
      <c r="N633" s="811"/>
      <c r="O633" s="811"/>
      <c r="P633" s="811"/>
      <c r="Q633" s="811"/>
      <c r="R633" s="811"/>
      <c r="S633" s="811"/>
      <c r="T633" s="811"/>
      <c r="U633" s="811"/>
      <c r="V633" s="811"/>
      <c r="W633" s="811"/>
      <c r="X633" s="811"/>
      <c r="Y633" s="719"/>
      <c r="Z633" s="719"/>
      <c r="AA633" s="719"/>
      <c r="AB633" s="719"/>
      <c r="AC633" s="719"/>
      <c r="AD633" s="719"/>
      <c r="AE633" s="719"/>
      <c r="AF633" s="719"/>
      <c r="AG633" s="719"/>
      <c r="AH633" s="719"/>
      <c r="AI633" s="719"/>
      <c r="AJ633" s="719"/>
      <c r="AK633" s="719"/>
      <c r="AL633" s="719"/>
      <c r="AM633" s="719"/>
      <c r="AN633" s="719"/>
      <c r="AO633" s="719"/>
      <c r="AP633" s="719"/>
      <c r="AQ633" s="719"/>
      <c r="AR633" s="719"/>
      <c r="AS633" s="719"/>
      <c r="AT633" s="719"/>
      <c r="AU633" s="719"/>
      <c r="AV633" s="719"/>
      <c r="AW633" s="719"/>
      <c r="AX633" s="719"/>
      <c r="AY633" s="719"/>
      <c r="AZ633" s="719"/>
      <c r="BA633" s="719"/>
      <c r="BB633" s="719"/>
      <c r="BC633" s="719"/>
      <c r="BD633" s="719"/>
      <c r="BE633" s="719"/>
      <c r="BF633" s="719"/>
      <c r="BG633" s="719"/>
      <c r="BH633" s="719"/>
      <c r="BI633" s="719"/>
      <c r="BJ633" s="719"/>
    </row>
    <row r="634" spans="2:62" ht="15.75" customHeight="1">
      <c r="B634" s="497"/>
      <c r="C634" s="811"/>
      <c r="D634" s="811"/>
      <c r="E634" s="811"/>
      <c r="F634" s="811"/>
      <c r="G634" s="811"/>
      <c r="H634" s="811"/>
      <c r="I634" s="811"/>
      <c r="J634" s="811"/>
      <c r="K634" s="811"/>
      <c r="L634" s="811"/>
      <c r="M634" s="811"/>
      <c r="N634" s="811"/>
      <c r="O634" s="811"/>
      <c r="P634" s="811"/>
      <c r="Q634" s="811"/>
      <c r="R634" s="811"/>
      <c r="S634" s="811"/>
      <c r="T634" s="811"/>
      <c r="U634" s="811"/>
      <c r="V634" s="811"/>
      <c r="W634" s="811"/>
      <c r="X634" s="811"/>
      <c r="Y634" s="719"/>
      <c r="Z634" s="719"/>
      <c r="AA634" s="719"/>
      <c r="AB634" s="719"/>
      <c r="AC634" s="719"/>
      <c r="AD634" s="719"/>
      <c r="AE634" s="719"/>
      <c r="AF634" s="719"/>
      <c r="AG634" s="719"/>
      <c r="AH634" s="719"/>
      <c r="AI634" s="719"/>
      <c r="AJ634" s="719"/>
      <c r="AK634" s="719"/>
      <c r="AL634" s="719"/>
      <c r="AM634" s="719"/>
      <c r="AN634" s="719"/>
      <c r="AO634" s="719"/>
      <c r="AP634" s="719"/>
      <c r="AQ634" s="719"/>
      <c r="AR634" s="719"/>
      <c r="AS634" s="719"/>
      <c r="AT634" s="719"/>
      <c r="AU634" s="719"/>
      <c r="AV634" s="719"/>
      <c r="AW634" s="719"/>
      <c r="AX634" s="719"/>
      <c r="AY634" s="719"/>
      <c r="AZ634" s="719"/>
      <c r="BA634" s="719"/>
      <c r="BB634" s="719"/>
      <c r="BC634" s="719"/>
      <c r="BD634" s="719"/>
      <c r="BE634" s="719"/>
      <c r="BF634" s="719"/>
      <c r="BG634" s="719"/>
      <c r="BH634" s="719"/>
      <c r="BI634" s="719"/>
      <c r="BJ634" s="719"/>
    </row>
    <row r="635" spans="2:62" ht="15.75" customHeight="1">
      <c r="B635" s="497"/>
      <c r="C635" s="811"/>
      <c r="D635" s="811"/>
      <c r="E635" s="811"/>
      <c r="F635" s="811"/>
      <c r="G635" s="811"/>
      <c r="H635" s="811"/>
      <c r="I635" s="811"/>
      <c r="J635" s="811"/>
      <c r="K635" s="811"/>
      <c r="L635" s="811"/>
      <c r="M635" s="811"/>
      <c r="N635" s="811"/>
      <c r="O635" s="811"/>
      <c r="P635" s="811"/>
      <c r="Q635" s="811"/>
      <c r="R635" s="811"/>
      <c r="S635" s="811"/>
      <c r="T635" s="811"/>
      <c r="U635" s="811"/>
      <c r="V635" s="811"/>
      <c r="W635" s="811"/>
      <c r="X635" s="811"/>
      <c r="Y635" s="719"/>
      <c r="Z635" s="719"/>
      <c r="AA635" s="719"/>
      <c r="AB635" s="719"/>
      <c r="AC635" s="719"/>
      <c r="AD635" s="719"/>
      <c r="AE635" s="719"/>
      <c r="AF635" s="719"/>
      <c r="AG635" s="719"/>
      <c r="AH635" s="719"/>
      <c r="AI635" s="719"/>
      <c r="AJ635" s="719"/>
      <c r="AK635" s="719"/>
      <c r="AL635" s="719"/>
      <c r="AM635" s="719"/>
      <c r="AN635" s="719"/>
      <c r="AO635" s="719"/>
      <c r="AP635" s="719"/>
      <c r="AQ635" s="719"/>
      <c r="AR635" s="719"/>
      <c r="AS635" s="719"/>
      <c r="AT635" s="719"/>
      <c r="AU635" s="719"/>
      <c r="AV635" s="719"/>
      <c r="AW635" s="719"/>
      <c r="AX635" s="719"/>
      <c r="AY635" s="719"/>
      <c r="AZ635" s="719"/>
      <c r="BA635" s="719"/>
      <c r="BB635" s="719"/>
      <c r="BC635" s="719"/>
      <c r="BD635" s="719"/>
      <c r="BE635" s="719"/>
      <c r="BF635" s="719"/>
      <c r="BG635" s="719"/>
      <c r="BH635" s="719"/>
      <c r="BI635" s="719"/>
      <c r="BJ635" s="719"/>
    </row>
    <row r="636" spans="2:62" ht="15.75" customHeight="1">
      <c r="B636" s="497"/>
      <c r="C636" s="811"/>
      <c r="D636" s="811"/>
      <c r="E636" s="811"/>
      <c r="F636" s="811"/>
      <c r="G636" s="811"/>
      <c r="H636" s="811"/>
      <c r="I636" s="811"/>
      <c r="J636" s="811"/>
      <c r="K636" s="811"/>
      <c r="L636" s="811"/>
      <c r="M636" s="811"/>
      <c r="N636" s="811"/>
      <c r="O636" s="811"/>
      <c r="P636" s="811"/>
      <c r="Q636" s="811"/>
      <c r="R636" s="811"/>
      <c r="S636" s="811"/>
      <c r="T636" s="811"/>
      <c r="U636" s="811"/>
      <c r="V636" s="811"/>
      <c r="W636" s="811"/>
      <c r="X636" s="811"/>
      <c r="Y636" s="719"/>
      <c r="Z636" s="719"/>
      <c r="AA636" s="719"/>
      <c r="AB636" s="719"/>
      <c r="AC636" s="719"/>
      <c r="AD636" s="719"/>
      <c r="AE636" s="719"/>
      <c r="AF636" s="719"/>
      <c r="AG636" s="719"/>
      <c r="AH636" s="719"/>
      <c r="AI636" s="719"/>
      <c r="AJ636" s="719"/>
      <c r="AK636" s="719"/>
      <c r="AL636" s="719"/>
      <c r="AM636" s="719"/>
      <c r="AN636" s="719"/>
      <c r="AO636" s="719"/>
      <c r="AP636" s="719"/>
      <c r="AQ636" s="719"/>
      <c r="AR636" s="719"/>
      <c r="AS636" s="719"/>
      <c r="AT636" s="719"/>
      <c r="AU636" s="719"/>
      <c r="AV636" s="719"/>
      <c r="AW636" s="719"/>
      <c r="AX636" s="719"/>
      <c r="AY636" s="719"/>
      <c r="AZ636" s="719"/>
      <c r="BA636" s="719"/>
      <c r="BB636" s="719"/>
      <c r="BC636" s="719"/>
      <c r="BD636" s="719"/>
      <c r="BE636" s="719"/>
      <c r="BF636" s="719"/>
      <c r="BG636" s="719"/>
      <c r="BH636" s="719"/>
      <c r="BI636" s="719"/>
      <c r="BJ636" s="719"/>
    </row>
    <row r="637" spans="2:62" ht="15.75" customHeight="1">
      <c r="B637" s="497"/>
      <c r="C637" s="811"/>
      <c r="D637" s="811"/>
      <c r="E637" s="811"/>
      <c r="F637" s="811"/>
      <c r="G637" s="811"/>
      <c r="H637" s="811"/>
      <c r="I637" s="811"/>
      <c r="J637" s="811"/>
      <c r="K637" s="811"/>
      <c r="L637" s="811"/>
      <c r="M637" s="811"/>
      <c r="N637" s="811"/>
      <c r="O637" s="811"/>
      <c r="P637" s="811"/>
      <c r="Q637" s="811"/>
      <c r="R637" s="811"/>
      <c r="S637" s="811"/>
      <c r="T637" s="811"/>
      <c r="U637" s="811"/>
      <c r="V637" s="811"/>
      <c r="W637" s="811"/>
      <c r="X637" s="811"/>
      <c r="Y637" s="719"/>
      <c r="Z637" s="719"/>
      <c r="AA637" s="719"/>
      <c r="AB637" s="719"/>
      <c r="AC637" s="719"/>
      <c r="AD637" s="719"/>
      <c r="AE637" s="719"/>
      <c r="AF637" s="719"/>
      <c r="AG637" s="719"/>
      <c r="AH637" s="719"/>
      <c r="AI637" s="719"/>
      <c r="AJ637" s="719"/>
      <c r="AK637" s="719"/>
      <c r="AL637" s="719"/>
      <c r="AM637" s="719"/>
      <c r="AN637" s="719"/>
      <c r="AO637" s="719"/>
      <c r="AP637" s="719"/>
      <c r="AQ637" s="719"/>
      <c r="AR637" s="719"/>
      <c r="AS637" s="719"/>
      <c r="AT637" s="719"/>
      <c r="AU637" s="719"/>
      <c r="AV637" s="719"/>
      <c r="AW637" s="719"/>
      <c r="AX637" s="719"/>
      <c r="AY637" s="719"/>
      <c r="AZ637" s="719"/>
      <c r="BA637" s="719"/>
      <c r="BB637" s="719"/>
      <c r="BC637" s="719"/>
      <c r="BD637" s="719"/>
      <c r="BE637" s="719"/>
      <c r="BF637" s="719"/>
      <c r="BG637" s="719"/>
      <c r="BH637" s="719"/>
      <c r="BI637" s="719"/>
      <c r="BJ637" s="719"/>
    </row>
    <row r="638" spans="2:62" ht="15.75" customHeight="1">
      <c r="B638" s="497"/>
      <c r="C638" s="811"/>
      <c r="D638" s="811"/>
      <c r="E638" s="811"/>
      <c r="F638" s="811"/>
      <c r="G638" s="811"/>
      <c r="H638" s="811"/>
      <c r="I638" s="811"/>
      <c r="J638" s="811"/>
      <c r="K638" s="811"/>
      <c r="L638" s="811"/>
      <c r="M638" s="811"/>
      <c r="N638" s="811"/>
      <c r="O638" s="811"/>
      <c r="P638" s="811"/>
      <c r="Q638" s="811"/>
      <c r="R638" s="811"/>
      <c r="S638" s="811"/>
      <c r="T638" s="811"/>
      <c r="U638" s="811"/>
      <c r="V638" s="811"/>
      <c r="W638" s="811"/>
      <c r="X638" s="811"/>
      <c r="Y638" s="719"/>
      <c r="Z638" s="719"/>
      <c r="AA638" s="719"/>
      <c r="AB638" s="719"/>
      <c r="AC638" s="719"/>
      <c r="AD638" s="719"/>
      <c r="AE638" s="719"/>
      <c r="AF638" s="719"/>
      <c r="AG638" s="719"/>
      <c r="AH638" s="719"/>
      <c r="AI638" s="719"/>
      <c r="AJ638" s="719"/>
      <c r="AK638" s="719"/>
      <c r="AL638" s="719"/>
      <c r="AM638" s="719"/>
      <c r="AN638" s="719"/>
      <c r="AO638" s="719"/>
      <c r="AP638" s="719"/>
      <c r="AQ638" s="719"/>
      <c r="AR638" s="719"/>
      <c r="AS638" s="719"/>
      <c r="AT638" s="719"/>
      <c r="AU638" s="719"/>
      <c r="AV638" s="719"/>
      <c r="AW638" s="719"/>
      <c r="AX638" s="719"/>
      <c r="AY638" s="719"/>
      <c r="AZ638" s="719"/>
      <c r="BA638" s="719"/>
      <c r="BB638" s="719"/>
      <c r="BC638" s="719"/>
      <c r="BD638" s="719"/>
      <c r="BE638" s="719"/>
      <c r="BF638" s="719"/>
      <c r="BG638" s="719"/>
      <c r="BH638" s="719"/>
      <c r="BI638" s="719"/>
      <c r="BJ638" s="719"/>
    </row>
    <row r="639" spans="2:62" ht="15.75" customHeight="1">
      <c r="B639" s="497"/>
      <c r="C639" s="811"/>
      <c r="D639" s="811"/>
      <c r="E639" s="811"/>
      <c r="F639" s="811"/>
      <c r="G639" s="811"/>
      <c r="H639" s="811"/>
      <c r="I639" s="811"/>
      <c r="J639" s="811"/>
      <c r="K639" s="811"/>
      <c r="L639" s="811"/>
      <c r="M639" s="811"/>
      <c r="N639" s="811"/>
      <c r="O639" s="811"/>
      <c r="P639" s="811"/>
      <c r="Q639" s="811"/>
      <c r="R639" s="811"/>
      <c r="S639" s="811"/>
      <c r="T639" s="811"/>
      <c r="U639" s="811"/>
      <c r="V639" s="811"/>
      <c r="W639" s="811"/>
      <c r="X639" s="811"/>
      <c r="Y639" s="719"/>
      <c r="Z639" s="719"/>
      <c r="AA639" s="719"/>
      <c r="AB639" s="719"/>
      <c r="AC639" s="719"/>
      <c r="AD639" s="719"/>
      <c r="AE639" s="719"/>
      <c r="AF639" s="719"/>
      <c r="AG639" s="719"/>
      <c r="AH639" s="719"/>
      <c r="AI639" s="719"/>
      <c r="AJ639" s="719"/>
      <c r="AK639" s="719"/>
      <c r="AL639" s="719"/>
      <c r="AM639" s="719"/>
      <c r="AN639" s="719"/>
      <c r="AO639" s="719"/>
      <c r="AP639" s="719"/>
      <c r="AQ639" s="719"/>
      <c r="AR639" s="719"/>
      <c r="AS639" s="719"/>
      <c r="AT639" s="719"/>
      <c r="AU639" s="719"/>
      <c r="AV639" s="719"/>
      <c r="AW639" s="719"/>
      <c r="AX639" s="719"/>
      <c r="AY639" s="719"/>
      <c r="AZ639" s="719"/>
      <c r="BA639" s="719"/>
      <c r="BB639" s="719"/>
      <c r="BC639" s="719"/>
      <c r="BD639" s="719"/>
      <c r="BE639" s="719"/>
      <c r="BF639" s="719"/>
      <c r="BG639" s="719"/>
      <c r="BH639" s="719"/>
      <c r="BI639" s="719"/>
      <c r="BJ639" s="719"/>
    </row>
    <row r="640" spans="2:62" ht="15.75" customHeight="1">
      <c r="B640" s="497"/>
      <c r="C640" s="811"/>
      <c r="D640" s="811"/>
      <c r="E640" s="811"/>
      <c r="F640" s="811"/>
      <c r="G640" s="811"/>
      <c r="H640" s="811"/>
      <c r="I640" s="811"/>
      <c r="J640" s="811"/>
      <c r="K640" s="811"/>
      <c r="L640" s="811"/>
      <c r="M640" s="811"/>
      <c r="N640" s="811"/>
      <c r="O640" s="811"/>
      <c r="P640" s="811"/>
      <c r="Q640" s="811"/>
      <c r="R640" s="811"/>
      <c r="S640" s="811"/>
      <c r="T640" s="811"/>
      <c r="U640" s="811"/>
      <c r="V640" s="811"/>
      <c r="W640" s="811"/>
      <c r="X640" s="811"/>
      <c r="Y640" s="719"/>
      <c r="Z640" s="719"/>
      <c r="AA640" s="719"/>
      <c r="AB640" s="719"/>
      <c r="AC640" s="719"/>
      <c r="AD640" s="719"/>
      <c r="AE640" s="719"/>
      <c r="AF640" s="719"/>
      <c r="AG640" s="719"/>
      <c r="AH640" s="719"/>
      <c r="AI640" s="719"/>
      <c r="AJ640" s="719"/>
      <c r="AK640" s="719"/>
      <c r="AL640" s="719"/>
      <c r="AM640" s="719"/>
      <c r="AN640" s="719"/>
      <c r="AO640" s="719"/>
      <c r="AP640" s="719"/>
      <c r="AQ640" s="719"/>
      <c r="AR640" s="719"/>
      <c r="AS640" s="719"/>
      <c r="AT640" s="719"/>
      <c r="AU640" s="719"/>
      <c r="AV640" s="719"/>
      <c r="AW640" s="719"/>
      <c r="AX640" s="719"/>
      <c r="AY640" s="719"/>
      <c r="AZ640" s="719"/>
      <c r="BA640" s="719"/>
      <c r="BB640" s="719"/>
      <c r="BC640" s="719"/>
      <c r="BD640" s="719"/>
      <c r="BE640" s="719"/>
      <c r="BF640" s="719"/>
      <c r="BG640" s="719"/>
      <c r="BH640" s="719"/>
      <c r="BI640" s="719"/>
      <c r="BJ640" s="719"/>
    </row>
    <row r="641" spans="2:62" ht="15.75" customHeight="1">
      <c r="B641" s="497"/>
      <c r="C641" s="811"/>
      <c r="D641" s="811"/>
      <c r="E641" s="811"/>
      <c r="F641" s="811"/>
      <c r="G641" s="811"/>
      <c r="H641" s="811"/>
      <c r="I641" s="811"/>
      <c r="J641" s="811"/>
      <c r="K641" s="811"/>
      <c r="L641" s="811"/>
      <c r="M641" s="811"/>
      <c r="N641" s="811"/>
      <c r="O641" s="811"/>
      <c r="P641" s="811"/>
      <c r="Q641" s="811"/>
      <c r="R641" s="811"/>
      <c r="S641" s="811"/>
      <c r="T641" s="811"/>
      <c r="U641" s="811"/>
      <c r="V641" s="811"/>
      <c r="W641" s="811"/>
      <c r="X641" s="811"/>
      <c r="Y641" s="719"/>
      <c r="Z641" s="719"/>
      <c r="AA641" s="719"/>
      <c r="AB641" s="719"/>
      <c r="AC641" s="719"/>
      <c r="AD641" s="719"/>
      <c r="AE641" s="719"/>
      <c r="AF641" s="719"/>
      <c r="AG641" s="719"/>
      <c r="AH641" s="719"/>
      <c r="AI641" s="719"/>
      <c r="AJ641" s="719"/>
      <c r="AK641" s="719"/>
      <c r="AL641" s="719"/>
      <c r="AM641" s="719"/>
      <c r="AN641" s="719"/>
      <c r="AO641" s="719"/>
      <c r="AP641" s="719"/>
      <c r="AQ641" s="719"/>
      <c r="AR641" s="719"/>
      <c r="AS641" s="719"/>
      <c r="AT641" s="719"/>
      <c r="AU641" s="719"/>
      <c r="AV641" s="719"/>
      <c r="AW641" s="719"/>
      <c r="AX641" s="719"/>
      <c r="AY641" s="719"/>
      <c r="AZ641" s="719"/>
      <c r="BA641" s="719"/>
      <c r="BB641" s="719"/>
      <c r="BC641" s="719"/>
      <c r="BD641" s="719"/>
      <c r="BE641" s="719"/>
      <c r="BF641" s="719"/>
      <c r="BG641" s="719"/>
      <c r="BH641" s="719"/>
      <c r="BI641" s="719"/>
      <c r="BJ641" s="719"/>
    </row>
    <row r="642" spans="2:62" ht="15.75" customHeight="1">
      <c r="B642" s="497"/>
      <c r="C642" s="811"/>
      <c r="D642" s="811"/>
      <c r="E642" s="811"/>
      <c r="F642" s="811"/>
      <c r="G642" s="811"/>
      <c r="H642" s="811"/>
      <c r="I642" s="811"/>
      <c r="J642" s="811"/>
      <c r="K642" s="811"/>
      <c r="L642" s="811"/>
      <c r="M642" s="811"/>
      <c r="N642" s="811"/>
      <c r="O642" s="811"/>
      <c r="P642" s="811"/>
      <c r="Q642" s="811"/>
      <c r="R642" s="811"/>
      <c r="S642" s="811"/>
      <c r="T642" s="811"/>
      <c r="U642" s="811"/>
      <c r="V642" s="811"/>
      <c r="W642" s="811"/>
      <c r="X642" s="811"/>
      <c r="Y642" s="719"/>
      <c r="Z642" s="719"/>
      <c r="AA642" s="719"/>
      <c r="AB642" s="719"/>
      <c r="AC642" s="719"/>
      <c r="AD642" s="719"/>
      <c r="AE642" s="719"/>
      <c r="AF642" s="719"/>
      <c r="AG642" s="719"/>
      <c r="AH642" s="719"/>
      <c r="AI642" s="719"/>
      <c r="AJ642" s="719"/>
      <c r="AK642" s="719"/>
      <c r="AL642" s="719"/>
      <c r="AM642" s="719"/>
      <c r="AN642" s="719"/>
      <c r="AO642" s="719"/>
      <c r="AP642" s="719"/>
      <c r="AQ642" s="719"/>
      <c r="AR642" s="719"/>
      <c r="AS642" s="719"/>
      <c r="AT642" s="719"/>
      <c r="AU642" s="719"/>
      <c r="AV642" s="719"/>
      <c r="AW642" s="719"/>
      <c r="AX642" s="719"/>
      <c r="AY642" s="719"/>
      <c r="AZ642" s="719"/>
      <c r="BA642" s="719"/>
      <c r="BB642" s="719"/>
      <c r="BC642" s="719"/>
      <c r="BD642" s="719"/>
      <c r="BE642" s="719"/>
      <c r="BF642" s="719"/>
      <c r="BG642" s="719"/>
      <c r="BH642" s="719"/>
      <c r="BI642" s="719"/>
      <c r="BJ642" s="719"/>
    </row>
    <row r="643" spans="2:62" ht="15.75" customHeight="1">
      <c r="B643" s="497"/>
      <c r="C643" s="811"/>
      <c r="D643" s="811"/>
      <c r="E643" s="811"/>
      <c r="F643" s="811"/>
      <c r="G643" s="811"/>
      <c r="H643" s="811"/>
      <c r="I643" s="811"/>
      <c r="J643" s="811"/>
      <c r="K643" s="811"/>
      <c r="L643" s="811"/>
      <c r="M643" s="811"/>
      <c r="N643" s="811"/>
      <c r="O643" s="811"/>
      <c r="P643" s="811"/>
      <c r="Q643" s="811"/>
      <c r="R643" s="811"/>
      <c r="S643" s="811"/>
      <c r="T643" s="811"/>
      <c r="U643" s="811"/>
      <c r="V643" s="811"/>
      <c r="W643" s="811"/>
      <c r="X643" s="811"/>
      <c r="Y643" s="719"/>
      <c r="Z643" s="719"/>
      <c r="AA643" s="719"/>
      <c r="AB643" s="719"/>
      <c r="AC643" s="719"/>
      <c r="AD643" s="719"/>
      <c r="AE643" s="719"/>
      <c r="AF643" s="719"/>
      <c r="AG643" s="719"/>
      <c r="AH643" s="719"/>
      <c r="AI643" s="719"/>
      <c r="AJ643" s="719"/>
      <c r="AK643" s="719"/>
      <c r="AL643" s="719"/>
      <c r="AM643" s="719"/>
      <c r="AN643" s="719"/>
      <c r="AO643" s="719"/>
      <c r="AP643" s="719"/>
      <c r="AQ643" s="719"/>
      <c r="AR643" s="719"/>
      <c r="AS643" s="719"/>
      <c r="AT643" s="719"/>
      <c r="AU643" s="719"/>
      <c r="AV643" s="719"/>
      <c r="AW643" s="719"/>
      <c r="AX643" s="719"/>
      <c r="AY643" s="719"/>
      <c r="AZ643" s="719"/>
      <c r="BA643" s="719"/>
      <c r="BB643" s="719"/>
      <c r="BC643" s="719"/>
      <c r="BD643" s="719"/>
      <c r="BE643" s="719"/>
      <c r="BF643" s="719"/>
      <c r="BG643" s="719"/>
      <c r="BH643" s="719"/>
      <c r="BI643" s="719"/>
      <c r="BJ643" s="719"/>
    </row>
    <row r="644" spans="2:62" ht="15.75" customHeight="1">
      <c r="B644" s="497"/>
      <c r="C644" s="811"/>
      <c r="D644" s="811"/>
      <c r="E644" s="811"/>
      <c r="F644" s="811"/>
      <c r="G644" s="811"/>
      <c r="H644" s="811"/>
      <c r="I644" s="811"/>
      <c r="J644" s="811"/>
      <c r="K644" s="811"/>
      <c r="L644" s="811"/>
      <c r="M644" s="811"/>
      <c r="N644" s="811"/>
      <c r="O644" s="811"/>
      <c r="P644" s="811"/>
      <c r="Q644" s="811"/>
      <c r="R644" s="811"/>
      <c r="S644" s="811"/>
      <c r="T644" s="811"/>
      <c r="U644" s="811"/>
      <c r="V644" s="811"/>
      <c r="W644" s="811"/>
      <c r="X644" s="811"/>
      <c r="Y644" s="719"/>
      <c r="Z644" s="719"/>
      <c r="AA644" s="719"/>
      <c r="AB644" s="719"/>
      <c r="AC644" s="719"/>
      <c r="AD644" s="719"/>
      <c r="AE644" s="719"/>
      <c r="AF644" s="719"/>
      <c r="AG644" s="719"/>
      <c r="AH644" s="719"/>
      <c r="AI644" s="719"/>
      <c r="AJ644" s="719"/>
      <c r="AK644" s="719"/>
      <c r="AL644" s="719"/>
      <c r="AM644" s="719"/>
      <c r="AN644" s="719"/>
      <c r="AO644" s="719"/>
      <c r="AP644" s="719"/>
      <c r="AQ644" s="719"/>
      <c r="AR644" s="719"/>
      <c r="AS644" s="719"/>
      <c r="AT644" s="719"/>
      <c r="AU644" s="719"/>
      <c r="AV644" s="719"/>
      <c r="AW644" s="719"/>
      <c r="AX644" s="719"/>
      <c r="AY644" s="719"/>
      <c r="AZ644" s="719"/>
      <c r="BA644" s="719"/>
      <c r="BB644" s="719"/>
      <c r="BC644" s="719"/>
      <c r="BD644" s="719"/>
      <c r="BE644" s="719"/>
      <c r="BF644" s="719"/>
      <c r="BG644" s="719"/>
      <c r="BH644" s="719"/>
      <c r="BI644" s="719"/>
      <c r="BJ644" s="719"/>
    </row>
    <row r="645" spans="2:62" ht="15.75" customHeight="1">
      <c r="B645" s="497"/>
      <c r="C645" s="881"/>
      <c r="D645" s="811"/>
      <c r="E645" s="811"/>
      <c r="F645" s="811"/>
      <c r="G645" s="811"/>
      <c r="H645" s="811"/>
      <c r="I645" s="811"/>
      <c r="J645" s="811"/>
      <c r="K645" s="811"/>
      <c r="L645" s="811"/>
      <c r="M645" s="811"/>
      <c r="N645" s="811"/>
      <c r="O645" s="420"/>
      <c r="P645" s="811"/>
      <c r="Q645" s="811"/>
      <c r="R645" s="811"/>
      <c r="S645" s="811"/>
      <c r="T645" s="811"/>
      <c r="U645" s="811"/>
      <c r="V645" s="811"/>
      <c r="W645" s="811"/>
      <c r="X645" s="811"/>
      <c r="Y645" s="719"/>
      <c r="Z645" s="719"/>
      <c r="AA645" s="719"/>
      <c r="AB645" s="719"/>
      <c r="AC645" s="719"/>
      <c r="AD645" s="719"/>
      <c r="AE645" s="719"/>
      <c r="AF645" s="719"/>
      <c r="AG645" s="719"/>
      <c r="AH645" s="719"/>
      <c r="AI645" s="719"/>
      <c r="AJ645" s="719"/>
      <c r="AK645" s="719"/>
      <c r="AL645" s="719"/>
      <c r="AM645" s="719"/>
      <c r="AN645" s="719"/>
      <c r="AO645" s="719"/>
      <c r="AP645" s="719"/>
      <c r="AQ645" s="719"/>
      <c r="AR645" s="719"/>
      <c r="AS645" s="719"/>
      <c r="AT645" s="719"/>
      <c r="AU645" s="719"/>
      <c r="AV645" s="719"/>
      <c r="AW645" s="719"/>
      <c r="AX645" s="719"/>
      <c r="AY645" s="719"/>
      <c r="AZ645" s="719"/>
      <c r="BA645" s="719"/>
      <c r="BB645" s="719"/>
      <c r="BC645" s="719"/>
      <c r="BD645" s="719"/>
      <c r="BE645" s="719"/>
      <c r="BF645" s="719"/>
      <c r="BG645" s="719"/>
      <c r="BH645" s="719"/>
      <c r="BI645" s="719"/>
      <c r="BJ645" s="719"/>
    </row>
    <row r="646" spans="2:62" ht="15.75" customHeight="1">
      <c r="B646" s="497"/>
      <c r="C646" s="409"/>
      <c r="D646" s="413"/>
      <c r="E646" s="413"/>
      <c r="F646" s="413"/>
      <c r="G646" s="413"/>
      <c r="H646" s="413"/>
      <c r="I646" s="413"/>
      <c r="J646" s="413"/>
      <c r="K646" s="413"/>
      <c r="L646" s="413"/>
      <c r="M646" s="413"/>
      <c r="N646" s="413"/>
      <c r="O646" s="413"/>
      <c r="P646" s="413"/>
      <c r="Q646" s="421"/>
      <c r="R646" s="413"/>
      <c r="S646" s="413"/>
      <c r="T646" s="811"/>
      <c r="U646" s="811"/>
      <c r="V646" s="811"/>
      <c r="W646" s="811"/>
      <c r="X646" s="811"/>
      <c r="Y646" s="719"/>
      <c r="Z646" s="719"/>
      <c r="AA646" s="719"/>
      <c r="AB646" s="719"/>
      <c r="AC646" s="719"/>
      <c r="AD646" s="719"/>
      <c r="AE646" s="719"/>
      <c r="AF646" s="719"/>
      <c r="AG646" s="719"/>
      <c r="AH646" s="719"/>
      <c r="AI646" s="719"/>
      <c r="AJ646" s="719"/>
      <c r="AK646" s="719"/>
      <c r="AL646" s="719"/>
      <c r="AM646" s="719"/>
      <c r="AN646" s="719"/>
      <c r="AO646" s="719"/>
      <c r="AP646" s="719"/>
      <c r="AQ646" s="719"/>
      <c r="AR646" s="719"/>
      <c r="AS646" s="719"/>
      <c r="AT646" s="719"/>
      <c r="AU646" s="719"/>
      <c r="AV646" s="719"/>
      <c r="AW646" s="719"/>
      <c r="AX646" s="719"/>
      <c r="AY646" s="719"/>
      <c r="AZ646" s="719"/>
      <c r="BA646" s="719"/>
      <c r="BB646" s="719"/>
      <c r="BC646" s="719"/>
      <c r="BD646" s="719"/>
      <c r="BE646" s="719"/>
      <c r="BF646" s="719"/>
      <c r="BG646" s="719"/>
      <c r="BH646" s="719"/>
      <c r="BI646" s="719"/>
      <c r="BJ646" s="719"/>
    </row>
    <row r="647" spans="2:62" ht="15.75" customHeight="1">
      <c r="B647" s="497"/>
      <c r="C647" s="811"/>
      <c r="D647" s="410"/>
      <c r="E647" s="410"/>
      <c r="F647" s="422"/>
      <c r="G647" s="410"/>
      <c r="H647" s="410"/>
      <c r="I647" s="422"/>
      <c r="J647" s="414"/>
      <c r="K647" s="414"/>
      <c r="L647" s="423"/>
      <c r="M647" s="414"/>
      <c r="N647" s="414"/>
      <c r="O647" s="414"/>
      <c r="P647" s="414"/>
      <c r="Q647" s="411"/>
      <c r="R647" s="410"/>
      <c r="S647" s="422"/>
      <c r="T647" s="811"/>
      <c r="U647" s="811"/>
      <c r="V647" s="811"/>
      <c r="W647" s="811"/>
      <c r="X647" s="811"/>
      <c r="Y647" s="719"/>
      <c r="Z647" s="719"/>
      <c r="AA647" s="719"/>
      <c r="AB647" s="719"/>
      <c r="AC647" s="719"/>
      <c r="AD647" s="719"/>
      <c r="AE647" s="719"/>
      <c r="AF647" s="719"/>
      <c r="AG647" s="719"/>
      <c r="AH647" s="719"/>
      <c r="AI647" s="719"/>
      <c r="AJ647" s="719"/>
      <c r="AK647" s="719"/>
      <c r="AL647" s="719"/>
      <c r="AM647" s="719"/>
      <c r="AN647" s="719"/>
      <c r="AO647" s="719"/>
      <c r="AP647" s="719"/>
      <c r="AQ647" s="719"/>
      <c r="AR647" s="719"/>
      <c r="AS647" s="719"/>
      <c r="AT647" s="719"/>
      <c r="AU647" s="719"/>
      <c r="AV647" s="719"/>
      <c r="AW647" s="719"/>
      <c r="AX647" s="719"/>
      <c r="AY647" s="719"/>
      <c r="AZ647" s="719"/>
      <c r="BA647" s="719"/>
      <c r="BB647" s="719"/>
      <c r="BC647" s="719"/>
      <c r="BD647" s="719"/>
      <c r="BE647" s="719"/>
      <c r="BF647" s="719"/>
      <c r="BG647" s="719"/>
      <c r="BH647" s="719"/>
      <c r="BI647" s="719"/>
      <c r="BJ647" s="719"/>
    </row>
    <row r="648" spans="2:62" ht="15.75" customHeight="1">
      <c r="B648" s="497"/>
      <c r="C648" s="882"/>
      <c r="D648" s="811"/>
      <c r="E648" s="811"/>
      <c r="F648" s="413"/>
      <c r="G648" s="811"/>
      <c r="H648" s="811"/>
      <c r="I648" s="413"/>
      <c r="J648" s="413"/>
      <c r="K648" s="413"/>
      <c r="L648" s="811"/>
      <c r="M648" s="413"/>
      <c r="N648" s="413"/>
      <c r="O648" s="811"/>
      <c r="P648" s="413"/>
      <c r="Q648" s="413"/>
      <c r="R648" s="811"/>
      <c r="S648" s="413"/>
      <c r="T648" s="811"/>
      <c r="U648" s="811"/>
      <c r="V648" s="811"/>
      <c r="W648" s="811"/>
      <c r="X648" s="811"/>
      <c r="Y648" s="719"/>
      <c r="Z648" s="719"/>
      <c r="AA648" s="719"/>
      <c r="AB648" s="719"/>
      <c r="AC648" s="719"/>
      <c r="AD648" s="719"/>
      <c r="AE648" s="719"/>
      <c r="AF648" s="719"/>
      <c r="AG648" s="719"/>
      <c r="AH648" s="719"/>
      <c r="AI648" s="719"/>
      <c r="AJ648" s="719"/>
      <c r="AK648" s="719"/>
      <c r="AL648" s="719"/>
      <c r="AM648" s="719"/>
      <c r="AN648" s="719"/>
      <c r="AO648" s="719"/>
      <c r="AP648" s="719"/>
      <c r="AQ648" s="719"/>
      <c r="AR648" s="719"/>
      <c r="AS648" s="719"/>
      <c r="AT648" s="719"/>
      <c r="AU648" s="719"/>
      <c r="AV648" s="719"/>
      <c r="AW648" s="719"/>
      <c r="AX648" s="719"/>
      <c r="AY648" s="719"/>
      <c r="AZ648" s="719"/>
      <c r="BA648" s="719"/>
      <c r="BB648" s="719"/>
      <c r="BC648" s="719"/>
      <c r="BD648" s="719"/>
      <c r="BE648" s="719"/>
      <c r="BF648" s="719"/>
      <c r="BG648" s="719"/>
      <c r="BH648" s="719"/>
      <c r="BI648" s="719"/>
      <c r="BJ648" s="719"/>
    </row>
    <row r="649" spans="2:62" ht="15.75" customHeight="1">
      <c r="B649" s="497"/>
      <c r="C649" s="811"/>
      <c r="D649" s="811"/>
      <c r="E649" s="811"/>
      <c r="F649" s="874"/>
      <c r="G649" s="811"/>
      <c r="H649" s="811"/>
      <c r="I649" s="874"/>
      <c r="J649" s="874"/>
      <c r="K649" s="874"/>
      <c r="L649" s="874"/>
      <c r="M649" s="874"/>
      <c r="N649" s="874"/>
      <c r="O649" s="874"/>
      <c r="P649" s="874"/>
      <c r="Q649" s="874"/>
      <c r="R649" s="874"/>
      <c r="S649" s="874"/>
      <c r="T649" s="811"/>
      <c r="U649" s="811"/>
      <c r="V649" s="811"/>
      <c r="W649" s="811"/>
      <c r="X649" s="811"/>
      <c r="Y649" s="719"/>
      <c r="Z649" s="719"/>
      <c r="AA649" s="719"/>
      <c r="AB649" s="719"/>
      <c r="AC649" s="719"/>
      <c r="AD649" s="719"/>
      <c r="AE649" s="719"/>
      <c r="AF649" s="719"/>
      <c r="AG649" s="719"/>
      <c r="AH649" s="719"/>
      <c r="AI649" s="719"/>
      <c r="AJ649" s="719"/>
      <c r="AK649" s="719"/>
      <c r="AL649" s="719"/>
      <c r="AM649" s="719"/>
      <c r="AN649" s="719"/>
      <c r="AO649" s="719"/>
      <c r="AP649" s="719"/>
      <c r="AQ649" s="719"/>
      <c r="AR649" s="719"/>
      <c r="AS649" s="719"/>
      <c r="AT649" s="719"/>
      <c r="AU649" s="719"/>
      <c r="AV649" s="719"/>
      <c r="AW649" s="719"/>
      <c r="AX649" s="719"/>
      <c r="AY649" s="719"/>
      <c r="AZ649" s="719"/>
      <c r="BA649" s="719"/>
      <c r="BB649" s="719"/>
      <c r="BC649" s="719"/>
      <c r="BD649" s="719"/>
      <c r="BE649" s="719"/>
      <c r="BF649" s="719"/>
      <c r="BG649" s="719"/>
      <c r="BH649" s="719"/>
      <c r="BI649" s="719"/>
      <c r="BJ649" s="719"/>
    </row>
    <row r="650" spans="2:62" ht="15.75" customHeight="1">
      <c r="B650" s="497"/>
      <c r="C650" s="873"/>
      <c r="D650" s="873"/>
      <c r="E650" s="873"/>
      <c r="F650" s="876"/>
      <c r="G650" s="873"/>
      <c r="H650" s="873"/>
      <c r="I650" s="876"/>
      <c r="J650" s="876"/>
      <c r="K650" s="876"/>
      <c r="L650" s="876"/>
      <c r="M650" s="876"/>
      <c r="N650" s="876"/>
      <c r="O650" s="876"/>
      <c r="P650" s="876"/>
      <c r="Q650" s="876"/>
      <c r="R650" s="876"/>
      <c r="S650" s="876"/>
      <c r="T650" s="811"/>
      <c r="U650" s="811"/>
      <c r="V650" s="811"/>
      <c r="W650" s="811"/>
      <c r="X650" s="811"/>
      <c r="Y650" s="719"/>
      <c r="Z650" s="719"/>
      <c r="AA650" s="719"/>
      <c r="AB650" s="719"/>
      <c r="AC650" s="719"/>
      <c r="AD650" s="719"/>
      <c r="AE650" s="719"/>
      <c r="AF650" s="719"/>
      <c r="AG650" s="719"/>
      <c r="AH650" s="719"/>
      <c r="AI650" s="719"/>
      <c r="AJ650" s="719"/>
      <c r="AK650" s="719"/>
      <c r="AL650" s="719"/>
      <c r="AM650" s="719"/>
      <c r="AN650" s="719"/>
      <c r="AO650" s="719"/>
      <c r="AP650" s="719"/>
      <c r="AQ650" s="719"/>
      <c r="AR650" s="719"/>
      <c r="AS650" s="719"/>
      <c r="AT650" s="719"/>
      <c r="AU650" s="719"/>
      <c r="AV650" s="719"/>
      <c r="AW650" s="719"/>
      <c r="AX650" s="719"/>
      <c r="AY650" s="719"/>
      <c r="AZ650" s="719"/>
      <c r="BA650" s="719"/>
      <c r="BB650" s="719"/>
      <c r="BC650" s="719"/>
      <c r="BD650" s="719"/>
      <c r="BE650" s="719"/>
      <c r="BF650" s="719"/>
      <c r="BG650" s="719"/>
      <c r="BH650" s="719"/>
      <c r="BI650" s="719"/>
      <c r="BJ650" s="719"/>
    </row>
    <row r="651" spans="2:62" ht="15.75" customHeight="1">
      <c r="B651" s="497"/>
      <c r="C651" s="811"/>
      <c r="D651" s="811"/>
      <c r="E651" s="811"/>
      <c r="F651" s="811"/>
      <c r="G651" s="811"/>
      <c r="H651" s="811"/>
      <c r="I651" s="811"/>
      <c r="J651" s="874"/>
      <c r="K651" s="874"/>
      <c r="L651" s="874"/>
      <c r="M651" s="874"/>
      <c r="N651" s="874"/>
      <c r="O651" s="874"/>
      <c r="P651" s="874"/>
      <c r="Q651" s="874"/>
      <c r="R651" s="874"/>
      <c r="S651" s="874"/>
      <c r="T651" s="811"/>
      <c r="U651" s="811"/>
      <c r="V651" s="811"/>
      <c r="W651" s="811"/>
      <c r="X651" s="811"/>
      <c r="Y651" s="719"/>
      <c r="Z651" s="719"/>
      <c r="AA651" s="719"/>
      <c r="AB651" s="719"/>
      <c r="AC651" s="719"/>
      <c r="AD651" s="719"/>
      <c r="AE651" s="719"/>
      <c r="AF651" s="719"/>
      <c r="AG651" s="719"/>
      <c r="AH651" s="719"/>
      <c r="AI651" s="719"/>
      <c r="AJ651" s="719"/>
      <c r="AK651" s="719"/>
      <c r="AL651" s="719"/>
      <c r="AM651" s="719"/>
      <c r="AN651" s="719"/>
      <c r="AO651" s="719"/>
      <c r="AP651" s="719"/>
      <c r="AQ651" s="719"/>
      <c r="AR651" s="719"/>
      <c r="AS651" s="719"/>
      <c r="AT651" s="719"/>
      <c r="AU651" s="719"/>
      <c r="AV651" s="719"/>
      <c r="AW651" s="719"/>
      <c r="AX651" s="719"/>
      <c r="AY651" s="719"/>
      <c r="AZ651" s="719"/>
      <c r="BA651" s="719"/>
      <c r="BB651" s="719"/>
      <c r="BC651" s="719"/>
      <c r="BD651" s="719"/>
      <c r="BE651" s="719"/>
      <c r="BF651" s="719"/>
      <c r="BG651" s="719"/>
      <c r="BH651" s="719"/>
      <c r="BI651" s="719"/>
      <c r="BJ651" s="719"/>
    </row>
    <row r="652" spans="2:62" ht="15.75" customHeight="1">
      <c r="B652" s="497"/>
      <c r="C652" s="811"/>
      <c r="D652" s="811"/>
      <c r="E652" s="811"/>
      <c r="F652" s="811"/>
      <c r="G652" s="811"/>
      <c r="H652" s="811"/>
      <c r="I652" s="811"/>
      <c r="J652" s="811"/>
      <c r="K652" s="874"/>
      <c r="L652" s="874"/>
      <c r="M652" s="811"/>
      <c r="N652" s="874"/>
      <c r="O652" s="874"/>
      <c r="P652" s="811"/>
      <c r="Q652" s="874"/>
      <c r="R652" s="874"/>
      <c r="S652" s="811"/>
      <c r="T652" s="811"/>
      <c r="U652" s="811"/>
      <c r="V652" s="811"/>
      <c r="W652" s="811"/>
      <c r="X652" s="811"/>
      <c r="Y652" s="719"/>
      <c r="Z652" s="719"/>
      <c r="AA652" s="719"/>
      <c r="AB652" s="719"/>
      <c r="AC652" s="719"/>
      <c r="AD652" s="719"/>
      <c r="AE652" s="719"/>
      <c r="AF652" s="719"/>
      <c r="AG652" s="719"/>
      <c r="AH652" s="719"/>
      <c r="AI652" s="719"/>
      <c r="AJ652" s="719"/>
      <c r="AK652" s="719"/>
      <c r="AL652" s="719"/>
      <c r="AM652" s="719"/>
      <c r="AN652" s="719"/>
      <c r="AO652" s="719"/>
      <c r="AP652" s="719"/>
      <c r="AQ652" s="719"/>
      <c r="AR652" s="719"/>
      <c r="AS652" s="719"/>
      <c r="AT652" s="719"/>
      <c r="AU652" s="719"/>
      <c r="AV652" s="719"/>
      <c r="AW652" s="719"/>
      <c r="AX652" s="719"/>
      <c r="AY652" s="719"/>
      <c r="AZ652" s="719"/>
      <c r="BA652" s="719"/>
      <c r="BB652" s="719"/>
      <c r="BC652" s="719"/>
      <c r="BD652" s="719"/>
      <c r="BE652" s="719"/>
      <c r="BF652" s="719"/>
      <c r="BG652" s="719"/>
      <c r="BH652" s="719"/>
      <c r="BI652" s="719"/>
      <c r="BJ652" s="719"/>
    </row>
    <row r="653" spans="2:62" ht="15.75" customHeight="1">
      <c r="B653" s="497"/>
      <c r="C653" s="811"/>
      <c r="D653" s="811"/>
      <c r="E653" s="811"/>
      <c r="F653" s="811"/>
      <c r="G653" s="811"/>
      <c r="H653" s="811"/>
      <c r="I653" s="811"/>
      <c r="J653" s="811"/>
      <c r="K653" s="874"/>
      <c r="L653" s="874"/>
      <c r="M653" s="811"/>
      <c r="N653" s="874"/>
      <c r="O653" s="874"/>
      <c r="P653" s="811"/>
      <c r="Q653" s="874"/>
      <c r="R653" s="874"/>
      <c r="S653" s="811"/>
      <c r="T653" s="811"/>
      <c r="U653" s="811"/>
      <c r="V653" s="811"/>
      <c r="W653" s="811"/>
      <c r="X653" s="811"/>
      <c r="Y653" s="719"/>
      <c r="Z653" s="719"/>
      <c r="AA653" s="719"/>
      <c r="AB653" s="719"/>
      <c r="AC653" s="719"/>
      <c r="AD653" s="719"/>
      <c r="AE653" s="719"/>
      <c r="AF653" s="719"/>
      <c r="AG653" s="719"/>
      <c r="AH653" s="719"/>
      <c r="AI653" s="719"/>
      <c r="AJ653" s="719"/>
      <c r="AK653" s="719"/>
      <c r="AL653" s="719"/>
      <c r="AM653" s="719"/>
      <c r="AN653" s="719"/>
      <c r="AO653" s="719"/>
      <c r="AP653" s="719"/>
      <c r="AQ653" s="719"/>
      <c r="AR653" s="719"/>
      <c r="AS653" s="719"/>
      <c r="AT653" s="719"/>
      <c r="AU653" s="719"/>
      <c r="AV653" s="719"/>
      <c r="AW653" s="719"/>
      <c r="AX653" s="719"/>
      <c r="AY653" s="719"/>
      <c r="AZ653" s="719"/>
      <c r="BA653" s="719"/>
      <c r="BB653" s="719"/>
      <c r="BC653" s="719"/>
      <c r="BD653" s="719"/>
      <c r="BE653" s="719"/>
      <c r="BF653" s="719"/>
      <c r="BG653" s="719"/>
      <c r="BH653" s="719"/>
      <c r="BI653" s="719"/>
      <c r="BJ653" s="719"/>
    </row>
    <row r="654" spans="2:62" ht="15.75" customHeight="1">
      <c r="B654" s="497"/>
      <c r="C654" s="811"/>
      <c r="D654" s="811"/>
      <c r="E654" s="811"/>
      <c r="F654" s="811"/>
      <c r="G654" s="811"/>
      <c r="H654" s="811"/>
      <c r="I654" s="811"/>
      <c r="J654" s="811"/>
      <c r="K654" s="874"/>
      <c r="L654" s="874"/>
      <c r="M654" s="811"/>
      <c r="N654" s="874"/>
      <c r="O654" s="874"/>
      <c r="P654" s="811"/>
      <c r="Q654" s="874"/>
      <c r="R654" s="874"/>
      <c r="S654" s="811"/>
      <c r="T654" s="811"/>
      <c r="U654" s="811"/>
      <c r="V654" s="811"/>
      <c r="W654" s="811"/>
      <c r="X654" s="811"/>
      <c r="Y654" s="719"/>
      <c r="Z654" s="719"/>
      <c r="AA654" s="719"/>
      <c r="AB654" s="719"/>
      <c r="AC654" s="719"/>
      <c r="AD654" s="719"/>
      <c r="AE654" s="719"/>
      <c r="AF654" s="719"/>
      <c r="AG654" s="719"/>
      <c r="AH654" s="719"/>
      <c r="AI654" s="719"/>
      <c r="AJ654" s="719"/>
      <c r="AK654" s="719"/>
      <c r="AL654" s="719"/>
      <c r="AM654" s="719"/>
      <c r="AN654" s="719"/>
      <c r="AO654" s="719"/>
      <c r="AP654" s="719"/>
      <c r="AQ654" s="719"/>
      <c r="AR654" s="719"/>
      <c r="AS654" s="719"/>
      <c r="AT654" s="719"/>
      <c r="AU654" s="719"/>
      <c r="AV654" s="719"/>
      <c r="AW654" s="719"/>
      <c r="AX654" s="719"/>
      <c r="AY654" s="719"/>
      <c r="AZ654" s="719"/>
      <c r="BA654" s="719"/>
      <c r="BB654" s="719"/>
      <c r="BC654" s="719"/>
      <c r="BD654" s="719"/>
      <c r="BE654" s="719"/>
      <c r="BF654" s="719"/>
      <c r="BG654" s="719"/>
      <c r="BH654" s="719"/>
      <c r="BI654" s="719"/>
      <c r="BJ654" s="719"/>
    </row>
    <row r="655" spans="2:62" ht="15.75" customHeight="1">
      <c r="B655" s="497"/>
      <c r="C655" s="811"/>
      <c r="D655" s="811"/>
      <c r="E655" s="811"/>
      <c r="F655" s="811"/>
      <c r="G655" s="811"/>
      <c r="H655" s="811"/>
      <c r="I655" s="811"/>
      <c r="J655" s="811"/>
      <c r="K655" s="874"/>
      <c r="L655" s="874"/>
      <c r="M655" s="811"/>
      <c r="N655" s="874"/>
      <c r="O655" s="874"/>
      <c r="P655" s="811"/>
      <c r="Q655" s="874"/>
      <c r="R655" s="874"/>
      <c r="S655" s="811"/>
      <c r="T655" s="811"/>
      <c r="U655" s="811"/>
      <c r="V655" s="811"/>
      <c r="W655" s="811"/>
      <c r="X655" s="811"/>
      <c r="Y655" s="719"/>
      <c r="Z655" s="719"/>
      <c r="AA655" s="719"/>
      <c r="AB655" s="719"/>
      <c r="AC655" s="719"/>
      <c r="AD655" s="719"/>
      <c r="AE655" s="719"/>
      <c r="AF655" s="719"/>
      <c r="AG655" s="719"/>
      <c r="AH655" s="719"/>
      <c r="AI655" s="719"/>
      <c r="AJ655" s="719"/>
      <c r="AK655" s="719"/>
      <c r="AL655" s="719"/>
      <c r="AM655" s="719"/>
      <c r="AN655" s="719"/>
      <c r="AO655" s="719"/>
      <c r="AP655" s="719"/>
      <c r="AQ655" s="719"/>
      <c r="AR655" s="719"/>
      <c r="AS655" s="719"/>
      <c r="AT655" s="719"/>
      <c r="AU655" s="719"/>
      <c r="AV655" s="719"/>
      <c r="AW655" s="719"/>
      <c r="AX655" s="719"/>
      <c r="AY655" s="719"/>
      <c r="AZ655" s="719"/>
      <c r="BA655" s="719"/>
      <c r="BB655" s="719"/>
      <c r="BC655" s="719"/>
      <c r="BD655" s="719"/>
      <c r="BE655" s="719"/>
      <c r="BF655" s="719"/>
      <c r="BG655" s="719"/>
      <c r="BH655" s="719"/>
      <c r="BI655" s="719"/>
      <c r="BJ655" s="719"/>
    </row>
    <row r="656" spans="2:62" ht="15.75" customHeight="1">
      <c r="B656" s="497"/>
      <c r="C656" s="811"/>
      <c r="D656" s="811"/>
      <c r="E656" s="811"/>
      <c r="F656" s="811"/>
      <c r="G656" s="811"/>
      <c r="H656" s="811"/>
      <c r="I656" s="811"/>
      <c r="J656" s="811"/>
      <c r="K656" s="874"/>
      <c r="L656" s="874"/>
      <c r="M656" s="811"/>
      <c r="N656" s="874"/>
      <c r="O656" s="874"/>
      <c r="P656" s="811"/>
      <c r="Q656" s="874"/>
      <c r="R656" s="874"/>
      <c r="S656" s="811"/>
      <c r="T656" s="811"/>
      <c r="U656" s="811"/>
      <c r="V656" s="811"/>
      <c r="W656" s="811"/>
      <c r="X656" s="811"/>
      <c r="Y656" s="719"/>
      <c r="Z656" s="719"/>
      <c r="AA656" s="719"/>
      <c r="AB656" s="719"/>
      <c r="AC656" s="719"/>
      <c r="AD656" s="719"/>
      <c r="AE656" s="719"/>
      <c r="AF656" s="719"/>
      <c r="AG656" s="719"/>
      <c r="AH656" s="719"/>
      <c r="AI656" s="719"/>
      <c r="AJ656" s="719"/>
      <c r="AK656" s="719"/>
      <c r="AL656" s="719"/>
      <c r="AM656" s="719"/>
      <c r="AN656" s="719"/>
      <c r="AO656" s="719"/>
      <c r="AP656" s="719"/>
      <c r="AQ656" s="719"/>
      <c r="AR656" s="719"/>
      <c r="AS656" s="719"/>
      <c r="AT656" s="719"/>
      <c r="AU656" s="719"/>
      <c r="AV656" s="719"/>
      <c r="AW656" s="719"/>
      <c r="AX656" s="719"/>
      <c r="AY656" s="719"/>
      <c r="AZ656" s="719"/>
      <c r="BA656" s="719"/>
      <c r="BB656" s="719"/>
      <c r="BC656" s="719"/>
      <c r="BD656" s="719"/>
      <c r="BE656" s="719"/>
      <c r="BF656" s="719"/>
      <c r="BG656" s="719"/>
      <c r="BH656" s="719"/>
      <c r="BI656" s="719"/>
      <c r="BJ656" s="719"/>
    </row>
    <row r="657" spans="2:62" ht="15.75" customHeight="1">
      <c r="B657" s="497"/>
      <c r="C657" s="811"/>
      <c r="D657" s="811"/>
      <c r="E657" s="811"/>
      <c r="F657" s="811"/>
      <c r="G657" s="811"/>
      <c r="H657" s="811"/>
      <c r="I657" s="811"/>
      <c r="J657" s="811"/>
      <c r="K657" s="874"/>
      <c r="L657" s="876"/>
      <c r="M657" s="811"/>
      <c r="N657" s="874"/>
      <c r="O657" s="874"/>
      <c r="P657" s="811"/>
      <c r="Q657" s="874"/>
      <c r="R657" s="876"/>
      <c r="S657" s="811"/>
      <c r="T657" s="811"/>
      <c r="U657" s="811"/>
      <c r="V657" s="811"/>
      <c r="W657" s="811"/>
      <c r="X657" s="811"/>
      <c r="Y657" s="719"/>
      <c r="Z657" s="719"/>
      <c r="AA657" s="719"/>
      <c r="AB657" s="719"/>
      <c r="AC657" s="719"/>
      <c r="AD657" s="719"/>
      <c r="AE657" s="719"/>
      <c r="AF657" s="719"/>
      <c r="AG657" s="719"/>
      <c r="AH657" s="719"/>
      <c r="AI657" s="719"/>
      <c r="AJ657" s="719"/>
      <c r="AK657" s="719"/>
      <c r="AL657" s="719"/>
      <c r="AM657" s="719"/>
      <c r="AN657" s="719"/>
      <c r="AO657" s="719"/>
      <c r="AP657" s="719"/>
      <c r="AQ657" s="719"/>
      <c r="AR657" s="719"/>
      <c r="AS657" s="719"/>
      <c r="AT657" s="719"/>
      <c r="AU657" s="719"/>
      <c r="AV657" s="719"/>
      <c r="AW657" s="719"/>
      <c r="AX657" s="719"/>
      <c r="AY657" s="719"/>
      <c r="AZ657" s="719"/>
      <c r="BA657" s="719"/>
      <c r="BB657" s="719"/>
      <c r="BC657" s="719"/>
      <c r="BD657" s="719"/>
      <c r="BE657" s="719"/>
      <c r="BF657" s="719"/>
      <c r="BG657" s="719"/>
      <c r="BH657" s="719"/>
      <c r="BI657" s="719"/>
      <c r="BJ657" s="719"/>
    </row>
    <row r="658" spans="2:62" ht="15.75" customHeight="1">
      <c r="B658" s="497"/>
      <c r="C658" s="811"/>
      <c r="D658" s="811"/>
      <c r="E658" s="811"/>
      <c r="F658" s="811"/>
      <c r="G658" s="811"/>
      <c r="H658" s="811"/>
      <c r="I658" s="811"/>
      <c r="J658" s="811"/>
      <c r="K658" s="874"/>
      <c r="L658" s="874"/>
      <c r="M658" s="811"/>
      <c r="N658" s="874"/>
      <c r="O658" s="874"/>
      <c r="P658" s="811"/>
      <c r="Q658" s="874"/>
      <c r="R658" s="874"/>
      <c r="S658" s="811"/>
      <c r="T658" s="811"/>
      <c r="U658" s="811"/>
      <c r="V658" s="811"/>
      <c r="W658" s="811"/>
      <c r="X658" s="811"/>
      <c r="Y658" s="719"/>
      <c r="Z658" s="719"/>
      <c r="AA658" s="719"/>
      <c r="AB658" s="719"/>
      <c r="AC658" s="719"/>
      <c r="AD658" s="719"/>
      <c r="AE658" s="719"/>
      <c r="AF658" s="719"/>
      <c r="AG658" s="719"/>
      <c r="AH658" s="719"/>
      <c r="AI658" s="719"/>
      <c r="AJ658" s="719"/>
      <c r="AK658" s="719"/>
      <c r="AL658" s="719"/>
      <c r="AM658" s="719"/>
      <c r="AN658" s="719"/>
      <c r="AO658" s="719"/>
      <c r="AP658" s="719"/>
      <c r="AQ658" s="719"/>
      <c r="AR658" s="719"/>
      <c r="AS658" s="719"/>
      <c r="AT658" s="719"/>
      <c r="AU658" s="719"/>
      <c r="AV658" s="719"/>
      <c r="AW658" s="719"/>
      <c r="AX658" s="719"/>
      <c r="AY658" s="719"/>
      <c r="AZ658" s="719"/>
      <c r="BA658" s="719"/>
      <c r="BB658" s="719"/>
      <c r="BC658" s="719"/>
      <c r="BD658" s="719"/>
      <c r="BE658" s="719"/>
      <c r="BF658" s="719"/>
      <c r="BG658" s="719"/>
      <c r="BH658" s="719"/>
      <c r="BI658" s="719"/>
      <c r="BJ658" s="719"/>
    </row>
    <row r="659" spans="2:62" ht="15.75" customHeight="1">
      <c r="B659" s="497"/>
      <c r="C659" s="811"/>
      <c r="D659" s="811"/>
      <c r="E659" s="811"/>
      <c r="F659" s="811"/>
      <c r="G659" s="811"/>
      <c r="H659" s="811"/>
      <c r="I659" s="811"/>
      <c r="J659" s="811"/>
      <c r="K659" s="811"/>
      <c r="L659" s="811"/>
      <c r="M659" s="811"/>
      <c r="N659" s="876"/>
      <c r="O659" s="876"/>
      <c r="P659" s="811"/>
      <c r="Q659" s="876"/>
      <c r="R659" s="811"/>
      <c r="S659" s="811"/>
      <c r="T659" s="811"/>
      <c r="U659" s="811"/>
      <c r="V659" s="811"/>
      <c r="W659" s="811"/>
      <c r="X659" s="811"/>
      <c r="Y659" s="719"/>
      <c r="Z659" s="719"/>
      <c r="AA659" s="719"/>
      <c r="AB659" s="719"/>
      <c r="AC659" s="719"/>
      <c r="AD659" s="719"/>
      <c r="AE659" s="719"/>
      <c r="AF659" s="719"/>
      <c r="AG659" s="719"/>
      <c r="AH659" s="719"/>
      <c r="AI659" s="719"/>
      <c r="AJ659" s="719"/>
      <c r="AK659" s="719"/>
      <c r="AL659" s="719"/>
      <c r="AM659" s="719"/>
      <c r="AN659" s="719"/>
      <c r="AO659" s="719"/>
      <c r="AP659" s="719"/>
      <c r="AQ659" s="719"/>
      <c r="AR659" s="719"/>
      <c r="AS659" s="719"/>
      <c r="AT659" s="719"/>
      <c r="AU659" s="719"/>
      <c r="AV659" s="719"/>
      <c r="AW659" s="719"/>
      <c r="AX659" s="719"/>
      <c r="AY659" s="719"/>
      <c r="AZ659" s="719"/>
      <c r="BA659" s="719"/>
      <c r="BB659" s="719"/>
      <c r="BC659" s="719"/>
      <c r="BD659" s="719"/>
      <c r="BE659" s="719"/>
      <c r="BF659" s="719"/>
      <c r="BG659" s="719"/>
      <c r="BH659" s="719"/>
      <c r="BI659" s="719"/>
      <c r="BJ659" s="719"/>
    </row>
    <row r="660" spans="2:62" ht="15.75" customHeight="1">
      <c r="B660" s="497"/>
      <c r="C660" s="811"/>
      <c r="D660" s="811"/>
      <c r="E660" s="811"/>
      <c r="F660" s="811"/>
      <c r="G660" s="811"/>
      <c r="H660" s="811"/>
      <c r="I660" s="811"/>
      <c r="J660" s="811"/>
      <c r="K660" s="876"/>
      <c r="L660" s="876"/>
      <c r="M660" s="811"/>
      <c r="N660" s="874"/>
      <c r="O660" s="874"/>
      <c r="P660" s="811"/>
      <c r="Q660" s="874"/>
      <c r="R660" s="876"/>
      <c r="S660" s="811"/>
      <c r="T660" s="811"/>
      <c r="U660" s="811"/>
      <c r="V660" s="811"/>
      <c r="W660" s="811"/>
      <c r="X660" s="811"/>
      <c r="Y660" s="719"/>
      <c r="Z660" s="719"/>
      <c r="AA660" s="719"/>
      <c r="AB660" s="719"/>
      <c r="AC660" s="719"/>
      <c r="AD660" s="719"/>
      <c r="AE660" s="719"/>
      <c r="AF660" s="719"/>
      <c r="AG660" s="719"/>
      <c r="AH660" s="719"/>
      <c r="AI660" s="719"/>
      <c r="AJ660" s="719"/>
      <c r="AK660" s="719"/>
      <c r="AL660" s="719"/>
      <c r="AM660" s="719"/>
      <c r="AN660" s="719"/>
      <c r="AO660" s="719"/>
      <c r="AP660" s="719"/>
      <c r="AQ660" s="719"/>
      <c r="AR660" s="719"/>
      <c r="AS660" s="719"/>
      <c r="AT660" s="719"/>
      <c r="AU660" s="719"/>
      <c r="AV660" s="719"/>
      <c r="AW660" s="719"/>
      <c r="AX660" s="719"/>
      <c r="AY660" s="719"/>
      <c r="AZ660" s="719"/>
      <c r="BA660" s="719"/>
      <c r="BB660" s="719"/>
      <c r="BC660" s="719"/>
      <c r="BD660" s="719"/>
      <c r="BE660" s="719"/>
      <c r="BF660" s="719"/>
      <c r="BG660" s="719"/>
      <c r="BH660" s="719"/>
      <c r="BI660" s="719"/>
      <c r="BJ660" s="719"/>
    </row>
    <row r="661" spans="2:62" ht="15.75" customHeight="1">
      <c r="B661" s="497"/>
      <c r="C661" s="811"/>
      <c r="D661" s="811"/>
      <c r="E661" s="811"/>
      <c r="F661" s="811"/>
      <c r="G661" s="811"/>
      <c r="H661" s="811"/>
      <c r="I661" s="811"/>
      <c r="J661" s="811"/>
      <c r="K661" s="874"/>
      <c r="L661" s="874"/>
      <c r="M661" s="811"/>
      <c r="N661" s="874"/>
      <c r="O661" s="874"/>
      <c r="P661" s="811"/>
      <c r="Q661" s="874"/>
      <c r="R661" s="874"/>
      <c r="S661" s="811"/>
      <c r="T661" s="811"/>
      <c r="U661" s="811"/>
      <c r="V661" s="811"/>
      <c r="W661" s="811"/>
      <c r="X661" s="811"/>
      <c r="Y661" s="719"/>
      <c r="Z661" s="719"/>
      <c r="AA661" s="719"/>
      <c r="AB661" s="719"/>
      <c r="AC661" s="719"/>
      <c r="AD661" s="719"/>
      <c r="AE661" s="719"/>
      <c r="AF661" s="719"/>
      <c r="AG661" s="719"/>
      <c r="AH661" s="719"/>
      <c r="AI661" s="719"/>
      <c r="AJ661" s="719"/>
      <c r="AK661" s="719"/>
      <c r="AL661" s="719"/>
      <c r="AM661" s="719"/>
      <c r="AN661" s="719"/>
      <c r="AO661" s="719"/>
      <c r="AP661" s="719"/>
      <c r="AQ661" s="719"/>
      <c r="AR661" s="719"/>
      <c r="AS661" s="719"/>
      <c r="AT661" s="719"/>
      <c r="AU661" s="719"/>
      <c r="AV661" s="719"/>
      <c r="AW661" s="719"/>
      <c r="AX661" s="719"/>
      <c r="AY661" s="719"/>
      <c r="AZ661" s="719"/>
      <c r="BA661" s="719"/>
      <c r="BB661" s="719"/>
      <c r="BC661" s="719"/>
      <c r="BD661" s="719"/>
      <c r="BE661" s="719"/>
      <c r="BF661" s="719"/>
      <c r="BG661" s="719"/>
      <c r="BH661" s="719"/>
      <c r="BI661" s="719"/>
      <c r="BJ661" s="719"/>
    </row>
    <row r="662" spans="2:62" ht="15.75" customHeight="1">
      <c r="B662" s="497"/>
      <c r="C662" s="811"/>
      <c r="D662" s="811"/>
      <c r="E662" s="811"/>
      <c r="F662" s="811"/>
      <c r="G662" s="811"/>
      <c r="H662" s="811"/>
      <c r="I662" s="811"/>
      <c r="J662" s="811"/>
      <c r="K662" s="874"/>
      <c r="L662" s="874"/>
      <c r="M662" s="811"/>
      <c r="N662" s="874"/>
      <c r="O662" s="874"/>
      <c r="P662" s="811"/>
      <c r="Q662" s="874"/>
      <c r="R662" s="874"/>
      <c r="S662" s="811"/>
      <c r="T662" s="811"/>
      <c r="U662" s="811"/>
      <c r="V662" s="811"/>
      <c r="W662" s="811"/>
      <c r="X662" s="811"/>
      <c r="Y662" s="719"/>
      <c r="Z662" s="719"/>
      <c r="AA662" s="719"/>
      <c r="AB662" s="719"/>
      <c r="AC662" s="719"/>
      <c r="AD662" s="719"/>
      <c r="AE662" s="719"/>
      <c r="AF662" s="719"/>
      <c r="AG662" s="719"/>
      <c r="AH662" s="719"/>
      <c r="AI662" s="719"/>
      <c r="AJ662" s="719"/>
      <c r="AK662" s="719"/>
      <c r="AL662" s="719"/>
      <c r="AM662" s="719"/>
      <c r="AN662" s="719"/>
      <c r="AO662" s="719"/>
      <c r="AP662" s="719"/>
      <c r="AQ662" s="719"/>
      <c r="AR662" s="719"/>
      <c r="AS662" s="719"/>
      <c r="AT662" s="719"/>
      <c r="AU662" s="719"/>
      <c r="AV662" s="719"/>
      <c r="AW662" s="719"/>
      <c r="AX662" s="719"/>
      <c r="AY662" s="719"/>
      <c r="AZ662" s="719"/>
      <c r="BA662" s="719"/>
      <c r="BB662" s="719"/>
      <c r="BC662" s="719"/>
      <c r="BD662" s="719"/>
      <c r="BE662" s="719"/>
      <c r="BF662" s="719"/>
      <c r="BG662" s="719"/>
      <c r="BH662" s="719"/>
      <c r="BI662" s="719"/>
      <c r="BJ662" s="719"/>
    </row>
    <row r="663" spans="2:62" ht="15.75" customHeight="1">
      <c r="B663" s="497"/>
      <c r="C663" s="811"/>
      <c r="D663" s="811"/>
      <c r="E663" s="811"/>
      <c r="F663" s="811"/>
      <c r="G663" s="811"/>
      <c r="H663" s="811"/>
      <c r="I663" s="811"/>
      <c r="J663" s="811"/>
      <c r="K663" s="874"/>
      <c r="L663" s="874"/>
      <c r="M663" s="811"/>
      <c r="N663" s="874"/>
      <c r="O663" s="874"/>
      <c r="P663" s="811"/>
      <c r="Q663" s="874"/>
      <c r="R663" s="874"/>
      <c r="S663" s="811"/>
      <c r="T663" s="811"/>
      <c r="U663" s="811"/>
      <c r="V663" s="811"/>
      <c r="W663" s="811"/>
      <c r="X663" s="811"/>
      <c r="Y663" s="719"/>
      <c r="Z663" s="719"/>
      <c r="AA663" s="719"/>
      <c r="AB663" s="719"/>
      <c r="AC663" s="719"/>
      <c r="AD663" s="719"/>
      <c r="AE663" s="719"/>
      <c r="AF663" s="719"/>
      <c r="AG663" s="719"/>
      <c r="AH663" s="719"/>
      <c r="AI663" s="719"/>
      <c r="AJ663" s="719"/>
      <c r="AK663" s="719"/>
      <c r="AL663" s="719"/>
      <c r="AM663" s="719"/>
      <c r="AN663" s="719"/>
      <c r="AO663" s="719"/>
      <c r="AP663" s="719"/>
      <c r="AQ663" s="719"/>
      <c r="AR663" s="719"/>
      <c r="AS663" s="719"/>
      <c r="AT663" s="719"/>
      <c r="AU663" s="719"/>
      <c r="AV663" s="719"/>
      <c r="AW663" s="719"/>
      <c r="AX663" s="719"/>
      <c r="AY663" s="719"/>
      <c r="AZ663" s="719"/>
      <c r="BA663" s="719"/>
      <c r="BB663" s="719"/>
      <c r="BC663" s="719"/>
      <c r="BD663" s="719"/>
      <c r="BE663" s="719"/>
      <c r="BF663" s="719"/>
      <c r="BG663" s="719"/>
      <c r="BH663" s="719"/>
      <c r="BI663" s="719"/>
      <c r="BJ663" s="719"/>
    </row>
    <row r="664" spans="2:62" ht="15.75" customHeight="1">
      <c r="B664" s="497"/>
      <c r="C664" s="811"/>
      <c r="D664" s="811"/>
      <c r="E664" s="811"/>
      <c r="F664" s="811"/>
      <c r="G664" s="811"/>
      <c r="H664" s="811"/>
      <c r="I664" s="811"/>
      <c r="J664" s="811"/>
      <c r="K664" s="874"/>
      <c r="L664" s="874"/>
      <c r="M664" s="811"/>
      <c r="N664" s="874"/>
      <c r="O664" s="874"/>
      <c r="P664" s="811"/>
      <c r="Q664" s="874"/>
      <c r="R664" s="874"/>
      <c r="S664" s="811"/>
      <c r="T664" s="811"/>
      <c r="U664" s="811"/>
      <c r="V664" s="811"/>
      <c r="W664" s="811"/>
      <c r="X664" s="811"/>
      <c r="Y664" s="719"/>
      <c r="Z664" s="719"/>
      <c r="AA664" s="719"/>
      <c r="AB664" s="719"/>
      <c r="AC664" s="719"/>
      <c r="AD664" s="719"/>
      <c r="AE664" s="719"/>
      <c r="AF664" s="719"/>
      <c r="AG664" s="719"/>
      <c r="AH664" s="719"/>
      <c r="AI664" s="719"/>
      <c r="AJ664" s="719"/>
      <c r="AK664" s="719"/>
      <c r="AL664" s="719"/>
      <c r="AM664" s="719"/>
      <c r="AN664" s="719"/>
      <c r="AO664" s="719"/>
      <c r="AP664" s="719"/>
      <c r="AQ664" s="719"/>
      <c r="AR664" s="719"/>
      <c r="AS664" s="719"/>
      <c r="AT664" s="719"/>
      <c r="AU664" s="719"/>
      <c r="AV664" s="719"/>
      <c r="AW664" s="719"/>
      <c r="AX664" s="719"/>
      <c r="AY664" s="719"/>
      <c r="AZ664" s="719"/>
      <c r="BA664" s="719"/>
      <c r="BB664" s="719"/>
      <c r="BC664" s="719"/>
      <c r="BD664" s="719"/>
      <c r="BE664" s="719"/>
      <c r="BF664" s="719"/>
      <c r="BG664" s="719"/>
      <c r="BH664" s="719"/>
      <c r="BI664" s="719"/>
      <c r="BJ664" s="719"/>
    </row>
    <row r="665" spans="2:62" ht="15.75" customHeight="1">
      <c r="B665" s="497"/>
      <c r="C665" s="811"/>
      <c r="D665" s="811"/>
      <c r="E665" s="811"/>
      <c r="F665" s="811"/>
      <c r="G665" s="811"/>
      <c r="H665" s="811"/>
      <c r="I665" s="811"/>
      <c r="J665" s="811"/>
      <c r="K665" s="874"/>
      <c r="L665" s="874"/>
      <c r="M665" s="811"/>
      <c r="N665" s="874"/>
      <c r="O665" s="874"/>
      <c r="P665" s="811"/>
      <c r="Q665" s="874"/>
      <c r="R665" s="874"/>
      <c r="S665" s="811"/>
      <c r="T665" s="811"/>
      <c r="U665" s="811"/>
      <c r="V665" s="811"/>
      <c r="W665" s="811"/>
      <c r="X665" s="811"/>
      <c r="Y665" s="719"/>
      <c r="Z665" s="719"/>
      <c r="AA665" s="719"/>
      <c r="AB665" s="719"/>
      <c r="AC665" s="719"/>
      <c r="AD665" s="719"/>
      <c r="AE665" s="719"/>
      <c r="AF665" s="719"/>
      <c r="AG665" s="719"/>
      <c r="AH665" s="719"/>
      <c r="AI665" s="719"/>
      <c r="AJ665" s="719"/>
      <c r="AK665" s="719"/>
      <c r="AL665" s="719"/>
      <c r="AM665" s="719"/>
      <c r="AN665" s="719"/>
      <c r="AO665" s="719"/>
      <c r="AP665" s="719"/>
      <c r="AQ665" s="719"/>
      <c r="AR665" s="719"/>
      <c r="AS665" s="719"/>
      <c r="AT665" s="719"/>
      <c r="AU665" s="719"/>
      <c r="AV665" s="719"/>
      <c r="AW665" s="719"/>
      <c r="AX665" s="719"/>
      <c r="AY665" s="719"/>
      <c r="AZ665" s="719"/>
      <c r="BA665" s="719"/>
      <c r="BB665" s="719"/>
      <c r="BC665" s="719"/>
      <c r="BD665" s="719"/>
      <c r="BE665" s="719"/>
      <c r="BF665" s="719"/>
      <c r="BG665" s="719"/>
      <c r="BH665" s="719"/>
      <c r="BI665" s="719"/>
      <c r="BJ665" s="719"/>
    </row>
    <row r="666" spans="2:62" ht="15.75" customHeight="1">
      <c r="B666" s="497"/>
      <c r="C666" s="811"/>
      <c r="D666" s="811"/>
      <c r="E666" s="811"/>
      <c r="F666" s="811"/>
      <c r="G666" s="811"/>
      <c r="H666" s="811"/>
      <c r="I666" s="811"/>
      <c r="J666" s="811"/>
      <c r="K666" s="874"/>
      <c r="L666" s="874"/>
      <c r="M666" s="811"/>
      <c r="N666" s="874"/>
      <c r="O666" s="874"/>
      <c r="P666" s="811"/>
      <c r="Q666" s="874"/>
      <c r="R666" s="874"/>
      <c r="S666" s="811"/>
      <c r="T666" s="811"/>
      <c r="U666" s="811"/>
      <c r="V666" s="811"/>
      <c r="W666" s="811"/>
      <c r="X666" s="811"/>
      <c r="Y666" s="719"/>
      <c r="Z666" s="719"/>
      <c r="AA666" s="719"/>
      <c r="AB666" s="719"/>
      <c r="AC666" s="719"/>
      <c r="AD666" s="719"/>
      <c r="AE666" s="719"/>
      <c r="AF666" s="719"/>
      <c r="AG666" s="719"/>
      <c r="AH666" s="719"/>
      <c r="AI666" s="719"/>
      <c r="AJ666" s="719"/>
      <c r="AK666" s="719"/>
      <c r="AL666" s="719"/>
      <c r="AM666" s="719"/>
      <c r="AN666" s="719"/>
      <c r="AO666" s="719"/>
      <c r="AP666" s="719"/>
      <c r="AQ666" s="719"/>
      <c r="AR666" s="719"/>
      <c r="AS666" s="719"/>
      <c r="AT666" s="719"/>
      <c r="AU666" s="719"/>
      <c r="AV666" s="719"/>
      <c r="AW666" s="719"/>
      <c r="AX666" s="719"/>
      <c r="AY666" s="719"/>
      <c r="AZ666" s="719"/>
      <c r="BA666" s="719"/>
      <c r="BB666" s="719"/>
      <c r="BC666" s="719"/>
      <c r="BD666" s="719"/>
      <c r="BE666" s="719"/>
      <c r="BF666" s="719"/>
      <c r="BG666" s="719"/>
      <c r="BH666" s="719"/>
      <c r="BI666" s="719"/>
      <c r="BJ666" s="719"/>
    </row>
    <row r="667" spans="2:62" ht="15.75" customHeight="1">
      <c r="B667" s="497"/>
      <c r="C667" s="811"/>
      <c r="D667" s="811"/>
      <c r="E667" s="811"/>
      <c r="F667" s="811"/>
      <c r="G667" s="811"/>
      <c r="H667" s="811"/>
      <c r="I667" s="811"/>
      <c r="J667" s="811"/>
      <c r="K667" s="874"/>
      <c r="L667" s="874"/>
      <c r="M667" s="811"/>
      <c r="N667" s="874"/>
      <c r="O667" s="874"/>
      <c r="P667" s="811"/>
      <c r="Q667" s="874"/>
      <c r="R667" s="874"/>
      <c r="S667" s="811"/>
      <c r="T667" s="811"/>
      <c r="U667" s="811"/>
      <c r="V667" s="811"/>
      <c r="W667" s="811"/>
      <c r="X667" s="811"/>
      <c r="Y667" s="719"/>
      <c r="Z667" s="719"/>
      <c r="AA667" s="719"/>
      <c r="AB667" s="719"/>
      <c r="AC667" s="719"/>
      <c r="AD667" s="719"/>
      <c r="AE667" s="719"/>
      <c r="AF667" s="719"/>
      <c r="AG667" s="719"/>
      <c r="AH667" s="719"/>
      <c r="AI667" s="719"/>
      <c r="AJ667" s="719"/>
      <c r="AK667" s="719"/>
      <c r="AL667" s="719"/>
      <c r="AM667" s="719"/>
      <c r="AN667" s="719"/>
      <c r="AO667" s="719"/>
      <c r="AP667" s="719"/>
      <c r="AQ667" s="719"/>
      <c r="AR667" s="719"/>
      <c r="AS667" s="719"/>
      <c r="AT667" s="719"/>
      <c r="AU667" s="719"/>
      <c r="AV667" s="719"/>
      <c r="AW667" s="719"/>
      <c r="AX667" s="719"/>
      <c r="AY667" s="719"/>
      <c r="AZ667" s="719"/>
      <c r="BA667" s="719"/>
      <c r="BB667" s="719"/>
      <c r="BC667" s="719"/>
      <c r="BD667" s="719"/>
      <c r="BE667" s="719"/>
      <c r="BF667" s="719"/>
      <c r="BG667" s="719"/>
      <c r="BH667" s="719"/>
      <c r="BI667" s="719"/>
      <c r="BJ667" s="719"/>
    </row>
    <row r="668" spans="2:62" ht="15.75" customHeight="1">
      <c r="B668" s="497"/>
      <c r="C668" s="811"/>
      <c r="D668" s="811"/>
      <c r="E668" s="811"/>
      <c r="F668" s="811"/>
      <c r="G668" s="811"/>
      <c r="H668" s="811"/>
      <c r="I668" s="811"/>
      <c r="J668" s="811"/>
      <c r="K668" s="874"/>
      <c r="L668" s="874"/>
      <c r="M668" s="811"/>
      <c r="N668" s="874"/>
      <c r="O668" s="874"/>
      <c r="P668" s="811"/>
      <c r="Q668" s="874"/>
      <c r="R668" s="874"/>
      <c r="S668" s="811"/>
      <c r="T668" s="811"/>
      <c r="U668" s="811"/>
      <c r="V668" s="811"/>
      <c r="W668" s="811"/>
      <c r="X668" s="811"/>
      <c r="Y668" s="719"/>
      <c r="Z668" s="719"/>
      <c r="AA668" s="719"/>
      <c r="AB668" s="719"/>
      <c r="AC668" s="719"/>
      <c r="AD668" s="719"/>
      <c r="AE668" s="719"/>
      <c r="AF668" s="719"/>
      <c r="AG668" s="719"/>
      <c r="AH668" s="719"/>
      <c r="AI668" s="719"/>
      <c r="AJ668" s="719"/>
      <c r="AK668" s="719"/>
      <c r="AL668" s="719"/>
      <c r="AM668" s="719"/>
      <c r="AN668" s="719"/>
      <c r="AO668" s="719"/>
      <c r="AP668" s="719"/>
      <c r="AQ668" s="719"/>
      <c r="AR668" s="719"/>
      <c r="AS668" s="719"/>
      <c r="AT668" s="719"/>
      <c r="AU668" s="719"/>
      <c r="AV668" s="719"/>
      <c r="AW668" s="719"/>
      <c r="AX668" s="719"/>
      <c r="AY668" s="719"/>
      <c r="AZ668" s="719"/>
      <c r="BA668" s="719"/>
      <c r="BB668" s="719"/>
      <c r="BC668" s="719"/>
      <c r="BD668" s="719"/>
      <c r="BE668" s="719"/>
      <c r="BF668" s="719"/>
      <c r="BG668" s="719"/>
      <c r="BH668" s="719"/>
      <c r="BI668" s="719"/>
      <c r="BJ668" s="719"/>
    </row>
    <row r="669" spans="2:62" ht="15.75" customHeight="1">
      <c r="B669" s="497"/>
      <c r="C669" s="811"/>
      <c r="D669" s="811"/>
      <c r="E669" s="811"/>
      <c r="F669" s="811"/>
      <c r="G669" s="811"/>
      <c r="H669" s="811"/>
      <c r="I669" s="811"/>
      <c r="J669" s="811"/>
      <c r="K669" s="874"/>
      <c r="L669" s="874"/>
      <c r="M669" s="811"/>
      <c r="N669" s="876"/>
      <c r="O669" s="876"/>
      <c r="P669" s="811"/>
      <c r="Q669" s="876"/>
      <c r="R669" s="874"/>
      <c r="S669" s="811"/>
      <c r="T669" s="811"/>
      <c r="U669" s="811"/>
      <c r="V669" s="811"/>
      <c r="W669" s="811"/>
      <c r="X669" s="811"/>
      <c r="Y669" s="719"/>
      <c r="Z669" s="719"/>
      <c r="AA669" s="719"/>
      <c r="AB669" s="719"/>
      <c r="AC669" s="719"/>
      <c r="AD669" s="719"/>
      <c r="AE669" s="719"/>
      <c r="AF669" s="719"/>
      <c r="AG669" s="719"/>
      <c r="AH669" s="719"/>
      <c r="AI669" s="719"/>
      <c r="AJ669" s="719"/>
      <c r="AK669" s="719"/>
      <c r="AL669" s="719"/>
      <c r="AM669" s="719"/>
      <c r="AN669" s="719"/>
      <c r="AO669" s="719"/>
      <c r="AP669" s="719"/>
      <c r="AQ669" s="719"/>
      <c r="AR669" s="719"/>
      <c r="AS669" s="719"/>
      <c r="AT669" s="719"/>
      <c r="AU669" s="719"/>
      <c r="AV669" s="719"/>
      <c r="AW669" s="719"/>
      <c r="AX669" s="719"/>
      <c r="AY669" s="719"/>
      <c r="AZ669" s="719"/>
      <c r="BA669" s="719"/>
      <c r="BB669" s="719"/>
      <c r="BC669" s="719"/>
      <c r="BD669" s="719"/>
      <c r="BE669" s="719"/>
      <c r="BF669" s="719"/>
      <c r="BG669" s="719"/>
      <c r="BH669" s="719"/>
      <c r="BI669" s="719"/>
      <c r="BJ669" s="719"/>
    </row>
    <row r="670" spans="2:62" ht="15.75" customHeight="1">
      <c r="B670" s="497"/>
      <c r="C670" s="811"/>
      <c r="D670" s="811"/>
      <c r="E670" s="811"/>
      <c r="F670" s="811"/>
      <c r="G670" s="811"/>
      <c r="H670" s="811"/>
      <c r="I670" s="811"/>
      <c r="J670" s="811"/>
      <c r="K670" s="876"/>
      <c r="L670" s="876"/>
      <c r="M670" s="811"/>
      <c r="N670" s="874"/>
      <c r="O670" s="874"/>
      <c r="P670" s="811"/>
      <c r="Q670" s="874"/>
      <c r="R670" s="876"/>
      <c r="S670" s="811"/>
      <c r="T670" s="811"/>
      <c r="U670" s="811"/>
      <c r="V670" s="811"/>
      <c r="W670" s="811"/>
      <c r="X670" s="811"/>
      <c r="Y670" s="719"/>
      <c r="Z670" s="719"/>
      <c r="AA670" s="719"/>
      <c r="AB670" s="719"/>
      <c r="AC670" s="719"/>
      <c r="AD670" s="719"/>
      <c r="AE670" s="719"/>
      <c r="AF670" s="719"/>
      <c r="AG670" s="719"/>
      <c r="AH670" s="719"/>
      <c r="AI670" s="719"/>
      <c r="AJ670" s="719"/>
      <c r="AK670" s="719"/>
      <c r="AL670" s="719"/>
      <c r="AM670" s="719"/>
      <c r="AN670" s="719"/>
      <c r="AO670" s="719"/>
      <c r="AP670" s="719"/>
      <c r="AQ670" s="719"/>
      <c r="AR670" s="719"/>
      <c r="AS670" s="719"/>
      <c r="AT670" s="719"/>
      <c r="AU670" s="719"/>
      <c r="AV670" s="719"/>
      <c r="AW670" s="719"/>
      <c r="AX670" s="719"/>
      <c r="AY670" s="719"/>
      <c r="AZ670" s="719"/>
      <c r="BA670" s="719"/>
      <c r="BB670" s="719"/>
      <c r="BC670" s="719"/>
      <c r="BD670" s="719"/>
      <c r="BE670" s="719"/>
      <c r="BF670" s="719"/>
      <c r="BG670" s="719"/>
      <c r="BH670" s="719"/>
      <c r="BI670" s="719"/>
      <c r="BJ670" s="719"/>
    </row>
    <row r="671" spans="2:62" ht="15.75" customHeight="1">
      <c r="B671" s="497"/>
      <c r="C671" s="811"/>
      <c r="D671" s="811"/>
      <c r="E671" s="811"/>
      <c r="F671" s="811"/>
      <c r="G671" s="811"/>
      <c r="H671" s="811"/>
      <c r="I671" s="811"/>
      <c r="J671" s="811"/>
      <c r="K671" s="874"/>
      <c r="L671" s="874"/>
      <c r="M671" s="811"/>
      <c r="N671" s="874"/>
      <c r="O671" s="874"/>
      <c r="P671" s="811"/>
      <c r="Q671" s="874"/>
      <c r="R671" s="874"/>
      <c r="S671" s="811"/>
      <c r="T671" s="811"/>
      <c r="U671" s="811"/>
      <c r="V671" s="811"/>
      <c r="W671" s="811"/>
      <c r="X671" s="811"/>
      <c r="Y671" s="719"/>
      <c r="Z671" s="719"/>
      <c r="AA671" s="719"/>
      <c r="AB671" s="719"/>
      <c r="AC671" s="719"/>
      <c r="AD671" s="719"/>
      <c r="AE671" s="719"/>
      <c r="AF671" s="719"/>
      <c r="AG671" s="719"/>
      <c r="AH671" s="719"/>
      <c r="AI671" s="719"/>
      <c r="AJ671" s="719"/>
      <c r="AK671" s="719"/>
      <c r="AL671" s="719"/>
      <c r="AM671" s="719"/>
      <c r="AN671" s="719"/>
      <c r="AO671" s="719"/>
      <c r="AP671" s="719"/>
      <c r="AQ671" s="719"/>
      <c r="AR671" s="719"/>
      <c r="AS671" s="719"/>
      <c r="AT671" s="719"/>
      <c r="AU671" s="719"/>
      <c r="AV671" s="719"/>
      <c r="AW671" s="719"/>
      <c r="AX671" s="719"/>
      <c r="AY671" s="719"/>
      <c r="AZ671" s="719"/>
      <c r="BA671" s="719"/>
      <c r="BB671" s="719"/>
      <c r="BC671" s="719"/>
      <c r="BD671" s="719"/>
      <c r="BE671" s="719"/>
      <c r="BF671" s="719"/>
      <c r="BG671" s="719"/>
      <c r="BH671" s="719"/>
      <c r="BI671" s="719"/>
      <c r="BJ671" s="719"/>
    </row>
    <row r="672" spans="2:62" ht="15.75" customHeight="1">
      <c r="B672" s="497"/>
      <c r="C672" s="811"/>
      <c r="D672" s="811"/>
      <c r="E672" s="811"/>
      <c r="F672" s="811"/>
      <c r="G672" s="811"/>
      <c r="H672" s="811"/>
      <c r="I672" s="811"/>
      <c r="J672" s="811"/>
      <c r="K672" s="874"/>
      <c r="L672" s="874"/>
      <c r="M672" s="811"/>
      <c r="N672" s="874"/>
      <c r="O672" s="874"/>
      <c r="P672" s="811"/>
      <c r="Q672" s="874"/>
      <c r="R672" s="874"/>
      <c r="S672" s="811"/>
      <c r="T672" s="811"/>
      <c r="U672" s="811"/>
      <c r="V672" s="811"/>
      <c r="W672" s="811"/>
      <c r="X672" s="811"/>
      <c r="Y672" s="719"/>
      <c r="Z672" s="719"/>
      <c r="AA672" s="719"/>
      <c r="AB672" s="719"/>
      <c r="AC672" s="719"/>
      <c r="AD672" s="719"/>
      <c r="AE672" s="719"/>
      <c r="AF672" s="719"/>
      <c r="AG672" s="719"/>
      <c r="AH672" s="719"/>
      <c r="AI672" s="719"/>
      <c r="AJ672" s="719"/>
      <c r="AK672" s="719"/>
      <c r="AL672" s="719"/>
      <c r="AM672" s="719"/>
      <c r="AN672" s="719"/>
      <c r="AO672" s="719"/>
      <c r="AP672" s="719"/>
      <c r="AQ672" s="719"/>
      <c r="AR672" s="719"/>
      <c r="AS672" s="719"/>
      <c r="AT672" s="719"/>
      <c r="AU672" s="719"/>
      <c r="AV672" s="719"/>
      <c r="AW672" s="719"/>
      <c r="AX672" s="719"/>
      <c r="AY672" s="719"/>
      <c r="AZ672" s="719"/>
      <c r="BA672" s="719"/>
      <c r="BB672" s="719"/>
      <c r="BC672" s="719"/>
      <c r="BD672" s="719"/>
      <c r="BE672" s="719"/>
      <c r="BF672" s="719"/>
      <c r="BG672" s="719"/>
      <c r="BH672" s="719"/>
      <c r="BI672" s="719"/>
      <c r="BJ672" s="719"/>
    </row>
    <row r="673" spans="2:62" ht="15.75" customHeight="1">
      <c r="B673" s="497"/>
      <c r="C673" s="811"/>
      <c r="D673" s="811"/>
      <c r="E673" s="811"/>
      <c r="F673" s="811"/>
      <c r="G673" s="811"/>
      <c r="H673" s="811"/>
      <c r="I673" s="811"/>
      <c r="J673" s="811"/>
      <c r="K673" s="874"/>
      <c r="L673" s="874"/>
      <c r="M673" s="811"/>
      <c r="N673" s="874"/>
      <c r="O673" s="874"/>
      <c r="P673" s="811"/>
      <c r="Q673" s="874"/>
      <c r="R673" s="874"/>
      <c r="S673" s="811"/>
      <c r="T673" s="811"/>
      <c r="U673" s="811"/>
      <c r="V673" s="811"/>
      <c r="W673" s="811"/>
      <c r="X673" s="811"/>
      <c r="Y673" s="719"/>
      <c r="Z673" s="719"/>
      <c r="AA673" s="719"/>
      <c r="AB673" s="719"/>
      <c r="AC673" s="719"/>
      <c r="AD673" s="719"/>
      <c r="AE673" s="719"/>
      <c r="AF673" s="719"/>
      <c r="AG673" s="719"/>
      <c r="AH673" s="719"/>
      <c r="AI673" s="719"/>
      <c r="AJ673" s="719"/>
      <c r="AK673" s="719"/>
      <c r="AL673" s="719"/>
      <c r="AM673" s="719"/>
      <c r="AN673" s="719"/>
      <c r="AO673" s="719"/>
      <c r="AP673" s="719"/>
      <c r="AQ673" s="719"/>
      <c r="AR673" s="719"/>
      <c r="AS673" s="719"/>
      <c r="AT673" s="719"/>
      <c r="AU673" s="719"/>
      <c r="AV673" s="719"/>
      <c r="AW673" s="719"/>
      <c r="AX673" s="719"/>
      <c r="AY673" s="719"/>
      <c r="AZ673" s="719"/>
      <c r="BA673" s="719"/>
      <c r="BB673" s="719"/>
      <c r="BC673" s="719"/>
      <c r="BD673" s="719"/>
      <c r="BE673" s="719"/>
      <c r="BF673" s="719"/>
      <c r="BG673" s="719"/>
      <c r="BH673" s="719"/>
      <c r="BI673" s="719"/>
      <c r="BJ673" s="719"/>
    </row>
    <row r="674" spans="2:62" ht="15.75" customHeight="1">
      <c r="B674" s="497"/>
      <c r="C674" s="811"/>
      <c r="D674" s="811"/>
      <c r="E674" s="811"/>
      <c r="F674" s="811"/>
      <c r="G674" s="811"/>
      <c r="H674" s="811"/>
      <c r="I674" s="811"/>
      <c r="J674" s="811"/>
      <c r="K674" s="874"/>
      <c r="L674" s="874"/>
      <c r="M674" s="811"/>
      <c r="N674" s="874"/>
      <c r="O674" s="874"/>
      <c r="P674" s="811"/>
      <c r="Q674" s="874"/>
      <c r="R674" s="874"/>
      <c r="S674" s="811"/>
      <c r="T674" s="811"/>
      <c r="U674" s="811"/>
      <c r="V674" s="811"/>
      <c r="W674" s="811"/>
      <c r="X674" s="811"/>
      <c r="Y674" s="719"/>
      <c r="Z674" s="719"/>
      <c r="AA674" s="719"/>
      <c r="AB674" s="719"/>
      <c r="AC674" s="719"/>
      <c r="AD674" s="719"/>
      <c r="AE674" s="719"/>
      <c r="AF674" s="719"/>
      <c r="AG674" s="719"/>
      <c r="AH674" s="719"/>
      <c r="AI674" s="719"/>
      <c r="AJ674" s="719"/>
      <c r="AK674" s="719"/>
      <c r="AL674" s="719"/>
      <c r="AM674" s="719"/>
      <c r="AN674" s="719"/>
      <c r="AO674" s="719"/>
      <c r="AP674" s="719"/>
      <c r="AQ674" s="719"/>
      <c r="AR674" s="719"/>
      <c r="AS674" s="719"/>
      <c r="AT674" s="719"/>
      <c r="AU674" s="719"/>
      <c r="AV674" s="719"/>
      <c r="AW674" s="719"/>
      <c r="AX674" s="719"/>
      <c r="AY674" s="719"/>
      <c r="AZ674" s="719"/>
      <c r="BA674" s="719"/>
      <c r="BB674" s="719"/>
      <c r="BC674" s="719"/>
      <c r="BD674" s="719"/>
      <c r="BE674" s="719"/>
      <c r="BF674" s="719"/>
      <c r="BG674" s="719"/>
      <c r="BH674" s="719"/>
      <c r="BI674" s="719"/>
      <c r="BJ674" s="719"/>
    </row>
    <row r="675" spans="2:62" ht="15.75" customHeight="1">
      <c r="B675" s="497"/>
      <c r="C675" s="811"/>
      <c r="D675" s="811"/>
      <c r="E675" s="811"/>
      <c r="F675" s="811"/>
      <c r="G675" s="811"/>
      <c r="H675" s="811"/>
      <c r="I675" s="811"/>
      <c r="J675" s="811"/>
      <c r="K675" s="874"/>
      <c r="L675" s="874"/>
      <c r="M675" s="811"/>
      <c r="N675" s="874"/>
      <c r="O675" s="874"/>
      <c r="P675" s="811"/>
      <c r="Q675" s="874"/>
      <c r="R675" s="874"/>
      <c r="S675" s="811"/>
      <c r="T675" s="811"/>
      <c r="U675" s="811"/>
      <c r="V675" s="811"/>
      <c r="W675" s="811"/>
      <c r="X675" s="811"/>
      <c r="Y675" s="719"/>
      <c r="Z675" s="719"/>
      <c r="AA675" s="719"/>
      <c r="AB675" s="719"/>
      <c r="AC675" s="719"/>
      <c r="AD675" s="719"/>
      <c r="AE675" s="719"/>
      <c r="AF675" s="719"/>
      <c r="AG675" s="719"/>
      <c r="AH675" s="719"/>
      <c r="AI675" s="719"/>
      <c r="AJ675" s="719"/>
      <c r="AK675" s="719"/>
      <c r="AL675" s="719"/>
      <c r="AM675" s="719"/>
      <c r="AN675" s="719"/>
      <c r="AO675" s="719"/>
      <c r="AP675" s="719"/>
      <c r="AQ675" s="719"/>
      <c r="AR675" s="719"/>
      <c r="AS675" s="719"/>
      <c r="AT675" s="719"/>
      <c r="AU675" s="719"/>
      <c r="AV675" s="719"/>
      <c r="AW675" s="719"/>
      <c r="AX675" s="719"/>
      <c r="AY675" s="719"/>
      <c r="AZ675" s="719"/>
      <c r="BA675" s="719"/>
      <c r="BB675" s="719"/>
      <c r="BC675" s="719"/>
      <c r="BD675" s="719"/>
      <c r="BE675" s="719"/>
      <c r="BF675" s="719"/>
      <c r="BG675" s="719"/>
      <c r="BH675" s="719"/>
      <c r="BI675" s="719"/>
      <c r="BJ675" s="719"/>
    </row>
    <row r="676" spans="2:62" ht="15.75" customHeight="1">
      <c r="B676" s="497"/>
      <c r="C676" s="811"/>
      <c r="D676" s="811"/>
      <c r="E676" s="811"/>
      <c r="F676" s="811"/>
      <c r="G676" s="811"/>
      <c r="H676" s="811"/>
      <c r="I676" s="811"/>
      <c r="J676" s="811"/>
      <c r="K676" s="874"/>
      <c r="L676" s="874"/>
      <c r="M676" s="811"/>
      <c r="N676" s="874"/>
      <c r="O676" s="874"/>
      <c r="P676" s="811"/>
      <c r="Q676" s="874"/>
      <c r="R676" s="874"/>
      <c r="S676" s="811"/>
      <c r="T676" s="811"/>
      <c r="U676" s="811"/>
      <c r="V676" s="811"/>
      <c r="W676" s="811"/>
      <c r="X676" s="811"/>
      <c r="Y676" s="719"/>
      <c r="Z676" s="719"/>
      <c r="AA676" s="719"/>
      <c r="AB676" s="719"/>
      <c r="AC676" s="719"/>
      <c r="AD676" s="719"/>
      <c r="AE676" s="719"/>
      <c r="AF676" s="719"/>
      <c r="AG676" s="719"/>
      <c r="AH676" s="719"/>
      <c r="AI676" s="719"/>
      <c r="AJ676" s="719"/>
      <c r="AK676" s="719"/>
      <c r="AL676" s="719"/>
      <c r="AM676" s="719"/>
      <c r="AN676" s="719"/>
      <c r="AO676" s="719"/>
      <c r="AP676" s="719"/>
      <c r="AQ676" s="719"/>
      <c r="AR676" s="719"/>
      <c r="AS676" s="719"/>
      <c r="AT676" s="719"/>
      <c r="AU676" s="719"/>
      <c r="AV676" s="719"/>
      <c r="AW676" s="719"/>
      <c r="AX676" s="719"/>
      <c r="AY676" s="719"/>
      <c r="AZ676" s="719"/>
      <c r="BA676" s="719"/>
      <c r="BB676" s="719"/>
      <c r="BC676" s="719"/>
      <c r="BD676" s="719"/>
      <c r="BE676" s="719"/>
      <c r="BF676" s="719"/>
      <c r="BG676" s="719"/>
      <c r="BH676" s="719"/>
      <c r="BI676" s="719"/>
      <c r="BJ676" s="719"/>
    </row>
    <row r="677" spans="2:62" ht="15.75" customHeight="1">
      <c r="B677" s="497"/>
      <c r="C677" s="811"/>
      <c r="D677" s="811"/>
      <c r="E677" s="811"/>
      <c r="F677" s="811"/>
      <c r="G677" s="811"/>
      <c r="H677" s="811"/>
      <c r="I677" s="811"/>
      <c r="J677" s="811"/>
      <c r="K677" s="874"/>
      <c r="L677" s="874"/>
      <c r="M677" s="811"/>
      <c r="N677" s="874"/>
      <c r="O677" s="874"/>
      <c r="P677" s="811"/>
      <c r="Q677" s="874"/>
      <c r="R677" s="874"/>
      <c r="S677" s="811"/>
      <c r="T677" s="811"/>
      <c r="U677" s="811"/>
      <c r="V677" s="811"/>
      <c r="W677" s="811"/>
      <c r="X677" s="811"/>
      <c r="Y677" s="719"/>
      <c r="Z677" s="719"/>
      <c r="AA677" s="719"/>
      <c r="AB677" s="719"/>
      <c r="AC677" s="719"/>
      <c r="AD677" s="719"/>
      <c r="AE677" s="719"/>
      <c r="AF677" s="719"/>
      <c r="AG677" s="719"/>
      <c r="AH677" s="719"/>
      <c r="AI677" s="719"/>
      <c r="AJ677" s="719"/>
      <c r="AK677" s="719"/>
      <c r="AL677" s="719"/>
      <c r="AM677" s="719"/>
      <c r="AN677" s="719"/>
      <c r="AO677" s="719"/>
      <c r="AP677" s="719"/>
      <c r="AQ677" s="719"/>
      <c r="AR677" s="719"/>
      <c r="AS677" s="719"/>
      <c r="AT677" s="719"/>
      <c r="AU677" s="719"/>
      <c r="AV677" s="719"/>
      <c r="AW677" s="719"/>
      <c r="AX677" s="719"/>
      <c r="AY677" s="719"/>
      <c r="AZ677" s="719"/>
      <c r="BA677" s="719"/>
      <c r="BB677" s="719"/>
      <c r="BC677" s="719"/>
      <c r="BD677" s="719"/>
      <c r="BE677" s="719"/>
      <c r="BF677" s="719"/>
      <c r="BG677" s="719"/>
      <c r="BH677" s="719"/>
      <c r="BI677" s="719"/>
      <c r="BJ677" s="719"/>
    </row>
    <row r="678" spans="2:62" ht="15.75" customHeight="1">
      <c r="B678" s="497"/>
      <c r="C678" s="811"/>
      <c r="D678" s="811"/>
      <c r="E678" s="811"/>
      <c r="F678" s="811"/>
      <c r="G678" s="811"/>
      <c r="H678" s="811"/>
      <c r="I678" s="811"/>
      <c r="J678" s="811"/>
      <c r="K678" s="874"/>
      <c r="L678" s="874"/>
      <c r="M678" s="811"/>
      <c r="N678" s="874"/>
      <c r="O678" s="874"/>
      <c r="P678" s="811"/>
      <c r="Q678" s="874"/>
      <c r="R678" s="874"/>
      <c r="S678" s="811"/>
      <c r="T678" s="811"/>
      <c r="U678" s="811"/>
      <c r="V678" s="811"/>
      <c r="W678" s="811"/>
      <c r="X678" s="811"/>
      <c r="Y678" s="719"/>
      <c r="Z678" s="719"/>
      <c r="AA678" s="719"/>
      <c r="AB678" s="719"/>
      <c r="AC678" s="719"/>
      <c r="AD678" s="719"/>
      <c r="AE678" s="719"/>
      <c r="AF678" s="719"/>
      <c r="AG678" s="719"/>
      <c r="AH678" s="719"/>
      <c r="AI678" s="719"/>
      <c r="AJ678" s="719"/>
      <c r="AK678" s="719"/>
      <c r="AL678" s="719"/>
      <c r="AM678" s="719"/>
      <c r="AN678" s="719"/>
      <c r="AO678" s="719"/>
      <c r="AP678" s="719"/>
      <c r="AQ678" s="719"/>
      <c r="AR678" s="719"/>
      <c r="AS678" s="719"/>
      <c r="AT678" s="719"/>
      <c r="AU678" s="719"/>
      <c r="AV678" s="719"/>
      <c r="AW678" s="719"/>
      <c r="AX678" s="719"/>
      <c r="AY678" s="719"/>
      <c r="AZ678" s="719"/>
      <c r="BA678" s="719"/>
      <c r="BB678" s="719"/>
      <c r="BC678" s="719"/>
      <c r="BD678" s="719"/>
      <c r="BE678" s="719"/>
      <c r="BF678" s="719"/>
      <c r="BG678" s="719"/>
      <c r="BH678" s="719"/>
      <c r="BI678" s="719"/>
      <c r="BJ678" s="719"/>
    </row>
    <row r="679" spans="2:62" ht="15.75" customHeight="1">
      <c r="B679" s="497"/>
      <c r="C679" s="811"/>
      <c r="D679" s="811"/>
      <c r="E679" s="811"/>
      <c r="F679" s="811"/>
      <c r="G679" s="811"/>
      <c r="H679" s="811"/>
      <c r="I679" s="811"/>
      <c r="J679" s="811"/>
      <c r="K679" s="874"/>
      <c r="L679" s="874"/>
      <c r="M679" s="811"/>
      <c r="N679" s="874"/>
      <c r="O679" s="874"/>
      <c r="P679" s="811"/>
      <c r="Q679" s="874"/>
      <c r="R679" s="874"/>
      <c r="S679" s="811"/>
      <c r="T679" s="811"/>
      <c r="U679" s="811"/>
      <c r="V679" s="811"/>
      <c r="W679" s="811"/>
      <c r="X679" s="811"/>
      <c r="Y679" s="719"/>
      <c r="Z679" s="719"/>
      <c r="AA679" s="719"/>
      <c r="AB679" s="719"/>
      <c r="AC679" s="719"/>
      <c r="AD679" s="719"/>
      <c r="AE679" s="719"/>
      <c r="AF679" s="719"/>
      <c r="AG679" s="719"/>
      <c r="AH679" s="719"/>
      <c r="AI679" s="719"/>
      <c r="AJ679" s="719"/>
      <c r="AK679" s="719"/>
      <c r="AL679" s="719"/>
      <c r="AM679" s="719"/>
      <c r="AN679" s="719"/>
      <c r="AO679" s="719"/>
      <c r="AP679" s="719"/>
      <c r="AQ679" s="719"/>
      <c r="AR679" s="719"/>
      <c r="AS679" s="719"/>
      <c r="AT679" s="719"/>
      <c r="AU679" s="719"/>
      <c r="AV679" s="719"/>
      <c r="AW679" s="719"/>
      <c r="AX679" s="719"/>
      <c r="AY679" s="719"/>
      <c r="AZ679" s="719"/>
      <c r="BA679" s="719"/>
      <c r="BB679" s="719"/>
      <c r="BC679" s="719"/>
      <c r="BD679" s="719"/>
      <c r="BE679" s="719"/>
      <c r="BF679" s="719"/>
      <c r="BG679" s="719"/>
      <c r="BH679" s="719"/>
      <c r="BI679" s="719"/>
      <c r="BJ679" s="719"/>
    </row>
    <row r="680" spans="2:62" ht="15.75" customHeight="1">
      <c r="B680" s="497"/>
      <c r="C680" s="811"/>
      <c r="D680" s="811"/>
      <c r="E680" s="811"/>
      <c r="F680" s="811"/>
      <c r="G680" s="811"/>
      <c r="H680" s="811"/>
      <c r="I680" s="811"/>
      <c r="J680" s="811"/>
      <c r="K680" s="874"/>
      <c r="L680" s="874"/>
      <c r="M680" s="811"/>
      <c r="N680" s="874"/>
      <c r="O680" s="874"/>
      <c r="P680" s="811"/>
      <c r="Q680" s="874"/>
      <c r="R680" s="874"/>
      <c r="S680" s="811"/>
      <c r="T680" s="811"/>
      <c r="U680" s="811"/>
      <c r="V680" s="811"/>
      <c r="W680" s="811"/>
      <c r="X680" s="811"/>
      <c r="Y680" s="719"/>
      <c r="Z680" s="719"/>
      <c r="AA680" s="719"/>
      <c r="AB680" s="719"/>
      <c r="AC680" s="719"/>
      <c r="AD680" s="719"/>
      <c r="AE680" s="719"/>
      <c r="AF680" s="719"/>
      <c r="AG680" s="719"/>
      <c r="AH680" s="719"/>
      <c r="AI680" s="719"/>
      <c r="AJ680" s="719"/>
      <c r="AK680" s="719"/>
      <c r="AL680" s="719"/>
      <c r="AM680" s="719"/>
      <c r="AN680" s="719"/>
      <c r="AO680" s="719"/>
      <c r="AP680" s="719"/>
      <c r="AQ680" s="719"/>
      <c r="AR680" s="719"/>
      <c r="AS680" s="719"/>
      <c r="AT680" s="719"/>
      <c r="AU680" s="719"/>
      <c r="AV680" s="719"/>
      <c r="AW680" s="719"/>
      <c r="AX680" s="719"/>
      <c r="AY680" s="719"/>
      <c r="AZ680" s="719"/>
      <c r="BA680" s="719"/>
      <c r="BB680" s="719"/>
      <c r="BC680" s="719"/>
      <c r="BD680" s="719"/>
      <c r="BE680" s="719"/>
      <c r="BF680" s="719"/>
      <c r="BG680" s="719"/>
      <c r="BH680" s="719"/>
      <c r="BI680" s="719"/>
      <c r="BJ680" s="719"/>
    </row>
    <row r="681" spans="2:62" ht="15.75" customHeight="1">
      <c r="B681" s="497"/>
      <c r="C681" s="811"/>
      <c r="D681" s="811"/>
      <c r="E681" s="811"/>
      <c r="F681" s="811"/>
      <c r="G681" s="811"/>
      <c r="H681" s="811"/>
      <c r="I681" s="811"/>
      <c r="J681" s="811"/>
      <c r="K681" s="874"/>
      <c r="L681" s="874"/>
      <c r="M681" s="811"/>
      <c r="N681" s="874"/>
      <c r="O681" s="874"/>
      <c r="P681" s="811"/>
      <c r="Q681" s="874"/>
      <c r="R681" s="874"/>
      <c r="S681" s="811"/>
      <c r="T681" s="811"/>
      <c r="U681" s="811"/>
      <c r="V681" s="811"/>
      <c r="W681" s="811"/>
      <c r="X681" s="811"/>
      <c r="Y681" s="719"/>
      <c r="Z681" s="719"/>
      <c r="AA681" s="719"/>
      <c r="AB681" s="719"/>
      <c r="AC681" s="719"/>
      <c r="AD681" s="719"/>
      <c r="AE681" s="719"/>
      <c r="AF681" s="719"/>
      <c r="AG681" s="719"/>
      <c r="AH681" s="719"/>
      <c r="AI681" s="719"/>
      <c r="AJ681" s="719"/>
      <c r="AK681" s="719"/>
      <c r="AL681" s="719"/>
      <c r="AM681" s="719"/>
      <c r="AN681" s="719"/>
      <c r="AO681" s="719"/>
      <c r="AP681" s="719"/>
      <c r="AQ681" s="719"/>
      <c r="AR681" s="719"/>
      <c r="AS681" s="719"/>
      <c r="AT681" s="719"/>
      <c r="AU681" s="719"/>
      <c r="AV681" s="719"/>
      <c r="AW681" s="719"/>
      <c r="AX681" s="719"/>
      <c r="AY681" s="719"/>
      <c r="AZ681" s="719"/>
      <c r="BA681" s="719"/>
      <c r="BB681" s="719"/>
      <c r="BC681" s="719"/>
      <c r="BD681" s="719"/>
      <c r="BE681" s="719"/>
      <c r="BF681" s="719"/>
      <c r="BG681" s="719"/>
      <c r="BH681" s="719"/>
      <c r="BI681" s="719"/>
      <c r="BJ681" s="719"/>
    </row>
    <row r="682" spans="2:62" ht="15.75" customHeight="1">
      <c r="B682" s="497"/>
      <c r="C682" s="811"/>
      <c r="D682" s="811"/>
      <c r="E682" s="811"/>
      <c r="F682" s="811"/>
      <c r="G682" s="811"/>
      <c r="H682" s="811"/>
      <c r="I682" s="811"/>
      <c r="J682" s="811"/>
      <c r="K682" s="874"/>
      <c r="L682" s="874"/>
      <c r="M682" s="811"/>
      <c r="N682" s="874"/>
      <c r="O682" s="874"/>
      <c r="P682" s="811"/>
      <c r="Q682" s="874"/>
      <c r="R682" s="874"/>
      <c r="S682" s="811"/>
      <c r="T682" s="811"/>
      <c r="U682" s="811"/>
      <c r="V682" s="811"/>
      <c r="W682" s="811"/>
      <c r="X682" s="811"/>
      <c r="Y682" s="719"/>
      <c r="Z682" s="719"/>
      <c r="AA682" s="719"/>
      <c r="AB682" s="719"/>
      <c r="AC682" s="719"/>
      <c r="AD682" s="719"/>
      <c r="AE682" s="719"/>
      <c r="AF682" s="719"/>
      <c r="AG682" s="719"/>
      <c r="AH682" s="719"/>
      <c r="AI682" s="719"/>
      <c r="AJ682" s="719"/>
      <c r="AK682" s="719"/>
      <c r="AL682" s="719"/>
      <c r="AM682" s="719"/>
      <c r="AN682" s="719"/>
      <c r="AO682" s="719"/>
      <c r="AP682" s="719"/>
      <c r="AQ682" s="719"/>
      <c r="AR682" s="719"/>
      <c r="AS682" s="719"/>
      <c r="AT682" s="719"/>
      <c r="AU682" s="719"/>
      <c r="AV682" s="719"/>
      <c r="AW682" s="719"/>
      <c r="AX682" s="719"/>
      <c r="AY682" s="719"/>
      <c r="AZ682" s="719"/>
      <c r="BA682" s="719"/>
      <c r="BB682" s="719"/>
      <c r="BC682" s="719"/>
      <c r="BD682" s="719"/>
      <c r="BE682" s="719"/>
      <c r="BF682" s="719"/>
      <c r="BG682" s="719"/>
      <c r="BH682" s="719"/>
      <c r="BI682" s="719"/>
      <c r="BJ682" s="719"/>
    </row>
    <row r="683" spans="2:62" ht="15.75" customHeight="1">
      <c r="B683" s="497"/>
      <c r="C683" s="811"/>
      <c r="D683" s="811"/>
      <c r="E683" s="811"/>
      <c r="F683" s="811"/>
      <c r="G683" s="811"/>
      <c r="H683" s="811"/>
      <c r="I683" s="811"/>
      <c r="J683" s="811"/>
      <c r="K683" s="874"/>
      <c r="L683" s="874"/>
      <c r="M683" s="811"/>
      <c r="N683" s="874"/>
      <c r="O683" s="874"/>
      <c r="P683" s="811"/>
      <c r="Q683" s="874"/>
      <c r="R683" s="874"/>
      <c r="S683" s="811"/>
      <c r="T683" s="811"/>
      <c r="U683" s="811"/>
      <c r="V683" s="811"/>
      <c r="W683" s="811"/>
      <c r="X683" s="811"/>
      <c r="Y683" s="719"/>
      <c r="Z683" s="719"/>
      <c r="AA683" s="719"/>
      <c r="AB683" s="719"/>
      <c r="AC683" s="719"/>
      <c r="AD683" s="719"/>
      <c r="AE683" s="719"/>
      <c r="AF683" s="719"/>
      <c r="AG683" s="719"/>
      <c r="AH683" s="719"/>
      <c r="AI683" s="719"/>
      <c r="AJ683" s="719"/>
      <c r="AK683" s="719"/>
      <c r="AL683" s="719"/>
      <c r="AM683" s="719"/>
      <c r="AN683" s="719"/>
      <c r="AO683" s="719"/>
      <c r="AP683" s="719"/>
      <c r="AQ683" s="719"/>
      <c r="AR683" s="719"/>
      <c r="AS683" s="719"/>
      <c r="AT683" s="719"/>
      <c r="AU683" s="719"/>
      <c r="AV683" s="719"/>
      <c r="AW683" s="719"/>
      <c r="AX683" s="719"/>
      <c r="AY683" s="719"/>
      <c r="AZ683" s="719"/>
      <c r="BA683" s="719"/>
      <c r="BB683" s="719"/>
      <c r="BC683" s="719"/>
      <c r="BD683" s="719"/>
      <c r="BE683" s="719"/>
      <c r="BF683" s="719"/>
      <c r="BG683" s="719"/>
      <c r="BH683" s="719"/>
      <c r="BI683" s="719"/>
      <c r="BJ683" s="719"/>
    </row>
    <row r="684" spans="2:62" ht="15.75" customHeight="1">
      <c r="B684" s="497"/>
      <c r="C684" s="811"/>
      <c r="D684" s="811"/>
      <c r="E684" s="811"/>
      <c r="F684" s="811"/>
      <c r="G684" s="811"/>
      <c r="H684" s="811"/>
      <c r="I684" s="811"/>
      <c r="J684" s="811"/>
      <c r="K684" s="874"/>
      <c r="L684" s="874"/>
      <c r="M684" s="811"/>
      <c r="N684" s="811"/>
      <c r="O684" s="811"/>
      <c r="P684" s="811"/>
      <c r="Q684" s="811"/>
      <c r="R684" s="874"/>
      <c r="S684" s="811"/>
      <c r="T684" s="811"/>
      <c r="U684" s="811"/>
      <c r="V684" s="811"/>
      <c r="W684" s="811"/>
      <c r="X684" s="811"/>
      <c r="Y684" s="719"/>
      <c r="Z684" s="719"/>
      <c r="AA684" s="719"/>
      <c r="AB684" s="719"/>
      <c r="AC684" s="719"/>
      <c r="AD684" s="719"/>
      <c r="AE684" s="719"/>
      <c r="AF684" s="719"/>
      <c r="AG684" s="719"/>
      <c r="AH684" s="719"/>
      <c r="AI684" s="719"/>
      <c r="AJ684" s="719"/>
      <c r="AK684" s="719"/>
      <c r="AL684" s="719"/>
      <c r="AM684" s="719"/>
      <c r="AN684" s="719"/>
      <c r="AO684" s="719"/>
      <c r="AP684" s="719"/>
      <c r="AQ684" s="719"/>
      <c r="AR684" s="719"/>
      <c r="AS684" s="719"/>
      <c r="AT684" s="719"/>
      <c r="AU684" s="719"/>
      <c r="AV684" s="719"/>
      <c r="AW684" s="719"/>
      <c r="AX684" s="719"/>
      <c r="AY684" s="719"/>
      <c r="AZ684" s="719"/>
      <c r="BA684" s="719"/>
      <c r="BB684" s="719"/>
      <c r="BC684" s="719"/>
      <c r="BD684" s="719"/>
      <c r="BE684" s="719"/>
      <c r="BF684" s="719"/>
      <c r="BG684" s="719"/>
      <c r="BH684" s="719"/>
      <c r="BI684" s="719"/>
      <c r="BJ684" s="719"/>
    </row>
    <row r="685" spans="2:62" ht="15.75" customHeight="1">
      <c r="B685" s="497"/>
      <c r="C685" s="811"/>
      <c r="D685" s="811"/>
      <c r="E685" s="811"/>
      <c r="F685" s="811"/>
      <c r="G685" s="811"/>
      <c r="H685" s="811"/>
      <c r="I685" s="811"/>
      <c r="J685" s="811"/>
      <c r="K685" s="874"/>
      <c r="L685" s="874"/>
      <c r="M685" s="811"/>
      <c r="N685" s="876"/>
      <c r="O685" s="876"/>
      <c r="P685" s="811"/>
      <c r="Q685" s="876"/>
      <c r="R685" s="874"/>
      <c r="S685" s="811"/>
      <c r="T685" s="811"/>
      <c r="U685" s="811"/>
      <c r="V685" s="811"/>
      <c r="W685" s="811"/>
      <c r="X685" s="811"/>
      <c r="Y685" s="719"/>
      <c r="Z685" s="719"/>
      <c r="AA685" s="719"/>
      <c r="AB685" s="719"/>
      <c r="AC685" s="719"/>
      <c r="AD685" s="719"/>
      <c r="AE685" s="719"/>
      <c r="AF685" s="719"/>
      <c r="AG685" s="719"/>
      <c r="AH685" s="719"/>
      <c r="AI685" s="719"/>
      <c r="AJ685" s="719"/>
      <c r="AK685" s="719"/>
      <c r="AL685" s="719"/>
      <c r="AM685" s="719"/>
      <c r="AN685" s="719"/>
      <c r="AO685" s="719"/>
      <c r="AP685" s="719"/>
      <c r="AQ685" s="719"/>
      <c r="AR685" s="719"/>
      <c r="AS685" s="719"/>
      <c r="AT685" s="719"/>
      <c r="AU685" s="719"/>
      <c r="AV685" s="719"/>
      <c r="AW685" s="719"/>
      <c r="AX685" s="719"/>
      <c r="AY685" s="719"/>
      <c r="AZ685" s="719"/>
      <c r="BA685" s="719"/>
      <c r="BB685" s="719"/>
      <c r="BC685" s="719"/>
      <c r="BD685" s="719"/>
      <c r="BE685" s="719"/>
      <c r="BF685" s="719"/>
      <c r="BG685" s="719"/>
      <c r="BH685" s="719"/>
      <c r="BI685" s="719"/>
      <c r="BJ685" s="719"/>
    </row>
    <row r="686" spans="2:62" ht="15.75" customHeight="1">
      <c r="B686" s="497"/>
      <c r="C686" s="811"/>
      <c r="D686" s="811"/>
      <c r="E686" s="811"/>
      <c r="F686" s="811"/>
      <c r="G686" s="811"/>
      <c r="H686" s="811"/>
      <c r="I686" s="811"/>
      <c r="J686" s="811"/>
      <c r="K686" s="811"/>
      <c r="L686" s="811"/>
      <c r="M686" s="811"/>
      <c r="N686" s="874"/>
      <c r="O686" s="874"/>
      <c r="P686" s="811"/>
      <c r="Q686" s="874"/>
      <c r="R686" s="811"/>
      <c r="S686" s="811"/>
      <c r="T686" s="811"/>
      <c r="U686" s="811"/>
      <c r="V686" s="811"/>
      <c r="W686" s="811"/>
      <c r="X686" s="811"/>
      <c r="Y686" s="719"/>
      <c r="Z686" s="719"/>
      <c r="AA686" s="719"/>
      <c r="AB686" s="719"/>
      <c r="AC686" s="719"/>
      <c r="AD686" s="719"/>
      <c r="AE686" s="719"/>
      <c r="AF686" s="719"/>
      <c r="AG686" s="719"/>
      <c r="AH686" s="719"/>
      <c r="AI686" s="719"/>
      <c r="AJ686" s="719"/>
      <c r="AK686" s="719"/>
      <c r="AL686" s="719"/>
      <c r="AM686" s="719"/>
      <c r="AN686" s="719"/>
      <c r="AO686" s="719"/>
      <c r="AP686" s="719"/>
      <c r="AQ686" s="719"/>
      <c r="AR686" s="719"/>
      <c r="AS686" s="719"/>
      <c r="AT686" s="719"/>
      <c r="AU686" s="719"/>
      <c r="AV686" s="719"/>
      <c r="AW686" s="719"/>
      <c r="AX686" s="719"/>
      <c r="AY686" s="719"/>
      <c r="AZ686" s="719"/>
      <c r="BA686" s="719"/>
      <c r="BB686" s="719"/>
      <c r="BC686" s="719"/>
      <c r="BD686" s="719"/>
      <c r="BE686" s="719"/>
      <c r="BF686" s="719"/>
      <c r="BG686" s="719"/>
      <c r="BH686" s="719"/>
      <c r="BI686" s="719"/>
      <c r="BJ686" s="719"/>
    </row>
    <row r="687" spans="2:62" ht="15.75" customHeight="1">
      <c r="B687" s="497"/>
      <c r="C687" s="811"/>
      <c r="D687" s="811"/>
      <c r="E687" s="811"/>
      <c r="F687" s="811"/>
      <c r="G687" s="811"/>
      <c r="H687" s="811"/>
      <c r="I687" s="811"/>
      <c r="J687" s="811"/>
      <c r="K687" s="876"/>
      <c r="L687" s="876"/>
      <c r="M687" s="811"/>
      <c r="N687" s="874"/>
      <c r="O687" s="874"/>
      <c r="P687" s="811"/>
      <c r="Q687" s="874"/>
      <c r="R687" s="876"/>
      <c r="S687" s="811"/>
      <c r="T687" s="811"/>
      <c r="U687" s="811"/>
      <c r="V687" s="811"/>
      <c r="W687" s="811"/>
      <c r="X687" s="811"/>
      <c r="Y687" s="719"/>
      <c r="Z687" s="719"/>
      <c r="AA687" s="719"/>
      <c r="AB687" s="719"/>
      <c r="AC687" s="719"/>
      <c r="AD687" s="719"/>
      <c r="AE687" s="719"/>
      <c r="AF687" s="719"/>
      <c r="AG687" s="719"/>
      <c r="AH687" s="719"/>
      <c r="AI687" s="719"/>
      <c r="AJ687" s="719"/>
      <c r="AK687" s="719"/>
      <c r="AL687" s="719"/>
      <c r="AM687" s="719"/>
      <c r="AN687" s="719"/>
      <c r="AO687" s="719"/>
      <c r="AP687" s="719"/>
      <c r="AQ687" s="719"/>
      <c r="AR687" s="719"/>
      <c r="AS687" s="719"/>
      <c r="AT687" s="719"/>
      <c r="AU687" s="719"/>
      <c r="AV687" s="719"/>
      <c r="AW687" s="719"/>
      <c r="AX687" s="719"/>
      <c r="AY687" s="719"/>
      <c r="AZ687" s="719"/>
      <c r="BA687" s="719"/>
      <c r="BB687" s="719"/>
      <c r="BC687" s="719"/>
      <c r="BD687" s="719"/>
      <c r="BE687" s="719"/>
      <c r="BF687" s="719"/>
      <c r="BG687" s="719"/>
      <c r="BH687" s="719"/>
      <c r="BI687" s="719"/>
      <c r="BJ687" s="719"/>
    </row>
    <row r="688" spans="2:62" ht="15.75" customHeight="1">
      <c r="B688" s="497"/>
      <c r="C688" s="811"/>
      <c r="D688" s="811"/>
      <c r="E688" s="811"/>
      <c r="F688" s="811"/>
      <c r="G688" s="811"/>
      <c r="H688" s="811"/>
      <c r="I688" s="811"/>
      <c r="J688" s="811"/>
      <c r="K688" s="874"/>
      <c r="L688" s="874"/>
      <c r="M688" s="811"/>
      <c r="N688" s="874"/>
      <c r="O688" s="874"/>
      <c r="P688" s="811"/>
      <c r="Q688" s="874"/>
      <c r="R688" s="874"/>
      <c r="S688" s="811"/>
      <c r="T688" s="811"/>
      <c r="U688" s="811"/>
      <c r="V688" s="811"/>
      <c r="W688" s="811"/>
      <c r="X688" s="811"/>
      <c r="Y688" s="719"/>
      <c r="Z688" s="719"/>
      <c r="AA688" s="719"/>
      <c r="AB688" s="719"/>
      <c r="AC688" s="719"/>
      <c r="AD688" s="719"/>
      <c r="AE688" s="719"/>
      <c r="AF688" s="719"/>
      <c r="AG688" s="719"/>
      <c r="AH688" s="719"/>
      <c r="AI688" s="719"/>
      <c r="AJ688" s="719"/>
      <c r="AK688" s="719"/>
      <c r="AL688" s="719"/>
      <c r="AM688" s="719"/>
      <c r="AN688" s="719"/>
      <c r="AO688" s="719"/>
      <c r="AP688" s="719"/>
      <c r="AQ688" s="719"/>
      <c r="AR688" s="719"/>
      <c r="AS688" s="719"/>
      <c r="AT688" s="719"/>
      <c r="AU688" s="719"/>
      <c r="AV688" s="719"/>
      <c r="AW688" s="719"/>
      <c r="AX688" s="719"/>
      <c r="AY688" s="719"/>
      <c r="AZ688" s="719"/>
      <c r="BA688" s="719"/>
      <c r="BB688" s="719"/>
      <c r="BC688" s="719"/>
      <c r="BD688" s="719"/>
      <c r="BE688" s="719"/>
      <c r="BF688" s="719"/>
      <c r="BG688" s="719"/>
      <c r="BH688" s="719"/>
      <c r="BI688" s="719"/>
      <c r="BJ688" s="719"/>
    </row>
    <row r="689" spans="2:62" ht="15.75" customHeight="1">
      <c r="B689" s="497"/>
      <c r="C689" s="811"/>
      <c r="D689" s="811"/>
      <c r="E689" s="811"/>
      <c r="F689" s="811"/>
      <c r="G689" s="811"/>
      <c r="H689" s="811"/>
      <c r="I689" s="811"/>
      <c r="J689" s="811"/>
      <c r="K689" s="874"/>
      <c r="L689" s="874"/>
      <c r="M689" s="811"/>
      <c r="N689" s="874"/>
      <c r="O689" s="874"/>
      <c r="P689" s="811"/>
      <c r="Q689" s="874"/>
      <c r="R689" s="874"/>
      <c r="S689" s="811"/>
      <c r="T689" s="811"/>
      <c r="U689" s="811"/>
      <c r="V689" s="811"/>
      <c r="W689" s="811"/>
      <c r="X689" s="811"/>
      <c r="Y689" s="719"/>
      <c r="Z689" s="719"/>
      <c r="AA689" s="719"/>
      <c r="AB689" s="719"/>
      <c r="AC689" s="719"/>
      <c r="AD689" s="719"/>
      <c r="AE689" s="719"/>
      <c r="AF689" s="719"/>
      <c r="AG689" s="719"/>
      <c r="AH689" s="719"/>
      <c r="AI689" s="719"/>
      <c r="AJ689" s="719"/>
      <c r="AK689" s="719"/>
      <c r="AL689" s="719"/>
      <c r="AM689" s="719"/>
      <c r="AN689" s="719"/>
      <c r="AO689" s="719"/>
      <c r="AP689" s="719"/>
      <c r="AQ689" s="719"/>
      <c r="AR689" s="719"/>
      <c r="AS689" s="719"/>
      <c r="AT689" s="719"/>
      <c r="AU689" s="719"/>
      <c r="AV689" s="719"/>
      <c r="AW689" s="719"/>
      <c r="AX689" s="719"/>
      <c r="AY689" s="719"/>
      <c r="AZ689" s="719"/>
      <c r="BA689" s="719"/>
      <c r="BB689" s="719"/>
      <c r="BC689" s="719"/>
      <c r="BD689" s="719"/>
      <c r="BE689" s="719"/>
      <c r="BF689" s="719"/>
      <c r="BG689" s="719"/>
      <c r="BH689" s="719"/>
      <c r="BI689" s="719"/>
      <c r="BJ689" s="719"/>
    </row>
    <row r="690" spans="2:62" ht="15.75" customHeight="1">
      <c r="B690" s="497"/>
      <c r="C690" s="811"/>
      <c r="D690" s="811"/>
      <c r="E690" s="811"/>
      <c r="F690" s="811"/>
      <c r="G690" s="811"/>
      <c r="H690" s="811"/>
      <c r="I690" s="811"/>
      <c r="J690" s="811"/>
      <c r="K690" s="874"/>
      <c r="L690" s="874"/>
      <c r="M690" s="811"/>
      <c r="N690" s="874"/>
      <c r="O690" s="874"/>
      <c r="P690" s="811"/>
      <c r="Q690" s="874"/>
      <c r="R690" s="874"/>
      <c r="S690" s="811"/>
      <c r="T690" s="811"/>
      <c r="U690" s="811"/>
      <c r="V690" s="811"/>
      <c r="W690" s="811"/>
      <c r="X690" s="811"/>
      <c r="Y690" s="719"/>
      <c r="Z690" s="719"/>
      <c r="AA690" s="719"/>
      <c r="AB690" s="719"/>
      <c r="AC690" s="719"/>
      <c r="AD690" s="719"/>
      <c r="AE690" s="719"/>
      <c r="AF690" s="719"/>
      <c r="AG690" s="719"/>
      <c r="AH690" s="719"/>
      <c r="AI690" s="719"/>
      <c r="AJ690" s="719"/>
      <c r="AK690" s="719"/>
      <c r="AL690" s="719"/>
      <c r="AM690" s="719"/>
      <c r="AN690" s="719"/>
      <c r="AO690" s="719"/>
      <c r="AP690" s="719"/>
      <c r="AQ690" s="719"/>
      <c r="AR690" s="719"/>
      <c r="AS690" s="719"/>
      <c r="AT690" s="719"/>
      <c r="AU690" s="719"/>
      <c r="AV690" s="719"/>
      <c r="AW690" s="719"/>
      <c r="AX690" s="719"/>
      <c r="AY690" s="719"/>
      <c r="AZ690" s="719"/>
      <c r="BA690" s="719"/>
      <c r="BB690" s="719"/>
      <c r="BC690" s="719"/>
      <c r="BD690" s="719"/>
      <c r="BE690" s="719"/>
      <c r="BF690" s="719"/>
      <c r="BG690" s="719"/>
      <c r="BH690" s="719"/>
      <c r="BI690" s="719"/>
      <c r="BJ690" s="719"/>
    </row>
    <row r="691" spans="2:62" ht="15.75" customHeight="1">
      <c r="B691" s="497"/>
      <c r="C691" s="811"/>
      <c r="D691" s="811"/>
      <c r="E691" s="811"/>
      <c r="F691" s="811"/>
      <c r="G691" s="811"/>
      <c r="H691" s="811"/>
      <c r="I691" s="811"/>
      <c r="J691" s="811"/>
      <c r="K691" s="874"/>
      <c r="L691" s="874"/>
      <c r="M691" s="811"/>
      <c r="N691" s="874"/>
      <c r="O691" s="874"/>
      <c r="P691" s="811"/>
      <c r="Q691" s="874"/>
      <c r="R691" s="874"/>
      <c r="S691" s="811"/>
      <c r="T691" s="811"/>
      <c r="U691" s="811"/>
      <c r="V691" s="811"/>
      <c r="W691" s="811"/>
      <c r="X691" s="811"/>
      <c r="Y691" s="719"/>
      <c r="Z691" s="719"/>
      <c r="AA691" s="719"/>
      <c r="AB691" s="719"/>
      <c r="AC691" s="719"/>
      <c r="AD691" s="719"/>
      <c r="AE691" s="719"/>
      <c r="AF691" s="719"/>
      <c r="AG691" s="719"/>
      <c r="AH691" s="719"/>
      <c r="AI691" s="719"/>
      <c r="AJ691" s="719"/>
      <c r="AK691" s="719"/>
      <c r="AL691" s="719"/>
      <c r="AM691" s="719"/>
      <c r="AN691" s="719"/>
      <c r="AO691" s="719"/>
      <c r="AP691" s="719"/>
      <c r="AQ691" s="719"/>
      <c r="AR691" s="719"/>
      <c r="AS691" s="719"/>
      <c r="AT691" s="719"/>
      <c r="AU691" s="719"/>
      <c r="AV691" s="719"/>
      <c r="AW691" s="719"/>
      <c r="AX691" s="719"/>
      <c r="AY691" s="719"/>
      <c r="AZ691" s="719"/>
      <c r="BA691" s="719"/>
      <c r="BB691" s="719"/>
      <c r="BC691" s="719"/>
      <c r="BD691" s="719"/>
      <c r="BE691" s="719"/>
      <c r="BF691" s="719"/>
      <c r="BG691" s="719"/>
      <c r="BH691" s="719"/>
      <c r="BI691" s="719"/>
      <c r="BJ691" s="719"/>
    </row>
    <row r="692" spans="2:62" ht="15.75" customHeight="1">
      <c r="B692" s="497"/>
      <c r="C692" s="811"/>
      <c r="D692" s="811"/>
      <c r="E692" s="811"/>
      <c r="F692" s="811"/>
      <c r="G692" s="811"/>
      <c r="H692" s="811"/>
      <c r="I692" s="811"/>
      <c r="J692" s="811"/>
      <c r="K692" s="874"/>
      <c r="L692" s="874"/>
      <c r="M692" s="811"/>
      <c r="N692" s="874"/>
      <c r="O692" s="874"/>
      <c r="P692" s="811"/>
      <c r="Q692" s="874"/>
      <c r="R692" s="874"/>
      <c r="S692" s="811"/>
      <c r="T692" s="811"/>
      <c r="U692" s="811"/>
      <c r="V692" s="811"/>
      <c r="W692" s="811"/>
      <c r="X692" s="811"/>
      <c r="Y692" s="719"/>
      <c r="Z692" s="719"/>
      <c r="AA692" s="719"/>
      <c r="AB692" s="719"/>
      <c r="AC692" s="719"/>
      <c r="AD692" s="719"/>
      <c r="AE692" s="719"/>
      <c r="AF692" s="719"/>
      <c r="AG692" s="719"/>
      <c r="AH692" s="719"/>
      <c r="AI692" s="719"/>
      <c r="AJ692" s="719"/>
      <c r="AK692" s="719"/>
      <c r="AL692" s="719"/>
      <c r="AM692" s="719"/>
      <c r="AN692" s="719"/>
      <c r="AO692" s="719"/>
      <c r="AP692" s="719"/>
      <c r="AQ692" s="719"/>
      <c r="AR692" s="719"/>
      <c r="AS692" s="719"/>
      <c r="AT692" s="719"/>
      <c r="AU692" s="719"/>
      <c r="AV692" s="719"/>
      <c r="AW692" s="719"/>
      <c r="AX692" s="719"/>
      <c r="AY692" s="719"/>
      <c r="AZ692" s="719"/>
      <c r="BA692" s="719"/>
      <c r="BB692" s="719"/>
      <c r="BC692" s="719"/>
      <c r="BD692" s="719"/>
      <c r="BE692" s="719"/>
      <c r="BF692" s="719"/>
      <c r="BG692" s="719"/>
      <c r="BH692" s="719"/>
      <c r="BI692" s="719"/>
      <c r="BJ692" s="719"/>
    </row>
    <row r="693" spans="2:62" ht="15.75" customHeight="1">
      <c r="B693" s="497"/>
      <c r="C693" s="811"/>
      <c r="D693" s="811"/>
      <c r="E693" s="811"/>
      <c r="F693" s="811"/>
      <c r="G693" s="811"/>
      <c r="H693" s="811"/>
      <c r="I693" s="811"/>
      <c r="J693" s="811"/>
      <c r="K693" s="874"/>
      <c r="L693" s="874"/>
      <c r="M693" s="811"/>
      <c r="N693" s="874"/>
      <c r="O693" s="874"/>
      <c r="P693" s="811"/>
      <c r="Q693" s="874"/>
      <c r="R693" s="874"/>
      <c r="S693" s="811"/>
      <c r="T693" s="811"/>
      <c r="U693" s="811"/>
      <c r="V693" s="811"/>
      <c r="W693" s="811"/>
      <c r="X693" s="811"/>
      <c r="Y693" s="719"/>
      <c r="Z693" s="719"/>
      <c r="AA693" s="719"/>
      <c r="AB693" s="719"/>
      <c r="AC693" s="719"/>
      <c r="AD693" s="719"/>
      <c r="AE693" s="719"/>
      <c r="AF693" s="719"/>
      <c r="AG693" s="719"/>
      <c r="AH693" s="719"/>
      <c r="AI693" s="719"/>
      <c r="AJ693" s="719"/>
      <c r="AK693" s="719"/>
      <c r="AL693" s="719"/>
      <c r="AM693" s="719"/>
      <c r="AN693" s="719"/>
      <c r="AO693" s="719"/>
      <c r="AP693" s="719"/>
      <c r="AQ693" s="719"/>
      <c r="AR693" s="719"/>
      <c r="AS693" s="719"/>
      <c r="AT693" s="719"/>
      <c r="AU693" s="719"/>
      <c r="AV693" s="719"/>
      <c r="AW693" s="719"/>
      <c r="AX693" s="719"/>
      <c r="AY693" s="719"/>
      <c r="AZ693" s="719"/>
      <c r="BA693" s="719"/>
      <c r="BB693" s="719"/>
      <c r="BC693" s="719"/>
      <c r="BD693" s="719"/>
      <c r="BE693" s="719"/>
      <c r="BF693" s="719"/>
      <c r="BG693" s="719"/>
      <c r="BH693" s="719"/>
      <c r="BI693" s="719"/>
      <c r="BJ693" s="719"/>
    </row>
    <row r="694" spans="2:62" ht="15.75" customHeight="1">
      <c r="B694" s="497"/>
      <c r="C694" s="811"/>
      <c r="D694" s="811"/>
      <c r="E694" s="811"/>
      <c r="F694" s="811"/>
      <c r="G694" s="811"/>
      <c r="H694" s="811"/>
      <c r="I694" s="811"/>
      <c r="J694" s="811"/>
      <c r="K694" s="874"/>
      <c r="L694" s="876"/>
      <c r="M694" s="811"/>
      <c r="N694" s="874"/>
      <c r="O694" s="874"/>
      <c r="P694" s="811"/>
      <c r="Q694" s="874"/>
      <c r="R694" s="876"/>
      <c r="S694" s="811"/>
      <c r="T694" s="811"/>
      <c r="U694" s="811"/>
      <c r="V694" s="811"/>
      <c r="W694" s="811"/>
      <c r="X694" s="811"/>
      <c r="Y694" s="719"/>
      <c r="Z694" s="719"/>
      <c r="AA694" s="719"/>
      <c r="AB694" s="719"/>
      <c r="AC694" s="719"/>
      <c r="AD694" s="719"/>
      <c r="AE694" s="719"/>
      <c r="AF694" s="719"/>
      <c r="AG694" s="719"/>
      <c r="AH694" s="719"/>
      <c r="AI694" s="719"/>
      <c r="AJ694" s="719"/>
      <c r="AK694" s="719"/>
      <c r="AL694" s="719"/>
      <c r="AM694" s="719"/>
      <c r="AN694" s="719"/>
      <c r="AO694" s="719"/>
      <c r="AP694" s="719"/>
      <c r="AQ694" s="719"/>
      <c r="AR694" s="719"/>
      <c r="AS694" s="719"/>
      <c r="AT694" s="719"/>
      <c r="AU694" s="719"/>
      <c r="AV694" s="719"/>
      <c r="AW694" s="719"/>
      <c r="AX694" s="719"/>
      <c r="AY694" s="719"/>
      <c r="AZ694" s="719"/>
      <c r="BA694" s="719"/>
      <c r="BB694" s="719"/>
      <c r="BC694" s="719"/>
      <c r="BD694" s="719"/>
      <c r="BE694" s="719"/>
      <c r="BF694" s="719"/>
      <c r="BG694" s="719"/>
      <c r="BH694" s="719"/>
      <c r="BI694" s="719"/>
      <c r="BJ694" s="719"/>
    </row>
    <row r="695" spans="2:62" ht="15.75" customHeight="1">
      <c r="B695" s="497"/>
      <c r="C695" s="811"/>
      <c r="D695" s="811"/>
      <c r="E695" s="811"/>
      <c r="F695" s="811"/>
      <c r="G695" s="811"/>
      <c r="H695" s="811"/>
      <c r="I695" s="811"/>
      <c r="J695" s="811"/>
      <c r="K695" s="874"/>
      <c r="L695" s="874"/>
      <c r="M695" s="811"/>
      <c r="N695" s="874"/>
      <c r="O695" s="874"/>
      <c r="P695" s="811"/>
      <c r="Q695" s="874"/>
      <c r="R695" s="874"/>
      <c r="S695" s="811"/>
      <c r="T695" s="811"/>
      <c r="U695" s="811"/>
      <c r="V695" s="811"/>
      <c r="W695" s="811"/>
      <c r="X695" s="811"/>
      <c r="Y695" s="719"/>
      <c r="Z695" s="719"/>
      <c r="AA695" s="719"/>
      <c r="AB695" s="719"/>
      <c r="AC695" s="719"/>
      <c r="AD695" s="719"/>
      <c r="AE695" s="719"/>
      <c r="AF695" s="719"/>
      <c r="AG695" s="719"/>
      <c r="AH695" s="719"/>
      <c r="AI695" s="719"/>
      <c r="AJ695" s="719"/>
      <c r="AK695" s="719"/>
      <c r="AL695" s="719"/>
      <c r="AM695" s="719"/>
      <c r="AN695" s="719"/>
      <c r="AO695" s="719"/>
      <c r="AP695" s="719"/>
      <c r="AQ695" s="719"/>
      <c r="AR695" s="719"/>
      <c r="AS695" s="719"/>
      <c r="AT695" s="719"/>
      <c r="AU695" s="719"/>
      <c r="AV695" s="719"/>
      <c r="AW695" s="719"/>
      <c r="AX695" s="719"/>
      <c r="AY695" s="719"/>
      <c r="AZ695" s="719"/>
      <c r="BA695" s="719"/>
      <c r="BB695" s="719"/>
      <c r="BC695" s="719"/>
      <c r="BD695" s="719"/>
      <c r="BE695" s="719"/>
      <c r="BF695" s="719"/>
      <c r="BG695" s="719"/>
      <c r="BH695" s="719"/>
      <c r="BI695" s="719"/>
      <c r="BJ695" s="719"/>
    </row>
    <row r="696" spans="2:62" ht="15.75" customHeight="1">
      <c r="B696" s="497"/>
      <c r="C696" s="811"/>
      <c r="D696" s="811"/>
      <c r="E696" s="811"/>
      <c r="F696" s="811"/>
      <c r="G696" s="811"/>
      <c r="H696" s="811"/>
      <c r="I696" s="811"/>
      <c r="J696" s="811"/>
      <c r="K696" s="874"/>
      <c r="L696" s="874"/>
      <c r="M696" s="811"/>
      <c r="N696" s="874"/>
      <c r="O696" s="874"/>
      <c r="P696" s="811"/>
      <c r="Q696" s="874"/>
      <c r="R696" s="874"/>
      <c r="S696" s="811"/>
      <c r="T696" s="811"/>
      <c r="U696" s="811"/>
      <c r="V696" s="811"/>
      <c r="W696" s="811"/>
      <c r="X696" s="811"/>
      <c r="Y696" s="719"/>
      <c r="Z696" s="719"/>
      <c r="AA696" s="719"/>
      <c r="AB696" s="719"/>
      <c r="AC696" s="719"/>
      <c r="AD696" s="719"/>
      <c r="AE696" s="719"/>
      <c r="AF696" s="719"/>
      <c r="AG696" s="719"/>
      <c r="AH696" s="719"/>
      <c r="AI696" s="719"/>
      <c r="AJ696" s="719"/>
      <c r="AK696" s="719"/>
      <c r="AL696" s="719"/>
      <c r="AM696" s="719"/>
      <c r="AN696" s="719"/>
      <c r="AO696" s="719"/>
      <c r="AP696" s="719"/>
      <c r="AQ696" s="719"/>
      <c r="AR696" s="719"/>
      <c r="AS696" s="719"/>
      <c r="AT696" s="719"/>
      <c r="AU696" s="719"/>
      <c r="AV696" s="719"/>
      <c r="AW696" s="719"/>
      <c r="AX696" s="719"/>
      <c r="AY696" s="719"/>
      <c r="AZ696" s="719"/>
      <c r="BA696" s="719"/>
      <c r="BB696" s="719"/>
      <c r="BC696" s="719"/>
      <c r="BD696" s="719"/>
      <c r="BE696" s="719"/>
      <c r="BF696" s="719"/>
      <c r="BG696" s="719"/>
      <c r="BH696" s="719"/>
      <c r="BI696" s="719"/>
      <c r="BJ696" s="719"/>
    </row>
    <row r="697" spans="2:62" ht="15.75" customHeight="1">
      <c r="B697" s="497"/>
      <c r="C697" s="811"/>
      <c r="D697" s="811"/>
      <c r="E697" s="811"/>
      <c r="F697" s="811"/>
      <c r="G697" s="811"/>
      <c r="H697" s="811"/>
      <c r="I697" s="811"/>
      <c r="J697" s="811"/>
      <c r="K697" s="874"/>
      <c r="L697" s="874"/>
      <c r="M697" s="811"/>
      <c r="N697" s="876"/>
      <c r="O697" s="876"/>
      <c r="P697" s="811"/>
      <c r="Q697" s="876"/>
      <c r="R697" s="874"/>
      <c r="S697" s="811"/>
      <c r="T697" s="811"/>
      <c r="U697" s="811"/>
      <c r="V697" s="811"/>
      <c r="W697" s="811"/>
      <c r="X697" s="811"/>
      <c r="Y697" s="719"/>
      <c r="Z697" s="719"/>
      <c r="AA697" s="719"/>
      <c r="AB697" s="719"/>
      <c r="AC697" s="719"/>
      <c r="AD697" s="719"/>
      <c r="AE697" s="719"/>
      <c r="AF697" s="719"/>
      <c r="AG697" s="719"/>
      <c r="AH697" s="719"/>
      <c r="AI697" s="719"/>
      <c r="AJ697" s="719"/>
      <c r="AK697" s="719"/>
      <c r="AL697" s="719"/>
      <c r="AM697" s="719"/>
      <c r="AN697" s="719"/>
      <c r="AO697" s="719"/>
      <c r="AP697" s="719"/>
      <c r="AQ697" s="719"/>
      <c r="AR697" s="719"/>
      <c r="AS697" s="719"/>
      <c r="AT697" s="719"/>
      <c r="AU697" s="719"/>
      <c r="AV697" s="719"/>
      <c r="AW697" s="719"/>
      <c r="AX697" s="719"/>
      <c r="AY697" s="719"/>
      <c r="AZ697" s="719"/>
      <c r="BA697" s="719"/>
      <c r="BB697" s="719"/>
      <c r="BC697" s="719"/>
      <c r="BD697" s="719"/>
      <c r="BE697" s="719"/>
      <c r="BF697" s="719"/>
      <c r="BG697" s="719"/>
      <c r="BH697" s="719"/>
      <c r="BI697" s="719"/>
      <c r="BJ697" s="719"/>
    </row>
  </sheetData>
  <conditionalFormatting sqref="K291 H168:I168 K168 J168:J195 J291:J292 H170:I170 H236:I236 K236 H291:I291 K170:L170 J90:J91 H90:I90 J3 K90 J236:J239 H238:I239 K238:L238 H308:L310 H303:L305 H293:L293 L18 L86:L90 H86:K88 H163:L163 H164 J164:K164 H165:K166 L165:L168 H233:K234 L233:L236 H289:K289 L289:L291 J83:L85 H231:L231 H232 J232:K232 H287:L287 H288 J288:K288 H351:L351 H352:H354 J352:K354 J72:L72 I121:L121 H152:L152 H348:L348 J399:K399 H399 H242:L242 H363:L363 H251:L252 H96:L97 I100:L100 H100:H103 L24 J13:J14 J16 K94:K95 I104:L110 K99 H134:L134 K172:L172 K175:L176 K178:L179 K181:L181 K184:L186 K183 K188:L189 H312:L315 L182 K306:K307 K311 K191:L195 L190 J101:K103 H135:H136 J135:K136 H155:H156 J155:K156 H172:I173 H175:I176 H178:I179 H181:I182 H188:I189 H191:I195 H364:H375 J364:K375 H284:L284 J18:J24 J49:L54 L173 L6:L14 J31:K48 J111:K120 J122:K133 H105:H133 L125:L129 O122:P133 Q125:Q129 H225:H228 J225:K228 H281:H283 L275:L283 J294:K302 L319:L324 J317:K347 H317:H347 J253:K274 H253:H274 H197:H218 J197:K218 H184:I186 J25:L30">
    <cfRule type="expression" dxfId="361" priority="337" stopIfTrue="1">
      <formula>"esterreur(reference)"</formula>
    </cfRule>
  </conditionalFormatting>
  <conditionalFormatting sqref="M95:M96">
    <cfRule type="expression" dxfId="360" priority="338" stopIfTrue="1">
      <formula>"esterreur(reference)"</formula>
    </cfRule>
  </conditionalFormatting>
  <conditionalFormatting sqref="H275:H280 J275:K280">
    <cfRule type="expression" dxfId="359" priority="339" stopIfTrue="1">
      <formula>"esterreur(reference)"</formula>
    </cfRule>
  </conditionalFormatting>
  <conditionalFormatting sqref="H219:H224 J219:K224">
    <cfRule type="expression" dxfId="358" priority="340" stopIfTrue="1">
      <formula>"esterreur(reference)"</formula>
    </cfRule>
  </conditionalFormatting>
  <conditionalFormatting sqref="H141:H147 J141:K147">
    <cfRule type="expression" dxfId="357" priority="341" stopIfTrue="1">
      <formula>"esterreur(reference)"</formula>
    </cfRule>
  </conditionalFormatting>
  <conditionalFormatting sqref="H137:H139 J137:K139">
    <cfRule type="expression" dxfId="356" priority="342" stopIfTrue="1">
      <formula>"esterreur(reference)"</formula>
    </cfRule>
  </conditionalFormatting>
  <conditionalFormatting sqref="H140 J140:K140">
    <cfRule type="expression" dxfId="355" priority="343" stopIfTrue="1">
      <formula>"esterreur(reference)"</formula>
    </cfRule>
  </conditionalFormatting>
  <conditionalFormatting sqref="L82">
    <cfRule type="expression" dxfId="354" priority="317" stopIfTrue="1">
      <formula>"esterreur(reference)"</formula>
    </cfRule>
  </conditionalFormatting>
  <conditionalFormatting sqref="M311">
    <cfRule type="expression" dxfId="353" priority="344" stopIfTrue="1">
      <formula>"esterreur(reference)"</formula>
    </cfRule>
  </conditionalFormatting>
  <conditionalFormatting sqref="R311">
    <cfRule type="expression" dxfId="352" priority="345" stopIfTrue="1">
      <formula>"esterreur(reference)"</formula>
    </cfRule>
  </conditionalFormatting>
  <conditionalFormatting sqref="AG408:AI413 AH490:AI490 AH465:AI467 AH452:AI459 AH432:AI447 AH460:AH461 AI491:AI493 AH419:AI423 AH427:AI430 AI424:AI426">
    <cfRule type="cellIs" dxfId="351" priority="346" operator="greaterThan">
      <formula>0</formula>
    </cfRule>
  </conditionalFormatting>
  <conditionalFormatting sqref="AH468:AI475 AH479:AI479">
    <cfRule type="cellIs" dxfId="350" priority="347" operator="lessThan">
      <formula>0</formula>
    </cfRule>
  </conditionalFormatting>
  <conditionalFormatting sqref="AH491:AH493">
    <cfRule type="cellIs" dxfId="349" priority="348" operator="greaterThan">
      <formula>0</formula>
    </cfRule>
  </conditionalFormatting>
  <conditionalFormatting sqref="J281:K283">
    <cfRule type="expression" dxfId="348" priority="349" stopIfTrue="1">
      <formula>"esterreur(reference)"</formula>
    </cfRule>
  </conditionalFormatting>
  <conditionalFormatting sqref="K356 J356:J357 H356:I356 L355:L356 H358:L358">
    <cfRule type="expression" dxfId="347" priority="350" stopIfTrue="1">
      <formula>"esterreur(reference)"</formula>
    </cfRule>
  </conditionalFormatting>
  <conditionalFormatting sqref="H396">
    <cfRule type="expression" dxfId="346" priority="351" stopIfTrue="1">
      <formula>"esterreur(reference)"</formula>
    </cfRule>
  </conditionalFormatting>
  <conditionalFormatting sqref="I376:L376 H377:H392 J377:K392">
    <cfRule type="expression" dxfId="345" priority="352" stopIfTrue="1">
      <formula>"esterreur(reference)"</formula>
    </cfRule>
  </conditionalFormatting>
  <conditionalFormatting sqref="H397:L398 I396:L396 H395:L395 H393:H394 J393:K393">
    <cfRule type="expression" dxfId="344" priority="353" stopIfTrue="1">
      <formula>"esterreur(reference)"</formula>
    </cfRule>
  </conditionalFormatting>
  <conditionalFormatting sqref="H360:L362 H359 K359">
    <cfRule type="expression" dxfId="343" priority="354" stopIfTrue="1">
      <formula>"esterreur(reference)"</formula>
    </cfRule>
  </conditionalFormatting>
  <conditionalFormatting sqref="K394">
    <cfRule type="expression" dxfId="342" priority="355" stopIfTrue="1">
      <formula>"esterreur(reference)"</formula>
    </cfRule>
  </conditionalFormatting>
  <conditionalFormatting sqref="H316:L316">
    <cfRule type="expression" dxfId="341" priority="356" stopIfTrue="1">
      <formula>"esterreur(reference)"</formula>
    </cfRule>
  </conditionalFormatting>
  <conditionalFormatting sqref="H196:L196">
    <cfRule type="expression" dxfId="340" priority="357" stopIfTrue="1">
      <formula>"esterreur(reference)"</formula>
    </cfRule>
  </conditionalFormatting>
  <conditionalFormatting sqref="J55:K56 J71:K71">
    <cfRule type="expression" dxfId="339" priority="358" stopIfTrue="1">
      <formula>"esterreur(reference)"</formula>
    </cfRule>
  </conditionalFormatting>
  <conditionalFormatting sqref="J61:K70">
    <cfRule type="expression" dxfId="338" priority="359" stopIfTrue="1">
      <formula>"esterreur(reference)"</formula>
    </cfRule>
  </conditionalFormatting>
  <conditionalFormatting sqref="J57:K59">
    <cfRule type="expression" dxfId="337" priority="360" stopIfTrue="1">
      <formula>"esterreur(reference)"</formula>
    </cfRule>
  </conditionalFormatting>
  <conditionalFormatting sqref="J60:K60">
    <cfRule type="expression" dxfId="336" priority="361" stopIfTrue="1">
      <formula>"esterreur(reference)"</formula>
    </cfRule>
  </conditionalFormatting>
  <conditionalFormatting sqref="L19 L21:L23">
    <cfRule type="expression" dxfId="335" priority="335" stopIfTrue="1">
      <formula>"esterreur(reference)"</formula>
    </cfRule>
  </conditionalFormatting>
  <conditionalFormatting sqref="K98">
    <cfRule type="expression" dxfId="334" priority="362" stopIfTrue="1">
      <formula>"esterreur(reference)"</formula>
    </cfRule>
  </conditionalFormatting>
  <conditionalFormatting sqref="L331:L347">
    <cfRule type="expression" dxfId="333" priority="231" stopIfTrue="1">
      <formula>"esterreur(reference)"</formula>
    </cfRule>
  </conditionalFormatting>
  <conditionalFormatting sqref="L16:L17">
    <cfRule type="expression" dxfId="332" priority="336" stopIfTrue="1">
      <formula>"esterreur(reference)"</formula>
    </cfRule>
  </conditionalFormatting>
  <conditionalFormatting sqref="L20">
    <cfRule type="expression" dxfId="331" priority="334" stopIfTrue="1">
      <formula>"esterreur(reference)"</formula>
    </cfRule>
  </conditionalFormatting>
  <conditionalFormatting sqref="L325">
    <cfRule type="expression" dxfId="330" priority="235" stopIfTrue="1">
      <formula>"esterreur(reference)"</formula>
    </cfRule>
  </conditionalFormatting>
  <conditionalFormatting sqref="L326">
    <cfRule type="expression" dxfId="329" priority="234" stopIfTrue="1">
      <formula>"esterreur(reference)"</formula>
    </cfRule>
  </conditionalFormatting>
  <conditionalFormatting sqref="L327">
    <cfRule type="expression" dxfId="328" priority="233" stopIfTrue="1">
      <formula>"esterreur(reference)"</formula>
    </cfRule>
  </conditionalFormatting>
  <conditionalFormatting sqref="L328">
    <cfRule type="expression" dxfId="327" priority="232" stopIfTrue="1">
      <formula>"esterreur(reference)"</formula>
    </cfRule>
  </conditionalFormatting>
  <conditionalFormatting sqref="L42">
    <cfRule type="expression" dxfId="326" priority="333" stopIfTrue="1">
      <formula>"esterreur(reference)"</formula>
    </cfRule>
  </conditionalFormatting>
  <conditionalFormatting sqref="L43">
    <cfRule type="expression" dxfId="325" priority="332" stopIfTrue="1">
      <formula>"esterreur(reference)"</formula>
    </cfRule>
  </conditionalFormatting>
  <conditionalFormatting sqref="L44">
    <cfRule type="expression" dxfId="324" priority="331" stopIfTrue="1">
      <formula>"esterreur(reference)"</formula>
    </cfRule>
  </conditionalFormatting>
  <conditionalFormatting sqref="L45:L48">
    <cfRule type="expression" dxfId="323" priority="330" stopIfTrue="1">
      <formula>"esterreur(reference)"</formula>
    </cfRule>
  </conditionalFormatting>
  <conditionalFormatting sqref="L55">
    <cfRule type="expression" dxfId="322" priority="329" stopIfTrue="1">
      <formula>"esterreur(reference)"</formula>
    </cfRule>
  </conditionalFormatting>
  <conditionalFormatting sqref="L56">
    <cfRule type="expression" dxfId="321" priority="328" stopIfTrue="1">
      <formula>"esterreur(reference)"</formula>
    </cfRule>
  </conditionalFormatting>
  <conditionalFormatting sqref="L271">
    <cfRule type="expression" dxfId="320" priority="246" stopIfTrue="1">
      <formula>"esterreur(reference)"</formula>
    </cfRule>
  </conditionalFormatting>
  <conditionalFormatting sqref="L58">
    <cfRule type="expression" dxfId="319" priority="327" stopIfTrue="1">
      <formula>"esterreur(reference)"</formula>
    </cfRule>
  </conditionalFormatting>
  <conditionalFormatting sqref="L61">
    <cfRule type="expression" dxfId="318" priority="326" stopIfTrue="1">
      <formula>"esterreur(reference)"</formula>
    </cfRule>
  </conditionalFormatting>
  <conditionalFormatting sqref="L274">
    <cfRule type="expression" dxfId="317" priority="244" stopIfTrue="1">
      <formula>"esterreur(reference)"</formula>
    </cfRule>
  </conditionalFormatting>
  <conditionalFormatting sqref="L63">
    <cfRule type="expression" dxfId="316" priority="325" stopIfTrue="1">
      <formula>"esterreur(reference)"</formula>
    </cfRule>
  </conditionalFormatting>
  <conditionalFormatting sqref="L62">
    <cfRule type="expression" dxfId="315" priority="324" stopIfTrue="1">
      <formula>"esterreur(reference)"</formula>
    </cfRule>
  </conditionalFormatting>
  <conditionalFormatting sqref="L64">
    <cfRule type="expression" dxfId="314" priority="323" stopIfTrue="1">
      <formula>"esterreur(reference)"</formula>
    </cfRule>
  </conditionalFormatting>
  <conditionalFormatting sqref="L65">
    <cfRule type="expression" dxfId="313" priority="322" stopIfTrue="1">
      <formula>"esterreur(reference)"</formula>
    </cfRule>
  </conditionalFormatting>
  <conditionalFormatting sqref="L69 L66:L67">
    <cfRule type="expression" dxfId="312" priority="321" stopIfTrue="1">
      <formula>"esterreur(reference)"</formula>
    </cfRule>
  </conditionalFormatting>
  <conditionalFormatting sqref="L70">
    <cfRule type="expression" dxfId="311" priority="320" stopIfTrue="1">
      <formula>"esterreur(reference)"</formula>
    </cfRule>
  </conditionalFormatting>
  <conditionalFormatting sqref="L76:L77">
    <cfRule type="expression" dxfId="310" priority="319" stopIfTrue="1">
      <formula>"esterreur(reference)"</formula>
    </cfRule>
  </conditionalFormatting>
  <conditionalFormatting sqref="L78:L81">
    <cfRule type="expression" dxfId="309" priority="318" stopIfTrue="1">
      <formula>"esterreur(reference)"</formula>
    </cfRule>
  </conditionalFormatting>
  <conditionalFormatting sqref="L57">
    <cfRule type="expression" dxfId="308" priority="316" stopIfTrue="1">
      <formula>"esterreur(reference)"</formula>
    </cfRule>
  </conditionalFormatting>
  <conditionalFormatting sqref="L94:L95">
    <cfRule type="expression" dxfId="307" priority="315" stopIfTrue="1">
      <formula>"esterreur(reference)"</formula>
    </cfRule>
  </conditionalFormatting>
  <conditionalFormatting sqref="L98">
    <cfRule type="expression" dxfId="306" priority="314" stopIfTrue="1">
      <formula>"esterreur(reference)"</formula>
    </cfRule>
  </conditionalFormatting>
  <conditionalFormatting sqref="L99">
    <cfRule type="expression" dxfId="305" priority="313" stopIfTrue="1">
      <formula>"esterreur(reference)"</formula>
    </cfRule>
  </conditionalFormatting>
  <conditionalFormatting sqref="L101">
    <cfRule type="expression" dxfId="304" priority="312" stopIfTrue="1">
      <formula>"esterreur(reference)"</formula>
    </cfRule>
  </conditionalFormatting>
  <conditionalFormatting sqref="L102">
    <cfRule type="expression" dxfId="303" priority="311" stopIfTrue="1">
      <formula>"esterreur(reference)"</formula>
    </cfRule>
  </conditionalFormatting>
  <conditionalFormatting sqref="L103">
    <cfRule type="expression" dxfId="302" priority="310" stopIfTrue="1">
      <formula>"esterreur(reference)"</formula>
    </cfRule>
  </conditionalFormatting>
  <conditionalFormatting sqref="L111">
    <cfRule type="expression" dxfId="301" priority="309" stopIfTrue="1">
      <formula>"esterreur(reference)"</formula>
    </cfRule>
  </conditionalFormatting>
  <conditionalFormatting sqref="L112">
    <cfRule type="expression" dxfId="300" priority="308" stopIfTrue="1">
      <formula>"esterreur(reference)"</formula>
    </cfRule>
  </conditionalFormatting>
  <conditionalFormatting sqref="L207">
    <cfRule type="expression" dxfId="299" priority="269" stopIfTrue="1">
      <formula>"esterreur(reference)"</formula>
    </cfRule>
  </conditionalFormatting>
  <conditionalFormatting sqref="L114">
    <cfRule type="expression" dxfId="298" priority="307" stopIfTrue="1">
      <formula>"esterreur(reference)"</formula>
    </cfRule>
  </conditionalFormatting>
  <conditionalFormatting sqref="L227">
    <cfRule type="expression" dxfId="297" priority="265" stopIfTrue="1">
      <formula>"esterreur(reference)"</formula>
    </cfRule>
  </conditionalFormatting>
  <conditionalFormatting sqref="L116:L119">
    <cfRule type="expression" dxfId="296" priority="306" stopIfTrue="1">
      <formula>"esterreur(reference)"</formula>
    </cfRule>
  </conditionalFormatting>
  <conditionalFormatting sqref="L120">
    <cfRule type="expression" dxfId="295" priority="305" stopIfTrue="1">
      <formula>"esterreur(reference)"</formula>
    </cfRule>
  </conditionalFormatting>
  <conditionalFormatting sqref="L130">
    <cfRule type="expression" dxfId="294" priority="302" stopIfTrue="1">
      <formula>"esterreur(reference)"</formula>
    </cfRule>
  </conditionalFormatting>
  <conditionalFormatting sqref="L124">
    <cfRule type="expression" dxfId="293" priority="304" stopIfTrue="1">
      <formula>"esterreur(reference)"</formula>
    </cfRule>
  </conditionalFormatting>
  <conditionalFormatting sqref="L123">
    <cfRule type="expression" dxfId="292" priority="303" stopIfTrue="1">
      <formula>"esterreur(reference)"</formula>
    </cfRule>
  </conditionalFormatting>
  <conditionalFormatting sqref="L138">
    <cfRule type="expression" dxfId="291" priority="296" stopIfTrue="1">
      <formula>"esterreur(reference)"</formula>
    </cfRule>
  </conditionalFormatting>
  <conditionalFormatting sqref="L131">
    <cfRule type="expression" dxfId="290" priority="301" stopIfTrue="1">
      <formula>"esterreur(reference)"</formula>
    </cfRule>
  </conditionalFormatting>
  <conditionalFormatting sqref="L132">
    <cfRule type="expression" dxfId="289" priority="300" stopIfTrue="1">
      <formula>"esterreur(reference)"</formula>
    </cfRule>
  </conditionalFormatting>
  <conditionalFormatting sqref="L133">
    <cfRule type="expression" dxfId="288" priority="299" stopIfTrue="1">
      <formula>"esterreur(reference)"</formula>
    </cfRule>
  </conditionalFormatting>
  <conditionalFormatting sqref="L139">
    <cfRule type="expression" dxfId="287" priority="295" stopIfTrue="1">
      <formula>"esterreur(reference)"</formula>
    </cfRule>
  </conditionalFormatting>
  <conditionalFormatting sqref="L136">
    <cfRule type="expression" dxfId="286" priority="298" stopIfTrue="1">
      <formula>"esterreur(reference)"</formula>
    </cfRule>
  </conditionalFormatting>
  <conditionalFormatting sqref="L137">
    <cfRule type="expression" dxfId="285" priority="297" stopIfTrue="1">
      <formula>"esterreur(reference)"</formula>
    </cfRule>
  </conditionalFormatting>
  <conditionalFormatting sqref="L140">
    <cfRule type="expression" dxfId="284" priority="294" stopIfTrue="1">
      <formula>"esterreur(reference)"</formula>
    </cfRule>
  </conditionalFormatting>
  <conditionalFormatting sqref="L141">
    <cfRule type="expression" dxfId="283" priority="293" stopIfTrue="1">
      <formula>"esterreur(reference)"</formula>
    </cfRule>
  </conditionalFormatting>
  <conditionalFormatting sqref="L142">
    <cfRule type="expression" dxfId="282" priority="292" stopIfTrue="1">
      <formula>"esterreur(reference)"</formula>
    </cfRule>
  </conditionalFormatting>
  <conditionalFormatting sqref="L143">
    <cfRule type="expression" dxfId="281" priority="291" stopIfTrue="1">
      <formula>"esterreur(reference)"</formula>
    </cfRule>
  </conditionalFormatting>
  <conditionalFormatting sqref="L144">
    <cfRule type="expression" dxfId="280" priority="290" stopIfTrue="1">
      <formula>"esterreur(reference)"</formula>
    </cfRule>
  </conditionalFormatting>
  <conditionalFormatting sqref="L145">
    <cfRule type="expression" dxfId="279" priority="289" stopIfTrue="1">
      <formula>"esterreur(reference)"</formula>
    </cfRule>
  </conditionalFormatting>
  <conditionalFormatting sqref="L146">
    <cfRule type="expression" dxfId="278" priority="288" stopIfTrue="1">
      <formula>"esterreur(reference)"</formula>
    </cfRule>
  </conditionalFormatting>
  <conditionalFormatting sqref="L147">
    <cfRule type="expression" dxfId="277" priority="287" stopIfTrue="1">
      <formula>"esterreur(reference)"</formula>
    </cfRule>
  </conditionalFormatting>
  <conditionalFormatting sqref="L155">
    <cfRule type="expression" dxfId="276" priority="286" stopIfTrue="1">
      <formula>"esterreur(reference)"</formula>
    </cfRule>
  </conditionalFormatting>
  <conditionalFormatting sqref="L157">
    <cfRule type="expression" dxfId="275" priority="284" stopIfTrue="1">
      <formula>"esterreur(reference)"</formula>
    </cfRule>
  </conditionalFormatting>
  <conditionalFormatting sqref="L156">
    <cfRule type="expression" dxfId="274" priority="285" stopIfTrue="1">
      <formula>"esterreur(reference)"</formula>
    </cfRule>
  </conditionalFormatting>
  <conditionalFormatting sqref="L115">
    <cfRule type="expression" dxfId="273" priority="283" stopIfTrue="1">
      <formula>"esterreur(reference)"</formula>
    </cfRule>
  </conditionalFormatting>
  <conditionalFormatting sqref="L113">
    <cfRule type="expression" dxfId="272" priority="282" stopIfTrue="1">
      <formula>"esterreur(reference)"</formula>
    </cfRule>
  </conditionalFormatting>
  <conditionalFormatting sqref="L171">
    <cfRule type="expression" dxfId="271" priority="281" stopIfTrue="1">
      <formula>"esterreur(reference)"</formula>
    </cfRule>
  </conditionalFormatting>
  <conditionalFormatting sqref="L174">
    <cfRule type="expression" dxfId="270" priority="280" stopIfTrue="1">
      <formula>"esterreur(reference)"</formula>
    </cfRule>
  </conditionalFormatting>
  <conditionalFormatting sqref="L177">
    <cfRule type="expression" dxfId="269" priority="279" stopIfTrue="1">
      <formula>"esterreur(reference)"</formula>
    </cfRule>
  </conditionalFormatting>
  <conditionalFormatting sqref="L187">
    <cfRule type="expression" dxfId="268" priority="278" stopIfTrue="1">
      <formula>"esterreur(reference)"</formula>
    </cfRule>
  </conditionalFormatting>
  <conditionalFormatting sqref="L197">
    <cfRule type="expression" dxfId="267" priority="277" stopIfTrue="1">
      <formula>"esterreur(reference)"</formula>
    </cfRule>
  </conditionalFormatting>
  <conditionalFormatting sqref="L199">
    <cfRule type="expression" dxfId="266" priority="276" stopIfTrue="1">
      <formula>"esterreur(reference)"</formula>
    </cfRule>
  </conditionalFormatting>
  <conditionalFormatting sqref="L198">
    <cfRule type="expression" dxfId="265" priority="275" stopIfTrue="1">
      <formula>"esterreur(reference)"</formula>
    </cfRule>
  </conditionalFormatting>
  <conditionalFormatting sqref="L200">
    <cfRule type="expression" dxfId="264" priority="274" stopIfTrue="1">
      <formula>"esterreur(reference)"</formula>
    </cfRule>
  </conditionalFormatting>
  <conditionalFormatting sqref="L201">
    <cfRule type="expression" dxfId="263" priority="273" stopIfTrue="1">
      <formula>"esterreur(reference)"</formula>
    </cfRule>
  </conditionalFormatting>
  <conditionalFormatting sqref="L202:L204">
    <cfRule type="expression" dxfId="262" priority="272" stopIfTrue="1">
      <formula>"esterreur(reference)"</formula>
    </cfRule>
  </conditionalFormatting>
  <conditionalFormatting sqref="L206">
    <cfRule type="expression" dxfId="261" priority="270" stopIfTrue="1">
      <formula>"esterreur(reference)"</formula>
    </cfRule>
  </conditionalFormatting>
  <conditionalFormatting sqref="L205">
    <cfRule type="expression" dxfId="260" priority="271" stopIfTrue="1">
      <formula>"esterreur(reference)"</formula>
    </cfRule>
  </conditionalFormatting>
  <conditionalFormatting sqref="L208">
    <cfRule type="expression" dxfId="259" priority="268" stopIfTrue="1">
      <formula>"esterreur(reference)"</formula>
    </cfRule>
  </conditionalFormatting>
  <conditionalFormatting sqref="L211:L224">
    <cfRule type="expression" dxfId="258" priority="267" stopIfTrue="1">
      <formula>"esterreur(reference)"</formula>
    </cfRule>
  </conditionalFormatting>
  <conditionalFormatting sqref="L225:L226">
    <cfRule type="expression" dxfId="257" priority="266" stopIfTrue="1">
      <formula>"esterreur(reference)"</formula>
    </cfRule>
  </conditionalFormatting>
  <conditionalFormatting sqref="L180">
    <cfRule type="expression" dxfId="256" priority="264" stopIfTrue="1">
      <formula>"esterreur(reference)"</formula>
    </cfRule>
  </conditionalFormatting>
  <conditionalFormatting sqref="L243">
    <cfRule type="expression" dxfId="255" priority="263" stopIfTrue="1">
      <formula>"esterreur(reference)"</formula>
    </cfRule>
  </conditionalFormatting>
  <conditionalFormatting sqref="L246">
    <cfRule type="expression" dxfId="254" priority="262" stopIfTrue="1">
      <formula>"esterreur(reference)"</formula>
    </cfRule>
  </conditionalFormatting>
  <conditionalFormatting sqref="L253">
    <cfRule type="expression" dxfId="253" priority="261" stopIfTrue="1">
      <formula>"esterreur(reference)"</formula>
    </cfRule>
  </conditionalFormatting>
  <conditionalFormatting sqref="L254">
    <cfRule type="expression" dxfId="252" priority="260" stopIfTrue="1">
      <formula>"esterreur(reference)"</formula>
    </cfRule>
  </conditionalFormatting>
  <conditionalFormatting sqref="L255">
    <cfRule type="expression" dxfId="251" priority="259" stopIfTrue="1">
      <formula>"esterreur(reference)"</formula>
    </cfRule>
  </conditionalFormatting>
  <conditionalFormatting sqref="L256">
    <cfRule type="expression" dxfId="250" priority="258" stopIfTrue="1">
      <formula>"esterreur(reference)"</formula>
    </cfRule>
  </conditionalFormatting>
  <conditionalFormatting sqref="L257">
    <cfRule type="expression" dxfId="249" priority="257" stopIfTrue="1">
      <formula>"esterreur(reference)"</formula>
    </cfRule>
  </conditionalFormatting>
  <conditionalFormatting sqref="L258">
    <cfRule type="expression" dxfId="248" priority="256" stopIfTrue="1">
      <formula>"esterreur(reference)"</formula>
    </cfRule>
  </conditionalFormatting>
  <conditionalFormatting sqref="L259">
    <cfRule type="expression" dxfId="247" priority="255" stopIfTrue="1">
      <formula>"esterreur(reference)"</formula>
    </cfRule>
  </conditionalFormatting>
  <conditionalFormatting sqref="L260">
    <cfRule type="expression" dxfId="246" priority="254" stopIfTrue="1">
      <formula>"esterreur(reference)"</formula>
    </cfRule>
  </conditionalFormatting>
  <conditionalFormatting sqref="L261">
    <cfRule type="expression" dxfId="245" priority="253" stopIfTrue="1">
      <formula>"esterreur(reference)"</formula>
    </cfRule>
  </conditionalFormatting>
  <conditionalFormatting sqref="L262">
    <cfRule type="expression" dxfId="244" priority="252" stopIfTrue="1">
      <formula>"esterreur(reference)"</formula>
    </cfRule>
  </conditionalFormatting>
  <conditionalFormatting sqref="L263:L264">
    <cfRule type="expression" dxfId="243" priority="251" stopIfTrue="1">
      <formula>"esterreur(reference)"</formula>
    </cfRule>
  </conditionalFormatting>
  <conditionalFormatting sqref="L268">
    <cfRule type="expression" dxfId="242" priority="249" stopIfTrue="1">
      <formula>"esterreur(reference)"</formula>
    </cfRule>
  </conditionalFormatting>
  <conditionalFormatting sqref="L267">
    <cfRule type="expression" dxfId="241" priority="250" stopIfTrue="1">
      <formula>"esterreur(reference)"</formula>
    </cfRule>
  </conditionalFormatting>
  <conditionalFormatting sqref="L269">
    <cfRule type="expression" dxfId="240" priority="248" stopIfTrue="1">
      <formula>"esterreur(reference)"</formula>
    </cfRule>
  </conditionalFormatting>
  <conditionalFormatting sqref="L270">
    <cfRule type="expression" dxfId="239" priority="247" stopIfTrue="1">
      <formula>"esterreur(reference)"</formula>
    </cfRule>
  </conditionalFormatting>
  <conditionalFormatting sqref="L272:L273">
    <cfRule type="expression" dxfId="238" priority="245" stopIfTrue="1">
      <formula>"esterreur(reference)"</formula>
    </cfRule>
  </conditionalFormatting>
  <conditionalFormatting sqref="L294:L300">
    <cfRule type="expression" dxfId="237" priority="243" stopIfTrue="1">
      <formula>"esterreur(reference)"</formula>
    </cfRule>
  </conditionalFormatting>
  <conditionalFormatting sqref="L301">
    <cfRule type="expression" dxfId="236" priority="242" stopIfTrue="1">
      <formula>"esterreur(reference)"</formula>
    </cfRule>
  </conditionalFormatting>
  <conditionalFormatting sqref="L302">
    <cfRule type="expression" dxfId="235" priority="241" stopIfTrue="1">
      <formula>"esterreur(reference)"</formula>
    </cfRule>
  </conditionalFormatting>
  <conditionalFormatting sqref="L306">
    <cfRule type="expression" dxfId="234" priority="240" stopIfTrue="1">
      <formula>"esterreur(reference)"</formula>
    </cfRule>
  </conditionalFormatting>
  <conditionalFormatting sqref="L307">
    <cfRule type="expression" dxfId="233" priority="239" stopIfTrue="1">
      <formula>"esterreur(reference)"</formula>
    </cfRule>
  </conditionalFormatting>
  <conditionalFormatting sqref="L311">
    <cfRule type="expression" dxfId="232" priority="238" stopIfTrue="1">
      <formula>"esterreur(reference)"</formula>
    </cfRule>
  </conditionalFormatting>
  <conditionalFormatting sqref="L317">
    <cfRule type="expression" dxfId="231" priority="237" stopIfTrue="1">
      <formula>"esterreur(reference)"</formula>
    </cfRule>
  </conditionalFormatting>
  <conditionalFormatting sqref="L318">
    <cfRule type="expression" dxfId="230" priority="236" stopIfTrue="1">
      <formula>"esterreur(reference)"</formula>
    </cfRule>
  </conditionalFormatting>
  <conditionalFormatting sqref="K5">
    <cfRule type="expression" dxfId="229" priority="230" stopIfTrue="1">
      <formula>"esterreur(reference)"</formula>
    </cfRule>
  </conditionalFormatting>
  <conditionalFormatting sqref="L5">
    <cfRule type="expression" dxfId="228" priority="229" stopIfTrue="1">
      <formula>"esterreur(reference)"</formula>
    </cfRule>
  </conditionalFormatting>
  <conditionalFormatting sqref="K182">
    <cfRule type="expression" dxfId="227" priority="228" stopIfTrue="1">
      <formula>"esterreur(reference)"</formula>
    </cfRule>
  </conditionalFormatting>
  <conditionalFormatting sqref="L93">
    <cfRule type="expression" dxfId="226" priority="227" stopIfTrue="1">
      <formula>"esterreur(reference)"</formula>
    </cfRule>
  </conditionalFormatting>
  <conditionalFormatting sqref="K171">
    <cfRule type="expression" dxfId="225" priority="226" stopIfTrue="1">
      <formula>"esterreur(reference)"</formula>
    </cfRule>
  </conditionalFormatting>
  <conditionalFormatting sqref="K174">
    <cfRule type="expression" dxfId="224" priority="225" stopIfTrue="1">
      <formula>"esterreur(reference)"</formula>
    </cfRule>
  </conditionalFormatting>
  <conditionalFormatting sqref="K177">
    <cfRule type="expression" dxfId="223" priority="224" stopIfTrue="1">
      <formula>"esterreur(reference)"</formula>
    </cfRule>
  </conditionalFormatting>
  <conditionalFormatting sqref="K180">
    <cfRule type="expression" dxfId="222" priority="223" stopIfTrue="1">
      <formula>"esterreur(reference)"</formula>
    </cfRule>
  </conditionalFormatting>
  <conditionalFormatting sqref="K240">
    <cfRule type="expression" dxfId="221" priority="222" stopIfTrue="1">
      <formula>"esterreur(reference)"</formula>
    </cfRule>
  </conditionalFormatting>
  <conditionalFormatting sqref="K243">
    <cfRule type="expression" dxfId="220" priority="221" stopIfTrue="1">
      <formula>"esterreur(reference)"</formula>
    </cfRule>
  </conditionalFormatting>
  <conditionalFormatting sqref="K246">
    <cfRule type="expression" dxfId="219" priority="220" stopIfTrue="1">
      <formula>"esterreur(reference)"</formula>
    </cfRule>
  </conditionalFormatting>
  <conditionalFormatting sqref="J306:J307">
    <cfRule type="expression" dxfId="218" priority="219" stopIfTrue="1">
      <formula>"esterreur(reference)"</formula>
    </cfRule>
  </conditionalFormatting>
  <conditionalFormatting sqref="K187">
    <cfRule type="expression" dxfId="217" priority="218" stopIfTrue="1">
      <formula>"esterreur(reference)"</formula>
    </cfRule>
  </conditionalFormatting>
  <conditionalFormatting sqref="K190">
    <cfRule type="expression" dxfId="216" priority="217" stopIfTrue="1">
      <formula>"esterreur(reference)"</formula>
    </cfRule>
  </conditionalFormatting>
  <conditionalFormatting sqref="J311">
    <cfRule type="expression" dxfId="215" priority="216" stopIfTrue="1">
      <formula>"esterreur(reference)"</formula>
    </cfRule>
  </conditionalFormatting>
  <conditionalFormatting sqref="L364:L375">
    <cfRule type="expression" dxfId="214" priority="215" stopIfTrue="1">
      <formula>"esterreur(reference)"</formula>
    </cfRule>
  </conditionalFormatting>
  <conditionalFormatting sqref="L377:L393">
    <cfRule type="expression" dxfId="213" priority="214" stopIfTrue="1">
      <formula>"esterreur(reference)"</formula>
    </cfRule>
  </conditionalFormatting>
  <conditionalFormatting sqref="K93">
    <cfRule type="expression" dxfId="212" priority="213" stopIfTrue="1">
      <formula>"esterreur(reference)"</formula>
    </cfRule>
  </conditionalFormatting>
  <conditionalFormatting sqref="L240">
    <cfRule type="expression" dxfId="211" priority="212" stopIfTrue="1">
      <formula>"esterreur(reference)"</formula>
    </cfRule>
  </conditionalFormatting>
  <conditionalFormatting sqref="K239">
    <cfRule type="expression" dxfId="210" priority="211" stopIfTrue="1">
      <formula>"esterreur(reference)"</formula>
    </cfRule>
  </conditionalFormatting>
  <conditionalFormatting sqref="L239">
    <cfRule type="expression" dxfId="209" priority="210" stopIfTrue="1">
      <formula>"esterreur(reference)"</formula>
    </cfRule>
  </conditionalFormatting>
  <conditionalFormatting sqref="F183">
    <cfRule type="expression" dxfId="208" priority="209" stopIfTrue="1">
      <formula>"esterreur(reference)"</formula>
    </cfRule>
  </conditionalFormatting>
  <conditionalFormatting sqref="J359">
    <cfRule type="expression" dxfId="207" priority="208" stopIfTrue="1">
      <formula>"esterreur(reference)"</formula>
    </cfRule>
  </conditionalFormatting>
  <conditionalFormatting sqref="L359">
    <cfRule type="expression" dxfId="206" priority="207" stopIfTrue="1">
      <formula>"esterreur(reference)"</formula>
    </cfRule>
  </conditionalFormatting>
  <conditionalFormatting sqref="S185">
    <cfRule type="expression" dxfId="205" priority="206" stopIfTrue="1">
      <formula>"esterreur(reference)"</formula>
    </cfRule>
  </conditionalFormatting>
  <conditionalFormatting sqref="K286">
    <cfRule type="expression" dxfId="204" priority="205" stopIfTrue="1">
      <formula>"esterreur(reference)"</formula>
    </cfRule>
  </conditionalFormatting>
  <conditionalFormatting sqref="AO408:AO413">
    <cfRule type="cellIs" dxfId="203" priority="204" operator="greaterThan">
      <formula>0</formula>
    </cfRule>
  </conditionalFormatting>
  <conditionalFormatting sqref="L71">
    <cfRule type="expression" dxfId="202" priority="203" stopIfTrue="1">
      <formula>"esterreur(reference)"</formula>
    </cfRule>
  </conditionalFormatting>
  <conditionalFormatting sqref="L210">
    <cfRule type="expression" dxfId="201" priority="200" stopIfTrue="1">
      <formula>"esterreur(reference)"</formula>
    </cfRule>
  </conditionalFormatting>
  <conditionalFormatting sqref="L122">
    <cfRule type="expression" dxfId="200" priority="202" stopIfTrue="1">
      <formula>"esterreur(reference)"</formula>
    </cfRule>
  </conditionalFormatting>
  <conditionalFormatting sqref="L266">
    <cfRule type="expression" dxfId="199" priority="199" stopIfTrue="1">
      <formula>"esterreur(reference)"</formula>
    </cfRule>
  </conditionalFormatting>
  <conditionalFormatting sqref="L135">
    <cfRule type="expression" dxfId="198" priority="201" stopIfTrue="1">
      <formula>"esterreur(reference)"</formula>
    </cfRule>
  </conditionalFormatting>
  <conditionalFormatting sqref="L330">
    <cfRule type="expression" dxfId="197" priority="198" stopIfTrue="1">
      <formula>"esterreur(reference)"</formula>
    </cfRule>
  </conditionalFormatting>
  <conditionalFormatting sqref="L75">
    <cfRule type="expression" dxfId="196" priority="197" stopIfTrue="1">
      <formula>"esterreur(reference)"</formula>
    </cfRule>
  </conditionalFormatting>
  <conditionalFormatting sqref="L60">
    <cfRule type="expression" dxfId="195" priority="195" stopIfTrue="1">
      <formula>"esterreur(reference)"</formula>
    </cfRule>
  </conditionalFormatting>
  <conditionalFormatting sqref="L59">
    <cfRule type="expression" dxfId="194" priority="196" stopIfTrue="1">
      <formula>"esterreur(reference)"</formula>
    </cfRule>
  </conditionalFormatting>
  <conditionalFormatting sqref="O25:Q30 Q18 O83:Q85 O41:Q41 O72:Q72 Q24 O13:O14 O16 O18:O24 O49:Q54 Q6:Q14 O31:P40 O42:P48">
    <cfRule type="expression" dxfId="193" priority="190" stopIfTrue="1">
      <formula>"esterreur(reference)"</formula>
    </cfRule>
  </conditionalFormatting>
  <conditionalFormatting sqref="P5">
    <cfRule type="expression" dxfId="192" priority="167" stopIfTrue="1">
      <formula>"esterreur(reference)"</formula>
    </cfRule>
  </conditionalFormatting>
  <conditionalFormatting sqref="Q32">
    <cfRule type="expression" dxfId="191" priority="185" stopIfTrue="1">
      <formula>"esterreur(reference)"</formula>
    </cfRule>
  </conditionalFormatting>
  <conditionalFormatting sqref="Q35">
    <cfRule type="expression" dxfId="190" priority="184" stopIfTrue="1">
      <formula>"esterreur(reference)"</formula>
    </cfRule>
  </conditionalFormatting>
  <conditionalFormatting sqref="O55:P56 O71:P71">
    <cfRule type="expression" dxfId="189" priority="191" stopIfTrue="1">
      <formula>"esterreur(reference)"</formula>
    </cfRule>
  </conditionalFormatting>
  <conditionalFormatting sqref="O61:P70">
    <cfRule type="expression" dxfId="188" priority="192" stopIfTrue="1">
      <formula>"esterreur(reference)"</formula>
    </cfRule>
  </conditionalFormatting>
  <conditionalFormatting sqref="O57:P59">
    <cfRule type="expression" dxfId="187" priority="193" stopIfTrue="1">
      <formula>"esterreur(reference)"</formula>
    </cfRule>
  </conditionalFormatting>
  <conditionalFormatting sqref="O60:P60">
    <cfRule type="expression" dxfId="186" priority="194" stopIfTrue="1">
      <formula>"esterreur(reference)"</formula>
    </cfRule>
  </conditionalFormatting>
  <conditionalFormatting sqref="Q19 Q21:Q23">
    <cfRule type="expression" dxfId="185" priority="188" stopIfTrue="1">
      <formula>"esterreur(reference)"</formula>
    </cfRule>
  </conditionalFormatting>
  <conditionalFormatting sqref="Q16:Q17">
    <cfRule type="expression" dxfId="184" priority="189" stopIfTrue="1">
      <formula>"esterreur(reference)"</formula>
    </cfRule>
  </conditionalFormatting>
  <conditionalFormatting sqref="Q20">
    <cfRule type="expression" dxfId="183" priority="187" stopIfTrue="1">
      <formula>"esterreur(reference)"</formula>
    </cfRule>
  </conditionalFormatting>
  <conditionalFormatting sqref="Q31 Q33:Q34">
    <cfRule type="expression" dxfId="182" priority="186" stopIfTrue="1">
      <formula>"esterreur(reference)"</formula>
    </cfRule>
  </conditionalFormatting>
  <conditionalFormatting sqref="Q42">
    <cfRule type="expression" dxfId="181" priority="183" stopIfTrue="1">
      <formula>"esterreur(reference)"</formula>
    </cfRule>
  </conditionalFormatting>
  <conditionalFormatting sqref="Q43">
    <cfRule type="expression" dxfId="180" priority="182" stopIfTrue="1">
      <formula>"esterreur(reference)"</formula>
    </cfRule>
  </conditionalFormatting>
  <conditionalFormatting sqref="Q44">
    <cfRule type="expression" dxfId="179" priority="181" stopIfTrue="1">
      <formula>"esterreur(reference)"</formula>
    </cfRule>
  </conditionalFormatting>
  <conditionalFormatting sqref="Q45:Q48">
    <cfRule type="expression" dxfId="178" priority="180" stopIfTrue="1">
      <formula>"esterreur(reference)"</formula>
    </cfRule>
  </conditionalFormatting>
  <conditionalFormatting sqref="Q55">
    <cfRule type="expression" dxfId="177" priority="179" stopIfTrue="1">
      <formula>"esterreur(reference)"</formula>
    </cfRule>
  </conditionalFormatting>
  <conditionalFormatting sqref="Q56">
    <cfRule type="expression" dxfId="176" priority="178" stopIfTrue="1">
      <formula>"esterreur(reference)"</formula>
    </cfRule>
  </conditionalFormatting>
  <conditionalFormatting sqref="Q58">
    <cfRule type="expression" dxfId="175" priority="177" stopIfTrue="1">
      <formula>"esterreur(reference)"</formula>
    </cfRule>
  </conditionalFormatting>
  <conditionalFormatting sqref="Q61">
    <cfRule type="expression" dxfId="174" priority="176" stopIfTrue="1">
      <formula>"esterreur(reference)"</formula>
    </cfRule>
  </conditionalFormatting>
  <conditionalFormatting sqref="Q63">
    <cfRule type="expression" dxfId="173" priority="175" stopIfTrue="1">
      <formula>"esterreur(reference)"</formula>
    </cfRule>
  </conditionalFormatting>
  <conditionalFormatting sqref="Q62">
    <cfRule type="expression" dxfId="172" priority="174" stopIfTrue="1">
      <formula>"esterreur(reference)"</formula>
    </cfRule>
  </conditionalFormatting>
  <conditionalFormatting sqref="Q64">
    <cfRule type="expression" dxfId="171" priority="173" stopIfTrue="1">
      <formula>"esterreur(reference)"</formula>
    </cfRule>
  </conditionalFormatting>
  <conditionalFormatting sqref="Q65">
    <cfRule type="expression" dxfId="170" priority="172" stopIfTrue="1">
      <formula>"esterreur(reference)"</formula>
    </cfRule>
  </conditionalFormatting>
  <conditionalFormatting sqref="Q66:Q69">
    <cfRule type="expression" dxfId="169" priority="171" stopIfTrue="1">
      <formula>"esterreur(reference)"</formula>
    </cfRule>
  </conditionalFormatting>
  <conditionalFormatting sqref="Q70">
    <cfRule type="expression" dxfId="168" priority="170" stopIfTrue="1">
      <formula>"esterreur(reference)"</formula>
    </cfRule>
  </conditionalFormatting>
  <conditionalFormatting sqref="Q75:Q82">
    <cfRule type="expression" dxfId="167" priority="169" stopIfTrue="1">
      <formula>"esterreur(reference)"</formula>
    </cfRule>
  </conditionalFormatting>
  <conditionalFormatting sqref="Q57">
    <cfRule type="expression" dxfId="166" priority="168" stopIfTrue="1">
      <formula>"esterreur(reference)"</formula>
    </cfRule>
  </conditionalFormatting>
  <conditionalFormatting sqref="Q5">
    <cfRule type="expression" dxfId="165" priority="166" stopIfTrue="1">
      <formula>"esterreur(reference)"</formula>
    </cfRule>
  </conditionalFormatting>
  <conditionalFormatting sqref="Q71">
    <cfRule type="expression" dxfId="164" priority="165" stopIfTrue="1">
      <formula>"esterreur(reference)"</formula>
    </cfRule>
  </conditionalFormatting>
  <conditionalFormatting sqref="Q60">
    <cfRule type="expression" dxfId="163" priority="163" stopIfTrue="1">
      <formula>"esterreur(reference)"</formula>
    </cfRule>
  </conditionalFormatting>
  <conditionalFormatting sqref="P98">
    <cfRule type="expression" dxfId="162" priority="162" stopIfTrue="1">
      <formula>"esterreur(reference)"</formula>
    </cfRule>
  </conditionalFormatting>
  <conditionalFormatting sqref="Q59">
    <cfRule type="expression" dxfId="161" priority="164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60" priority="158" stopIfTrue="1">
      <formula>"esterreur(reference)"</formula>
    </cfRule>
  </conditionalFormatting>
  <conditionalFormatting sqref="O141:P147">
    <cfRule type="expression" dxfId="159" priority="159" stopIfTrue="1">
      <formula>"esterreur(reference)"</formula>
    </cfRule>
  </conditionalFormatting>
  <conditionalFormatting sqref="O137:P139">
    <cfRule type="expression" dxfId="158" priority="160" stopIfTrue="1">
      <formula>"esterreur(reference)"</formula>
    </cfRule>
  </conditionalFormatting>
  <conditionalFormatting sqref="O140:P140">
    <cfRule type="expression" dxfId="157" priority="161" stopIfTrue="1">
      <formula>"esterreur(reference)"</formula>
    </cfRule>
  </conditionalFormatting>
  <conditionalFormatting sqref="Q94:Q95">
    <cfRule type="expression" dxfId="156" priority="157" stopIfTrue="1">
      <formula>"esterreur(reference)"</formula>
    </cfRule>
  </conditionalFormatting>
  <conditionalFormatting sqref="Q98">
    <cfRule type="expression" dxfId="155" priority="156" stopIfTrue="1">
      <formula>"esterreur(reference)"</formula>
    </cfRule>
  </conditionalFormatting>
  <conditionalFormatting sqref="Q99">
    <cfRule type="expression" dxfId="154" priority="155" stopIfTrue="1">
      <formula>"esterreur(reference)"</formula>
    </cfRule>
  </conditionalFormatting>
  <conditionalFormatting sqref="Q101">
    <cfRule type="expression" dxfId="153" priority="154" stopIfTrue="1">
      <formula>"esterreur(reference)"</formula>
    </cfRule>
  </conditionalFormatting>
  <conditionalFormatting sqref="Q102">
    <cfRule type="expression" dxfId="152" priority="153" stopIfTrue="1">
      <formula>"esterreur(reference)"</formula>
    </cfRule>
  </conditionalFormatting>
  <conditionalFormatting sqref="Q103">
    <cfRule type="expression" dxfId="151" priority="152" stopIfTrue="1">
      <formula>"esterreur(reference)"</formula>
    </cfRule>
  </conditionalFormatting>
  <conditionalFormatting sqref="Q111">
    <cfRule type="expression" dxfId="150" priority="151" stopIfTrue="1">
      <formula>"esterreur(reference)"</formula>
    </cfRule>
  </conditionalFormatting>
  <conditionalFormatting sqref="Q112">
    <cfRule type="expression" dxfId="149" priority="150" stopIfTrue="1">
      <formula>"esterreur(reference)"</formula>
    </cfRule>
  </conditionalFormatting>
  <conditionalFormatting sqref="Q114">
    <cfRule type="expression" dxfId="148" priority="149" stopIfTrue="1">
      <formula>"esterreur(reference)"</formula>
    </cfRule>
  </conditionalFormatting>
  <conditionalFormatting sqref="Q116:Q119">
    <cfRule type="expression" dxfId="147" priority="148" stopIfTrue="1">
      <formula>"esterreur(reference)"</formula>
    </cfRule>
  </conditionalFormatting>
  <conditionalFormatting sqref="Q120">
    <cfRule type="expression" dxfId="146" priority="147" stopIfTrue="1">
      <formula>"esterreur(reference)"</formula>
    </cfRule>
  </conditionalFormatting>
  <conditionalFormatting sqref="Q130">
    <cfRule type="expression" dxfId="145" priority="144" stopIfTrue="1">
      <formula>"esterreur(reference)"</formula>
    </cfRule>
  </conditionalFormatting>
  <conditionalFormatting sqref="Q124">
    <cfRule type="expression" dxfId="144" priority="146" stopIfTrue="1">
      <formula>"esterreur(reference)"</formula>
    </cfRule>
  </conditionalFormatting>
  <conditionalFormatting sqref="Q123">
    <cfRule type="expression" dxfId="143" priority="145" stopIfTrue="1">
      <formula>"esterreur(reference)"</formula>
    </cfRule>
  </conditionalFormatting>
  <conditionalFormatting sqref="Q139">
    <cfRule type="expression" dxfId="142" priority="137" stopIfTrue="1">
      <formula>"esterreur(reference)"</formula>
    </cfRule>
  </conditionalFormatting>
  <conditionalFormatting sqref="Q131">
    <cfRule type="expression" dxfId="141" priority="143" stopIfTrue="1">
      <formula>"esterreur(reference)"</formula>
    </cfRule>
  </conditionalFormatting>
  <conditionalFormatting sqref="Q132">
    <cfRule type="expression" dxfId="140" priority="142" stopIfTrue="1">
      <formula>"esterreur(reference)"</formula>
    </cfRule>
  </conditionalFormatting>
  <conditionalFormatting sqref="Q133">
    <cfRule type="expression" dxfId="139" priority="141" stopIfTrue="1">
      <formula>"esterreur(reference)"</formula>
    </cfRule>
  </conditionalFormatting>
  <conditionalFormatting sqref="Q141">
    <cfRule type="expression" dxfId="138" priority="135" stopIfTrue="1">
      <formula>"esterreur(reference)"</formula>
    </cfRule>
  </conditionalFormatting>
  <conditionalFormatting sqref="Q136">
    <cfRule type="expression" dxfId="137" priority="140" stopIfTrue="1">
      <formula>"esterreur(reference)"</formula>
    </cfRule>
  </conditionalFormatting>
  <conditionalFormatting sqref="Q137">
    <cfRule type="expression" dxfId="136" priority="139" stopIfTrue="1">
      <formula>"esterreur(reference)"</formula>
    </cfRule>
  </conditionalFormatting>
  <conditionalFormatting sqref="Q138">
    <cfRule type="expression" dxfId="135" priority="138" stopIfTrue="1">
      <formula>"esterreur(reference)"</formula>
    </cfRule>
  </conditionalFormatting>
  <conditionalFormatting sqref="Q143">
    <cfRule type="expression" dxfId="134" priority="133" stopIfTrue="1">
      <formula>"esterreur(reference)"</formula>
    </cfRule>
  </conditionalFormatting>
  <conditionalFormatting sqref="Q140">
    <cfRule type="expression" dxfId="133" priority="136" stopIfTrue="1">
      <formula>"esterreur(reference)"</formula>
    </cfRule>
  </conditionalFormatting>
  <conditionalFormatting sqref="Q142">
    <cfRule type="expression" dxfId="132" priority="134" stopIfTrue="1">
      <formula>"esterreur(reference)"</formula>
    </cfRule>
  </conditionalFormatting>
  <conditionalFormatting sqref="Q144">
    <cfRule type="expression" dxfId="131" priority="132" stopIfTrue="1">
      <formula>"esterreur(reference)"</formula>
    </cfRule>
  </conditionalFormatting>
  <conditionalFormatting sqref="Q145">
    <cfRule type="expression" dxfId="130" priority="131" stopIfTrue="1">
      <formula>"esterreur(reference)"</formula>
    </cfRule>
  </conditionalFormatting>
  <conditionalFormatting sqref="Q146">
    <cfRule type="expression" dxfId="129" priority="130" stopIfTrue="1">
      <formula>"esterreur(reference)"</formula>
    </cfRule>
  </conditionalFormatting>
  <conditionalFormatting sqref="Q147">
    <cfRule type="expression" dxfId="128" priority="129" stopIfTrue="1">
      <formula>"esterreur(reference)"</formula>
    </cfRule>
  </conditionalFormatting>
  <conditionalFormatting sqref="Q113">
    <cfRule type="expression" dxfId="127" priority="126" stopIfTrue="1">
      <formula>"esterreur(reference)"</formula>
    </cfRule>
  </conditionalFormatting>
  <conditionalFormatting sqref="Q155:Q161">
    <cfRule type="expression" dxfId="126" priority="128" stopIfTrue="1">
      <formula>"esterreur(reference)"</formula>
    </cfRule>
  </conditionalFormatting>
  <conditionalFormatting sqref="Q93">
    <cfRule type="expression" dxfId="125" priority="125" stopIfTrue="1">
      <formula>"esterreur(reference)"</formula>
    </cfRule>
  </conditionalFormatting>
  <conditionalFormatting sqref="Q115">
    <cfRule type="expression" dxfId="124" priority="127" stopIfTrue="1">
      <formula>"esterreur(reference)"</formula>
    </cfRule>
  </conditionalFormatting>
  <conditionalFormatting sqref="P93">
    <cfRule type="expression" dxfId="123" priority="124" stopIfTrue="1">
      <formula>"esterreur(reference)"</formula>
    </cfRule>
  </conditionalFormatting>
  <conditionalFormatting sqref="Q122">
    <cfRule type="expression" dxfId="122" priority="123" stopIfTrue="1">
      <formula>"esterreur(reference)"</formula>
    </cfRule>
  </conditionalFormatting>
  <conditionalFormatting sqref="Q135">
    <cfRule type="expression" dxfId="121" priority="122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20" priority="119" stopIfTrue="1">
      <formula>"esterreur(reference)"</formula>
    </cfRule>
  </conditionalFormatting>
  <conditionalFormatting sqref="O219:P224">
    <cfRule type="expression" dxfId="119" priority="120" stopIfTrue="1">
      <formula>"esterreur(reference)"</formula>
    </cfRule>
  </conditionalFormatting>
  <conditionalFormatting sqref="O196:Q196">
    <cfRule type="expression" dxfId="118" priority="121" stopIfTrue="1">
      <formula>"esterreur(reference)"</formula>
    </cfRule>
  </conditionalFormatting>
  <conditionalFormatting sqref="Q207">
    <cfRule type="expression" dxfId="117" priority="105" stopIfTrue="1">
      <formula>"esterreur(reference)"</formula>
    </cfRule>
  </conditionalFormatting>
  <conditionalFormatting sqref="Q227">
    <cfRule type="expression" dxfId="116" priority="101" stopIfTrue="1">
      <formula>"esterreur(reference)"</formula>
    </cfRule>
  </conditionalFormatting>
  <conditionalFormatting sqref="Q171">
    <cfRule type="expression" dxfId="115" priority="118" stopIfTrue="1">
      <formula>"esterreur(reference)"</formula>
    </cfRule>
  </conditionalFormatting>
  <conditionalFormatting sqref="Q174">
    <cfRule type="expression" dxfId="114" priority="117" stopIfTrue="1">
      <formula>"esterreur(reference)"</formula>
    </cfRule>
  </conditionalFormatting>
  <conditionalFormatting sqref="Q177">
    <cfRule type="expression" dxfId="113" priority="116" stopIfTrue="1">
      <formula>"esterreur(reference)"</formula>
    </cfRule>
  </conditionalFormatting>
  <conditionalFormatting sqref="Q183">
    <cfRule type="expression" dxfId="112" priority="115" stopIfTrue="1">
      <formula>"esterreur(reference)"</formula>
    </cfRule>
  </conditionalFormatting>
  <conditionalFormatting sqref="Q187">
    <cfRule type="expression" dxfId="111" priority="114" stopIfTrue="1">
      <formula>"esterreur(reference)"</formula>
    </cfRule>
  </conditionalFormatting>
  <conditionalFormatting sqref="Q197">
    <cfRule type="expression" dxfId="110" priority="113" stopIfTrue="1">
      <formula>"esterreur(reference)"</formula>
    </cfRule>
  </conditionalFormatting>
  <conditionalFormatting sqref="Q199">
    <cfRule type="expression" dxfId="109" priority="112" stopIfTrue="1">
      <formula>"esterreur(reference)"</formula>
    </cfRule>
  </conditionalFormatting>
  <conditionalFormatting sqref="Q198">
    <cfRule type="expression" dxfId="108" priority="111" stopIfTrue="1">
      <formula>"esterreur(reference)"</formula>
    </cfRule>
  </conditionalFormatting>
  <conditionalFormatting sqref="Q200">
    <cfRule type="expression" dxfId="107" priority="110" stopIfTrue="1">
      <formula>"esterreur(reference)"</formula>
    </cfRule>
  </conditionalFormatting>
  <conditionalFormatting sqref="Q201">
    <cfRule type="expression" dxfId="106" priority="109" stopIfTrue="1">
      <formula>"esterreur(reference)"</formula>
    </cfRule>
  </conditionalFormatting>
  <conditionalFormatting sqref="Q202:Q204">
    <cfRule type="expression" dxfId="105" priority="108" stopIfTrue="1">
      <formula>"esterreur(reference)"</formula>
    </cfRule>
  </conditionalFormatting>
  <conditionalFormatting sqref="Q206">
    <cfRule type="expression" dxfId="104" priority="106" stopIfTrue="1">
      <formula>"esterreur(reference)"</formula>
    </cfRule>
  </conditionalFormatting>
  <conditionalFormatting sqref="Q205">
    <cfRule type="expression" dxfId="103" priority="107" stopIfTrue="1">
      <formula>"esterreur(reference)"</formula>
    </cfRule>
  </conditionalFormatting>
  <conditionalFormatting sqref="Q208">
    <cfRule type="expression" dxfId="102" priority="104" stopIfTrue="1">
      <formula>"esterreur(reference)"</formula>
    </cfRule>
  </conditionalFormatting>
  <conditionalFormatting sqref="Q211:Q224">
    <cfRule type="expression" dxfId="101" priority="103" stopIfTrue="1">
      <formula>"esterreur(reference)"</formula>
    </cfRule>
  </conditionalFormatting>
  <conditionalFormatting sqref="Q225:Q226">
    <cfRule type="expression" dxfId="100" priority="102" stopIfTrue="1">
      <formula>"esterreur(reference)"</formula>
    </cfRule>
  </conditionalFormatting>
  <conditionalFormatting sqref="Q180">
    <cfRule type="expression" dxfId="99" priority="100" stopIfTrue="1">
      <formula>"esterreur(reference)"</formula>
    </cfRule>
  </conditionalFormatting>
  <conditionalFormatting sqref="P182">
    <cfRule type="expression" dxfId="98" priority="99" stopIfTrue="1">
      <formula>"esterreur(reference)"</formula>
    </cfRule>
  </conditionalFormatting>
  <conditionalFormatting sqref="P171">
    <cfRule type="expression" dxfId="97" priority="98" stopIfTrue="1">
      <formula>"esterreur(reference)"</formula>
    </cfRule>
  </conditionalFormatting>
  <conditionalFormatting sqref="P174">
    <cfRule type="expression" dxfId="96" priority="97" stopIfTrue="1">
      <formula>"esterreur(reference)"</formula>
    </cfRule>
  </conditionalFormatting>
  <conditionalFormatting sqref="P177">
    <cfRule type="expression" dxfId="95" priority="96" stopIfTrue="1">
      <formula>"esterreur(reference)"</formula>
    </cfRule>
  </conditionalFormatting>
  <conditionalFormatting sqref="P180">
    <cfRule type="expression" dxfId="94" priority="95" stopIfTrue="1">
      <formula>"esterreur(reference)"</formula>
    </cfRule>
  </conditionalFormatting>
  <conditionalFormatting sqref="P187">
    <cfRule type="expression" dxfId="93" priority="94" stopIfTrue="1">
      <formula>"esterreur(reference)"</formula>
    </cfRule>
  </conditionalFormatting>
  <conditionalFormatting sqref="P190">
    <cfRule type="expression" dxfId="92" priority="93" stopIfTrue="1">
      <formula>"esterreur(reference)"</formula>
    </cfRule>
  </conditionalFormatting>
  <conditionalFormatting sqref="Q210">
    <cfRule type="expression" dxfId="91" priority="92" stopIfTrue="1">
      <formula>"esterreur(reference)"</formula>
    </cfRule>
  </conditionalFormatting>
  <conditionalFormatting sqref="O287:Q287 O288:P288 O242:Q242 O251:Q252 O284:Q284 Q275:Q283 O253:P274">
    <cfRule type="expression" dxfId="90" priority="89" stopIfTrue="1">
      <formula>"esterreur(reference)"</formula>
    </cfRule>
  </conditionalFormatting>
  <conditionalFormatting sqref="O275:P280">
    <cfRule type="expression" dxfId="89" priority="90" stopIfTrue="1">
      <formula>"esterreur(reference)"</formula>
    </cfRule>
  </conditionalFormatting>
  <conditionalFormatting sqref="O281:P283">
    <cfRule type="expression" dxfId="88" priority="91" stopIfTrue="1">
      <formula>"esterreur(reference)"</formula>
    </cfRule>
  </conditionalFormatting>
  <conditionalFormatting sqref="Q271">
    <cfRule type="expression" dxfId="87" priority="71" stopIfTrue="1">
      <formula>"esterreur(reference)"</formula>
    </cfRule>
  </conditionalFormatting>
  <conditionalFormatting sqref="Q274">
    <cfRule type="expression" dxfId="86" priority="69" stopIfTrue="1">
      <formula>"esterreur(reference)"</formula>
    </cfRule>
  </conditionalFormatting>
  <conditionalFormatting sqref="Q243">
    <cfRule type="expression" dxfId="85" priority="88" stopIfTrue="1">
      <formula>"esterreur(reference)"</formula>
    </cfRule>
  </conditionalFormatting>
  <conditionalFormatting sqref="Q246">
    <cfRule type="expression" dxfId="84" priority="87" stopIfTrue="1">
      <formula>"esterreur(reference)"</formula>
    </cfRule>
  </conditionalFormatting>
  <conditionalFormatting sqref="Q253">
    <cfRule type="expression" dxfId="83" priority="86" stopIfTrue="1">
      <formula>"esterreur(reference)"</formula>
    </cfRule>
  </conditionalFormatting>
  <conditionalFormatting sqref="Q254">
    <cfRule type="expression" dxfId="82" priority="85" stopIfTrue="1">
      <formula>"esterreur(reference)"</formula>
    </cfRule>
  </conditionalFormatting>
  <conditionalFormatting sqref="Q255">
    <cfRule type="expression" dxfId="81" priority="84" stopIfTrue="1">
      <formula>"esterreur(reference)"</formula>
    </cfRule>
  </conditionalFormatting>
  <conditionalFormatting sqref="Q256">
    <cfRule type="expression" dxfId="80" priority="83" stopIfTrue="1">
      <formula>"esterreur(reference)"</formula>
    </cfRule>
  </conditionalFormatting>
  <conditionalFormatting sqref="Q257">
    <cfRule type="expression" dxfId="79" priority="82" stopIfTrue="1">
      <formula>"esterreur(reference)"</formula>
    </cfRule>
  </conditionalFormatting>
  <conditionalFormatting sqref="Q258">
    <cfRule type="expression" dxfId="78" priority="81" stopIfTrue="1">
      <formula>"esterreur(reference)"</formula>
    </cfRule>
  </conditionalFormatting>
  <conditionalFormatting sqref="Q259">
    <cfRule type="expression" dxfId="77" priority="80" stopIfTrue="1">
      <formula>"esterreur(reference)"</formula>
    </cfRule>
  </conditionalFormatting>
  <conditionalFormatting sqref="Q260">
    <cfRule type="expression" dxfId="76" priority="79" stopIfTrue="1">
      <formula>"esterreur(reference)"</formula>
    </cfRule>
  </conditionalFormatting>
  <conditionalFormatting sqref="Q261">
    <cfRule type="expression" dxfId="75" priority="78" stopIfTrue="1">
      <formula>"esterreur(reference)"</formula>
    </cfRule>
  </conditionalFormatting>
  <conditionalFormatting sqref="Q262">
    <cfRule type="expression" dxfId="74" priority="77" stopIfTrue="1">
      <formula>"esterreur(reference)"</formula>
    </cfRule>
  </conditionalFormatting>
  <conditionalFormatting sqref="Q263:Q264">
    <cfRule type="expression" dxfId="73" priority="76" stopIfTrue="1">
      <formula>"esterreur(reference)"</formula>
    </cfRule>
  </conditionalFormatting>
  <conditionalFormatting sqref="Q268">
    <cfRule type="expression" dxfId="72" priority="74" stopIfTrue="1">
      <formula>"esterreur(reference)"</formula>
    </cfRule>
  </conditionalFormatting>
  <conditionalFormatting sqref="Q267">
    <cfRule type="expression" dxfId="71" priority="75" stopIfTrue="1">
      <formula>"esterreur(reference)"</formula>
    </cfRule>
  </conditionalFormatting>
  <conditionalFormatting sqref="Q269">
    <cfRule type="expression" dxfId="70" priority="73" stopIfTrue="1">
      <formula>"esterreur(reference)"</formula>
    </cfRule>
  </conditionalFormatting>
  <conditionalFormatting sqref="Q270">
    <cfRule type="expression" dxfId="69" priority="72" stopIfTrue="1">
      <formula>"esterreur(reference)"</formula>
    </cfRule>
  </conditionalFormatting>
  <conditionalFormatting sqref="Q272:Q273">
    <cfRule type="expression" dxfId="68" priority="70" stopIfTrue="1">
      <formula>"esterreur(reference)"</formula>
    </cfRule>
  </conditionalFormatting>
  <conditionalFormatting sqref="P240">
    <cfRule type="expression" dxfId="67" priority="68" stopIfTrue="1">
      <formula>"esterreur(reference)"</formula>
    </cfRule>
  </conditionalFormatting>
  <conditionalFormatting sqref="P243">
    <cfRule type="expression" dxfId="66" priority="67" stopIfTrue="1">
      <formula>"esterreur(reference)"</formula>
    </cfRule>
  </conditionalFormatting>
  <conditionalFormatting sqref="P246">
    <cfRule type="expression" dxfId="65" priority="66" stopIfTrue="1">
      <formula>"esterreur(reference)"</formula>
    </cfRule>
  </conditionalFormatting>
  <conditionalFormatting sqref="Q240">
    <cfRule type="expression" dxfId="64" priority="65" stopIfTrue="1">
      <formula>"esterreur(reference)"</formula>
    </cfRule>
  </conditionalFormatting>
  <conditionalFormatting sqref="P286">
    <cfRule type="expression" dxfId="63" priority="64" stopIfTrue="1">
      <formula>"esterreur(reference)"</formula>
    </cfRule>
  </conditionalFormatting>
  <conditionalFormatting sqref="Q266">
    <cfRule type="expression" dxfId="62" priority="63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61" priority="61" stopIfTrue="1">
      <formula>"esterreur(reference)"</formula>
    </cfRule>
  </conditionalFormatting>
  <conditionalFormatting sqref="O316:Q316">
    <cfRule type="expression" dxfId="60" priority="62" stopIfTrue="1">
      <formula>"esterreur(reference)"</formula>
    </cfRule>
  </conditionalFormatting>
  <conditionalFormatting sqref="Q331:Q347">
    <cfRule type="expression" dxfId="59" priority="48" stopIfTrue="1">
      <formula>"esterreur(reference)"</formula>
    </cfRule>
  </conditionalFormatting>
  <conditionalFormatting sqref="Q325">
    <cfRule type="expression" dxfId="58" priority="52" stopIfTrue="1">
      <formula>"esterreur(reference)"</formula>
    </cfRule>
  </conditionalFormatting>
  <conditionalFormatting sqref="Q326">
    <cfRule type="expression" dxfId="57" priority="51" stopIfTrue="1">
      <formula>"esterreur(reference)"</formula>
    </cfRule>
  </conditionalFormatting>
  <conditionalFormatting sqref="Q327">
    <cfRule type="expression" dxfId="56" priority="50" stopIfTrue="1">
      <formula>"esterreur(reference)"</formula>
    </cfRule>
  </conditionalFormatting>
  <conditionalFormatting sqref="Q328">
    <cfRule type="expression" dxfId="55" priority="49" stopIfTrue="1">
      <formula>"esterreur(reference)"</formula>
    </cfRule>
  </conditionalFormatting>
  <conditionalFormatting sqref="Q294:Q300">
    <cfRule type="expression" dxfId="54" priority="60" stopIfTrue="1">
      <formula>"esterreur(reference)"</formula>
    </cfRule>
  </conditionalFormatting>
  <conditionalFormatting sqref="Q301">
    <cfRule type="expression" dxfId="53" priority="59" stopIfTrue="1">
      <formula>"esterreur(reference)"</formula>
    </cfRule>
  </conditionalFormatting>
  <conditionalFormatting sqref="Q302">
    <cfRule type="expression" dxfId="52" priority="58" stopIfTrue="1">
      <formula>"esterreur(reference)"</formula>
    </cfRule>
  </conditionalFormatting>
  <conditionalFormatting sqref="Q306">
    <cfRule type="expression" dxfId="51" priority="57" stopIfTrue="1">
      <formula>"esterreur(reference)"</formula>
    </cfRule>
  </conditionalFormatting>
  <conditionalFormatting sqref="Q307">
    <cfRule type="expression" dxfId="50" priority="56" stopIfTrue="1">
      <formula>"esterreur(reference)"</formula>
    </cfRule>
  </conditionalFormatting>
  <conditionalFormatting sqref="Q311">
    <cfRule type="expression" dxfId="49" priority="55" stopIfTrue="1">
      <formula>"esterreur(reference)"</formula>
    </cfRule>
  </conditionalFormatting>
  <conditionalFormatting sqref="Q317">
    <cfRule type="expression" dxfId="48" priority="54" stopIfTrue="1">
      <formula>"esterreur(reference)"</formula>
    </cfRule>
  </conditionalFormatting>
  <conditionalFormatting sqref="Q318">
    <cfRule type="expression" dxfId="47" priority="53" stopIfTrue="1">
      <formula>"esterreur(reference)"</formula>
    </cfRule>
  </conditionalFormatting>
  <conditionalFormatting sqref="O306:O307">
    <cfRule type="expression" dxfId="46" priority="47" stopIfTrue="1">
      <formula>"esterreur(reference)"</formula>
    </cfRule>
  </conditionalFormatting>
  <conditionalFormatting sqref="O311">
    <cfRule type="expression" dxfId="45" priority="46" stopIfTrue="1">
      <formula>"esterreur(reference)"</formula>
    </cfRule>
  </conditionalFormatting>
  <conditionalFormatting sqref="Q330">
    <cfRule type="expression" dxfId="44" priority="45" stopIfTrue="1">
      <formula>"esterreur(reference)"</formula>
    </cfRule>
  </conditionalFormatting>
  <conditionalFormatting sqref="O363:Q363 O364:P375">
    <cfRule type="expression" dxfId="43" priority="39" stopIfTrue="1">
      <formula>"esterreur(reference)"</formula>
    </cfRule>
  </conditionalFormatting>
  <conditionalFormatting sqref="O358:Q358">
    <cfRule type="expression" dxfId="42" priority="40" stopIfTrue="1">
      <formula>"esterreur(reference)"</formula>
    </cfRule>
  </conditionalFormatting>
  <conditionalFormatting sqref="O376:Q376 O377:P392">
    <cfRule type="expression" dxfId="41" priority="41" stopIfTrue="1">
      <formula>"esterreur(reference)"</formula>
    </cfRule>
  </conditionalFormatting>
  <conditionalFormatting sqref="O395:Q398 O393:P393">
    <cfRule type="expression" dxfId="40" priority="42" stopIfTrue="1">
      <formula>"esterreur(reference)"</formula>
    </cfRule>
  </conditionalFormatting>
  <conditionalFormatting sqref="O360:Q362 P359">
    <cfRule type="expression" dxfId="39" priority="43" stopIfTrue="1">
      <formula>"esterreur(reference)"</formula>
    </cfRule>
  </conditionalFormatting>
  <conditionalFormatting sqref="P394">
    <cfRule type="expression" dxfId="38" priority="44" stopIfTrue="1">
      <formula>"esterreur(reference)"</formula>
    </cfRule>
  </conditionalFormatting>
  <conditionalFormatting sqref="Q364:Q375">
    <cfRule type="expression" dxfId="37" priority="38" stopIfTrue="1">
      <formula>"esterreur(reference)"</formula>
    </cfRule>
  </conditionalFormatting>
  <conditionalFormatting sqref="Q377:Q393">
    <cfRule type="expression" dxfId="36" priority="37" stopIfTrue="1">
      <formula>"esterreur(reference)"</formula>
    </cfRule>
  </conditionalFormatting>
  <conditionalFormatting sqref="O359">
    <cfRule type="expression" dxfId="35" priority="36" stopIfTrue="1">
      <formula>"esterreur(reference)"</formula>
    </cfRule>
  </conditionalFormatting>
  <conditionalFormatting sqref="Q359">
    <cfRule type="expression" dxfId="34" priority="35" stopIfTrue="1">
      <formula>"esterreur(reference)"</formula>
    </cfRule>
  </conditionalFormatting>
  <conditionalFormatting sqref="Q36:Q40">
    <cfRule type="expression" dxfId="33" priority="34" stopIfTrue="1">
      <formula>"esterreur(reference)"</formula>
    </cfRule>
  </conditionalFormatting>
  <conditionalFormatting sqref="L68">
    <cfRule type="expression" dxfId="32" priority="33" stopIfTrue="1">
      <formula>"esterreur(reference)"</formula>
    </cfRule>
  </conditionalFormatting>
  <conditionalFormatting sqref="Q149:Q151">
    <cfRule type="expression" dxfId="31" priority="25" stopIfTrue="1">
      <formula>"esterreur(reference)"</formula>
    </cfRule>
  </conditionalFormatting>
  <conditionalFormatting sqref="H148 J148:K148">
    <cfRule type="expression" dxfId="30" priority="32" stopIfTrue="1">
      <formula>"esterreur(reference)"</formula>
    </cfRule>
  </conditionalFormatting>
  <conditionalFormatting sqref="L148">
    <cfRule type="expression" dxfId="29" priority="31" stopIfTrue="1">
      <formula>"esterreur(reference)"</formula>
    </cfRule>
  </conditionalFormatting>
  <conditionalFormatting sqref="O148:P148">
    <cfRule type="expression" dxfId="28" priority="30" stopIfTrue="1">
      <formula>"esterreur(reference)"</formula>
    </cfRule>
  </conditionalFormatting>
  <conditionalFormatting sqref="Q148">
    <cfRule type="expression" dxfId="27" priority="29" stopIfTrue="1">
      <formula>"esterreur(reference)"</formula>
    </cfRule>
  </conditionalFormatting>
  <conditionalFormatting sqref="H149:H151 J149:K151">
    <cfRule type="expression" dxfId="26" priority="28" stopIfTrue="1">
      <formula>"esterreur(reference)"</formula>
    </cfRule>
  </conditionalFormatting>
  <conditionalFormatting sqref="L149:L151">
    <cfRule type="expression" dxfId="25" priority="27" stopIfTrue="1">
      <formula>"esterreur(reference)"</formula>
    </cfRule>
  </conditionalFormatting>
  <conditionalFormatting sqref="O149:P151">
    <cfRule type="expression" dxfId="24" priority="26" stopIfTrue="1">
      <formula>"esterreur(reference)"</formula>
    </cfRule>
  </conditionalFormatting>
  <conditionalFormatting sqref="L158:L161">
    <cfRule type="expression" dxfId="23" priority="24" stopIfTrue="1">
      <formula>"esterreur(reference)"</formula>
    </cfRule>
  </conditionalFormatting>
  <conditionalFormatting sqref="AG414:AI417">
    <cfRule type="cellIs" dxfId="22" priority="23" operator="greaterThan">
      <formula>0</formula>
    </cfRule>
  </conditionalFormatting>
  <conditionalFormatting sqref="AO414:AO417">
    <cfRule type="cellIs" dxfId="21" priority="22" operator="greaterThan">
      <formula>0</formula>
    </cfRule>
  </conditionalFormatting>
  <conditionalFormatting sqref="G111:G112">
    <cfRule type="expression" dxfId="20" priority="21" stopIfTrue="1">
      <formula>"esterreur(reference)"</formula>
    </cfRule>
  </conditionalFormatting>
  <conditionalFormatting sqref="AH424:AH426">
    <cfRule type="cellIs" dxfId="19" priority="20" operator="greaterThan">
      <formula>0</formula>
    </cfRule>
  </conditionalFormatting>
  <conditionalFormatting sqref="AI431">
    <cfRule type="cellIs" dxfId="18" priority="19" operator="greaterThan">
      <formula>0</formula>
    </cfRule>
  </conditionalFormatting>
  <conditionalFormatting sqref="AH431">
    <cfRule type="cellIs" dxfId="17" priority="18" operator="greaterThan">
      <formula>0</formula>
    </cfRule>
  </conditionalFormatting>
  <conditionalFormatting sqref="AI448:AI450">
    <cfRule type="cellIs" dxfId="16" priority="17" operator="greaterThan">
      <formula>0</formula>
    </cfRule>
  </conditionalFormatting>
  <conditionalFormatting sqref="AH448:AH450">
    <cfRule type="cellIs" dxfId="15" priority="16" operator="greaterThan">
      <formula>0</formula>
    </cfRule>
  </conditionalFormatting>
  <conditionalFormatting sqref="AI462:AI464">
    <cfRule type="cellIs" dxfId="14" priority="15" operator="greaterThan">
      <formula>0</formula>
    </cfRule>
  </conditionalFormatting>
  <conditionalFormatting sqref="AH462:AH464">
    <cfRule type="cellIs" dxfId="13" priority="14" operator="greaterThan">
      <formula>0</formula>
    </cfRule>
  </conditionalFormatting>
  <conditionalFormatting sqref="AI476:AI478">
    <cfRule type="cellIs" dxfId="12" priority="13" operator="greaterThan">
      <formula>0</formula>
    </cfRule>
  </conditionalFormatting>
  <conditionalFormatting sqref="AH476:AH478">
    <cfRule type="cellIs" dxfId="11" priority="12" operator="greaterThan">
      <formula>0</formula>
    </cfRule>
  </conditionalFormatting>
  <conditionalFormatting sqref="AI494:AI496">
    <cfRule type="cellIs" dxfId="10" priority="11" operator="greaterThan">
      <formula>0</formula>
    </cfRule>
  </conditionalFormatting>
  <conditionalFormatting sqref="AH494:AH496">
    <cfRule type="cellIs" dxfId="9" priority="10" operator="greaterThan">
      <formula>0</formula>
    </cfRule>
  </conditionalFormatting>
  <conditionalFormatting sqref="H83:H85 H72 H25:H54">
    <cfRule type="expression" dxfId="8" priority="5" stopIfTrue="1">
      <formula>"esterreur(reference)"</formula>
    </cfRule>
  </conditionalFormatting>
  <conditionalFormatting sqref="H55:H56 H71">
    <cfRule type="expression" dxfId="7" priority="6" stopIfTrue="1">
      <formula>"esterreur(reference)"</formula>
    </cfRule>
  </conditionalFormatting>
  <conditionalFormatting sqref="H61:H70">
    <cfRule type="expression" dxfId="6" priority="7" stopIfTrue="1">
      <formula>"esterreur(reference)"</formula>
    </cfRule>
  </conditionalFormatting>
  <conditionalFormatting sqref="H57:H59">
    <cfRule type="expression" dxfId="5" priority="8" stopIfTrue="1">
      <formula>"esterreur(reference)"</formula>
    </cfRule>
  </conditionalFormatting>
  <conditionalFormatting sqref="H60">
    <cfRule type="expression" dxfId="4" priority="9" stopIfTrue="1">
      <formula>"esterreur(reference)"</formula>
    </cfRule>
  </conditionalFormatting>
  <conditionalFormatting sqref="G31:G32">
    <cfRule type="expression" dxfId="3" priority="4" stopIfTrue="1">
      <formula>"esterreur(reference)"</formula>
    </cfRule>
  </conditionalFormatting>
  <conditionalFormatting sqref="I83:I85 I13:I14 I24:I30 I20 I16:I18">
    <cfRule type="expression" dxfId="2" priority="3" stopIfTrue="1">
      <formula>"esterreur(reference)"</formula>
    </cfRule>
  </conditionalFormatting>
  <conditionalFormatting sqref="F83:F85">
    <cfRule type="expression" dxfId="1" priority="2" stopIfTrue="1">
      <formula>"esterreur(reference)"</formula>
    </cfRule>
  </conditionalFormatting>
  <conditionalFormatting sqref="F5">
    <cfRule type="expression" dxfId="0" priority="1" stopIfTrue="1">
      <formula>"esterreur(reference)"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5" max="16383" man="1"/>
    <brk id="233" max="16383" man="1"/>
    <brk id="289" min="2" max="19" man="1"/>
    <brk id="353" max="16383" man="1"/>
    <brk id="498" max="16383" man="1"/>
  </rowBreaks>
  <colBreaks count="2" manualBreakCount="2">
    <brk id="2" max="1048575" man="1"/>
    <brk id="21" max="69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VW 2022-04</vt:lpstr>
      <vt:lpstr>VW 2022-05</vt:lpstr>
      <vt:lpstr>VW 2022-06</vt:lpstr>
      <vt:lpstr>END</vt:lpstr>
      <vt:lpstr>Conso!Zone_d_impression</vt:lpstr>
      <vt:lpstr>'VW 2022-06'!Zone_d_impression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GPA</cp:lastModifiedBy>
  <cp:lastPrinted>2022-07-13T16:00:01Z</cp:lastPrinted>
  <dcterms:created xsi:type="dcterms:W3CDTF">2021-02-12T03:12:48Z</dcterms:created>
  <dcterms:modified xsi:type="dcterms:W3CDTF">2022-07-19T18:34:48Z</dcterms:modified>
</cp:coreProperties>
</file>